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ngetwins.sharepoint.com/sites/VineyardOps/Shared Documents/2026 Harvest/"/>
    </mc:Choice>
  </mc:AlternateContent>
  <xr:revisionPtr revIDLastSave="7313" documentId="120_S{6B900402-F1A5-5E5B-BC12-1D44CD619C9C}" xr6:coauthVersionLast="47" xr6:coauthVersionMax="47" xr10:uidLastSave="{E599ABB7-1812-46FE-8FB1-8447B416CD5C}"/>
  <bookViews>
    <workbookView xWindow="-108" yWindow="-108" windowWidth="23256" windowHeight="13896" firstSheet="4" activeTab="4" xr2:uid="{E44B08A7-7F3A-42CB-839E-1906225FCCCB}"/>
  </bookViews>
  <sheets>
    <sheet name="ALL Sugars" sheetId="2" r:id="rId1"/>
    <sheet name="LTW" sheetId="21" r:id="rId2"/>
    <sheet name="Harvest Dashboard" sheetId="20" state="hidden" r:id="rId3"/>
    <sheet name="Lab Analysis" sheetId="8" r:id="rId4"/>
    <sheet name="Sampling Schedule" sheetId="9" r:id="rId5"/>
    <sheet name="Brix Target Guidance" sheetId="12" state="hidden" r:id="rId6"/>
    <sheet name="Daily Summary" sheetId="17" r:id="rId7"/>
    <sheet name="LTW Vineyard Visit Notes" sheetId="18" r:id="rId8"/>
    <sheet name="FFW Report" sheetId="16" state="hidden" r:id="rId9"/>
    <sheet name="Prince" sheetId="19" state="hidden" r:id="rId10"/>
  </sheets>
  <definedNames>
    <definedName name="_xlnm._FilterDatabase" localSheetId="3" hidden="1">'Lab Analysis'!$A$2:$L$185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2" l="1" a="1"/>
  <c r="G81" i="2" s="1"/>
  <c r="H81" i="2" a="1"/>
  <c r="H81" i="2" s="1"/>
  <c r="G82" i="2" a="1"/>
  <c r="G82" i="2" s="1"/>
  <c r="H82" i="2" a="1"/>
  <c r="H82" i="2" s="1"/>
  <c r="H316" i="21" a="1"/>
  <c r="H316" i="21" s="1"/>
  <c r="G316" i="21" a="1"/>
  <c r="G316" i="21" s="1"/>
  <c r="H315" i="21" a="1"/>
  <c r="H315" i="21" s="1"/>
  <c r="G315" i="21" a="1"/>
  <c r="G315" i="21" s="1"/>
  <c r="H314" i="21" a="1"/>
  <c r="H314" i="21" s="1"/>
  <c r="G314" i="21" a="1"/>
  <c r="G314" i="21" s="1"/>
  <c r="H313" i="21" a="1"/>
  <c r="H313" i="21" s="1"/>
  <c r="G313" i="21" a="1"/>
  <c r="G313" i="21" s="1"/>
  <c r="H312" i="21" a="1"/>
  <c r="H312" i="21" s="1"/>
  <c r="G312" i="21" a="1"/>
  <c r="G312" i="21" s="1"/>
  <c r="H311" i="21" a="1"/>
  <c r="H311" i="21" s="1"/>
  <c r="G311" i="21" a="1"/>
  <c r="G311" i="21" s="1"/>
  <c r="H310" i="21" a="1"/>
  <c r="H310" i="21" s="1"/>
  <c r="G310" i="21" a="1"/>
  <c r="G310" i="21" s="1"/>
  <c r="H309" i="21" a="1"/>
  <c r="H309" i="21" s="1"/>
  <c r="G309" i="21" a="1"/>
  <c r="G309" i="21" s="1"/>
  <c r="H308" i="21" a="1"/>
  <c r="H308" i="21" s="1"/>
  <c r="G308" i="21" a="1"/>
  <c r="G308" i="21" s="1"/>
  <c r="H307" i="21" a="1"/>
  <c r="H307" i="21" s="1"/>
  <c r="G307" i="21" a="1"/>
  <c r="G307" i="21" s="1"/>
  <c r="H306" i="21" a="1"/>
  <c r="H306" i="21" s="1"/>
  <c r="G306" i="21" a="1"/>
  <c r="G306" i="21" s="1"/>
  <c r="H305" i="21" a="1"/>
  <c r="H305" i="21" s="1"/>
  <c r="G305" i="21" a="1"/>
  <c r="G305" i="21" s="1"/>
  <c r="H304" i="21" a="1"/>
  <c r="H304" i="21" s="1"/>
  <c r="G304" i="21" a="1"/>
  <c r="G304" i="21" s="1"/>
  <c r="H303" i="21" a="1"/>
  <c r="H303" i="21" s="1"/>
  <c r="G303" i="21" a="1"/>
  <c r="G303" i="21" s="1"/>
  <c r="H302" i="21" a="1"/>
  <c r="H302" i="21" s="1"/>
  <c r="G302" i="21" a="1"/>
  <c r="G302" i="21" s="1"/>
  <c r="H301" i="21" a="1"/>
  <c r="H301" i="21" s="1"/>
  <c r="G301" i="21" a="1"/>
  <c r="G301" i="21" s="1"/>
  <c r="H300" i="21" a="1"/>
  <c r="H300" i="21" s="1"/>
  <c r="G300" i="21" a="1"/>
  <c r="G300" i="21" s="1"/>
  <c r="H299" i="21" a="1"/>
  <c r="H299" i="21" s="1"/>
  <c r="G299" i="21" a="1"/>
  <c r="G299" i="21" s="1"/>
  <c r="H298" i="21" a="1"/>
  <c r="H298" i="21" s="1"/>
  <c r="G298" i="21" a="1"/>
  <c r="G298" i="21" s="1"/>
  <c r="H297" i="21" a="1"/>
  <c r="H297" i="21" s="1"/>
  <c r="G297" i="21" a="1"/>
  <c r="G297" i="21" s="1"/>
  <c r="H296" i="21" a="1"/>
  <c r="H296" i="21" s="1"/>
  <c r="G296" i="21" a="1"/>
  <c r="G296" i="21" s="1"/>
  <c r="H295" i="21" a="1"/>
  <c r="H295" i="21" s="1"/>
  <c r="G295" i="21" a="1"/>
  <c r="G295" i="21" s="1"/>
  <c r="H294" i="21" a="1"/>
  <c r="H294" i="21" s="1"/>
  <c r="G294" i="21" a="1"/>
  <c r="G294" i="21" s="1"/>
  <c r="H293" i="21" a="1"/>
  <c r="H293" i="21" s="1"/>
  <c r="G293" i="21" a="1"/>
  <c r="G293" i="21" s="1"/>
  <c r="H292" i="21" a="1"/>
  <c r="H292" i="21" s="1"/>
  <c r="G292" i="21" a="1"/>
  <c r="G292" i="21" s="1"/>
  <c r="H291" i="21" a="1"/>
  <c r="H291" i="21" s="1"/>
  <c r="G291" i="21" a="1"/>
  <c r="G291" i="21" s="1"/>
  <c r="H290" i="21" a="1"/>
  <c r="H290" i="21" s="1"/>
  <c r="G290" i="21" a="1"/>
  <c r="G290" i="21" s="1"/>
  <c r="H289" i="21" a="1"/>
  <c r="H289" i="21" s="1"/>
  <c r="G289" i="21" a="1"/>
  <c r="G289" i="21" s="1"/>
  <c r="H288" i="21" a="1"/>
  <c r="H288" i="21" s="1"/>
  <c r="G288" i="21" a="1"/>
  <c r="G288" i="21" s="1"/>
  <c r="H287" i="21" a="1"/>
  <c r="H287" i="21" s="1"/>
  <c r="G287" i="21" a="1"/>
  <c r="G287" i="21" s="1"/>
  <c r="H286" i="21" a="1"/>
  <c r="H286" i="21" s="1"/>
  <c r="G286" i="21" a="1"/>
  <c r="G286" i="21" s="1"/>
  <c r="H285" i="21" a="1"/>
  <c r="H285" i="21" s="1"/>
  <c r="G285" i="21" a="1"/>
  <c r="G285" i="21" s="1"/>
  <c r="H284" i="21" a="1"/>
  <c r="H284" i="21" s="1"/>
  <c r="G284" i="21" a="1"/>
  <c r="G284" i="21" s="1"/>
  <c r="H283" i="21" a="1"/>
  <c r="H283" i="21" s="1"/>
  <c r="G283" i="21" a="1"/>
  <c r="G283" i="21" s="1"/>
  <c r="H282" i="21" a="1"/>
  <c r="H282" i="21" s="1"/>
  <c r="G282" i="21" a="1"/>
  <c r="G282" i="21" s="1"/>
  <c r="H281" i="21" a="1"/>
  <c r="H281" i="21" s="1"/>
  <c r="G281" i="21" a="1"/>
  <c r="G281" i="21" s="1"/>
  <c r="H280" i="21" a="1"/>
  <c r="H280" i="21" s="1"/>
  <c r="G280" i="21" a="1"/>
  <c r="G280" i="21" s="1"/>
  <c r="H279" i="21" a="1"/>
  <c r="H279" i="21" s="1"/>
  <c r="G279" i="21" a="1"/>
  <c r="G279" i="21" s="1"/>
  <c r="H278" i="21" a="1"/>
  <c r="H278" i="21" s="1"/>
  <c r="G278" i="21" a="1"/>
  <c r="G278" i="21" s="1"/>
  <c r="H277" i="21" a="1"/>
  <c r="H277" i="21" s="1"/>
  <c r="G277" i="21" a="1"/>
  <c r="G277" i="21" s="1"/>
  <c r="H276" i="21" a="1"/>
  <c r="H276" i="21" s="1"/>
  <c r="G276" i="21" a="1"/>
  <c r="G276" i="21" s="1"/>
  <c r="H275" i="21" a="1"/>
  <c r="H275" i="21" s="1"/>
  <c r="G275" i="21" a="1"/>
  <c r="G275" i="21" s="1"/>
  <c r="H274" i="21" a="1"/>
  <c r="H274" i="21" s="1"/>
  <c r="G274" i="21" a="1"/>
  <c r="G274" i="21" s="1"/>
  <c r="H273" i="21" a="1"/>
  <c r="H273" i="21" s="1"/>
  <c r="G273" i="21" a="1"/>
  <c r="G273" i="21" s="1"/>
  <c r="H272" i="21" a="1"/>
  <c r="H272" i="21" s="1"/>
  <c r="G272" i="21" a="1"/>
  <c r="G272" i="21" s="1"/>
  <c r="H271" i="21" a="1"/>
  <c r="H271" i="21" s="1"/>
  <c r="G271" i="21" a="1"/>
  <c r="G271" i="21" s="1"/>
  <c r="H270" i="21" a="1"/>
  <c r="H270" i="21" s="1"/>
  <c r="G270" i="21" a="1"/>
  <c r="G270" i="21" s="1"/>
  <c r="H269" i="21" a="1"/>
  <c r="H269" i="21" s="1"/>
  <c r="G269" i="21" a="1"/>
  <c r="G269" i="21" s="1"/>
  <c r="H268" i="21" a="1"/>
  <c r="H268" i="21" s="1"/>
  <c r="G268" i="21" a="1"/>
  <c r="G268" i="21" s="1"/>
  <c r="H267" i="21" a="1"/>
  <c r="H267" i="21" s="1"/>
  <c r="G267" i="21" a="1"/>
  <c r="G267" i="21" s="1"/>
  <c r="H266" i="21" a="1"/>
  <c r="H266" i="21" s="1"/>
  <c r="G266" i="21" a="1"/>
  <c r="G266" i="21" s="1"/>
  <c r="H265" i="21" a="1"/>
  <c r="H265" i="21" s="1"/>
  <c r="G265" i="21" a="1"/>
  <c r="G265" i="21" s="1"/>
  <c r="H264" i="21" a="1"/>
  <c r="H264" i="21" s="1"/>
  <c r="G264" i="21" a="1"/>
  <c r="G264" i="21" s="1"/>
  <c r="H263" i="21" a="1"/>
  <c r="H263" i="21" s="1"/>
  <c r="G263" i="21" a="1"/>
  <c r="G263" i="21" s="1"/>
  <c r="H262" i="21" a="1"/>
  <c r="H262" i="21" s="1"/>
  <c r="G262" i="21" a="1"/>
  <c r="G262" i="21" s="1"/>
  <c r="H261" i="21" a="1"/>
  <c r="H261" i="21" s="1"/>
  <c r="G261" i="21" a="1"/>
  <c r="G261" i="21" s="1"/>
  <c r="H260" i="21" a="1"/>
  <c r="H260" i="21" s="1"/>
  <c r="G260" i="21" a="1"/>
  <c r="G260" i="21" s="1"/>
  <c r="H259" i="21" a="1"/>
  <c r="H259" i="21" s="1"/>
  <c r="G259" i="21" a="1"/>
  <c r="G259" i="21" s="1"/>
  <c r="H258" i="21" a="1"/>
  <c r="H258" i="21" s="1"/>
  <c r="G258" i="21" a="1"/>
  <c r="G258" i="21" s="1"/>
  <c r="H257" i="21" a="1"/>
  <c r="H257" i="21" s="1"/>
  <c r="G257" i="21" a="1"/>
  <c r="G257" i="21" s="1"/>
  <c r="H256" i="21" a="1"/>
  <c r="H256" i="21" s="1"/>
  <c r="G256" i="21" a="1"/>
  <c r="G256" i="21" s="1"/>
  <c r="H255" i="21" a="1"/>
  <c r="H255" i="21" s="1"/>
  <c r="G255" i="21" a="1"/>
  <c r="G255" i="21" s="1"/>
  <c r="H254" i="21" a="1"/>
  <c r="H254" i="21" s="1"/>
  <c r="G254" i="21" a="1"/>
  <c r="G254" i="21" s="1"/>
  <c r="H253" i="21" a="1"/>
  <c r="H253" i="21" s="1"/>
  <c r="G253" i="21" a="1"/>
  <c r="G253" i="21" s="1"/>
  <c r="H252" i="21" a="1"/>
  <c r="H252" i="21" s="1"/>
  <c r="G252" i="21" a="1"/>
  <c r="G252" i="21" s="1"/>
  <c r="H251" i="21" a="1"/>
  <c r="H251" i="21" s="1"/>
  <c r="G251" i="21" a="1"/>
  <c r="G251" i="21" s="1"/>
  <c r="H250" i="21" a="1"/>
  <c r="H250" i="21" s="1"/>
  <c r="G250" i="21" a="1"/>
  <c r="G250" i="21" s="1"/>
  <c r="H249" i="21" a="1"/>
  <c r="H249" i="21" s="1"/>
  <c r="G249" i="21" a="1"/>
  <c r="G249" i="21" s="1"/>
  <c r="H248" i="21" a="1"/>
  <c r="H248" i="21" s="1"/>
  <c r="G248" i="21" a="1"/>
  <c r="G248" i="21" s="1"/>
  <c r="H247" i="21" a="1"/>
  <c r="H247" i="21" s="1"/>
  <c r="G247" i="21" a="1"/>
  <c r="G247" i="21" s="1"/>
  <c r="H246" i="21" a="1"/>
  <c r="H246" i="21" s="1"/>
  <c r="G246" i="21" a="1"/>
  <c r="G246" i="21" s="1"/>
  <c r="H245" i="21" a="1"/>
  <c r="H245" i="21" s="1"/>
  <c r="G245" i="21" a="1"/>
  <c r="G245" i="21" s="1"/>
  <c r="H244" i="21" a="1"/>
  <c r="H244" i="21" s="1"/>
  <c r="G244" i="21" a="1"/>
  <c r="G244" i="21" s="1"/>
  <c r="H243" i="21" a="1"/>
  <c r="H243" i="21" s="1"/>
  <c r="G243" i="21" a="1"/>
  <c r="G243" i="21" s="1"/>
  <c r="H242" i="21" a="1"/>
  <c r="H242" i="21" s="1"/>
  <c r="G242" i="21" a="1"/>
  <c r="G242" i="21" s="1"/>
  <c r="H241" i="21" a="1"/>
  <c r="H241" i="21" s="1"/>
  <c r="G241" i="21" a="1"/>
  <c r="G241" i="21" s="1"/>
  <c r="H240" i="21" a="1"/>
  <c r="H240" i="21" s="1"/>
  <c r="G240" i="21" a="1"/>
  <c r="G240" i="21" s="1"/>
  <c r="H239" i="21" a="1"/>
  <c r="H239" i="21" s="1"/>
  <c r="G239" i="21" a="1"/>
  <c r="G239" i="21" s="1"/>
  <c r="H238" i="21" a="1"/>
  <c r="H238" i="21" s="1"/>
  <c r="G238" i="21" a="1"/>
  <c r="G238" i="21" s="1"/>
  <c r="H237" i="21" a="1"/>
  <c r="H237" i="21" s="1"/>
  <c r="G237" i="21" a="1"/>
  <c r="G237" i="21" s="1"/>
  <c r="H236" i="21" a="1"/>
  <c r="H236" i="21" s="1"/>
  <c r="G236" i="21" a="1"/>
  <c r="G236" i="21" s="1"/>
  <c r="H235" i="21" a="1"/>
  <c r="H235" i="21" s="1"/>
  <c r="G235" i="21" a="1"/>
  <c r="G235" i="21" s="1"/>
  <c r="H234" i="21" a="1"/>
  <c r="H234" i="21" s="1"/>
  <c r="G234" i="21" a="1"/>
  <c r="G234" i="21" s="1"/>
  <c r="H233" i="21" a="1"/>
  <c r="H233" i="21" s="1"/>
  <c r="G233" i="21" a="1"/>
  <c r="G233" i="21" s="1"/>
  <c r="H232" i="21" a="1"/>
  <c r="H232" i="21" s="1"/>
  <c r="G232" i="21" a="1"/>
  <c r="G232" i="21" s="1"/>
  <c r="H231" i="21" a="1"/>
  <c r="H231" i="21" s="1"/>
  <c r="G231" i="21" a="1"/>
  <c r="G231" i="21" s="1"/>
  <c r="H230" i="21" a="1"/>
  <c r="H230" i="21" s="1"/>
  <c r="G230" i="21" a="1"/>
  <c r="G230" i="21" s="1"/>
  <c r="H229" i="21" a="1"/>
  <c r="H229" i="21" s="1"/>
  <c r="G229" i="21" a="1"/>
  <c r="G229" i="21" s="1"/>
  <c r="H228" i="21" a="1"/>
  <c r="H228" i="21" s="1"/>
  <c r="G228" i="21" a="1"/>
  <c r="G228" i="21" s="1"/>
  <c r="H227" i="21" a="1"/>
  <c r="H227" i="21" s="1"/>
  <c r="G227" i="21" a="1"/>
  <c r="G227" i="21" s="1"/>
  <c r="H226" i="21" a="1"/>
  <c r="H226" i="21" s="1"/>
  <c r="G226" i="21" a="1"/>
  <c r="G226" i="21" s="1"/>
  <c r="H225" i="21" a="1"/>
  <c r="H225" i="21" s="1"/>
  <c r="G225" i="21" a="1"/>
  <c r="G225" i="21" s="1"/>
  <c r="H224" i="21" a="1"/>
  <c r="H224" i="21" s="1"/>
  <c r="G224" i="21" a="1"/>
  <c r="G224" i="21" s="1"/>
  <c r="H223" i="21" a="1"/>
  <c r="H223" i="21" s="1"/>
  <c r="G223" i="21" a="1"/>
  <c r="G223" i="21" s="1"/>
  <c r="H222" i="21" a="1"/>
  <c r="H222" i="21" s="1"/>
  <c r="G222" i="21" a="1"/>
  <c r="G222" i="21" s="1"/>
  <c r="H221" i="21" a="1"/>
  <c r="H221" i="21" s="1"/>
  <c r="G221" i="21" a="1"/>
  <c r="G221" i="21" s="1"/>
  <c r="H220" i="21" a="1"/>
  <c r="H220" i="21" s="1"/>
  <c r="G220" i="21" a="1"/>
  <c r="G220" i="21" s="1"/>
  <c r="H219" i="21" a="1"/>
  <c r="H219" i="21" s="1"/>
  <c r="G219" i="21" a="1"/>
  <c r="G219" i="21" s="1"/>
  <c r="H218" i="21" a="1"/>
  <c r="H218" i="21" s="1"/>
  <c r="G218" i="21" a="1"/>
  <c r="G218" i="21" s="1"/>
  <c r="H217" i="21" a="1"/>
  <c r="H217" i="21" s="1"/>
  <c r="G217" i="21" a="1"/>
  <c r="G217" i="21" s="1"/>
  <c r="H216" i="21" a="1"/>
  <c r="H216" i="21" s="1"/>
  <c r="G216" i="21" a="1"/>
  <c r="G216" i="21" s="1"/>
  <c r="H215" i="21" a="1"/>
  <c r="H215" i="21" s="1"/>
  <c r="G215" i="21" a="1"/>
  <c r="G215" i="21" s="1"/>
  <c r="H214" i="21" a="1"/>
  <c r="H214" i="21" s="1"/>
  <c r="G214" i="21" a="1"/>
  <c r="G214" i="21" s="1"/>
  <c r="H213" i="21" a="1"/>
  <c r="H213" i="21" s="1"/>
  <c r="G213" i="21" a="1"/>
  <c r="G213" i="21" s="1"/>
  <c r="H212" i="21" a="1"/>
  <c r="H212" i="21" s="1"/>
  <c r="G212" i="21" a="1"/>
  <c r="G212" i="21" s="1"/>
  <c r="H211" i="21" a="1"/>
  <c r="H211" i="21" s="1"/>
  <c r="G211" i="21" a="1"/>
  <c r="G211" i="21" s="1"/>
  <c r="H210" i="21" a="1"/>
  <c r="H210" i="21" s="1"/>
  <c r="G210" i="21" a="1"/>
  <c r="G210" i="21" s="1"/>
  <c r="H209" i="21" a="1"/>
  <c r="H209" i="21" s="1"/>
  <c r="G209" i="21" a="1"/>
  <c r="G209" i="21" s="1"/>
  <c r="H208" i="21" a="1"/>
  <c r="H208" i="21" s="1"/>
  <c r="G208" i="21" a="1"/>
  <c r="G208" i="21" s="1"/>
  <c r="H207" i="21" a="1"/>
  <c r="H207" i="21" s="1"/>
  <c r="G207" i="21" a="1"/>
  <c r="G207" i="21" s="1"/>
  <c r="H206" i="21" a="1"/>
  <c r="H206" i="21" s="1"/>
  <c r="G206" i="21" a="1"/>
  <c r="G206" i="21" s="1"/>
  <c r="H205" i="21" a="1"/>
  <c r="H205" i="21" s="1"/>
  <c r="G205" i="21" a="1"/>
  <c r="G205" i="21" s="1"/>
  <c r="H204" i="21" a="1"/>
  <c r="H204" i="21" s="1"/>
  <c r="G204" i="21" a="1"/>
  <c r="G204" i="21" s="1"/>
  <c r="H203" i="21" a="1"/>
  <c r="H203" i="21" s="1"/>
  <c r="G203" i="21" a="1"/>
  <c r="G203" i="21" s="1"/>
  <c r="H202" i="21" a="1"/>
  <c r="H202" i="21" s="1"/>
  <c r="G202" i="21" a="1"/>
  <c r="G202" i="21" s="1"/>
  <c r="H201" i="21" a="1"/>
  <c r="H201" i="21" s="1"/>
  <c r="G201" i="21" a="1"/>
  <c r="G201" i="21" s="1"/>
  <c r="H200" i="21" a="1"/>
  <c r="H200" i="21" s="1"/>
  <c r="G200" i="21" a="1"/>
  <c r="G200" i="21" s="1"/>
  <c r="H199" i="21" a="1"/>
  <c r="H199" i="21" s="1"/>
  <c r="G199" i="21" a="1"/>
  <c r="G199" i="21" s="1"/>
  <c r="H198" i="21" a="1"/>
  <c r="H198" i="21" s="1"/>
  <c r="G198" i="21" a="1"/>
  <c r="G198" i="21" s="1"/>
  <c r="H197" i="21" a="1"/>
  <c r="H197" i="21" s="1"/>
  <c r="G197" i="21" a="1"/>
  <c r="G197" i="21" s="1"/>
  <c r="H196" i="21" a="1"/>
  <c r="H196" i="21" s="1"/>
  <c r="G196" i="21" a="1"/>
  <c r="G196" i="21" s="1"/>
  <c r="H195" i="21" a="1"/>
  <c r="H195" i="21" s="1"/>
  <c r="G195" i="21" a="1"/>
  <c r="G195" i="21" s="1"/>
  <c r="H194" i="21" a="1"/>
  <c r="H194" i="21" s="1"/>
  <c r="G194" i="21" a="1"/>
  <c r="G194" i="21" s="1"/>
  <c r="H193" i="21" a="1"/>
  <c r="H193" i="21" s="1"/>
  <c r="G193" i="21" a="1"/>
  <c r="G193" i="21" s="1"/>
  <c r="H192" i="21" a="1"/>
  <c r="H192" i="21" s="1"/>
  <c r="G192" i="21" a="1"/>
  <c r="G192" i="21" s="1"/>
  <c r="H191" i="21" a="1"/>
  <c r="H191" i="21" s="1"/>
  <c r="G191" i="21" a="1"/>
  <c r="G191" i="21" s="1"/>
  <c r="H190" i="21" a="1"/>
  <c r="H190" i="21" s="1"/>
  <c r="G190" i="21" a="1"/>
  <c r="G190" i="21" s="1"/>
  <c r="H189" i="21" a="1"/>
  <c r="H189" i="21" s="1"/>
  <c r="G189" i="21" a="1"/>
  <c r="G189" i="21" s="1"/>
  <c r="H188" i="21" a="1"/>
  <c r="H188" i="21" s="1"/>
  <c r="G188" i="21" a="1"/>
  <c r="G188" i="21" s="1"/>
  <c r="H187" i="21" a="1"/>
  <c r="H187" i="21" s="1"/>
  <c r="G187" i="21" a="1"/>
  <c r="G187" i="21" s="1"/>
  <c r="H186" i="21" a="1"/>
  <c r="H186" i="21" s="1"/>
  <c r="G186" i="21" a="1"/>
  <c r="G186" i="21" s="1"/>
  <c r="H185" i="21" a="1"/>
  <c r="H185" i="21" s="1"/>
  <c r="G185" i="21" a="1"/>
  <c r="G185" i="21" s="1"/>
  <c r="H184" i="21" a="1"/>
  <c r="H184" i="21" s="1"/>
  <c r="G184" i="21" a="1"/>
  <c r="G184" i="21" s="1"/>
  <c r="H183" i="21" a="1"/>
  <c r="H183" i="21" s="1"/>
  <c r="G183" i="21" a="1"/>
  <c r="G183" i="21" s="1"/>
  <c r="H182" i="21" a="1"/>
  <c r="H182" i="21" s="1"/>
  <c r="G182" i="21" a="1"/>
  <c r="G182" i="21" s="1"/>
  <c r="H181" i="21" a="1"/>
  <c r="H181" i="21" s="1"/>
  <c r="G181" i="21" a="1"/>
  <c r="G181" i="21" s="1"/>
  <c r="H180" i="21" a="1"/>
  <c r="H180" i="21" s="1"/>
  <c r="G180" i="21" a="1"/>
  <c r="G180" i="21" s="1"/>
  <c r="H179" i="21" a="1"/>
  <c r="H179" i="21" s="1"/>
  <c r="G179" i="21" a="1"/>
  <c r="G179" i="21" s="1"/>
  <c r="H178" i="21" a="1"/>
  <c r="H178" i="21" s="1"/>
  <c r="G178" i="21" a="1"/>
  <c r="G178" i="21" s="1"/>
  <c r="H177" i="21" a="1"/>
  <c r="H177" i="21" s="1"/>
  <c r="G177" i="21" a="1"/>
  <c r="G177" i="21" s="1"/>
  <c r="H176" i="21" a="1"/>
  <c r="H176" i="21" s="1"/>
  <c r="G176" i="21" a="1"/>
  <c r="G176" i="21" s="1"/>
  <c r="H175" i="21" a="1"/>
  <c r="H175" i="21" s="1"/>
  <c r="G175" i="21" a="1"/>
  <c r="G175" i="21" s="1"/>
  <c r="H174" i="21" a="1"/>
  <c r="H174" i="21" s="1"/>
  <c r="G174" i="21" a="1"/>
  <c r="G174" i="21" s="1"/>
  <c r="H173" i="21" a="1"/>
  <c r="H173" i="21" s="1"/>
  <c r="G173" i="21" a="1"/>
  <c r="G173" i="21" s="1"/>
  <c r="H172" i="21" a="1"/>
  <c r="H172" i="21" s="1"/>
  <c r="G172" i="21" a="1"/>
  <c r="G172" i="21" s="1"/>
  <c r="H171" i="21" a="1"/>
  <c r="H171" i="21" s="1"/>
  <c r="G171" i="21" a="1"/>
  <c r="G171" i="21" s="1"/>
  <c r="H170" i="21" a="1"/>
  <c r="H170" i="21" s="1"/>
  <c r="G170" i="21" a="1"/>
  <c r="G170" i="21" s="1"/>
  <c r="H169" i="21" a="1"/>
  <c r="H169" i="21" s="1"/>
  <c r="G169" i="21" a="1"/>
  <c r="G169" i="21" s="1"/>
  <c r="H168" i="21" a="1"/>
  <c r="H168" i="21" s="1"/>
  <c r="G168" i="21" a="1"/>
  <c r="G168" i="21" s="1"/>
  <c r="H167" i="21" a="1"/>
  <c r="H167" i="21" s="1"/>
  <c r="G167" i="21" a="1"/>
  <c r="G167" i="21" s="1"/>
  <c r="H166" i="21" a="1"/>
  <c r="H166" i="21" s="1"/>
  <c r="G166" i="21" a="1"/>
  <c r="G166" i="21" s="1"/>
  <c r="H165" i="21" a="1"/>
  <c r="H165" i="21" s="1"/>
  <c r="G165" i="21" a="1"/>
  <c r="G165" i="21" s="1"/>
  <c r="H164" i="21" a="1"/>
  <c r="H164" i="21" s="1"/>
  <c r="G164" i="21" a="1"/>
  <c r="G164" i="21" s="1"/>
  <c r="H163" i="21" a="1"/>
  <c r="H163" i="21" s="1"/>
  <c r="G163" i="21" a="1"/>
  <c r="G163" i="21" s="1"/>
  <c r="H162" i="21" a="1"/>
  <c r="H162" i="21" s="1"/>
  <c r="G162" i="21" a="1"/>
  <c r="G162" i="21" s="1"/>
  <c r="H161" i="21" a="1"/>
  <c r="H161" i="21" s="1"/>
  <c r="G161" i="21" a="1"/>
  <c r="G161" i="21" s="1"/>
  <c r="H160" i="21" a="1"/>
  <c r="H160" i="21" s="1"/>
  <c r="G160" i="21" a="1"/>
  <c r="G160" i="21" s="1"/>
  <c r="H159" i="21" a="1"/>
  <c r="H159" i="21" s="1"/>
  <c r="G159" i="21" a="1"/>
  <c r="G159" i="21" s="1"/>
  <c r="H158" i="21" a="1"/>
  <c r="H158" i="21" s="1"/>
  <c r="G158" i="21" a="1"/>
  <c r="G158" i="21" s="1"/>
  <c r="H157" i="21" a="1"/>
  <c r="H157" i="21" s="1"/>
  <c r="G157" i="21" a="1"/>
  <c r="G157" i="21" s="1"/>
  <c r="H156" i="21" a="1"/>
  <c r="H156" i="21" s="1"/>
  <c r="G156" i="21" a="1"/>
  <c r="G156" i="21" s="1"/>
  <c r="H155" i="21" a="1"/>
  <c r="H155" i="21" s="1"/>
  <c r="G155" i="21" a="1"/>
  <c r="G155" i="21" s="1"/>
  <c r="H154" i="21" a="1"/>
  <c r="H154" i="21" s="1"/>
  <c r="G154" i="21" a="1"/>
  <c r="G154" i="21" s="1"/>
  <c r="H153" i="21" a="1"/>
  <c r="H153" i="21" s="1"/>
  <c r="G153" i="21" a="1"/>
  <c r="G153" i="21" s="1"/>
  <c r="H152" i="21" a="1"/>
  <c r="H152" i="21" s="1"/>
  <c r="G152" i="21" a="1"/>
  <c r="G152" i="21" s="1"/>
  <c r="H151" i="21" a="1"/>
  <c r="H151" i="21" s="1"/>
  <c r="G151" i="21" a="1"/>
  <c r="G151" i="21" s="1"/>
  <c r="H150" i="21" a="1"/>
  <c r="H150" i="21" s="1"/>
  <c r="G150" i="21" a="1"/>
  <c r="G150" i="21" s="1"/>
  <c r="H149" i="21" a="1"/>
  <c r="H149" i="21" s="1"/>
  <c r="G149" i="21" a="1"/>
  <c r="G149" i="21" s="1"/>
  <c r="H148" i="21" a="1"/>
  <c r="H148" i="21" s="1"/>
  <c r="G148" i="21" a="1"/>
  <c r="G148" i="21" s="1"/>
  <c r="H147" i="21" a="1"/>
  <c r="H147" i="21" s="1"/>
  <c r="G147" i="21" a="1"/>
  <c r="G147" i="21" s="1"/>
  <c r="H146" i="21" a="1"/>
  <c r="H146" i="21" s="1"/>
  <c r="G146" i="21" a="1"/>
  <c r="G146" i="21" s="1"/>
  <c r="H145" i="21" a="1"/>
  <c r="H145" i="21" s="1"/>
  <c r="G145" i="21" a="1"/>
  <c r="G145" i="21" s="1"/>
  <c r="H144" i="21" a="1"/>
  <c r="H144" i="21" s="1"/>
  <c r="G144" i="21" a="1"/>
  <c r="G144" i="21" s="1"/>
  <c r="H143" i="21" a="1"/>
  <c r="H143" i="21" s="1"/>
  <c r="G143" i="21" a="1"/>
  <c r="G143" i="21" s="1"/>
  <c r="H142" i="21" a="1"/>
  <c r="H142" i="21" s="1"/>
  <c r="G142" i="21" a="1"/>
  <c r="G142" i="21" s="1"/>
  <c r="H141" i="21" a="1"/>
  <c r="H141" i="21" s="1"/>
  <c r="G141" i="21" a="1"/>
  <c r="G141" i="21" s="1"/>
  <c r="H140" i="21" a="1"/>
  <c r="H140" i="21" s="1"/>
  <c r="G140" i="21" a="1"/>
  <c r="G140" i="21" s="1"/>
  <c r="H139" i="21" a="1"/>
  <c r="H139" i="21" s="1"/>
  <c r="G139" i="21" a="1"/>
  <c r="G139" i="21" s="1"/>
  <c r="H138" i="21" a="1"/>
  <c r="H138" i="21" s="1"/>
  <c r="G138" i="21" a="1"/>
  <c r="G138" i="21" s="1"/>
  <c r="H137" i="21" a="1"/>
  <c r="H137" i="21" s="1"/>
  <c r="G137" i="21" a="1"/>
  <c r="G137" i="21" s="1"/>
  <c r="H136" i="21" a="1"/>
  <c r="H136" i="21" s="1"/>
  <c r="G136" i="21" a="1"/>
  <c r="G136" i="21" s="1"/>
  <c r="H135" i="21" a="1"/>
  <c r="H135" i="21" s="1"/>
  <c r="G135" i="21" a="1"/>
  <c r="G135" i="21" s="1"/>
  <c r="H134" i="21" a="1"/>
  <c r="H134" i="21" s="1"/>
  <c r="G134" i="21" a="1"/>
  <c r="G134" i="21" s="1"/>
  <c r="H133" i="21" a="1"/>
  <c r="H133" i="21" s="1"/>
  <c r="G133" i="21" a="1"/>
  <c r="G133" i="21" s="1"/>
  <c r="H132" i="21" a="1"/>
  <c r="H132" i="21" s="1"/>
  <c r="G132" i="21" a="1"/>
  <c r="G132" i="21" s="1"/>
  <c r="H131" i="21" a="1"/>
  <c r="H131" i="21" s="1"/>
  <c r="G131" i="21" a="1"/>
  <c r="G131" i="21" s="1"/>
  <c r="H130" i="21" a="1"/>
  <c r="H130" i="21" s="1"/>
  <c r="G130" i="21" a="1"/>
  <c r="G130" i="21" s="1"/>
  <c r="H129" i="21" a="1"/>
  <c r="H129" i="21" s="1"/>
  <c r="G129" i="21" a="1"/>
  <c r="G129" i="21" s="1"/>
  <c r="H128" i="21" a="1"/>
  <c r="H128" i="21" s="1"/>
  <c r="G128" i="21" a="1"/>
  <c r="G128" i="21" s="1"/>
  <c r="H127" i="21" a="1"/>
  <c r="H127" i="21" s="1"/>
  <c r="G127" i="21" a="1"/>
  <c r="G127" i="21" s="1"/>
  <c r="H126" i="21" a="1"/>
  <c r="H126" i="21" s="1"/>
  <c r="G126" i="21" a="1"/>
  <c r="G126" i="21" s="1"/>
  <c r="H125" i="21" a="1"/>
  <c r="H125" i="21" s="1"/>
  <c r="G125" i="21" a="1"/>
  <c r="G125" i="21" s="1"/>
  <c r="H124" i="21" a="1"/>
  <c r="H124" i="21" s="1"/>
  <c r="G124" i="21" a="1"/>
  <c r="G124" i="21" s="1"/>
  <c r="H123" i="21" a="1"/>
  <c r="H123" i="21" s="1"/>
  <c r="G123" i="21" a="1"/>
  <c r="G123" i="21" s="1"/>
  <c r="H122" i="21" a="1"/>
  <c r="H122" i="21" s="1"/>
  <c r="G122" i="21" a="1"/>
  <c r="G122" i="21" s="1"/>
  <c r="H121" i="21" a="1"/>
  <c r="H121" i="21" s="1"/>
  <c r="G121" i="21" a="1"/>
  <c r="G121" i="21" s="1"/>
  <c r="H120" i="21" a="1"/>
  <c r="H120" i="21" s="1"/>
  <c r="G120" i="21" a="1"/>
  <c r="G120" i="21" s="1"/>
  <c r="H119" i="21" a="1"/>
  <c r="H119" i="21" s="1"/>
  <c r="G119" i="21" a="1"/>
  <c r="G119" i="21" s="1"/>
  <c r="H118" i="21" a="1"/>
  <c r="H118" i="21" s="1"/>
  <c r="G118" i="21" a="1"/>
  <c r="G118" i="21" s="1"/>
  <c r="H117" i="21" a="1"/>
  <c r="H117" i="21" s="1"/>
  <c r="G117" i="21" a="1"/>
  <c r="G117" i="21" s="1"/>
  <c r="H116" i="21" a="1"/>
  <c r="H116" i="21" s="1"/>
  <c r="G116" i="21" a="1"/>
  <c r="G116" i="21" s="1"/>
  <c r="H115" i="21" a="1"/>
  <c r="H115" i="21" s="1"/>
  <c r="G115" i="21" a="1"/>
  <c r="G115" i="21" s="1"/>
  <c r="H114" i="21" a="1"/>
  <c r="H114" i="21" s="1"/>
  <c r="G114" i="21" a="1"/>
  <c r="G114" i="21" s="1"/>
  <c r="H113" i="21" a="1"/>
  <c r="H113" i="21" s="1"/>
  <c r="G113" i="21" a="1"/>
  <c r="G113" i="21" s="1"/>
  <c r="H112" i="21" a="1"/>
  <c r="H112" i="21" s="1"/>
  <c r="G112" i="21" a="1"/>
  <c r="G112" i="21" s="1"/>
  <c r="H111" i="21" a="1"/>
  <c r="H111" i="21" s="1"/>
  <c r="G111" i="21" a="1"/>
  <c r="G111" i="21" s="1"/>
  <c r="H110" i="21" a="1"/>
  <c r="H110" i="21" s="1"/>
  <c r="G110" i="21" a="1"/>
  <c r="G110" i="21" s="1"/>
  <c r="H109" i="21" a="1"/>
  <c r="H109" i="21" s="1"/>
  <c r="G109" i="21" a="1"/>
  <c r="G109" i="21" s="1"/>
  <c r="H108" i="21" a="1"/>
  <c r="H108" i="21" s="1"/>
  <c r="G108" i="21" a="1"/>
  <c r="G108" i="21" s="1"/>
  <c r="H107" i="21" a="1"/>
  <c r="H107" i="21" s="1"/>
  <c r="G107" i="21" a="1"/>
  <c r="G107" i="21" s="1"/>
  <c r="H106" i="21" a="1"/>
  <c r="H106" i="21" s="1"/>
  <c r="G106" i="21" a="1"/>
  <c r="G106" i="21" s="1"/>
  <c r="H105" i="21" a="1"/>
  <c r="H105" i="21" s="1"/>
  <c r="G105" i="21" a="1"/>
  <c r="G105" i="21" s="1"/>
  <c r="H104" i="21" a="1"/>
  <c r="H104" i="21" s="1"/>
  <c r="G104" i="21" a="1"/>
  <c r="G104" i="21" s="1"/>
  <c r="H103" i="21" a="1"/>
  <c r="H103" i="21" s="1"/>
  <c r="G103" i="21" a="1"/>
  <c r="G103" i="21" s="1"/>
  <c r="H102" i="21" a="1"/>
  <c r="H102" i="21" s="1"/>
  <c r="G102" i="21" a="1"/>
  <c r="G102" i="21" s="1"/>
  <c r="H101" i="21" a="1"/>
  <c r="H101" i="21" s="1"/>
  <c r="G101" i="21" a="1"/>
  <c r="G101" i="21" s="1"/>
  <c r="H100" i="21" a="1"/>
  <c r="H100" i="21" s="1"/>
  <c r="G100" i="21" a="1"/>
  <c r="G100" i="21" s="1"/>
  <c r="H99" i="21" a="1"/>
  <c r="H99" i="21" s="1"/>
  <c r="G99" i="21" a="1"/>
  <c r="G99" i="21" s="1"/>
  <c r="H98" i="21" a="1"/>
  <c r="H98" i="21" s="1"/>
  <c r="G98" i="21" a="1"/>
  <c r="G98" i="21" s="1"/>
  <c r="H97" i="21" a="1"/>
  <c r="H97" i="21" s="1"/>
  <c r="G97" i="21" a="1"/>
  <c r="G97" i="21" s="1"/>
  <c r="H96" i="21" a="1"/>
  <c r="H96" i="21" s="1"/>
  <c r="G96" i="21" a="1"/>
  <c r="G96" i="21" s="1"/>
  <c r="H95" i="21" a="1"/>
  <c r="H95" i="21" s="1"/>
  <c r="G95" i="21" a="1"/>
  <c r="G95" i="21" s="1"/>
  <c r="H94" i="21" a="1"/>
  <c r="H94" i="21" s="1"/>
  <c r="G94" i="21" a="1"/>
  <c r="G94" i="21" s="1"/>
  <c r="H93" i="21" a="1"/>
  <c r="H93" i="21" s="1"/>
  <c r="G93" i="21" a="1"/>
  <c r="G93" i="21" s="1"/>
  <c r="H92" i="21" a="1"/>
  <c r="H92" i="21" s="1"/>
  <c r="G92" i="21" a="1"/>
  <c r="G92" i="21" s="1"/>
  <c r="H91" i="21" a="1"/>
  <c r="H91" i="21" s="1"/>
  <c r="G91" i="21" a="1"/>
  <c r="G91" i="21" s="1"/>
  <c r="H90" i="21" a="1"/>
  <c r="H90" i="21" s="1"/>
  <c r="G90" i="21" a="1"/>
  <c r="G90" i="21" s="1"/>
  <c r="H89" i="21" a="1"/>
  <c r="H89" i="21" s="1"/>
  <c r="G89" i="21" a="1"/>
  <c r="G89" i="21" s="1"/>
  <c r="H88" i="21" a="1"/>
  <c r="H88" i="21" s="1"/>
  <c r="G88" i="21" a="1"/>
  <c r="G88" i="21" s="1"/>
  <c r="H87" i="21" a="1"/>
  <c r="H87" i="21" s="1"/>
  <c r="G87" i="21" a="1"/>
  <c r="G87" i="21" s="1"/>
  <c r="H86" i="21" a="1"/>
  <c r="H86" i="21" s="1"/>
  <c r="G86" i="21" a="1"/>
  <c r="G86" i="21" s="1"/>
  <c r="H85" i="21" a="1"/>
  <c r="H85" i="21" s="1"/>
  <c r="G85" i="21" a="1"/>
  <c r="G85" i="21" s="1"/>
  <c r="H84" i="21" a="1"/>
  <c r="H84" i="21" s="1"/>
  <c r="G84" i="21" a="1"/>
  <c r="G84" i="21" s="1"/>
  <c r="H83" i="21" a="1"/>
  <c r="H83" i="21" s="1"/>
  <c r="G83" i="21" a="1"/>
  <c r="G83" i="21" s="1"/>
  <c r="H82" i="21" a="1"/>
  <c r="H82" i="21" s="1"/>
  <c r="G82" i="21" a="1"/>
  <c r="G82" i="21" s="1"/>
  <c r="H81" i="21" a="1"/>
  <c r="H81" i="21" s="1"/>
  <c r="G81" i="21" a="1"/>
  <c r="G81" i="21" s="1"/>
  <c r="H80" i="21" a="1"/>
  <c r="H80" i="21" s="1"/>
  <c r="G80" i="21" a="1"/>
  <c r="G80" i="21" s="1"/>
  <c r="H79" i="21" a="1"/>
  <c r="H79" i="21" s="1"/>
  <c r="G79" i="21" a="1"/>
  <c r="G79" i="21" s="1"/>
  <c r="H78" i="21" a="1"/>
  <c r="H78" i="21" s="1"/>
  <c r="G78" i="21" a="1"/>
  <c r="G78" i="21" s="1"/>
  <c r="H77" i="21" a="1"/>
  <c r="H77" i="21" s="1"/>
  <c r="G77" i="21" a="1"/>
  <c r="G77" i="21" s="1"/>
  <c r="H76" i="21" a="1"/>
  <c r="H76" i="21" s="1"/>
  <c r="G76" i="21" a="1"/>
  <c r="G76" i="21" s="1"/>
  <c r="H75" i="21" a="1"/>
  <c r="H75" i="21" s="1"/>
  <c r="G75" i="21" a="1"/>
  <c r="G75" i="21" s="1"/>
  <c r="H74" i="21" a="1"/>
  <c r="H74" i="21" s="1"/>
  <c r="G74" i="21" a="1"/>
  <c r="G74" i="21" s="1"/>
  <c r="H73" i="21" a="1"/>
  <c r="H73" i="21" s="1"/>
  <c r="G73" i="21" a="1"/>
  <c r="G73" i="21" s="1"/>
  <c r="H72" i="21" a="1"/>
  <c r="H72" i="21" s="1"/>
  <c r="G72" i="21" a="1"/>
  <c r="G72" i="21" s="1"/>
  <c r="H71" i="21" a="1"/>
  <c r="H71" i="21" s="1"/>
  <c r="G71" i="21" a="1"/>
  <c r="G71" i="21" s="1"/>
  <c r="H70" i="21" a="1"/>
  <c r="H70" i="21" s="1"/>
  <c r="G70" i="21" a="1"/>
  <c r="G70" i="21" s="1"/>
  <c r="H69" i="21" a="1"/>
  <c r="H69" i="21" s="1"/>
  <c r="G69" i="21" a="1"/>
  <c r="G69" i="21" s="1"/>
  <c r="H68" i="21" a="1"/>
  <c r="H68" i="21" s="1"/>
  <c r="G68" i="21" a="1"/>
  <c r="G68" i="21" s="1"/>
  <c r="H67" i="21" a="1"/>
  <c r="H67" i="21" s="1"/>
  <c r="G67" i="21" a="1"/>
  <c r="G67" i="21" s="1"/>
  <c r="H66" i="21" a="1"/>
  <c r="H66" i="21" s="1"/>
  <c r="G66" i="21" a="1"/>
  <c r="G66" i="21" s="1"/>
  <c r="H65" i="21" a="1"/>
  <c r="H65" i="21" s="1"/>
  <c r="G65" i="21" a="1"/>
  <c r="G65" i="21" s="1"/>
  <c r="H64" i="21" a="1"/>
  <c r="H64" i="21" s="1"/>
  <c r="G64" i="21" a="1"/>
  <c r="G64" i="21" s="1"/>
  <c r="H63" i="21" a="1"/>
  <c r="H63" i="21" s="1"/>
  <c r="G63" i="21" a="1"/>
  <c r="G63" i="21" s="1"/>
  <c r="H62" i="21" a="1"/>
  <c r="H62" i="21" s="1"/>
  <c r="G62" i="21" a="1"/>
  <c r="G62" i="21" s="1"/>
  <c r="H61" i="21" a="1"/>
  <c r="H61" i="21" s="1"/>
  <c r="G61" i="21" a="1"/>
  <c r="G61" i="21" s="1"/>
  <c r="H60" i="21" a="1"/>
  <c r="H60" i="21" s="1"/>
  <c r="G60" i="21" a="1"/>
  <c r="G60" i="21" s="1"/>
  <c r="H59" i="21" a="1"/>
  <c r="H59" i="21" s="1"/>
  <c r="G59" i="21" a="1"/>
  <c r="G59" i="21" s="1"/>
  <c r="H58" i="21" a="1"/>
  <c r="H58" i="21" s="1"/>
  <c r="G58" i="21" a="1"/>
  <c r="G58" i="21" s="1"/>
  <c r="H57" i="21" a="1"/>
  <c r="H57" i="21" s="1"/>
  <c r="G57" i="21" a="1"/>
  <c r="G57" i="21" s="1"/>
  <c r="H56" i="21" a="1"/>
  <c r="H56" i="21" s="1"/>
  <c r="G56" i="21" a="1"/>
  <c r="G56" i="21" s="1"/>
  <c r="H55" i="21" a="1"/>
  <c r="H55" i="21" s="1"/>
  <c r="G55" i="21" a="1"/>
  <c r="G55" i="21" s="1"/>
  <c r="H54" i="21" a="1"/>
  <c r="H54" i="21" s="1"/>
  <c r="G54" i="21" a="1"/>
  <c r="G54" i="21" s="1"/>
  <c r="H53" i="21" a="1"/>
  <c r="H53" i="21" s="1"/>
  <c r="G53" i="21" a="1"/>
  <c r="G53" i="21" s="1"/>
  <c r="H52" i="21" a="1"/>
  <c r="H52" i="21" s="1"/>
  <c r="G52" i="21" a="1"/>
  <c r="G52" i="21" s="1"/>
  <c r="H51" i="21" a="1"/>
  <c r="H51" i="21" s="1"/>
  <c r="G51" i="21" a="1"/>
  <c r="G51" i="21" s="1"/>
  <c r="H50" i="21" a="1"/>
  <c r="H50" i="21" s="1"/>
  <c r="G50" i="21" a="1"/>
  <c r="G50" i="21" s="1"/>
  <c r="H49" i="21" a="1"/>
  <c r="H49" i="21" s="1"/>
  <c r="G49" i="21" a="1"/>
  <c r="G49" i="21" s="1"/>
  <c r="H48" i="21" a="1"/>
  <c r="H48" i="21" s="1"/>
  <c r="G48" i="21" a="1"/>
  <c r="G48" i="21" s="1"/>
  <c r="H47" i="21" a="1"/>
  <c r="H47" i="21" s="1"/>
  <c r="G47" i="21" a="1"/>
  <c r="G47" i="21" s="1"/>
  <c r="H46" i="21" a="1"/>
  <c r="H46" i="21" s="1"/>
  <c r="G46" i="21" a="1"/>
  <c r="G46" i="21" s="1"/>
  <c r="H45" i="21" a="1"/>
  <c r="H45" i="21" s="1"/>
  <c r="G45" i="21" a="1"/>
  <c r="G45" i="21" s="1"/>
  <c r="H44" i="21" a="1"/>
  <c r="H44" i="21" s="1"/>
  <c r="G44" i="21" a="1"/>
  <c r="G44" i="21" s="1"/>
  <c r="H43" i="21" a="1"/>
  <c r="H43" i="21" s="1"/>
  <c r="G43" i="21" a="1"/>
  <c r="G43" i="21" s="1"/>
  <c r="H42" i="21" a="1"/>
  <c r="H42" i="21" s="1"/>
  <c r="G42" i="21" a="1"/>
  <c r="G42" i="21" s="1"/>
  <c r="H41" i="21" a="1"/>
  <c r="H41" i="21" s="1"/>
  <c r="G41" i="21" a="1"/>
  <c r="G41" i="21" s="1"/>
  <c r="H40" i="21" a="1"/>
  <c r="H40" i="21" s="1"/>
  <c r="G40" i="21" a="1"/>
  <c r="G40" i="21" s="1"/>
  <c r="H39" i="21" a="1"/>
  <c r="H39" i="21" s="1"/>
  <c r="G39" i="21" a="1"/>
  <c r="G39" i="21" s="1"/>
  <c r="H38" i="21" a="1"/>
  <c r="H38" i="21" s="1"/>
  <c r="G38" i="21" a="1"/>
  <c r="G38" i="21" s="1"/>
  <c r="H37" i="21" a="1"/>
  <c r="H37" i="21" s="1"/>
  <c r="G37" i="21" a="1"/>
  <c r="G37" i="21" s="1"/>
  <c r="H36" i="21" a="1"/>
  <c r="H36" i="21" s="1"/>
  <c r="G36" i="21" a="1"/>
  <c r="G36" i="21" s="1"/>
  <c r="H35" i="21" a="1"/>
  <c r="H35" i="21" s="1"/>
  <c r="G35" i="21" a="1"/>
  <c r="G35" i="21" s="1"/>
  <c r="H34" i="21" a="1"/>
  <c r="H34" i="21" s="1"/>
  <c r="G34" i="21" a="1"/>
  <c r="G34" i="21" s="1"/>
  <c r="H33" i="21" a="1"/>
  <c r="H33" i="21" s="1"/>
  <c r="G33" i="21" a="1"/>
  <c r="G33" i="21" s="1"/>
  <c r="H32" i="21" a="1"/>
  <c r="H32" i="21" s="1"/>
  <c r="G32" i="21" a="1"/>
  <c r="G32" i="21" s="1"/>
  <c r="H31" i="21" a="1"/>
  <c r="H31" i="21" s="1"/>
  <c r="G31" i="21" a="1"/>
  <c r="G31" i="21" s="1"/>
  <c r="H30" i="21" a="1"/>
  <c r="H30" i="21" s="1"/>
  <c r="G30" i="21" a="1"/>
  <c r="G30" i="21" s="1"/>
  <c r="H29" i="21" a="1"/>
  <c r="H29" i="21" s="1"/>
  <c r="G29" i="21" a="1"/>
  <c r="G29" i="21" s="1"/>
  <c r="H28" i="21" a="1"/>
  <c r="H28" i="21" s="1"/>
  <c r="G28" i="21" a="1"/>
  <c r="G28" i="21" s="1"/>
  <c r="H27" i="21" a="1"/>
  <c r="H27" i="21" s="1"/>
  <c r="G27" i="21" a="1"/>
  <c r="G27" i="21" s="1"/>
  <c r="H26" i="21" a="1"/>
  <c r="H26" i="21" s="1"/>
  <c r="G26" i="21" a="1"/>
  <c r="G26" i="21" s="1"/>
  <c r="H25" i="21" a="1"/>
  <c r="H25" i="21" s="1"/>
  <c r="G25" i="21" a="1"/>
  <c r="G25" i="21" s="1"/>
  <c r="H24" i="21" a="1"/>
  <c r="H24" i="21" s="1"/>
  <c r="G24" i="21" a="1"/>
  <c r="G24" i="21" s="1"/>
  <c r="H23" i="21" a="1"/>
  <c r="H23" i="21" s="1"/>
  <c r="G23" i="21" a="1"/>
  <c r="G23" i="21" s="1"/>
  <c r="H22" i="21" a="1"/>
  <c r="H22" i="21" s="1"/>
  <c r="G22" i="21" a="1"/>
  <c r="G22" i="21" s="1"/>
  <c r="H21" i="21" a="1"/>
  <c r="H21" i="21" s="1"/>
  <c r="G21" i="21" a="1"/>
  <c r="G21" i="21" s="1"/>
  <c r="H20" i="21" a="1"/>
  <c r="H20" i="21" s="1"/>
  <c r="G20" i="21" a="1"/>
  <c r="G20" i="21" s="1"/>
  <c r="H19" i="21" a="1"/>
  <c r="H19" i="21" s="1"/>
  <c r="G19" i="21" a="1"/>
  <c r="G19" i="21" s="1"/>
  <c r="H18" i="21" a="1"/>
  <c r="H18" i="21" s="1"/>
  <c r="G18" i="21" a="1"/>
  <c r="G18" i="21" s="1"/>
  <c r="H17" i="21" a="1"/>
  <c r="H17" i="21" s="1"/>
  <c r="G17" i="21" a="1"/>
  <c r="G17" i="21" s="1"/>
  <c r="H16" i="21" a="1"/>
  <c r="H16" i="21" s="1"/>
  <c r="G16" i="21" a="1"/>
  <c r="G16" i="21" s="1"/>
  <c r="H15" i="21" a="1"/>
  <c r="H15" i="21" s="1"/>
  <c r="G15" i="21" a="1"/>
  <c r="G15" i="21" s="1"/>
  <c r="H14" i="21" a="1"/>
  <c r="H14" i="21" s="1"/>
  <c r="G14" i="21" a="1"/>
  <c r="G14" i="21" s="1"/>
  <c r="H13" i="21" a="1"/>
  <c r="H13" i="21" s="1"/>
  <c r="G13" i="21" a="1"/>
  <c r="G13" i="21" s="1"/>
  <c r="H12" i="21" a="1"/>
  <c r="H12" i="21" s="1"/>
  <c r="G12" i="21" a="1"/>
  <c r="G12" i="21" s="1"/>
  <c r="H11" i="21" a="1"/>
  <c r="H11" i="21" s="1"/>
  <c r="G11" i="21" a="1"/>
  <c r="G11" i="21" s="1"/>
  <c r="H10" i="21" a="1"/>
  <c r="H10" i="21" s="1"/>
  <c r="G10" i="21" a="1"/>
  <c r="G10" i="21" s="1"/>
  <c r="H9" i="21" a="1"/>
  <c r="H9" i="21" s="1"/>
  <c r="G9" i="21" a="1"/>
  <c r="G9" i="21" s="1"/>
  <c r="H8" i="21" a="1"/>
  <c r="H8" i="21" s="1"/>
  <c r="G8" i="21" a="1"/>
  <c r="G8" i="21" s="1"/>
  <c r="H7" i="21" a="1"/>
  <c r="H7" i="21" s="1"/>
  <c r="G7" i="21" a="1"/>
  <c r="G7" i="21" s="1"/>
  <c r="H6" i="21" a="1"/>
  <c r="H6" i="21" s="1"/>
  <c r="G6" i="21" a="1"/>
  <c r="G6" i="21" s="1"/>
  <c r="H5" i="21" a="1"/>
  <c r="H5" i="21" s="1"/>
  <c r="G5" i="21" a="1"/>
  <c r="G5" i="21" s="1"/>
  <c r="H4" i="21" a="1"/>
  <c r="H4" i="21" s="1"/>
  <c r="G4" i="21" a="1"/>
  <c r="G4" i="21" s="1"/>
  <c r="H3" i="21" a="1"/>
  <c r="H3" i="21" s="1"/>
  <c r="G3" i="21" a="1"/>
  <c r="G3" i="21" s="1"/>
  <c r="G217" i="2" a="1"/>
  <c r="G217" i="2" s="1"/>
  <c r="H217" i="2" a="1"/>
  <c r="H217" i="2" s="1"/>
  <c r="G112" i="2" a="1"/>
  <c r="G112" i="2" s="1"/>
  <c r="H112" i="2" a="1"/>
  <c r="H112" i="2" s="1"/>
  <c r="G136" i="2" a="1"/>
  <c r="G136" i="2" s="1"/>
  <c r="H136" i="2" a="1"/>
  <c r="H136" i="2" s="1"/>
  <c r="G151" i="2" a="1"/>
  <c r="G151" i="2" s="1"/>
  <c r="H151" i="2" a="1"/>
  <c r="H151" i="2" s="1"/>
  <c r="H141" i="2" a="1"/>
  <c r="H141" i="2" s="1"/>
  <c r="G141" i="2" a="1"/>
  <c r="G141" i="2" s="1"/>
  <c r="H195" i="2" a="1"/>
  <c r="H195" i="2" s="1"/>
  <c r="G195" i="2" a="1"/>
  <c r="G195" i="2" s="1"/>
  <c r="H257" i="2" l="1" a="1"/>
  <c r="H257" i="2" s="1"/>
  <c r="G257" i="2" a="1"/>
  <c r="G257" i="2" s="1"/>
  <c r="G121" i="2" l="1" a="1"/>
  <c r="G121" i="2" s="1"/>
  <c r="H121" i="2" a="1"/>
  <c r="H121" i="2" s="1"/>
  <c r="G120" i="2" a="1"/>
  <c r="G120" i="2" s="1"/>
  <c r="H120" i="2" a="1"/>
  <c r="H120" i="2" s="1"/>
  <c r="H162" i="2" a="1"/>
  <c r="H162" i="2" s="1"/>
  <c r="G162" i="2" a="1"/>
  <c r="G162" i="2" s="1"/>
  <c r="H161" i="2" a="1"/>
  <c r="H161" i="2" s="1"/>
  <c r="G161" i="2" a="1"/>
  <c r="G161" i="2" s="1"/>
  <c r="G118" i="2" a="1"/>
  <c r="G118" i="2" s="1"/>
  <c r="H118" i="2" a="1"/>
  <c r="H118" i="2" s="1"/>
  <c r="G286" i="2" a="1"/>
  <c r="G286" i="2" s="1"/>
  <c r="H286" i="2" a="1"/>
  <c r="H286" i="2" s="1"/>
  <c r="G123" i="2" a="1"/>
  <c r="G123" i="2" s="1"/>
  <c r="H123" i="2" a="1"/>
  <c r="H123" i="2" s="1"/>
  <c r="G4" i="2" l="1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 s="1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9" i="2" a="1"/>
  <c r="G119" i="2" s="1"/>
  <c r="G122" i="2" a="1"/>
  <c r="G122" i="2" s="1"/>
  <c r="G124" i="2" a="1"/>
  <c r="G124" i="2" s="1"/>
  <c r="G125" i="2" a="1"/>
  <c r="G125" i="2" s="1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7" i="2" a="1"/>
  <c r="G137" i="2" s="1"/>
  <c r="G138" i="2" a="1"/>
  <c r="G138" i="2" s="1"/>
  <c r="G139" i="2" a="1"/>
  <c r="G139" i="2" s="1"/>
  <c r="G140" i="2" a="1"/>
  <c r="G140" i="2" s="1"/>
  <c r="G142" i="2" a="1"/>
  <c r="G142" i="2" s="1"/>
  <c r="G143" i="2" a="1"/>
  <c r="G143" i="2" s="1"/>
  <c r="G144" i="2" a="1"/>
  <c r="G144" i="2" s="1"/>
  <c r="G145" i="2" a="1"/>
  <c r="G145" i="2" s="1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2" i="2" a="1"/>
  <c r="G152" i="2" s="1"/>
  <c r="G153" i="2" a="1"/>
  <c r="G153" i="2" s="1"/>
  <c r="G154" i="2" a="1"/>
  <c r="G154" i="2" s="1"/>
  <c r="G155" i="2" a="1"/>
  <c r="G155" i="2" s="1"/>
  <c r="G156" i="2" a="1"/>
  <c r="G156" i="2" s="1"/>
  <c r="G157" i="2" a="1"/>
  <c r="G157" i="2" s="1"/>
  <c r="G158" i="2" a="1"/>
  <c r="G158" i="2" s="1"/>
  <c r="G159" i="2" a="1"/>
  <c r="G159" i="2" s="1"/>
  <c r="G160" i="2" a="1"/>
  <c r="G160" i="2" s="1"/>
  <c r="G163" i="2" a="1"/>
  <c r="G163" i="2" s="1"/>
  <c r="G164" i="2" a="1"/>
  <c r="G164" i="2" s="1"/>
  <c r="G165" i="2" a="1"/>
  <c r="G165" i="2" s="1"/>
  <c r="G166" i="2" a="1"/>
  <c r="G166" i="2" s="1"/>
  <c r="G167" i="2" a="1"/>
  <c r="G167" i="2" s="1"/>
  <c r="G168" i="2" a="1"/>
  <c r="G168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 s="1"/>
  <c r="G174" i="2" a="1"/>
  <c r="G174" i="2" s="1"/>
  <c r="G175" i="2" a="1"/>
  <c r="G175" i="2" s="1"/>
  <c r="G176" i="2" a="1"/>
  <c r="G176" i="2" s="1"/>
  <c r="G177" i="2" a="1"/>
  <c r="G177" i="2" s="1"/>
  <c r="G178" i="2" a="1"/>
  <c r="G178" i="2" s="1"/>
  <c r="G179" i="2" a="1"/>
  <c r="G179" i="2" s="1"/>
  <c r="G180" i="2" a="1"/>
  <c r="G180" i="2" s="1"/>
  <c r="G181" i="2" a="1"/>
  <c r="G181" i="2" s="1"/>
  <c r="G182" i="2" a="1"/>
  <c r="G182" i="2" s="1"/>
  <c r="G183" i="2" a="1"/>
  <c r="G183" i="2" s="1"/>
  <c r="G184" i="2" a="1"/>
  <c r="G184" i="2" s="1"/>
  <c r="G185" i="2" a="1"/>
  <c r="G185" i="2" s="1"/>
  <c r="G186" i="2" a="1"/>
  <c r="G186" i="2" s="1"/>
  <c r="G187" i="2" a="1"/>
  <c r="G187" i="2" s="1"/>
  <c r="G188" i="2" a="1"/>
  <c r="G188" i="2" s="1"/>
  <c r="G189" i="2" a="1"/>
  <c r="G189" i="2" s="1"/>
  <c r="G190" i="2" a="1"/>
  <c r="G190" i="2" s="1"/>
  <c r="G191" i="2" a="1"/>
  <c r="G191" i="2" s="1"/>
  <c r="G192" i="2" a="1"/>
  <c r="G192" i="2" s="1"/>
  <c r="G193" i="2" a="1"/>
  <c r="G193" i="2" s="1"/>
  <c r="G194" i="2" a="1"/>
  <c r="G194" i="2" s="1"/>
  <c r="G196" i="2" a="1"/>
  <c r="G196" i="2" s="1"/>
  <c r="G197" i="2" a="1"/>
  <c r="G197" i="2" s="1"/>
  <c r="G198" i="2" a="1"/>
  <c r="G198" i="2" s="1"/>
  <c r="G199" i="2" a="1"/>
  <c r="G199" i="2" s="1"/>
  <c r="G200" i="2" a="1"/>
  <c r="G200" i="2" s="1"/>
  <c r="G201" i="2" a="1"/>
  <c r="G201" i="2" s="1"/>
  <c r="G202" i="2" a="1"/>
  <c r="G202" i="2" s="1"/>
  <c r="G203" i="2" a="1"/>
  <c r="G203" i="2" s="1"/>
  <c r="G204" i="2" a="1"/>
  <c r="G204" i="2" s="1"/>
  <c r="G205" i="2" a="1"/>
  <c r="G205" i="2" s="1"/>
  <c r="G206" i="2" a="1"/>
  <c r="G206" i="2" s="1"/>
  <c r="G207" i="2" a="1"/>
  <c r="G207" i="2" s="1"/>
  <c r="G208" i="2" a="1"/>
  <c r="G208" i="2" s="1"/>
  <c r="G209" i="2" a="1"/>
  <c r="G209" i="2" s="1"/>
  <c r="G210" i="2" a="1"/>
  <c r="G210" i="2" s="1"/>
  <c r="G211" i="2" a="1"/>
  <c r="G211" i="2" s="1"/>
  <c r="G212" i="2" a="1"/>
  <c r="G212" i="2" s="1"/>
  <c r="G213" i="2" a="1"/>
  <c r="G213" i="2" s="1"/>
  <c r="G214" i="2" a="1"/>
  <c r="G214" i="2" s="1"/>
  <c r="G215" i="2" a="1"/>
  <c r="G215" i="2" s="1"/>
  <c r="G216" i="2" a="1"/>
  <c r="G216" i="2" s="1"/>
  <c r="G218" i="2" a="1"/>
  <c r="G218" i="2" s="1"/>
  <c r="G219" i="2" a="1"/>
  <c r="G219" i="2" s="1"/>
  <c r="G220" i="2" a="1"/>
  <c r="G220" i="2" s="1"/>
  <c r="G221" i="2" a="1"/>
  <c r="G221" i="2" s="1"/>
  <c r="G222" i="2" a="1"/>
  <c r="G222" i="2" s="1"/>
  <c r="G223" i="2" a="1"/>
  <c r="G223" i="2" s="1"/>
  <c r="G224" i="2" a="1"/>
  <c r="G224" i="2" s="1"/>
  <c r="G225" i="2" a="1"/>
  <c r="G225" i="2" s="1"/>
  <c r="G226" i="2" a="1"/>
  <c r="G226" i="2" s="1"/>
  <c r="G227" i="2" a="1"/>
  <c r="G227" i="2" s="1"/>
  <c r="G228" i="2" a="1"/>
  <c r="G228" i="2" s="1"/>
  <c r="G229" i="2" a="1"/>
  <c r="G229" i="2" s="1"/>
  <c r="G230" i="2" a="1"/>
  <c r="G230" i="2" s="1"/>
  <c r="G231" i="2" a="1"/>
  <c r="G231" i="2" s="1"/>
  <c r="G232" i="2" a="1"/>
  <c r="G232" i="2" s="1"/>
  <c r="G233" i="2" a="1"/>
  <c r="G233" i="2" s="1"/>
  <c r="G234" i="2" a="1"/>
  <c r="G234" i="2" s="1"/>
  <c r="G235" i="2" a="1"/>
  <c r="G235" i="2" s="1"/>
  <c r="G236" i="2" a="1"/>
  <c r="G236" i="2" s="1"/>
  <c r="G237" i="2" a="1"/>
  <c r="G237" i="2" s="1"/>
  <c r="G238" i="2" a="1"/>
  <c r="G238" i="2" s="1"/>
  <c r="G239" i="2" a="1"/>
  <c r="G239" i="2" s="1"/>
  <c r="G240" i="2" a="1"/>
  <c r="G240" i="2" s="1"/>
  <c r="G241" i="2" a="1"/>
  <c r="G241" i="2" s="1"/>
  <c r="G242" i="2" a="1"/>
  <c r="G242" i="2" s="1"/>
  <c r="G243" i="2" a="1"/>
  <c r="G243" i="2" s="1"/>
  <c r="G244" i="2" a="1"/>
  <c r="G244" i="2" s="1"/>
  <c r="G245" i="2" a="1"/>
  <c r="G245" i="2" s="1"/>
  <c r="G246" i="2" a="1"/>
  <c r="G246" i="2" s="1"/>
  <c r="G247" i="2" a="1"/>
  <c r="G247" i="2" s="1"/>
  <c r="G248" i="2" a="1"/>
  <c r="G248" i="2" s="1"/>
  <c r="G249" i="2" a="1"/>
  <c r="G249" i="2" s="1"/>
  <c r="G250" i="2" a="1"/>
  <c r="G250" i="2" s="1"/>
  <c r="G251" i="2" a="1"/>
  <c r="G251" i="2" s="1"/>
  <c r="G252" i="2" a="1"/>
  <c r="G252" i="2" s="1"/>
  <c r="G253" i="2" a="1"/>
  <c r="G253" i="2" s="1"/>
  <c r="G254" i="2" a="1"/>
  <c r="G254" i="2" s="1"/>
  <c r="G255" i="2" a="1"/>
  <c r="G255" i="2" s="1"/>
  <c r="G256" i="2" a="1"/>
  <c r="G256" i="2" s="1"/>
  <c r="G258" i="2" a="1"/>
  <c r="G258" i="2" s="1"/>
  <c r="G259" i="2" a="1"/>
  <c r="G259" i="2" s="1"/>
  <c r="G260" i="2" a="1"/>
  <c r="G260" i="2" s="1"/>
  <c r="G261" i="2" a="1"/>
  <c r="G261" i="2" s="1"/>
  <c r="G262" i="2" a="1"/>
  <c r="G262" i="2" s="1"/>
  <c r="G263" i="2" a="1"/>
  <c r="G263" i="2" s="1"/>
  <c r="G264" i="2" a="1"/>
  <c r="G264" i="2" s="1"/>
  <c r="G265" i="2" a="1"/>
  <c r="G265" i="2" s="1"/>
  <c r="G266" i="2" a="1"/>
  <c r="G266" i="2" s="1"/>
  <c r="G267" i="2" a="1"/>
  <c r="G267" i="2" s="1"/>
  <c r="G268" i="2" a="1"/>
  <c r="G268" i="2" s="1"/>
  <c r="G269" i="2" a="1"/>
  <c r="G269" i="2" s="1"/>
  <c r="G270" i="2" a="1"/>
  <c r="G270" i="2" s="1"/>
  <c r="G271" i="2" a="1"/>
  <c r="G271" i="2" s="1"/>
  <c r="G272" i="2" a="1"/>
  <c r="G272" i="2" s="1"/>
  <c r="G273" i="2" a="1"/>
  <c r="G273" i="2" s="1"/>
  <c r="G274" i="2" a="1"/>
  <c r="G274" i="2" s="1"/>
  <c r="G275" i="2" a="1"/>
  <c r="G275" i="2" s="1"/>
  <c r="G276" i="2" a="1"/>
  <c r="G276" i="2" s="1"/>
  <c r="G277" i="2" a="1"/>
  <c r="G277" i="2" s="1"/>
  <c r="G278" i="2" a="1"/>
  <c r="G278" i="2" s="1"/>
  <c r="G279" i="2" a="1"/>
  <c r="G279" i="2" s="1"/>
  <c r="G280" i="2" a="1"/>
  <c r="G280" i="2" s="1"/>
  <c r="G281" i="2" a="1"/>
  <c r="G281" i="2" s="1"/>
  <c r="G282" i="2" a="1"/>
  <c r="G282" i="2" s="1"/>
  <c r="G283" i="2" a="1"/>
  <c r="G283" i="2" s="1"/>
  <c r="G284" i="2" a="1"/>
  <c r="G284" i="2" s="1"/>
  <c r="G285" i="2" a="1"/>
  <c r="G285" i="2" s="1"/>
  <c r="G287" i="2" a="1"/>
  <c r="G287" i="2" s="1"/>
  <c r="G288" i="2" a="1"/>
  <c r="G288" i="2" s="1"/>
  <c r="G289" i="2" a="1"/>
  <c r="G289" i="2" s="1"/>
  <c r="G290" i="2" a="1"/>
  <c r="G290" i="2" s="1"/>
  <c r="G291" i="2" a="1"/>
  <c r="G291" i="2" s="1"/>
  <c r="G292" i="2" a="1"/>
  <c r="G292" i="2" s="1"/>
  <c r="G293" i="2" a="1"/>
  <c r="G293" i="2" s="1"/>
  <c r="G294" i="2" a="1"/>
  <c r="G294" i="2" s="1"/>
  <c r="G295" i="2" a="1"/>
  <c r="G295" i="2" s="1"/>
  <c r="G296" i="2" a="1"/>
  <c r="G296" i="2" s="1"/>
  <c r="G297" i="2" a="1"/>
  <c r="G297" i="2" s="1"/>
  <c r="G298" i="2" a="1"/>
  <c r="G298" i="2" s="1"/>
  <c r="G299" i="2" a="1"/>
  <c r="G299" i="2" s="1"/>
  <c r="G300" i="2" a="1"/>
  <c r="G300" i="2" s="1"/>
  <c r="G301" i="2" a="1"/>
  <c r="G301" i="2" s="1"/>
  <c r="G302" i="2" a="1"/>
  <c r="G302" i="2" s="1"/>
  <c r="G303" i="2" a="1"/>
  <c r="G303" i="2" s="1"/>
  <c r="G304" i="2" a="1"/>
  <c r="G304" i="2" s="1"/>
  <c r="G305" i="2" a="1"/>
  <c r="G305" i="2" s="1"/>
  <c r="G306" i="2" a="1"/>
  <c r="G306" i="2" s="1"/>
  <c r="G307" i="2" a="1"/>
  <c r="G307" i="2" s="1"/>
  <c r="G308" i="2" a="1"/>
  <c r="G308" i="2" s="1"/>
  <c r="G309" i="2" a="1"/>
  <c r="G309" i="2" s="1"/>
  <c r="G310" i="2" a="1"/>
  <c r="G310" i="2" s="1"/>
  <c r="G311" i="2" a="1"/>
  <c r="G311" i="2" s="1"/>
  <c r="G312" i="2" a="1"/>
  <c r="G312" i="2" s="1"/>
  <c r="G313" i="2" a="1"/>
  <c r="G313" i="2" s="1"/>
  <c r="G314" i="2" a="1"/>
  <c r="G314" i="2" s="1"/>
  <c r="G315" i="2" a="1"/>
  <c r="G315" i="2" s="1"/>
  <c r="G316" i="2" a="1"/>
  <c r="G316" i="2" s="1"/>
  <c r="G317" i="2" a="1"/>
  <c r="G317" i="2" s="1"/>
  <c r="G318" i="2" a="1"/>
  <c r="G318" i="2" s="1"/>
  <c r="G3" i="2" a="1"/>
  <c r="G3" i="2" s="1"/>
  <c r="H318" i="2" a="1"/>
  <c r="H318" i="2" s="1"/>
  <c r="H317" i="2" a="1"/>
  <c r="H317" i="2" s="1"/>
  <c r="H316" i="2" a="1"/>
  <c r="H316" i="2" s="1"/>
  <c r="H315" i="2" a="1"/>
  <c r="H315" i="2" s="1"/>
  <c r="H314" i="2" a="1"/>
  <c r="H314" i="2" s="1"/>
  <c r="H313" i="2" a="1"/>
  <c r="H313" i="2" s="1"/>
  <c r="H312" i="2" a="1"/>
  <c r="H312" i="2" s="1"/>
  <c r="H311" i="2" a="1"/>
  <c r="H311" i="2" s="1"/>
  <c r="H310" i="2" a="1"/>
  <c r="H310" i="2" s="1"/>
  <c r="H309" i="2" a="1"/>
  <c r="H309" i="2" s="1"/>
  <c r="H308" i="2" a="1"/>
  <c r="H308" i="2" s="1"/>
  <c r="H307" i="2" a="1"/>
  <c r="H307" i="2" s="1"/>
  <c r="H306" i="2" a="1"/>
  <c r="H306" i="2" s="1"/>
  <c r="H305" i="2" a="1"/>
  <c r="H305" i="2" s="1"/>
  <c r="H304" i="2" a="1"/>
  <c r="H304" i="2" s="1"/>
  <c r="H303" i="2" a="1"/>
  <c r="H303" i="2" s="1"/>
  <c r="H302" i="2" a="1"/>
  <c r="H302" i="2" s="1"/>
  <c r="H301" i="2" a="1"/>
  <c r="H301" i="2" s="1"/>
  <c r="H300" i="2" a="1"/>
  <c r="H300" i="2" s="1"/>
  <c r="H299" i="2" a="1"/>
  <c r="H299" i="2" s="1"/>
  <c r="H298" i="2" a="1"/>
  <c r="H298" i="2" s="1"/>
  <c r="H297" i="2" a="1"/>
  <c r="H297" i="2" s="1"/>
  <c r="H296" i="2" a="1"/>
  <c r="H296" i="2" s="1"/>
  <c r="H295" i="2" a="1"/>
  <c r="H295" i="2" s="1"/>
  <c r="H294" i="2" a="1"/>
  <c r="H294" i="2" s="1"/>
  <c r="H293" i="2" a="1"/>
  <c r="H293" i="2" s="1"/>
  <c r="H292" i="2" a="1"/>
  <c r="H292" i="2" s="1"/>
  <c r="H291" i="2" a="1"/>
  <c r="H291" i="2" s="1"/>
  <c r="H290" i="2" a="1"/>
  <c r="H290" i="2" s="1"/>
  <c r="H289" i="2" a="1"/>
  <c r="H289" i="2" s="1"/>
  <c r="H288" i="2" a="1"/>
  <c r="H288" i="2" s="1"/>
  <c r="H287" i="2" a="1"/>
  <c r="H287" i="2" s="1"/>
  <c r="H285" i="2" a="1"/>
  <c r="H285" i="2" s="1"/>
  <c r="H284" i="2" a="1"/>
  <c r="H284" i="2" s="1"/>
  <c r="H283" i="2" a="1"/>
  <c r="H283" i="2" s="1"/>
  <c r="H282" i="2" a="1"/>
  <c r="H282" i="2" s="1"/>
  <c r="H281" i="2" a="1"/>
  <c r="H281" i="2" s="1"/>
  <c r="H280" i="2" a="1"/>
  <c r="H280" i="2" s="1"/>
  <c r="H279" i="2" a="1"/>
  <c r="H279" i="2" s="1"/>
  <c r="H278" i="2" a="1"/>
  <c r="H278" i="2" s="1"/>
  <c r="H277" i="2" a="1"/>
  <c r="H277" i="2" s="1"/>
  <c r="H276" i="2" a="1"/>
  <c r="H276" i="2" s="1"/>
  <c r="H275" i="2" a="1"/>
  <c r="H275" i="2" s="1"/>
  <c r="H274" i="2" a="1"/>
  <c r="H274" i="2" s="1"/>
  <c r="H273" i="2" a="1"/>
  <c r="H273" i="2" s="1"/>
  <c r="H272" i="2" a="1"/>
  <c r="H272" i="2" s="1"/>
  <c r="H271" i="2" a="1"/>
  <c r="H271" i="2" s="1"/>
  <c r="H270" i="2" a="1"/>
  <c r="H270" i="2" s="1"/>
  <c r="H269" i="2" a="1"/>
  <c r="H269" i="2" s="1"/>
  <c r="H268" i="2" a="1"/>
  <c r="H268" i="2" s="1"/>
  <c r="H267" i="2" a="1"/>
  <c r="H267" i="2" s="1"/>
  <c r="H266" i="2" a="1"/>
  <c r="H266" i="2" s="1"/>
  <c r="H265" i="2" a="1"/>
  <c r="H265" i="2" s="1"/>
  <c r="H264" i="2" a="1"/>
  <c r="H264" i="2" s="1"/>
  <c r="H263" i="2" a="1"/>
  <c r="H263" i="2" s="1"/>
  <c r="H262" i="2" a="1"/>
  <c r="H262" i="2" s="1"/>
  <c r="H261" i="2" a="1"/>
  <c r="H261" i="2" s="1"/>
  <c r="H260" i="2" a="1"/>
  <c r="H260" i="2" s="1"/>
  <c r="H259" i="2" a="1"/>
  <c r="H259" i="2" s="1"/>
  <c r="H258" i="2" a="1"/>
  <c r="H258" i="2" s="1"/>
  <c r="H256" i="2" a="1"/>
  <c r="H256" i="2" s="1"/>
  <c r="H255" i="2" a="1"/>
  <c r="H255" i="2" s="1"/>
  <c r="H254" i="2" a="1"/>
  <c r="H254" i="2" s="1"/>
  <c r="H253" i="2" a="1"/>
  <c r="H253" i="2" s="1"/>
  <c r="H252" i="2" a="1"/>
  <c r="H252" i="2" s="1"/>
  <c r="H251" i="2" a="1"/>
  <c r="H251" i="2" s="1"/>
  <c r="H250" i="2" a="1"/>
  <c r="H250" i="2" s="1"/>
  <c r="H249" i="2" a="1"/>
  <c r="H249" i="2" s="1"/>
  <c r="H248" i="2" a="1"/>
  <c r="H248" i="2" s="1"/>
  <c r="H247" i="2" a="1"/>
  <c r="H247" i="2" s="1"/>
  <c r="H246" i="2" a="1"/>
  <c r="H246" i="2" s="1"/>
  <c r="H245" i="2" a="1"/>
  <c r="H245" i="2" s="1"/>
  <c r="H244" i="2" a="1"/>
  <c r="H244" i="2" s="1"/>
  <c r="H243" i="2" a="1"/>
  <c r="H243" i="2" s="1"/>
  <c r="H242" i="2" a="1"/>
  <c r="H242" i="2" s="1"/>
  <c r="H241" i="2" a="1"/>
  <c r="H241" i="2" s="1"/>
  <c r="H240" i="2" a="1"/>
  <c r="H240" i="2" s="1"/>
  <c r="H239" i="2" a="1"/>
  <c r="H239" i="2" s="1"/>
  <c r="H238" i="2" a="1"/>
  <c r="H238" i="2" s="1"/>
  <c r="H237" i="2" a="1"/>
  <c r="H237" i="2" s="1"/>
  <c r="H236" i="2" a="1"/>
  <c r="H236" i="2" s="1"/>
  <c r="H235" i="2" a="1"/>
  <c r="H235" i="2" s="1"/>
  <c r="H234" i="2" a="1"/>
  <c r="H234" i="2" s="1"/>
  <c r="H233" i="2" a="1"/>
  <c r="H233" i="2" s="1"/>
  <c r="H232" i="2" a="1"/>
  <c r="H232" i="2" s="1"/>
  <c r="H231" i="2" a="1"/>
  <c r="H231" i="2" s="1"/>
  <c r="H230" i="2" a="1"/>
  <c r="H230" i="2" s="1"/>
  <c r="H229" i="2" a="1"/>
  <c r="H229" i="2" s="1"/>
  <c r="H228" i="2" a="1"/>
  <c r="H228" i="2" s="1"/>
  <c r="H227" i="2" a="1"/>
  <c r="H227" i="2" s="1"/>
  <c r="H226" i="2" a="1"/>
  <c r="H226" i="2" s="1"/>
  <c r="H225" i="2" a="1"/>
  <c r="H225" i="2" s="1"/>
  <c r="H224" i="2" a="1"/>
  <c r="H224" i="2" s="1"/>
  <c r="H223" i="2" a="1"/>
  <c r="H223" i="2" s="1"/>
  <c r="H222" i="2" a="1"/>
  <c r="H222" i="2" s="1"/>
  <c r="H221" i="2" a="1"/>
  <c r="H221" i="2" s="1"/>
  <c r="H220" i="2" a="1"/>
  <c r="H220" i="2" s="1"/>
  <c r="H219" i="2" a="1"/>
  <c r="H219" i="2" s="1"/>
  <c r="H218" i="2" a="1"/>
  <c r="H218" i="2" s="1"/>
  <c r="H216" i="2" a="1"/>
  <c r="H216" i="2" s="1"/>
  <c r="H215" i="2" a="1"/>
  <c r="H215" i="2" s="1"/>
  <c r="H214" i="2" a="1"/>
  <c r="H214" i="2" s="1"/>
  <c r="H213" i="2" a="1"/>
  <c r="H213" i="2" s="1"/>
  <c r="H212" i="2" a="1"/>
  <c r="H212" i="2" s="1"/>
  <c r="H211" i="2" a="1"/>
  <c r="H211" i="2" s="1"/>
  <c r="H210" i="2" a="1"/>
  <c r="H210" i="2" s="1"/>
  <c r="H209" i="2" a="1"/>
  <c r="H209" i="2" s="1"/>
  <c r="H208" i="2" a="1"/>
  <c r="H208" i="2" s="1"/>
  <c r="H207" i="2" a="1"/>
  <c r="H207" i="2" s="1"/>
  <c r="H206" i="2" a="1"/>
  <c r="H206" i="2" s="1"/>
  <c r="H205" i="2" a="1"/>
  <c r="H205" i="2" s="1"/>
  <c r="H204" i="2" a="1"/>
  <c r="H204" i="2" s="1"/>
  <c r="H203" i="2" a="1"/>
  <c r="H203" i="2" s="1"/>
  <c r="H202" i="2" a="1"/>
  <c r="H202" i="2" s="1"/>
  <c r="H201" i="2" a="1"/>
  <c r="H201" i="2" s="1"/>
  <c r="H200" i="2" a="1"/>
  <c r="H200" i="2" s="1"/>
  <c r="H199" i="2" a="1"/>
  <c r="H199" i="2" s="1"/>
  <c r="H198" i="2" a="1"/>
  <c r="H198" i="2" s="1"/>
  <c r="H197" i="2" a="1"/>
  <c r="H197" i="2" s="1"/>
  <c r="H196" i="2" a="1"/>
  <c r="H196" i="2" s="1"/>
  <c r="H194" i="2" a="1"/>
  <c r="H194" i="2" s="1"/>
  <c r="H193" i="2" a="1"/>
  <c r="H193" i="2" s="1"/>
  <c r="H192" i="2" a="1"/>
  <c r="H192" i="2" s="1"/>
  <c r="H191" i="2" a="1"/>
  <c r="H191" i="2" s="1"/>
  <c r="H190" i="2" a="1"/>
  <c r="H190" i="2" s="1"/>
  <c r="H189" i="2" a="1"/>
  <c r="H189" i="2" s="1"/>
  <c r="H188" i="2" a="1"/>
  <c r="H188" i="2" s="1"/>
  <c r="H187" i="2" a="1"/>
  <c r="H187" i="2" s="1"/>
  <c r="H186" i="2" a="1"/>
  <c r="H186" i="2" s="1"/>
  <c r="H185" i="2" a="1"/>
  <c r="H185" i="2" s="1"/>
  <c r="H184" i="2" a="1"/>
  <c r="H184" i="2" s="1"/>
  <c r="H183" i="2" a="1"/>
  <c r="H183" i="2" s="1"/>
  <c r="H182" i="2" a="1"/>
  <c r="H182" i="2" s="1"/>
  <c r="H181" i="2" a="1"/>
  <c r="H181" i="2" s="1"/>
  <c r="H180" i="2" a="1"/>
  <c r="H180" i="2" s="1"/>
  <c r="H179" i="2" a="1"/>
  <c r="H179" i="2" s="1"/>
  <c r="H178" i="2" a="1"/>
  <c r="H178" i="2" s="1"/>
  <c r="H177" i="2" a="1"/>
  <c r="H177" i="2" s="1"/>
  <c r="H176" i="2" a="1"/>
  <c r="H176" i="2" s="1"/>
  <c r="H175" i="2" a="1"/>
  <c r="H175" i="2" s="1"/>
  <c r="H174" i="2" a="1"/>
  <c r="H174" i="2" s="1"/>
  <c r="H173" i="2" a="1"/>
  <c r="H173" i="2" s="1"/>
  <c r="H172" i="2" a="1"/>
  <c r="H172" i="2" s="1"/>
  <c r="H171" i="2" a="1"/>
  <c r="H171" i="2" s="1"/>
  <c r="H170" i="2" a="1"/>
  <c r="H170" i="2" s="1"/>
  <c r="H169" i="2" a="1"/>
  <c r="H169" i="2" s="1"/>
  <c r="H168" i="2" a="1"/>
  <c r="H168" i="2" s="1"/>
  <c r="H167" i="2" a="1"/>
  <c r="H167" i="2" s="1"/>
  <c r="H166" i="2" a="1"/>
  <c r="H166" i="2" s="1"/>
  <c r="H165" i="2" a="1"/>
  <c r="H165" i="2" s="1"/>
  <c r="H164" i="2" a="1"/>
  <c r="H164" i="2" s="1"/>
  <c r="H163" i="2" a="1"/>
  <c r="H163" i="2" s="1"/>
  <c r="H160" i="2" a="1"/>
  <c r="H160" i="2" s="1"/>
  <c r="H159" i="2" a="1"/>
  <c r="H159" i="2" s="1"/>
  <c r="H158" i="2" a="1"/>
  <c r="H158" i="2" s="1"/>
  <c r="H157" i="2" a="1"/>
  <c r="H157" i="2" s="1"/>
  <c r="H156" i="2" a="1"/>
  <c r="H156" i="2" s="1"/>
  <c r="H155" i="2" a="1"/>
  <c r="H155" i="2" s="1"/>
  <c r="H154" i="2" a="1"/>
  <c r="H154" i="2" s="1"/>
  <c r="H153" i="2" a="1"/>
  <c r="H153" i="2" s="1"/>
  <c r="H152" i="2" a="1"/>
  <c r="H152" i="2" s="1"/>
  <c r="H150" i="2" a="1"/>
  <c r="H150" i="2" s="1"/>
  <c r="H149" i="2" a="1"/>
  <c r="H149" i="2" s="1"/>
  <c r="H148" i="2" a="1"/>
  <c r="H148" i="2" s="1"/>
  <c r="H147" i="2" a="1"/>
  <c r="H147" i="2" s="1"/>
  <c r="H146" i="2" a="1"/>
  <c r="H146" i="2" s="1"/>
  <c r="H145" i="2" a="1"/>
  <c r="H145" i="2" s="1"/>
  <c r="H144" i="2" a="1"/>
  <c r="H144" i="2" s="1"/>
  <c r="H143" i="2" a="1"/>
  <c r="H143" i="2" s="1"/>
  <c r="H142" i="2" a="1"/>
  <c r="H142" i="2" s="1"/>
  <c r="H140" i="2" a="1"/>
  <c r="H140" i="2" s="1"/>
  <c r="H139" i="2" a="1"/>
  <c r="H139" i="2" s="1"/>
  <c r="H138" i="2" a="1"/>
  <c r="H138" i="2" s="1"/>
  <c r="H137" i="2" a="1"/>
  <c r="H137" i="2" s="1"/>
  <c r="H135" i="2" a="1"/>
  <c r="H135" i="2" s="1"/>
  <c r="H134" i="2" a="1"/>
  <c r="H134" i="2" s="1"/>
  <c r="H133" i="2" a="1"/>
  <c r="H133" i="2" s="1"/>
  <c r="H132" i="2" a="1"/>
  <c r="H132" i="2" s="1"/>
  <c r="H131" i="2" a="1"/>
  <c r="H131" i="2" s="1"/>
  <c r="H130" i="2" a="1"/>
  <c r="H130" i="2" s="1"/>
  <c r="H129" i="2" a="1"/>
  <c r="H129" i="2" s="1"/>
  <c r="H128" i="2" a="1"/>
  <c r="H128" i="2" s="1"/>
  <c r="H127" i="2" a="1"/>
  <c r="H127" i="2" s="1"/>
  <c r="H126" i="2" a="1"/>
  <c r="H126" i="2" s="1"/>
  <c r="H125" i="2" a="1"/>
  <c r="H125" i="2" s="1"/>
  <c r="H124" i="2" a="1"/>
  <c r="H124" i="2" s="1"/>
  <c r="H122" i="2" a="1"/>
  <c r="H122" i="2" s="1"/>
  <c r="H119" i="2" a="1"/>
  <c r="H119" i="2" s="1"/>
  <c r="H117" i="2" a="1"/>
  <c r="H117" i="2" s="1"/>
  <c r="H116" i="2" a="1"/>
  <c r="H116" i="2" s="1"/>
  <c r="H115" i="2" a="1"/>
  <c r="H115" i="2" s="1"/>
  <c r="H114" i="2" a="1"/>
  <c r="H114" i="2" s="1"/>
  <c r="H113" i="2" a="1"/>
  <c r="H113" i="2" s="1"/>
  <c r="H111" i="2" a="1"/>
  <c r="H111" i="2" s="1"/>
  <c r="H110" i="2" a="1"/>
  <c r="H110" i="2" s="1"/>
  <c r="H109" i="2" a="1"/>
  <c r="H109" i="2" s="1"/>
  <c r="H108" i="2" a="1"/>
  <c r="H108" i="2" s="1"/>
  <c r="H107" i="2" a="1"/>
  <c r="H107" i="2" s="1"/>
  <c r="H106" i="2" a="1"/>
  <c r="H106" i="2" s="1"/>
  <c r="H105" i="2" a="1"/>
  <c r="H105" i="2" s="1"/>
  <c r="H104" i="2" a="1"/>
  <c r="H104" i="2" s="1"/>
  <c r="H103" i="2" a="1"/>
  <c r="H103" i="2" s="1"/>
  <c r="H102" i="2" a="1"/>
  <c r="H102" i="2" s="1"/>
  <c r="H101" i="2" a="1"/>
  <c r="H101" i="2" s="1"/>
  <c r="H100" i="2" a="1"/>
  <c r="H100" i="2" s="1"/>
  <c r="H99" i="2" a="1"/>
  <c r="H99" i="2" s="1"/>
  <c r="H98" i="2" a="1"/>
  <c r="H98" i="2" s="1"/>
  <c r="H97" i="2" a="1"/>
  <c r="H97" i="2" s="1"/>
  <c r="H96" i="2" a="1"/>
  <c r="H96" i="2" s="1"/>
  <c r="H95" i="2" a="1"/>
  <c r="H95" i="2" s="1"/>
  <c r="H94" i="2" a="1"/>
  <c r="H94" i="2" s="1"/>
  <c r="H93" i="2" a="1"/>
  <c r="H93" i="2" s="1"/>
  <c r="H92" i="2" a="1"/>
  <c r="H92" i="2" s="1"/>
  <c r="H91" i="2" a="1"/>
  <c r="H91" i="2" s="1"/>
  <c r="H90" i="2" a="1"/>
  <c r="H90" i="2" s="1"/>
  <c r="H89" i="2" a="1"/>
  <c r="H89" i="2" s="1"/>
  <c r="H88" i="2" a="1"/>
  <c r="H88" i="2" s="1"/>
  <c r="H87" i="2" a="1"/>
  <c r="H87" i="2" s="1"/>
  <c r="H86" i="2" a="1"/>
  <c r="H86" i="2" s="1"/>
  <c r="H85" i="2" a="1"/>
  <c r="H85" i="2" s="1"/>
  <c r="H84" i="2" a="1"/>
  <c r="H84" i="2" s="1"/>
  <c r="H83" i="2" a="1"/>
  <c r="H83" i="2" s="1"/>
  <c r="H80" i="2" a="1"/>
  <c r="H80" i="2" s="1"/>
  <c r="H79" i="2" a="1"/>
  <c r="H79" i="2" s="1"/>
  <c r="H78" i="2" a="1"/>
  <c r="H78" i="2" s="1"/>
  <c r="H77" i="2" a="1"/>
  <c r="H77" i="2" s="1"/>
  <c r="H76" i="2" a="1"/>
  <c r="H76" i="2" s="1"/>
  <c r="H75" i="2" a="1"/>
  <c r="H75" i="2" s="1"/>
  <c r="H74" i="2" a="1"/>
  <c r="H74" i="2" s="1"/>
  <c r="H73" i="2" a="1"/>
  <c r="H73" i="2" s="1"/>
  <c r="H72" i="2" a="1"/>
  <c r="H72" i="2" s="1"/>
  <c r="H71" i="2" a="1"/>
  <c r="H71" i="2" s="1"/>
  <c r="H70" i="2" a="1"/>
  <c r="H70" i="2" s="1"/>
  <c r="H69" i="2" a="1"/>
  <c r="H69" i="2" s="1"/>
  <c r="H68" i="2" a="1"/>
  <c r="H68" i="2" s="1"/>
  <c r="H67" i="2" a="1"/>
  <c r="H67" i="2" s="1"/>
  <c r="H66" i="2" a="1"/>
  <c r="H66" i="2" s="1"/>
  <c r="H65" i="2" a="1"/>
  <c r="H65" i="2" s="1"/>
  <c r="H64" i="2" a="1"/>
  <c r="H64" i="2" s="1"/>
  <c r="H63" i="2" a="1"/>
  <c r="H63" i="2" s="1"/>
  <c r="H62" i="2" a="1"/>
  <c r="H62" i="2" s="1"/>
  <c r="H61" i="2" a="1"/>
  <c r="H61" i="2" s="1"/>
  <c r="H60" i="2" a="1"/>
  <c r="H60" i="2" s="1"/>
  <c r="H59" i="2" a="1"/>
  <c r="H59" i="2" s="1"/>
  <c r="H58" i="2" a="1"/>
  <c r="H58" i="2" s="1"/>
  <c r="H57" i="2" a="1"/>
  <c r="H57" i="2" s="1"/>
  <c r="H56" i="2" a="1"/>
  <c r="H56" i="2" s="1"/>
  <c r="H55" i="2" a="1"/>
  <c r="H55" i="2" s="1"/>
  <c r="H54" i="2" a="1"/>
  <c r="H54" i="2" s="1"/>
  <c r="H53" i="2" a="1"/>
  <c r="H53" i="2" s="1"/>
  <c r="H52" i="2" a="1"/>
  <c r="H52" i="2" s="1"/>
  <c r="H51" i="2" a="1"/>
  <c r="H51" i="2" s="1"/>
  <c r="H50" i="2" a="1"/>
  <c r="H50" i="2" s="1"/>
  <c r="H49" i="2" a="1"/>
  <c r="H49" i="2" s="1"/>
  <c r="H48" i="2" a="1"/>
  <c r="H48" i="2" s="1"/>
  <c r="H47" i="2" a="1"/>
  <c r="H47" i="2" s="1"/>
  <c r="H46" i="2" a="1"/>
  <c r="H46" i="2" s="1"/>
  <c r="H45" i="2" a="1"/>
  <c r="H45" i="2" s="1"/>
  <c r="H44" i="2" a="1"/>
  <c r="H44" i="2" s="1"/>
  <c r="H43" i="2" a="1"/>
  <c r="H43" i="2" s="1"/>
  <c r="H42" i="2" a="1"/>
  <c r="H42" i="2" s="1"/>
  <c r="H41" i="2" a="1"/>
  <c r="H41" i="2" s="1"/>
  <c r="H40" i="2" a="1"/>
  <c r="H40" i="2" s="1"/>
  <c r="H39" i="2" a="1"/>
  <c r="H39" i="2" s="1"/>
  <c r="H38" i="2" a="1"/>
  <c r="H38" i="2" s="1"/>
  <c r="H37" i="2" a="1"/>
  <c r="H37" i="2" s="1"/>
  <c r="H36" i="2" a="1"/>
  <c r="H36" i="2" s="1"/>
  <c r="H35" i="2" a="1"/>
  <c r="H35" i="2" s="1"/>
  <c r="H34" i="2" a="1"/>
  <c r="H34" i="2" s="1"/>
  <c r="H33" i="2" a="1"/>
  <c r="H33" i="2" s="1"/>
  <c r="H32" i="2" a="1"/>
  <c r="H32" i="2" s="1"/>
  <c r="H31" i="2" a="1"/>
  <c r="H31" i="2" s="1"/>
  <c r="H30" i="2" a="1"/>
  <c r="H30" i="2" s="1"/>
  <c r="H29" i="2" a="1"/>
  <c r="H29" i="2" s="1"/>
  <c r="H28" i="2" a="1"/>
  <c r="H28" i="2" s="1"/>
  <c r="H27" i="2" a="1"/>
  <c r="H27" i="2" s="1"/>
  <c r="H26" i="2" a="1"/>
  <c r="H26" i="2" s="1"/>
  <c r="H25" i="2" a="1"/>
  <c r="H25" i="2" s="1"/>
  <c r="H24" i="2" a="1"/>
  <c r="H24" i="2" s="1"/>
  <c r="H23" i="2" a="1"/>
  <c r="H23" i="2" s="1"/>
  <c r="H22" i="2" a="1"/>
  <c r="H22" i="2" s="1"/>
  <c r="H21" i="2" a="1"/>
  <c r="H21" i="2" s="1"/>
  <c r="H20" i="2" a="1"/>
  <c r="H20" i="2" s="1"/>
  <c r="H19" i="2" a="1"/>
  <c r="H19" i="2" s="1"/>
  <c r="H18" i="2" a="1"/>
  <c r="H18" i="2" s="1"/>
  <c r="H17" i="2" a="1"/>
  <c r="H17" i="2" s="1"/>
  <c r="H16" i="2" a="1"/>
  <c r="H16" i="2" s="1"/>
  <c r="H15" i="2" a="1"/>
  <c r="H15" i="2" s="1"/>
  <c r="H14" i="2" a="1"/>
  <c r="H14" i="2" s="1"/>
  <c r="H13" i="2" a="1"/>
  <c r="H13" i="2" s="1"/>
  <c r="H12" i="2" a="1"/>
  <c r="H12" i="2" s="1"/>
  <c r="H11" i="2" a="1"/>
  <c r="H11" i="2" s="1"/>
  <c r="H10" i="2" a="1"/>
  <c r="H10" i="2" s="1"/>
  <c r="H9" i="2" a="1"/>
  <c r="H9" i="2" s="1"/>
  <c r="H8" i="2" a="1"/>
  <c r="H8" i="2" s="1"/>
  <c r="H7" i="2" a="1"/>
  <c r="H7" i="2" s="1"/>
  <c r="H6" i="2" a="1"/>
  <c r="H6" i="2" s="1"/>
  <c r="H5" i="2" a="1"/>
  <c r="H5" i="2" s="1"/>
  <c r="H4" i="2" a="1"/>
  <c r="H4" i="2" s="1"/>
  <c r="H3" i="2" a="1"/>
  <c r="H3" i="2" s="1"/>
  <c r="BY1" i="9" l="1"/>
  <c r="BH1" i="9" l="1"/>
  <c r="AA1" i="9" l="1"/>
  <c r="O1" i="9"/>
  <c r="P1" i="9"/>
  <c r="Q1" i="9"/>
  <c r="R1" i="9"/>
  <c r="U1" i="9"/>
  <c r="V1" i="9"/>
  <c r="X1" i="9"/>
  <c r="Y1" i="9"/>
  <c r="AB1" i="9"/>
  <c r="AC1" i="9"/>
  <c r="AD1" i="9"/>
  <c r="AE1" i="9"/>
  <c r="AF1" i="9"/>
  <c r="AH1" i="9"/>
  <c r="AI1" i="9"/>
  <c r="AJ1" i="9"/>
  <c r="AK1" i="9"/>
  <c r="AL1" i="9"/>
  <c r="AM1" i="9"/>
  <c r="AO1" i="9"/>
  <c r="AP1" i="9"/>
  <c r="AQ1" i="9"/>
  <c r="AR1" i="9"/>
  <c r="AS1" i="9"/>
  <c r="AT1" i="9"/>
  <c r="AV1" i="9"/>
  <c r="AW1" i="9"/>
  <c r="AX1" i="9"/>
  <c r="AY1" i="9"/>
  <c r="AZ1" i="9"/>
  <c r="BA1" i="9"/>
  <c r="BC1" i="9"/>
  <c r="BD1" i="9"/>
  <c r="BE1" i="9"/>
  <c r="BF1" i="9"/>
  <c r="BG1" i="9"/>
  <c r="BJ1" i="9"/>
  <c r="BK1" i="9"/>
  <c r="BL1" i="9"/>
  <c r="BM1" i="9"/>
  <c r="BN1" i="9"/>
  <c r="BO1" i="9"/>
  <c r="BQ1" i="9"/>
  <c r="BR1" i="9"/>
  <c r="BS1" i="9"/>
  <c r="BT1" i="9"/>
  <c r="BU1" i="9"/>
  <c r="BV1" i="9"/>
  <c r="BX1" i="9"/>
  <c r="BZ1" i="9"/>
  <c r="CA1" i="9"/>
  <c r="CB1" i="9"/>
  <c r="CC1" i="9"/>
  <c r="CE1" i="9"/>
  <c r="CF1" i="9"/>
  <c r="CG1" i="9"/>
  <c r="CH1" i="9"/>
  <c r="CI1" i="9"/>
  <c r="CJ1" i="9"/>
  <c r="CL1" i="9"/>
  <c r="CM1" i="9"/>
  <c r="CN1" i="9"/>
  <c r="CO1" i="9"/>
  <c r="CP1" i="9"/>
  <c r="CQ1" i="9"/>
  <c r="CS1" i="9"/>
  <c r="CT1" i="9"/>
  <c r="CU1" i="9"/>
  <c r="CV1" i="9"/>
  <c r="CW1" i="9"/>
  <c r="CX1" i="9"/>
  <c r="N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tc={CEEC764E-BDD7-448E-9FCB-70B0CB4FCF72}</author>
    <author>tc={74CBEA23-2A17-49F9-9310-D3DDE8F528EC}</author>
    <author>tc={5E0DC9DD-AE2C-4BC4-965A-27C2E3BE6AD6}</author>
    <author>tc={B05693AF-9210-486F-A736-32CDAEE9B6F4}</author>
    <author>tc={582F39AF-4B35-4356-88FF-F36259784C33}</author>
    <author>tc={F2BF0E70-3A23-4DBF-954D-8D426C7652CE}</author>
    <author>tc={A017A25B-E62B-406E-9B0D-8063CD0E12E9}</author>
    <author>tc={19FAA27C-E8AC-4F0C-8E43-838E3A1D2066}</author>
    <author>tc={4022AD61-8F3B-41E0-91B9-EB8BCB370141}</author>
  </authors>
  <commentList>
    <comment ref="CI29" authorId="0" shapeId="0" xr:uid="{CEEC764E-BDD7-448E-9FCB-70B0CB4FCF72}">
      <text>
        <t>[Threaded comment]
Your version of Excel allows you to read this threaded comment; however, any edits to it will get removed if the file is opened in a newer version of Excel. Learn more: https://go.microsoft.com/fwlink/?linkid=870924
Comment:
    Kelly’s test</t>
      </text>
    </comment>
    <comment ref="BP102" authorId="1" shapeId="0" xr:uid="{74CBEA23-2A17-49F9-9310-D3DDE8F528EC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Scalehouse number</t>
      </text>
    </comment>
    <comment ref="AX115" authorId="2" shapeId="0" xr:uid="{5E0DC9DD-AE2C-4BC4-965A-27C2E3BE6A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quick test </t>
      </text>
    </comment>
    <comment ref="BP134" authorId="3" shapeId="0" xr:uid="{B05693AF-9210-486F-A736-32CDAEE9B6F4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Scalehouse number</t>
      </text>
    </comment>
    <comment ref="AK150" authorId="4" shapeId="0" xr:uid="{582F39AF-4B35-4356-88FF-F36259784C33}">
      <text>
        <t>[Threaded comment]
Your version of Excel allows you to read this threaded comment; however, any edits to it will get removed if the file is opened in a newer version of Excel. Learn more: https://go.microsoft.com/fwlink/?linkid=870924
Comment:
    Good clusters only, primarily R20-34</t>
      </text>
    </comment>
    <comment ref="AH225" authorId="5" shapeId="0" xr:uid="{F2BF0E70-3A23-4DBF-954D-8D426C7652CE}">
      <text>
        <t>[Threaded comment]
Your version of Excel allows you to read this threaded comment; however, any edits to it will get removed if the file is opened in a newer version of Excel. Learn more: https://go.microsoft.com/fwlink/?linkid=870924
Comment:
    Quick test from Gallo</t>
      </text>
    </comment>
    <comment ref="AR226" authorId="6" shapeId="0" xr:uid="{A017A25B-E62B-406E-9B0D-8063CD0E12E9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these in the right spot?</t>
      </text>
    </comment>
    <comment ref="BH227" authorId="7" shapeId="0" xr:uid="{19FAA27C-E8AC-4F0C-8E43-838E3A1D2066}">
      <text>
        <t>[Threaded comment]
Your version of Excel allows you to read this threaded comment; however, any edits to it will get removed if the file is opened in a newer version of Excel. Learn more: https://go.microsoft.com/fwlink/?linkid=870924
Comment:
    Quick bag sample to lab by Aaron</t>
      </text>
    </comment>
    <comment ref="AQ246" authorId="8" shapeId="0" xr:uid="{4022AD61-8F3B-41E0-91B9-EB8BCB370141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Special reserve 75-105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tc={0B9DDA02-2FFF-47DF-B7BF-892AE9DB98E3}</author>
    <author>tc={790F3880-D357-432E-8F82-9A4EB2F39B61}</author>
    <author>tc={C769E10F-7C6E-4B22-87B9-0E895DD21D83}</author>
    <author>tc={6B404A1D-9C40-4C24-80F0-D6904FBD24F4}</author>
    <author>tc={96A631FC-96C5-4EC4-A2C3-4F1C687B329B}</author>
    <author>tc={D4BDE926-C877-46CA-B593-0C95D7063D2B}</author>
    <author>tc={3D0D2823-22D9-4E74-8F3D-7883E596B1D5}</author>
    <author>tc={B283BB80-4D82-499A-A453-3BA6707367A9}</author>
    <author>tc={BC1BD07E-60EB-48AF-9A23-DE8D2F59E321}</author>
  </authors>
  <commentList>
    <comment ref="CI29" authorId="0" shapeId="0" xr:uid="{0B9DDA02-2FFF-47DF-B7BF-892AE9DB98E3}">
      <text>
        <t>[Threaded comment]
Your version of Excel allows you to read this threaded comment; however, any edits to it will get removed if the file is opened in a newer version of Excel. Learn more: https://go.microsoft.com/fwlink/?linkid=870924
Comment:
    Kelly’s test</t>
      </text>
    </comment>
    <comment ref="BP100" authorId="1" shapeId="0" xr:uid="{790F3880-D357-432E-8F82-9A4EB2F39B61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Scalehouse number</t>
      </text>
    </comment>
    <comment ref="AX113" authorId="2" shapeId="0" xr:uid="{C769E10F-7C6E-4B22-87B9-0E895DD21D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quick test </t>
      </text>
    </comment>
    <comment ref="BP132" authorId="3" shapeId="0" xr:uid="{6B404A1D-9C40-4C24-80F0-D6904FBD24F4}">
      <text>
        <t>[Threaded comment]
Your version of Excel allows you to read this threaded comment; however, any edits to it will get removed if the file is opened in a newer version of Excel. Learn more: https://go.microsoft.com/fwlink/?linkid=870924
Comment:
    Scalehouse number</t>
      </text>
    </comment>
    <comment ref="AK148" authorId="4" shapeId="0" xr:uid="{96A631FC-96C5-4EC4-A2C3-4F1C687B329B}">
      <text>
        <t>[Threaded comment]
Your version of Excel allows you to read this threaded comment; however, any edits to it will get removed if the file is opened in a newer version of Excel. Learn more: https://go.microsoft.com/fwlink/?linkid=870924
Comment:
    Good clusters only, primarily R20-34</t>
      </text>
    </comment>
    <comment ref="AH223" authorId="5" shapeId="0" xr:uid="{D4BDE926-C877-46CA-B593-0C95D7063D2B}">
      <text>
        <t>[Threaded comment]
Your version of Excel allows you to read this threaded comment; however, any edits to it will get removed if the file is opened in a newer version of Excel. Learn more: https://go.microsoft.com/fwlink/?linkid=870924
Comment:
    Quick test from Gallo</t>
      </text>
    </comment>
    <comment ref="AR224" authorId="6" shapeId="0" xr:uid="{3D0D2823-22D9-4E74-8F3D-7883E596B1D5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these in the right spot?</t>
      </text>
    </comment>
    <comment ref="BH225" authorId="7" shapeId="0" xr:uid="{B283BB80-4D82-499A-A453-3BA6707367A9}">
      <text>
        <t>[Threaded comment]
Your version of Excel allows you to read this threaded comment; however, any edits to it will get removed if the file is opened in a newer version of Excel. Learn more: https://go.microsoft.com/fwlink/?linkid=870924
Comment:
    Quick bag sample to lab by Aaron</t>
      </text>
    </comment>
    <comment ref="AQ244" authorId="8" shapeId="0" xr:uid="{BC1BD07E-60EB-48AF-9A23-DE8D2F59E321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Special reserve 75-105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tc={6DF801C1-F8C4-4016-92A6-D6DF71D25A14}</author>
  </authors>
  <commentList>
    <comment ref="L85" authorId="0" shapeId="0" xr:uid="{6DF801C1-F8C4-4016-92A6-D6DF71D25A14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section is this?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<sst xmlns="http://schemas.openxmlformats.org/spreadsheetml/2006/main" count="4545" uniqueCount="1365">
  <si>
    <r>
      <t xml:space="preserve">KEY:   </t>
    </r>
    <r>
      <rPr>
        <b/>
        <i/>
        <u/>
        <sz val="10"/>
        <color rgb="FF000000"/>
        <rFont val="Aptos Display"/>
        <family val="2"/>
        <scheme val="major"/>
      </rPr>
      <t>Lab Results</t>
    </r>
    <r>
      <rPr>
        <sz val="10"/>
        <color rgb="FF000000"/>
        <rFont val="Aptos Display"/>
        <family val="2"/>
        <scheme val="major"/>
      </rPr>
      <t xml:space="preserve">     |   </t>
    </r>
    <r>
      <rPr>
        <sz val="10"/>
        <color rgb="FFFF0000"/>
        <rFont val="Aptos Display"/>
        <family val="2"/>
        <scheme val="major"/>
      </rPr>
      <t>After 1 PM</t>
    </r>
    <r>
      <rPr>
        <sz val="10"/>
        <color rgb="FF000000"/>
        <rFont val="Aptos Display"/>
        <family val="2"/>
        <scheme val="major"/>
      </rPr>
      <t xml:space="preserve">   | </t>
    </r>
    <r>
      <rPr>
        <sz val="10"/>
        <color rgb="FF0070C0"/>
        <rFont val="Aptos Display"/>
        <family val="2"/>
        <scheme val="major"/>
      </rPr>
      <t>External Reading</t>
    </r>
  </si>
  <si>
    <t>DONE?</t>
  </si>
  <si>
    <t>CODE</t>
  </si>
  <si>
    <t>VINEYARD</t>
  </si>
  <si>
    <t>VARIETY</t>
  </si>
  <si>
    <t>ACRES</t>
  </si>
  <si>
    <t>WINERY</t>
  </si>
  <si>
    <t>LAST SAMPLE DATE</t>
  </si>
  <si>
    <t>LAST BRIX</t>
  </si>
  <si>
    <t>BRIX MIN</t>
  </si>
  <si>
    <t>BRIX MAX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</si>
  <si>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</si>
  <si>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</si>
  <si>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</si>
  <si>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</si>
  <si>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</si>
  <si>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</si>
  <si>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</si>
  <si>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</si>
  <si>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</si>
  <si>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</si>
  <si>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</si>
  <si>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</si>
  <si>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</si>
  <si>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</si>
  <si>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</si>
  <si>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</si>
  <si>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</si>
  <si>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</si>
  <si>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</si>
  <si>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</si>
  <si>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</si>
  <si>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</si>
  <si>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</si>
  <si>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</si>
  <si>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</si>
  <si>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</si>
  <si>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</si>
  <si>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</si>
  <si>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</si>
  <si>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</si>
  <si>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</si>
  <si>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</si>
  <si>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</si>
  <si>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</si>
  <si>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</si>
  <si>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</si>
  <si>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</si>
  <si>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</si>
  <si>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</si>
  <si>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</si>
  <si>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</si>
  <si>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</si>
  <si>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</si>
  <si>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</si>
  <si>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</si>
  <si>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</si>
  <si>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</si>
  <si>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</si>
  <si>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</si>
  <si>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</si>
  <si>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</si>
  <si>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</si>
  <si>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</si>
  <si>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</si>
  <si>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</si>
  <si>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</si>
  <si>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</si>
  <si>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</si>
  <si>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</si>
  <si>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</si>
  <si>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</si>
  <si>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</si>
  <si>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</si>
  <si>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</si>
  <si>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</si>
  <si>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</si>
  <si>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</si>
  <si>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</si>
  <si>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</si>
  <si>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</si>
  <si>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</si>
  <si>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</si>
  <si>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</si>
  <si>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</si>
  <si>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</si>
  <si>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</si>
  <si>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</si>
  <si>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</si>
  <si>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</si>
  <si>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</si>
  <si>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</si>
  <si>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</si>
  <si>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</si>
  <si>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</si>
  <si>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</si>
  <si>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</si>
  <si>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</si>
  <si>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</si>
  <si>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</si>
  <si>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</si>
  <si>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</si>
  <si>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</si>
  <si>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</si>
  <si>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</si>
  <si>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</si>
  <si>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</si>
  <si>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</si>
  <si>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</si>
  <si>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</si>
  <si>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</si>
  <si>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</si>
  <si>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</si>
  <si>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</si>
  <si>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</si>
  <si>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</si>
  <si>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</si>
  <si>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</si>
  <si>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</si>
  <si>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</si>
  <si>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</si>
  <si>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</si>
  <si>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</si>
  <si>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</si>
  <si>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</si>
  <si>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</si>
  <si>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</si>
  <si>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</si>
  <si>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</si>
  <si>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</si>
  <si>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</si>
  <si>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</si>
  <si>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</si>
  <si>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1-Nov</t>
  </si>
  <si>
    <t>LFRR06AG</t>
  </si>
  <si>
    <t>LF River B6 AG</t>
  </si>
  <si>
    <t>Aglianico</t>
  </si>
  <si>
    <t>LTW</t>
  </si>
  <si>
    <t>y</t>
  </si>
  <si>
    <t>WHWH03AL</t>
  </si>
  <si>
    <t>Wheelhouse B3 AL</t>
  </si>
  <si>
    <t>Albarino</t>
  </si>
  <si>
    <t>O'NEILL</t>
  </si>
  <si>
    <t>LFRT03AN</t>
  </si>
  <si>
    <t>LF Redtail B3 AC</t>
  </si>
  <si>
    <t>Ancellotta</t>
  </si>
  <si>
    <t>CLMO01BA</t>
  </si>
  <si>
    <t>Clements Mohr B1 BA</t>
  </si>
  <si>
    <t>Barbera</t>
  </si>
  <si>
    <t>Clements Mohr B1 BA - North</t>
  </si>
  <si>
    <t>Clements Mohr B1 BA - South</t>
  </si>
  <si>
    <t>CLPC02BA</t>
  </si>
  <si>
    <t xml:space="preserve">Clements Paddy Creek B2 BA </t>
  </si>
  <si>
    <t>Clements Paddy Creek B2 BA - North</t>
  </si>
  <si>
    <t>Clements Paddy Creek B2 BA - South</t>
  </si>
  <si>
    <t>98OK11CF</t>
  </si>
  <si>
    <t>99 Oaks B11 CF</t>
  </si>
  <si>
    <t>Cabernet Franc</t>
  </si>
  <si>
    <t>LFRA02CF</t>
  </si>
  <si>
    <t>LF Railroad B2 CF</t>
  </si>
  <si>
    <t>98OK01CS</t>
  </si>
  <si>
    <t>99 Oaks B1 CS</t>
  </si>
  <si>
    <t>Cabernet Sauvignon</t>
  </si>
  <si>
    <t>98OK02CS</t>
  </si>
  <si>
    <t>99 Oaks B2 CS</t>
  </si>
  <si>
    <t>98OK04CS</t>
  </si>
  <si>
    <t>99 Oaks B4 CS</t>
  </si>
  <si>
    <t>98OK05CS</t>
  </si>
  <si>
    <t>99 Oaks B5 CS</t>
  </si>
  <si>
    <t>98OK06CS</t>
  </si>
  <si>
    <t>99 Oaks B6 CS</t>
  </si>
  <si>
    <t>98OK09CS</t>
  </si>
  <si>
    <t>99 Oaks B9 CS</t>
  </si>
  <si>
    <t>ARDA01CS</t>
  </si>
  <si>
    <t>A&amp;R Davis B1 CS - East</t>
  </si>
  <si>
    <t xml:space="preserve"> </t>
  </si>
  <si>
    <t>A&amp;R Davis B1 CS - West</t>
  </si>
  <si>
    <t>BHCH01CS</t>
  </si>
  <si>
    <t>Birmingham Clements Hills CS - 1 and 7</t>
  </si>
  <si>
    <t>CONSTELLATION</t>
  </si>
  <si>
    <t>Birmingham Clements Hills CS - 3</t>
  </si>
  <si>
    <t>Birmingham Clements Hills CS -All</t>
  </si>
  <si>
    <t>Birmingham Clements Hills CS -B1,2,3,4</t>
  </si>
  <si>
    <t>Birmingham Clements Hills CS -B11,12,13 (highlands)</t>
  </si>
  <si>
    <t>Birmingham Clements Hills CS -B5,6</t>
  </si>
  <si>
    <t>Birmingham Clements Hills CS -B7, B8, B9 (lowlands)</t>
  </si>
  <si>
    <t>BSHMOHCS</t>
  </si>
  <si>
    <t>Blue Star</t>
  </si>
  <si>
    <t>BOGLE</t>
  </si>
  <si>
    <t>CLOK02CS</t>
  </si>
  <si>
    <t>Clements 3 Oaks 2 NORTH</t>
  </si>
  <si>
    <t>Clements 3 Oaks 2 SOUTH</t>
  </si>
  <si>
    <t>CLAT05CS</t>
  </si>
  <si>
    <t xml:space="preserve">Clements Atkins BLK 5 </t>
  </si>
  <si>
    <t>CLNR01CS</t>
  </si>
  <si>
    <t>Clements Norgaard BLK 1</t>
  </si>
  <si>
    <t>CLPC07CS</t>
  </si>
  <si>
    <t>Clements Paddy Creek BLK 7</t>
  </si>
  <si>
    <t>GALLO</t>
  </si>
  <si>
    <t>Clements Paddy Creek BLK 7 - MID</t>
  </si>
  <si>
    <t>Clements Paddy Creek BLK 7 - N</t>
  </si>
  <si>
    <t>Clements Paddy Creek BLK 7 - S</t>
  </si>
  <si>
    <t>CLPT01CS</t>
  </si>
  <si>
    <t>Clements Peters</t>
  </si>
  <si>
    <t>MDW</t>
  </si>
  <si>
    <t>Clements Peters (North)</t>
  </si>
  <si>
    <t>Clements Peters (South)</t>
  </si>
  <si>
    <t>DBAI04CS</t>
  </si>
  <si>
    <t>Donald, Brian Airport BLK 4</t>
  </si>
  <si>
    <t>HEBO01CS</t>
  </si>
  <si>
    <t>Henretty</t>
  </si>
  <si>
    <t>HIHV04CS</t>
  </si>
  <si>
    <t>Hilder Vines B4 CS</t>
  </si>
  <si>
    <t>Hilder Vines BLK 4 (North)</t>
  </si>
  <si>
    <t>Hilder Vines BLK 4 (South)</t>
  </si>
  <si>
    <t>MKJA04CS</t>
  </si>
  <si>
    <t>Kidd B4 CS</t>
  </si>
  <si>
    <t>LAPR05CS</t>
  </si>
  <si>
    <t>LaPrima - BLK 5</t>
  </si>
  <si>
    <t>LaPrima - BLK 5 (North)</t>
  </si>
  <si>
    <t>LaPrima - BLK 5 (South)</t>
  </si>
  <si>
    <t>LF1001CS</t>
  </si>
  <si>
    <t>LF 100 B1 CS</t>
  </si>
  <si>
    <t>LF 100 B1 CS - North</t>
  </si>
  <si>
    <t>LF 100 B1 CS - South</t>
  </si>
  <si>
    <t>LF3801CS</t>
  </si>
  <si>
    <t>LF 38 - N of pump</t>
  </si>
  <si>
    <t>LF 38 - S of pump</t>
  </si>
  <si>
    <t>LF 38 CS (remaining)</t>
  </si>
  <si>
    <t>LFBE01CS</t>
  </si>
  <si>
    <t xml:space="preserve">LF Bender B1 CS </t>
  </si>
  <si>
    <t>LF Bender B1 CS - Clone 35 (R1-72) NORTH</t>
  </si>
  <si>
    <t>LF Bender B1 CS - Clone 7 (R73-153) SOUTH</t>
  </si>
  <si>
    <t>LFGC01GC</t>
  </si>
  <si>
    <t>LF Gill Creek</t>
  </si>
  <si>
    <t>LF Gill Creek - N</t>
  </si>
  <si>
    <t>LF Gill Creek - S</t>
  </si>
  <si>
    <t>LFW104CS</t>
  </si>
  <si>
    <t>LF JW1 BLK 4</t>
  </si>
  <si>
    <t>LF JW1 BLK 4 - North</t>
  </si>
  <si>
    <t>LF JW1 BLK 4 - South</t>
  </si>
  <si>
    <t>LFW301CS</t>
  </si>
  <si>
    <t>LF JW3 BLK 1 (Juans)</t>
  </si>
  <si>
    <t>LF JW3 BLK 1 (Juans) - Row 60-84 (Mid-South)</t>
  </si>
  <si>
    <t>LF JW3 BLK 1 (Juans) - Row 85-122 (South)</t>
  </si>
  <si>
    <t>LFRR02CS</t>
  </si>
  <si>
    <t>LF River BLK 2</t>
  </si>
  <si>
    <t>LF River BLK 2 - North</t>
  </si>
  <si>
    <t>LF River BLK 2 - South</t>
  </si>
  <si>
    <t>LF River BLK 3</t>
  </si>
  <si>
    <t>LFRR04CS</t>
  </si>
  <si>
    <t>LF River BLK 4 (across slough)</t>
  </si>
  <si>
    <t>LFTO01CS</t>
  </si>
  <si>
    <t>LF Twin Oaks B1 CS</t>
  </si>
  <si>
    <t>LF Twin Oaks R1-64 (O39-16; SOUTH)</t>
  </si>
  <si>
    <t>LF Twin Oaks R65-128 (GRN4; NORTH)</t>
  </si>
  <si>
    <t>Martel B1 CS</t>
  </si>
  <si>
    <t>MEJA03CS</t>
  </si>
  <si>
    <t>Mendonca B3 CS</t>
  </si>
  <si>
    <t>ONMI01CS</t>
  </si>
  <si>
    <t>Miller B1 CS</t>
  </si>
  <si>
    <t>ONEILL</t>
  </si>
  <si>
    <t>ONMI02CS</t>
  </si>
  <si>
    <t>Miller B2 CS</t>
  </si>
  <si>
    <t>ONMI3ACS</t>
  </si>
  <si>
    <t>Miller B3A CS</t>
  </si>
  <si>
    <t>Miller B3B CS</t>
  </si>
  <si>
    <t>Miller B4 CS</t>
  </si>
  <si>
    <t>ONMI05CS</t>
  </si>
  <si>
    <t>Miller B5 CS</t>
  </si>
  <si>
    <t>ONMI06CS</t>
  </si>
  <si>
    <t>Miller B6 CS</t>
  </si>
  <si>
    <t>MRPR01CS</t>
  </si>
  <si>
    <t>MRP B1 CS</t>
  </si>
  <si>
    <t>POCR03CS</t>
  </si>
  <si>
    <t>Patriot Oaks - Craig</t>
  </si>
  <si>
    <t>Patriot Oaks - Craig (East)</t>
  </si>
  <si>
    <t>Patriot Oaks - Craig (West)</t>
  </si>
  <si>
    <t>RING01CS</t>
  </si>
  <si>
    <t>Ring - Middle</t>
  </si>
  <si>
    <t>Ring - North</t>
  </si>
  <si>
    <t>Ring - South</t>
  </si>
  <si>
    <t>RSR102CS</t>
  </si>
  <si>
    <t>Rootstock 1 B2 (VSP)</t>
  </si>
  <si>
    <t>SEJA01CS</t>
  </si>
  <si>
    <t>Seibly Jahant 1 CS</t>
  </si>
  <si>
    <t>Seibly Jahant 1 CS R1-91 (GRN2; SOUTH)</t>
  </si>
  <si>
    <t>Seibly Jahant 1 CS  R92-161 (1103P; NORTH)</t>
  </si>
  <si>
    <t>Seibly Jahant 1 CS R92-126 (South-Mid)</t>
  </si>
  <si>
    <t>Seilby Jahant 1 CS R127-161 (Far South)</t>
  </si>
  <si>
    <t>ZLLAOHCS</t>
  </si>
  <si>
    <t>Zaballos / Lange Lauchland</t>
  </si>
  <si>
    <t>Zaballos / Lange Lauchland Duaime</t>
  </si>
  <si>
    <t>Zaballos / Lange Lauchland Main</t>
  </si>
  <si>
    <t>RSR101CH</t>
  </si>
  <si>
    <t xml:space="preserve">Rootstock 1 B1 CH </t>
  </si>
  <si>
    <t>Chardonnay</t>
  </si>
  <si>
    <t>DBDA05CH</t>
  </si>
  <si>
    <t>Doddington B1 CH</t>
  </si>
  <si>
    <t>18.3*</t>
  </si>
  <si>
    <t>CLBC02CH</t>
  </si>
  <si>
    <t>Clements Bear Creek B2 CH</t>
  </si>
  <si>
    <t>CLPC4BCH</t>
  </si>
  <si>
    <t>Clements Paddy Creek B4B CH</t>
  </si>
  <si>
    <t>LAPR02CH</t>
  </si>
  <si>
    <t>La Prima B2 CH</t>
  </si>
  <si>
    <t>BAPE01CH</t>
  </si>
  <si>
    <r>
      <rPr>
        <sz val="10"/>
        <color rgb="FF000000"/>
        <rFont val="Aptos Display"/>
        <family val="2"/>
        <scheme val="major"/>
      </rPr>
      <t>Baum Peltier B1 CH</t>
    </r>
    <r>
      <rPr>
        <sz val="10"/>
        <color rgb="FFFF0000"/>
        <rFont val="Aptos Display"/>
        <family val="2"/>
        <scheme val="major"/>
      </rPr>
      <t xml:space="preserve"> </t>
    </r>
  </si>
  <si>
    <t>CLR202CH</t>
  </si>
  <si>
    <t>Clements Rose 2 B2 CH</t>
  </si>
  <si>
    <t>Clements Rose 2 B2 CH - North</t>
  </si>
  <si>
    <t>Clements Rose 2 B2 CH - South</t>
  </si>
  <si>
    <t>Donald, Brian Davis B5 CH</t>
  </si>
  <si>
    <t>DVDU05CH</t>
  </si>
  <si>
    <t>Dutra B5 CH</t>
  </si>
  <si>
    <t>Dutra B5 CH - North</t>
  </si>
  <si>
    <t>FFRY04CH</t>
  </si>
  <si>
    <t>Foley B4 CH</t>
  </si>
  <si>
    <t>FFW</t>
  </si>
  <si>
    <t>FFRY05CH</t>
  </si>
  <si>
    <t>Foley B5 CH</t>
  </si>
  <si>
    <t>LASHICH</t>
  </si>
  <si>
    <t>Lashi Mark Shimozaki CH</t>
  </si>
  <si>
    <t>21.8-22</t>
  </si>
  <si>
    <t>LF8004CH</t>
  </si>
  <si>
    <t>LF 80 B4 Clone 70 (Rows 1-23)</t>
  </si>
  <si>
    <t>LF8004CH-Rosa</t>
  </si>
  <si>
    <t>LF 80 B4 Rosa (Rows 24-35)</t>
  </si>
  <si>
    <t>LF Jahant Woods I 5 CH</t>
  </si>
  <si>
    <t>LFBT01CH</t>
  </si>
  <si>
    <t>LF Blacktail CH</t>
  </si>
  <si>
    <t>LF Blacktail CH clone 38</t>
  </si>
  <si>
    <t>LF Blacktail CH clone 69</t>
  </si>
  <si>
    <t>ONMI09CH</t>
  </si>
  <si>
    <t>Miller B9 CH - Clone 4 (R55-end)</t>
  </si>
  <si>
    <t>Miller B9 CH - Clone 69 (R1-54)</t>
  </si>
  <si>
    <t>JONR01CH</t>
  </si>
  <si>
    <t xml:space="preserve">North River B1 CH </t>
  </si>
  <si>
    <t>PRHZ01CH</t>
  </si>
  <si>
    <t>Prince B1 CH</t>
  </si>
  <si>
    <t>HERZOG</t>
  </si>
  <si>
    <t>PRHZ21CH</t>
  </si>
  <si>
    <t>Prince B21 CH</t>
  </si>
  <si>
    <t>PPBR03CH</t>
  </si>
  <si>
    <t>Proplant Betsey Rose B3 CH</t>
  </si>
  <si>
    <t>TWG</t>
  </si>
  <si>
    <t>Proplant Betsey Rose B3 CH (East)</t>
  </si>
  <si>
    <t>Proplant Betsey Rose B3 CH (MID)</t>
  </si>
  <si>
    <t>Proplant Betsey Rose B3 CH (West)</t>
  </si>
  <si>
    <t>PPCR02CH</t>
  </si>
  <si>
    <t>Proplant CRAIG B2 CH</t>
  </si>
  <si>
    <t>RSR103CH</t>
  </si>
  <si>
    <t>Rootstock 1 B3 CH</t>
  </si>
  <si>
    <t>SLHM03CH</t>
  </si>
  <si>
    <t>Stanton B3 CH</t>
  </si>
  <si>
    <t>MJM03CB</t>
  </si>
  <si>
    <t>Merrill-Johnson B3 CB</t>
  </si>
  <si>
    <t>Chenin Blanc</t>
  </si>
  <si>
    <t>MJM04CB</t>
  </si>
  <si>
    <t>Merrill-Johnson B4 CB</t>
  </si>
  <si>
    <t>PINE RIDGE</t>
  </si>
  <si>
    <t>Merrill-Johnson B4 CB - South Sub Block</t>
  </si>
  <si>
    <t>PRHZ11CB</t>
  </si>
  <si>
    <t>Prince B11 CB</t>
  </si>
  <si>
    <t>PRHZ14CB</t>
  </si>
  <si>
    <t>Prince B14 CB</t>
  </si>
  <si>
    <t>PRHZ15CB</t>
  </si>
  <si>
    <t>Prince B15 CB</t>
  </si>
  <si>
    <t>PRHZ16CB</t>
  </si>
  <si>
    <t>Prince B16 CB</t>
  </si>
  <si>
    <t>Prince B16 CB (Reserve Rows 22-50)</t>
  </si>
  <si>
    <t>PRHZ17CB</t>
  </si>
  <si>
    <t>Prince B17 CB</t>
  </si>
  <si>
    <t>PRHZ22CB</t>
  </si>
  <si>
    <t>Prince B22 CB</t>
  </si>
  <si>
    <t>PRHZ99CB</t>
  </si>
  <si>
    <t>Prince B99 CB (Rows 1-5)</t>
  </si>
  <si>
    <t>WHWH01GE</t>
  </si>
  <si>
    <t>Wheelhouse B1 GW</t>
  </si>
  <si>
    <t>Gewurztraminer</t>
  </si>
  <si>
    <t>CONSTELLATION / LTW</t>
  </si>
  <si>
    <t>Wheelhouse B1 GW - Rows 1-70 (leaf pull)</t>
  </si>
  <si>
    <t>Wheelhouse B1 GW - Rows 71-end</t>
  </si>
  <si>
    <t>LFRR08GB</t>
  </si>
  <si>
    <t>LF River B8 GB</t>
  </si>
  <si>
    <t>Grenache Blanc</t>
  </si>
  <si>
    <t>JONR03GG</t>
  </si>
  <si>
    <t>North River B3 GG  (Row 35-36)</t>
  </si>
  <si>
    <t>Grenache Gris</t>
  </si>
  <si>
    <t>JONR03GV</t>
  </si>
  <si>
    <t>North River B3 GV (Row 1-34)</t>
  </si>
  <si>
    <t>Gruner Veltliner</t>
  </si>
  <si>
    <t>LT Jahant Woods I B6 KU</t>
  </si>
  <si>
    <t>Koshu</t>
  </si>
  <si>
    <t>98OK03MA</t>
  </si>
  <si>
    <t>99 Oaks B3 MA</t>
  </si>
  <si>
    <t>Malbec</t>
  </si>
  <si>
    <t>CLR201MA</t>
  </si>
  <si>
    <t>Clements Rose II B1 MA</t>
  </si>
  <si>
    <t>Clements Rose II B1 MA (North)</t>
  </si>
  <si>
    <t>Clements Rose II B1 MA (South)</t>
  </si>
  <si>
    <t>FDJA03MA</t>
  </si>
  <si>
    <t>Ford - B3 MA (North)</t>
  </si>
  <si>
    <t>Ford - B3 MA (South)</t>
  </si>
  <si>
    <t>PRHZ99MA</t>
  </si>
  <si>
    <t>Prince B99 MA (R1-28)</t>
  </si>
  <si>
    <t>Prince B99 MA (Row 29-38)</t>
  </si>
  <si>
    <t>98OK07ME</t>
  </si>
  <si>
    <r>
      <rPr>
        <sz val="10"/>
        <color rgb="FF000000"/>
        <rFont val="Aptos Display"/>
        <family val="2"/>
      </rPr>
      <t>99 Oaks B7 ME</t>
    </r>
    <r>
      <rPr>
        <sz val="10"/>
        <color rgb="FFFF0000"/>
        <rFont val="Aptos Display"/>
        <family val="2"/>
      </rPr>
      <t xml:space="preserve"> </t>
    </r>
  </si>
  <si>
    <t>Merlot</t>
  </si>
  <si>
    <t xml:space="preserve">99 Oaks B7 ME row 1-80 </t>
  </si>
  <si>
    <t>99 Oaks B7 ME row 81-136</t>
  </si>
  <si>
    <t>BEBU01ME</t>
  </si>
  <si>
    <t>Bender Burlington ME</t>
  </si>
  <si>
    <t>CLOK01ME</t>
  </si>
  <si>
    <t>Clements 3 Oaks BLK 1</t>
  </si>
  <si>
    <t>Clements 3 Oaks BLK 1 - MID</t>
  </si>
  <si>
    <t>Clements 3 Oaks BLK 1 - N</t>
  </si>
  <si>
    <t>Clements 3 Oaks BLK 1 - S</t>
  </si>
  <si>
    <t>CLLA01ME</t>
  </si>
  <si>
    <t xml:space="preserve">Clements Lane ME </t>
  </si>
  <si>
    <t>Clements Lane ME (North)</t>
  </si>
  <si>
    <t>Clements Lane ME (South)</t>
  </si>
  <si>
    <t>CLPC03ME</t>
  </si>
  <si>
    <t>Clements Paddy Creek BLK 3 (Tully)</t>
  </si>
  <si>
    <t>PPCR01ME</t>
  </si>
  <si>
    <t>Craig  B1 - North of driveway</t>
  </si>
  <si>
    <t>Craig B1 - NE Island</t>
  </si>
  <si>
    <t>Craig B1 - South of driveway</t>
  </si>
  <si>
    <t>Craig B1 ME</t>
  </si>
  <si>
    <t>FDJA04ME</t>
  </si>
  <si>
    <t xml:space="preserve">Ford - B4 ME </t>
  </si>
  <si>
    <t>ALLIED</t>
  </si>
  <si>
    <t>Ford - B4 ME (North East)</t>
  </si>
  <si>
    <t>Ford - B4 ME (West)</t>
  </si>
  <si>
    <t>Ford - B4 ME 15.72 ac</t>
  </si>
  <si>
    <t>Ford - B4 ME 3.59 ac</t>
  </si>
  <si>
    <t>Ford - B4 ME 9.29 ac</t>
  </si>
  <si>
    <t>FDJA05ME</t>
  </si>
  <si>
    <t>Ford - BLK 5</t>
  </si>
  <si>
    <t>Fritz ME</t>
  </si>
  <si>
    <t>LAPR03ME</t>
  </si>
  <si>
    <t>LaPrima B3 ME</t>
  </si>
  <si>
    <t>LaPrima B3 ME (North)</t>
  </si>
  <si>
    <t>LaPrima B3 ME (South)</t>
  </si>
  <si>
    <t>Martel ME</t>
  </si>
  <si>
    <t>ONMI07ME</t>
  </si>
  <si>
    <t>Miller B7 ME</t>
  </si>
  <si>
    <t>ONMI08ME</t>
  </si>
  <si>
    <t>Miller B8 ME</t>
  </si>
  <si>
    <t>SMSM01ME</t>
  </si>
  <si>
    <t>Smith B1 ME</t>
  </si>
  <si>
    <t>LFRR05MP</t>
  </si>
  <si>
    <t>LF River BLK 5</t>
  </si>
  <si>
    <t>Montepulciano</t>
  </si>
  <si>
    <t>LF River BLK 5 - West short rows</t>
  </si>
  <si>
    <t>LF River BLK 5 - Middle rows 13-24</t>
  </si>
  <si>
    <t>LF River BLK 5 - East rows 1-12</t>
  </si>
  <si>
    <t>DVDU07MC</t>
  </si>
  <si>
    <t>Diablo Dutra B7 (Old R1-48) MU</t>
  </si>
  <si>
    <t>Muscat Cannelli</t>
  </si>
  <si>
    <t>Diablo Dutra B7 (Whip Graft R20-38) MU</t>
  </si>
  <si>
    <t>DFDA07ND</t>
  </si>
  <si>
    <t>Donald David Fred B7 ND</t>
  </si>
  <si>
    <t>Nero d'Avola</t>
  </si>
  <si>
    <t>DELTA</t>
  </si>
  <si>
    <t>LFRT01ND</t>
  </si>
  <si>
    <t>LF RedTail B1 ND</t>
  </si>
  <si>
    <t>98OK08PS</t>
  </si>
  <si>
    <t>99 Oaks B8 PS</t>
  </si>
  <si>
    <t>Petite Syrah</t>
  </si>
  <si>
    <t>CLMN03PS</t>
  </si>
  <si>
    <t>Clements Moren BLK 3 (East)</t>
  </si>
  <si>
    <t>CLMN04PS</t>
  </si>
  <si>
    <t>Clements Moren BLK 4 (South)</t>
  </si>
  <si>
    <t>CLMN05PS</t>
  </si>
  <si>
    <t>Clements Moren BLK 5 (North)</t>
  </si>
  <si>
    <t>Hilder Vines B5 PS</t>
  </si>
  <si>
    <t>LAPR04PS</t>
  </si>
  <si>
    <t>LaPrima - BLK 4</t>
  </si>
  <si>
    <t>LaPrima - BLK 4- N</t>
  </si>
  <si>
    <t>LaPrima - BLK 4- S</t>
  </si>
  <si>
    <t>LF 100  PS - MID</t>
  </si>
  <si>
    <t>LF 100 PS - N</t>
  </si>
  <si>
    <t>LF 100 PS - S</t>
  </si>
  <si>
    <t>LF 100 PS -  SW</t>
  </si>
  <si>
    <t>LF 100 PS</t>
  </si>
  <si>
    <t>PRHZ18PS</t>
  </si>
  <si>
    <t xml:space="preserve">Prince BLK 18 </t>
  </si>
  <si>
    <t>POHM01PV</t>
  </si>
  <si>
    <t>Patriot Oaks - Home</t>
  </si>
  <si>
    <t>Petite Verdot</t>
  </si>
  <si>
    <t>KLINKER BRICK</t>
  </si>
  <si>
    <t>Patriot Oaks - low lands</t>
  </si>
  <si>
    <t>Patriot Oaks - high lands</t>
  </si>
  <si>
    <t>Dave Langone</t>
  </si>
  <si>
    <t xml:space="preserve">LTW </t>
  </si>
  <si>
    <t>LFRR07PB</t>
  </si>
  <si>
    <t>LF River B7 PP</t>
  </si>
  <si>
    <t>Picpoul Blanc</t>
  </si>
  <si>
    <t>CLBC01PG</t>
  </si>
  <si>
    <t>Clements Bear Creek B1 PG</t>
  </si>
  <si>
    <t>Pinot Gris</t>
  </si>
  <si>
    <t>DVMA02PG</t>
  </si>
  <si>
    <t xml:space="preserve">Diablo Maria B2 PG </t>
  </si>
  <si>
    <t>LTW/DELICATO</t>
  </si>
  <si>
    <t>Diablo Maria B2 PG (South)</t>
  </si>
  <si>
    <t>Diablo Maria B2 PG (West)</t>
  </si>
  <si>
    <t>Diablo Maria BLK 2 (East)</t>
  </si>
  <si>
    <t>LFDA02PG</t>
  </si>
  <si>
    <t>LF Davis B2 PG</t>
  </si>
  <si>
    <t>19.3*</t>
  </si>
  <si>
    <t>MFLO01PG</t>
  </si>
  <si>
    <t>Liberty Oaks B1 PG</t>
  </si>
  <si>
    <t>TRINCHERO / GALLO</t>
  </si>
  <si>
    <t>G-20.0</t>
  </si>
  <si>
    <t>MJMJ02PG</t>
  </si>
  <si>
    <t>Merrill-Johnson B2 PG (Old)</t>
  </si>
  <si>
    <t>Merrill-Johnson B2 PG (Retrain)</t>
  </si>
  <si>
    <t>MUMU02PG</t>
  </si>
  <si>
    <t>Muchmore B2 PG</t>
  </si>
  <si>
    <t>FETZER</t>
  </si>
  <si>
    <t>MFRN03PG</t>
  </si>
  <si>
    <t>Runyon - B3 PG</t>
  </si>
  <si>
    <t>WHWH02PG</t>
  </si>
  <si>
    <t>Wheelhouse B2 PG</t>
  </si>
  <si>
    <t>DELICATO</t>
  </si>
  <si>
    <t>DVMA01PN-115</t>
  </si>
  <si>
    <t>Maria B1 PN - C 115</t>
  </si>
  <si>
    <t>Pinot Noir</t>
  </si>
  <si>
    <t>DVMA01PN-23</t>
  </si>
  <si>
    <t>Maria B1 PN - C 23 EAST</t>
  </si>
  <si>
    <t>Maria B1 PN - C 23 WEST</t>
  </si>
  <si>
    <t>DVMA01PN-667</t>
  </si>
  <si>
    <t>Maria B1 PN - C 667</t>
  </si>
  <si>
    <t>DVMA01PN-777</t>
  </si>
  <si>
    <t>Maria B1 PN - C 777</t>
  </si>
  <si>
    <t>DVMA01PN-CL</t>
  </si>
  <si>
    <t>Maria B1 PN - Clones (115, 667)</t>
  </si>
  <si>
    <t>FFRY01PN</t>
  </si>
  <si>
    <t>Foley BLK 1</t>
  </si>
  <si>
    <t>Foley BLK 1 - Rows 38-60 (Target 8 TPA section)</t>
  </si>
  <si>
    <t>FFRY10PN</t>
  </si>
  <si>
    <t>Foley BLK 10</t>
  </si>
  <si>
    <t>FFRY11PN</t>
  </si>
  <si>
    <t>Foley BLK 11 - 99</t>
  </si>
  <si>
    <t>FFRY02PN</t>
  </si>
  <si>
    <t xml:space="preserve">Foley BLK 2 </t>
  </si>
  <si>
    <t>Foley BLK 2 North</t>
  </si>
  <si>
    <t>Foley BLK 2 South</t>
  </si>
  <si>
    <t>FFRY09PN</t>
  </si>
  <si>
    <t>Foley BLK 9</t>
  </si>
  <si>
    <t>PRHZ03PN</t>
  </si>
  <si>
    <t>Prince B2 PN</t>
  </si>
  <si>
    <t xml:space="preserve">Prince B3 PN </t>
  </si>
  <si>
    <t>MFRN01PN</t>
  </si>
  <si>
    <t>Runyon - B0 PN</t>
  </si>
  <si>
    <t>MFRN02PN</t>
  </si>
  <si>
    <t>Runyon - B2 PN  R71-155</t>
  </si>
  <si>
    <t>SLHM05PN</t>
  </si>
  <si>
    <t>Stanton - BLK 5</t>
  </si>
  <si>
    <t>ZLSO01PN</t>
  </si>
  <si>
    <t>Zaballos-Lange Sowles</t>
  </si>
  <si>
    <t>Zaballos-Lange Sowles (Mid)</t>
  </si>
  <si>
    <t>Zaballos-Lange Sowles (North)</t>
  </si>
  <si>
    <t>Zaballos-Lange Sowles (South)</t>
  </si>
  <si>
    <t>LFEX01SA</t>
  </si>
  <si>
    <t>LF Exotics B1 SG</t>
  </si>
  <si>
    <t>Sangiovese</t>
  </si>
  <si>
    <t>DBAI02SA</t>
  </si>
  <si>
    <t>Donald, Brian Airport B2 SG</t>
  </si>
  <si>
    <r>
      <rPr>
        <sz val="10"/>
        <color rgb="FF000000"/>
        <rFont val="Aptos Display"/>
        <family val="2"/>
        <scheme val="major"/>
      </rPr>
      <t xml:space="preserve">17.0, </t>
    </r>
    <r>
      <rPr>
        <i/>
        <u/>
        <sz val="10"/>
        <color rgb="FF000000"/>
        <rFont val="Aptos Display"/>
        <family val="2"/>
        <scheme val="major"/>
      </rPr>
      <t>17.1</t>
    </r>
  </si>
  <si>
    <t>LF Exotics B1 SG Remaining</t>
  </si>
  <si>
    <t>LF Exotics B1 SG - North</t>
  </si>
  <si>
    <t>LF Exotics B1 SG - South</t>
  </si>
  <si>
    <t>LFBT02SB</t>
  </si>
  <si>
    <t>LF Blacktail SB</t>
  </si>
  <si>
    <t>Sauvignon Blanc</t>
  </si>
  <si>
    <t>CL3A02SB</t>
  </si>
  <si>
    <t>Clements AAA</t>
  </si>
  <si>
    <t>DVDU1CSB</t>
  </si>
  <si>
    <t>Diablo Dutra - BLK 1C</t>
  </si>
  <si>
    <t>DVDU02SB</t>
  </si>
  <si>
    <t>Diablo Dutra - BLK 2</t>
  </si>
  <si>
    <t>LFTO02SB</t>
  </si>
  <si>
    <t xml:space="preserve">LF Twin Oaks B2 SB </t>
  </si>
  <si>
    <t>LF Twin Oaks B2 SB (South)</t>
  </si>
  <si>
    <t>MUMU01SB</t>
  </si>
  <si>
    <t>Muchmore B1 SB</t>
  </si>
  <si>
    <t>JONR02SB</t>
  </si>
  <si>
    <t>North River B2 SB</t>
  </si>
  <si>
    <t>PRHZ99VV</t>
  </si>
  <si>
    <t>Prince 99 SB (Rows 1-21)</t>
  </si>
  <si>
    <t>SLHM04SB</t>
  </si>
  <si>
    <t>Stanton B4 SB</t>
  </si>
  <si>
    <t>CLMN01SY</t>
  </si>
  <si>
    <t>Clements Moren B1</t>
  </si>
  <si>
    <t>Syrah</t>
  </si>
  <si>
    <t xml:space="preserve">Clements Moren B1 - East </t>
  </si>
  <si>
    <t>Clements Moren B1 - North East Hilltop</t>
  </si>
  <si>
    <t>Clements Moren B1 - South East Low lands</t>
  </si>
  <si>
    <t>Clements Moren B1 - West</t>
  </si>
  <si>
    <t>LFEX02SY</t>
  </si>
  <si>
    <t>LF Exotics B2 SY</t>
  </si>
  <si>
    <t>BRONCO/ALLIED</t>
  </si>
  <si>
    <t>FDJA02TE</t>
  </si>
  <si>
    <t>Ford B2 TM</t>
  </si>
  <si>
    <t>Tempranillo</t>
  </si>
  <si>
    <t>MFLO02TE</t>
  </si>
  <si>
    <t>Liberty Oaks B2 TM (North)</t>
  </si>
  <si>
    <t>Liberty Oaks B2 TM (South)</t>
  </si>
  <si>
    <t>KBBR02TD</t>
  </si>
  <si>
    <t>Bohn Ridge - BLK 2 TE</t>
  </si>
  <si>
    <t>Teroldego</t>
  </si>
  <si>
    <t>KBBR02TE</t>
  </si>
  <si>
    <t>Bohn Ridge - BLK 2 TE (North)</t>
  </si>
  <si>
    <t>Bohn Ridge - BLK 2 TE (South)</t>
  </si>
  <si>
    <t>LF8001TD</t>
  </si>
  <si>
    <t>LF 80 BLK 1 TE</t>
  </si>
  <si>
    <t>LTW / BOGLE</t>
  </si>
  <si>
    <t>SLHM01TD</t>
  </si>
  <si>
    <t>Stanton B1 TE</t>
  </si>
  <si>
    <t>FDJA01TO</t>
  </si>
  <si>
    <t>Ford - BLK 1</t>
  </si>
  <si>
    <t>Touriga</t>
  </si>
  <si>
    <t>CLBC00VD</t>
  </si>
  <si>
    <t>Clements Bear Creek BLK 0</t>
  </si>
  <si>
    <t>Verdelho</t>
  </si>
  <si>
    <t>Guard Rd</t>
  </si>
  <si>
    <t>Viognier</t>
  </si>
  <si>
    <t>LFBE02VI</t>
  </si>
  <si>
    <t>LF Bender/ Genes B2 VG</t>
  </si>
  <si>
    <t>PINE RIDGE / TWG</t>
  </si>
  <si>
    <t>21.5/22.0</t>
  </si>
  <si>
    <t>LF Bender/ Genes B2 VG NW (1-55)</t>
  </si>
  <si>
    <t>LF Bender/ Genes B2 VG SE (165-220)</t>
  </si>
  <si>
    <t xml:space="preserve">PINE RIDGE </t>
  </si>
  <si>
    <t>LFEX03VI</t>
  </si>
  <si>
    <t>LF Exotics B3 VG (North)</t>
  </si>
  <si>
    <t>LFEX04VI</t>
  </si>
  <si>
    <t xml:space="preserve">LF Exotics B4 VG (South) </t>
  </si>
  <si>
    <t>SLHM02VI</t>
  </si>
  <si>
    <t>Stanton Lange Home B2 VG</t>
  </si>
  <si>
    <t>LTW / PINE RIDGE</t>
  </si>
  <si>
    <t>STARR-H</t>
  </si>
  <si>
    <t>5 Starr - Harney</t>
  </si>
  <si>
    <t>Zinfandel/Primitivo</t>
  </si>
  <si>
    <t>STARR-M</t>
  </si>
  <si>
    <t>5 Starr - Mann</t>
  </si>
  <si>
    <t>98OK10ZN</t>
  </si>
  <si>
    <t>99 Oaks B10 ZN</t>
  </si>
  <si>
    <t>BAVC01ZN</t>
  </si>
  <si>
    <t>Baum Victor BLK 1</t>
  </si>
  <si>
    <t>BAVC02PR</t>
  </si>
  <si>
    <t>Baum Victor BLK 2</t>
  </si>
  <si>
    <t>KBBR01ZN</t>
  </si>
  <si>
    <t>Bohn Ridge B1 (North)</t>
  </si>
  <si>
    <t>Bohn Ridge B1 (South)</t>
  </si>
  <si>
    <t>Bohn Ridge BLK 1</t>
  </si>
  <si>
    <t>LEWIS</t>
  </si>
  <si>
    <t>Charlie Lewis - 4 acre (Home Ranch)</t>
  </si>
  <si>
    <t>Charlie Lewis - Alpine (East) Trellis</t>
  </si>
  <si>
    <t>Charlie Lewis - Alpine (West) Head trained 100YR</t>
  </si>
  <si>
    <t>CLPC4APR</t>
  </si>
  <si>
    <t>Clements Paddy Creek BLK 4A</t>
  </si>
  <si>
    <t>Clements Paddy Creek BLK 4A - Rows 1-79</t>
  </si>
  <si>
    <t>Clements Paddy Creek BLK 4A - Rows 81-end</t>
  </si>
  <si>
    <t>DBAI03ZN</t>
  </si>
  <si>
    <t>Donald, Brian Airport BLK 3</t>
  </si>
  <si>
    <t>19.6 (field), 18.0 (bucket)</t>
  </si>
  <si>
    <t>Donald, Brian Airport BLK 3 - N</t>
  </si>
  <si>
    <t>Donald, Brian Airport BLK 3 - S</t>
  </si>
  <si>
    <t>DFDA04ZN</t>
  </si>
  <si>
    <t>Donald, Fred Davis BLK 4</t>
  </si>
  <si>
    <t>LASHI-ZN</t>
  </si>
  <si>
    <r>
      <rPr>
        <sz val="10"/>
        <color rgb="FF000000"/>
        <rFont val="Aptos Display"/>
        <family val="2"/>
        <scheme val="major"/>
      </rPr>
      <t>Lashi Mark Shimozaki (</t>
    </r>
    <r>
      <rPr>
        <sz val="10"/>
        <color rgb="FFFF0000"/>
        <rFont val="Aptos Display"/>
        <family val="2"/>
        <scheme val="major"/>
      </rPr>
      <t>spray 8/5 no harvest for 2 weeks)</t>
    </r>
  </si>
  <si>
    <t>Shimozaki - Head Trained</t>
  </si>
  <si>
    <t>Shimozaki - Trellis</t>
  </si>
  <si>
    <t>LFRT02PR</t>
  </si>
  <si>
    <t>LF RedTail BLK 2</t>
  </si>
  <si>
    <t>LF RedTail BLK 2 - E</t>
  </si>
  <si>
    <t>LF RedTail BLK 2 - W</t>
  </si>
  <si>
    <t>SLHM06ZN</t>
  </si>
  <si>
    <t>Stanton - BLK 6 ZN</t>
  </si>
  <si>
    <t>SLHM08PR</t>
  </si>
  <si>
    <t>Stanton - BLK 8 PR</t>
  </si>
  <si>
    <t>HARVEST DASHBOARD</t>
  </si>
  <si>
    <t>Updated: August 3, 2026  10:17 AM</t>
  </si>
  <si>
    <t>Vineyard</t>
  </si>
  <si>
    <t>Variety</t>
  </si>
  <si>
    <t>Acres</t>
  </si>
  <si>
    <t>Last Brix</t>
  </si>
  <si>
    <t>Brix Min</t>
  </si>
  <si>
    <t>Brix Max</t>
  </si>
  <si>
    <t>Last Sample</t>
  </si>
  <si>
    <t>Lashi Mark Shimozaki</t>
  </si>
  <si>
    <t>99 Oaks B10 ZN (Spray 7/30 no harvest until Aug 13th)</t>
  </si>
  <si>
    <t>99 Oaks B7 ME (Spray 7/30 no harvest until Aug 13th)</t>
  </si>
  <si>
    <t>99 Oaks B7 ME row 1-80  (Spray 7/30 no harvest until Aug 13th)</t>
  </si>
  <si>
    <t>99 Oaks B7 ME row 81-136 (Spray 7/30 no harvest until Aug 13th)</t>
  </si>
  <si>
    <t>Baum Peltier B1 CH  (Spray: No harvest until Aug 7th)</t>
  </si>
  <si>
    <t>Diablo Maria B1 PN - C 115</t>
  </si>
  <si>
    <t>Diablo Maria B1 PN - C 23 EAST</t>
  </si>
  <si>
    <t>Diablo Maria B1 PN - C 23 WEST</t>
  </si>
  <si>
    <t>Diablo Maria B1 PN - C 667</t>
  </si>
  <si>
    <t>Rootstock 1 B1 CH (Spray 7/31: No harvest until Aug 14th)</t>
  </si>
  <si>
    <t>Lab Use Only</t>
  </si>
  <si>
    <t xml:space="preserve">2026 LTW Lab Field Sample Analysis </t>
  </si>
  <si>
    <t>Sample ID</t>
  </si>
  <si>
    <t>Sample Date</t>
  </si>
  <si>
    <t>Field</t>
  </si>
  <si>
    <t>Sub-Block</t>
  </si>
  <si>
    <t>DMA Brix</t>
  </si>
  <si>
    <t>Refract Brix</t>
  </si>
  <si>
    <t>TA (g/L)</t>
  </si>
  <si>
    <t>pH</t>
  </si>
  <si>
    <t>Malic (mg/L)</t>
  </si>
  <si>
    <t>VA</t>
  </si>
  <si>
    <t>Comments</t>
  </si>
  <si>
    <t>F-1</t>
  </si>
  <si>
    <t>LT Exotics</t>
  </si>
  <si>
    <t>Block 1</t>
  </si>
  <si>
    <t>SG</t>
  </si>
  <si>
    <t>Sampled at noon - field reading was 17.0</t>
  </si>
  <si>
    <t>LT80</t>
  </si>
  <si>
    <t>Rows 1-23</t>
  </si>
  <si>
    <t>CH</t>
  </si>
  <si>
    <t>Rows1-23</t>
  </si>
  <si>
    <t>LT 80</t>
  </si>
  <si>
    <t>BLK 4 Rows 24-45</t>
  </si>
  <si>
    <t>ROSA (CH)</t>
  </si>
  <si>
    <t>F-2</t>
  </si>
  <si>
    <t>F-3</t>
  </si>
  <si>
    <t>Block 4</t>
  </si>
  <si>
    <t>VI</t>
  </si>
  <si>
    <t>BLK 4 Rows 25-45</t>
  </si>
  <si>
    <t>North Half Blk</t>
  </si>
  <si>
    <t>BLOCK 3</t>
  </si>
  <si>
    <t>DON AIRPORT</t>
  </si>
  <si>
    <t>BLK-3</t>
  </si>
  <si>
    <t>ZN</t>
  </si>
  <si>
    <t>LT RED TAIL</t>
  </si>
  <si>
    <t>WEST BLOCK</t>
  </si>
  <si>
    <t>PR</t>
  </si>
  <si>
    <t>PRINCE</t>
  </si>
  <si>
    <t>Block 2</t>
  </si>
  <si>
    <t>PN</t>
  </si>
  <si>
    <t>ROWS 40-60</t>
  </si>
  <si>
    <t>MJ</t>
  </si>
  <si>
    <t>PG</t>
  </si>
  <si>
    <t>ROW 1to End</t>
  </si>
  <si>
    <t>F-4</t>
  </si>
  <si>
    <t xml:space="preserve">ROWS  1-70 </t>
  </si>
  <si>
    <t>F-5</t>
  </si>
  <si>
    <t>--</t>
  </si>
  <si>
    <t>RYER ISLAND</t>
  </si>
  <si>
    <t>JJB-FARMS</t>
  </si>
  <si>
    <t>WHEEL HOUSE</t>
  </si>
  <si>
    <t>GW</t>
  </si>
  <si>
    <t>ROWS 1-70</t>
  </si>
  <si>
    <t>NORTH RIVER</t>
  </si>
  <si>
    <t>GV</t>
  </si>
  <si>
    <t>30% SHRIVEL</t>
  </si>
  <si>
    <t>NORTH</t>
  </si>
  <si>
    <t>MARIA</t>
  </si>
  <si>
    <t>EAST</t>
  </si>
  <si>
    <t>WEST</t>
  </si>
  <si>
    <t>SOUTH</t>
  </si>
  <si>
    <t>F-6</t>
  </si>
  <si>
    <t>280 2G</t>
  </si>
  <si>
    <t>LT DAVIS</t>
  </si>
  <si>
    <t>Retrain (1-79)</t>
  </si>
  <si>
    <t>Old (80-End)</t>
  </si>
  <si>
    <t>STANTON LANGE</t>
  </si>
  <si>
    <t>SB</t>
  </si>
  <si>
    <t>GEW</t>
  </si>
  <si>
    <t>Rows 71-end</t>
  </si>
  <si>
    <t>Rows 1-70</t>
  </si>
  <si>
    <t>West small side</t>
  </si>
  <si>
    <t>Rows 80-End</t>
  </si>
  <si>
    <t>Rows 1-79</t>
  </si>
  <si>
    <t xml:space="preserve">JJB </t>
  </si>
  <si>
    <t>280-26</t>
  </si>
  <si>
    <t>280-1261</t>
  </si>
  <si>
    <t>Block 5</t>
  </si>
  <si>
    <t>Rows1-79</t>
  </si>
  <si>
    <t>SOAK 15 min</t>
  </si>
  <si>
    <t>Blacktail</t>
  </si>
  <si>
    <t>Runyon</t>
  </si>
  <si>
    <t>Maria</t>
  </si>
  <si>
    <t>Block 1 East block</t>
  </si>
  <si>
    <t>North River</t>
  </si>
  <si>
    <t>South</t>
  </si>
  <si>
    <t>SOAK 15 min (bag)</t>
  </si>
  <si>
    <t>ROW-75-100</t>
  </si>
  <si>
    <t>BAGS</t>
  </si>
  <si>
    <t>BLOCK-5</t>
  </si>
  <si>
    <t>DON AIR PORT</t>
  </si>
  <si>
    <t>BLOCK-3 REMAIND ROWS</t>
  </si>
  <si>
    <t>ROW,20,22,10,12</t>
  </si>
  <si>
    <t>F-7</t>
  </si>
  <si>
    <t>DUTRA</t>
  </si>
  <si>
    <t>MC</t>
  </si>
  <si>
    <t>F-8</t>
  </si>
  <si>
    <t>DODDINGTON</t>
  </si>
  <si>
    <t>LT  WOODS</t>
  </si>
  <si>
    <t>OLD VINES</t>
  </si>
  <si>
    <t>DONALD DAVIS</t>
  </si>
  <si>
    <t>JJB FARMS</t>
  </si>
  <si>
    <t>280-1266</t>
  </si>
  <si>
    <t>AL</t>
  </si>
  <si>
    <t>LT BLACKTAIL</t>
  </si>
  <si>
    <t>BLOCK-1</t>
  </si>
  <si>
    <t>C Lewis East Alpine Rd</t>
  </si>
  <si>
    <t>Wire</t>
  </si>
  <si>
    <t>Prince</t>
  </si>
  <si>
    <t>BLK 1</t>
  </si>
  <si>
    <t>BLK 21</t>
  </si>
  <si>
    <t>16 Reserve</t>
  </si>
  <si>
    <t>CB</t>
  </si>
  <si>
    <t>BLK 3</t>
  </si>
  <si>
    <t>Row 1--&gt;23</t>
  </si>
  <si>
    <t>Donald Davis</t>
  </si>
  <si>
    <t>ND</t>
  </si>
  <si>
    <t>98 Oaks</t>
  </si>
  <si>
    <t>Row 81 --&gt; 136</t>
  </si>
  <si>
    <t>7ME</t>
  </si>
  <si>
    <t>LF River</t>
  </si>
  <si>
    <t>BLK 8</t>
  </si>
  <si>
    <t>GB</t>
  </si>
  <si>
    <t>MOHR</t>
  </si>
  <si>
    <t>BA</t>
  </si>
  <si>
    <t>BLK 11</t>
  </si>
  <si>
    <t>BAUM PELTIER</t>
  </si>
  <si>
    <t>RED TAIL</t>
  </si>
  <si>
    <t>ROOT STOCK</t>
  </si>
  <si>
    <t>ROW 1-21</t>
  </si>
  <si>
    <t>Paddy Creek</t>
  </si>
  <si>
    <t>BLK 2</t>
  </si>
  <si>
    <t>LF Redtail</t>
  </si>
  <si>
    <t>East Block 2</t>
  </si>
  <si>
    <t>ROSE 2</t>
  </si>
  <si>
    <t>MA</t>
  </si>
  <si>
    <t>280-1262</t>
  </si>
  <si>
    <t>280-1265</t>
  </si>
  <si>
    <t>VMTINO</t>
  </si>
  <si>
    <t>280-1264</t>
  </si>
  <si>
    <t>RL</t>
  </si>
  <si>
    <t>BLACK TAIL</t>
  </si>
  <si>
    <t>AC</t>
  </si>
  <si>
    <t>VA COMFIRM/ran on Y25 and SPICA</t>
  </si>
  <si>
    <t>GG</t>
  </si>
  <si>
    <t>LT RIVER</t>
  </si>
  <si>
    <t>BLOCK-8</t>
  </si>
  <si>
    <t>Bags</t>
  </si>
  <si>
    <t>98 OAKS</t>
  </si>
  <si>
    <t>Brix next day,DMA=25.1 REFRAC=24.0</t>
  </si>
  <si>
    <t>Row 81-136</t>
  </si>
  <si>
    <t>ME</t>
  </si>
  <si>
    <t>va;comfirm</t>
  </si>
  <si>
    <t>BLK 4 South Rows 1-19</t>
  </si>
  <si>
    <t>Dutra</t>
  </si>
  <si>
    <t>North half of block</t>
  </si>
  <si>
    <t>Rootstock</t>
  </si>
  <si>
    <t>Redtail</t>
  </si>
  <si>
    <t>West North</t>
  </si>
  <si>
    <t>BLOCK 2</t>
  </si>
  <si>
    <t>Brix 24 HR soak = DMA 23.6/Refrac. 23.1</t>
  </si>
  <si>
    <t>BLK 7 ROW 1-80</t>
  </si>
  <si>
    <t>Canopy &amp; fruit maybe wet</t>
  </si>
  <si>
    <t>BLOCK 7</t>
  </si>
  <si>
    <t>PB</t>
  </si>
  <si>
    <t>VRMTINO</t>
  </si>
  <si>
    <t>JJB</t>
  </si>
  <si>
    <t>1CH</t>
  </si>
  <si>
    <t>10ZN</t>
  </si>
  <si>
    <t>Brix 24 HR soak= DMA=25.6 Refrac=24.6</t>
  </si>
  <si>
    <t>MSF</t>
  </si>
  <si>
    <t>Brix 24 HR soak=DMA=23.3 Refrac=22.4</t>
  </si>
  <si>
    <t>LT 100</t>
  </si>
  <si>
    <t>PS</t>
  </si>
  <si>
    <t>Brix 24 HR soak=DMA=22.5 Refrac=21.4</t>
  </si>
  <si>
    <t>Brix 24 HR soak=DMA=23.9 Refrac=22.8</t>
  </si>
  <si>
    <t>BEAR CREEK</t>
  </si>
  <si>
    <t>Red Tail</t>
  </si>
  <si>
    <t>East</t>
  </si>
  <si>
    <t>SMITH</t>
  </si>
  <si>
    <t>LANE</t>
  </si>
  <si>
    <t>LA PRIMA</t>
  </si>
  <si>
    <t>Berries sun burned</t>
  </si>
  <si>
    <t>STANTON LANGE HM</t>
  </si>
  <si>
    <t>RIVER</t>
  </si>
  <si>
    <t>MP</t>
  </si>
  <si>
    <t>Block 6</t>
  </si>
  <si>
    <t>AG</t>
  </si>
  <si>
    <t>CS</t>
  </si>
  <si>
    <t>Block 9</t>
  </si>
  <si>
    <t xml:space="preserve">                                                                                                                                                             </t>
  </si>
  <si>
    <t>PP</t>
  </si>
  <si>
    <t>R44-126</t>
  </si>
  <si>
    <t>Leaf Pull Section</t>
  </si>
  <si>
    <t>Overnight Soak DMA Brix = 22.4</t>
  </si>
  <si>
    <t>Total Buckets</t>
  </si>
  <si>
    <t>Region</t>
  </si>
  <si>
    <t>Lodi</t>
  </si>
  <si>
    <t>LT 80 CH &amp; Rosa</t>
  </si>
  <si>
    <t>LT Bender VI in field bucket</t>
  </si>
  <si>
    <t>LT Exotics SA  North</t>
  </si>
  <si>
    <t>Baum Peltier CH</t>
  </si>
  <si>
    <t>LT 80 CH Rosa Bucket</t>
  </si>
  <si>
    <t>Donald Davis CH</t>
  </si>
  <si>
    <t>LT Redtail PR</t>
  </si>
  <si>
    <t>LT Davis PG</t>
  </si>
  <si>
    <t>Donald Air ZN bucket "post thin pick"lab - MZ</t>
  </si>
  <si>
    <t>Don Air ZN bucket lab</t>
  </si>
  <si>
    <t>North River GV</t>
  </si>
  <si>
    <t>LT Blacktail CH</t>
  </si>
  <si>
    <t>Baum peltier CH</t>
  </si>
  <si>
    <t>LT DAVIS PG BUCKET - AARON</t>
  </si>
  <si>
    <t>Stanton Lange SB - Bucket</t>
  </si>
  <si>
    <t>JW1 CH</t>
  </si>
  <si>
    <t>LT 80 CH</t>
  </si>
  <si>
    <t>North River CH bucket</t>
  </si>
  <si>
    <t>LT Redtail W PR bucket</t>
  </si>
  <si>
    <t>Davis ND</t>
  </si>
  <si>
    <t>River 7</t>
  </si>
  <si>
    <t>River 6 AG</t>
  </si>
  <si>
    <t>La Prima PS</t>
  </si>
  <si>
    <t>Donald Air SA</t>
  </si>
  <si>
    <t>River PB - Jeff</t>
  </si>
  <si>
    <t>Railroad CF</t>
  </si>
  <si>
    <t>LT 80 TD</t>
  </si>
  <si>
    <t>LT River AG</t>
  </si>
  <si>
    <t>Kyle:</t>
  </si>
  <si>
    <t>River PP bucket</t>
  </si>
  <si>
    <t>LT 100 PS bucket North &amp; South</t>
  </si>
  <si>
    <t>River 3 CS</t>
  </si>
  <si>
    <t>River PP bucket - APL</t>
  </si>
  <si>
    <t>Bender CS clone splits</t>
  </si>
  <si>
    <t>Fritz and Martel ME</t>
  </si>
  <si>
    <t>Stanton TD</t>
  </si>
  <si>
    <t>LT Exotics SA</t>
  </si>
  <si>
    <t xml:space="preserve">Stan VI </t>
  </si>
  <si>
    <t>LT Exotics SA  South</t>
  </si>
  <si>
    <t>LT Exotics 4 VI Bucket</t>
  </si>
  <si>
    <t>Doddington CH</t>
  </si>
  <si>
    <t>LT Redtail PR bucket West lab</t>
  </si>
  <si>
    <t>North River SB</t>
  </si>
  <si>
    <t>LT Exotics 4 VI bucket lab</t>
  </si>
  <si>
    <t>North River GG</t>
  </si>
  <si>
    <t xml:space="preserve">LT blacktail SB </t>
  </si>
  <si>
    <t>Stanton PN</t>
  </si>
  <si>
    <t>LT Redtail PR West-Bucket</t>
  </si>
  <si>
    <t>Stanton Home SB-Top Priority!</t>
  </si>
  <si>
    <t>River PB</t>
  </si>
  <si>
    <t>Blacktail SB Bucket</t>
  </si>
  <si>
    <t>Ford MA</t>
  </si>
  <si>
    <t>River 8</t>
  </si>
  <si>
    <t>River 5 MP</t>
  </si>
  <si>
    <t>Doddington CH conf bucket</t>
  </si>
  <si>
    <t>LT 100 PS</t>
  </si>
  <si>
    <t>Exotics SA remaining</t>
  </si>
  <si>
    <t>River GB bucket</t>
  </si>
  <si>
    <t>LT Redtail PR bucket</t>
  </si>
  <si>
    <t>Stanton 6 PR</t>
  </si>
  <si>
    <t>LT River MP middle rows</t>
  </si>
  <si>
    <t>Fred ZIN</t>
  </si>
  <si>
    <t>Baum Peltier CH bucket</t>
  </si>
  <si>
    <t>LT gill creek CS</t>
  </si>
  <si>
    <t>Seibly Jahant CS</t>
  </si>
  <si>
    <t>Lashi ZN</t>
  </si>
  <si>
    <t>LT Redtail PR in field bucket</t>
  </si>
  <si>
    <t>JW3 CS</t>
  </si>
  <si>
    <t>LT 100 PS North and South bucket in field</t>
  </si>
  <si>
    <t>JW1 CS</t>
  </si>
  <si>
    <t>Donald Airport ZN</t>
  </si>
  <si>
    <t>Exotics 3 VI in field bucket</t>
  </si>
  <si>
    <t>LT 80 Rosa bucket</t>
  </si>
  <si>
    <t>LT Exotics 1 SA bucket</t>
  </si>
  <si>
    <t>LT 80 CH Rosa Bucket-Last one</t>
  </si>
  <si>
    <t>Donald Air ZN in field bucket</t>
  </si>
  <si>
    <t>LT Twin Oaks SB</t>
  </si>
  <si>
    <t>LT 80 CH clone 70</t>
  </si>
  <si>
    <t>LT Exotics 3 VI bucket lab</t>
  </si>
  <si>
    <t>Muchmore PG</t>
  </si>
  <si>
    <t>Twin Oaks SB - grazing splits MZ</t>
  </si>
  <si>
    <t>LT 80 clone 70 CH</t>
  </si>
  <si>
    <t>Donald Air ZN remaining</t>
  </si>
  <si>
    <t>North River GV - Good clusters only</t>
  </si>
  <si>
    <t>LT Davis PG-Bucket</t>
  </si>
  <si>
    <t xml:space="preserve">Redtail Zin East side </t>
  </si>
  <si>
    <t>River GB</t>
  </si>
  <si>
    <t>Don Air ZN remaining</t>
  </si>
  <si>
    <t>La Prima ME</t>
  </si>
  <si>
    <t>LT Blacktail CH bucket</t>
  </si>
  <si>
    <t>LT 80 CH clone 70 bucket</t>
  </si>
  <si>
    <t>LT Redtail East bucket</t>
  </si>
  <si>
    <t>LT Redtail East bucket Maria</t>
  </si>
  <si>
    <t>Ford TE</t>
  </si>
  <si>
    <t>Stanton CH</t>
  </si>
  <si>
    <t>LT Exotics SY</t>
  </si>
  <si>
    <t>Stanton 8 ZN</t>
  </si>
  <si>
    <t>LT Bender CS clone splits</t>
  </si>
  <si>
    <t>LT Woods 1 4 CS bogle section &amp; ltw section</t>
  </si>
  <si>
    <t>Twin Oaks CS</t>
  </si>
  <si>
    <t>A&amp;R Davis</t>
  </si>
  <si>
    <t>La prima ps</t>
  </si>
  <si>
    <t>Ford 4</t>
  </si>
  <si>
    <t>Ford MA N/S</t>
  </si>
  <si>
    <t>Donald Airport SA</t>
  </si>
  <si>
    <t>Exotics 4 VI in field bucket</t>
  </si>
  <si>
    <t>LT Exotics 3 VI</t>
  </si>
  <si>
    <t>Stanton VI</t>
  </si>
  <si>
    <t>Donald Air ZN cluster test - MZ</t>
  </si>
  <si>
    <t>Stanton SB</t>
  </si>
  <si>
    <t>Bender VI</t>
  </si>
  <si>
    <t>Muchmore SB</t>
  </si>
  <si>
    <t>Ford MA NORTH</t>
  </si>
  <si>
    <t>Stan VI</t>
  </si>
  <si>
    <t>Stanton Home PN (new target is 23.0-23.5)</t>
  </si>
  <si>
    <t>North River GV Bucket (Aaron)</t>
  </si>
  <si>
    <t>Doddington CH bucket</t>
  </si>
  <si>
    <t>Jahant Woods 1 CH bucket first</t>
  </si>
  <si>
    <t>River Grenche Blanc bucket to lab</t>
  </si>
  <si>
    <t>LT 38 N</t>
  </si>
  <si>
    <t>Donald Airport Sangio</t>
  </si>
  <si>
    <t>Ford Merlot B4</t>
  </si>
  <si>
    <t>Exotics Syrah-Priority</t>
  </si>
  <si>
    <t>Ford 4 ME</t>
  </si>
  <si>
    <t>La Prima CS</t>
  </si>
  <si>
    <t xml:space="preserve">Kidd </t>
  </si>
  <si>
    <t>Ford 5</t>
  </si>
  <si>
    <t>Stanton 6</t>
  </si>
  <si>
    <t>LT Blacktail SB</t>
  </si>
  <si>
    <t>Guard Road VI</t>
  </si>
  <si>
    <t>LT Redtail PR West</t>
  </si>
  <si>
    <t>Muchmore SB, only if time allow</t>
  </si>
  <si>
    <t>Stanton Home Vio Aaron will get</t>
  </si>
  <si>
    <t>Dustin Shimozaki ZN</t>
  </si>
  <si>
    <t>Stanton PN bucket</t>
  </si>
  <si>
    <t>Donald Davis CH bucket</t>
  </si>
  <si>
    <t>Stanton 6 ZN</t>
  </si>
  <si>
    <t>Baum Peltier CH conf bucket</t>
  </si>
  <si>
    <t>LT 38 S</t>
  </si>
  <si>
    <t>Ford Merlot B5</t>
  </si>
  <si>
    <t>River 2 CS</t>
  </si>
  <si>
    <t>Lashi Dustin CH- Priority</t>
  </si>
  <si>
    <t>Ford 5 ME</t>
  </si>
  <si>
    <t>LT 38 CS N/S</t>
  </si>
  <si>
    <t>Mendonca</t>
  </si>
  <si>
    <t>Stanton 8</t>
  </si>
  <si>
    <t>LT Exotics SA north bucket</t>
  </si>
  <si>
    <t>North River CH</t>
  </si>
  <si>
    <t>Exotics Sangio - Field Test</t>
  </si>
  <si>
    <t xml:space="preserve">Bender VI corners (2) </t>
  </si>
  <si>
    <t>North River Gruner Bucket (Aaron)</t>
  </si>
  <si>
    <t>Donald Air ZN bucket</t>
  </si>
  <si>
    <t>Stanton 8 PR</t>
  </si>
  <si>
    <t>Ford MA N</t>
  </si>
  <si>
    <t>AR Davis CS</t>
  </si>
  <si>
    <t>La Prima PS for KB</t>
  </si>
  <si>
    <t>Ford MA North &amp; South</t>
  </si>
  <si>
    <t>River AG - Bucket</t>
  </si>
  <si>
    <t>Twin Oaks CS bucket</t>
  </si>
  <si>
    <t>Martel CS-pushing to later in week. very green, i think</t>
  </si>
  <si>
    <t>Seibly Jahant</t>
  </si>
  <si>
    <t xml:space="preserve">LT Exotics SA south </t>
  </si>
  <si>
    <t>LT Exotics 4 VI bucket lab?</t>
  </si>
  <si>
    <t>La Prima PS baseline</t>
  </si>
  <si>
    <t>North river GV splits - MZ 1st</t>
  </si>
  <si>
    <t>North River Grenache Gris (Aaron)</t>
  </si>
  <si>
    <t>Redtail AN</t>
  </si>
  <si>
    <t>KB: Lashi &amp; La Prima CHs</t>
  </si>
  <si>
    <t>Donald Air SA? Yes, if possible</t>
  </si>
  <si>
    <t>Ford MA S</t>
  </si>
  <si>
    <t>Kidd</t>
  </si>
  <si>
    <t>Donald Davis Zin - Confirmation of 25.0</t>
  </si>
  <si>
    <t>Stanton Home CH-Bucket</t>
  </si>
  <si>
    <t>River MP-Bucket</t>
  </si>
  <si>
    <t>River 2 CS bucket</t>
  </si>
  <si>
    <t>North River GH</t>
  </si>
  <si>
    <t>LT Exotics 3 VI bucket lab?</t>
  </si>
  <si>
    <t xml:space="preserve">JW1 CH </t>
  </si>
  <si>
    <t>Don Davis ND bucket to lab</t>
  </si>
  <si>
    <t>Exotics SA remaining? Yes, if possible</t>
  </si>
  <si>
    <t>JW1 KU</t>
  </si>
  <si>
    <t>Stan CH</t>
  </si>
  <si>
    <t>La Prima CH-Bucket</t>
  </si>
  <si>
    <t xml:space="preserve">Ford TO </t>
  </si>
  <si>
    <t>Fritz &amp; Martel ME</t>
  </si>
  <si>
    <t>Stanton TER</t>
  </si>
  <si>
    <t>River 4 CS</t>
  </si>
  <si>
    <t>Ford TE   Not needed</t>
  </si>
  <si>
    <t>North River Gruner V.</t>
  </si>
  <si>
    <t>Maria: North River GV bag to lab</t>
  </si>
  <si>
    <t>NOTE: LAB WILL BE OPEN SAT</t>
  </si>
  <si>
    <t>BUCKETS NEED TO BE IN BY 9:30</t>
  </si>
  <si>
    <t>FYI: fewer tests done, 1 sugar tester went home sick</t>
  </si>
  <si>
    <t xml:space="preserve">Ford MA N/S </t>
  </si>
  <si>
    <t xml:space="preserve">maria: lt 100, la prima </t>
  </si>
  <si>
    <t>Delta</t>
  </si>
  <si>
    <t>Dutra MC</t>
  </si>
  <si>
    <t>MJ PG</t>
  </si>
  <si>
    <t>Maria PN 23</t>
  </si>
  <si>
    <t>Miller 9 clone 69</t>
  </si>
  <si>
    <t>Dutra MC  old /grafted</t>
  </si>
  <si>
    <t>Prince 2 PN rows 40-60 bucket to lab</t>
  </si>
  <si>
    <t>MJ 3 CB</t>
  </si>
  <si>
    <t>Maria PN east bucket to lab</t>
  </si>
  <si>
    <t>Miller CH clone 69</t>
  </si>
  <si>
    <t>MJ PG old bucket to lab-MZ</t>
  </si>
  <si>
    <t>Wheelhouse GEW R71-end</t>
  </si>
  <si>
    <t>Guard Rd Vio</t>
  </si>
  <si>
    <t>Runyon 2 PN  (MG request)</t>
  </si>
  <si>
    <t>Foley 4 CH</t>
  </si>
  <si>
    <t>Runyon PG</t>
  </si>
  <si>
    <t>Maria PN Clone 23 East bucket</t>
  </si>
  <si>
    <t>Dutra MC bucket</t>
  </si>
  <si>
    <t xml:space="preserve">Prince CBs all </t>
  </si>
  <si>
    <t>Foley CH &amp; PNs</t>
  </si>
  <si>
    <t>Miller 7 ME</t>
  </si>
  <si>
    <t>MJ 3 CB bucket</t>
  </si>
  <si>
    <t>Guard Rd VI</t>
  </si>
  <si>
    <t>MJ 4 CB bucket to lab PRIORITY</t>
  </si>
  <si>
    <t>Prince 18 PS</t>
  </si>
  <si>
    <t>Miller cab baselines</t>
  </si>
  <si>
    <t>Prince 16 CB reserve</t>
  </si>
  <si>
    <t>Miller 1,2,5,6,3AB,4</t>
  </si>
  <si>
    <t>Dutra CH</t>
  </si>
  <si>
    <t>Maria PN clones</t>
  </si>
  <si>
    <t>Miller 9 clone 4</t>
  </si>
  <si>
    <t>MJ PG old bucket to lab</t>
  </si>
  <si>
    <t>MJ 4 CB</t>
  </si>
  <si>
    <t>Maria PG south bucket to lab</t>
  </si>
  <si>
    <t>Miller CH clone 4</t>
  </si>
  <si>
    <t>MJ PG retrain bucket to lab-MZ</t>
  </si>
  <si>
    <t>Wheelhouse GEW R1-70</t>
  </si>
  <si>
    <t>Prince 2 PN</t>
  </si>
  <si>
    <t>Foley 5 CH</t>
  </si>
  <si>
    <t>Prince PN B 2 Bucket Lab (herzog request)</t>
  </si>
  <si>
    <t>Runyon 2 PN bucket</t>
  </si>
  <si>
    <t>Maria PN West</t>
  </si>
  <si>
    <t>Prince CH</t>
  </si>
  <si>
    <t>MJ 4CB</t>
  </si>
  <si>
    <t>Miller 8 ME</t>
  </si>
  <si>
    <t>Dutra CH bucket to lab North</t>
  </si>
  <si>
    <t>Prince 99 MA</t>
  </si>
  <si>
    <t>Miller 3B</t>
  </si>
  <si>
    <t>Guard Rd vio? Susy's?  This is done.  Take it off list</t>
  </si>
  <si>
    <t>Maria PN</t>
  </si>
  <si>
    <t>Maria PG (quadrants)</t>
  </si>
  <si>
    <t>MJ PG old</t>
  </si>
  <si>
    <t xml:space="preserve">Wheelhouse GEW </t>
  </si>
  <si>
    <t>MJ PG retrain bucket to lab</t>
  </si>
  <si>
    <t>Wheelhouse GE R1-70 bucket to lab</t>
  </si>
  <si>
    <t>Maria PG East &amp; West Buckets Lab</t>
  </si>
  <si>
    <t>Runyon 2 PN</t>
  </si>
  <si>
    <t>Maria PN east bucket?</t>
  </si>
  <si>
    <t>Prince CHs</t>
  </si>
  <si>
    <t>Foley 1 8 TPA section</t>
  </si>
  <si>
    <t>Miller CH (2)</t>
  </si>
  <si>
    <t>Maria 115 &amp; 667 bucket</t>
  </si>
  <si>
    <t>Wheelhouse PG</t>
  </si>
  <si>
    <t>Miller 9 CH 2x</t>
  </si>
  <si>
    <t>Wheelhouse AL bucket</t>
  </si>
  <si>
    <t>Prince 16 reserve</t>
  </si>
  <si>
    <t>Miller 4</t>
  </si>
  <si>
    <t>Maria PG</t>
  </si>
  <si>
    <t>Prince 21 CH</t>
  </si>
  <si>
    <t xml:space="preserve">MJ PG retrain </t>
  </si>
  <si>
    <t>Prince 1 CH</t>
  </si>
  <si>
    <t xml:space="preserve">Foley 4 </t>
  </si>
  <si>
    <t>Prince 3 PN</t>
  </si>
  <si>
    <t>Prince CB baselines (7)</t>
  </si>
  <si>
    <t>Foley 1 10 TPA section</t>
  </si>
  <si>
    <t>Prince 22 CB, 14 CB</t>
  </si>
  <si>
    <t>Prince PN Rows 75-105-Baggie Lab</t>
  </si>
  <si>
    <t>Wheelhouse AL</t>
  </si>
  <si>
    <t>Runyon 2</t>
  </si>
  <si>
    <t>Maria PN 23 East</t>
  </si>
  <si>
    <t xml:space="preserve">Prince 21 CH </t>
  </si>
  <si>
    <t>Foley 5</t>
  </si>
  <si>
    <t xml:space="preserve">Maria PN east bucket </t>
  </si>
  <si>
    <t>MJ PG old bucket</t>
  </si>
  <si>
    <t>Maria: MJ 3 CB bucket to lab</t>
  </si>
  <si>
    <t>Prince MA</t>
  </si>
  <si>
    <t>Prince 22 CB</t>
  </si>
  <si>
    <t>Prince 2 PN outside of rows 25-30</t>
  </si>
  <si>
    <t>Runyon 3</t>
  </si>
  <si>
    <t>Maria PN 23 West</t>
  </si>
  <si>
    <t>Maria PG quadrants</t>
  </si>
  <si>
    <t>MJ old bucket</t>
  </si>
  <si>
    <t>MJ PG retrain bucket</t>
  </si>
  <si>
    <t>Prince 21 CH lab bag</t>
  </si>
  <si>
    <t>Prince 3 PN outside of rows 75-100</t>
  </si>
  <si>
    <t>Maria PN clones (mat)</t>
  </si>
  <si>
    <t>MJ retrain bucket</t>
  </si>
  <si>
    <t>Dutra CH bucket</t>
  </si>
  <si>
    <t>Prince 1 CH lab bag</t>
  </si>
  <si>
    <t>Prince 2 PN rows 40-60 bucket lab</t>
  </si>
  <si>
    <t>Maria 115</t>
  </si>
  <si>
    <t>Prince 16 reserve lab bag</t>
  </si>
  <si>
    <t>Maria 667</t>
  </si>
  <si>
    <t>Maria 23 W</t>
  </si>
  <si>
    <t>Guard Road Vio</t>
  </si>
  <si>
    <t>Clements</t>
  </si>
  <si>
    <t>Rootstock 1 CH</t>
  </si>
  <si>
    <t>Bear Creek PG</t>
  </si>
  <si>
    <t>Rose 2 MA</t>
  </si>
  <si>
    <t>Mohr BA</t>
  </si>
  <si>
    <t>MZ check charlie lewis zin.  Yes!</t>
  </si>
  <si>
    <t>Craig CH</t>
  </si>
  <si>
    <t>98 Oaks ME splits (2)</t>
  </si>
  <si>
    <t>Paddy Creek BA</t>
  </si>
  <si>
    <t xml:space="preserve">Betsy Rose CH </t>
  </si>
  <si>
    <t>98 Oaks ME</t>
  </si>
  <si>
    <t>Bohn Ridge ZN</t>
  </si>
  <si>
    <t>Rootstock 1 CH bucket</t>
  </si>
  <si>
    <t>Paddy Creek BA bucket to lab Maria</t>
  </si>
  <si>
    <t>Sowles PN</t>
  </si>
  <si>
    <t>98 Oaks ZN bucket</t>
  </si>
  <si>
    <t>Rootstock 1 CH bucket to lab</t>
  </si>
  <si>
    <t>Smith ME</t>
  </si>
  <si>
    <t>Shimozaki zn</t>
  </si>
  <si>
    <t>Maria:</t>
  </si>
  <si>
    <t>Rose 2 MA bucket priority</t>
  </si>
  <si>
    <t>Rose 2 CH buckets</t>
  </si>
  <si>
    <t>Paddy Creek 4A PR young</t>
  </si>
  <si>
    <t>98 oaks cab buckets 1,2,9 priority</t>
  </si>
  <si>
    <t>98 Oaks B10 ZN Bucket MZ</t>
  </si>
  <si>
    <t>Lauchland CS</t>
  </si>
  <si>
    <t>Peters leaf pull (N set)</t>
  </si>
  <si>
    <t>98 Oaks 11</t>
  </si>
  <si>
    <t>Moren PS</t>
  </si>
  <si>
    <t>Betsy Rose CH</t>
  </si>
  <si>
    <t>Rose 2 CH</t>
  </si>
  <si>
    <t>Betsy Rose CH - Remember Snake safety</t>
  </si>
  <si>
    <t>98 Oaks ZN</t>
  </si>
  <si>
    <t>98 Oaks MA</t>
  </si>
  <si>
    <t>Bohn Ridge TD 4 rows</t>
  </si>
  <si>
    <t>Baum Victor 1</t>
  </si>
  <si>
    <t>Rose 2 CH N</t>
  </si>
  <si>
    <t>98 Oaks ME row 81-136 bucket</t>
  </si>
  <si>
    <t>98 Oaks 3 MA</t>
  </si>
  <si>
    <t>Lane ME</t>
  </si>
  <si>
    <t>Moren SY</t>
  </si>
  <si>
    <t>Betsy Rose CH conf</t>
  </si>
  <si>
    <t>98 Oaks 10 ZN bucket</t>
  </si>
  <si>
    <t>Norgaard CS</t>
  </si>
  <si>
    <t>Smith ME Bucket</t>
  </si>
  <si>
    <t>Paddy Creek 4A PR old</t>
  </si>
  <si>
    <t>Shimozaki ZNs</t>
  </si>
  <si>
    <t xml:space="preserve">Rootstock 1 CH field test MZ </t>
  </si>
  <si>
    <t>Paddy Creek 4B CH</t>
  </si>
  <si>
    <t>Peters non leaf pull (S set)</t>
  </si>
  <si>
    <t>98 Oaks 8</t>
  </si>
  <si>
    <t>Paddy Creek 4A PR young/old splits</t>
  </si>
  <si>
    <t xml:space="preserve">98 Oaks MA </t>
  </si>
  <si>
    <t>Liberty Oaks PG</t>
  </si>
  <si>
    <t xml:space="preserve">Charlie Lewis Zin wire </t>
  </si>
  <si>
    <t>Paddy Creek 4B Chard</t>
  </si>
  <si>
    <t>Baum Victor 2</t>
  </si>
  <si>
    <t>Rose 2 CH S</t>
  </si>
  <si>
    <t>Bear Creek CH</t>
  </si>
  <si>
    <t>Sowles PN- N, M, S</t>
  </si>
  <si>
    <t>Sowles conf (APL to also look)</t>
  </si>
  <si>
    <t>Charlie Lewis ZN 100YR</t>
  </si>
  <si>
    <t>3 oaks CS?</t>
  </si>
  <si>
    <t>Lane ME Bucket</t>
  </si>
  <si>
    <t xml:space="preserve">Peters CS </t>
  </si>
  <si>
    <t>Bohn Ridge TD</t>
  </si>
  <si>
    <t>Lane ME bucket leaf pull section MZ</t>
  </si>
  <si>
    <t>Charlie Lewis ZN</t>
  </si>
  <si>
    <t>Dave Langone PV</t>
  </si>
  <si>
    <t>AAA SB</t>
  </si>
  <si>
    <t>Charlie Lewis ZN 100yr</t>
  </si>
  <si>
    <t>98 Oaks PS</t>
  </si>
  <si>
    <t>98 Oaks 7 non premium section</t>
  </si>
  <si>
    <t>Betsey Rose CH</t>
  </si>
  <si>
    <t>Peters n/s</t>
  </si>
  <si>
    <t>Charlie Lewis ZN Home</t>
  </si>
  <si>
    <t>Bear Creek bucket</t>
  </si>
  <si>
    <t>Birm Clements Hills CS</t>
  </si>
  <si>
    <t>Smith Merlot Bucket MZ</t>
  </si>
  <si>
    <t>98 Oaks B10 Zin North / South</t>
  </si>
  <si>
    <t>Liberty Oaks TE</t>
  </si>
  <si>
    <t>98 oaks MA bucket</t>
  </si>
  <si>
    <t>Charlie Lewis ZN home</t>
  </si>
  <si>
    <t xml:space="preserve">Rose 2 CH </t>
  </si>
  <si>
    <t>Mohr BA bucket</t>
  </si>
  <si>
    <t>Shimozaki ZN</t>
  </si>
  <si>
    <t>3 oaks n/s</t>
  </si>
  <si>
    <t>98 Oaks 8 PS</t>
  </si>
  <si>
    <t>98 Oaks 4 and 5</t>
  </si>
  <si>
    <t>Birm clements hills</t>
  </si>
  <si>
    <t>Rose 2 MA bucket PRIORITY</t>
  </si>
  <si>
    <t>paddy creek cs n/s</t>
  </si>
  <si>
    <t>98 Oaks 2 CS</t>
  </si>
  <si>
    <t>98 oaks B10 Zin Bucket</t>
  </si>
  <si>
    <t>98 Oaks 1,2,9 field test</t>
  </si>
  <si>
    <t>98 oaks 9 cs</t>
  </si>
  <si>
    <t>98 Oaks non premium bucket</t>
  </si>
  <si>
    <t>98 Oaks 9 CS</t>
  </si>
  <si>
    <t>Rose 2 MA Bucket</t>
  </si>
  <si>
    <t>Patriot Oaks PV- Hill vs flatland</t>
  </si>
  <si>
    <t>Charlie Lewis Zin bucket to lab</t>
  </si>
  <si>
    <t>Rose 2 MA bucket</t>
  </si>
  <si>
    <t>98 oaks 3 MA</t>
  </si>
  <si>
    <t>LFJW1 Koshu - (Aaron)</t>
  </si>
  <si>
    <t>Paddy Creek CS N/S</t>
  </si>
  <si>
    <t>98 oaks 1 CS</t>
  </si>
  <si>
    <t>maria 98 oaks cf</t>
  </si>
  <si>
    <t>98 zin field samples and bucket are priority.</t>
  </si>
  <si>
    <t>maria baum zn row 8</t>
  </si>
  <si>
    <t>Low Brix (17.5-19.5)</t>
  </si>
  <si>
    <t>LT 80 Chardonnay Rosa (All chardonnay Rosa only)</t>
  </si>
  <si>
    <t>LT Exotics Sangiovese – (sparkling)  1 Load only</t>
  </si>
  <si>
    <t>Donald Airport Zinfandel ( 1 load only )</t>
  </si>
  <si>
    <t> </t>
  </si>
  <si>
    <t>Rose Brix (21.5-22.5)</t>
  </si>
  <si>
    <t>Maria PN Clone 23 (75 ton only)</t>
  </si>
  <si>
    <t>Redtail Zinfandel (4 loads)</t>
  </si>
  <si>
    <t>LT Exotics Sangiovese - Rose (48 tons only)- 2 loads</t>
  </si>
  <si>
    <t>7/7/2026</t>
  </si>
  <si>
    <t>Visit 6</t>
  </si>
  <si>
    <t>Visit 7</t>
  </si>
  <si>
    <t xml:space="preserve">LF 38 </t>
  </si>
  <si>
    <t xml:space="preserve">This Vineyard is not ripening, not good flavors or quality. We cannot make good wine out of this block </t>
  </si>
  <si>
    <t>Rootstock 1 B1 CH</t>
  </si>
  <si>
    <t>V-Kids.  Coverage better than last year.  Looks good.  Some bronzing occuring on exposed fruit.</t>
  </si>
  <si>
    <t xml:space="preserve">Baum Peltier B1 CH </t>
  </si>
  <si>
    <t xml:space="preserve">Clements Rose 2 B2 CH </t>
  </si>
  <si>
    <t>Flavor and Acid great this year!</t>
  </si>
  <si>
    <t xml:space="preserve">Really good acid this year, sparkling program </t>
  </si>
  <si>
    <t xml:space="preserve">Lower quality this year. fruit was shrivel </t>
  </si>
  <si>
    <t>Vineyard look good, balance fruit /canopy, flavors are developing good</t>
  </si>
  <si>
    <t xml:space="preserve">Canopy looks lush, crop load balance ok. </t>
  </si>
  <si>
    <t>Vineyard did not produce good quality this year</t>
  </si>
  <si>
    <t xml:space="preserve">Looks a little dry, some berry shrivel starting, otherwise ok. SRV West side has more fruit (some clumping) </t>
  </si>
  <si>
    <t>Much better this year!</t>
  </si>
  <si>
    <t>Clumping in some vines (10%) / Vit team will crop off some of these fruit</t>
  </si>
  <si>
    <t>99 Oaks B7 ME</t>
  </si>
  <si>
    <t>Diablo Dutra B7  MU</t>
  </si>
  <si>
    <t>Negro Amaro</t>
  </si>
  <si>
    <t>Clusters clumpy in some areas; will need a cluster thin</t>
  </si>
  <si>
    <t xml:space="preserve">Merrill-Johnson B2 PG </t>
  </si>
  <si>
    <t xml:space="preserve">Small berries, good flavor </t>
  </si>
  <si>
    <t xml:space="preserve">Diablo Maria B1 PN </t>
  </si>
  <si>
    <t>Runyon - B2 PN</t>
  </si>
  <si>
    <t>This year looking good, balance ratio between fruit and canopy</t>
  </si>
  <si>
    <t>Diablo Dutra B6 VG</t>
  </si>
  <si>
    <t>Vineyard removed.</t>
  </si>
  <si>
    <t>Very little rot observed. Otherwise ok.</t>
  </si>
  <si>
    <t>Same minimun wet rot</t>
  </si>
  <si>
    <t>Frequent dry rot on tight clusters; some wet rot. Recommend rot removal pass asap.  Open up canopy for air movement.</t>
  </si>
  <si>
    <t xml:space="preserve">Dry rot, Almost no wet rot. </t>
  </si>
  <si>
    <t xml:space="preserve">This vintage this field was really good, Chemestry and Brix </t>
  </si>
  <si>
    <t>uneven maturation, still lots of red berries</t>
  </si>
  <si>
    <t xml:space="preserve">We can make good wine out of this vineyard (rose or red) </t>
  </si>
  <si>
    <t>Removal of green clusters good.</t>
  </si>
  <si>
    <t/>
  </si>
  <si>
    <t>Notes</t>
  </si>
  <si>
    <t>Row 40-60</t>
  </si>
  <si>
    <t>Block 3</t>
  </si>
  <si>
    <t>Special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</si>
</sst>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[$-409]d\-mmm;@"/>
    <numFmt numFmtId="166" formatCode="m/d;@"/>
    <numFmt numFmtId="167" formatCode="[$-F800]dddd\,\ mmmm\ dd\,\ yyyy"/>
    <numFmt numFmtId="168" formatCode="m/d"/>
  </numFmts>
  <fonts count="6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rial Narrow"/>
      <family val="2"/>
    </font>
    <font>
      <b/>
      <sz val="20"/>
      <color rgb="FF000000"/>
      <name val="Arial Narrow"/>
      <family val="2"/>
    </font>
    <font>
      <b/>
      <sz val="11"/>
      <color rgb="FF000000"/>
      <name val="Arial Narrow"/>
      <family val="2"/>
    </font>
    <font>
      <b/>
      <i/>
      <u/>
      <sz val="10"/>
      <color rgb="FF00000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color rgb="FFFF0000"/>
      <name val="Aptos Display"/>
      <family val="2"/>
      <scheme val="major"/>
    </font>
    <font>
      <sz val="10"/>
      <color rgb="FF0070C0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i/>
      <u/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u/>
      <sz val="10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4"/>
      <name val="Aptos Display"/>
      <family val="2"/>
      <scheme val="major"/>
    </font>
    <font>
      <b/>
      <sz val="10"/>
      <color theme="3" tint="0.249977111117893"/>
      <name val="Aptos Display"/>
      <family val="2"/>
      <scheme val="major"/>
    </font>
    <font>
      <sz val="8"/>
      <name val="Aptos Narrow"/>
      <family val="2"/>
      <scheme val="minor"/>
    </font>
    <font>
      <sz val="10"/>
      <color theme="3" tint="0.499984740745262"/>
      <name val="Aptos Display"/>
      <family val="2"/>
      <scheme val="major"/>
    </font>
    <font>
      <b/>
      <sz val="10"/>
      <color rgb="FF0070C0"/>
      <name val="Aptos Display"/>
      <family val="2"/>
      <scheme val="major"/>
    </font>
    <font>
      <sz val="10"/>
      <color theme="0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name val="Aptos Display"/>
      <family val="2"/>
      <scheme val="major"/>
    </font>
    <font>
      <i/>
      <sz val="12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0"/>
      <name val="Aptos Display"/>
      <family val="2"/>
      <scheme val="major"/>
    </font>
    <font>
      <b/>
      <sz val="12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  <font>
      <strike/>
      <sz val="12"/>
      <color theme="1"/>
      <name val="Aptos Display"/>
      <family val="2"/>
      <scheme val="major"/>
    </font>
    <font>
      <b/>
      <i/>
      <sz val="12"/>
      <color rgb="FFFF0000"/>
      <name val="Aptos Display"/>
      <family val="2"/>
      <scheme val="major"/>
    </font>
    <font>
      <b/>
      <i/>
      <sz val="12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b/>
      <sz val="12"/>
      <color rgb="FFFF0000"/>
      <name val="Aptos Display"/>
      <family val="2"/>
      <scheme val="major"/>
    </font>
    <font>
      <i/>
      <sz val="12"/>
      <color rgb="FFFF0000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strike/>
      <sz val="12"/>
      <name val="Aptos Display"/>
      <family val="2"/>
      <scheme val="major"/>
    </font>
    <font>
      <b/>
      <i/>
      <u/>
      <sz val="12"/>
      <name val="Aptos Display"/>
      <family val="2"/>
      <scheme val="major"/>
    </font>
    <font>
      <i/>
      <strike/>
      <sz val="12"/>
      <name val="Aptos Display"/>
      <family val="2"/>
      <scheme val="major"/>
    </font>
    <font>
      <strike/>
      <sz val="12"/>
      <color rgb="FF000000"/>
      <name val="Aptos Display"/>
      <family val="2"/>
      <scheme val="major"/>
    </font>
    <font>
      <b/>
      <i/>
      <sz val="12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color theme="0" tint="-0.249977111117893"/>
      <name val="Aptos Display"/>
      <family val="2"/>
      <scheme val="major"/>
    </font>
    <font>
      <sz val="18"/>
      <color theme="1"/>
      <name val="Aptos Narrow"/>
      <family val="2"/>
      <scheme val="minor"/>
    </font>
    <font>
      <i/>
      <u/>
      <sz val="10"/>
      <color rgb="FF000000"/>
      <name val="Aptos Display"/>
      <family val="2"/>
      <scheme val="major"/>
    </font>
    <font>
      <b/>
      <u/>
      <sz val="12"/>
      <color rgb="FF000000"/>
      <name val="Aptos"/>
      <family val="2"/>
      <charset val="1"/>
    </font>
    <font>
      <sz val="12"/>
      <color theme="1"/>
      <name val="Aptos"/>
      <family val="2"/>
      <charset val="1"/>
    </font>
    <font>
      <b/>
      <i/>
      <u/>
      <sz val="10"/>
      <color theme="1"/>
      <name val="Aptos Display"/>
      <family val="2"/>
      <scheme val="major"/>
    </font>
    <font>
      <sz val="10"/>
      <color theme="3" tint="0.249977111117893"/>
      <name val="Aptos Display"/>
      <family val="2"/>
      <scheme val="major"/>
    </font>
    <font>
      <sz val="12"/>
      <color rgb="FF0070C0"/>
      <name val="Aptos Display"/>
      <family val="2"/>
      <scheme val="major"/>
    </font>
    <font>
      <strike/>
      <sz val="12"/>
      <color rgb="FFFF0000"/>
      <name val="Aptos Display"/>
      <family val="2"/>
      <scheme val="major"/>
    </font>
    <font>
      <strike/>
      <sz val="12"/>
      <color rgb="FF000000"/>
      <name val="Aptos"/>
      <family val="2"/>
      <charset val="1"/>
    </font>
    <font>
      <b/>
      <sz val="20"/>
      <color rgb="FFFFFFFF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Display"/>
      <family val="2"/>
    </font>
    <font>
      <sz val="10"/>
      <color rgb="FFFF0000"/>
      <name val="Aptos Display"/>
      <family val="2"/>
    </font>
    <font>
      <b/>
      <i/>
      <sz val="10"/>
      <color theme="1"/>
      <name val="Aptos Display"/>
      <family val="2"/>
      <scheme val="maj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2" tint="-9.9978637043366805E-2"/>
        <bgColor theme="0" tint="-0.14999847407452621"/>
      </patternFill>
    </fill>
    <fill>
      <patternFill patternType="solid">
        <fgColor theme="7" tint="-0.499984740745262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rgb="FF27543A"/>
        <bgColor indexed="64"/>
      </patternFill>
    </fill>
    <fill>
      <patternFill patternType="solid">
        <fgColor rgb="FFE6F0E6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0" tint="-0.14999847407452621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6">
    <xf numFmtId="0" fontId="0" fillId="0" borderId="0" xfId="0"/>
    <xf numFmtId="0" fontId="0" fillId="0" borderId="9" xfId="0" applyBorder="1"/>
    <xf numFmtId="0" fontId="2" fillId="3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/>
    <xf numFmtId="0" fontId="0" fillId="2" borderId="0" xfId="0" applyFill="1"/>
    <xf numFmtId="14" fontId="0" fillId="0" borderId="6" xfId="0" applyNumberFormat="1" applyBorder="1"/>
    <xf numFmtId="164" fontId="0" fillId="0" borderId="6" xfId="0" applyNumberFormat="1" applyBorder="1"/>
    <xf numFmtId="16" fontId="0" fillId="0" borderId="6" xfId="0" applyNumberFormat="1" applyBorder="1"/>
    <xf numFmtId="0" fontId="4" fillId="3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0" fillId="0" borderId="0" xfId="0" applyFont="1"/>
    <xf numFmtId="165" fontId="6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10" fillId="0" borderId="0" xfId="0" applyNumberFormat="1" applyFont="1"/>
    <xf numFmtId="16" fontId="11" fillId="0" borderId="0" xfId="0" applyNumberFormat="1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6" xfId="1" applyNumberFormat="1" applyFont="1" applyFill="1" applyBorder="1" applyAlignment="1">
      <alignment horizontal="center" vertical="center"/>
    </xf>
    <xf numFmtId="164" fontId="10" fillId="0" borderId="3" xfId="1" applyNumberFormat="1" applyFont="1" applyFill="1" applyBorder="1" applyAlignment="1">
      <alignment horizontal="center" vertical="center"/>
    </xf>
    <xf numFmtId="164" fontId="10" fillId="0" borderId="5" xfId="1" applyNumberFormat="1" applyFont="1" applyFill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top"/>
    </xf>
    <xf numFmtId="164" fontId="10" fillId="0" borderId="2" xfId="0" applyNumberFormat="1" applyFont="1" applyBorder="1" applyAlignment="1">
      <alignment horizontal="center" vertical="top"/>
    </xf>
    <xf numFmtId="164" fontId="10" fillId="0" borderId="5" xfId="0" applyNumberFormat="1" applyFont="1" applyBorder="1" applyAlignment="1">
      <alignment horizontal="center"/>
    </xf>
    <xf numFmtId="164" fontId="10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64" fontId="10" fillId="0" borderId="6" xfId="0" applyNumberFormat="1" applyFont="1" applyBorder="1" applyAlignment="1">
      <alignment horizontal="center" vertical="top"/>
    </xf>
    <xf numFmtId="164" fontId="10" fillId="0" borderId="4" xfId="0" applyNumberFormat="1" applyFont="1" applyBorder="1" applyAlignment="1">
      <alignment horizontal="center" vertical="top"/>
    </xf>
    <xf numFmtId="164" fontId="12" fillId="0" borderId="6" xfId="0" applyNumberFormat="1" applyFont="1" applyBorder="1" applyAlignment="1">
      <alignment horizontal="center" vertical="top"/>
    </xf>
    <xf numFmtId="164" fontId="10" fillId="0" borderId="6" xfId="0" applyNumberFormat="1" applyFont="1" applyBorder="1" applyAlignment="1">
      <alignment horizontal="center"/>
    </xf>
    <xf numFmtId="164" fontId="12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64" fontId="12" fillId="0" borderId="6" xfId="0" applyNumberFormat="1" applyFont="1" applyBorder="1" applyAlignment="1">
      <alignment horizontal="center" vertical="center"/>
    </xf>
    <xf numFmtId="0" fontId="10" fillId="0" borderId="6" xfId="0" applyFont="1" applyBorder="1"/>
    <xf numFmtId="164" fontId="10" fillId="0" borderId="6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/>
    </xf>
    <xf numFmtId="166" fontId="10" fillId="0" borderId="4" xfId="0" applyNumberFormat="1" applyFont="1" applyBorder="1" applyAlignment="1">
      <alignment horizontal="center" vertical="top"/>
    </xf>
    <xf numFmtId="166" fontId="10" fillId="0" borderId="6" xfId="0" applyNumberFormat="1" applyFont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12" fillId="0" borderId="6" xfId="0" applyFont="1" applyBorder="1" applyAlignment="1">
      <alignment horizontal="center" vertical="top"/>
    </xf>
    <xf numFmtId="166" fontId="10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164" fontId="13" fillId="0" borderId="6" xfId="1" applyNumberFormat="1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/>
    </xf>
    <xf numFmtId="0" fontId="10" fillId="0" borderId="6" xfId="0" quotePrefix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164" fontId="14" fillId="0" borderId="6" xfId="0" applyNumberFormat="1" applyFont="1" applyBorder="1" applyAlignment="1">
      <alignment horizontal="center" vertical="top"/>
    </xf>
    <xf numFmtId="164" fontId="12" fillId="0" borderId="4" xfId="0" applyNumberFormat="1" applyFont="1" applyBorder="1" applyAlignment="1">
      <alignment horizontal="center" vertical="top"/>
    </xf>
    <xf numFmtId="164" fontId="13" fillId="0" borderId="6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10" fillId="0" borderId="6" xfId="0" applyFont="1" applyBorder="1" applyAlignment="1">
      <alignment horizontal="left" vertical="top"/>
    </xf>
    <xf numFmtId="164" fontId="10" fillId="0" borderId="6" xfId="1" applyNumberFormat="1" applyFont="1" applyFill="1" applyBorder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top"/>
    </xf>
    <xf numFmtId="2" fontId="10" fillId="0" borderId="4" xfId="0" applyNumberFormat="1" applyFont="1" applyBorder="1" applyAlignment="1">
      <alignment horizontal="center" vertical="top"/>
    </xf>
    <xf numFmtId="2" fontId="10" fillId="0" borderId="6" xfId="0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12" xfId="0" applyFont="1" applyBorder="1" applyAlignment="1">
      <alignment vertic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10" fillId="0" borderId="6" xfId="1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18" fillId="0" borderId="6" xfId="0" applyNumberFormat="1" applyFont="1" applyBorder="1" applyAlignment="1">
      <alignment horizontal="center" vertical="top"/>
    </xf>
    <xf numFmtId="17" fontId="0" fillId="0" borderId="6" xfId="0" applyNumberFormat="1" applyBorder="1" applyAlignment="1">
      <alignment horizontal="center"/>
    </xf>
    <xf numFmtId="0" fontId="10" fillId="10" borderId="6" xfId="0" applyFont="1" applyFill="1" applyBorder="1" applyAlignment="1">
      <alignment horizontal="left" vertical="center"/>
    </xf>
    <xf numFmtId="164" fontId="19" fillId="0" borderId="6" xfId="0" applyNumberFormat="1" applyFont="1" applyBorder="1" applyAlignment="1">
      <alignment horizontal="center" vertical="top"/>
    </xf>
    <xf numFmtId="164" fontId="21" fillId="0" borderId="6" xfId="0" applyNumberFormat="1" applyFont="1" applyBorder="1" applyAlignment="1">
      <alignment horizontal="center"/>
    </xf>
    <xf numFmtId="164" fontId="22" fillId="0" borderId="6" xfId="0" applyNumberFormat="1" applyFont="1" applyBorder="1" applyAlignment="1">
      <alignment horizontal="center" vertical="top"/>
    </xf>
    <xf numFmtId="164" fontId="11" fillId="0" borderId="6" xfId="0" applyNumberFormat="1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" fontId="15" fillId="0" borderId="0" xfId="0" applyNumberFormat="1" applyFont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65" fontId="15" fillId="0" borderId="6" xfId="0" applyNumberFormat="1" applyFont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center" vertical="center" wrapText="1"/>
    </xf>
    <xf numFmtId="165" fontId="15" fillId="0" borderId="6" xfId="0" applyNumberFormat="1" applyFont="1" applyBorder="1" applyAlignment="1">
      <alignment horizontal="center" vertical="center" textRotation="72" wrapText="1"/>
    </xf>
    <xf numFmtId="165" fontId="15" fillId="0" borderId="0" xfId="0" applyNumberFormat="1" applyFont="1" applyAlignment="1">
      <alignment horizontal="center" vertical="center" textRotation="72" wrapText="1"/>
    </xf>
    <xf numFmtId="0" fontId="23" fillId="0" borderId="0" xfId="0" applyFont="1" applyAlignment="1">
      <alignment textRotation="45"/>
    </xf>
    <xf numFmtId="164" fontId="8" fillId="0" borderId="6" xfId="0" applyNumberFormat="1" applyFont="1" applyBorder="1" applyAlignment="1">
      <alignment horizontal="center" vertical="top"/>
    </xf>
    <xf numFmtId="164" fontId="12" fillId="0" borderId="5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4" fillId="2" borderId="6" xfId="0" applyFont="1" applyFill="1" applyBorder="1" applyAlignment="1">
      <alignment horizontal="center"/>
    </xf>
    <xf numFmtId="0" fontId="26" fillId="0" borderId="6" xfId="0" applyFont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4" fillId="11" borderId="6" xfId="0" applyFont="1" applyFill="1" applyBorder="1"/>
    <xf numFmtId="0" fontId="27" fillId="5" borderId="6" xfId="0" applyFont="1" applyFill="1" applyBorder="1" applyAlignment="1">
      <alignment horizontal="center" vertical="center"/>
    </xf>
    <xf numFmtId="167" fontId="27" fillId="5" borderId="6" xfId="0" applyNumberFormat="1" applyFont="1" applyFill="1" applyBorder="1" applyAlignment="1">
      <alignment horizontal="center" vertical="center" wrapText="1"/>
    </xf>
    <xf numFmtId="167" fontId="27" fillId="12" borderId="6" xfId="0" applyNumberFormat="1" applyFont="1" applyFill="1" applyBorder="1" applyAlignment="1">
      <alignment horizontal="center" vertical="center" wrapText="1"/>
    </xf>
    <xf numFmtId="0" fontId="28" fillId="6" borderId="6" xfId="0" applyFont="1" applyFill="1" applyBorder="1"/>
    <xf numFmtId="0" fontId="30" fillId="4" borderId="2" xfId="0" applyFont="1" applyFill="1" applyBorder="1" applyAlignment="1">
      <alignment vertical="center"/>
    </xf>
    <xf numFmtId="0" fontId="30" fillId="4" borderId="5" xfId="0" applyFont="1" applyFill="1" applyBorder="1" applyAlignment="1">
      <alignment vertical="center"/>
    </xf>
    <xf numFmtId="0" fontId="30" fillId="11" borderId="5" xfId="0" applyFont="1" applyFill="1" applyBorder="1" applyAlignment="1">
      <alignment vertical="center"/>
    </xf>
    <xf numFmtId="0" fontId="30" fillId="4" borderId="6" xfId="0" applyFont="1" applyFill="1" applyBorder="1" applyAlignment="1">
      <alignment vertical="center"/>
    </xf>
    <xf numFmtId="0" fontId="32" fillId="4" borderId="6" xfId="0" applyFont="1" applyFill="1" applyBorder="1" applyAlignment="1">
      <alignment vertical="center"/>
    </xf>
    <xf numFmtId="0" fontId="35" fillId="4" borderId="6" xfId="0" applyFont="1" applyFill="1" applyBorder="1" applyAlignment="1">
      <alignment vertical="center"/>
    </xf>
    <xf numFmtId="0" fontId="37" fillId="4" borderId="6" xfId="0" applyFont="1" applyFill="1" applyBorder="1" applyAlignment="1">
      <alignment vertical="center"/>
    </xf>
    <xf numFmtId="0" fontId="24" fillId="4" borderId="5" xfId="0" applyFont="1" applyFill="1" applyBorder="1" applyAlignment="1">
      <alignment vertical="center"/>
    </xf>
    <xf numFmtId="0" fontId="37" fillId="4" borderId="5" xfId="0" applyFont="1" applyFill="1" applyBorder="1" applyAlignment="1">
      <alignment vertical="center"/>
    </xf>
    <xf numFmtId="0" fontId="34" fillId="4" borderId="6" xfId="0" applyFont="1" applyFill="1" applyBorder="1" applyAlignment="1">
      <alignment vertical="center"/>
    </xf>
    <xf numFmtId="0" fontId="24" fillId="4" borderId="6" xfId="0" applyFont="1" applyFill="1" applyBorder="1" applyAlignment="1">
      <alignment vertical="center"/>
    </xf>
    <xf numFmtId="0" fontId="37" fillId="4" borderId="6" xfId="0" applyFont="1" applyFill="1" applyBorder="1"/>
    <xf numFmtId="0" fontId="30" fillId="4" borderId="6" xfId="0" applyFont="1" applyFill="1" applyBorder="1"/>
    <xf numFmtId="0" fontId="24" fillId="4" borderId="5" xfId="0" applyFont="1" applyFill="1" applyBorder="1"/>
    <xf numFmtId="0" fontId="35" fillId="4" borderId="6" xfId="0" applyFont="1" applyFill="1" applyBorder="1"/>
    <xf numFmtId="0" fontId="24" fillId="11" borderId="5" xfId="0" applyFont="1" applyFill="1" applyBorder="1" applyAlignment="1">
      <alignment vertical="center"/>
    </xf>
    <xf numFmtId="0" fontId="38" fillId="4" borderId="6" xfId="0" applyFont="1" applyFill="1" applyBorder="1" applyAlignment="1">
      <alignment vertical="center"/>
    </xf>
    <xf numFmtId="0" fontId="38" fillId="4" borderId="5" xfId="0" applyFont="1" applyFill="1" applyBorder="1" applyAlignment="1">
      <alignment vertical="center"/>
    </xf>
    <xf numFmtId="0" fontId="24" fillId="4" borderId="6" xfId="0" applyFont="1" applyFill="1" applyBorder="1"/>
    <xf numFmtId="0" fontId="39" fillId="4" borderId="5" xfId="0" applyFont="1" applyFill="1" applyBorder="1" applyAlignment="1">
      <alignment horizontal="center" vertical="center"/>
    </xf>
    <xf numFmtId="0" fontId="30" fillId="4" borderId="4" xfId="0" applyFont="1" applyFill="1" applyBorder="1"/>
    <xf numFmtId="0" fontId="31" fillId="4" borderId="6" xfId="0" applyFont="1" applyFill="1" applyBorder="1"/>
    <xf numFmtId="0" fontId="30" fillId="11" borderId="6" xfId="0" applyFont="1" applyFill="1" applyBorder="1"/>
    <xf numFmtId="0" fontId="31" fillId="4" borderId="5" xfId="0" applyFont="1" applyFill="1" applyBorder="1"/>
    <xf numFmtId="0" fontId="37" fillId="4" borderId="5" xfId="0" applyFont="1" applyFill="1" applyBorder="1"/>
    <xf numFmtId="0" fontId="30" fillId="4" borderId="5" xfId="0" applyFont="1" applyFill="1" applyBorder="1"/>
    <xf numFmtId="0" fontId="32" fillId="4" borderId="6" xfId="0" applyFont="1" applyFill="1" applyBorder="1"/>
    <xf numFmtId="0" fontId="34" fillId="4" borderId="6" xfId="0" applyFont="1" applyFill="1" applyBorder="1"/>
    <xf numFmtId="0" fontId="35" fillId="4" borderId="8" xfId="0" applyFont="1" applyFill="1" applyBorder="1"/>
    <xf numFmtId="0" fontId="40" fillId="4" borderId="6" xfId="0" applyFont="1" applyFill="1" applyBorder="1"/>
    <xf numFmtId="0" fontId="41" fillId="4" borderId="6" xfId="0" applyFont="1" applyFill="1" applyBorder="1"/>
    <xf numFmtId="0" fontId="38" fillId="4" borderId="6" xfId="0" applyFont="1" applyFill="1" applyBorder="1"/>
    <xf numFmtId="0" fontId="24" fillId="11" borderId="6" xfId="0" applyFont="1" applyFill="1" applyBorder="1" applyAlignment="1">
      <alignment horizontal="right"/>
    </xf>
    <xf numFmtId="0" fontId="30" fillId="4" borderId="8" xfId="0" applyFont="1" applyFill="1" applyBorder="1"/>
    <xf numFmtId="0" fontId="35" fillId="4" borderId="5" xfId="0" applyFont="1" applyFill="1" applyBorder="1" applyAlignment="1">
      <alignment vertical="center"/>
    </xf>
    <xf numFmtId="0" fontId="30" fillId="4" borderId="3" xfId="0" applyFont="1" applyFill="1" applyBorder="1"/>
    <xf numFmtId="0" fontId="30" fillId="4" borderId="10" xfId="0" applyFont="1" applyFill="1" applyBorder="1"/>
    <xf numFmtId="0" fontId="30" fillId="11" borderId="4" xfId="0" applyFont="1" applyFill="1" applyBorder="1"/>
    <xf numFmtId="0" fontId="24" fillId="4" borderId="8" xfId="0" applyFont="1" applyFill="1" applyBorder="1"/>
    <xf numFmtId="0" fontId="42" fillId="4" borderId="5" xfId="0" applyFont="1" applyFill="1" applyBorder="1"/>
    <xf numFmtId="0" fontId="42" fillId="4" borderId="6" xfId="0" applyFont="1" applyFill="1" applyBorder="1"/>
    <xf numFmtId="0" fontId="43" fillId="11" borderId="6" xfId="0" applyFont="1" applyFill="1" applyBorder="1" applyAlignment="1">
      <alignment horizontal="center"/>
    </xf>
    <xf numFmtId="0" fontId="26" fillId="4" borderId="6" xfId="0" applyFont="1" applyFill="1" applyBorder="1"/>
    <xf numFmtId="0" fontId="43" fillId="4" borderId="6" xfId="0" applyFont="1" applyFill="1" applyBorder="1"/>
    <xf numFmtId="0" fontId="30" fillId="4" borderId="1" xfId="0" applyFont="1" applyFill="1" applyBorder="1"/>
    <xf numFmtId="0" fontId="30" fillId="11" borderId="8" xfId="0" applyFont="1" applyFill="1" applyBorder="1"/>
    <xf numFmtId="0" fontId="24" fillId="11" borderId="8" xfId="0" applyFont="1" applyFill="1" applyBorder="1"/>
    <xf numFmtId="0" fontId="30" fillId="8" borderId="6" xfId="0" applyFont="1" applyFill="1" applyBorder="1"/>
    <xf numFmtId="0" fontId="37" fillId="8" borderId="6" xfId="0" applyFont="1" applyFill="1" applyBorder="1"/>
    <xf numFmtId="0" fontId="35" fillId="8" borderId="6" xfId="0" applyFont="1" applyFill="1" applyBorder="1"/>
    <xf numFmtId="0" fontId="31" fillId="8" borderId="6" xfId="0" applyFont="1" applyFill="1" applyBorder="1"/>
    <xf numFmtId="0" fontId="32" fillId="8" borderId="6" xfId="0" applyFont="1" applyFill="1" applyBorder="1"/>
    <xf numFmtId="0" fontId="24" fillId="8" borderId="6" xfId="0" applyFont="1" applyFill="1" applyBorder="1"/>
    <xf numFmtId="0" fontId="33" fillId="8" borderId="6" xfId="0" applyFont="1" applyFill="1" applyBorder="1"/>
    <xf numFmtId="0" fontId="38" fillId="8" borderId="6" xfId="0" applyFont="1" applyFill="1" applyBorder="1"/>
    <xf numFmtId="0" fontId="35" fillId="8" borderId="6" xfId="0" applyFont="1" applyFill="1" applyBorder="1" applyAlignment="1">
      <alignment horizontal="center"/>
    </xf>
    <xf numFmtId="0" fontId="36" fillId="8" borderId="6" xfId="0" applyFont="1" applyFill="1" applyBorder="1"/>
    <xf numFmtId="0" fontId="34" fillId="8" borderId="6" xfId="0" applyFont="1" applyFill="1" applyBorder="1"/>
    <xf numFmtId="0" fontId="24" fillId="8" borderId="6" xfId="0" applyFont="1" applyFill="1" applyBorder="1" applyAlignment="1">
      <alignment horizontal="left" vertical="top"/>
    </xf>
    <xf numFmtId="0" fontId="30" fillId="4" borderId="2" xfId="0" applyFont="1" applyFill="1" applyBorder="1"/>
    <xf numFmtId="0" fontId="30" fillId="11" borderId="5" xfId="0" applyFont="1" applyFill="1" applyBorder="1"/>
    <xf numFmtId="0" fontId="30" fillId="4" borderId="5" xfId="0" applyFont="1" applyFill="1" applyBorder="1" applyAlignment="1">
      <alignment horizontal="left"/>
    </xf>
    <xf numFmtId="0" fontId="26" fillId="4" borderId="5" xfId="0" applyFont="1" applyFill="1" applyBorder="1"/>
    <xf numFmtId="0" fontId="24" fillId="11" borderId="5" xfId="0" applyFont="1" applyFill="1" applyBorder="1"/>
    <xf numFmtId="0" fontId="33" fillId="4" borderId="5" xfId="0" applyFont="1" applyFill="1" applyBorder="1"/>
    <xf numFmtId="0" fontId="38" fillId="4" borderId="5" xfId="0" applyFont="1" applyFill="1" applyBorder="1"/>
    <xf numFmtId="0" fontId="30" fillId="4" borderId="6" xfId="0" applyFont="1" applyFill="1" applyBorder="1" applyAlignment="1">
      <alignment horizontal="left"/>
    </xf>
    <xf numFmtId="0" fontId="44" fillId="4" borderId="5" xfId="0" applyFont="1" applyFill="1" applyBorder="1"/>
    <xf numFmtId="0" fontId="44" fillId="4" borderId="6" xfId="0" applyFont="1" applyFill="1" applyBorder="1"/>
    <xf numFmtId="0" fontId="37" fillId="4" borderId="3" xfId="0" applyFont="1" applyFill="1" applyBorder="1"/>
    <xf numFmtId="0" fontId="24" fillId="4" borderId="4" xfId="0" applyFont="1" applyFill="1" applyBorder="1"/>
    <xf numFmtId="0" fontId="32" fillId="4" borderId="8" xfId="0" applyFont="1" applyFill="1" applyBorder="1"/>
    <xf numFmtId="0" fontId="24" fillId="4" borderId="1" xfId="0" applyFont="1" applyFill="1" applyBorder="1"/>
    <xf numFmtId="0" fontId="24" fillId="4" borderId="11" xfId="0" applyFont="1" applyFill="1" applyBorder="1"/>
    <xf numFmtId="0" fontId="30" fillId="0" borderId="0" xfId="0" applyFont="1"/>
    <xf numFmtId="0" fontId="30" fillId="11" borderId="0" xfId="0" applyFont="1" applyFill="1"/>
    <xf numFmtId="0" fontId="24" fillId="11" borderId="6" xfId="0" applyFont="1" applyFill="1" applyBorder="1" applyAlignment="1">
      <alignment horizontal="center"/>
    </xf>
    <xf numFmtId="0" fontId="27" fillId="12" borderId="6" xfId="0" applyFont="1" applyFill="1" applyBorder="1" applyAlignment="1">
      <alignment horizontal="center" vertical="center"/>
    </xf>
    <xf numFmtId="0" fontId="45" fillId="2" borderId="0" xfId="0" applyFont="1" applyFill="1"/>
    <xf numFmtId="0" fontId="34" fillId="3" borderId="6" xfId="0" applyFont="1" applyFill="1" applyBorder="1" applyAlignment="1">
      <alignment horizontal="left" vertical="center"/>
    </xf>
    <xf numFmtId="0" fontId="34" fillId="3" borderId="6" xfId="0" applyFont="1" applyFill="1" applyBorder="1" applyAlignment="1">
      <alignment horizontal="center" vertical="center"/>
    </xf>
    <xf numFmtId="0" fontId="34" fillId="12" borderId="6" xfId="0" applyFont="1" applyFill="1" applyBorder="1" applyAlignment="1">
      <alignment horizontal="center" vertical="center"/>
    </xf>
    <xf numFmtId="0" fontId="34" fillId="7" borderId="6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12" borderId="2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34" fillId="12" borderId="4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5" fillId="9" borderId="6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vertical="center"/>
    </xf>
    <xf numFmtId="0" fontId="15" fillId="14" borderId="6" xfId="0" applyFont="1" applyFill="1" applyBorder="1" applyAlignment="1">
      <alignment horizontal="center" vertical="center" wrapText="1"/>
    </xf>
    <xf numFmtId="14" fontId="15" fillId="14" borderId="6" xfId="0" applyNumberFormat="1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34" fillId="3" borderId="6" xfId="0" applyFont="1" applyFill="1" applyBorder="1" applyAlignment="1">
      <alignment vertical="center"/>
    </xf>
    <xf numFmtId="0" fontId="34" fillId="7" borderId="6" xfId="0" applyFont="1" applyFill="1" applyBorder="1" applyAlignment="1">
      <alignment vertical="center"/>
    </xf>
    <xf numFmtId="0" fontId="34" fillId="3" borderId="2" xfId="0" applyFont="1" applyFill="1" applyBorder="1" applyAlignment="1">
      <alignment vertical="center"/>
    </xf>
    <xf numFmtId="0" fontId="34" fillId="3" borderId="4" xfId="0" applyFont="1" applyFill="1" applyBorder="1" applyAlignment="1">
      <alignment vertical="center"/>
    </xf>
    <xf numFmtId="0" fontId="34" fillId="3" borderId="1" xfId="0" applyFont="1" applyFill="1" applyBorder="1" applyAlignment="1">
      <alignment vertical="center"/>
    </xf>
    <xf numFmtId="0" fontId="37" fillId="3" borderId="6" xfId="0" applyFont="1" applyFill="1" applyBorder="1" applyAlignment="1">
      <alignment horizontal="left" vertical="center"/>
    </xf>
    <xf numFmtId="0" fontId="24" fillId="3" borderId="6" xfId="0" applyFont="1" applyFill="1" applyBorder="1" applyAlignment="1">
      <alignment horizontal="left" vertical="center"/>
    </xf>
    <xf numFmtId="164" fontId="12" fillId="0" borderId="6" xfId="1" applyNumberFormat="1" applyFont="1" applyFill="1" applyBorder="1" applyAlignment="1">
      <alignment horizontal="center" vertical="center"/>
    </xf>
    <xf numFmtId="164" fontId="18" fillId="0" borderId="3" xfId="1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37" fillId="2" borderId="6" xfId="0" applyFont="1" applyFill="1" applyBorder="1" applyAlignment="1">
      <alignment horizontal="center"/>
    </xf>
    <xf numFmtId="0" fontId="34" fillId="3" borderId="2" xfId="0" applyFont="1" applyFill="1" applyBorder="1" applyAlignment="1">
      <alignment horizontal="left" vertical="center"/>
    </xf>
    <xf numFmtId="0" fontId="47" fillId="15" borderId="0" xfId="0" applyFont="1" applyFill="1"/>
    <xf numFmtId="0" fontId="48" fillId="15" borderId="0" xfId="0" applyFont="1" applyFill="1"/>
    <xf numFmtId="165" fontId="15" fillId="9" borderId="4" xfId="0" applyNumberFormat="1" applyFont="1" applyFill="1" applyBorder="1" applyAlignment="1">
      <alignment horizontal="center" vertical="center" textRotation="72" wrapText="1"/>
    </xf>
    <xf numFmtId="164" fontId="10" fillId="0" borderId="4" xfId="1" applyNumberFormat="1" applyFont="1" applyBorder="1" applyAlignment="1">
      <alignment horizontal="center" vertical="center"/>
    </xf>
    <xf numFmtId="164" fontId="10" fillId="13" borderId="4" xfId="1" applyNumberFormat="1" applyFont="1" applyFill="1" applyBorder="1" applyAlignment="1">
      <alignment horizontal="center" vertical="center"/>
    </xf>
    <xf numFmtId="164" fontId="49" fillId="0" borderId="6" xfId="0" applyNumberFormat="1" applyFont="1" applyBorder="1" applyAlignment="1">
      <alignment horizontal="center" vertical="center"/>
    </xf>
    <xf numFmtId="0" fontId="0" fillId="17" borderId="6" xfId="0" applyFill="1" applyBorder="1" applyAlignment="1">
      <alignment horizontal="center"/>
    </xf>
    <xf numFmtId="14" fontId="0" fillId="17" borderId="6" xfId="0" applyNumberFormat="1" applyFill="1" applyBorder="1" applyAlignment="1">
      <alignment horizontal="center"/>
    </xf>
    <xf numFmtId="0" fontId="0" fillId="17" borderId="6" xfId="0" applyFill="1" applyBorder="1" applyAlignment="1">
      <alignment horizontal="center" vertical="center"/>
    </xf>
    <xf numFmtId="164" fontId="0" fillId="17" borderId="6" xfId="0" applyNumberFormat="1" applyFill="1" applyBorder="1" applyAlignment="1">
      <alignment horizontal="center"/>
    </xf>
    <xf numFmtId="16" fontId="15" fillId="14" borderId="6" xfId="0" applyNumberFormat="1" applyFont="1" applyFill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7" fillId="2" borderId="0" xfId="0" applyFont="1" applyFill="1"/>
    <xf numFmtId="164" fontId="17" fillId="2" borderId="6" xfId="0" applyNumberFormat="1" applyFont="1" applyFill="1" applyBorder="1" applyAlignment="1">
      <alignment horizontal="center"/>
    </xf>
    <xf numFmtId="0" fontId="16" fillId="18" borderId="2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/>
    </xf>
    <xf numFmtId="1" fontId="17" fillId="2" borderId="6" xfId="0" applyNumberFormat="1" applyFont="1" applyFill="1" applyBorder="1" applyAlignment="1">
      <alignment horizontal="center"/>
    </xf>
    <xf numFmtId="164" fontId="50" fillId="0" borderId="6" xfId="1" applyNumberFormat="1" applyFont="1" applyFill="1" applyBorder="1" applyAlignment="1">
      <alignment horizontal="center" vertical="center"/>
    </xf>
    <xf numFmtId="0" fontId="51" fillId="4" borderId="6" xfId="0" applyFont="1" applyFill="1" applyBorder="1"/>
    <xf numFmtId="2" fontId="17" fillId="2" borderId="6" xfId="0" applyNumberFormat="1" applyFont="1" applyFill="1" applyBorder="1" applyAlignment="1">
      <alignment horizontal="center"/>
    </xf>
    <xf numFmtId="164" fontId="6" fillId="0" borderId="3" xfId="1" applyNumberFormat="1" applyFont="1" applyFill="1" applyBorder="1" applyAlignment="1">
      <alignment horizontal="center" vertical="center"/>
    </xf>
    <xf numFmtId="0" fontId="52" fillId="4" borderId="6" xfId="0" applyFont="1" applyFill="1" applyBorder="1"/>
    <xf numFmtId="164" fontId="7" fillId="0" borderId="4" xfId="0" applyNumberFormat="1" applyFont="1" applyBorder="1" applyAlignment="1">
      <alignment horizontal="center" vertical="top"/>
    </xf>
    <xf numFmtId="164" fontId="7" fillId="0" borderId="6" xfId="0" applyNumberFormat="1" applyFont="1" applyBorder="1" applyAlignment="1">
      <alignment horizontal="center" vertical="top"/>
    </xf>
    <xf numFmtId="164" fontId="15" fillId="0" borderId="5" xfId="0" applyNumberFormat="1" applyFont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vertical="center" wrapText="1"/>
    </xf>
    <xf numFmtId="165" fontId="15" fillId="16" borderId="6" xfId="0" applyNumberFormat="1" applyFont="1" applyFill="1" applyBorder="1" applyAlignment="1">
      <alignment horizontal="center" vertical="center" wrapText="1"/>
    </xf>
    <xf numFmtId="164" fontId="15" fillId="16" borderId="6" xfId="0" applyNumberFormat="1" applyFont="1" applyFill="1" applyBorder="1" applyAlignment="1">
      <alignment horizontal="center" vertical="center" wrapText="1"/>
    </xf>
    <xf numFmtId="0" fontId="52" fillId="8" borderId="6" xfId="0" applyFont="1" applyFill="1" applyBorder="1"/>
    <xf numFmtId="164" fontId="21" fillId="0" borderId="4" xfId="0" applyNumberFormat="1" applyFont="1" applyBorder="1" applyAlignment="1">
      <alignment horizontal="center" vertical="top"/>
    </xf>
    <xf numFmtId="2" fontId="0" fillId="2" borderId="6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164" fontId="50" fillId="0" borderId="6" xfId="0" applyNumberFormat="1" applyFont="1" applyBorder="1" applyAlignment="1">
      <alignment horizontal="center" vertical="top"/>
    </xf>
    <xf numFmtId="0" fontId="34" fillId="4" borderId="5" xfId="0" applyFont="1" applyFill="1" applyBorder="1"/>
    <xf numFmtId="0" fontId="17" fillId="2" borderId="8" xfId="0" applyFont="1" applyFill="1" applyBorder="1" applyAlignment="1">
      <alignment horizontal="center"/>
    </xf>
    <xf numFmtId="164" fontId="17" fillId="2" borderId="8" xfId="0" applyNumberFormat="1" applyFont="1" applyFill="1" applyBorder="1" applyAlignment="1">
      <alignment horizontal="center"/>
    </xf>
    <xf numFmtId="1" fontId="17" fillId="2" borderId="8" xfId="0" applyNumberFormat="1" applyFont="1" applyFill="1" applyBorder="1" applyAlignment="1">
      <alignment horizontal="center"/>
    </xf>
    <xf numFmtId="2" fontId="17" fillId="2" borderId="8" xfId="0" applyNumberFormat="1" applyFont="1" applyFill="1" applyBorder="1" applyAlignment="1">
      <alignment horizontal="center"/>
    </xf>
    <xf numFmtId="0" fontId="16" fillId="18" borderId="7" xfId="0" applyFont="1" applyFill="1" applyBorder="1" applyAlignment="1">
      <alignment horizontal="center" vertical="center" wrapText="1"/>
    </xf>
    <xf numFmtId="0" fontId="53" fillId="15" borderId="0" xfId="0" applyFont="1" applyFill="1"/>
    <xf numFmtId="164" fontId="7" fillId="0" borderId="6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57" fillId="21" borderId="12" xfId="0" applyFont="1" applyFill="1" applyBorder="1"/>
    <xf numFmtId="164" fontId="57" fillId="21" borderId="12" xfId="0" applyNumberFormat="1" applyFont="1" applyFill="1" applyBorder="1" applyAlignment="1">
      <alignment horizontal="center"/>
    </xf>
    <xf numFmtId="168" fontId="57" fillId="21" borderId="12" xfId="0" applyNumberFormat="1" applyFont="1" applyFill="1" applyBorder="1" applyAlignment="1">
      <alignment horizontal="center"/>
    </xf>
    <xf numFmtId="0" fontId="0" fillId="22" borderId="0" xfId="0" applyFill="1"/>
    <xf numFmtId="164" fontId="0" fillId="22" borderId="0" xfId="0" applyNumberFormat="1" applyFill="1" applyAlignment="1">
      <alignment horizontal="center"/>
    </xf>
    <xf numFmtId="168" fontId="0" fillId="22" borderId="0" xfId="0" applyNumberFormat="1" applyFill="1" applyAlignment="1">
      <alignment horizontal="center"/>
    </xf>
    <xf numFmtId="14" fontId="17" fillId="2" borderId="6" xfId="0" applyNumberFormat="1" applyFont="1" applyFill="1" applyBorder="1" applyAlignment="1">
      <alignment horizontal="center"/>
    </xf>
    <xf numFmtId="0" fontId="17" fillId="2" borderId="6" xfId="0" applyFont="1" applyFill="1" applyBorder="1" applyAlignment="1">
      <alignment horizontal="left"/>
    </xf>
    <xf numFmtId="0" fontId="0" fillId="17" borderId="0" xfId="0" applyFill="1" applyAlignment="1">
      <alignment horizontal="center"/>
    </xf>
    <xf numFmtId="0" fontId="0" fillId="17" borderId="0" xfId="0" applyFill="1"/>
    <xf numFmtId="0" fontId="0" fillId="23" borderId="6" xfId="0" applyFill="1" applyBorder="1" applyAlignment="1">
      <alignment horizontal="center"/>
    </xf>
    <xf numFmtId="0" fontId="30" fillId="23" borderId="6" xfId="0" applyFont="1" applyFill="1" applyBorder="1"/>
    <xf numFmtId="14" fontId="17" fillId="2" borderId="8" xfId="0" applyNumberFormat="1" applyFont="1" applyFill="1" applyBorder="1" applyAlignment="1">
      <alignment horizontal="center"/>
    </xf>
    <xf numFmtId="0" fontId="17" fillId="2" borderId="8" xfId="0" applyFont="1" applyFill="1" applyBorder="1" applyAlignment="1">
      <alignment horizontal="left"/>
    </xf>
    <xf numFmtId="16" fontId="0" fillId="0" borderId="6" xfId="0" applyNumberFormat="1" applyBorder="1" applyAlignment="1">
      <alignment horizontal="center"/>
    </xf>
    <xf numFmtId="0" fontId="7" fillId="0" borderId="6" xfId="0" applyFont="1" applyBorder="1" applyAlignment="1">
      <alignment horizontal="center" vertical="top"/>
    </xf>
    <xf numFmtId="0" fontId="0" fillId="17" borderId="6" xfId="0" applyFill="1" applyBorder="1"/>
    <xf numFmtId="0" fontId="34" fillId="4" borderId="3" xfId="0" applyFont="1" applyFill="1" applyBorder="1"/>
    <xf numFmtId="2" fontId="0" fillId="17" borderId="6" xfId="0" applyNumberFormat="1" applyFill="1" applyBorder="1" applyAlignment="1">
      <alignment horizontal="center"/>
    </xf>
    <xf numFmtId="0" fontId="34" fillId="4" borderId="5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24" fillId="4" borderId="6" xfId="0" applyFont="1" applyFill="1" applyBorder="1" applyAlignment="1">
      <alignment horizontal="left" vertical="center" wrapText="1"/>
    </xf>
    <xf numFmtId="0" fontId="30" fillId="4" borderId="7" xfId="0" applyFont="1" applyFill="1" applyBorder="1"/>
    <xf numFmtId="164" fontId="60" fillId="0" borderId="6" xfId="0" applyNumberFormat="1" applyFont="1" applyBorder="1" applyAlignment="1">
      <alignment horizontal="center"/>
    </xf>
    <xf numFmtId="0" fontId="30" fillId="11" borderId="13" xfId="0" applyFont="1" applyFill="1" applyBorder="1"/>
    <xf numFmtId="0" fontId="30" fillId="4" borderId="14" xfId="0" applyFont="1" applyFill="1" applyBorder="1"/>
    <xf numFmtId="0" fontId="30" fillId="4" borderId="15" xfId="0" applyFont="1" applyFill="1" applyBorder="1"/>
    <xf numFmtId="0" fontId="30" fillId="24" borderId="10" xfId="0" applyFont="1" applyFill="1" applyBorder="1"/>
    <xf numFmtId="0" fontId="37" fillId="24" borderId="6" xfId="0" applyFont="1" applyFill="1" applyBorder="1"/>
    <xf numFmtId="164" fontId="7" fillId="0" borderId="6" xfId="0" applyNumberFormat="1" applyFont="1" applyBorder="1" applyAlignment="1">
      <alignment horizontal="center"/>
    </xf>
    <xf numFmtId="0" fontId="10" fillId="0" borderId="8" xfId="0" applyFont="1" applyBorder="1" applyAlignment="1">
      <alignment vertical="center"/>
    </xf>
    <xf numFmtId="0" fontId="10" fillId="25" borderId="8" xfId="0" applyFont="1" applyFill="1" applyBorder="1" applyAlignment="1">
      <alignment horizontal="left" vertical="center"/>
    </xf>
    <xf numFmtId="0" fontId="37" fillId="4" borderId="6" xfId="0" applyFont="1" applyFill="1" applyBorder="1" applyAlignment="1">
      <alignment horizontal="left"/>
    </xf>
    <xf numFmtId="0" fontId="26" fillId="4" borderId="6" xfId="0" applyFont="1" applyFill="1" applyBorder="1" applyAlignment="1">
      <alignment horizontal="left"/>
    </xf>
    <xf numFmtId="0" fontId="31" fillId="4" borderId="3" xfId="0" applyFont="1" applyFill="1" applyBorder="1"/>
    <xf numFmtId="0" fontId="29" fillId="3" borderId="8" xfId="0" applyFont="1" applyFill="1" applyBorder="1" applyAlignment="1">
      <alignment horizontal="center" vertical="center"/>
    </xf>
    <xf numFmtId="0" fontId="29" fillId="3" borderId="11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0" fontId="29" fillId="7" borderId="6" xfId="0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/>
    </xf>
    <xf numFmtId="0" fontId="37" fillId="4" borderId="8" xfId="0" applyFont="1" applyFill="1" applyBorder="1" applyAlignment="1">
      <alignment horizontal="center" vertical="center" wrapText="1"/>
    </xf>
    <xf numFmtId="0" fontId="37" fillId="4" borderId="11" xfId="0" applyFont="1" applyFill="1" applyBorder="1" applyAlignment="1">
      <alignment horizontal="center" vertical="center" wrapText="1"/>
    </xf>
    <xf numFmtId="0" fontId="37" fillId="4" borderId="5" xfId="0" applyFont="1" applyFill="1" applyBorder="1" applyAlignment="1">
      <alignment horizontal="center" vertical="center" wrapText="1"/>
    </xf>
    <xf numFmtId="0" fontId="56" fillId="19" borderId="0" xfId="0" applyFont="1" applyFill="1" applyAlignment="1">
      <alignment horizontal="left" vertical="center"/>
    </xf>
    <xf numFmtId="0" fontId="54" fillId="19" borderId="0" xfId="0" applyFont="1" applyFill="1" applyAlignment="1">
      <alignment horizontal="center" vertical="center"/>
    </xf>
    <xf numFmtId="0" fontId="55" fillId="20" borderId="0" xfId="0" applyFont="1" applyFill="1" applyAlignment="1">
      <alignment horizontal="center"/>
    </xf>
    <xf numFmtId="0" fontId="3" fillId="4" borderId="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3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Display"/>
        <family val="2"/>
        <scheme val="maj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rgb="FF000000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5" formatCode="[$-409]d\-m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</dxf>
    <dxf>
      <font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5" formatCode="[$-409]d\-m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0000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5" formatCode="[$-409]d\-mmm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ptos Display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5" formatCode="[$-409]d\-m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ptos Display"/>
        <family val="2"/>
        <scheme val="major"/>
      </font>
      <numFmt numFmtId="19" formatCode="m/d/yyyy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ptos Display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5" formatCode="[$-409]d\-m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ptos Display"/>
        <family val="2"/>
        <scheme val="major"/>
      </font>
      <numFmt numFmtId="19" formatCode="m/d/yyyy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100</xdr:row>
      <xdr:rowOff>47625</xdr:rowOff>
    </xdr:from>
    <xdr:to>
      <xdr:col>9</xdr:col>
      <xdr:colOff>3021683</xdr:colOff>
      <xdr:row>116</xdr:row>
      <xdr:rowOff>32383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1A4A3A-1F3A-4938-A3DF-85C9C4B0385A}"/>
            </a:ext>
            <a:ext uri="{147F2762-F138-4A5C-976F-8EAC2B608ADB}">
              <a16:predDERef xmlns:a16="http://schemas.microsoft.com/office/drawing/2014/main" pred="{52D0875D-CE78-35C9-1511-A1C31E37E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22059900"/>
          <a:ext cx="13487400" cy="30327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a Zumkeller" id="{612FD117-5BF9-426D-B987-BA9BB97D92D2}" userId="S::mzumkeller@langetwins.com::93041f9f-6095-46c9-b58d-c8ee07cbec2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113F2-68F7-48F2-A6D3-07A4EF0D7487}" name="Table1" displayName="Table1" ref="A2:EC318" totalsRowShown="0" headerRowDxfId="333" dataDxfId="332" tableBorderDxfId="331">
  <autoFilter ref="A2:EC318" xr:uid="{840113F2-68F7-48F2-A6D3-07A4EF0D7487}">
    <filterColumn colId="0">
      <filters blank="1"/>
    </filterColumn>
  </autoFilter>
  <tableColumns count="133">
    <tableColumn id="1" xr3:uid="{EE4770BE-0801-4D2E-95B0-C82AA57EDE2F}" name="DONE?" dataDxfId="330"/>
    <tableColumn id="5" xr3:uid="{EB9E6CC6-42CD-44F4-92A0-FF6A52E8563F}" name="CODE" dataDxfId="329"/>
    <tableColumn id="6" xr3:uid="{E1F149E7-8036-44CD-9218-190E07B39555}" name="VINEYARD" dataDxfId="328"/>
    <tableColumn id="123" xr3:uid="{53A2232C-6663-4296-91E1-60C3AF3CC50F}" name="VARIETY" dataDxfId="327"/>
    <tableColumn id="130" xr3:uid="{50676DE2-3364-4A92-AE24-1DD60E6598D1}" name="ACRES" dataDxfId="326"/>
    <tableColumn id="124" xr3:uid="{DB30A056-6A64-413B-B917-7A1013FD41D6}" name="WINERY" dataDxfId="325"/>
    <tableColumn id="7" xr3:uid="{EC37F054-2E9E-4511-91C5-3FBACA4C5E7C}" name="LAST SAMPLE DATE" dataDxfId="324">
      <calculatedColumnFormula array="1">IFERROR(LOOKUP(2,1/(K3:GC3&lt;&gt;""),K$2:DQL$2),"")</calculatedColumnFormula>
    </tableColumn>
    <tableColumn id="8" xr3:uid="{E3A8B04D-C154-4545-9805-98BD96F1A06A}" name="LAST BRIX" dataDxfId="323">
      <calculatedColumnFormula array="1">IFERROR(_xlfn.XLOOKUP(TRUE,P3:ED3&lt;&gt;"",P3:ED3,,,-1)," ")</calculatedColumnFormula>
    </tableColumn>
    <tableColumn id="9" xr3:uid="{EBF0059F-4393-4AF9-A48B-EA5D9FCA2518}" name="BRIX MIN" dataDxfId="322" dataCellStyle="Comma"/>
    <tableColumn id="17" xr3:uid="{49F01B0E-8F77-4F69-AD14-BC38B030E17B}" name="BRIX MAX" dataDxfId="321" dataCellStyle="Comma"/>
    <tableColumn id="132" xr3:uid="{08E856CB-CDBE-4810-988A-B1093735E3E3}" name="2-Jul" dataDxfId="320" dataCellStyle="Comma"/>
    <tableColumn id="133" xr3:uid="{18FD6F04-7932-4F9F-9824-DFA0796E3F58}" name="3-Jul" dataDxfId="319" dataCellStyle="Comma"/>
    <tableColumn id="134" xr3:uid="{AA465FAC-AE95-41EF-A556-2C6057F6AF16}" name="4-Jul" dataDxfId="318" dataCellStyle="Comma"/>
    <tableColumn id="2" xr3:uid="{E04C21D5-83D7-4CC4-BB41-D6E0E942506D}" name="5-Jul" dataDxfId="317" dataCellStyle="Comma"/>
    <tableColumn id="126" xr3:uid="{DFCF5087-3DA9-4E47-BF04-43F98663D93F}" name="6-Jul" dataDxfId="316" dataCellStyle="Comma"/>
    <tableColumn id="127" xr3:uid="{917CF85F-03DC-4500-9803-9D3B9444E256}" name="7-Jul" dataDxfId="315" dataCellStyle="Comma"/>
    <tableColumn id="128" xr3:uid="{2F39AB78-4E8F-4B88-AB61-3A4015748C84}" name="8-Jul" dataDxfId="314" dataCellStyle="Comma"/>
    <tableColumn id="129" xr3:uid="{314CE907-530A-4ECF-A173-D95696B7D6BE}" name="9-Jul" dataDxfId="313" dataCellStyle="Comma"/>
    <tableColumn id="16" xr3:uid="{65F90B33-1595-4847-B4B3-700BAC5C7B1D}" name="10-Jul" dataDxfId="312" dataCellStyle="Comma"/>
    <tableColumn id="15" xr3:uid="{DB210F40-5878-4942-A045-44B73E437E90}" name="11-Jul" dataDxfId="311" dataCellStyle="Comma"/>
    <tableColumn id="14" xr3:uid="{C455782B-3D8F-4648-9AC9-0330ECCCC9CC}" name="12-Jul" dataDxfId="310" dataCellStyle="Comma"/>
    <tableColumn id="13" xr3:uid="{90BB24C7-AF4B-47E6-8FAC-8757D19782C9}" name="13-Jul" dataDxfId="309" dataCellStyle="Comma"/>
    <tableColumn id="12" xr3:uid="{E8D5A840-99F5-49E6-A2CE-FD1690D80C5F}" name="14-Jul" dataDxfId="308" dataCellStyle="Comma"/>
    <tableColumn id="4" xr3:uid="{CC1D063D-7244-47E2-9C0B-563AC9970DC4}" name="15-Jul" dataDxfId="307" dataCellStyle="Comma"/>
    <tableColumn id="125" xr3:uid="{D1E9A2E0-5AD6-43DB-A2B5-6CCA5DDF88B6}" name="16-Jul" dataDxfId="306" dataCellStyle="Comma"/>
    <tableColumn id="19" xr3:uid="{4E885E23-7EED-4FBD-BAE7-7DBC197EEB6F}" name="17-Jul" dataDxfId="305" dataCellStyle="Comma"/>
    <tableColumn id="18" xr3:uid="{CEF481FA-5FDB-4250-85F8-8CE7E5067792}" name="18-Jul" dataDxfId="304" dataCellStyle="Comma"/>
    <tableColumn id="11" xr3:uid="{629027D3-78DD-4FE3-8496-1CC006B3AA8A}" name="19-Jul" dataDxfId="303" dataCellStyle="Comma"/>
    <tableColumn id="10" xr3:uid="{5C0E6D36-4EC2-41E4-B518-5577168028B7}" name="20-Jul" dataDxfId="302" dataCellStyle="Comma"/>
    <tableColumn id="3" xr3:uid="{CF84F83F-D460-4FCA-842D-DDEF2E9F7884}" name="21-Jul" dataDxfId="301" dataCellStyle="Comma"/>
    <tableColumn id="20" xr3:uid="{A68DF11C-869D-457A-AC77-AEC8AF68DC8F}" name="22-Jul" dataDxfId="300"/>
    <tableColumn id="21" xr3:uid="{A2E1655C-409A-4CBB-883D-DBB7D841D889}" name="23-Jul" dataDxfId="299"/>
    <tableColumn id="22" xr3:uid="{B1BBBD82-41A4-423F-B55D-71A8491B6899}" name="24-Jul" dataDxfId="298"/>
    <tableColumn id="23" xr3:uid="{BC01E9D3-FA5D-43DB-97F4-4DA83CF86C18}" name="25-Jul" dataDxfId="297"/>
    <tableColumn id="24" xr3:uid="{5BB4406D-CE7C-4895-AD3A-48355E467EF9}" name="26-Jul" dataDxfId="296"/>
    <tableColumn id="25" xr3:uid="{FE86924D-D953-4660-BFA2-E945553D4A81}" name="27-Jul" dataDxfId="295"/>
    <tableColumn id="26" xr3:uid="{18614EE5-41CF-45DA-9855-3D0DFEEFA34B}" name="28-Jul" dataDxfId="294"/>
    <tableColumn id="27" xr3:uid="{95842FAF-E143-4C3C-96BA-7FFE0C63DA47}" name="29-Jul" dataDxfId="293"/>
    <tableColumn id="28" xr3:uid="{11B224B3-8F9B-4264-980A-1A14D39770AF}" name="30-Jul" dataDxfId="292"/>
    <tableColumn id="29" xr3:uid="{6EC3141E-20DD-4EB5-A3D4-FAEF16D8668B}" name="31-Jul" dataDxfId="291"/>
    <tableColumn id="30" xr3:uid="{7EFDEA4B-85DD-4FC8-B67C-B9182AA850C9}" name="1-Aug" dataDxfId="290"/>
    <tableColumn id="31" xr3:uid="{4A25330C-9CDD-4B46-B540-4073396A4DA0}" name="2-Aug" dataDxfId="289"/>
    <tableColumn id="32" xr3:uid="{8D78FDB0-7825-43E4-9838-DF80F5DBC909}" name="3-Aug" dataDxfId="288"/>
    <tableColumn id="33" xr3:uid="{27AB084D-BC2B-4247-9444-A0D10AAA74BE}" name="4-Aug" dataDxfId="287"/>
    <tableColumn id="34" xr3:uid="{7E079C41-C368-4630-A84C-5712DD94C393}" name="5-Aug" dataDxfId="286"/>
    <tableColumn id="35" xr3:uid="{BFE05AD8-CB04-4922-82F5-66B02D41D84D}" name="6-Aug" dataDxfId="285"/>
    <tableColumn id="36" xr3:uid="{2B1202AD-E196-4412-86D2-B52F12F07FCD}" name="7-Aug" dataDxfId="284"/>
    <tableColumn id="37" xr3:uid="{D5A7CE4E-52F2-458E-ADCB-F0CB7BF55EA5}" name="8-Aug" dataDxfId="283"/>
    <tableColumn id="38" xr3:uid="{04023864-BE38-41F4-B3C5-0AA19A79345A}" name="9-Aug" dataDxfId="282"/>
    <tableColumn id="39" xr3:uid="{BAA5414A-37FF-4015-8248-0D18EFDD55BA}" name="10-Aug" dataDxfId="281"/>
    <tableColumn id="40" xr3:uid="{AF21CE0D-552A-40BB-B307-2BFC92B34C73}" name="11-Aug" dataDxfId="280"/>
    <tableColumn id="41" xr3:uid="{96A5899F-0EFE-4624-BDD1-C4D5187A86E8}" name="12-Aug" dataDxfId="279"/>
    <tableColumn id="42" xr3:uid="{C33221FE-F245-4F99-95DD-3DE36F9228E8}" name="13-Aug" dataDxfId="278"/>
    <tableColumn id="43" xr3:uid="{A55BD5CC-7DF4-4DA6-95E2-AC22CB45229A}" name="14-Aug" dataDxfId="277"/>
    <tableColumn id="44" xr3:uid="{102E8683-7502-4D20-9CF9-A10821EE0562}" name="15-Aug" dataDxfId="276"/>
    <tableColumn id="45" xr3:uid="{182C87FC-0E0F-4AAD-8B85-592785A131CE}" name="16-Aug" dataDxfId="275"/>
    <tableColumn id="46" xr3:uid="{81F0C389-F014-4A43-A36E-B3D115D9DB31}" name="17-Aug" dataDxfId="274"/>
    <tableColumn id="47" xr3:uid="{9100DBE6-2A2F-4040-8744-226ACAC2050C}" name="18-Aug" dataDxfId="273"/>
    <tableColumn id="48" xr3:uid="{E6AE584D-EB75-47A2-8772-4529E4E90D27}" name="19-Aug" dataDxfId="272"/>
    <tableColumn id="49" xr3:uid="{1FBA0821-321E-4771-AF53-91D663864F79}" name="20-Aug" dataDxfId="271"/>
    <tableColumn id="50" xr3:uid="{9067C620-934D-4E62-B8EA-9FEF133B430B}" name="21-Aug" dataDxfId="270"/>
    <tableColumn id="51" xr3:uid="{6E8C3C69-FE02-413A-83CE-F8F67DF299DF}" name="22-Aug" dataDxfId="269"/>
    <tableColumn id="52" xr3:uid="{E7DC10B8-0738-4B2B-ADFC-05B406489E8F}" name="23-Aug" dataDxfId="268"/>
    <tableColumn id="53" xr3:uid="{0960762D-7F91-4DF4-B8A9-6D793D3218CB}" name="24-Aug" dataDxfId="267"/>
    <tableColumn id="54" xr3:uid="{7C013F90-2BAB-4E41-AFB3-33C1C66C605C}" name="25-Aug" dataDxfId="266"/>
    <tableColumn id="55" xr3:uid="{A7989DBF-F8DD-483A-AFC8-F6030CC5034F}" name="26-Aug" dataDxfId="265"/>
    <tableColumn id="56" xr3:uid="{3C0B189F-7D22-401B-BFF9-8D0595E94A90}" name="27-Aug" dataDxfId="264"/>
    <tableColumn id="57" xr3:uid="{C89D9C4B-677F-4BB2-8772-67E30120684C}" name="28-Aug" dataDxfId="263"/>
    <tableColumn id="58" xr3:uid="{400DD7EB-C23A-41FC-8283-81DFC1E79E4F}" name="29-Aug" dataDxfId="262"/>
    <tableColumn id="59" xr3:uid="{518650AB-B6ED-4465-8AE8-8DE0FD24045F}" name="30-Aug" dataDxfId="261"/>
    <tableColumn id="60" xr3:uid="{3844CFB4-6EB8-42BF-96B6-FABAC199B015}" name="31-Aug" dataDxfId="260"/>
    <tableColumn id="61" xr3:uid="{C339AE54-0A36-45B9-AA19-F4FCBD0A6832}" name="1-Sep" dataDxfId="259"/>
    <tableColumn id="62" xr3:uid="{5E470FBE-E44B-4E5B-8AC9-094DAF9938F0}" name="2-Sep" dataDxfId="258"/>
    <tableColumn id="63" xr3:uid="{A95E93BF-05C0-4754-8236-34DCF9A4BCDB}" name="3-Sep" dataDxfId="257"/>
    <tableColumn id="64" xr3:uid="{D9B41C87-BA38-486D-A373-D8898BF77665}" name="4-Sep" dataDxfId="256"/>
    <tableColumn id="65" xr3:uid="{6BC6AFEC-A491-4D52-85F0-63435B4B1B8C}" name="5-Sep" dataDxfId="255"/>
    <tableColumn id="66" xr3:uid="{E6E7A996-9987-4A28-9974-DB6AAB8CF102}" name="6-Sep" dataDxfId="254"/>
    <tableColumn id="67" xr3:uid="{6B2F479F-743C-430F-BE8E-6C0D84B3899C}" name="7-Sep" dataDxfId="253"/>
    <tableColumn id="68" xr3:uid="{86786E1C-4DD7-4619-8DF8-A9FBA72143E9}" name="8-Sep" dataDxfId="252"/>
    <tableColumn id="69" xr3:uid="{DC6D30DF-9452-4FA3-B10B-BCE91893460A}" name="9-Sep" dataDxfId="251"/>
    <tableColumn id="70" xr3:uid="{A18F4659-68D6-4307-A55D-48877AE9D182}" name="10-Sep" dataDxfId="250"/>
    <tableColumn id="71" xr3:uid="{E8ACEA09-9B36-4FC6-ACE7-A295515F1DBB}" name="11-Sep" dataDxfId="249"/>
    <tableColumn id="72" xr3:uid="{0BD5C915-47C4-4CA0-8E2D-E85C1A04D282}" name="12-Sep" dataDxfId="248"/>
    <tableColumn id="73" xr3:uid="{73AD455D-296B-4DA1-9F92-8C552CA5D64E}" name="13-Sep" dataDxfId="247"/>
    <tableColumn id="74" xr3:uid="{2CD67109-2258-4DC0-9F17-A50D0A920497}" name="14-Sep" dataDxfId="246"/>
    <tableColumn id="75" xr3:uid="{46F3A164-34F9-4576-BCC7-4D651907C262}" name="15-Sep" dataDxfId="245"/>
    <tableColumn id="76" xr3:uid="{DA75C9D5-E2C8-40BC-B8C9-FD1794625E4A}" name="16-Sep" dataDxfId="244"/>
    <tableColumn id="77" xr3:uid="{2B08FD51-88AB-4844-8B7D-170258C64C2A}" name="17-Sep" dataDxfId="243"/>
    <tableColumn id="78" xr3:uid="{90FEBC7C-DF66-41A0-BE76-47A08D6ABC5A}" name="18-Sep" dataDxfId="242"/>
    <tableColumn id="79" xr3:uid="{96AAE939-F7FA-4606-9DC6-F1FDE3381906}" name="19-Sep" dataDxfId="241"/>
    <tableColumn id="80" xr3:uid="{246B4BB9-37D6-4A53-8A7C-8389F1D7E1C9}" name="20-Sep" dataDxfId="240"/>
    <tableColumn id="81" xr3:uid="{883B8418-B5BF-40C1-9526-E32E61E01C0C}" name="21-Sep" dataDxfId="239"/>
    <tableColumn id="82" xr3:uid="{DCE5ACB5-5A86-43CB-9E97-5C7CE597714B}" name="22-Sep" dataDxfId="238"/>
    <tableColumn id="83" xr3:uid="{8C6FC068-425F-43DE-A29C-5937BD831412}" name="23-Sep" dataDxfId="237"/>
    <tableColumn id="84" xr3:uid="{2FBDA56C-9636-4DBC-9C34-EE5BF7CE3824}" name="24-Sep" dataDxfId="236"/>
    <tableColumn id="85" xr3:uid="{FD634DE1-A721-49C1-9517-3515D6E83532}" name="25-Sep" dataDxfId="235"/>
    <tableColumn id="86" xr3:uid="{1AD4A4FE-3062-4761-B492-6568D338D1ED}" name="26-Sep" dataDxfId="234"/>
    <tableColumn id="87" xr3:uid="{0AE14F9D-B932-4C2F-B525-E8993C8E175A}" name="27-Sep" dataDxfId="233"/>
    <tableColumn id="88" xr3:uid="{A8618468-2DD2-4325-BC49-61B948CA92BA}" name="28-Sep" dataDxfId="232"/>
    <tableColumn id="89" xr3:uid="{B0151446-ACCA-4E9C-88B2-99ED5982137A}" name="29-Sep" dataDxfId="231"/>
    <tableColumn id="90" xr3:uid="{1A823353-FB8C-400B-83AF-4DFE0B32243E}" name="30-Sep" dataDxfId="230"/>
    <tableColumn id="91" xr3:uid="{14441241-00D7-4178-8F06-ECC2DE5047ED}" name="1-Oct" dataDxfId="229"/>
    <tableColumn id="92" xr3:uid="{AF8E443A-6C06-4BCA-B3E2-D903CF01137A}" name="2-Oct" dataDxfId="228"/>
    <tableColumn id="93" xr3:uid="{A8077F52-E21E-4245-9D48-C663FCD70D00}" name="3-Oct" dataDxfId="227"/>
    <tableColumn id="94" xr3:uid="{8D4C2053-96DE-461A-9F3E-D3E69CEEFB2F}" name="4-Oct" dataDxfId="226"/>
    <tableColumn id="95" xr3:uid="{C6F22C60-4661-47C2-BFD4-BEF9D63C86FE}" name="5-Oct" dataDxfId="225"/>
    <tableColumn id="96" xr3:uid="{5C92B3B1-E2A7-42EC-B278-1519E6DD38B9}" name="6-Oct" dataDxfId="224"/>
    <tableColumn id="97" xr3:uid="{0F97B01A-C360-41D7-8391-0216AE736F17}" name="7-Oct" dataDxfId="223"/>
    <tableColumn id="98" xr3:uid="{66675F2B-3F58-4E61-990D-687FA5FA77AA}" name="8-Oct" dataDxfId="222"/>
    <tableColumn id="99" xr3:uid="{AA6DC407-B9DE-4EFE-A90B-43D04E592D42}" name="9-Oct" dataDxfId="221"/>
    <tableColumn id="100" xr3:uid="{08FE9A2F-7E97-439F-9B28-CB2BE5991274}" name="10-Oct" dataDxfId="220"/>
    <tableColumn id="101" xr3:uid="{BA7F4679-1475-484A-86E8-0A52687E8665}" name="11-Oct" dataDxfId="219"/>
    <tableColumn id="102" xr3:uid="{B45B6D15-A988-40B1-B13D-83ABB2E85EAB}" name="12-Oct" dataDxfId="218"/>
    <tableColumn id="103" xr3:uid="{0DEC9088-13F0-4736-9A66-8CBF1A61718D}" name="13-Oct" dataDxfId="217"/>
    <tableColumn id="104" xr3:uid="{D9B83FB8-E141-4E5C-A4D5-C7CC2AE075CF}" name="14-Oct" dataDxfId="216"/>
    <tableColumn id="105" xr3:uid="{70C2E703-CC43-4893-9C63-E6557F58B5AC}" name="15-Oct" dataDxfId="215"/>
    <tableColumn id="106" xr3:uid="{A9EA5C35-DAC0-4B87-9B06-FD066D1F5585}" name="16-Oct" dataDxfId="214"/>
    <tableColumn id="107" xr3:uid="{75446CEB-9FF8-4D2E-9958-99C45B13BCA1}" name="17-Oct" dataDxfId="213"/>
    <tableColumn id="108" xr3:uid="{734A4CF1-4DA8-4D9A-8139-9A1BD4269574}" name="18-Oct" dataDxfId="212"/>
    <tableColumn id="109" xr3:uid="{FF52C7F2-018A-49F2-950C-271B9ADC9445}" name="19-Oct" dataDxfId="211"/>
    <tableColumn id="110" xr3:uid="{E1ADD720-60DD-465E-9330-8E8BF3343396}" name="20-Oct" dataDxfId="210"/>
    <tableColumn id="111" xr3:uid="{303F5FF3-1192-4AE3-A6C6-2464FE62FCDE}" name="21-Oct" dataDxfId="209"/>
    <tableColumn id="112" xr3:uid="{986901FA-6C2B-4E59-8F9A-01C7D7B57403}" name="22-Oct" dataDxfId="208"/>
    <tableColumn id="113" xr3:uid="{C2B21337-C529-49E5-82D4-51D0E7247B2D}" name="23-Oct" dataDxfId="207"/>
    <tableColumn id="114" xr3:uid="{C3B17F84-6A57-4FD5-9DAA-0B8F618E4320}" name="24-Oct" dataDxfId="206"/>
    <tableColumn id="115" xr3:uid="{E805F723-BF44-4648-B133-85A886E6F2BF}" name="25-Oct" dataDxfId="205"/>
    <tableColumn id="116" xr3:uid="{D2B66701-0140-4C38-BACC-1ACD2AE9179F}" name="26-Oct" dataDxfId="204"/>
    <tableColumn id="117" xr3:uid="{3FF86769-C852-4154-AE82-8BC2D45D4BF1}" name="27-Oct" dataDxfId="203"/>
    <tableColumn id="118" xr3:uid="{1C48B987-AE1F-43AA-B6F6-2B18080AC46F}" name="28-Oct" dataDxfId="202"/>
    <tableColumn id="119" xr3:uid="{67DC5D08-8E4F-4DE4-BB67-525CD5E1694B}" name="29-Oct" dataDxfId="201"/>
    <tableColumn id="120" xr3:uid="{4DA0D67F-231F-4BDC-814E-3A973B4E60CA}" name="30-Oct" dataDxfId="200"/>
    <tableColumn id="121" xr3:uid="{2091862A-C207-4F4E-BCF7-C5A8B4E10B67}" name="31-Oct" dataDxfId="199"/>
    <tableColumn id="122" xr3:uid="{7B732416-E26C-423E-B66B-7F010EF51DFF}" name="1-Nov" dataDxfId="198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26A101-F0D7-4938-9187-EA299091A599}" name="Table17" displayName="Table17" ref="A2:EC316" totalsRowShown="0" headerRowDxfId="195" dataDxfId="194" tableBorderDxfId="193">
  <autoFilter ref="A2:EC316" xr:uid="{BF26A101-F0D7-4938-9187-EA299091A599}">
    <filterColumn colId="0">
      <filters blank="1"/>
    </filterColumn>
    <filterColumn colId="5">
      <filters>
        <filter val="LTW"/>
        <filter val="LTW / BOGLE"/>
      </filters>
    </filterColumn>
  </autoFilter>
  <tableColumns count="133">
    <tableColumn id="1" xr3:uid="{720B0531-CCF2-4CAB-97F2-50D474BE51F2}" name="DONE?" dataDxfId="192"/>
    <tableColumn id="5" xr3:uid="{CDD3E78D-2786-4C69-B787-0230B8D91753}" name="CODE" dataDxfId="191"/>
    <tableColumn id="6" xr3:uid="{31B7A0C1-6021-41C4-89BE-B1916C931043}" name="VINEYARD" dataDxfId="190"/>
    <tableColumn id="123" xr3:uid="{5E76B394-BB96-4C71-86A8-CD143790D944}" name="VARIETY" dataDxfId="189"/>
    <tableColumn id="130" xr3:uid="{4B82033E-0DEA-4123-8A5E-E403C3620430}" name="ACRES" dataDxfId="188"/>
    <tableColumn id="124" xr3:uid="{362EE802-A212-4C5D-9EDC-286FABEF26BD}" name="WINERY" dataDxfId="187"/>
    <tableColumn id="7" xr3:uid="{BDA27DC4-A348-404D-B916-0D41894F12BE}" name="LAST SAMPLE DATE" dataDxfId="186">
      <calculatedColumnFormula array="1">IFERROR(LOOKUP(2,1/(K3:GC3&lt;&gt;""),K$2:DQL$2),"")</calculatedColumnFormula>
    </tableColumn>
    <tableColumn id="8" xr3:uid="{D46680FE-FD3C-4F24-9544-A2CFE42585AD}" name="LAST BRIX" dataDxfId="185">
      <calculatedColumnFormula array="1">IFERROR(_xlfn.XLOOKUP(TRUE,P3:ED3&lt;&gt;"",P3:ED3,,,-1)," ")</calculatedColumnFormula>
    </tableColumn>
    <tableColumn id="9" xr3:uid="{A7F8BAF5-F68D-4A27-B6D0-CC1B1701A072}" name="BRIX MIN" dataDxfId="184" dataCellStyle="Comma"/>
    <tableColumn id="17" xr3:uid="{AEF27847-DE67-4C46-90FF-751A7F7E9537}" name="BRIX MAX" dataDxfId="183" dataCellStyle="Comma"/>
    <tableColumn id="132" xr3:uid="{2E615B03-F229-4FDE-BDB3-85066075C8C5}" name="2-Jul" dataDxfId="182" dataCellStyle="Comma"/>
    <tableColumn id="133" xr3:uid="{54B31582-29B0-4FED-BBAD-4F8B0F82C392}" name="3-Jul" dataDxfId="181" dataCellStyle="Comma"/>
    <tableColumn id="134" xr3:uid="{6CF54190-D8F7-4F63-B022-1E13755EE702}" name="4-Jul" dataDxfId="180" dataCellStyle="Comma"/>
    <tableColumn id="2" xr3:uid="{F5FDD37A-D195-47A2-A2AC-6DE87EE343B0}" name="5-Jul" dataDxfId="179" dataCellStyle="Comma"/>
    <tableColumn id="126" xr3:uid="{0508338F-EE44-4B79-818D-8C37A087AFFE}" name="6-Jul" dataDxfId="178" dataCellStyle="Comma"/>
    <tableColumn id="127" xr3:uid="{8FE3DB50-7CCF-4EB5-8C28-C9AC1A774DBA}" name="7-Jul" dataDxfId="177" dataCellStyle="Comma"/>
    <tableColumn id="128" xr3:uid="{063B2E06-8B2F-4EA7-8629-8F76BA7B94D5}" name="8-Jul" dataDxfId="176" dataCellStyle="Comma"/>
    <tableColumn id="129" xr3:uid="{1499E403-8120-443F-A7A1-2E5A755E1DF3}" name="9-Jul" dataDxfId="175" dataCellStyle="Comma"/>
    <tableColumn id="16" xr3:uid="{C70F1C7C-364C-4E54-8B7F-4A4DCE0873B1}" name="10-Jul" dataDxfId="174" dataCellStyle="Comma"/>
    <tableColumn id="15" xr3:uid="{903D0A28-4040-4295-8A0C-D68514C4AB36}" name="11-Jul" dataDxfId="173" dataCellStyle="Comma"/>
    <tableColumn id="14" xr3:uid="{91071E67-47C6-4F36-B723-6C6D4ED94AAE}" name="12-Jul" dataDxfId="172" dataCellStyle="Comma"/>
    <tableColumn id="13" xr3:uid="{124600B7-6D2F-4FC6-882E-E5DC2B0547C2}" name="13-Jul" dataDxfId="171" dataCellStyle="Comma"/>
    <tableColumn id="12" xr3:uid="{12D034FC-13BE-46A7-9CDF-7DF458430801}" name="14-Jul" dataDxfId="170" dataCellStyle="Comma"/>
    <tableColumn id="4" xr3:uid="{B21DFF55-3FB7-46A2-99C1-1116C01F31BC}" name="15-Jul" dataDxfId="169" dataCellStyle="Comma"/>
    <tableColumn id="125" xr3:uid="{252366B5-9DBD-4B77-9EC1-0E325084BE76}" name="16-Jul" dataDxfId="168" dataCellStyle="Comma"/>
    <tableColumn id="19" xr3:uid="{00722892-1FE2-4411-BFE9-E0468D98018B}" name="17-Jul" dataDxfId="167" dataCellStyle="Comma"/>
    <tableColumn id="18" xr3:uid="{44E4D75F-86A0-4F23-B131-16D1AE416893}" name="18-Jul" dataDxfId="166" dataCellStyle="Comma"/>
    <tableColumn id="11" xr3:uid="{06406B6A-EECE-455F-BD8D-26A3CD5183B4}" name="19-Jul" dataDxfId="165" dataCellStyle="Comma"/>
    <tableColumn id="10" xr3:uid="{42A47A7B-9F92-4B99-A84E-93401D48C4E1}" name="20-Jul" dataDxfId="164" dataCellStyle="Comma"/>
    <tableColumn id="3" xr3:uid="{1559F0F0-E7AC-464C-8615-C318B0BE566C}" name="21-Jul" dataDxfId="163" dataCellStyle="Comma"/>
    <tableColumn id="20" xr3:uid="{0B66C8DA-5901-4141-B7A1-07E3D94AAEFC}" name="22-Jul" dataDxfId="162"/>
    <tableColumn id="21" xr3:uid="{73402011-C9AE-4BBA-BBE2-0CBDFE313A70}" name="23-Jul" dataDxfId="161"/>
    <tableColumn id="22" xr3:uid="{8F7D1F41-D623-41BD-B54C-B64D0822D839}" name="24-Jul" dataDxfId="160"/>
    <tableColumn id="23" xr3:uid="{38937B1B-3B23-42F2-9487-D70641EA710E}" name="25-Jul" dataDxfId="159"/>
    <tableColumn id="24" xr3:uid="{8CAEE7D0-C005-47DC-A08B-B32ECBFAAFF1}" name="26-Jul" dataDxfId="158"/>
    <tableColumn id="25" xr3:uid="{54CAF8DE-04D6-4BCA-BC86-01BBBD2DBA6F}" name="27-Jul" dataDxfId="157"/>
    <tableColumn id="26" xr3:uid="{3F9CD6F6-C1CD-4D21-9228-6DF6B5145AD8}" name="28-Jul" dataDxfId="156"/>
    <tableColumn id="27" xr3:uid="{2C597447-925A-4476-AAFA-879D174DCB50}" name="29-Jul" dataDxfId="155"/>
    <tableColumn id="28" xr3:uid="{51A29C54-C547-4E36-A164-2BF6959C12E6}" name="30-Jul" dataDxfId="154"/>
    <tableColumn id="29" xr3:uid="{5F9909E0-3CEA-41C4-9870-19C8237DF480}" name="31-Jul" dataDxfId="153"/>
    <tableColumn id="30" xr3:uid="{8AE3BB81-697C-472F-98BA-D5AA5383121F}" name="1-Aug" dataDxfId="152"/>
    <tableColumn id="31" xr3:uid="{2B47EE4E-66C0-4D3F-96A1-40DBDEA7EB33}" name="2-Aug" dataDxfId="151"/>
    <tableColumn id="32" xr3:uid="{6DE06BE8-5546-4DF3-8DC8-C165DAEA34B3}" name="3-Aug" dataDxfId="150"/>
    <tableColumn id="33" xr3:uid="{AC250F78-6B12-4648-86B3-BD5157102D4B}" name="4-Aug" dataDxfId="149"/>
    <tableColumn id="34" xr3:uid="{2EAA4F9F-5A22-45A9-8E2C-A1A0EA64150E}" name="5-Aug" dataDxfId="148"/>
    <tableColumn id="35" xr3:uid="{E696743D-F3A0-48F4-8B5B-D771089D33EC}" name="6-Aug" dataDxfId="147"/>
    <tableColumn id="36" xr3:uid="{682990BF-080B-4111-8049-A0CC65ACED5E}" name="7-Aug" dataDxfId="146"/>
    <tableColumn id="37" xr3:uid="{DBB83CC2-0551-4A07-BFC9-BB6A1E207B3C}" name="8-Aug" dataDxfId="145"/>
    <tableColumn id="38" xr3:uid="{CB91F0FF-E981-45F7-9D06-E0264175A8D1}" name="9-Aug" dataDxfId="144"/>
    <tableColumn id="39" xr3:uid="{A816CCB8-17C2-4F78-A1AD-FA521D318CF8}" name="10-Aug" dataDxfId="143"/>
    <tableColumn id="40" xr3:uid="{23E50E2E-152F-4006-A438-55422A19A99A}" name="11-Aug" dataDxfId="142"/>
    <tableColumn id="41" xr3:uid="{3248619A-5DAB-440A-BC36-DA3F85AED5B6}" name="12-Aug" dataDxfId="141"/>
    <tableColumn id="42" xr3:uid="{2ECFAAFF-D8C9-4835-8D74-94170AA564B1}" name="13-Aug" dataDxfId="140"/>
    <tableColumn id="43" xr3:uid="{9C09F44C-C917-4930-94AC-F396CB892474}" name="14-Aug" dataDxfId="139"/>
    <tableColumn id="44" xr3:uid="{335BB234-C729-46F4-9CEB-0EC79EAE18AB}" name="15-Aug" dataDxfId="138"/>
    <tableColumn id="45" xr3:uid="{5EB792F8-D21E-4A57-9F90-B43BEC89CFE6}" name="16-Aug" dataDxfId="137"/>
    <tableColumn id="46" xr3:uid="{2F4DF02F-DA8A-4AB0-96B6-D233E3045FAE}" name="17-Aug" dataDxfId="136"/>
    <tableColumn id="47" xr3:uid="{F8E1F8A8-93F3-4FBE-A8E7-03DDF39786BB}" name="18-Aug" dataDxfId="135"/>
    <tableColumn id="48" xr3:uid="{B17570B2-D095-4D0A-B1B0-B2001DDF06A3}" name="19-Aug" dataDxfId="134"/>
    <tableColumn id="49" xr3:uid="{1CE684E8-6048-4A48-A405-684D0F2B879E}" name="20-Aug" dataDxfId="133"/>
    <tableColumn id="50" xr3:uid="{724AE265-721B-4AAE-B852-6490D1883BA4}" name="21-Aug" dataDxfId="132"/>
    <tableColumn id="51" xr3:uid="{489D72B7-E15E-4BFF-BE7D-ABD46459B682}" name="22-Aug" dataDxfId="131"/>
    <tableColumn id="52" xr3:uid="{BDA12080-4725-4BCA-B7DA-5A15EDAE3F0C}" name="23-Aug" dataDxfId="130"/>
    <tableColumn id="53" xr3:uid="{DF0E2959-E990-4704-8A20-BA076479D546}" name="24-Aug" dataDxfId="129"/>
    <tableColumn id="54" xr3:uid="{F2F4B7AC-14EE-447E-872D-51AEE03D5A9D}" name="25-Aug" dataDxfId="128"/>
    <tableColumn id="55" xr3:uid="{897B7913-B305-4BF7-972B-BD508860745A}" name="26-Aug" dataDxfId="127"/>
    <tableColumn id="56" xr3:uid="{A490AE84-B87A-4EBD-B4C6-3C6ECAEFAE59}" name="27-Aug" dataDxfId="126"/>
    <tableColumn id="57" xr3:uid="{01EDEED4-B605-46D6-966E-B6E29C9B2570}" name="28-Aug" dataDxfId="125"/>
    <tableColumn id="58" xr3:uid="{F00A46CE-DDD8-492A-9834-B4848A9DFB19}" name="29-Aug" dataDxfId="124"/>
    <tableColumn id="59" xr3:uid="{ABA88744-B527-4AD2-B7D9-E650825B4199}" name="30-Aug" dataDxfId="123"/>
    <tableColumn id="60" xr3:uid="{8F88487A-2FEB-4C97-80C8-B2608E3701FD}" name="31-Aug" dataDxfId="122"/>
    <tableColumn id="61" xr3:uid="{2163145E-30CB-4F3E-8E7F-89396A6DE9CC}" name="1-Sep" dataDxfId="121"/>
    <tableColumn id="62" xr3:uid="{34324CBE-6C4D-44D8-ACB7-F7E186038E9A}" name="2-Sep" dataDxfId="120"/>
    <tableColumn id="63" xr3:uid="{0DF3E082-3B49-42BC-BCA5-9850DE78A85E}" name="3-Sep" dataDxfId="119"/>
    <tableColumn id="64" xr3:uid="{A7556020-A293-455F-BD94-69D5A8AB1007}" name="4-Sep" dataDxfId="118"/>
    <tableColumn id="65" xr3:uid="{EA17DC36-2C9F-4275-ADE6-FE61BF8651E6}" name="5-Sep" dataDxfId="117"/>
    <tableColumn id="66" xr3:uid="{50BAE7F5-B941-4022-862C-5E217FED375D}" name="6-Sep" dataDxfId="116"/>
    <tableColumn id="67" xr3:uid="{A89819FF-D636-433B-B7CE-85D42B149A0A}" name="7-Sep" dataDxfId="115"/>
    <tableColumn id="68" xr3:uid="{5F7DBF12-07D0-4098-873C-B49BA3D11AC2}" name="8-Sep" dataDxfId="114"/>
    <tableColumn id="69" xr3:uid="{5C5CD400-E7BC-4705-A540-BB9F73228264}" name="9-Sep" dataDxfId="113"/>
    <tableColumn id="70" xr3:uid="{4A076FB8-FD43-46FB-8224-A7662F6AA3EB}" name="10-Sep" dataDxfId="112"/>
    <tableColumn id="71" xr3:uid="{F96D8FBE-C3A6-4B10-899F-F628B1385520}" name="11-Sep" dataDxfId="111"/>
    <tableColumn id="72" xr3:uid="{C72BFDF7-9C9E-423B-8EC4-2080EACBECBC}" name="12-Sep" dataDxfId="110"/>
    <tableColumn id="73" xr3:uid="{CE5469B3-5A8E-40ED-A941-D120670C3AD1}" name="13-Sep" dataDxfId="109"/>
    <tableColumn id="74" xr3:uid="{570E76BF-C1D4-4A2E-91E9-58BE484D5E98}" name="14-Sep" dataDxfId="108"/>
    <tableColumn id="75" xr3:uid="{0FEC03E2-AB00-4DC6-9732-D2E2979B1F4A}" name="15-Sep" dataDxfId="107"/>
    <tableColumn id="76" xr3:uid="{2C2D655B-D318-400E-BEB7-53D4752C53A2}" name="16-Sep" dataDxfId="106"/>
    <tableColumn id="77" xr3:uid="{82B0D819-AA7D-43A6-94BE-2B1363041BB3}" name="17-Sep" dataDxfId="105"/>
    <tableColumn id="78" xr3:uid="{CBE480B2-F1CF-4E4B-9950-9B96BB9775D3}" name="18-Sep" dataDxfId="104"/>
    <tableColumn id="79" xr3:uid="{E2B6A310-DA6A-40BF-9B48-15EE0D5D1FC0}" name="19-Sep" dataDxfId="103"/>
    <tableColumn id="80" xr3:uid="{19AF7397-B2DD-4DA3-AA16-86626B65A5BD}" name="20-Sep" dataDxfId="102"/>
    <tableColumn id="81" xr3:uid="{27A4E690-366B-49B2-9981-1C0E67568976}" name="21-Sep" dataDxfId="101"/>
    <tableColumn id="82" xr3:uid="{6E9DDE91-1868-491C-8D23-5029E27C2E35}" name="22-Sep" dataDxfId="100"/>
    <tableColumn id="83" xr3:uid="{151C7548-CB5A-4FB9-A046-7A0669352989}" name="23-Sep" dataDxfId="99"/>
    <tableColumn id="84" xr3:uid="{7C584C20-F7E1-497B-B1FE-4B62AF54B847}" name="24-Sep" dataDxfId="98"/>
    <tableColumn id="85" xr3:uid="{1A42099C-DDC4-4263-A742-6205A7B4C562}" name="25-Sep" dataDxfId="97"/>
    <tableColumn id="86" xr3:uid="{9D04ADF8-262D-48F7-B00F-67E68EAA74B4}" name="26-Sep" dataDxfId="96"/>
    <tableColumn id="87" xr3:uid="{85DAE502-7957-48B8-AA0B-4D256920F347}" name="27-Sep" dataDxfId="95"/>
    <tableColumn id="88" xr3:uid="{160DB0A2-AF43-4406-8BDE-AAF6FA301FC8}" name="28-Sep" dataDxfId="94"/>
    <tableColumn id="89" xr3:uid="{12244065-BD80-47D9-8D60-5A475B4CD9B1}" name="29-Sep" dataDxfId="93"/>
    <tableColumn id="90" xr3:uid="{5536063F-33D6-4503-87B4-78C147EAC11C}" name="30-Sep" dataDxfId="92"/>
    <tableColumn id="91" xr3:uid="{AD5AC87E-EBD0-4E03-9747-C97664481E53}" name="1-Oct" dataDxfId="91"/>
    <tableColumn id="92" xr3:uid="{E4C3B400-966B-49A3-AB36-AEFDEDC8D3C5}" name="2-Oct" dataDxfId="90"/>
    <tableColumn id="93" xr3:uid="{C65E30B9-F037-443A-AF04-43A34E41059A}" name="3-Oct" dataDxfId="89"/>
    <tableColumn id="94" xr3:uid="{403B31D4-D45C-4A14-B741-8D7CD67C6037}" name="4-Oct" dataDxfId="88"/>
    <tableColumn id="95" xr3:uid="{A6406C43-4EE7-48DC-829D-8BEAEB739AA0}" name="5-Oct" dataDxfId="87"/>
    <tableColumn id="96" xr3:uid="{B7F738B3-4D77-457D-830F-5C7777061B99}" name="6-Oct" dataDxfId="86"/>
    <tableColumn id="97" xr3:uid="{1D95222D-F8A2-4EBA-B68D-AE023B61B4E8}" name="7-Oct" dataDxfId="85"/>
    <tableColumn id="98" xr3:uid="{E36EC227-F035-452B-8978-165A13B32DA9}" name="8-Oct" dataDxfId="84"/>
    <tableColumn id="99" xr3:uid="{B51F45E4-6516-4B2C-B3F8-63C7B0E3CFC3}" name="9-Oct" dataDxfId="83"/>
    <tableColumn id="100" xr3:uid="{34770E4B-F35B-413F-B7B8-C9625B19BD02}" name="10-Oct" dataDxfId="82"/>
    <tableColumn id="101" xr3:uid="{4B9578EE-817B-4D42-89C2-B2B0658ED999}" name="11-Oct" dataDxfId="81"/>
    <tableColumn id="102" xr3:uid="{00B0F212-5CA5-48B3-9C25-546711CA3040}" name="12-Oct" dataDxfId="80"/>
    <tableColumn id="103" xr3:uid="{9F63675C-D059-4D11-9F99-A4921C1DFD10}" name="13-Oct" dataDxfId="79"/>
    <tableColumn id="104" xr3:uid="{0EEA1F7F-F909-4FAE-B0D8-700F935A589F}" name="14-Oct" dataDxfId="78"/>
    <tableColumn id="105" xr3:uid="{9CAB94AB-C571-4633-AC69-8C4091D23F64}" name="15-Oct" dataDxfId="77"/>
    <tableColumn id="106" xr3:uid="{9895997C-B3FA-45D9-9867-BA3A59227DAC}" name="16-Oct" dataDxfId="76"/>
    <tableColumn id="107" xr3:uid="{92AB543E-EEBB-4196-A88B-0900042BB0CD}" name="17-Oct" dataDxfId="75"/>
    <tableColumn id="108" xr3:uid="{79F8D0C4-3BCB-406C-8654-B92068EA3297}" name="18-Oct" dataDxfId="74"/>
    <tableColumn id="109" xr3:uid="{67A69FE6-D62B-4EFC-AA9E-445100254D08}" name="19-Oct" dataDxfId="73"/>
    <tableColumn id="110" xr3:uid="{0AB83B97-D83A-4DB5-8C5C-7620B11AB493}" name="20-Oct" dataDxfId="72"/>
    <tableColumn id="111" xr3:uid="{A636F9FC-2D72-47A6-BDB0-87FA95D31F02}" name="21-Oct" dataDxfId="71"/>
    <tableColumn id="112" xr3:uid="{D1EE97F1-117B-44D8-B6EE-4041049A5E2F}" name="22-Oct" dataDxfId="70"/>
    <tableColumn id="113" xr3:uid="{93C36CF4-C49A-41D8-A19E-FEB2398F3B5A}" name="23-Oct" dataDxfId="69"/>
    <tableColumn id="114" xr3:uid="{D71DE53A-C143-4C46-9720-B1DFE1D4AE71}" name="24-Oct" dataDxfId="68"/>
    <tableColumn id="115" xr3:uid="{98EA7BF5-741C-49BA-867B-1C4E27201868}" name="25-Oct" dataDxfId="67"/>
    <tableColumn id="116" xr3:uid="{7B72922A-1A39-4C8F-9A26-25F874DCEE89}" name="26-Oct" dataDxfId="66"/>
    <tableColumn id="117" xr3:uid="{4AB21F4D-61A2-407C-B646-54620851D248}" name="27-Oct" dataDxfId="65"/>
    <tableColumn id="118" xr3:uid="{FCEFBC2F-57CD-4363-BC40-DA1A942E880B}" name="28-Oct" dataDxfId="64"/>
    <tableColumn id="119" xr3:uid="{AA5B90D9-0097-442E-BFAA-29068FB4E629}" name="29-Oct" dataDxfId="63"/>
    <tableColumn id="120" xr3:uid="{96294E28-A731-40A6-870C-39BF42383C8D}" name="30-Oct" dataDxfId="62"/>
    <tableColumn id="121" xr3:uid="{C887BD09-DEF5-4A30-A810-8A4E8A02AAAE}" name="31-Oct" dataDxfId="61"/>
    <tableColumn id="122" xr3:uid="{F3F3D64B-D0C4-4102-A143-2988CEACB5B3}" name="1-Nov" dataDxfId="6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D17F82-25A5-4454-9FC9-5D3ADE00D561}" name="Table4" displayName="Table4" ref="A1:G7" totalsRowShown="0" headerRowDxfId="55" headerRowBorderDxfId="53" tableBorderDxfId="54" totalsRowBorderDxfId="52">
  <tableColumns count="7">
    <tableColumn id="1" xr3:uid="{C3BFE5EE-FB99-4DB0-92EF-AAEE7A3FA395}" name="VINEYARD" dataDxfId="51"/>
    <tableColumn id="2" xr3:uid="{FDC25E23-A671-4F38-AC4A-EC4FA6E8369A}" name="VARIETY" dataDxfId="50"/>
    <tableColumn id="3" xr3:uid="{EE7380DF-EA2B-476D-9624-8BB5CEB90B51}" name="WINERY" dataDxfId="49"/>
    <tableColumn id="4" xr3:uid="{B17713B0-B7BD-42A2-86F1-52964DEAE603}" name="LAST SAMPLE DATE" dataDxfId="48"/>
    <tableColumn id="5" xr3:uid="{DB794B5C-82BA-4499-8281-DCFE11783536}" name="LAST BRIX" dataDxfId="47"/>
    <tableColumn id="6" xr3:uid="{0B3C5155-BB4A-4407-A1AD-B32DAE3F7E29}" name="BRIX MIN" dataDxfId="46" dataCellStyle="Comma"/>
    <tableColumn id="7" xr3:uid="{18914329-C988-4D02-ADE3-2AA094562FC8}" name="BRIX MAX" dataDxfId="45" dataCellStyle="Comm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B5799C-2043-482B-B7F3-CFC8A1988D50}" name="Table2" displayName="Table2" ref="A1:I1048558" totalsRowShown="0" headerRowDxfId="43">
  <autoFilter ref="A1:I1048558" xr:uid="{F5B5799C-2043-482B-B7F3-CFC8A1988D50}"/>
  <sortState xmlns:xlrd2="http://schemas.microsoft.com/office/spreadsheetml/2017/richdata2" ref="A2:I1048558">
    <sortCondition ref="B1:B1048558"/>
  </sortState>
  <tableColumns count="9">
    <tableColumn id="1" xr3:uid="{A6E01D5F-BB2D-48F6-BE05-DB474716B832}" name="VINEYARD" dataDxfId="42"/>
    <tableColumn id="2" xr3:uid="{9EA7DE1B-FDCC-48C3-9063-0556897DC9AF}" name="VARIETY" dataDxfId="41"/>
    <tableColumn id="8" xr3:uid="{EFD4663B-4F65-48F8-8253-6B89C634E74F}" name="7/7/2026" dataDxfId="40"/>
    <tableColumn id="9" xr3:uid="{98919C17-9621-40E7-8466-157D04913C30}" name="17-Jul" dataDxfId="39"/>
    <tableColumn id="6" xr3:uid="{342B4FB3-EC9A-438D-A0FF-B1D4CC0F3446}" name="20-Jul" dataDxfId="38"/>
    <tableColumn id="7" xr3:uid="{B27DAC0D-11D2-4B4C-AB40-7C2DBC143260}" name="21-Jul" dataDxfId="37"/>
    <tableColumn id="5" xr3:uid="{A251F6C6-FDBB-4162-9584-AE4CF28452AA}" name="8-Aug" dataDxfId="36"/>
    <tableColumn id="4" xr3:uid="{7A1618A4-4277-48B5-B233-3CA58423B931}" name="Visit 6" dataDxfId="35"/>
    <tableColumn id="3" xr3:uid="{DA215964-F756-445B-BF26-A573241143F1}" name="Visit 7" dataDxfId="3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C2C516-CBE7-45EB-AC50-5195AA64D2C7}" name="Table7" displayName="Table7" ref="A1:G11" totalsRowShown="0" headerRowDxfId="32" headerRowBorderDxfId="30" tableBorderDxfId="31" totalsRowBorderDxfId="29">
  <autoFilter ref="A1:G11" xr:uid="{65C2C516-CBE7-45EB-AC50-5195AA64D2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7EC82BB-DD39-44A8-A020-7CFF33E9307E}" name="VINEYARD" dataDxfId="28"/>
    <tableColumn id="2" xr3:uid="{F35213B8-8195-421B-B544-DCAE25FC3988}" name="VARIETY" dataDxfId="27"/>
    <tableColumn id="4" xr3:uid="{16B7232D-9DC2-4DAF-9E94-4249C0E7A09E}" name="WINERY" dataDxfId="26"/>
    <tableColumn id="5" xr3:uid="{98E8D280-D9AC-42A0-B953-391B6D38FD3D}" name="LAST SAMPLE DATE" dataDxfId="25"/>
    <tableColumn id="6" xr3:uid="{B4B9B89F-2BE2-42A8-BD0A-C11E79F2CF07}" name="LAST BRIX"/>
    <tableColumn id="7" xr3:uid="{A4AF3A91-E17F-4D6E-85A4-9EC7CE6E947C}" name="BRIX MIN"/>
    <tableColumn id="3" xr3:uid="{D4BEB1CF-6EFB-4CED-885E-E12AA6FD8204}" name="BRIX MAX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61B657-0C66-4B24-BA82-4F9B6D27A1FF}" name="Table3" displayName="Table3" ref="A1:E5" totalsRowShown="0" headerRowDxfId="23" headerRowBorderDxfId="21" tableBorderDxfId="22" totalsRowBorderDxfId="20">
  <tableColumns count="5">
    <tableColumn id="1" xr3:uid="{4CD14ABA-981B-40E5-927A-98EEDADDCC70}" name="VINEYARD"/>
    <tableColumn id="2" xr3:uid="{EA0FA6A0-FD15-42C5-B221-BCA871EF66FC}" name="VARIETY" dataDxfId="19"/>
    <tableColumn id="3" xr3:uid="{C0A2022D-2301-4DE1-8528-51E4C22A3803}" name="WINERY" dataDxfId="18"/>
    <tableColumn id="4" xr3:uid="{88FF4290-8291-4C29-999D-5E9D4B0F3399}" name="LAST SAMPLE DATE" dataDxfId="17"/>
    <tableColumn id="5" xr3:uid="{A07348FA-E043-427F-B610-3C72601E7ACB}" name="LAST BRIX" dataDxfId="1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455C23-CE38-406A-A656-54C299CC5199}" name="Table5" displayName="Table5" ref="G6:Q10" totalsRowShown="0" headerRowDxfId="15" dataDxfId="14" headerRowBorderDxfId="12" tableBorderDxfId="13" totalsRowBorderDxfId="11">
  <autoFilter ref="G6:Q10" xr:uid="{D7455C23-CE38-406A-A656-54C299CC51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F393BAF-E789-4BBF-9ECE-4D64C2FD9F73}" name="Sample Date" dataDxfId="10"/>
    <tableColumn id="2" xr3:uid="{7DB09BF2-7E81-4CD1-BB7E-82069EF40486}" name="Field" dataDxfId="9"/>
    <tableColumn id="3" xr3:uid="{E0770443-D035-428C-B441-92130C9DE089}" name="Sub-Block" dataDxfId="8"/>
    <tableColumn id="4" xr3:uid="{DD509B7A-1B46-4D36-95C7-EF836B02C544}" name="Variety" dataDxfId="7"/>
    <tableColumn id="5" xr3:uid="{93F0AA20-5490-4A80-A5F8-1D2D26F38216}" name="DMA Brix" dataDxfId="6"/>
    <tableColumn id="6" xr3:uid="{9ECAB04C-6F20-4EE7-8AB5-F5737A243F8D}" name="Refract Brix" dataDxfId="5"/>
    <tableColumn id="7" xr3:uid="{25E6480F-EF45-4B86-97B8-C12B930792E5}" name="TA (g/L)" dataDxfId="4"/>
    <tableColumn id="8" xr3:uid="{717D5349-F652-4A0C-B8D0-0369553051FE}" name="pH" dataDxfId="3"/>
    <tableColumn id="9" xr3:uid="{7E04CBE7-0AAE-483F-A8CB-68EEC5CB0025}" name="Malic (mg/L)" dataDxfId="2"/>
    <tableColumn id="11" xr3:uid="{C65D8470-2E51-44EA-812A-8D65061D2D8B}" name="VA" dataDxfId="1"/>
    <tableColumn id="10" xr3:uid="{B88FA612-D90B-4609-AF6B-FD0CAB838988}" name="Not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I29" dT="2025-09-17T22:10:24.44" personId="{612FD117-5BF9-426D-B987-BA9BB97D92D2}" id="{CEEC764E-BDD7-448E-9FCB-70B0CB4FCF72}">
    <text>Kelly’s test</text>
  </threadedComment>
  <threadedComment ref="BP102" dT="2025-08-28T14:40:01.30" personId="{612FD117-5BF9-426D-B987-BA9BB97D92D2}" id="{74CBEA23-2A17-49F9-9310-D3DDE8F528EC}">
    <text>Scalehouse number</text>
  </threadedComment>
  <threadedComment ref="AX115" dT="2026-08-10T16:50:22.07" personId="{612FD117-5BF9-426D-B987-BA9BB97D92D2}" id="{5E0DC9DD-AE2C-4BC4-965A-27C2E3BE6AD6}">
    <text xml:space="preserve">quick test </text>
  </threadedComment>
  <threadedComment ref="BP134" dT="2025-08-28T14:39:04.37" personId="{612FD117-5BF9-426D-B987-BA9BB97D92D2}" id="{B05693AF-9210-486F-A736-32CDAEE9B6F4}">
    <text>Scalehouse number</text>
  </threadedComment>
  <threadedComment ref="AK150" dT="2026-07-28T22:28:54.37" personId="{612FD117-5BF9-426D-B987-BA9BB97D92D2}" id="{582F39AF-4B35-4356-88FF-F36259784C33}">
    <text>Good clusters only, primarily R20-34</text>
  </threadedComment>
  <threadedComment ref="AH225" dT="2026-07-25T18:38:44.37" personId="{612FD117-5BF9-426D-B987-BA9BB97D92D2}" id="{F2BF0E70-3A23-4DBF-954D-8D426C7652CE}">
    <text>Quick test from Gallo</text>
  </threadedComment>
  <threadedComment ref="AR226" dT="2026-08-04T22:53:33.33" personId="{612FD117-5BF9-426D-B987-BA9BB97D92D2}" id="{A017A25B-E62B-406E-9B0D-8063CD0E12E9}">
    <text>Are these in the right spot?</text>
  </threadedComment>
  <threadedComment ref="BH227" dT="2025-08-20T21:51:25.14" personId="{612FD117-5BF9-426D-B987-BA9BB97D92D2}" id="{19FAA27C-E8AC-4F0C-8E43-838E3A1D2066}">
    <text>Quick bag sample to lab by Aaron</text>
  </threadedComment>
  <threadedComment ref="AQ246" dT="2026-08-03T17:13:41.80" personId="{612FD117-5BF9-426D-B987-BA9BB97D92D2}" id="{4022AD61-8F3B-41E0-91B9-EB8BCB370141}">
    <text>Special reserve 75-105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I29" dT="2025-09-17T22:10:24.44" personId="{612FD117-5BF9-426D-B987-BA9BB97D92D2}" id="{0B9DDA02-2FFF-47DF-B7BF-892AE9DB98E3}">
    <text>Kelly’s test</text>
  </threadedComment>
  <threadedComment ref="BP100" dT="2025-08-28T14:40:01.30" personId="{612FD117-5BF9-426D-B987-BA9BB97D92D2}" id="{790F3880-D357-432E-8F82-9A4EB2F39B61}">
    <text>Scalehouse number</text>
  </threadedComment>
  <threadedComment ref="AX113" dT="2026-08-10T16:50:22.07" personId="{612FD117-5BF9-426D-B987-BA9BB97D92D2}" id="{C769E10F-7C6E-4B22-87B9-0E895DD21D83}">
    <text xml:space="preserve">quick test </text>
  </threadedComment>
  <threadedComment ref="BP132" dT="2025-08-28T14:39:04.37" personId="{612FD117-5BF9-426D-B987-BA9BB97D92D2}" id="{6B404A1D-9C40-4C24-80F0-D6904FBD24F4}">
    <text>Scalehouse number</text>
  </threadedComment>
  <threadedComment ref="AK148" dT="2026-07-28T22:28:54.37" personId="{612FD117-5BF9-426D-B987-BA9BB97D92D2}" id="{96A631FC-96C5-4EC4-A2C3-4F1C687B329B}">
    <text>Good clusters only, primarily R20-34</text>
  </threadedComment>
  <threadedComment ref="AH223" dT="2026-07-25T18:38:44.37" personId="{612FD117-5BF9-426D-B987-BA9BB97D92D2}" id="{D4BDE926-C877-46CA-B593-0C95D7063D2B}">
    <text>Quick test from Gallo</text>
  </threadedComment>
  <threadedComment ref="AR224" dT="2026-08-04T22:53:33.33" personId="{612FD117-5BF9-426D-B987-BA9BB97D92D2}" id="{3D0D2823-22D9-4E74-8F3D-7883E596B1D5}">
    <text>Are these in the right spot?</text>
  </threadedComment>
  <threadedComment ref="BH225" dT="2025-08-20T21:51:25.14" personId="{612FD117-5BF9-426D-B987-BA9BB97D92D2}" id="{B283BB80-4D82-499A-A453-3BA6707367A9}">
    <text>Quick bag sample to lab by Aaron</text>
  </threadedComment>
  <threadedComment ref="AQ244" dT="2026-08-03T17:13:41.80" personId="{612FD117-5BF9-426D-B987-BA9BB97D92D2}" id="{BC1BD07E-60EB-48AF-9A23-DE8D2F59E321}">
    <text>Special reserve 75-105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85" dT="2026-08-04T22:53:48.44" personId="{612FD117-5BF9-426D-B987-BA9BB97D92D2}" id="{6DF801C1-F8C4-4016-92A6-D6DF71D25A14}">
    <text>Which section is this?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9F72-CA3C-4EF6-B001-B3771DD9EC45}">
  <sheetPr codeName="Sheet1"/>
  <dimension ref="A1:EC328"/>
  <sheetViews>
    <sheetView zoomScale="72" zoomScaleNormal="100" workbookViewId="0">
      <pane xSplit="4" topLeftCell="AV135" activePane="topRight" state="frozen"/>
      <selection pane="topRight" activeCell="BI151" sqref="BI151"/>
      <selection activeCell="D3" sqref="D3"/>
    </sheetView>
  </sheetViews>
  <sheetFormatPr defaultColWidth="9.140625" defaultRowHeight="13.5" customHeight="1"/>
  <cols>
    <col min="1" max="1" width="8.85546875" style="13" customWidth="1"/>
    <col min="2" max="2" width="27.42578125" style="13" hidden="1" customWidth="1"/>
    <col min="3" max="3" width="53.7109375" style="13" customWidth="1"/>
    <col min="4" max="4" width="19.28515625" style="72" bestFit="1" customWidth="1"/>
    <col min="5" max="5" width="19.28515625" style="72" hidden="1" customWidth="1"/>
    <col min="6" max="6" width="25.7109375" style="13" customWidth="1"/>
    <col min="7" max="7" width="13" style="16" customWidth="1"/>
    <col min="8" max="8" width="14.28515625" style="13" bestFit="1" customWidth="1"/>
    <col min="9" max="9" width="10.5703125" style="13" customWidth="1"/>
    <col min="10" max="18" width="10.28515625" style="13" customWidth="1"/>
    <col min="19" max="30" width="12.85546875" style="13" customWidth="1"/>
    <col min="31" max="40" width="9.5703125" style="13" customWidth="1"/>
    <col min="41" max="44" width="9.140625" style="13" customWidth="1"/>
    <col min="45" max="45" width="9.28515625" style="13" customWidth="1"/>
    <col min="46" max="49" width="9.140625" style="13" customWidth="1"/>
    <col min="50" max="71" width="9.5703125" style="13" customWidth="1"/>
    <col min="72" max="80" width="8.85546875" style="13"/>
    <col min="81" max="110" width="9.5703125" style="13" customWidth="1"/>
    <col min="111" max="132" width="10.28515625" style="13" customWidth="1"/>
    <col min="133" max="133" width="9.5703125" style="13" customWidth="1"/>
    <col min="134" max="16384" width="9.140625" style="13"/>
  </cols>
  <sheetData>
    <row r="1" spans="1:133" ht="24.75" customHeight="1">
      <c r="A1" s="99"/>
      <c r="B1" s="10"/>
      <c r="C1" s="11" t="s">
        <v>0</v>
      </c>
      <c r="D1" s="12"/>
      <c r="E1" s="12"/>
      <c r="G1" s="14"/>
      <c r="H1" s="73"/>
      <c r="I1" s="73"/>
      <c r="J1" s="73"/>
      <c r="K1" s="202"/>
      <c r="L1" s="202"/>
      <c r="M1" s="202"/>
      <c r="N1" s="202"/>
      <c r="O1" s="202"/>
      <c r="P1" s="202"/>
      <c r="Q1" s="202"/>
      <c r="R1" s="202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</row>
    <row r="2" spans="1:133" s="96" customFormat="1" ht="45.6" customHeight="1">
      <c r="A2" s="90" t="s">
        <v>1</v>
      </c>
      <c r="B2" s="17" t="s">
        <v>2</v>
      </c>
      <c r="C2" s="91" t="s">
        <v>3</v>
      </c>
      <c r="D2" s="91" t="s">
        <v>4</v>
      </c>
      <c r="E2" s="91" t="s">
        <v>5</v>
      </c>
      <c r="F2" s="91" t="s">
        <v>6</v>
      </c>
      <c r="G2" s="92" t="s">
        <v>7</v>
      </c>
      <c r="H2" s="91" t="s">
        <v>8</v>
      </c>
      <c r="I2" s="93" t="s">
        <v>9</v>
      </c>
      <c r="J2" s="93" t="s">
        <v>10</v>
      </c>
      <c r="K2" s="94" t="s">
        <v>11</v>
      </c>
      <c r="L2" s="94" t="s">
        <v>12</v>
      </c>
      <c r="M2" s="94" t="s">
        <v>13</v>
      </c>
      <c r="N2" s="94" t="s">
        <v>14</v>
      </c>
      <c r="O2" s="94" t="s">
        <v>15</v>
      </c>
      <c r="P2" s="94" t="s">
        <v>16</v>
      </c>
      <c r="Q2" s="94" t="s">
        <v>17</v>
      </c>
      <c r="R2" s="94" t="s">
        <v>18</v>
      </c>
      <c r="S2" s="94" t="s">
        <v>19</v>
      </c>
      <c r="T2" s="94" t="s">
        <v>20</v>
      </c>
      <c r="U2" s="94" t="s">
        <v>21</v>
      </c>
      <c r="V2" s="94" t="s">
        <v>22</v>
      </c>
      <c r="W2" s="94" t="s">
        <v>23</v>
      </c>
      <c r="X2" s="94" t="s">
        <v>24</v>
      </c>
      <c r="Y2" s="94" t="s">
        <v>25</v>
      </c>
      <c r="Z2" s="94" t="s">
        <v>26</v>
      </c>
      <c r="AA2" s="94" t="s">
        <v>27</v>
      </c>
      <c r="AB2" s="94" t="s">
        <v>28</v>
      </c>
      <c r="AC2" s="94" t="s">
        <v>29</v>
      </c>
      <c r="AD2" s="94" t="s">
        <v>30</v>
      </c>
      <c r="AE2" s="94" t="s">
        <v>31</v>
      </c>
      <c r="AF2" s="94" t="s">
        <v>32</v>
      </c>
      <c r="AG2" s="95" t="s">
        <v>33</v>
      </c>
      <c r="AH2" s="95" t="s">
        <v>34</v>
      </c>
      <c r="AI2" s="95" t="s">
        <v>35</v>
      </c>
      <c r="AJ2" s="95" t="s">
        <v>36</v>
      </c>
      <c r="AK2" s="95" t="s">
        <v>37</v>
      </c>
      <c r="AL2" s="95" t="s">
        <v>38</v>
      </c>
      <c r="AM2" s="95" t="s">
        <v>39</v>
      </c>
      <c r="AN2" s="95" t="s">
        <v>40</v>
      </c>
      <c r="AO2" s="95" t="s">
        <v>41</v>
      </c>
      <c r="AP2" s="95" t="s">
        <v>42</v>
      </c>
      <c r="AQ2" s="95" t="s">
        <v>43</v>
      </c>
      <c r="AR2" s="95" t="s">
        <v>44</v>
      </c>
      <c r="AS2" s="95" t="s">
        <v>45</v>
      </c>
      <c r="AT2" s="95" t="s">
        <v>46</v>
      </c>
      <c r="AU2" s="95" t="s">
        <v>47</v>
      </c>
      <c r="AV2" s="95" t="s">
        <v>48</v>
      </c>
      <c r="AW2" s="95" t="s">
        <v>49</v>
      </c>
      <c r="AX2" s="95" t="s">
        <v>50</v>
      </c>
      <c r="AY2" s="95" t="s">
        <v>51</v>
      </c>
      <c r="AZ2" s="95" t="s">
        <v>52</v>
      </c>
      <c r="BA2" s="95" t="s">
        <v>53</v>
      </c>
      <c r="BB2" s="95" t="s">
        <v>54</v>
      </c>
      <c r="BC2" s="95" t="s">
        <v>55</v>
      </c>
      <c r="BD2" s="95" t="s">
        <v>56</v>
      </c>
      <c r="BE2" s="95" t="s">
        <v>57</v>
      </c>
      <c r="BF2" s="95" t="s">
        <v>58</v>
      </c>
      <c r="BG2" s="95" t="s">
        <v>59</v>
      </c>
      <c r="BH2" s="95" t="s">
        <v>60</v>
      </c>
      <c r="BI2" s="95" t="s">
        <v>61</v>
      </c>
      <c r="BJ2" s="95" t="s">
        <v>62</v>
      </c>
      <c r="BK2" s="95" t="s">
        <v>63</v>
      </c>
      <c r="BL2" s="95" t="s">
        <v>64</v>
      </c>
      <c r="BM2" s="95" t="s">
        <v>65</v>
      </c>
      <c r="BN2" s="95" t="s">
        <v>66</v>
      </c>
      <c r="BO2" s="95" t="s">
        <v>67</v>
      </c>
      <c r="BP2" s="95" t="s">
        <v>68</v>
      </c>
      <c r="BQ2" s="95" t="s">
        <v>69</v>
      </c>
      <c r="BR2" s="95" t="s">
        <v>70</v>
      </c>
      <c r="BS2" s="95" t="s">
        <v>71</v>
      </c>
      <c r="BT2" s="95" t="s">
        <v>72</v>
      </c>
      <c r="BU2" s="95" t="s">
        <v>73</v>
      </c>
      <c r="BV2" s="95" t="s">
        <v>74</v>
      </c>
      <c r="BW2" s="95" t="s">
        <v>75</v>
      </c>
      <c r="BX2" s="95" t="s">
        <v>76</v>
      </c>
      <c r="BY2" s="95" t="s">
        <v>77</v>
      </c>
      <c r="BZ2" s="95" t="s">
        <v>78</v>
      </c>
      <c r="CA2" s="95" t="s">
        <v>79</v>
      </c>
      <c r="CB2" s="95" t="s">
        <v>80</v>
      </c>
      <c r="CC2" s="95" t="s">
        <v>81</v>
      </c>
      <c r="CD2" s="95" t="s">
        <v>82</v>
      </c>
      <c r="CE2" s="95" t="s">
        <v>83</v>
      </c>
      <c r="CF2" s="95" t="s">
        <v>84</v>
      </c>
      <c r="CG2" s="95" t="s">
        <v>85</v>
      </c>
      <c r="CH2" s="95" t="s">
        <v>86</v>
      </c>
      <c r="CI2" s="95" t="s">
        <v>87</v>
      </c>
      <c r="CJ2" s="95" t="s">
        <v>88</v>
      </c>
      <c r="CK2" s="95" t="s">
        <v>89</v>
      </c>
      <c r="CL2" s="95" t="s">
        <v>90</v>
      </c>
      <c r="CM2" s="95" t="s">
        <v>91</v>
      </c>
      <c r="CN2" s="95" t="s">
        <v>92</v>
      </c>
      <c r="CO2" s="95" t="s">
        <v>93</v>
      </c>
      <c r="CP2" s="95" t="s">
        <v>94</v>
      </c>
      <c r="CQ2" s="95" t="s">
        <v>95</v>
      </c>
      <c r="CR2" s="95" t="s">
        <v>96</v>
      </c>
      <c r="CS2" s="95" t="s">
        <v>97</v>
      </c>
      <c r="CT2" s="95" t="s">
        <v>98</v>
      </c>
      <c r="CU2" s="95" t="s">
        <v>99</v>
      </c>
      <c r="CV2" s="95" t="s">
        <v>100</v>
      </c>
      <c r="CW2" s="95" t="s">
        <v>101</v>
      </c>
      <c r="CX2" s="95" t="s">
        <v>102</v>
      </c>
      <c r="CY2" s="95" t="s">
        <v>103</v>
      </c>
      <c r="CZ2" s="95" t="s">
        <v>104</v>
      </c>
      <c r="DA2" s="95" t="s">
        <v>105</v>
      </c>
      <c r="DB2" s="95" t="s">
        <v>106</v>
      </c>
      <c r="DC2" s="95" t="s">
        <v>107</v>
      </c>
      <c r="DD2" s="95" t="s">
        <v>108</v>
      </c>
      <c r="DE2" s="95" t="s">
        <v>109</v>
      </c>
      <c r="DF2" s="95" t="s">
        <v>110</v>
      </c>
      <c r="DG2" s="95" t="s">
        <v>111</v>
      </c>
      <c r="DH2" s="95" t="s">
        <v>112</v>
      </c>
      <c r="DI2" s="95" t="s">
        <v>113</v>
      </c>
      <c r="DJ2" s="95" t="s">
        <v>114</v>
      </c>
      <c r="DK2" s="95" t="s">
        <v>115</v>
      </c>
      <c r="DL2" s="95" t="s">
        <v>116</v>
      </c>
      <c r="DM2" s="95" t="s">
        <v>117</v>
      </c>
      <c r="DN2" s="95" t="s">
        <v>118</v>
      </c>
      <c r="DO2" s="95" t="s">
        <v>119</v>
      </c>
      <c r="DP2" s="95" t="s">
        <v>120</v>
      </c>
      <c r="DQ2" s="95" t="s">
        <v>121</v>
      </c>
      <c r="DR2" s="95" t="s">
        <v>122</v>
      </c>
      <c r="DS2" s="95" t="s">
        <v>123</v>
      </c>
      <c r="DT2" s="95" t="s">
        <v>124</v>
      </c>
      <c r="DU2" s="95" t="s">
        <v>125</v>
      </c>
      <c r="DV2" s="95" t="s">
        <v>126</v>
      </c>
      <c r="DW2" s="95" t="s">
        <v>127</v>
      </c>
      <c r="DX2" s="95" t="s">
        <v>128</v>
      </c>
      <c r="DY2" s="95" t="s">
        <v>129</v>
      </c>
      <c r="DZ2" s="95" t="s">
        <v>130</v>
      </c>
      <c r="EA2" s="95" t="s">
        <v>131</v>
      </c>
      <c r="EB2" s="95" t="s">
        <v>132</v>
      </c>
      <c r="EC2" s="95" t="s">
        <v>133</v>
      </c>
    </row>
    <row r="3" spans="1:133">
      <c r="A3" s="18"/>
      <c r="B3" s="19" t="s">
        <v>134</v>
      </c>
      <c r="C3" s="20" t="s">
        <v>135</v>
      </c>
      <c r="D3" s="21" t="s">
        <v>136</v>
      </c>
      <c r="E3" s="21"/>
      <c r="F3" s="22" t="s">
        <v>137</v>
      </c>
      <c r="G3" s="23" t="str" cm="1">
        <f t="array" ref="G3">IFERROR(LOOKUP(2,1/(K3:GC3&lt;&gt;""),K$2:DQL$2),"")</f>
        <v>21-Aug</v>
      </c>
      <c r="H3" s="24" cm="1">
        <f t="array" ref="H3">IFERROR(_xlfn.XLOOKUP(TRUE,P3:ED3&lt;&gt;"",P3:ED3,,,-1)," ")</f>
        <v>21.1</v>
      </c>
      <c r="I3" s="25">
        <v>24</v>
      </c>
      <c r="J3" s="25">
        <v>25.5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8"/>
      <c r="AF3" s="29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>
        <v>16.399999999999999</v>
      </c>
      <c r="AV3" s="28"/>
      <c r="AW3" s="28"/>
      <c r="AX3" s="28"/>
      <c r="AY3" s="28"/>
      <c r="AZ3" s="28"/>
      <c r="BA3" s="28"/>
      <c r="BB3" s="28">
        <v>19.600000000000001</v>
      </c>
      <c r="BC3" s="28"/>
      <c r="BD3" s="28"/>
      <c r="BE3" s="30"/>
      <c r="BF3" s="30"/>
      <c r="BG3" s="28"/>
      <c r="BH3" s="30"/>
      <c r="BI3" s="30">
        <v>21.1</v>
      </c>
      <c r="BJ3" s="30"/>
      <c r="BK3" s="28"/>
      <c r="BL3" s="30"/>
      <c r="BM3" s="30"/>
      <c r="BN3" s="30"/>
      <c r="BO3" s="30"/>
      <c r="BP3" s="30"/>
      <c r="BQ3" s="28"/>
      <c r="BR3" s="28"/>
      <c r="BS3" s="30"/>
      <c r="BT3" s="30"/>
      <c r="BU3" s="28"/>
      <c r="BV3" s="28"/>
      <c r="BW3" s="28"/>
      <c r="BX3" s="30"/>
      <c r="BY3" s="28"/>
      <c r="BZ3" s="28"/>
      <c r="CA3" s="30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31"/>
      <c r="CN3" s="30"/>
      <c r="CO3" s="30"/>
      <c r="CP3" s="28"/>
      <c r="CQ3" s="28"/>
      <c r="CR3" s="30"/>
      <c r="CS3" s="28"/>
      <c r="CT3" s="28"/>
      <c r="CU3" s="30"/>
      <c r="CV3" s="30"/>
      <c r="CW3" s="28"/>
      <c r="CX3" s="28"/>
      <c r="CY3" s="28"/>
      <c r="CZ3" s="28"/>
      <c r="DA3" s="30"/>
      <c r="DB3" s="30"/>
      <c r="DC3" s="30"/>
      <c r="DD3" s="98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2"/>
      <c r="EB3" s="32"/>
      <c r="EC3" s="33"/>
    </row>
    <row r="4" spans="1:133" hidden="1">
      <c r="A4" s="22" t="s">
        <v>138</v>
      </c>
      <c r="B4" s="22" t="s">
        <v>139</v>
      </c>
      <c r="C4" s="20" t="s">
        <v>140</v>
      </c>
      <c r="D4" s="21" t="s">
        <v>141</v>
      </c>
      <c r="E4" s="21"/>
      <c r="F4" s="22" t="s">
        <v>142</v>
      </c>
      <c r="G4" s="23" t="str" cm="1">
        <f t="array" ref="G4">IFERROR(LOOKUP(2,1/(K4:GC4&lt;&gt;""),K$2:DQL$2),"")</f>
        <v>10-Aug</v>
      </c>
      <c r="H4" s="24" cm="1">
        <f t="array" ref="H4">IFERROR(_xlfn.XLOOKUP(TRUE,P4:ED4&lt;&gt;"",P4:ED4,,,-1)," ")</f>
        <v>21.5</v>
      </c>
      <c r="I4" s="25">
        <v>21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34"/>
      <c r="AF4" s="35"/>
      <c r="AG4" s="34"/>
      <c r="AH4" s="34"/>
      <c r="AI4" s="34"/>
      <c r="AJ4" s="34"/>
      <c r="AK4" s="34"/>
      <c r="AL4" s="34"/>
      <c r="AM4" s="34"/>
      <c r="AN4" s="34"/>
      <c r="AO4" s="34"/>
      <c r="AP4" s="36"/>
      <c r="AQ4" s="34"/>
      <c r="AR4" s="34"/>
      <c r="AS4" s="34"/>
      <c r="AT4" s="36"/>
      <c r="AU4" s="34"/>
      <c r="AV4" s="34"/>
      <c r="AW4" s="34"/>
      <c r="AX4" s="36">
        <v>21.5</v>
      </c>
      <c r="AY4" s="34"/>
      <c r="AZ4" s="34"/>
      <c r="BA4" s="34"/>
      <c r="BB4" s="34"/>
      <c r="BC4" s="34"/>
      <c r="BD4" s="34"/>
      <c r="BE4" s="37"/>
      <c r="BF4" s="37"/>
      <c r="BG4" s="34"/>
      <c r="BH4" s="37"/>
      <c r="BI4" s="37"/>
      <c r="BJ4" s="37"/>
      <c r="BK4" s="38"/>
      <c r="BL4" s="37"/>
      <c r="BM4" s="37"/>
      <c r="BN4" s="37"/>
      <c r="BO4" s="38"/>
      <c r="BP4" s="37"/>
      <c r="BQ4" s="37"/>
      <c r="BR4" s="34"/>
      <c r="BS4" s="37"/>
      <c r="BT4" s="37"/>
      <c r="BU4" s="34"/>
      <c r="BV4" s="37"/>
      <c r="BW4" s="34"/>
      <c r="BX4" s="37"/>
      <c r="BY4" s="34"/>
      <c r="BZ4" s="34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4"/>
      <c r="CM4" s="37"/>
      <c r="CN4" s="37"/>
      <c r="CO4" s="37"/>
      <c r="CP4" s="34"/>
      <c r="CQ4" s="37"/>
      <c r="CR4" s="37"/>
      <c r="CS4" s="37"/>
      <c r="CT4" s="34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9"/>
      <c r="EB4" s="39"/>
      <c r="EC4" s="40"/>
    </row>
    <row r="5" spans="1:133" hidden="1">
      <c r="A5" s="22" t="s">
        <v>138</v>
      </c>
      <c r="B5" s="22" t="s">
        <v>143</v>
      </c>
      <c r="C5" s="20" t="s">
        <v>144</v>
      </c>
      <c r="D5" s="21" t="s">
        <v>145</v>
      </c>
      <c r="E5" s="21"/>
      <c r="F5" s="22" t="s">
        <v>137</v>
      </c>
      <c r="G5" s="23" t="str" cm="1">
        <f t="array" ref="G5">IFERROR(LOOKUP(2,1/(K5:GC5&lt;&gt;""),K$2:DQL$2),"")</f>
        <v>3-Aug</v>
      </c>
      <c r="H5" s="24" cm="1">
        <f t="array" ref="H5">IFERROR(_xlfn.XLOOKUP(TRUE,P5:ED5&lt;&gt;"",P5:ED5,,,-1)," ")</f>
        <v>23.1</v>
      </c>
      <c r="I5" s="25">
        <v>24</v>
      </c>
      <c r="J5" s="25">
        <v>24.5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34"/>
      <c r="AF5" s="35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>
        <v>23.1</v>
      </c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7"/>
      <c r="BF5" s="37"/>
      <c r="BG5" s="34"/>
      <c r="BH5" s="34"/>
      <c r="BI5" s="37"/>
      <c r="BJ5" s="37"/>
      <c r="BK5" s="37"/>
      <c r="BL5" s="37"/>
      <c r="BM5" s="37"/>
      <c r="BN5" s="37"/>
      <c r="BO5" s="37"/>
      <c r="BP5" s="37"/>
      <c r="BQ5" s="34"/>
      <c r="BR5" s="34"/>
      <c r="BS5" s="41"/>
      <c r="BT5" s="38"/>
      <c r="BU5" s="36"/>
      <c r="BV5" s="36"/>
      <c r="BW5" s="34"/>
      <c r="BX5" s="37"/>
      <c r="BY5" s="34"/>
      <c r="BZ5" s="36"/>
      <c r="CA5" s="37"/>
      <c r="CB5" s="34"/>
      <c r="CC5" s="37"/>
      <c r="CD5" s="37"/>
      <c r="CE5" s="37"/>
      <c r="CF5" s="37"/>
      <c r="CG5" s="37"/>
      <c r="CH5" s="37"/>
      <c r="CI5" s="37"/>
      <c r="CJ5" s="37"/>
      <c r="CK5" s="36"/>
      <c r="CL5" s="42"/>
      <c r="CM5" s="43"/>
      <c r="CN5" s="37"/>
      <c r="CO5" s="37"/>
      <c r="CP5" s="34"/>
      <c r="CQ5" s="37"/>
      <c r="CR5" s="37"/>
      <c r="CS5" s="37"/>
      <c r="CT5" s="34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9"/>
      <c r="EB5" s="39"/>
      <c r="EC5" s="40"/>
    </row>
    <row r="6" spans="1:133" hidden="1">
      <c r="A6" s="22" t="s">
        <v>138</v>
      </c>
      <c r="B6" s="22" t="s">
        <v>146</v>
      </c>
      <c r="C6" s="20" t="s">
        <v>147</v>
      </c>
      <c r="D6" s="21" t="s">
        <v>148</v>
      </c>
      <c r="E6" s="21"/>
      <c r="F6" s="22" t="s">
        <v>137</v>
      </c>
      <c r="G6" s="23" t="str" cm="1">
        <f t="array" ref="G6">IFERROR(LOOKUP(2,1/(K6:GC6&lt;&gt;""),K$2:DQL$2),"")</f>
        <v>6-Aug</v>
      </c>
      <c r="H6" s="24" cm="1">
        <f t="array" ref="H6">IFERROR(_xlfn.XLOOKUP(TRUE,P6:ED6&lt;&gt;"",P6:ED6,,,-1)," ")</f>
        <v>25</v>
      </c>
      <c r="I6" s="25">
        <v>24</v>
      </c>
      <c r="J6" s="25">
        <v>25.5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>
        <v>16.2</v>
      </c>
      <c r="Y6" s="25"/>
      <c r="Z6" s="25"/>
      <c r="AA6" s="25"/>
      <c r="AB6" s="25"/>
      <c r="AC6" s="25"/>
      <c r="AD6" s="25"/>
      <c r="AE6" s="34"/>
      <c r="AF6" s="35"/>
      <c r="AG6" s="34">
        <v>19</v>
      </c>
      <c r="AH6" s="34"/>
      <c r="AI6" s="34"/>
      <c r="AJ6" s="34"/>
      <c r="AK6" s="34"/>
      <c r="AL6" s="34"/>
      <c r="AM6" s="34"/>
      <c r="AN6" s="34">
        <v>22.7</v>
      </c>
      <c r="AO6" s="34"/>
      <c r="AP6" s="34"/>
      <c r="AQ6" s="34"/>
      <c r="AR6" s="34"/>
      <c r="AS6" s="34">
        <v>24.1</v>
      </c>
      <c r="AT6" s="36">
        <v>25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7"/>
      <c r="BF6" s="37"/>
      <c r="BG6" s="34"/>
      <c r="BH6" s="37"/>
      <c r="BI6" s="37"/>
      <c r="BJ6" s="34"/>
      <c r="BK6" s="36"/>
      <c r="BL6" s="37"/>
      <c r="BM6" s="37"/>
      <c r="BN6" s="37"/>
      <c r="BO6" s="36"/>
      <c r="BP6" s="37"/>
      <c r="BQ6" s="36"/>
      <c r="BR6" s="34"/>
      <c r="BS6" s="37"/>
      <c r="BT6" s="38"/>
      <c r="BU6" s="34"/>
      <c r="BV6" s="37"/>
      <c r="BW6" s="34"/>
      <c r="BX6" s="37"/>
      <c r="BY6" s="34"/>
      <c r="BZ6" s="34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4"/>
      <c r="CM6" s="43"/>
      <c r="CN6" s="37"/>
      <c r="CO6" s="37"/>
      <c r="CP6" s="34"/>
      <c r="CQ6" s="37"/>
      <c r="CR6" s="37"/>
      <c r="CS6" s="37"/>
      <c r="CT6" s="34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9"/>
      <c r="EB6" s="39"/>
      <c r="EC6" s="40"/>
    </row>
    <row r="7" spans="1:133" hidden="1">
      <c r="A7" s="22" t="s">
        <v>138</v>
      </c>
      <c r="B7" s="22" t="s">
        <v>146</v>
      </c>
      <c r="C7" s="20" t="s">
        <v>149</v>
      </c>
      <c r="D7" s="21" t="s">
        <v>148</v>
      </c>
      <c r="E7" s="21"/>
      <c r="F7" s="22" t="s">
        <v>137</v>
      </c>
      <c r="G7" s="23" t="str" cm="1">
        <f t="array" ref="G7">IFERROR(LOOKUP(2,1/(K7:GC7&lt;&gt;""),K$2:DQL$2),"")</f>
        <v/>
      </c>
      <c r="H7" s="24" t="str" cm="1">
        <f t="array" ref="H7">IFERROR(_xlfn.XLOOKUP(TRUE,P7:ED7&lt;&gt;"",P7:ED7,,,-1)," ")</f>
        <v xml:space="preserve"> </v>
      </c>
      <c r="I7" s="25">
        <v>24</v>
      </c>
      <c r="J7" s="25">
        <v>25.5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34"/>
      <c r="AF7" s="35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  <c r="BF7" s="37"/>
      <c r="BG7" s="34"/>
      <c r="BH7" s="37"/>
      <c r="BI7" s="37"/>
      <c r="BJ7" s="34"/>
      <c r="BK7" s="36"/>
      <c r="BL7" s="37"/>
      <c r="BM7" s="37"/>
      <c r="BN7" s="37"/>
      <c r="BO7" s="34"/>
      <c r="BP7" s="37"/>
      <c r="BQ7" s="34"/>
      <c r="BR7" s="34"/>
      <c r="BS7" s="37"/>
      <c r="BT7" s="37"/>
      <c r="BU7" s="34"/>
      <c r="BV7" s="37"/>
      <c r="BW7" s="34"/>
      <c r="BX7" s="37"/>
      <c r="BY7" s="34"/>
      <c r="BZ7" s="34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4"/>
      <c r="CM7" s="43"/>
      <c r="CN7" s="37"/>
      <c r="CO7" s="37"/>
      <c r="CP7" s="34"/>
      <c r="CQ7" s="37"/>
      <c r="CR7" s="37"/>
      <c r="CS7" s="37"/>
      <c r="CT7" s="34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9"/>
      <c r="EB7" s="39"/>
      <c r="EC7" s="40"/>
    </row>
    <row r="8" spans="1:133" hidden="1">
      <c r="A8" s="22" t="s">
        <v>138</v>
      </c>
      <c r="B8" s="22" t="s">
        <v>146</v>
      </c>
      <c r="C8" s="20" t="s">
        <v>150</v>
      </c>
      <c r="D8" s="21" t="s">
        <v>148</v>
      </c>
      <c r="E8" s="21"/>
      <c r="F8" s="22" t="s">
        <v>137</v>
      </c>
      <c r="G8" s="23" t="str" cm="1">
        <f t="array" ref="G8">IFERROR(LOOKUP(2,1/(K8:GC8&lt;&gt;""),K$2:DQL$2),"")</f>
        <v/>
      </c>
      <c r="H8" s="24" t="str" cm="1">
        <f t="array" ref="H8">IFERROR(_xlfn.XLOOKUP(TRUE,P8:ED8&lt;&gt;"",P8:ED8,,,-1)," ")</f>
        <v xml:space="preserve"> </v>
      </c>
      <c r="I8" s="25">
        <v>24</v>
      </c>
      <c r="J8" s="25">
        <v>25.5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34"/>
      <c r="AF8" s="35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7"/>
      <c r="BF8" s="37"/>
      <c r="BG8" s="34"/>
      <c r="BH8" s="37"/>
      <c r="BI8" s="37"/>
      <c r="BJ8" s="34"/>
      <c r="BK8" s="36"/>
      <c r="BL8" s="37"/>
      <c r="BM8" s="37"/>
      <c r="BN8" s="37"/>
      <c r="BO8" s="34"/>
      <c r="BP8" s="37"/>
      <c r="BQ8" s="34"/>
      <c r="BR8" s="34"/>
      <c r="BS8" s="37"/>
      <c r="BT8" s="37"/>
      <c r="BU8" s="34"/>
      <c r="BV8" s="37"/>
      <c r="BW8" s="34"/>
      <c r="BX8" s="37"/>
      <c r="BY8" s="34"/>
      <c r="BZ8" s="34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4"/>
      <c r="CM8" s="43"/>
      <c r="CN8" s="37"/>
      <c r="CO8" s="37"/>
      <c r="CP8" s="34"/>
      <c r="CQ8" s="37"/>
      <c r="CR8" s="37"/>
      <c r="CS8" s="37"/>
      <c r="CT8" s="34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9"/>
      <c r="EB8" s="39"/>
      <c r="EC8" s="40"/>
    </row>
    <row r="9" spans="1:133" hidden="1">
      <c r="A9" s="22" t="s">
        <v>138</v>
      </c>
      <c r="B9" s="22" t="s">
        <v>151</v>
      </c>
      <c r="C9" s="20" t="s">
        <v>152</v>
      </c>
      <c r="D9" s="21" t="s">
        <v>148</v>
      </c>
      <c r="E9" s="21"/>
      <c r="F9" s="22" t="s">
        <v>137</v>
      </c>
      <c r="G9" s="23" t="str" cm="1">
        <f t="array" ref="G9">IFERROR(LOOKUP(2,1/(K9:GC9&lt;&gt;""),K$2:DQL$2),"")</f>
        <v>8-Aug</v>
      </c>
      <c r="H9" s="24" cm="1">
        <f t="array" ref="H9">IFERROR(_xlfn.XLOOKUP(TRUE,P9:ED9&lt;&gt;"",P9:ED9,,,-1)," ")</f>
        <v>24.1</v>
      </c>
      <c r="I9" s="25">
        <v>24</v>
      </c>
      <c r="J9" s="25">
        <v>25.5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34"/>
      <c r="AF9" s="35"/>
      <c r="AG9" s="34">
        <v>19</v>
      </c>
      <c r="AH9" s="34"/>
      <c r="AI9" s="34"/>
      <c r="AJ9" s="34"/>
      <c r="AK9" s="34"/>
      <c r="AL9" s="34"/>
      <c r="AM9" s="34"/>
      <c r="AN9" s="34">
        <v>22.1</v>
      </c>
      <c r="AO9" s="34"/>
      <c r="AP9" s="34"/>
      <c r="AQ9" s="34"/>
      <c r="AR9" s="34"/>
      <c r="AS9" s="34">
        <v>23.5</v>
      </c>
      <c r="AT9" s="34"/>
      <c r="AU9" s="34"/>
      <c r="AV9" s="36">
        <v>24.1</v>
      </c>
      <c r="AW9" s="34"/>
      <c r="AX9" s="34"/>
      <c r="AY9" s="34"/>
      <c r="AZ9" s="34"/>
      <c r="BA9" s="34"/>
      <c r="BB9" s="34"/>
      <c r="BC9" s="34"/>
      <c r="BD9" s="34"/>
      <c r="BE9" s="37"/>
      <c r="BF9" s="37"/>
      <c r="BG9" s="34"/>
      <c r="BH9" s="37"/>
      <c r="BI9" s="37"/>
      <c r="BJ9" s="34"/>
      <c r="BK9" s="34"/>
      <c r="BL9" s="37"/>
      <c r="BM9" s="37"/>
      <c r="BN9" s="37"/>
      <c r="BO9" s="37"/>
      <c r="BP9" s="37"/>
      <c r="BQ9" s="34"/>
      <c r="BR9" s="34"/>
      <c r="BS9" s="37"/>
      <c r="BT9" s="38"/>
      <c r="BU9" s="34"/>
      <c r="BV9" s="34"/>
      <c r="BW9" s="34"/>
      <c r="BX9" s="37"/>
      <c r="BY9" s="36"/>
      <c r="BZ9" s="34"/>
      <c r="CA9" s="37"/>
      <c r="CB9" s="34"/>
      <c r="CC9" s="34"/>
      <c r="CD9" s="34"/>
      <c r="CE9" s="36"/>
      <c r="CF9" s="34"/>
      <c r="CG9" s="34"/>
      <c r="CH9" s="34"/>
      <c r="CI9" s="34"/>
      <c r="CJ9" s="36"/>
      <c r="CK9" s="34"/>
      <c r="CL9" s="34"/>
      <c r="CM9" s="43"/>
      <c r="CN9" s="37"/>
      <c r="CO9" s="37"/>
      <c r="CP9" s="34"/>
      <c r="CQ9" s="34"/>
      <c r="CR9" s="37"/>
      <c r="CS9" s="34"/>
      <c r="CT9" s="34"/>
      <c r="CU9" s="37"/>
      <c r="CV9" s="37"/>
      <c r="CW9" s="34"/>
      <c r="CX9" s="34"/>
      <c r="CY9" s="34"/>
      <c r="CZ9" s="34"/>
      <c r="DA9" s="34"/>
      <c r="DB9" s="37"/>
      <c r="DC9" s="37"/>
      <c r="DD9" s="34"/>
      <c r="DE9" s="34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9"/>
      <c r="EB9" s="39"/>
      <c r="EC9" s="40"/>
    </row>
    <row r="10" spans="1:133" hidden="1">
      <c r="A10" s="22" t="s">
        <v>138</v>
      </c>
      <c r="B10" s="22" t="s">
        <v>151</v>
      </c>
      <c r="C10" s="20" t="s">
        <v>153</v>
      </c>
      <c r="D10" s="21" t="s">
        <v>148</v>
      </c>
      <c r="E10" s="21"/>
      <c r="F10" s="22" t="s">
        <v>137</v>
      </c>
      <c r="G10" s="23" t="str" cm="1">
        <f t="array" ref="G10">IFERROR(LOOKUP(2,1/(K10:GC10&lt;&gt;""),K$2:DQL$2),"")</f>
        <v/>
      </c>
      <c r="H10" s="24" t="str" cm="1">
        <f t="array" ref="H10">IFERROR(_xlfn.XLOOKUP(TRUE,P10:ED10&lt;&gt;"",P10:ED10,,,-1)," ")</f>
        <v xml:space="preserve"> </v>
      </c>
      <c r="I10" s="25">
        <v>24</v>
      </c>
      <c r="J10" s="25">
        <v>25.5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34"/>
      <c r="AF10" s="35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7"/>
      <c r="BF10" s="37"/>
      <c r="BG10" s="34"/>
      <c r="BH10" s="37"/>
      <c r="BI10" s="37"/>
      <c r="BJ10" s="34"/>
      <c r="BK10" s="34"/>
      <c r="BL10" s="37"/>
      <c r="BM10" s="37"/>
      <c r="BN10" s="37"/>
      <c r="BO10" s="37"/>
      <c r="BP10" s="37"/>
      <c r="BQ10" s="34"/>
      <c r="BR10" s="34"/>
      <c r="BS10" s="37"/>
      <c r="BT10" s="37"/>
      <c r="BU10" s="34"/>
      <c r="BV10" s="34"/>
      <c r="BW10" s="34"/>
      <c r="BX10" s="37"/>
      <c r="BY10" s="34"/>
      <c r="BZ10" s="34"/>
      <c r="CA10" s="37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43"/>
      <c r="CN10" s="37"/>
      <c r="CO10" s="37"/>
      <c r="CP10" s="34"/>
      <c r="CQ10" s="34"/>
      <c r="CR10" s="37"/>
      <c r="CS10" s="34"/>
      <c r="CT10" s="34"/>
      <c r="CU10" s="37"/>
      <c r="CV10" s="37"/>
      <c r="CW10" s="34"/>
      <c r="CX10" s="34"/>
      <c r="CY10" s="34"/>
      <c r="CZ10" s="34"/>
      <c r="DA10" s="34"/>
      <c r="DB10" s="37"/>
      <c r="DC10" s="37"/>
      <c r="DD10" s="34"/>
      <c r="DE10" s="34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9"/>
      <c r="EB10" s="39"/>
      <c r="EC10" s="40"/>
    </row>
    <row r="11" spans="1:133" hidden="1">
      <c r="A11" s="22" t="s">
        <v>138</v>
      </c>
      <c r="B11" s="22" t="s">
        <v>151</v>
      </c>
      <c r="C11" s="20" t="s">
        <v>154</v>
      </c>
      <c r="D11" s="21" t="s">
        <v>148</v>
      </c>
      <c r="E11" s="21"/>
      <c r="F11" s="22" t="s">
        <v>137</v>
      </c>
      <c r="G11" s="23" t="str" cm="1">
        <f t="array" ref="G11">IFERROR(LOOKUP(2,1/(K11:GC11&lt;&gt;""),K$2:DQL$2),"")</f>
        <v/>
      </c>
      <c r="H11" s="24" t="str" cm="1">
        <f t="array" ref="H11">IFERROR(_xlfn.XLOOKUP(TRUE,P11:ED11&lt;&gt;"",P11:ED11,,,-1)," ")</f>
        <v xml:space="preserve"> </v>
      </c>
      <c r="I11" s="25">
        <v>24</v>
      </c>
      <c r="J11" s="25">
        <v>25.5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34"/>
      <c r="AF11" s="35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7"/>
      <c r="BF11" s="37"/>
      <c r="BG11" s="34"/>
      <c r="BH11" s="37"/>
      <c r="BI11" s="37"/>
      <c r="BJ11" s="34"/>
      <c r="BK11" s="34"/>
      <c r="BL11" s="37"/>
      <c r="BM11" s="37"/>
      <c r="BN11" s="37"/>
      <c r="BO11" s="37"/>
      <c r="BP11" s="37"/>
      <c r="BQ11" s="34"/>
      <c r="BR11" s="34"/>
      <c r="BS11" s="37"/>
      <c r="BT11" s="37"/>
      <c r="BU11" s="34"/>
      <c r="BV11" s="34"/>
      <c r="BW11" s="34"/>
      <c r="BX11" s="37"/>
      <c r="BY11" s="34"/>
      <c r="BZ11" s="34"/>
      <c r="CA11" s="37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43"/>
      <c r="CN11" s="37"/>
      <c r="CO11" s="37"/>
      <c r="CP11" s="34"/>
      <c r="CQ11" s="34"/>
      <c r="CR11" s="37"/>
      <c r="CS11" s="34"/>
      <c r="CT11" s="34"/>
      <c r="CU11" s="37"/>
      <c r="CV11" s="37"/>
      <c r="CW11" s="34"/>
      <c r="CX11" s="34"/>
      <c r="CY11" s="34"/>
      <c r="CZ11" s="34"/>
      <c r="DA11" s="34"/>
      <c r="DB11" s="37"/>
      <c r="DC11" s="37"/>
      <c r="DD11" s="34"/>
      <c r="DE11" s="34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9"/>
      <c r="EB11" s="39"/>
      <c r="EC11" s="40"/>
    </row>
    <row r="12" spans="1:133">
      <c r="A12" s="22"/>
      <c r="B12" s="22" t="s">
        <v>155</v>
      </c>
      <c r="C12" s="20" t="s">
        <v>156</v>
      </c>
      <c r="D12" s="21" t="s">
        <v>157</v>
      </c>
      <c r="E12" s="21"/>
      <c r="F12" s="22" t="s">
        <v>137</v>
      </c>
      <c r="G12" s="23" t="str" cm="1">
        <f t="array" ref="G12">IFERROR(LOOKUP(2,1/(K12:GC12&lt;&gt;""),K$2:DQL$2),"")</f>
        <v/>
      </c>
      <c r="H12" s="24" t="str" cm="1">
        <f t="array" ref="H12">IFERROR(_xlfn.XLOOKUP(TRUE,P12:ED12&lt;&gt;"",P12:ED12,,,-1)," ")</f>
        <v xml:space="preserve"> </v>
      </c>
      <c r="I12" s="25">
        <v>25</v>
      </c>
      <c r="J12" s="25">
        <v>26.5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34"/>
      <c r="AF12" s="35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7"/>
      <c r="BF12" s="37"/>
      <c r="BG12" s="34"/>
      <c r="BH12" s="37"/>
      <c r="BI12" s="37"/>
      <c r="BJ12" s="37"/>
      <c r="BK12" s="37"/>
      <c r="BL12" s="38"/>
      <c r="BM12" s="37"/>
      <c r="BN12" s="37"/>
      <c r="BO12" s="37"/>
      <c r="BP12" s="37"/>
      <c r="BQ12" s="34"/>
      <c r="BR12" s="34"/>
      <c r="BS12" s="37"/>
      <c r="BT12" s="37"/>
      <c r="BU12" s="34"/>
      <c r="BV12" s="36"/>
      <c r="BW12" s="36"/>
      <c r="BX12" s="34"/>
      <c r="BY12" s="34"/>
      <c r="BZ12" s="34"/>
      <c r="CA12" s="38"/>
      <c r="CB12" s="34"/>
      <c r="CC12" s="34"/>
      <c r="CD12" s="34"/>
      <c r="CE12" s="34"/>
      <c r="CF12" s="34"/>
      <c r="CG12" s="34"/>
      <c r="CH12" s="36"/>
      <c r="CI12" s="34"/>
      <c r="CJ12" s="34"/>
      <c r="CK12" s="34"/>
      <c r="CL12" s="34"/>
      <c r="CM12" s="34"/>
      <c r="CN12" s="37"/>
      <c r="CO12" s="37"/>
      <c r="CP12" s="34"/>
      <c r="CQ12" s="37"/>
      <c r="CR12" s="37"/>
      <c r="CS12" s="37"/>
      <c r="CT12" s="34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9"/>
      <c r="EB12" s="39"/>
      <c r="EC12" s="40"/>
    </row>
    <row r="13" spans="1:133">
      <c r="A13" s="22"/>
      <c r="B13" s="22" t="s">
        <v>158</v>
      </c>
      <c r="C13" s="20" t="s">
        <v>159</v>
      </c>
      <c r="D13" s="21" t="s">
        <v>157</v>
      </c>
      <c r="E13" s="21"/>
      <c r="F13" s="22" t="s">
        <v>137</v>
      </c>
      <c r="G13" s="23" t="str" cm="1">
        <f t="array" ref="G13">IFERROR(LOOKUP(2,1/(K13:GC13&lt;&gt;""),K$2:DQL$2),"")</f>
        <v>12-Aug</v>
      </c>
      <c r="H13" s="24" cm="1">
        <f t="array" ref="H13">IFERROR(_xlfn.XLOOKUP(TRUE,P13:ED13&lt;&gt;"",P13:ED13,,,-1)," ")</f>
        <v>20.2</v>
      </c>
      <c r="I13" s="25">
        <v>25</v>
      </c>
      <c r="J13" s="25">
        <v>26.5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34"/>
      <c r="AF13" s="35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>
        <v>20.2</v>
      </c>
      <c r="BA13" s="34"/>
      <c r="BB13" s="34"/>
      <c r="BC13" s="34"/>
      <c r="BD13" s="34"/>
      <c r="BE13" s="37"/>
      <c r="BF13" s="37"/>
      <c r="BG13" s="34"/>
      <c r="BH13" s="37"/>
      <c r="BI13" s="37"/>
      <c r="BJ13" s="37"/>
      <c r="BK13" s="37"/>
      <c r="BL13" s="37"/>
      <c r="BM13" s="37"/>
      <c r="BN13" s="37"/>
      <c r="BO13" s="37"/>
      <c r="BP13" s="37"/>
      <c r="BQ13" s="34"/>
      <c r="BR13" s="34"/>
      <c r="BS13" s="37"/>
      <c r="BT13" s="37"/>
      <c r="BU13" s="34"/>
      <c r="BV13" s="34"/>
      <c r="BW13" s="34"/>
      <c r="BX13" s="34"/>
      <c r="BY13" s="34"/>
      <c r="BZ13" s="34"/>
      <c r="CA13" s="37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43"/>
      <c r="CN13" s="37"/>
      <c r="CO13" s="37"/>
      <c r="CP13" s="36"/>
      <c r="CQ13" s="37"/>
      <c r="CR13" s="37"/>
      <c r="CS13" s="37"/>
      <c r="CT13" s="34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9"/>
      <c r="EB13" s="39"/>
      <c r="EC13" s="40"/>
    </row>
    <row r="14" spans="1:133">
      <c r="A14" s="22"/>
      <c r="B14" s="22" t="s">
        <v>160</v>
      </c>
      <c r="C14" s="20" t="s">
        <v>161</v>
      </c>
      <c r="D14" s="21" t="s">
        <v>162</v>
      </c>
      <c r="E14" s="21"/>
      <c r="F14" s="22" t="s">
        <v>137</v>
      </c>
      <c r="G14" s="23" t="str" cm="1">
        <f t="array" ref="G14">IFERROR(LOOKUP(2,1/(K14:GC14&lt;&gt;""),K$2:DQL$2),"")</f>
        <v>21-Aug</v>
      </c>
      <c r="H14" s="24" cm="1">
        <f t="array" ref="H14">IFERROR(_xlfn.XLOOKUP(TRUE,P14:ED14&lt;&gt;"",P14:ED14,,,-1)," ")</f>
        <v>25</v>
      </c>
      <c r="I14" s="217">
        <v>24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34"/>
      <c r="AF14" s="35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>
        <v>21.8</v>
      </c>
      <c r="BA14" s="34"/>
      <c r="BB14" s="34"/>
      <c r="BC14" s="34"/>
      <c r="BD14" s="34"/>
      <c r="BE14" s="37"/>
      <c r="BF14" s="37"/>
      <c r="BG14" s="34">
        <v>24</v>
      </c>
      <c r="BH14" s="37"/>
      <c r="BI14" s="36">
        <v>25</v>
      </c>
      <c r="BJ14" s="34"/>
      <c r="BK14" s="34"/>
      <c r="BL14" s="37"/>
      <c r="BM14" s="37"/>
      <c r="BN14" s="34"/>
      <c r="BO14" s="34"/>
      <c r="BP14" s="34"/>
      <c r="BQ14" s="34"/>
      <c r="BR14" s="34"/>
      <c r="BS14" s="37"/>
      <c r="BT14" s="37"/>
      <c r="BU14" s="34"/>
      <c r="BV14" s="34"/>
      <c r="BW14" s="34"/>
      <c r="BX14" s="34"/>
      <c r="BY14" s="34"/>
      <c r="BZ14" s="34"/>
      <c r="CA14" s="37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6"/>
      <c r="CM14" s="43"/>
      <c r="CN14" s="37"/>
      <c r="CO14" s="37"/>
      <c r="CP14" s="36"/>
      <c r="CQ14" s="34"/>
      <c r="CR14" s="34"/>
      <c r="CS14" s="34"/>
      <c r="CT14" s="34"/>
      <c r="CU14" s="37"/>
      <c r="CV14" s="37"/>
      <c r="CW14" s="34"/>
      <c r="CX14" s="34"/>
      <c r="CY14" s="34"/>
      <c r="CZ14" s="34"/>
      <c r="DA14" s="56"/>
      <c r="DB14" s="37"/>
      <c r="DC14" s="56"/>
      <c r="DD14" s="34"/>
      <c r="DE14" s="34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9"/>
      <c r="EB14" s="39"/>
      <c r="EC14" s="40"/>
    </row>
    <row r="15" spans="1:133">
      <c r="A15" s="22"/>
      <c r="B15" s="22" t="s">
        <v>163</v>
      </c>
      <c r="C15" s="20" t="s">
        <v>164</v>
      </c>
      <c r="D15" s="21" t="s">
        <v>162</v>
      </c>
      <c r="E15" s="21"/>
      <c r="F15" s="22" t="s">
        <v>137</v>
      </c>
      <c r="G15" s="23" t="str" cm="1">
        <f t="array" ref="G15">IFERROR(LOOKUP(2,1/(K15:GC15&lt;&gt;""),K$2:DQL$2),"")</f>
        <v>21-Aug</v>
      </c>
      <c r="H15" s="24" cm="1">
        <f t="array" ref="H15">IFERROR(_xlfn.XLOOKUP(TRUE,P15:ED15&lt;&gt;"",P15:ED15,,,-1)," ")</f>
        <v>24.7</v>
      </c>
      <c r="I15" s="217">
        <v>24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34"/>
      <c r="AF15" s="35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7"/>
      <c r="BF15" s="37"/>
      <c r="BG15" s="34">
        <v>24.2</v>
      </c>
      <c r="BH15" s="37"/>
      <c r="BI15" s="36">
        <v>24.7</v>
      </c>
      <c r="BJ15" s="34"/>
      <c r="BK15" s="36"/>
      <c r="BL15" s="37"/>
      <c r="BM15" s="37"/>
      <c r="BN15" s="34"/>
      <c r="BO15" s="34"/>
      <c r="BP15" s="34"/>
      <c r="BQ15" s="34"/>
      <c r="BR15" s="34"/>
      <c r="BS15" s="37"/>
      <c r="BT15" s="37"/>
      <c r="BU15" s="34"/>
      <c r="BV15" s="34"/>
      <c r="BW15" s="34"/>
      <c r="BX15" s="34"/>
      <c r="BY15" s="34"/>
      <c r="BZ15" s="34"/>
      <c r="CA15" s="37"/>
      <c r="CB15" s="34"/>
      <c r="CC15" s="37"/>
      <c r="CD15" s="37"/>
      <c r="CE15" s="37"/>
      <c r="CF15" s="37"/>
      <c r="CG15" s="37"/>
      <c r="CH15" s="37"/>
      <c r="CI15" s="37"/>
      <c r="CJ15" s="37"/>
      <c r="CK15" s="37"/>
      <c r="CL15" s="36"/>
      <c r="CM15" s="43"/>
      <c r="CN15" s="37"/>
      <c r="CO15" s="37"/>
      <c r="CP15" s="36"/>
      <c r="CQ15" s="37"/>
      <c r="CR15" s="34"/>
      <c r="CS15" s="37"/>
      <c r="CT15" s="34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9"/>
      <c r="EB15" s="39"/>
      <c r="EC15" s="40"/>
    </row>
    <row r="16" spans="1:133">
      <c r="A16" s="22"/>
      <c r="B16" s="22" t="s">
        <v>165</v>
      </c>
      <c r="C16" s="20" t="s">
        <v>166</v>
      </c>
      <c r="D16" s="21" t="s">
        <v>162</v>
      </c>
      <c r="E16" s="21"/>
      <c r="F16" s="22" t="s">
        <v>137</v>
      </c>
      <c r="G16" s="23" t="str" cm="1">
        <f t="array" ref="G16">IFERROR(LOOKUP(2,1/(K16:GC16&lt;&gt;""),K$2:DQL$2),"")</f>
        <v/>
      </c>
      <c r="H16" s="24" t="str" cm="1">
        <f t="array" ref="H16">IFERROR(_xlfn.XLOOKUP(TRUE,P16:ED16&lt;&gt;"",P16:ED16,,,-1)," ")</f>
        <v xml:space="preserve"> </v>
      </c>
      <c r="I16" s="25">
        <v>24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34"/>
      <c r="AF16" s="35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7"/>
      <c r="BF16" s="37"/>
      <c r="BG16" s="34"/>
      <c r="BH16" s="37"/>
      <c r="BI16" s="34"/>
      <c r="BJ16" s="34"/>
      <c r="BK16" s="34"/>
      <c r="BL16" s="37"/>
      <c r="BM16" s="37"/>
      <c r="BN16" s="34"/>
      <c r="BO16" s="34"/>
      <c r="BP16" s="34"/>
      <c r="BQ16" s="34"/>
      <c r="BR16" s="34"/>
      <c r="BS16" s="37"/>
      <c r="BT16" s="37"/>
      <c r="BU16" s="34"/>
      <c r="BV16" s="34"/>
      <c r="BW16" s="34"/>
      <c r="BX16" s="34"/>
      <c r="BY16" s="34"/>
      <c r="BZ16" s="34"/>
      <c r="CA16" s="37"/>
      <c r="CB16" s="34"/>
      <c r="CC16" s="37"/>
      <c r="CD16" s="37"/>
      <c r="CE16" s="37"/>
      <c r="CF16" s="37"/>
      <c r="CG16" s="37"/>
      <c r="CH16" s="37"/>
      <c r="CI16" s="37"/>
      <c r="CJ16" s="37"/>
      <c r="CK16" s="34"/>
      <c r="CL16" s="52"/>
      <c r="CM16" s="43"/>
      <c r="CN16" s="37"/>
      <c r="CO16" s="37"/>
      <c r="CP16" s="36"/>
      <c r="CQ16" s="37"/>
      <c r="CR16" s="34"/>
      <c r="CS16" s="37"/>
      <c r="CT16" s="34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8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9"/>
      <c r="EB16" s="39"/>
      <c r="EC16" s="40"/>
    </row>
    <row r="17" spans="1:133">
      <c r="A17" s="44"/>
      <c r="B17" s="45" t="s">
        <v>167</v>
      </c>
      <c r="C17" s="20" t="s">
        <v>168</v>
      </c>
      <c r="D17" s="21" t="s">
        <v>162</v>
      </c>
      <c r="E17" s="21"/>
      <c r="F17" s="22" t="s">
        <v>137</v>
      </c>
      <c r="G17" s="23" t="str" cm="1">
        <f t="array" ref="G17">IFERROR(LOOKUP(2,1/(K17:GC17&lt;&gt;""),K$2:DQL$2),"")</f>
        <v/>
      </c>
      <c r="H17" s="24" t="str" cm="1">
        <f t="array" ref="H17">IFERROR(_xlfn.XLOOKUP(TRUE,P17:ED17&lt;&gt;"",P17:ED17,,,-1)," ")</f>
        <v xml:space="preserve"> </v>
      </c>
      <c r="I17" s="25">
        <v>24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34"/>
      <c r="AF17" s="35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7"/>
      <c r="BF17" s="37"/>
      <c r="BG17" s="34"/>
      <c r="BH17" s="37"/>
      <c r="BI17" s="34"/>
      <c r="BJ17" s="34"/>
      <c r="BK17" s="34"/>
      <c r="BL17" s="37"/>
      <c r="BM17" s="37"/>
      <c r="BN17" s="34"/>
      <c r="BO17" s="34"/>
      <c r="BP17" s="34"/>
      <c r="BQ17" s="34"/>
      <c r="BR17" s="34"/>
      <c r="BS17" s="37"/>
      <c r="BT17" s="37"/>
      <c r="BU17" s="34"/>
      <c r="BV17" s="36"/>
      <c r="BW17" s="34"/>
      <c r="BX17" s="34"/>
      <c r="BY17" s="34"/>
      <c r="BZ17" s="34"/>
      <c r="CA17" s="37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52"/>
      <c r="CM17" s="43"/>
      <c r="CN17" s="37"/>
      <c r="CO17" s="37"/>
      <c r="CP17" s="36"/>
      <c r="CQ17" s="37"/>
      <c r="CR17" s="34"/>
      <c r="CS17" s="37"/>
      <c r="CT17" s="34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8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9"/>
      <c r="EB17" s="39"/>
      <c r="EC17" s="40"/>
    </row>
    <row r="18" spans="1:133">
      <c r="A18" s="44"/>
      <c r="B18" s="45" t="s">
        <v>169</v>
      </c>
      <c r="C18" s="20" t="s">
        <v>170</v>
      </c>
      <c r="D18" s="21" t="s">
        <v>162</v>
      </c>
      <c r="E18" s="21"/>
      <c r="F18" s="22" t="s">
        <v>137</v>
      </c>
      <c r="G18" s="23" t="str" cm="1">
        <f t="array" ref="G18">IFERROR(LOOKUP(2,1/(K18:GC18&lt;&gt;""),K$2:DQL$2),"")</f>
        <v>19-Aug</v>
      </c>
      <c r="H18" s="24" cm="1">
        <f t="array" ref="H18">IFERROR(_xlfn.XLOOKUP(TRUE,P18:ED18&lt;&gt;"",P18:ED18,,,-1)," ")</f>
        <v>21.3</v>
      </c>
      <c r="I18" s="217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34"/>
      <c r="AF18" s="35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>
        <v>21.4</v>
      </c>
      <c r="BA18" s="34"/>
      <c r="BB18" s="34"/>
      <c r="BC18" s="34"/>
      <c r="BD18" s="34"/>
      <c r="BE18" s="37"/>
      <c r="BF18" s="37"/>
      <c r="BG18" s="34">
        <v>21.3</v>
      </c>
      <c r="BH18" s="37"/>
      <c r="BI18" s="34"/>
      <c r="BJ18" s="34"/>
      <c r="BK18" s="34"/>
      <c r="BL18" s="38"/>
      <c r="BM18" s="37"/>
      <c r="BN18" s="34"/>
      <c r="BO18" s="34"/>
      <c r="BP18" s="34"/>
      <c r="BQ18" s="34"/>
      <c r="BR18" s="34"/>
      <c r="BS18" s="37"/>
      <c r="BT18" s="37"/>
      <c r="BU18" s="34"/>
      <c r="BV18" s="36"/>
      <c r="BW18" s="34"/>
      <c r="BX18" s="34"/>
      <c r="BY18" s="34"/>
      <c r="BZ18" s="34"/>
      <c r="CA18" s="38"/>
      <c r="CB18" s="34"/>
      <c r="CC18" s="34"/>
      <c r="CD18" s="34"/>
      <c r="CE18" s="34"/>
      <c r="CF18" s="34"/>
      <c r="CG18" s="34"/>
      <c r="CH18" s="36"/>
      <c r="CI18" s="34"/>
      <c r="CJ18" s="34"/>
      <c r="CK18" s="34"/>
      <c r="CL18" s="39"/>
      <c r="CM18" s="37"/>
      <c r="CN18" s="37"/>
      <c r="CO18" s="38"/>
      <c r="CP18" s="34"/>
      <c r="CQ18" s="37"/>
      <c r="CR18" s="34"/>
      <c r="CS18" s="37"/>
      <c r="CT18" s="34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9"/>
      <c r="EB18" s="39"/>
      <c r="EC18" s="40"/>
    </row>
    <row r="19" spans="1:133">
      <c r="A19" s="44"/>
      <c r="B19" s="45" t="s">
        <v>171</v>
      </c>
      <c r="C19" s="20" t="s">
        <v>172</v>
      </c>
      <c r="D19" s="21" t="s">
        <v>162</v>
      </c>
      <c r="E19" s="21"/>
      <c r="F19" s="22" t="s">
        <v>137</v>
      </c>
      <c r="G19" s="23" t="str" cm="1">
        <f t="array" ref="G19">IFERROR(LOOKUP(2,1/(K19:GC19&lt;&gt;""),K$2:DQL$2),"")</f>
        <v>21-Aug</v>
      </c>
      <c r="H19" s="24" cm="1">
        <f t="array" ref="H19">IFERROR(_xlfn.XLOOKUP(TRUE,P19:ED19&lt;&gt;"",P19:ED19,,,-1)," ")</f>
        <v>23.3</v>
      </c>
      <c r="I19" s="217">
        <v>24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34"/>
      <c r="AF19" s="35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7"/>
      <c r="BF19" s="37"/>
      <c r="BG19" s="34">
        <v>24.2</v>
      </c>
      <c r="BH19" s="37"/>
      <c r="BI19" s="36">
        <v>23.3</v>
      </c>
      <c r="BJ19" s="34"/>
      <c r="BK19" s="34"/>
      <c r="BL19" s="37"/>
      <c r="BM19" s="37"/>
      <c r="BN19" s="34"/>
      <c r="BO19" s="34"/>
      <c r="BP19" s="34"/>
      <c r="BQ19" s="34"/>
      <c r="BR19" s="34"/>
      <c r="BS19" s="37"/>
      <c r="BT19" s="37"/>
      <c r="BU19" s="34"/>
      <c r="BV19" s="34"/>
      <c r="BW19" s="34"/>
      <c r="BX19" s="34"/>
      <c r="BY19" s="34"/>
      <c r="BZ19" s="34"/>
      <c r="CA19" s="37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9"/>
      <c r="CM19" s="43"/>
      <c r="CN19" s="37"/>
      <c r="CO19" s="37"/>
      <c r="CP19" s="34"/>
      <c r="CQ19" s="41"/>
      <c r="CR19" s="34"/>
      <c r="CS19" s="37"/>
      <c r="CT19" s="34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9"/>
      <c r="EB19" s="39"/>
      <c r="EC19" s="40"/>
    </row>
    <row r="20" spans="1:133">
      <c r="A20" s="44"/>
      <c r="B20" s="45" t="s">
        <v>173</v>
      </c>
      <c r="C20" s="20" t="s">
        <v>174</v>
      </c>
      <c r="D20" s="21" t="s">
        <v>162</v>
      </c>
      <c r="E20" s="21"/>
      <c r="F20" s="22" t="s">
        <v>175</v>
      </c>
      <c r="G20" s="23" t="str" cm="1">
        <f t="array" ref="G20">IFERROR(LOOKUP(2,1/(K20:GC20&lt;&gt;""),K$2:DQL$2),"")</f>
        <v>17-Aug</v>
      </c>
      <c r="H20" s="24" cm="1">
        <f t="array" ref="H20">IFERROR(_xlfn.XLOOKUP(TRUE,P20:ED20&lt;&gt;"",P20:ED20,,,-1)," ")</f>
        <v>22.2</v>
      </c>
      <c r="I20" s="25">
        <v>24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34"/>
      <c r="AF20" s="35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7">
        <v>22.2</v>
      </c>
      <c r="BF20" s="37"/>
      <c r="BG20" s="34"/>
      <c r="BH20" s="37"/>
      <c r="BI20" s="34"/>
      <c r="BJ20" s="34"/>
      <c r="BK20" s="34"/>
      <c r="BL20" s="37"/>
      <c r="BM20" s="37"/>
      <c r="BN20" s="34"/>
      <c r="BO20" s="34"/>
      <c r="BP20" s="34"/>
      <c r="BQ20" s="34"/>
      <c r="BR20" s="34"/>
      <c r="BS20" s="37"/>
      <c r="BT20" s="37"/>
      <c r="BU20" s="34"/>
      <c r="BV20" s="34"/>
      <c r="BW20" s="34"/>
      <c r="BX20" s="34"/>
      <c r="BY20" s="34"/>
      <c r="BZ20" s="34"/>
      <c r="CA20" s="37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42"/>
      <c r="CM20" s="43"/>
      <c r="CN20" s="37"/>
      <c r="CO20" s="37"/>
      <c r="CP20" s="34"/>
      <c r="CQ20" s="37"/>
      <c r="CR20" s="34"/>
      <c r="CS20" s="37"/>
      <c r="CT20" s="34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9"/>
      <c r="EB20" s="39"/>
      <c r="EC20" s="40"/>
    </row>
    <row r="21" spans="1:133">
      <c r="A21" s="44"/>
      <c r="B21" s="22"/>
      <c r="C21" s="20" t="s">
        <v>176</v>
      </c>
      <c r="D21" s="21" t="s">
        <v>162</v>
      </c>
      <c r="E21" s="21"/>
      <c r="F21" s="22" t="s">
        <v>175</v>
      </c>
      <c r="G21" s="23" t="str" cm="1">
        <f t="array" ref="G21">IFERROR(LOOKUP(2,1/(K21:GC21&lt;&gt;""),K$2:DQL$2),"")</f>
        <v>17-Aug</v>
      </c>
      <c r="H21" s="24" cm="1">
        <f t="array" ref="H21">IFERROR(_xlfn.XLOOKUP(TRUE,P21:ED21&lt;&gt;"",P21:ED21,,,-1)," ")</f>
        <v>22.1</v>
      </c>
      <c r="I21" s="25">
        <v>24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7">
        <v>22.1</v>
      </c>
      <c r="BF21" s="37"/>
      <c r="BG21" s="34"/>
      <c r="BH21" s="34"/>
      <c r="BI21" s="34"/>
      <c r="BJ21" s="34"/>
      <c r="BK21" s="34"/>
      <c r="BL21" s="34"/>
      <c r="BM21" s="37"/>
      <c r="BN21" s="34"/>
      <c r="BO21" s="34"/>
      <c r="BP21" s="34"/>
      <c r="BQ21" s="34"/>
      <c r="BR21" s="34"/>
      <c r="BS21" s="37"/>
      <c r="BT21" s="37"/>
      <c r="BU21" s="34"/>
      <c r="BV21" s="34"/>
      <c r="BW21" s="34"/>
      <c r="BX21" s="37"/>
      <c r="BY21" s="34"/>
      <c r="BZ21" s="36"/>
      <c r="CA21" s="37"/>
      <c r="CB21" s="37"/>
      <c r="CC21" s="34"/>
      <c r="CD21" s="37"/>
      <c r="CE21" s="37"/>
      <c r="CF21" s="37"/>
      <c r="CG21" s="37"/>
      <c r="CH21" s="37"/>
      <c r="CI21" s="37"/>
      <c r="CJ21" s="34"/>
      <c r="CK21" s="37"/>
      <c r="CL21" s="34"/>
      <c r="CM21" s="37"/>
      <c r="CN21" s="37"/>
      <c r="CO21" s="37"/>
      <c r="CP21" s="34"/>
      <c r="CQ21" s="37"/>
      <c r="CR21" s="34"/>
      <c r="CS21" s="37"/>
      <c r="CT21" s="34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9"/>
      <c r="EB21" s="39"/>
      <c r="EC21" s="40"/>
    </row>
    <row r="22" spans="1:133">
      <c r="A22" s="44"/>
      <c r="B22" s="45" t="s">
        <v>177</v>
      </c>
      <c r="C22" s="20" t="s">
        <v>178</v>
      </c>
      <c r="D22" s="21" t="s">
        <v>162</v>
      </c>
      <c r="E22" s="21"/>
      <c r="F22" s="22" t="s">
        <v>179</v>
      </c>
      <c r="G22" s="23" t="str" cm="1">
        <f t="array" ref="G22">IFERROR(LOOKUP(2,1/(K22:GC22&lt;&gt;""),K$2:DQL$2),"")</f>
        <v/>
      </c>
      <c r="H22" s="24" t="str" cm="1">
        <f t="array" ref="H22">IFERROR(_xlfn.XLOOKUP(TRUE,P22:ED22&lt;&gt;"",P22:ED22,,,-1)," ")</f>
        <v xml:space="preserve"> </v>
      </c>
      <c r="I22" s="25">
        <v>22.5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34"/>
      <c r="AF22" s="35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7"/>
      <c r="BF22" s="37"/>
      <c r="BG22" s="34"/>
      <c r="BH22" s="37"/>
      <c r="BI22" s="34"/>
      <c r="BJ22" s="34"/>
      <c r="BK22" s="34"/>
      <c r="BL22" s="37"/>
      <c r="BM22" s="37"/>
      <c r="BN22" s="34"/>
      <c r="BO22" s="34"/>
      <c r="BP22" s="34"/>
      <c r="BQ22" s="34"/>
      <c r="BR22" s="34"/>
      <c r="BS22" s="37"/>
      <c r="BT22" s="37"/>
      <c r="BU22" s="34"/>
      <c r="BV22" s="34"/>
      <c r="BW22" s="34"/>
      <c r="BX22" s="34"/>
      <c r="BY22" s="34"/>
      <c r="BZ22" s="34"/>
      <c r="CA22" s="37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43"/>
      <c r="CN22" s="37"/>
      <c r="CO22" s="37"/>
      <c r="CP22" s="34"/>
      <c r="CQ22" s="34"/>
      <c r="CR22" s="34"/>
      <c r="CS22" s="37"/>
      <c r="CT22" s="34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9"/>
      <c r="EB22" s="39"/>
      <c r="EC22" s="40"/>
    </row>
    <row r="23" spans="1:133">
      <c r="A23" s="44"/>
      <c r="B23" s="45" t="s">
        <v>177</v>
      </c>
      <c r="C23" s="20" t="s">
        <v>180</v>
      </c>
      <c r="D23" s="21" t="s">
        <v>162</v>
      </c>
      <c r="E23" s="21"/>
      <c r="F23" s="22" t="s">
        <v>179</v>
      </c>
      <c r="G23" s="23" t="str" cm="1">
        <f t="array" ref="G23">IFERROR(LOOKUP(2,1/(K23:GC23&lt;&gt;""),K$2:DQL$2),"")</f>
        <v/>
      </c>
      <c r="H23" s="24" t="str" cm="1">
        <f t="array" ref="H23">IFERROR(_xlfn.XLOOKUP(TRUE,P23:ED23&lt;&gt;"",P23:ED23,,,-1)," ")</f>
        <v xml:space="preserve"> </v>
      </c>
      <c r="I23" s="25">
        <v>22.5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34"/>
      <c r="AF23" s="35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7"/>
      <c r="BF23" s="37"/>
      <c r="BG23" s="34"/>
      <c r="BH23" s="37"/>
      <c r="BI23" s="34"/>
      <c r="BJ23" s="34"/>
      <c r="BK23" s="34"/>
      <c r="BL23" s="37"/>
      <c r="BM23" s="37"/>
      <c r="BN23" s="34"/>
      <c r="BO23" s="34"/>
      <c r="BP23" s="34"/>
      <c r="BQ23" s="34"/>
      <c r="BR23" s="34"/>
      <c r="BS23" s="37"/>
      <c r="BT23" s="37"/>
      <c r="BU23" s="34"/>
      <c r="BV23" s="34"/>
      <c r="BW23" s="34"/>
      <c r="BX23" s="34"/>
      <c r="BY23" s="34"/>
      <c r="BZ23" s="34"/>
      <c r="CA23" s="37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43"/>
      <c r="CN23" s="37"/>
      <c r="CO23" s="37"/>
      <c r="CP23" s="34"/>
      <c r="CQ23" s="37"/>
      <c r="CR23" s="34"/>
      <c r="CS23" s="37"/>
      <c r="CT23" s="34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9"/>
      <c r="EB23" s="39"/>
      <c r="EC23" s="40"/>
    </row>
    <row r="24" spans="1:133">
      <c r="A24" s="44"/>
      <c r="B24" s="45" t="s">
        <v>177</v>
      </c>
      <c r="C24" s="20" t="s">
        <v>181</v>
      </c>
      <c r="D24" s="21" t="s">
        <v>162</v>
      </c>
      <c r="E24" s="21"/>
      <c r="F24" s="22" t="s">
        <v>179</v>
      </c>
      <c r="G24" s="23" t="str" cm="1">
        <f t="array" ref="G24">IFERROR(LOOKUP(2,1/(K24:GC24&lt;&gt;""),K$2:DQL$2),"")</f>
        <v/>
      </c>
      <c r="H24" s="24" t="str" cm="1">
        <f t="array" ref="H24">IFERROR(_xlfn.XLOOKUP(TRUE,P24:ED24&lt;&gt;"",P24:ED24,,,-1)," ")</f>
        <v xml:space="preserve"> </v>
      </c>
      <c r="I24" s="25">
        <v>22.5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34"/>
      <c r="AF24" s="35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7"/>
      <c r="BF24" s="37"/>
      <c r="BG24" s="34"/>
      <c r="BH24" s="37"/>
      <c r="BI24" s="34"/>
      <c r="BJ24" s="34"/>
      <c r="BK24" s="34"/>
      <c r="BL24" s="37"/>
      <c r="BM24" s="37"/>
      <c r="BN24" s="34"/>
      <c r="BO24" s="34"/>
      <c r="BP24" s="34"/>
      <c r="BQ24" s="34"/>
      <c r="BR24" s="34"/>
      <c r="BS24" s="37"/>
      <c r="BT24" s="37"/>
      <c r="BU24" s="34"/>
      <c r="BV24" s="34"/>
      <c r="BW24" s="34"/>
      <c r="BX24" s="34"/>
      <c r="BY24" s="34"/>
      <c r="BZ24" s="34"/>
      <c r="CA24" s="37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43"/>
      <c r="CN24" s="37"/>
      <c r="CO24" s="37"/>
      <c r="CP24" s="34"/>
      <c r="CQ24" s="34"/>
      <c r="CR24" s="34"/>
      <c r="CS24" s="37"/>
      <c r="CT24" s="34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9"/>
      <c r="EB24" s="39"/>
      <c r="EC24" s="40"/>
    </row>
    <row r="25" spans="1:133">
      <c r="A25" s="44"/>
      <c r="B25" s="45" t="s">
        <v>177</v>
      </c>
      <c r="C25" s="20" t="s">
        <v>182</v>
      </c>
      <c r="D25" s="21" t="s">
        <v>162</v>
      </c>
      <c r="E25" s="21"/>
      <c r="F25" s="22" t="s">
        <v>179</v>
      </c>
      <c r="G25" s="23" t="str" cm="1">
        <f t="array" ref="G25">IFERROR(LOOKUP(2,1/(K25:GC25&lt;&gt;""),K$2:DQL$2),"")</f>
        <v/>
      </c>
      <c r="H25" s="24" t="str" cm="1">
        <f t="array" ref="H25">IFERROR(_xlfn.XLOOKUP(TRUE,P25:ED25&lt;&gt;"",P25:ED25,,,-1)," ")</f>
        <v xml:space="preserve"> </v>
      </c>
      <c r="I25" s="25">
        <v>22.5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34"/>
      <c r="AF25" s="35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7"/>
      <c r="BF25" s="37"/>
      <c r="BG25" s="34"/>
      <c r="BH25" s="37"/>
      <c r="BI25" s="34"/>
      <c r="BJ25" s="34"/>
      <c r="BK25" s="34"/>
      <c r="BL25" s="37"/>
      <c r="BM25" s="37"/>
      <c r="BN25" s="34"/>
      <c r="BO25" s="34"/>
      <c r="BP25" s="34"/>
      <c r="BQ25" s="34"/>
      <c r="BR25" s="34"/>
      <c r="BS25" s="37"/>
      <c r="BT25" s="37"/>
      <c r="BU25" s="34"/>
      <c r="BV25" s="34"/>
      <c r="BW25" s="34"/>
      <c r="BX25" s="34"/>
      <c r="BY25" s="34"/>
      <c r="BZ25" s="34"/>
      <c r="CA25" s="37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43"/>
      <c r="CN25" s="37"/>
      <c r="CO25" s="37"/>
      <c r="CP25" s="34"/>
      <c r="CQ25" s="34"/>
      <c r="CR25" s="34"/>
      <c r="CS25" s="37"/>
      <c r="CT25" s="34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9"/>
      <c r="EB25" s="39"/>
      <c r="EC25" s="40"/>
    </row>
    <row r="26" spans="1:133">
      <c r="A26" s="44"/>
      <c r="B26" s="45" t="s">
        <v>177</v>
      </c>
      <c r="C26" s="20" t="s">
        <v>183</v>
      </c>
      <c r="D26" s="21" t="s">
        <v>162</v>
      </c>
      <c r="E26" s="21"/>
      <c r="F26" s="22" t="s">
        <v>179</v>
      </c>
      <c r="G26" s="23" t="str" cm="1">
        <f t="array" ref="G26">IFERROR(LOOKUP(2,1/(K26:GC26&lt;&gt;""),K$2:DQL$2),"")</f>
        <v>19-Aug</v>
      </c>
      <c r="H26" s="24" cm="1">
        <f t="array" ref="H26">IFERROR(_xlfn.XLOOKUP(TRUE,P26:ED26&lt;&gt;"",P26:ED26,,,-1)," ")</f>
        <v>23.3</v>
      </c>
      <c r="I26" s="25">
        <v>22.5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34"/>
      <c r="AF26" s="35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7"/>
      <c r="BF26" s="37"/>
      <c r="BG26" s="34">
        <v>23.3</v>
      </c>
      <c r="BH26" s="37"/>
      <c r="BI26" s="34"/>
      <c r="BJ26" s="34"/>
      <c r="BK26" s="34"/>
      <c r="BL26" s="37"/>
      <c r="BM26" s="37"/>
      <c r="BN26" s="34"/>
      <c r="BO26" s="34"/>
      <c r="BP26" s="34"/>
      <c r="BQ26" s="34"/>
      <c r="BR26" s="34"/>
      <c r="BS26" s="37"/>
      <c r="BT26" s="37"/>
      <c r="BU26" s="34"/>
      <c r="BV26" s="34"/>
      <c r="BW26" s="34"/>
      <c r="BX26" s="34"/>
      <c r="BY26" s="34"/>
      <c r="BZ26" s="34"/>
      <c r="CA26" s="37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43"/>
      <c r="CN26" s="37"/>
      <c r="CO26" s="37"/>
      <c r="CP26" s="34"/>
      <c r="CQ26" s="34"/>
      <c r="CR26" s="34"/>
      <c r="CS26" s="37"/>
      <c r="CT26" s="34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9"/>
      <c r="EB26" s="39"/>
      <c r="EC26" s="40"/>
    </row>
    <row r="27" spans="1:133">
      <c r="A27" s="44"/>
      <c r="B27" s="45" t="s">
        <v>177</v>
      </c>
      <c r="C27" s="20" t="s">
        <v>184</v>
      </c>
      <c r="D27" s="21" t="s">
        <v>162</v>
      </c>
      <c r="E27" s="21"/>
      <c r="F27" s="22" t="s">
        <v>179</v>
      </c>
      <c r="G27" s="23" t="str" cm="1">
        <f t="array" ref="G27">IFERROR(LOOKUP(2,1/(K27:GC27&lt;&gt;""),K$2:DQL$2),"")</f>
        <v/>
      </c>
      <c r="H27" s="24" t="str" cm="1">
        <f t="array" ref="H27">IFERROR(_xlfn.XLOOKUP(TRUE,P27:ED27&lt;&gt;"",P27:ED27,,,-1)," ")</f>
        <v xml:space="preserve"> </v>
      </c>
      <c r="I27" s="25">
        <v>22.5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34"/>
      <c r="AF27" s="35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7"/>
      <c r="BF27" s="37"/>
      <c r="BG27" s="34"/>
      <c r="BH27" s="37"/>
      <c r="BI27" s="34"/>
      <c r="BJ27" s="34"/>
      <c r="BK27" s="34"/>
      <c r="BL27" s="37"/>
      <c r="BM27" s="37"/>
      <c r="BN27" s="34"/>
      <c r="BO27" s="34"/>
      <c r="BP27" s="34"/>
      <c r="BQ27" s="34"/>
      <c r="BR27" s="34"/>
      <c r="BS27" s="37"/>
      <c r="BT27" s="37"/>
      <c r="BU27" s="34"/>
      <c r="BV27" s="34"/>
      <c r="BW27" s="34"/>
      <c r="BX27" s="34"/>
      <c r="BY27" s="34"/>
      <c r="BZ27" s="34"/>
      <c r="CA27" s="37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43"/>
      <c r="CN27" s="37"/>
      <c r="CO27" s="37"/>
      <c r="CP27" s="34"/>
      <c r="CQ27" s="34"/>
      <c r="CR27" s="34"/>
      <c r="CS27" s="37"/>
      <c r="CT27" s="34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9"/>
      <c r="EB27" s="39"/>
      <c r="EC27" s="40"/>
    </row>
    <row r="28" spans="1:133">
      <c r="A28" s="44"/>
      <c r="B28" s="45" t="s">
        <v>177</v>
      </c>
      <c r="C28" s="20" t="s">
        <v>185</v>
      </c>
      <c r="D28" s="21" t="s">
        <v>162</v>
      </c>
      <c r="E28" s="21"/>
      <c r="F28" s="22" t="s">
        <v>179</v>
      </c>
      <c r="G28" s="23" t="str" cm="1">
        <f t="array" ref="G28">IFERROR(LOOKUP(2,1/(K28:GC28&lt;&gt;""),K$2:DQL$2),"")</f>
        <v>19-Aug</v>
      </c>
      <c r="H28" s="24" cm="1">
        <f t="array" ref="H28">IFERROR(_xlfn.XLOOKUP(TRUE,P28:ED28&lt;&gt;"",P28:ED28,,,-1)," ")</f>
        <v>22.8</v>
      </c>
      <c r="I28" s="25">
        <v>22.5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34"/>
      <c r="AF28" s="35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7"/>
      <c r="BF28" s="37"/>
      <c r="BG28" s="34">
        <v>22.8</v>
      </c>
      <c r="BH28" s="37"/>
      <c r="BI28" s="34"/>
      <c r="BJ28" s="34"/>
      <c r="BK28" s="34"/>
      <c r="BL28" s="37"/>
      <c r="BM28" s="37"/>
      <c r="BN28" s="34"/>
      <c r="BO28" s="34"/>
      <c r="BP28" s="34"/>
      <c r="BQ28" s="34"/>
      <c r="BR28" s="34"/>
      <c r="BS28" s="37"/>
      <c r="BT28" s="37"/>
      <c r="BU28" s="34"/>
      <c r="BV28" s="34"/>
      <c r="BW28" s="34"/>
      <c r="BX28" s="34"/>
      <c r="BY28" s="34"/>
      <c r="BZ28" s="34"/>
      <c r="CA28" s="37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43"/>
      <c r="CN28" s="37"/>
      <c r="CO28" s="37"/>
      <c r="CP28" s="34"/>
      <c r="CQ28" s="34"/>
      <c r="CR28" s="34"/>
      <c r="CS28" s="37"/>
      <c r="CT28" s="34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9"/>
      <c r="EB28" s="39"/>
      <c r="EC28" s="40"/>
    </row>
    <row r="29" spans="1:133" hidden="1">
      <c r="A29" s="44" t="s">
        <v>138</v>
      </c>
      <c r="B29" s="45" t="s">
        <v>186</v>
      </c>
      <c r="C29" s="20" t="s">
        <v>187</v>
      </c>
      <c r="D29" s="21" t="s">
        <v>162</v>
      </c>
      <c r="E29" s="21"/>
      <c r="F29" s="22" t="s">
        <v>188</v>
      </c>
      <c r="G29" s="23" t="str" cm="1">
        <f t="array" ref="G29">IFERROR(LOOKUP(2,1/(K29:GC29&lt;&gt;""),K$2:DQL$2),"")</f>
        <v/>
      </c>
      <c r="H29" s="24" t="str" cm="1">
        <f t="array" ref="H29">IFERROR(_xlfn.XLOOKUP(TRUE,P29:ED29&lt;&gt;"",P29:ED29,,,-1)," ")</f>
        <v xml:space="preserve"> </v>
      </c>
      <c r="I29" s="25">
        <v>24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34"/>
      <c r="AF29" s="35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7"/>
      <c r="BF29" s="37"/>
      <c r="BG29" s="34"/>
      <c r="BH29" s="37"/>
      <c r="BI29" s="34"/>
      <c r="BJ29" s="34"/>
      <c r="BK29" s="34"/>
      <c r="BL29" s="37"/>
      <c r="BM29" s="37"/>
      <c r="BN29" s="34"/>
      <c r="BO29" s="34"/>
      <c r="BP29" s="34"/>
      <c r="BQ29" s="34"/>
      <c r="BR29" s="34"/>
      <c r="BS29" s="37"/>
      <c r="BT29" s="37"/>
      <c r="BU29" s="34"/>
      <c r="BV29" s="34"/>
      <c r="BW29" s="34"/>
      <c r="BX29" s="34"/>
      <c r="BY29" s="34"/>
      <c r="BZ29" s="34"/>
      <c r="CA29" s="37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43"/>
      <c r="CN29" s="37"/>
      <c r="CO29" s="37"/>
      <c r="CP29" s="34"/>
      <c r="CQ29" s="34"/>
      <c r="CR29" s="34"/>
      <c r="CS29" s="34"/>
      <c r="CT29" s="34"/>
      <c r="CU29" s="37"/>
      <c r="CV29" s="37"/>
      <c r="CW29" s="34"/>
      <c r="CX29" s="34"/>
      <c r="CY29" s="34"/>
      <c r="CZ29" s="34"/>
      <c r="DA29" s="37"/>
      <c r="DB29" s="37"/>
      <c r="DC29" s="37"/>
      <c r="DD29" s="34"/>
      <c r="DE29" s="34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9"/>
      <c r="EB29" s="39"/>
      <c r="EC29" s="40"/>
    </row>
    <row r="30" spans="1:133">
      <c r="A30" s="44"/>
      <c r="B30" s="45" t="s">
        <v>189</v>
      </c>
      <c r="C30" s="20" t="s">
        <v>190</v>
      </c>
      <c r="D30" s="21" t="s">
        <v>162</v>
      </c>
      <c r="E30" s="21"/>
      <c r="F30" s="22"/>
      <c r="G30" s="23" t="str" cm="1">
        <f t="array" ref="G30">IFERROR(LOOKUP(2,1/(K30:GC30&lt;&gt;""),K$2:DQL$2),"")</f>
        <v>15-Aug</v>
      </c>
      <c r="H30" s="24" cm="1">
        <f t="array" ref="H30">IFERROR(_xlfn.XLOOKUP(TRUE,P30:ED30&lt;&gt;"",P30:ED30,,,-1)," ")</f>
        <v>24.6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34"/>
      <c r="AF30" s="35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>
        <v>24.6</v>
      </c>
      <c r="BD30" s="34"/>
      <c r="BE30" s="37"/>
      <c r="BF30" s="37"/>
      <c r="BG30" s="34"/>
      <c r="BH30" s="37"/>
      <c r="BI30" s="34"/>
      <c r="BJ30" s="34"/>
      <c r="BK30" s="34"/>
      <c r="BL30" s="37"/>
      <c r="BM30" s="37"/>
      <c r="BN30" s="34"/>
      <c r="BO30" s="34"/>
      <c r="BP30" s="34"/>
      <c r="BQ30" s="34"/>
      <c r="BR30" s="34"/>
      <c r="BS30" s="37"/>
      <c r="BT30" s="37"/>
      <c r="BU30" s="34"/>
      <c r="BV30" s="34"/>
      <c r="BW30" s="34"/>
      <c r="BX30" s="34"/>
      <c r="BY30" s="34"/>
      <c r="BZ30" s="34"/>
      <c r="CA30" s="37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43"/>
      <c r="CN30" s="37"/>
      <c r="CO30" s="37"/>
      <c r="CP30" s="34"/>
      <c r="CQ30" s="37"/>
      <c r="CR30" s="34"/>
      <c r="CS30" s="37"/>
      <c r="CT30" s="34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9"/>
      <c r="EB30" s="39"/>
      <c r="EC30" s="40"/>
    </row>
    <row r="31" spans="1:133">
      <c r="A31" s="44"/>
      <c r="B31" s="22"/>
      <c r="C31" s="20" t="s">
        <v>191</v>
      </c>
      <c r="D31" s="21" t="s">
        <v>162</v>
      </c>
      <c r="E31" s="21"/>
      <c r="F31" s="22"/>
      <c r="G31" s="23" t="str" cm="1">
        <f t="array" ref="G31">IFERROR(LOOKUP(2,1/(K31:GC31&lt;&gt;""),K$2:DQL$2),"")</f>
        <v>15-Aug</v>
      </c>
      <c r="H31" s="24" cm="1">
        <f t="array" ref="H31">IFERROR(_xlfn.XLOOKUP(TRUE,P31:ED31&lt;&gt;"",P31:ED31,,,-1)," ")</f>
        <v>24.2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>
        <v>24.2</v>
      </c>
      <c r="BD31" s="34"/>
      <c r="BE31" s="37"/>
      <c r="BF31" s="37"/>
      <c r="BG31" s="34"/>
      <c r="BH31" s="34"/>
      <c r="BI31" s="34"/>
      <c r="BJ31" s="34"/>
      <c r="BK31" s="34"/>
      <c r="BL31" s="34"/>
      <c r="BM31" s="37"/>
      <c r="BN31" s="34"/>
      <c r="BO31" s="34"/>
      <c r="BP31" s="34"/>
      <c r="BQ31" s="34"/>
      <c r="BR31" s="34"/>
      <c r="BS31" s="37"/>
      <c r="BT31" s="37"/>
      <c r="BU31" s="34"/>
      <c r="BV31" s="34"/>
      <c r="BW31" s="34"/>
      <c r="BX31" s="37"/>
      <c r="BY31" s="34"/>
      <c r="BZ31" s="36"/>
      <c r="CA31" s="37"/>
      <c r="CB31" s="37"/>
      <c r="CC31" s="34"/>
      <c r="CD31" s="37"/>
      <c r="CE31" s="37"/>
      <c r="CF31" s="37"/>
      <c r="CG31" s="37"/>
      <c r="CH31" s="37"/>
      <c r="CI31" s="37"/>
      <c r="CJ31" s="34"/>
      <c r="CK31" s="37"/>
      <c r="CL31" s="34"/>
      <c r="CM31" s="37"/>
      <c r="CN31" s="37"/>
      <c r="CO31" s="37"/>
      <c r="CP31" s="34"/>
      <c r="CQ31" s="37"/>
      <c r="CR31" s="34"/>
      <c r="CS31" s="37"/>
      <c r="CT31" s="34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9"/>
      <c r="EB31" s="39"/>
      <c r="EC31" s="40"/>
    </row>
    <row r="32" spans="1:133">
      <c r="A32" s="44"/>
      <c r="B32" s="45" t="s">
        <v>192</v>
      </c>
      <c r="C32" s="20" t="s">
        <v>193</v>
      </c>
      <c r="D32" s="21" t="s">
        <v>162</v>
      </c>
      <c r="E32" s="21"/>
      <c r="F32" s="22"/>
      <c r="G32" s="23" t="str" cm="1">
        <f t="array" ref="G32">IFERROR(LOOKUP(2,1/(K32:GC32&lt;&gt;""),K$2:DQL$2),"")</f>
        <v/>
      </c>
      <c r="H32" s="24" t="str" cm="1">
        <f t="array" ref="H32">IFERROR(_xlfn.XLOOKUP(TRUE,P32:ED32&lt;&gt;"",P32:ED32,,,-1)," ")</f>
        <v xml:space="preserve"> </v>
      </c>
      <c r="I32" s="25">
        <v>24.5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34"/>
      <c r="AF32" s="35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7"/>
      <c r="BF32" s="37"/>
      <c r="BG32" s="34"/>
      <c r="BH32" s="37"/>
      <c r="BI32" s="34"/>
      <c r="BJ32" s="34"/>
      <c r="BK32" s="34"/>
      <c r="BL32" s="37"/>
      <c r="BM32" s="37"/>
      <c r="BN32" s="34"/>
      <c r="BO32" s="34"/>
      <c r="BP32" s="34"/>
      <c r="BQ32" s="34"/>
      <c r="BR32" s="34"/>
      <c r="BS32" s="37"/>
      <c r="BT32" s="37"/>
      <c r="BU32" s="34"/>
      <c r="BV32" s="34"/>
      <c r="BW32" s="34"/>
      <c r="BX32" s="34"/>
      <c r="BY32" s="34"/>
      <c r="BZ32" s="34"/>
      <c r="CA32" s="37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43"/>
      <c r="CN32" s="37"/>
      <c r="CO32" s="37"/>
      <c r="CP32" s="34"/>
      <c r="CQ32" s="34"/>
      <c r="CR32" s="34"/>
      <c r="CS32" s="34"/>
      <c r="CT32" s="34"/>
      <c r="CU32" s="37"/>
      <c r="CV32" s="37"/>
      <c r="CW32" s="34"/>
      <c r="CX32" s="34"/>
      <c r="CY32" s="34"/>
      <c r="CZ32" s="34"/>
      <c r="DA32" s="37"/>
      <c r="DB32" s="37"/>
      <c r="DC32" s="37"/>
      <c r="DD32" s="34"/>
      <c r="DE32" s="34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9"/>
      <c r="EB32" s="39"/>
      <c r="EC32" s="40"/>
    </row>
    <row r="33" spans="1:133">
      <c r="A33" s="44"/>
      <c r="B33" s="45" t="s">
        <v>194</v>
      </c>
      <c r="C33" s="20" t="s">
        <v>195</v>
      </c>
      <c r="D33" s="21" t="s">
        <v>162</v>
      </c>
      <c r="E33" s="21"/>
      <c r="F33" s="22" t="s">
        <v>179</v>
      </c>
      <c r="G33" s="23" t="str" cm="1">
        <f t="array" ref="G33">IFERROR(LOOKUP(2,1/(K33:GC33&lt;&gt;""),K$2:DQL$2),"")</f>
        <v>17-Aug</v>
      </c>
      <c r="H33" s="24" cm="1">
        <f t="array" ref="H33">IFERROR(_xlfn.XLOOKUP(TRUE,P33:ED33&lt;&gt;"",P33:ED33,,,-1)," ")</f>
        <v>23.5</v>
      </c>
      <c r="I33" s="25">
        <v>22.5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34"/>
      <c r="AF33" s="35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7">
        <v>23.5</v>
      </c>
      <c r="BF33" s="37"/>
      <c r="BG33" s="34"/>
      <c r="BH33" s="37"/>
      <c r="BI33" s="34"/>
      <c r="BJ33" s="34"/>
      <c r="BK33" s="34"/>
      <c r="BL33" s="37"/>
      <c r="BM33" s="37"/>
      <c r="BN33" s="34"/>
      <c r="BO33" s="34"/>
      <c r="BP33" s="34"/>
      <c r="BQ33" s="34"/>
      <c r="BR33" s="34"/>
      <c r="BS33" s="37"/>
      <c r="BT33" s="37"/>
      <c r="BU33" s="34"/>
      <c r="BV33" s="34"/>
      <c r="BW33" s="34"/>
      <c r="BX33" s="34"/>
      <c r="BY33" s="34"/>
      <c r="BZ33" s="34"/>
      <c r="CA33" s="37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43"/>
      <c r="CN33" s="37"/>
      <c r="CO33" s="37"/>
      <c r="CP33" s="34"/>
      <c r="CQ33" s="34"/>
      <c r="CR33" s="34"/>
      <c r="CS33" s="34"/>
      <c r="CT33" s="34"/>
      <c r="CU33" s="37"/>
      <c r="CV33" s="37"/>
      <c r="CW33" s="34"/>
      <c r="CX33" s="34"/>
      <c r="CY33" s="34"/>
      <c r="CZ33" s="34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9"/>
      <c r="EB33" s="39"/>
      <c r="EC33" s="40"/>
    </row>
    <row r="34" spans="1:133">
      <c r="A34" s="44"/>
      <c r="B34" s="45" t="s">
        <v>196</v>
      </c>
      <c r="C34" s="20" t="s">
        <v>197</v>
      </c>
      <c r="D34" s="21" t="s">
        <v>162</v>
      </c>
      <c r="E34" s="21"/>
      <c r="F34" s="22" t="s">
        <v>198</v>
      </c>
      <c r="G34" s="23" t="str" cm="1">
        <f t="array" ref="G34">IFERROR(LOOKUP(2,1/(K34:GC34&lt;&gt;""),K$2:DQL$2),"")</f>
        <v/>
      </c>
      <c r="H34" s="24" t="str" cm="1">
        <f t="array" ref="H34">IFERROR(_xlfn.XLOOKUP(TRUE,P34:ED34&lt;&gt;"",P34:ED34,,,-1)," ")</f>
        <v xml:space="preserve"> </v>
      </c>
      <c r="I34" s="25">
        <v>24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34"/>
      <c r="AF34" s="35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7"/>
      <c r="BF34" s="37"/>
      <c r="BG34" s="34"/>
      <c r="BH34" s="37"/>
      <c r="BI34" s="34"/>
      <c r="BJ34" s="34"/>
      <c r="BK34" s="34"/>
      <c r="BL34" s="37"/>
      <c r="BM34" s="37"/>
      <c r="BN34" s="34"/>
      <c r="BO34" s="34"/>
      <c r="BP34" s="34"/>
      <c r="BQ34" s="34"/>
      <c r="BR34" s="34"/>
      <c r="BS34" s="37"/>
      <c r="BT34" s="37"/>
      <c r="BU34" s="34"/>
      <c r="BV34" s="34"/>
      <c r="BW34" s="34"/>
      <c r="BX34" s="34"/>
      <c r="BY34" s="34"/>
      <c r="BZ34" s="34"/>
      <c r="CA34" s="37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43"/>
      <c r="CN34" s="37"/>
      <c r="CO34" s="37"/>
      <c r="CP34" s="34"/>
      <c r="CQ34" s="34"/>
      <c r="CR34" s="34"/>
      <c r="CS34" s="34"/>
      <c r="CT34" s="34"/>
      <c r="CU34" s="37"/>
      <c r="CV34" s="37"/>
      <c r="CW34" s="34"/>
      <c r="CX34" s="34"/>
      <c r="CY34" s="34"/>
      <c r="CZ34" s="34"/>
      <c r="DA34" s="37"/>
      <c r="DB34" s="37"/>
      <c r="DC34" s="37"/>
      <c r="DD34" s="34"/>
      <c r="DE34" s="34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9"/>
      <c r="EB34" s="39"/>
      <c r="EC34" s="40"/>
    </row>
    <row r="35" spans="1:133">
      <c r="A35" s="44"/>
      <c r="B35" s="45" t="s">
        <v>196</v>
      </c>
      <c r="C35" s="20" t="s">
        <v>199</v>
      </c>
      <c r="D35" s="21" t="s">
        <v>162</v>
      </c>
      <c r="E35" s="21"/>
      <c r="F35" s="22" t="s">
        <v>198</v>
      </c>
      <c r="G35" s="23" t="str" cm="1">
        <f t="array" ref="G35">IFERROR(LOOKUP(2,1/(K35:GC35&lt;&gt;""),K$2:DQL$2),"")</f>
        <v/>
      </c>
      <c r="H35" s="24" t="str" cm="1">
        <f t="array" ref="H35">IFERROR(_xlfn.XLOOKUP(TRUE,P35:ED35&lt;&gt;"",P35:ED35,,,-1)," ")</f>
        <v xml:space="preserve"> </v>
      </c>
      <c r="I35" s="25">
        <v>24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34"/>
      <c r="AF35" s="35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7"/>
      <c r="BF35" s="37"/>
      <c r="BG35" s="34"/>
      <c r="BH35" s="37"/>
      <c r="BI35" s="34"/>
      <c r="BJ35" s="34"/>
      <c r="BK35" s="34"/>
      <c r="BL35" s="37"/>
      <c r="BM35" s="37"/>
      <c r="BN35" s="34"/>
      <c r="BO35" s="34"/>
      <c r="BP35" s="34"/>
      <c r="BQ35" s="34"/>
      <c r="BR35" s="34"/>
      <c r="BS35" s="37"/>
      <c r="BT35" s="37"/>
      <c r="BU35" s="34"/>
      <c r="BV35" s="34"/>
      <c r="BW35" s="34"/>
      <c r="BX35" s="34"/>
      <c r="BY35" s="34"/>
      <c r="BZ35" s="34"/>
      <c r="CA35" s="37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43"/>
      <c r="CN35" s="37"/>
      <c r="CO35" s="37"/>
      <c r="CP35" s="34"/>
      <c r="CQ35" s="34"/>
      <c r="CR35" s="34"/>
      <c r="CS35" s="34"/>
      <c r="CT35" s="34"/>
      <c r="CU35" s="37"/>
      <c r="CV35" s="37"/>
      <c r="CW35" s="34"/>
      <c r="CX35" s="34"/>
      <c r="CY35" s="34"/>
      <c r="CZ35" s="34"/>
      <c r="DA35" s="37"/>
      <c r="DB35" s="37"/>
      <c r="DC35" s="37"/>
      <c r="DD35" s="34"/>
      <c r="DE35" s="34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9"/>
      <c r="EB35" s="39"/>
      <c r="EC35" s="40"/>
    </row>
    <row r="36" spans="1:133">
      <c r="A36" s="44"/>
      <c r="B36" s="45" t="s">
        <v>196</v>
      </c>
      <c r="C36" s="20" t="s">
        <v>200</v>
      </c>
      <c r="D36" s="21" t="s">
        <v>162</v>
      </c>
      <c r="E36" s="21"/>
      <c r="F36" s="22" t="s">
        <v>198</v>
      </c>
      <c r="G36" s="23" t="str" cm="1">
        <f t="array" ref="G36">IFERROR(LOOKUP(2,1/(K36:GC36&lt;&gt;""),K$2:DQL$2),"")</f>
        <v>15-Aug</v>
      </c>
      <c r="H36" s="24" cm="1">
        <f t="array" ref="H36">IFERROR(_xlfn.XLOOKUP(TRUE,P36:ED36&lt;&gt;"",P36:ED36,,,-1)," ")</f>
        <v>23</v>
      </c>
      <c r="I36" s="25">
        <v>24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34"/>
      <c r="AF36" s="35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>
        <v>23</v>
      </c>
      <c r="BD36" s="34"/>
      <c r="BE36" s="37"/>
      <c r="BF36" s="37"/>
      <c r="BG36" s="34"/>
      <c r="BH36" s="37"/>
      <c r="BI36" s="34"/>
      <c r="BJ36" s="34"/>
      <c r="BK36" s="34"/>
      <c r="BL36" s="37"/>
      <c r="BM36" s="37"/>
      <c r="BN36" s="34"/>
      <c r="BO36" s="34"/>
      <c r="BP36" s="34"/>
      <c r="BQ36" s="34"/>
      <c r="BR36" s="34"/>
      <c r="BS36" s="37"/>
      <c r="BT36" s="37"/>
      <c r="BU36" s="34"/>
      <c r="BV36" s="34"/>
      <c r="BW36" s="34"/>
      <c r="BX36" s="34"/>
      <c r="BY36" s="34"/>
      <c r="BZ36" s="34"/>
      <c r="CA36" s="37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43"/>
      <c r="CN36" s="37"/>
      <c r="CO36" s="37"/>
      <c r="CP36" s="34"/>
      <c r="CQ36" s="34"/>
      <c r="CR36" s="34"/>
      <c r="CS36" s="34"/>
      <c r="CT36" s="34"/>
      <c r="CU36" s="37"/>
      <c r="CV36" s="37"/>
      <c r="CW36" s="34"/>
      <c r="CX36" s="34"/>
      <c r="CY36" s="34"/>
      <c r="CZ36" s="34"/>
      <c r="DA36" s="37"/>
      <c r="DB36" s="37"/>
      <c r="DC36" s="37"/>
      <c r="DD36" s="34"/>
      <c r="DE36" s="34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9"/>
      <c r="EB36" s="39"/>
      <c r="EC36" s="40"/>
    </row>
    <row r="37" spans="1:133">
      <c r="A37" s="44"/>
      <c r="B37" s="45" t="s">
        <v>196</v>
      </c>
      <c r="C37" s="20" t="s">
        <v>201</v>
      </c>
      <c r="D37" s="21" t="s">
        <v>162</v>
      </c>
      <c r="E37" s="21"/>
      <c r="F37" s="22" t="s">
        <v>198</v>
      </c>
      <c r="G37" s="23" t="str" cm="1">
        <f t="array" ref="G37">IFERROR(LOOKUP(2,1/(K37:GC37&lt;&gt;""),K$2:DQL$2),"")</f>
        <v>15-Aug</v>
      </c>
      <c r="H37" s="24" cm="1">
        <f t="array" ref="H37">IFERROR(_xlfn.XLOOKUP(TRUE,P37:ED37&lt;&gt;"",P37:ED37,,,-1)," ")</f>
        <v>23.4</v>
      </c>
      <c r="I37" s="25">
        <v>24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34"/>
      <c r="AF37" s="35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>
        <v>23.4</v>
      </c>
      <c r="BD37" s="34"/>
      <c r="BE37" s="37"/>
      <c r="BF37" s="37"/>
      <c r="BG37" s="34"/>
      <c r="BH37" s="37"/>
      <c r="BI37" s="34"/>
      <c r="BJ37" s="34"/>
      <c r="BK37" s="34"/>
      <c r="BL37" s="37"/>
      <c r="BM37" s="37"/>
      <c r="BN37" s="34"/>
      <c r="BO37" s="34"/>
      <c r="BP37" s="34"/>
      <c r="BQ37" s="34"/>
      <c r="BR37" s="34"/>
      <c r="BS37" s="37"/>
      <c r="BT37" s="37"/>
      <c r="BU37" s="34"/>
      <c r="BV37" s="34"/>
      <c r="BW37" s="34"/>
      <c r="BX37" s="34"/>
      <c r="BY37" s="34"/>
      <c r="BZ37" s="34"/>
      <c r="CA37" s="37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43"/>
      <c r="CN37" s="37"/>
      <c r="CO37" s="37"/>
      <c r="CP37" s="34"/>
      <c r="CQ37" s="34"/>
      <c r="CR37" s="34"/>
      <c r="CS37" s="34"/>
      <c r="CT37" s="34"/>
      <c r="CU37" s="37"/>
      <c r="CV37" s="37"/>
      <c r="CW37" s="34"/>
      <c r="CX37" s="34"/>
      <c r="CY37" s="34"/>
      <c r="CZ37" s="34"/>
      <c r="DA37" s="37"/>
      <c r="DB37" s="37"/>
      <c r="DC37" s="37"/>
      <c r="DD37" s="34"/>
      <c r="DE37" s="34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9"/>
      <c r="EB37" s="39"/>
      <c r="EC37" s="40"/>
    </row>
    <row r="38" spans="1:133">
      <c r="A38" s="44"/>
      <c r="B38" s="45" t="s">
        <v>202</v>
      </c>
      <c r="C38" s="20" t="s">
        <v>203</v>
      </c>
      <c r="D38" s="21" t="s">
        <v>162</v>
      </c>
      <c r="E38" s="21"/>
      <c r="F38" s="22" t="s">
        <v>204</v>
      </c>
      <c r="G38" s="23" t="str" cm="1">
        <f t="array" ref="G38">IFERROR(LOOKUP(2,1/(K38:GC38&lt;&gt;""),K$2:DQL$2),"")</f>
        <v/>
      </c>
      <c r="H38" s="24" t="str" cm="1">
        <f t="array" ref="H38">IFERROR(_xlfn.XLOOKUP(TRUE,P38:ED38&lt;&gt;"",P38:ED38,,,-1)," ")</f>
        <v xml:space="preserve"> </v>
      </c>
      <c r="I38" s="25">
        <v>24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34"/>
      <c r="AF38" s="35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7"/>
      <c r="BF38" s="37"/>
      <c r="BG38" s="34"/>
      <c r="BH38" s="37"/>
      <c r="BI38" s="34"/>
      <c r="BJ38" s="34"/>
      <c r="BK38" s="34"/>
      <c r="BL38" s="37"/>
      <c r="BM38" s="37"/>
      <c r="BN38" s="34"/>
      <c r="BO38" s="34"/>
      <c r="BP38" s="34"/>
      <c r="BQ38" s="34"/>
      <c r="BR38" s="34"/>
      <c r="BS38" s="37"/>
      <c r="BT38" s="37"/>
      <c r="BU38" s="34"/>
      <c r="BV38" s="34"/>
      <c r="BW38" s="34"/>
      <c r="BX38" s="34"/>
      <c r="BY38" s="34"/>
      <c r="BZ38" s="34"/>
      <c r="CA38" s="37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43"/>
      <c r="CN38" s="37"/>
      <c r="CO38" s="37"/>
      <c r="CP38" s="34"/>
      <c r="CQ38" s="37"/>
      <c r="CR38" s="34"/>
      <c r="CS38" s="37"/>
      <c r="CT38" s="34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9"/>
      <c r="EB38" s="39"/>
      <c r="EC38" s="40"/>
    </row>
    <row r="39" spans="1:133">
      <c r="A39" s="44"/>
      <c r="B39" s="45" t="s">
        <v>202</v>
      </c>
      <c r="C39" s="20" t="s">
        <v>205</v>
      </c>
      <c r="D39" s="21" t="s">
        <v>162</v>
      </c>
      <c r="E39" s="21"/>
      <c r="F39" s="22" t="s">
        <v>204</v>
      </c>
      <c r="G39" s="23" t="str" cm="1">
        <f t="array" ref="G39">IFERROR(LOOKUP(2,1/(K39:GC39&lt;&gt;""),K$2:DQL$2),"")</f>
        <v>20-Aug</v>
      </c>
      <c r="H39" s="24" cm="1">
        <f t="array" ref="H39">IFERROR(_xlfn.XLOOKUP(TRUE,P39:ED39&lt;&gt;"",P39:ED39,,,-1)," ")</f>
        <v>24.4</v>
      </c>
      <c r="I39" s="25">
        <v>24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34"/>
      <c r="AF39" s="35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>
        <v>23.4</v>
      </c>
      <c r="BD39" s="34"/>
      <c r="BE39" s="37"/>
      <c r="BF39" s="37"/>
      <c r="BG39" s="34"/>
      <c r="BH39" s="37">
        <v>24.4</v>
      </c>
      <c r="BI39" s="34"/>
      <c r="BJ39" s="34"/>
      <c r="BK39" s="34"/>
      <c r="BL39" s="37"/>
      <c r="BM39" s="37"/>
      <c r="BN39" s="34"/>
      <c r="BO39" s="34"/>
      <c r="BP39" s="34"/>
      <c r="BQ39" s="34"/>
      <c r="BR39" s="34"/>
      <c r="BS39" s="37"/>
      <c r="BT39" s="37"/>
      <c r="BU39" s="34"/>
      <c r="BV39" s="34"/>
      <c r="BW39" s="34"/>
      <c r="BX39" s="34"/>
      <c r="BY39" s="34"/>
      <c r="BZ39" s="34"/>
      <c r="CA39" s="37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43"/>
      <c r="CN39" s="37"/>
      <c r="CO39" s="37"/>
      <c r="CP39" s="34"/>
      <c r="CQ39" s="37"/>
      <c r="CR39" s="34"/>
      <c r="CS39" s="37"/>
      <c r="CT39" s="34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9"/>
      <c r="EB39" s="39"/>
      <c r="EC39" s="40"/>
    </row>
    <row r="40" spans="1:133">
      <c r="A40" s="44"/>
      <c r="B40" s="45" t="s">
        <v>202</v>
      </c>
      <c r="C40" s="20" t="s">
        <v>206</v>
      </c>
      <c r="D40" s="21" t="s">
        <v>162</v>
      </c>
      <c r="E40" s="21"/>
      <c r="F40" s="22" t="s">
        <v>204</v>
      </c>
      <c r="G40" s="23" t="str" cm="1">
        <f t="array" ref="G40">IFERROR(LOOKUP(2,1/(K40:GC40&lt;&gt;""),K$2:DQL$2),"")</f>
        <v>20-Aug</v>
      </c>
      <c r="H40" s="24" cm="1">
        <f t="array" ref="H40">IFERROR(_xlfn.XLOOKUP(TRUE,P40:ED40&lt;&gt;"",P40:ED40,,,-1)," ")</f>
        <v>24</v>
      </c>
      <c r="I40" s="25">
        <v>24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34"/>
      <c r="AF40" s="35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>
        <v>23.1</v>
      </c>
      <c r="BD40" s="34"/>
      <c r="BE40" s="37"/>
      <c r="BF40" s="37"/>
      <c r="BG40" s="34"/>
      <c r="BH40" s="37">
        <v>24</v>
      </c>
      <c r="BI40" s="34"/>
      <c r="BJ40" s="34"/>
      <c r="BK40" s="34"/>
      <c r="BL40" s="37"/>
      <c r="BM40" s="37"/>
      <c r="BN40" s="34"/>
      <c r="BO40" s="34"/>
      <c r="BP40" s="34"/>
      <c r="BQ40" s="34"/>
      <c r="BR40" s="34"/>
      <c r="BS40" s="37"/>
      <c r="BT40" s="37"/>
      <c r="BU40" s="34"/>
      <c r="BV40" s="34"/>
      <c r="BW40" s="34"/>
      <c r="BX40" s="34"/>
      <c r="BY40" s="34"/>
      <c r="BZ40" s="34"/>
      <c r="CA40" s="37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43"/>
      <c r="CN40" s="37"/>
      <c r="CO40" s="37"/>
      <c r="CP40" s="34"/>
      <c r="CQ40" s="37"/>
      <c r="CR40" s="34"/>
      <c r="CS40" s="37"/>
      <c r="CT40" s="34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9"/>
      <c r="EB40" s="39"/>
      <c r="EC40" s="40"/>
    </row>
    <row r="41" spans="1:133">
      <c r="A41" s="44"/>
      <c r="B41" s="45" t="s">
        <v>207</v>
      </c>
      <c r="C41" s="20" t="s">
        <v>208</v>
      </c>
      <c r="D41" s="21" t="s">
        <v>162</v>
      </c>
      <c r="E41" s="21"/>
      <c r="F41" s="22"/>
      <c r="G41" s="23" t="str" cm="1">
        <f t="array" ref="G41">IFERROR(LOOKUP(2,1/(K41:GC41&lt;&gt;""),K$2:DQL$2),"")</f>
        <v/>
      </c>
      <c r="H41" s="24" t="str" cm="1">
        <f t="array" ref="H41">IFERROR(_xlfn.XLOOKUP(TRUE,P41:ED41&lt;&gt;"",P41:ED41,,,-1)," ")</f>
        <v xml:space="preserve"> </v>
      </c>
      <c r="I41" s="25">
        <v>24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34"/>
      <c r="AF41" s="35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7"/>
      <c r="BF41" s="37"/>
      <c r="BG41" s="34"/>
      <c r="BH41" s="37"/>
      <c r="BI41" s="34"/>
      <c r="BJ41" s="34"/>
      <c r="BK41" s="34"/>
      <c r="BL41" s="37"/>
      <c r="BM41" s="37"/>
      <c r="BN41" s="34"/>
      <c r="BO41" s="34"/>
      <c r="BP41" s="34"/>
      <c r="BQ41" s="34"/>
      <c r="BR41" s="34"/>
      <c r="BS41" s="37"/>
      <c r="BT41" s="37"/>
      <c r="BU41" s="34"/>
      <c r="BV41" s="34"/>
      <c r="BW41" s="34"/>
      <c r="BX41" s="34"/>
      <c r="BY41" s="34"/>
      <c r="BZ41" s="34"/>
      <c r="CA41" s="37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43"/>
      <c r="CN41" s="37"/>
      <c r="CO41" s="37"/>
      <c r="CP41" s="34"/>
      <c r="CQ41" s="37"/>
      <c r="CR41" s="34"/>
      <c r="CS41" s="37"/>
      <c r="CT41" s="34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9"/>
      <c r="EB41" s="39"/>
      <c r="EC41" s="40"/>
    </row>
    <row r="42" spans="1:133">
      <c r="A42" s="44"/>
      <c r="B42" s="45" t="s">
        <v>209</v>
      </c>
      <c r="C42" s="20" t="s">
        <v>210</v>
      </c>
      <c r="D42" s="21" t="s">
        <v>162</v>
      </c>
      <c r="E42" s="21"/>
      <c r="F42" s="22" t="s">
        <v>137</v>
      </c>
      <c r="G42" s="23" t="str" cm="1">
        <f t="array" ref="G42">IFERROR(LOOKUP(2,1/(K42:GC42&lt;&gt;""),K$2:DQL$2),"")</f>
        <v>19-Aug</v>
      </c>
      <c r="H42" s="24" cm="1">
        <f t="array" ref="H42">IFERROR(_xlfn.XLOOKUP(TRUE,P42:ED42&lt;&gt;"",P42:ED42,,,-1)," ")</f>
        <v>23.8</v>
      </c>
      <c r="I42" s="25">
        <v>24</v>
      </c>
      <c r="J42" s="25">
        <v>25.5</v>
      </c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34"/>
      <c r="AF42" s="35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7"/>
      <c r="BF42" s="37"/>
      <c r="BG42" s="34">
        <v>23.8</v>
      </c>
      <c r="BH42" s="37"/>
      <c r="BI42" s="34"/>
      <c r="BJ42" s="34"/>
      <c r="BK42" s="34"/>
      <c r="BL42" s="37"/>
      <c r="BM42" s="37"/>
      <c r="BN42" s="34"/>
      <c r="BO42" s="34"/>
      <c r="BP42" s="34"/>
      <c r="BQ42" s="34"/>
      <c r="BR42" s="34"/>
      <c r="BS42" s="37"/>
      <c r="BT42" s="37"/>
      <c r="BU42" s="34"/>
      <c r="BV42" s="34"/>
      <c r="BW42" s="34"/>
      <c r="BX42" s="34"/>
      <c r="BY42" s="34"/>
      <c r="BZ42" s="34"/>
      <c r="CA42" s="37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43"/>
      <c r="CN42" s="37"/>
      <c r="CO42" s="37"/>
      <c r="CP42" s="34"/>
      <c r="CQ42" s="34"/>
      <c r="CR42" s="34"/>
      <c r="CS42" s="36"/>
      <c r="CT42" s="34"/>
      <c r="CU42" s="37"/>
      <c r="CV42" s="37"/>
      <c r="CW42" s="34"/>
      <c r="CX42" s="36"/>
      <c r="CY42" s="34"/>
      <c r="CZ42" s="34"/>
      <c r="DA42" s="37"/>
      <c r="DB42" s="37"/>
      <c r="DC42" s="37"/>
      <c r="DD42" s="36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9"/>
      <c r="EB42" s="39"/>
      <c r="EC42" s="40"/>
    </row>
    <row r="43" spans="1:133">
      <c r="A43" s="44"/>
      <c r="B43" s="45" t="s">
        <v>211</v>
      </c>
      <c r="C43" s="20" t="s">
        <v>212</v>
      </c>
      <c r="D43" s="21" t="s">
        <v>162</v>
      </c>
      <c r="E43" s="21"/>
      <c r="F43" s="22"/>
      <c r="G43" s="23" t="str" cm="1">
        <f t="array" ref="G43">IFERROR(LOOKUP(2,1/(K43:GC43&lt;&gt;""),K$2:DQL$2),"")</f>
        <v/>
      </c>
      <c r="H43" s="24" t="str" cm="1">
        <f t="array" ref="H43">IFERROR(_xlfn.XLOOKUP(TRUE,P43:ED43&lt;&gt;"",P43:ED43,,,-1)," ")</f>
        <v xml:space="preserve"> </v>
      </c>
      <c r="I43" s="25">
        <v>25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34"/>
      <c r="AF43" s="35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7"/>
      <c r="BF43" s="37"/>
      <c r="BG43" s="34"/>
      <c r="BH43" s="37"/>
      <c r="BI43" s="34"/>
      <c r="BJ43" s="34"/>
      <c r="BK43" s="34"/>
      <c r="BL43" s="37"/>
      <c r="BM43" s="37"/>
      <c r="BN43" s="34"/>
      <c r="BO43" s="34"/>
      <c r="BP43" s="34"/>
      <c r="BQ43" s="34"/>
      <c r="BR43" s="34"/>
      <c r="BS43" s="37"/>
      <c r="BT43" s="37"/>
      <c r="BU43" s="34"/>
      <c r="BV43" s="34"/>
      <c r="BW43" s="34"/>
      <c r="BX43" s="34"/>
      <c r="BY43" s="34"/>
      <c r="BZ43" s="34"/>
      <c r="CA43" s="37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43"/>
      <c r="CN43" s="37"/>
      <c r="CO43" s="37"/>
      <c r="CP43" s="34"/>
      <c r="CQ43" s="34"/>
      <c r="CR43" s="34"/>
      <c r="CS43" s="34"/>
      <c r="CT43" s="34"/>
      <c r="CU43" s="37"/>
      <c r="CV43" s="34"/>
      <c r="CW43" s="42"/>
      <c r="CX43" s="34"/>
      <c r="CY43" s="34"/>
      <c r="CZ43" s="34"/>
      <c r="DA43" s="37"/>
      <c r="DB43" s="37"/>
      <c r="DC43" s="37"/>
      <c r="DD43" s="34"/>
      <c r="DE43" s="34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9"/>
      <c r="EB43" s="39"/>
      <c r="EC43" s="40"/>
    </row>
    <row r="44" spans="1:133">
      <c r="A44" s="44"/>
      <c r="B44" s="45" t="s">
        <v>211</v>
      </c>
      <c r="C44" s="20" t="s">
        <v>213</v>
      </c>
      <c r="D44" s="21" t="s">
        <v>162</v>
      </c>
      <c r="E44" s="21"/>
      <c r="F44" s="22"/>
      <c r="G44" s="23" t="str" cm="1">
        <f t="array" ref="G44">IFERROR(LOOKUP(2,1/(K44:GC44&lt;&gt;""),K$2:DQL$2),"")</f>
        <v/>
      </c>
      <c r="H44" s="24" t="str" cm="1">
        <f t="array" ref="H44">IFERROR(_xlfn.XLOOKUP(TRUE,P44:ED44&lt;&gt;"",P44:ED44,,,-1)," ")</f>
        <v xml:space="preserve"> </v>
      </c>
      <c r="I44" s="25">
        <v>25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34"/>
      <c r="AF44" s="35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7"/>
      <c r="BF44" s="37"/>
      <c r="BG44" s="34"/>
      <c r="BH44" s="37"/>
      <c r="BI44" s="34"/>
      <c r="BJ44" s="34"/>
      <c r="BK44" s="34"/>
      <c r="BL44" s="37"/>
      <c r="BM44" s="37"/>
      <c r="BN44" s="34"/>
      <c r="BO44" s="34"/>
      <c r="BP44" s="34"/>
      <c r="BQ44" s="34"/>
      <c r="BR44" s="34"/>
      <c r="BS44" s="37"/>
      <c r="BT44" s="37"/>
      <c r="BU44" s="34"/>
      <c r="BV44" s="34"/>
      <c r="BW44" s="34"/>
      <c r="BX44" s="34"/>
      <c r="BY44" s="34"/>
      <c r="BZ44" s="34"/>
      <c r="CA44" s="37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43"/>
      <c r="CN44" s="37"/>
      <c r="CO44" s="37"/>
      <c r="CP44" s="34"/>
      <c r="CQ44" s="34"/>
      <c r="CR44" s="34"/>
      <c r="CS44" s="34"/>
      <c r="CT44" s="34"/>
      <c r="CU44" s="37"/>
      <c r="CV44" s="37"/>
      <c r="CW44" s="34"/>
      <c r="CX44" s="34"/>
      <c r="CY44" s="34"/>
      <c r="CZ44" s="34"/>
      <c r="DA44" s="37"/>
      <c r="DB44" s="37"/>
      <c r="DC44" s="37"/>
      <c r="DD44" s="34"/>
      <c r="DE44" s="34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9"/>
      <c r="EB44" s="39"/>
      <c r="EC44" s="40"/>
    </row>
    <row r="45" spans="1:133">
      <c r="A45" s="44"/>
      <c r="B45" s="45" t="s">
        <v>211</v>
      </c>
      <c r="C45" s="20" t="s">
        <v>214</v>
      </c>
      <c r="D45" s="21" t="s">
        <v>162</v>
      </c>
      <c r="E45" s="21"/>
      <c r="F45" s="22"/>
      <c r="G45" s="23" t="str" cm="1">
        <f t="array" ref="G45">IFERROR(LOOKUP(2,1/(K45:GC45&lt;&gt;""),K$2:DQL$2),"")</f>
        <v/>
      </c>
      <c r="H45" s="24" t="str" cm="1">
        <f t="array" ref="H45">IFERROR(_xlfn.XLOOKUP(TRUE,P45:ED45&lt;&gt;"",P45:ED45,,,-1)," ")</f>
        <v xml:space="preserve"> </v>
      </c>
      <c r="I45" s="25">
        <v>25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34"/>
      <c r="AF45" s="35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7"/>
      <c r="BF45" s="37"/>
      <c r="BG45" s="34"/>
      <c r="BH45" s="37"/>
      <c r="BI45" s="34"/>
      <c r="BJ45" s="34"/>
      <c r="BK45" s="34"/>
      <c r="BL45" s="37"/>
      <c r="BM45" s="37"/>
      <c r="BN45" s="34"/>
      <c r="BO45" s="34"/>
      <c r="BP45" s="34"/>
      <c r="BQ45" s="34"/>
      <c r="BR45" s="34"/>
      <c r="BS45" s="37"/>
      <c r="BT45" s="37"/>
      <c r="BU45" s="34"/>
      <c r="BV45" s="34"/>
      <c r="BW45" s="34"/>
      <c r="BX45" s="34"/>
      <c r="BY45" s="34"/>
      <c r="BZ45" s="34"/>
      <c r="CA45" s="37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43"/>
      <c r="CN45" s="37"/>
      <c r="CO45" s="37"/>
      <c r="CP45" s="34"/>
      <c r="CQ45" s="34"/>
      <c r="CR45" s="34"/>
      <c r="CS45" s="34"/>
      <c r="CT45" s="34"/>
      <c r="CU45" s="37"/>
      <c r="CV45" s="37"/>
      <c r="CW45" s="34"/>
      <c r="CX45" s="34"/>
      <c r="CY45" s="34"/>
      <c r="CZ45" s="34"/>
      <c r="DA45" s="37"/>
      <c r="DB45" s="37"/>
      <c r="DC45" s="37"/>
      <c r="DD45" s="34"/>
      <c r="DE45" s="34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9"/>
      <c r="EB45" s="39"/>
      <c r="EC45" s="40"/>
    </row>
    <row r="46" spans="1:133">
      <c r="A46" s="44"/>
      <c r="B46" s="45" t="s">
        <v>215</v>
      </c>
      <c r="C46" s="20" t="s">
        <v>216</v>
      </c>
      <c r="D46" s="21" t="s">
        <v>162</v>
      </c>
      <c r="E46" s="21"/>
      <c r="F46" s="22" t="s">
        <v>198</v>
      </c>
      <c r="G46" s="23" t="str" cm="1">
        <f t="array" ref="G46">IFERROR(LOOKUP(2,1/(K46:GC46&lt;&gt;""),K$2:DQL$2),"")</f>
        <v>18-Aug</v>
      </c>
      <c r="H46" s="24" cm="1">
        <f t="array" ref="H46">IFERROR(_xlfn.XLOOKUP(TRUE,P46:ED46&lt;&gt;"",P46:ED46,,,-1)," ")</f>
        <v>21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34"/>
      <c r="AF46" s="35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7"/>
      <c r="BF46" s="37">
        <v>21</v>
      </c>
      <c r="BG46" s="34"/>
      <c r="BH46" s="37"/>
      <c r="BI46" s="34"/>
      <c r="BJ46" s="34"/>
      <c r="BK46" s="34"/>
      <c r="BL46" s="37"/>
      <c r="BM46" s="37"/>
      <c r="BN46" s="34"/>
      <c r="BO46" s="34"/>
      <c r="BP46" s="34"/>
      <c r="BQ46" s="34"/>
      <c r="BR46" s="34"/>
      <c r="BS46" s="37"/>
      <c r="BT46" s="37"/>
      <c r="BU46" s="34"/>
      <c r="BV46" s="34"/>
      <c r="BW46" s="34"/>
      <c r="BX46" s="34"/>
      <c r="BY46" s="34"/>
      <c r="BZ46" s="34"/>
      <c r="CA46" s="37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43"/>
      <c r="CN46" s="37"/>
      <c r="CO46" s="37"/>
      <c r="CP46" s="34"/>
      <c r="CQ46" s="37"/>
      <c r="CR46" s="34"/>
      <c r="CS46" s="37"/>
      <c r="CT46" s="34"/>
      <c r="CU46" s="37"/>
      <c r="CV46" s="38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9"/>
      <c r="EB46" s="39"/>
      <c r="EC46" s="40"/>
    </row>
    <row r="47" spans="1:133">
      <c r="A47" s="44"/>
      <c r="B47" s="45" t="s">
        <v>217</v>
      </c>
      <c r="C47" s="20" t="s">
        <v>218</v>
      </c>
      <c r="D47" s="21" t="s">
        <v>162</v>
      </c>
      <c r="E47" s="21"/>
      <c r="F47" s="22" t="s">
        <v>188</v>
      </c>
      <c r="G47" s="23" t="str" cm="1">
        <f t="array" ref="G47">IFERROR(LOOKUP(2,1/(K47:GC47&lt;&gt;""),K$2:DQL$2),"")</f>
        <v/>
      </c>
      <c r="H47" s="24" t="str" cm="1">
        <f t="array" ref="H47">IFERROR(_xlfn.XLOOKUP(TRUE,P47:ED47&lt;&gt;"",P47:ED47,,,-1)," ")</f>
        <v xml:space="preserve"> </v>
      </c>
      <c r="I47" s="25">
        <v>25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34"/>
      <c r="AF47" s="35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7"/>
      <c r="BF47" s="37"/>
      <c r="BG47" s="34"/>
      <c r="BH47" s="37"/>
      <c r="BI47" s="34"/>
      <c r="BJ47" s="34"/>
      <c r="BK47" s="34"/>
      <c r="BL47" s="37"/>
      <c r="BM47" s="37"/>
      <c r="BN47" s="34"/>
      <c r="BO47" s="34"/>
      <c r="BP47" s="34"/>
      <c r="BQ47" s="34"/>
      <c r="BR47" s="34"/>
      <c r="BS47" s="37"/>
      <c r="BT47" s="37"/>
      <c r="BU47" s="34"/>
      <c r="BV47" s="34"/>
      <c r="BW47" s="34"/>
      <c r="BX47" s="34"/>
      <c r="BY47" s="34"/>
      <c r="BZ47" s="34"/>
      <c r="CA47" s="37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43"/>
      <c r="CN47" s="37"/>
      <c r="CO47" s="37"/>
      <c r="CP47" s="34"/>
      <c r="CQ47" s="97"/>
      <c r="CR47" s="34"/>
      <c r="CS47" s="34"/>
      <c r="CT47" s="34"/>
      <c r="CU47" s="37"/>
      <c r="CV47" s="37"/>
      <c r="CW47" s="34"/>
      <c r="CX47" s="34"/>
      <c r="CY47" s="34"/>
      <c r="CZ47" s="34"/>
      <c r="DA47" s="37"/>
      <c r="DB47" s="37"/>
      <c r="DC47" s="37"/>
      <c r="DD47" s="34"/>
      <c r="DE47" s="34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9"/>
      <c r="EB47" s="39"/>
      <c r="EC47" s="40"/>
    </row>
    <row r="48" spans="1:133">
      <c r="A48" s="44"/>
      <c r="B48" s="45" t="s">
        <v>217</v>
      </c>
      <c r="C48" s="20" t="s">
        <v>219</v>
      </c>
      <c r="D48" s="21" t="s">
        <v>162</v>
      </c>
      <c r="E48" s="21"/>
      <c r="F48" s="22" t="s">
        <v>188</v>
      </c>
      <c r="G48" s="23" t="str" cm="1">
        <f t="array" ref="G48">IFERROR(LOOKUP(2,1/(K48:GC48&lt;&gt;""),K$2:DQL$2),"")</f>
        <v/>
      </c>
      <c r="H48" s="24" t="str" cm="1">
        <f t="array" ref="H48">IFERROR(_xlfn.XLOOKUP(TRUE,P48:ED48&lt;&gt;"",P48:ED48,,,-1)," ")</f>
        <v xml:space="preserve"> </v>
      </c>
      <c r="I48" s="25">
        <v>25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34"/>
      <c r="AF48" s="35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7"/>
      <c r="BF48" s="37"/>
      <c r="BG48" s="34"/>
      <c r="BH48" s="37"/>
      <c r="BI48" s="34"/>
      <c r="BJ48" s="34"/>
      <c r="BK48" s="34"/>
      <c r="BL48" s="37"/>
      <c r="BM48" s="37"/>
      <c r="BN48" s="34"/>
      <c r="BO48" s="34"/>
      <c r="BP48" s="34"/>
      <c r="BQ48" s="34"/>
      <c r="BR48" s="34"/>
      <c r="BS48" s="37"/>
      <c r="BT48" s="37"/>
      <c r="BU48" s="34"/>
      <c r="BV48" s="34"/>
      <c r="BW48" s="34"/>
      <c r="BX48" s="34"/>
      <c r="BY48" s="34"/>
      <c r="BZ48" s="34"/>
      <c r="CA48" s="37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43"/>
      <c r="CN48" s="37"/>
      <c r="CO48" s="37"/>
      <c r="CP48" s="34"/>
      <c r="CQ48" s="34"/>
      <c r="CR48" s="34"/>
      <c r="CS48" s="34"/>
      <c r="CT48" s="34"/>
      <c r="CU48" s="37"/>
      <c r="CV48" s="37"/>
      <c r="CW48" s="34"/>
      <c r="CX48" s="34"/>
      <c r="CY48" s="34"/>
      <c r="CZ48" s="34"/>
      <c r="DA48" s="37"/>
      <c r="DB48" s="37"/>
      <c r="DC48" s="37"/>
      <c r="DD48" s="34"/>
      <c r="DE48" s="34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9"/>
      <c r="EB48" s="39"/>
      <c r="EC48" s="40"/>
    </row>
    <row r="49" spans="1:133">
      <c r="A49" s="44"/>
      <c r="B49" s="45" t="s">
        <v>217</v>
      </c>
      <c r="C49" s="20" t="s">
        <v>220</v>
      </c>
      <c r="D49" s="21" t="s">
        <v>162</v>
      </c>
      <c r="E49" s="21"/>
      <c r="F49" s="22" t="s">
        <v>188</v>
      </c>
      <c r="G49" s="23" t="str" cm="1">
        <f t="array" ref="G49">IFERROR(LOOKUP(2,1/(K49:GC49&lt;&gt;""),K$2:DQL$2),"")</f>
        <v/>
      </c>
      <c r="H49" s="24" t="str" cm="1">
        <f t="array" ref="H49">IFERROR(_xlfn.XLOOKUP(TRUE,P49:ED49&lt;&gt;"",P49:ED49,,,-1)," ")</f>
        <v xml:space="preserve"> </v>
      </c>
      <c r="I49" s="25">
        <v>25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34"/>
      <c r="AF49" s="35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7"/>
      <c r="BF49" s="37"/>
      <c r="BG49" s="34"/>
      <c r="BH49" s="37"/>
      <c r="BI49" s="34"/>
      <c r="BJ49" s="34"/>
      <c r="BK49" s="34"/>
      <c r="BL49" s="37"/>
      <c r="BM49" s="37"/>
      <c r="BN49" s="34"/>
      <c r="BO49" s="34"/>
      <c r="BP49" s="34"/>
      <c r="BQ49" s="34"/>
      <c r="BR49" s="34"/>
      <c r="BS49" s="37"/>
      <c r="BT49" s="37"/>
      <c r="BU49" s="34"/>
      <c r="BV49" s="34"/>
      <c r="BW49" s="34"/>
      <c r="BX49" s="34"/>
      <c r="BY49" s="34"/>
      <c r="BZ49" s="34"/>
      <c r="CA49" s="37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43"/>
      <c r="CN49" s="37"/>
      <c r="CO49" s="37"/>
      <c r="CP49" s="34"/>
      <c r="CQ49" s="34"/>
      <c r="CR49" s="34"/>
      <c r="CS49" s="34"/>
      <c r="CT49" s="34"/>
      <c r="CU49" s="37"/>
      <c r="CV49" s="37"/>
      <c r="CW49" s="34"/>
      <c r="CX49" s="34"/>
      <c r="CY49" s="34"/>
      <c r="CZ49" s="34"/>
      <c r="DA49" s="37"/>
      <c r="DB49" s="37"/>
      <c r="DC49" s="37"/>
      <c r="DD49" s="34"/>
      <c r="DE49" s="34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9"/>
      <c r="EB49" s="39"/>
      <c r="EC49" s="40"/>
    </row>
    <row r="50" spans="1:133">
      <c r="A50" s="44"/>
      <c r="B50" s="45" t="s">
        <v>221</v>
      </c>
      <c r="C50" s="20" t="s">
        <v>222</v>
      </c>
      <c r="D50" s="21" t="s">
        <v>162</v>
      </c>
      <c r="E50" s="21"/>
      <c r="F50" s="22"/>
      <c r="G50" s="23" t="str" cm="1">
        <f t="array" ref="G50">IFERROR(LOOKUP(2,1/(K50:GC50&lt;&gt;""),K$2:DQL$2),"")</f>
        <v/>
      </c>
      <c r="H50" s="24" t="str" cm="1">
        <f t="array" ref="H50">IFERROR(_xlfn.XLOOKUP(TRUE,P50:ED50&lt;&gt;"",P50:ED50,,,-1)," ")</f>
        <v xml:space="preserve"> 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34"/>
      <c r="AF50" s="35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7"/>
      <c r="BF50" s="37"/>
      <c r="BG50" s="34"/>
      <c r="BH50" s="37"/>
      <c r="BI50" s="34"/>
      <c r="BJ50" s="34"/>
      <c r="BK50" s="34"/>
      <c r="BL50" s="37"/>
      <c r="BM50" s="37"/>
      <c r="BN50" s="34"/>
      <c r="BO50" s="34"/>
      <c r="BP50" s="34"/>
      <c r="BQ50" s="34"/>
      <c r="BR50" s="34"/>
      <c r="BS50" s="37"/>
      <c r="BT50" s="37"/>
      <c r="BU50" s="34"/>
      <c r="BV50" s="34"/>
      <c r="BW50" s="34"/>
      <c r="BX50" s="34"/>
      <c r="BY50" s="34"/>
      <c r="BZ50" s="34"/>
      <c r="CA50" s="37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43"/>
      <c r="CN50" s="37"/>
      <c r="CO50" s="37"/>
      <c r="CP50" s="34"/>
      <c r="CQ50" s="34"/>
      <c r="CR50" s="34"/>
      <c r="CS50" s="34"/>
      <c r="CT50" s="34"/>
      <c r="CU50" s="37"/>
      <c r="CV50" s="37"/>
      <c r="CW50" s="34"/>
      <c r="CX50" s="34"/>
      <c r="CY50" s="34"/>
      <c r="CZ50" s="34"/>
      <c r="DA50" s="37"/>
      <c r="DB50" s="37"/>
      <c r="DC50" s="37"/>
      <c r="DD50" s="34"/>
      <c r="DE50" s="34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9"/>
      <c r="EB50" s="39"/>
      <c r="EC50" s="40"/>
    </row>
    <row r="51" spans="1:133">
      <c r="A51" s="44"/>
      <c r="B51" s="45" t="s">
        <v>221</v>
      </c>
      <c r="C51" s="20" t="s">
        <v>223</v>
      </c>
      <c r="D51" s="21" t="s">
        <v>162</v>
      </c>
      <c r="E51" s="21"/>
      <c r="F51" s="22"/>
      <c r="G51" s="23" t="str" cm="1">
        <f t="array" ref="G51">IFERROR(LOOKUP(2,1/(K51:GC51&lt;&gt;""),K$2:DQL$2),"")</f>
        <v/>
      </c>
      <c r="H51" s="24" t="str" cm="1">
        <f t="array" ref="H51">IFERROR(_xlfn.XLOOKUP(TRUE,P51:ED51&lt;&gt;"",P51:ED51,,,-1)," ")</f>
        <v xml:space="preserve"> </v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34"/>
      <c r="AF51" s="35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7"/>
      <c r="BF51" s="37"/>
      <c r="BG51" s="34"/>
      <c r="BH51" s="37"/>
      <c r="BI51" s="34"/>
      <c r="BJ51" s="34"/>
      <c r="BK51" s="34"/>
      <c r="BL51" s="37"/>
      <c r="BM51" s="37"/>
      <c r="BN51" s="34"/>
      <c r="BO51" s="34"/>
      <c r="BP51" s="34"/>
      <c r="BQ51" s="34"/>
      <c r="BR51" s="34"/>
      <c r="BS51" s="37"/>
      <c r="BT51" s="37"/>
      <c r="BU51" s="34"/>
      <c r="BV51" s="34"/>
      <c r="BW51" s="34"/>
      <c r="BX51" s="34"/>
      <c r="BY51" s="34"/>
      <c r="BZ51" s="34"/>
      <c r="CA51" s="37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43"/>
      <c r="CN51" s="37"/>
      <c r="CO51" s="37"/>
      <c r="CP51" s="34"/>
      <c r="CQ51" s="34"/>
      <c r="CR51" s="34"/>
      <c r="CS51" s="34"/>
      <c r="CT51" s="34"/>
      <c r="CU51" s="37"/>
      <c r="CV51" s="37"/>
      <c r="CW51" s="34"/>
      <c r="CX51" s="34"/>
      <c r="CY51" s="34"/>
      <c r="CZ51" s="34"/>
      <c r="DA51" s="37"/>
      <c r="DB51" s="37"/>
      <c r="DC51" s="37"/>
      <c r="DD51" s="34"/>
      <c r="DE51" s="34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9"/>
      <c r="EB51" s="39"/>
      <c r="EC51" s="40"/>
    </row>
    <row r="52" spans="1:133">
      <c r="A52" s="44"/>
      <c r="B52" s="45" t="s">
        <v>221</v>
      </c>
      <c r="C52" s="20" t="s">
        <v>224</v>
      </c>
      <c r="D52" s="21" t="s">
        <v>162</v>
      </c>
      <c r="E52" s="21"/>
      <c r="F52" s="22"/>
      <c r="G52" s="23" t="str" cm="1">
        <f t="array" ref="G52">IFERROR(LOOKUP(2,1/(K52:GC52&lt;&gt;""),K$2:DQL$2),"")</f>
        <v/>
      </c>
      <c r="H52" s="24" t="str" cm="1">
        <f t="array" ref="H52">IFERROR(_xlfn.XLOOKUP(TRUE,P52:ED52&lt;&gt;"",P52:ED52,,,-1)," ")</f>
        <v xml:space="preserve"> 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34"/>
      <c r="AF52" s="35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7"/>
      <c r="BF52" s="37"/>
      <c r="BG52" s="34"/>
      <c r="BH52" s="37"/>
      <c r="BI52" s="34"/>
      <c r="BJ52" s="34"/>
      <c r="BK52" s="34"/>
      <c r="BL52" s="37"/>
      <c r="BM52" s="37"/>
      <c r="BN52" s="34"/>
      <c r="BO52" s="34"/>
      <c r="BP52" s="34"/>
      <c r="BQ52" s="34"/>
      <c r="BR52" s="34"/>
      <c r="BS52" s="37"/>
      <c r="BT52" s="37"/>
      <c r="BU52" s="34"/>
      <c r="BV52" s="34"/>
      <c r="BW52" s="34"/>
      <c r="BX52" s="34"/>
      <c r="BY52" s="34"/>
      <c r="BZ52" s="34"/>
      <c r="CA52" s="37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43"/>
      <c r="CN52" s="37"/>
      <c r="CO52" s="37"/>
      <c r="CP52" s="34"/>
      <c r="CQ52" s="34"/>
      <c r="CR52" s="34"/>
      <c r="CS52" s="34"/>
      <c r="CT52" s="34"/>
      <c r="CU52" s="37"/>
      <c r="CV52" s="37"/>
      <c r="CW52" s="34"/>
      <c r="CX52" s="34"/>
      <c r="CY52" s="34"/>
      <c r="CZ52" s="34"/>
      <c r="DA52" s="37"/>
      <c r="DB52" s="37"/>
      <c r="DC52" s="37"/>
      <c r="DD52" s="34"/>
      <c r="DE52" s="34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9"/>
      <c r="EB52" s="39"/>
      <c r="EC52" s="40"/>
    </row>
    <row r="53" spans="1:133">
      <c r="A53" s="44"/>
      <c r="B53" s="45" t="s">
        <v>225</v>
      </c>
      <c r="C53" s="20" t="s">
        <v>226</v>
      </c>
      <c r="D53" s="21" t="s">
        <v>162</v>
      </c>
      <c r="E53" s="21"/>
      <c r="F53" s="22" t="s">
        <v>137</v>
      </c>
      <c r="G53" s="23" t="str" cm="1">
        <f t="array" ref="G53">IFERROR(LOOKUP(2,1/(K53:GC53&lt;&gt;""),K$2:DQL$2),"")</f>
        <v>12-Aug</v>
      </c>
      <c r="H53" s="24" cm="1">
        <f t="array" ref="H53">IFERROR(_xlfn.XLOOKUP(TRUE,P53:ED53&lt;&gt;"",P53:ED53,,,-1)," ")</f>
        <v>21.4</v>
      </c>
      <c r="I53" s="25">
        <v>24</v>
      </c>
      <c r="J53" s="25">
        <v>25.5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34"/>
      <c r="AF53" s="35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>
        <v>21.4</v>
      </c>
      <c r="BA53" s="34"/>
      <c r="BB53" s="34"/>
      <c r="BC53" s="34"/>
      <c r="BD53" s="34"/>
      <c r="BE53" s="37"/>
      <c r="BF53" s="37"/>
      <c r="BG53" s="34"/>
      <c r="BH53" s="37"/>
      <c r="BI53" s="34"/>
      <c r="BJ53" s="34"/>
      <c r="BK53" s="34"/>
      <c r="BL53" s="37"/>
      <c r="BM53" s="37"/>
      <c r="BN53" s="34"/>
      <c r="BO53" s="34"/>
      <c r="BP53" s="34"/>
      <c r="BQ53" s="34"/>
      <c r="BR53" s="34"/>
      <c r="BS53" s="37"/>
      <c r="BT53" s="37"/>
      <c r="BU53" s="34"/>
      <c r="BV53" s="34"/>
      <c r="BW53" s="34"/>
      <c r="BX53" s="34"/>
      <c r="BY53" s="34"/>
      <c r="BZ53" s="34"/>
      <c r="CA53" s="38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41"/>
      <c r="CN53" s="37"/>
      <c r="CO53" s="37"/>
      <c r="CP53" s="34"/>
      <c r="CQ53" s="37"/>
      <c r="CR53" s="34"/>
      <c r="CS53" s="37"/>
      <c r="CT53" s="34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9"/>
      <c r="EB53" s="39"/>
      <c r="EC53" s="40"/>
    </row>
    <row r="54" spans="1:133">
      <c r="A54" s="44"/>
      <c r="B54" s="45" t="s">
        <v>225</v>
      </c>
      <c r="C54" s="20" t="s">
        <v>227</v>
      </c>
      <c r="D54" s="21" t="s">
        <v>162</v>
      </c>
      <c r="E54" s="21"/>
      <c r="F54" s="22" t="s">
        <v>137</v>
      </c>
      <c r="G54" s="23" t="str" cm="1">
        <f t="array" ref="G54">IFERROR(LOOKUP(2,1/(K54:GC54&lt;&gt;""),K$2:DQL$2),"")</f>
        <v>12-Aug</v>
      </c>
      <c r="H54" s="24" cm="1">
        <f t="array" ref="H54">IFERROR(_xlfn.XLOOKUP(TRUE,P54:ED54&lt;&gt;"",P54:ED54,,,-1)," ")</f>
        <v>21</v>
      </c>
      <c r="I54" s="25">
        <v>24</v>
      </c>
      <c r="J54" s="25">
        <v>25.5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34"/>
      <c r="AF54" s="35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>
        <v>21</v>
      </c>
      <c r="BA54" s="34"/>
      <c r="BB54" s="34"/>
      <c r="BC54" s="34"/>
      <c r="BD54" s="34"/>
      <c r="BE54" s="37"/>
      <c r="BF54" s="37"/>
      <c r="BG54" s="34"/>
      <c r="BH54" s="37"/>
      <c r="BI54" s="34"/>
      <c r="BJ54" s="34"/>
      <c r="BK54" s="34"/>
      <c r="BL54" s="37"/>
      <c r="BM54" s="37"/>
      <c r="BN54" s="34"/>
      <c r="BO54" s="34"/>
      <c r="BP54" s="34"/>
      <c r="BQ54" s="34"/>
      <c r="BR54" s="34"/>
      <c r="BS54" s="37"/>
      <c r="BT54" s="37"/>
      <c r="BU54" s="34"/>
      <c r="BV54" s="34"/>
      <c r="BW54" s="34"/>
      <c r="BX54" s="34"/>
      <c r="BY54" s="34"/>
      <c r="BZ54" s="34"/>
      <c r="CA54" s="37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43"/>
      <c r="CN54" s="37"/>
      <c r="CO54" s="37"/>
      <c r="CP54" s="34"/>
      <c r="CQ54" s="37"/>
      <c r="CR54" s="34"/>
      <c r="CS54" s="37"/>
      <c r="CT54" s="34"/>
      <c r="CU54" s="37"/>
      <c r="CV54" s="37"/>
      <c r="CW54" s="37"/>
      <c r="CX54" s="38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9"/>
      <c r="EB54" s="39"/>
      <c r="EC54" s="40"/>
    </row>
    <row r="55" spans="1:133">
      <c r="A55" s="44"/>
      <c r="B55" s="45" t="s">
        <v>225</v>
      </c>
      <c r="C55" s="20" t="s">
        <v>228</v>
      </c>
      <c r="D55" s="21" t="s">
        <v>162</v>
      </c>
      <c r="E55" s="21"/>
      <c r="F55" s="22" t="s">
        <v>137</v>
      </c>
      <c r="G55" s="23" t="str" cm="1">
        <f t="array" ref="G55">IFERROR(LOOKUP(2,1/(K55:GC55&lt;&gt;""),K$2:DQL$2),"")</f>
        <v/>
      </c>
      <c r="H55" s="24" t="str" cm="1">
        <f t="array" ref="H55">IFERROR(_xlfn.XLOOKUP(TRUE,P55:ED55&lt;&gt;"",P55:ED55,,,-1)," ")</f>
        <v xml:space="preserve"> </v>
      </c>
      <c r="I55" s="25">
        <v>24</v>
      </c>
      <c r="J55" s="25">
        <v>25.5</v>
      </c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34"/>
      <c r="AF55" s="35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7"/>
      <c r="BF55" s="37"/>
      <c r="BG55" s="34"/>
      <c r="BH55" s="37"/>
      <c r="BI55" s="34"/>
      <c r="BJ55" s="34"/>
      <c r="BK55" s="34"/>
      <c r="BL55" s="37"/>
      <c r="BM55" s="37"/>
      <c r="BN55" s="34"/>
      <c r="BO55" s="34"/>
      <c r="BP55" s="34"/>
      <c r="BQ55" s="34"/>
      <c r="BR55" s="34"/>
      <c r="BS55" s="37"/>
      <c r="BT55" s="37"/>
      <c r="BU55" s="34"/>
      <c r="BV55" s="34"/>
      <c r="BW55" s="34"/>
      <c r="BX55" s="34"/>
      <c r="BY55" s="34"/>
      <c r="BZ55" s="34"/>
      <c r="CA55" s="37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43"/>
      <c r="CN55" s="37"/>
      <c r="CO55" s="37"/>
      <c r="CP55" s="34"/>
      <c r="CQ55" s="37"/>
      <c r="CR55" s="34"/>
      <c r="CS55" s="37"/>
      <c r="CT55" s="34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9"/>
      <c r="EB55" s="39"/>
      <c r="EC55" s="40"/>
    </row>
    <row r="56" spans="1:133">
      <c r="A56" s="44"/>
      <c r="B56" s="45" t="s">
        <v>229</v>
      </c>
      <c r="C56" s="20" t="s">
        <v>230</v>
      </c>
      <c r="D56" s="21" t="s">
        <v>162</v>
      </c>
      <c r="E56" s="21"/>
      <c r="F56" s="22" t="s">
        <v>137</v>
      </c>
      <c r="G56" s="23" t="str" cm="1">
        <f t="array" ref="G56">IFERROR(LOOKUP(2,1/(K56:GC56&lt;&gt;""),K$2:DQL$2),"")</f>
        <v/>
      </c>
      <c r="H56" s="24" t="str" cm="1">
        <f t="array" ref="H56">IFERROR(_xlfn.XLOOKUP(TRUE,P56:ED56&lt;&gt;"",P56:ED56,,,-1)," ")</f>
        <v xml:space="preserve"> </v>
      </c>
      <c r="I56" s="25">
        <v>24</v>
      </c>
      <c r="J56" s="25">
        <v>25.5</v>
      </c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34"/>
      <c r="AF56" s="35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7"/>
      <c r="BF56" s="37"/>
      <c r="BG56" s="34"/>
      <c r="BH56" s="37"/>
      <c r="BI56" s="34"/>
      <c r="BJ56" s="34"/>
      <c r="BK56" s="34"/>
      <c r="BL56" s="37"/>
      <c r="BM56" s="37"/>
      <c r="BN56" s="34"/>
      <c r="BO56" s="34"/>
      <c r="BP56" s="34"/>
      <c r="BQ56" s="34"/>
      <c r="BR56" s="34"/>
      <c r="BS56" s="37"/>
      <c r="BT56" s="37"/>
      <c r="BU56" s="34"/>
      <c r="BV56" s="34"/>
      <c r="BW56" s="34"/>
      <c r="BX56" s="34"/>
      <c r="BY56" s="34"/>
      <c r="BZ56" s="34"/>
      <c r="CA56" s="37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43"/>
      <c r="CN56" s="37"/>
      <c r="CO56" s="37"/>
      <c r="CP56" s="34"/>
      <c r="CQ56" s="37"/>
      <c r="CR56" s="34"/>
      <c r="CS56" s="37"/>
      <c r="CT56" s="34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9"/>
      <c r="EB56" s="39"/>
      <c r="EC56" s="40"/>
    </row>
    <row r="57" spans="1:133">
      <c r="A57" s="44"/>
      <c r="B57" s="45" t="s">
        <v>229</v>
      </c>
      <c r="C57" s="20" t="s">
        <v>231</v>
      </c>
      <c r="D57" s="21" t="s">
        <v>162</v>
      </c>
      <c r="E57" s="21"/>
      <c r="F57" s="22" t="s">
        <v>137</v>
      </c>
      <c r="G57" s="23" t="str" cm="1">
        <f t="array" ref="G57">IFERROR(LOOKUP(2,1/(K57:GC57&lt;&gt;""),K$2:DQL$2),"")</f>
        <v>17-Aug</v>
      </c>
      <c r="H57" s="24" cm="1">
        <f t="array" ref="H57">IFERROR(_xlfn.XLOOKUP(TRUE,P57:ED57&lt;&gt;"",P57:ED57,,,-1)," ")</f>
        <v>20.2</v>
      </c>
      <c r="I57" s="25">
        <v>24</v>
      </c>
      <c r="J57" s="25">
        <v>25.5</v>
      </c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34"/>
      <c r="AF57" s="35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7">
        <v>20.2</v>
      </c>
      <c r="BF57" s="37"/>
      <c r="BG57" s="34"/>
      <c r="BH57" s="37"/>
      <c r="BI57" s="34"/>
      <c r="BJ57" s="34"/>
      <c r="BK57" s="34"/>
      <c r="BL57" s="37"/>
      <c r="BM57" s="37"/>
      <c r="BN57" s="34"/>
      <c r="BO57" s="34"/>
      <c r="BP57" s="34"/>
      <c r="BQ57" s="34"/>
      <c r="BR57" s="34"/>
      <c r="BS57" s="37"/>
      <c r="BT57" s="37"/>
      <c r="BU57" s="34"/>
      <c r="BV57" s="34"/>
      <c r="BW57" s="34"/>
      <c r="BX57" s="34"/>
      <c r="BY57" s="34"/>
      <c r="BZ57" s="34"/>
      <c r="CA57" s="37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43"/>
      <c r="CN57" s="37"/>
      <c r="CO57" s="37"/>
      <c r="CP57" s="34"/>
      <c r="CQ57" s="37"/>
      <c r="CR57" s="34"/>
      <c r="CS57" s="37"/>
      <c r="CT57" s="34"/>
      <c r="CU57" s="37"/>
      <c r="CV57" s="37"/>
      <c r="CW57" s="37"/>
      <c r="CX57" s="37"/>
      <c r="CY57" s="37"/>
      <c r="CZ57" s="38"/>
      <c r="DA57" s="37"/>
      <c r="DB57" s="37"/>
      <c r="DC57" s="37"/>
      <c r="DD57" s="38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9"/>
      <c r="EB57" s="39"/>
      <c r="EC57" s="40"/>
    </row>
    <row r="58" spans="1:133">
      <c r="A58" s="44"/>
      <c r="B58" s="45" t="s">
        <v>229</v>
      </c>
      <c r="C58" s="20" t="s">
        <v>232</v>
      </c>
      <c r="D58" s="21" t="s">
        <v>162</v>
      </c>
      <c r="E58" s="21"/>
      <c r="F58" s="22" t="s">
        <v>137</v>
      </c>
      <c r="G58" s="23" t="str" cm="1">
        <f t="array" ref="G58">IFERROR(LOOKUP(2,1/(K58:GC58&lt;&gt;""),K$2:DQL$2),"")</f>
        <v>17-Aug</v>
      </c>
      <c r="H58" s="24" cm="1">
        <f t="array" ref="H58">IFERROR(_xlfn.XLOOKUP(TRUE,P58:ED58&lt;&gt;"",P58:ED58,,,-1)," ")</f>
        <v>21.2</v>
      </c>
      <c r="I58" s="25">
        <v>24</v>
      </c>
      <c r="J58" s="25">
        <v>25.5</v>
      </c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34"/>
      <c r="AF58" s="35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7">
        <v>21.2</v>
      </c>
      <c r="BF58" s="37"/>
      <c r="BG58" s="34"/>
      <c r="BH58" s="37"/>
      <c r="BI58" s="34"/>
      <c r="BJ58" s="34"/>
      <c r="BK58" s="34"/>
      <c r="BL58" s="37"/>
      <c r="BM58" s="37"/>
      <c r="BN58" s="34"/>
      <c r="BO58" s="34"/>
      <c r="BP58" s="34"/>
      <c r="BQ58" s="34"/>
      <c r="BR58" s="34"/>
      <c r="BS58" s="37"/>
      <c r="BT58" s="37"/>
      <c r="BU58" s="34"/>
      <c r="BV58" s="34"/>
      <c r="BW58" s="34"/>
      <c r="BX58" s="34"/>
      <c r="BY58" s="34"/>
      <c r="BZ58" s="34"/>
      <c r="CA58" s="37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43"/>
      <c r="CN58" s="37"/>
      <c r="CO58" s="37"/>
      <c r="CP58" s="34"/>
      <c r="CQ58" s="37"/>
      <c r="CR58" s="34"/>
      <c r="CS58" s="37"/>
      <c r="CT58" s="34"/>
      <c r="CU58" s="37"/>
      <c r="CV58" s="38"/>
      <c r="CW58" s="37"/>
      <c r="CX58" s="37"/>
      <c r="CY58" s="37"/>
      <c r="CZ58" s="38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9"/>
      <c r="EB58" s="39"/>
      <c r="EC58" s="40"/>
    </row>
    <row r="59" spans="1:133">
      <c r="A59" s="44"/>
      <c r="B59" s="45" t="s">
        <v>233</v>
      </c>
      <c r="C59" s="20" t="s">
        <v>234</v>
      </c>
      <c r="D59" s="21" t="s">
        <v>162</v>
      </c>
      <c r="E59" s="21"/>
      <c r="F59" s="22" t="s">
        <v>198</v>
      </c>
      <c r="G59" s="23" t="str" cm="1">
        <f t="array" ref="G59">IFERROR(LOOKUP(2,1/(K59:GC59&lt;&gt;""),K$2:DQL$2),"")</f>
        <v/>
      </c>
      <c r="H59" s="24" t="str" cm="1">
        <f t="array" ref="H59">IFERROR(_xlfn.XLOOKUP(TRUE,P59:ED59&lt;&gt;"",P59:ED59,,,-1)," ")</f>
        <v xml:space="preserve"> </v>
      </c>
      <c r="I59" s="25">
        <v>22.5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34"/>
      <c r="AF59" s="35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7"/>
      <c r="BF59" s="37"/>
      <c r="BG59" s="34"/>
      <c r="BH59" s="37"/>
      <c r="BI59" s="34"/>
      <c r="BJ59" s="34"/>
      <c r="BK59" s="34"/>
      <c r="BL59" s="37"/>
      <c r="BM59" s="37"/>
      <c r="BN59" s="34"/>
      <c r="BO59" s="34"/>
      <c r="BP59" s="34"/>
      <c r="BQ59" s="34"/>
      <c r="BR59" s="34"/>
      <c r="BS59" s="37"/>
      <c r="BT59" s="37"/>
      <c r="BU59" s="34"/>
      <c r="BV59" s="34"/>
      <c r="BW59" s="34"/>
      <c r="BX59" s="34"/>
      <c r="BY59" s="34"/>
      <c r="BZ59" s="34"/>
      <c r="CA59" s="37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43"/>
      <c r="CN59" s="37"/>
      <c r="CO59" s="37"/>
      <c r="CP59" s="34"/>
      <c r="CQ59" s="37"/>
      <c r="CR59" s="34"/>
      <c r="CS59" s="37"/>
      <c r="CT59" s="34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9"/>
      <c r="EB59" s="39"/>
      <c r="EC59" s="40"/>
    </row>
    <row r="60" spans="1:133">
      <c r="A60" s="44"/>
      <c r="B60" s="45" t="s">
        <v>233</v>
      </c>
      <c r="C60" s="20" t="s">
        <v>235</v>
      </c>
      <c r="D60" s="21" t="s">
        <v>162</v>
      </c>
      <c r="E60" s="21"/>
      <c r="F60" s="22" t="s">
        <v>198</v>
      </c>
      <c r="G60" s="23" t="str" cm="1">
        <f t="array" ref="G60">IFERROR(LOOKUP(2,1/(K60:GC60&lt;&gt;""),K$2:DQL$2),"")</f>
        <v>21-Aug</v>
      </c>
      <c r="H60" s="24" cm="1">
        <f t="array" ref="H60">IFERROR(_xlfn.XLOOKUP(TRUE,P60:ED60&lt;&gt;"",P60:ED60,,,-1)," ")</f>
        <v>23.2</v>
      </c>
      <c r="I60" s="25">
        <v>22.5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34"/>
      <c r="AF60" s="35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7"/>
      <c r="BF60" s="37"/>
      <c r="BG60" s="34"/>
      <c r="BH60" s="37"/>
      <c r="BI60" s="34">
        <v>23.2</v>
      </c>
      <c r="BJ60" s="34"/>
      <c r="BK60" s="34"/>
      <c r="BL60" s="37"/>
      <c r="BM60" s="37"/>
      <c r="BN60" s="34"/>
      <c r="BO60" s="34"/>
      <c r="BP60" s="34"/>
      <c r="BQ60" s="34"/>
      <c r="BR60" s="34"/>
      <c r="BS60" s="37"/>
      <c r="BT60" s="37"/>
      <c r="BU60" s="34"/>
      <c r="BV60" s="34"/>
      <c r="BW60" s="34"/>
      <c r="BX60" s="34"/>
      <c r="BY60" s="34"/>
      <c r="BZ60" s="34"/>
      <c r="CA60" s="37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43"/>
      <c r="CN60" s="37"/>
      <c r="CO60" s="37"/>
      <c r="CP60" s="34"/>
      <c r="CQ60" s="37"/>
      <c r="CR60" s="34"/>
      <c r="CS60" s="37"/>
      <c r="CT60" s="34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9"/>
      <c r="EB60" s="39"/>
      <c r="EC60" s="40"/>
    </row>
    <row r="61" spans="1:133">
      <c r="A61" s="44"/>
      <c r="B61" s="45" t="s">
        <v>233</v>
      </c>
      <c r="C61" s="20" t="s">
        <v>236</v>
      </c>
      <c r="D61" s="21" t="s">
        <v>162</v>
      </c>
      <c r="E61" s="21"/>
      <c r="F61" s="22" t="s">
        <v>198</v>
      </c>
      <c r="G61" s="23" t="str" cm="1">
        <f t="array" ref="G61">IFERROR(LOOKUP(2,1/(K61:GC61&lt;&gt;""),K$2:DQL$2),"")</f>
        <v>21-Aug</v>
      </c>
      <c r="H61" s="24" cm="1">
        <f t="array" ref="H61">IFERROR(_xlfn.XLOOKUP(TRUE,P61:ED61&lt;&gt;"",P61:ED61,,,-1)," ")</f>
        <v>23</v>
      </c>
      <c r="I61" s="25">
        <v>22.5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34"/>
      <c r="AF61" s="35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7"/>
      <c r="BF61" s="37"/>
      <c r="BG61" s="34"/>
      <c r="BH61" s="37"/>
      <c r="BI61" s="34">
        <v>23</v>
      </c>
      <c r="BJ61" s="34"/>
      <c r="BK61" s="34"/>
      <c r="BL61" s="37"/>
      <c r="BM61" s="37"/>
      <c r="BN61" s="34"/>
      <c r="BO61" s="34"/>
      <c r="BP61" s="34"/>
      <c r="BQ61" s="34"/>
      <c r="BR61" s="34"/>
      <c r="BS61" s="37"/>
      <c r="BT61" s="37"/>
      <c r="BU61" s="34"/>
      <c r="BV61" s="34"/>
      <c r="BW61" s="34"/>
      <c r="BX61" s="34"/>
      <c r="BY61" s="34"/>
      <c r="BZ61" s="34"/>
      <c r="CA61" s="37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43"/>
      <c r="CN61" s="37"/>
      <c r="CO61" s="37"/>
      <c r="CP61" s="34"/>
      <c r="CQ61" s="37"/>
      <c r="CR61" s="34"/>
      <c r="CS61" s="37"/>
      <c r="CT61" s="34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9"/>
      <c r="EB61" s="39"/>
      <c r="EC61" s="40"/>
    </row>
    <row r="62" spans="1:133">
      <c r="A62" s="44"/>
      <c r="B62" s="45" t="s">
        <v>237</v>
      </c>
      <c r="C62" s="20" t="s">
        <v>238</v>
      </c>
      <c r="D62" s="21" t="s">
        <v>162</v>
      </c>
      <c r="E62" s="21"/>
      <c r="F62" s="22" t="s">
        <v>137</v>
      </c>
      <c r="G62" s="23" t="str" cm="1">
        <f t="array" ref="G62">IFERROR(LOOKUP(2,1/(K62:GC62&lt;&gt;""),K$2:DQL$2),"")</f>
        <v>13-Aug</v>
      </c>
      <c r="H62" s="24" cm="1">
        <f t="array" ref="H62">IFERROR(_xlfn.XLOOKUP(TRUE,P62:ED62&lt;&gt;"",P62:ED62,,,-1)," ")</f>
        <v>20.2</v>
      </c>
      <c r="I62" s="25">
        <v>24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34"/>
      <c r="AF62" s="35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>
        <v>20.2</v>
      </c>
      <c r="BB62" s="34"/>
      <c r="BC62" s="34"/>
      <c r="BD62" s="34"/>
      <c r="BE62" s="37"/>
      <c r="BF62" s="37"/>
      <c r="BG62" s="34"/>
      <c r="BH62" s="37"/>
      <c r="BI62" s="34"/>
      <c r="BJ62" s="34"/>
      <c r="BK62" s="34"/>
      <c r="BL62" s="37"/>
      <c r="BM62" s="37"/>
      <c r="BN62" s="34"/>
      <c r="BO62" s="34"/>
      <c r="BP62" s="34"/>
      <c r="BQ62" s="34"/>
      <c r="BR62" s="34"/>
      <c r="BS62" s="37"/>
      <c r="BT62" s="37"/>
      <c r="BU62" s="34"/>
      <c r="BV62" s="34"/>
      <c r="BW62" s="34"/>
      <c r="BX62" s="34"/>
      <c r="BY62" s="34"/>
      <c r="BZ62" s="34"/>
      <c r="CA62" s="37"/>
      <c r="CB62" s="37"/>
      <c r="CC62" s="34"/>
      <c r="CD62" s="43"/>
      <c r="CE62" s="37"/>
      <c r="CF62" s="37"/>
      <c r="CG62" s="37"/>
      <c r="CH62" s="37"/>
      <c r="CI62" s="37"/>
      <c r="CJ62" s="37"/>
      <c r="CK62" s="37"/>
      <c r="CL62" s="34"/>
      <c r="CM62" s="41"/>
      <c r="CN62" s="37"/>
      <c r="CO62" s="37"/>
      <c r="CP62" s="34"/>
      <c r="CQ62" s="37"/>
      <c r="CR62" s="34"/>
      <c r="CS62" s="37"/>
      <c r="CT62" s="34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9"/>
      <c r="EB62" s="39"/>
      <c r="EC62" s="40"/>
    </row>
    <row r="63" spans="1:133">
      <c r="A63" s="44"/>
      <c r="B63" s="45" t="s">
        <v>237</v>
      </c>
      <c r="C63" s="20" t="s">
        <v>239</v>
      </c>
      <c r="D63" s="21" t="s">
        <v>162</v>
      </c>
      <c r="E63" s="21"/>
      <c r="F63" s="22" t="s">
        <v>137</v>
      </c>
      <c r="G63" s="23" t="str" cm="1">
        <f t="array" ref="G63">IFERROR(LOOKUP(2,1/(K63:GC63&lt;&gt;""),K$2:DQL$2),"")</f>
        <v>19-Aug</v>
      </c>
      <c r="H63" s="24" cm="1">
        <f t="array" ref="H63">IFERROR(_xlfn.XLOOKUP(TRUE,P63:ED63&lt;&gt;"",P63:ED63,,,-1)," ")</f>
        <v>22.4</v>
      </c>
      <c r="I63" s="25">
        <v>24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34"/>
      <c r="AF63" s="35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7"/>
      <c r="BF63" s="37"/>
      <c r="BG63" s="34">
        <v>22.4</v>
      </c>
      <c r="BH63" s="37"/>
      <c r="BI63" s="34"/>
      <c r="BJ63" s="34"/>
      <c r="BK63" s="34"/>
      <c r="BL63" s="37"/>
      <c r="BM63" s="37"/>
      <c r="BN63" s="34"/>
      <c r="BO63" s="34"/>
      <c r="BP63" s="34"/>
      <c r="BQ63" s="34"/>
      <c r="BR63" s="34"/>
      <c r="BS63" s="37"/>
      <c r="BT63" s="37"/>
      <c r="BU63" s="34"/>
      <c r="BV63" s="34"/>
      <c r="BW63" s="34"/>
      <c r="BX63" s="34"/>
      <c r="BY63" s="34"/>
      <c r="BZ63" s="34"/>
      <c r="CA63" s="37"/>
      <c r="CB63" s="37"/>
      <c r="CC63" s="34"/>
      <c r="CD63" s="43"/>
      <c r="CE63" s="37"/>
      <c r="CF63" s="37"/>
      <c r="CG63" s="37"/>
      <c r="CH63" s="37"/>
      <c r="CI63" s="37"/>
      <c r="CJ63" s="37"/>
      <c r="CK63" s="37"/>
      <c r="CL63" s="34"/>
      <c r="CM63" s="43"/>
      <c r="CN63" s="37"/>
      <c r="CO63" s="37"/>
      <c r="CP63" s="34"/>
      <c r="CQ63" s="37"/>
      <c r="CR63" s="34"/>
      <c r="CS63" s="37"/>
      <c r="CT63" s="34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9"/>
      <c r="EB63" s="39"/>
      <c r="EC63" s="40"/>
    </row>
    <row r="64" spans="1:133">
      <c r="A64" s="44"/>
      <c r="B64" s="45" t="s">
        <v>237</v>
      </c>
      <c r="C64" s="20" t="s">
        <v>240</v>
      </c>
      <c r="D64" s="21" t="s">
        <v>162</v>
      </c>
      <c r="E64" s="21"/>
      <c r="F64" s="22" t="s">
        <v>137</v>
      </c>
      <c r="G64" s="23" t="str" cm="1">
        <f t="array" ref="G64">IFERROR(LOOKUP(2,1/(K64:GC64&lt;&gt;""),K$2:DQL$2),"")</f>
        <v>19-Aug</v>
      </c>
      <c r="H64" s="24" cm="1">
        <f t="array" ref="H64">IFERROR(_xlfn.XLOOKUP(TRUE,P64:ED64&lt;&gt;"",P64:ED64,,,-1)," ")</f>
        <v>21.8</v>
      </c>
      <c r="I64" s="25">
        <v>24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34"/>
      <c r="AF64" s="35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7"/>
      <c r="BF64" s="37"/>
      <c r="BG64" s="34">
        <v>21.8</v>
      </c>
      <c r="BH64" s="37"/>
      <c r="BI64" s="34"/>
      <c r="BJ64" s="34"/>
      <c r="BK64" s="34"/>
      <c r="BL64" s="37"/>
      <c r="BM64" s="37"/>
      <c r="BN64" s="34"/>
      <c r="BO64" s="34"/>
      <c r="BP64" s="34"/>
      <c r="BQ64" s="34"/>
      <c r="BR64" s="34"/>
      <c r="BS64" s="37"/>
      <c r="BT64" s="37"/>
      <c r="BU64" s="34"/>
      <c r="BV64" s="34"/>
      <c r="BW64" s="34"/>
      <c r="BX64" s="34"/>
      <c r="BY64" s="34"/>
      <c r="BZ64" s="34"/>
      <c r="CA64" s="37"/>
      <c r="CB64" s="37"/>
      <c r="CC64" s="34"/>
      <c r="CD64" s="43"/>
      <c r="CE64" s="37"/>
      <c r="CF64" s="37"/>
      <c r="CG64" s="37"/>
      <c r="CH64" s="37"/>
      <c r="CI64" s="37"/>
      <c r="CJ64" s="37"/>
      <c r="CK64" s="37"/>
      <c r="CL64" s="34"/>
      <c r="CM64" s="43"/>
      <c r="CN64" s="37"/>
      <c r="CO64" s="37"/>
      <c r="CP64" s="34"/>
      <c r="CQ64" s="37"/>
      <c r="CR64" s="34"/>
      <c r="CS64" s="37"/>
      <c r="CT64" s="34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9"/>
      <c r="EB64" s="39"/>
      <c r="EC64" s="40"/>
    </row>
    <row r="65" spans="1:133">
      <c r="A65" s="44"/>
      <c r="B65" s="45" t="s">
        <v>241</v>
      </c>
      <c r="C65" s="20" t="s">
        <v>242</v>
      </c>
      <c r="D65" s="21" t="s">
        <v>162</v>
      </c>
      <c r="E65" s="21"/>
      <c r="F65" s="22" t="s">
        <v>137</v>
      </c>
      <c r="G65" s="23" t="str" cm="1">
        <f t="array" ref="G65">IFERROR(LOOKUP(2,1/(K65:GC65&lt;&gt;""),K$2:DQL$2),"")</f>
        <v>17-Aug</v>
      </c>
      <c r="H65" s="24" cm="1">
        <f t="array" ref="H65">IFERROR(_xlfn.XLOOKUP(TRUE,P65:ED65&lt;&gt;"",P65:ED65,,,-1)," ")</f>
        <v>20.2</v>
      </c>
      <c r="I65" s="25">
        <v>24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34"/>
      <c r="AF65" s="35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7">
        <v>20.2</v>
      </c>
      <c r="BF65" s="37"/>
      <c r="BG65" s="34"/>
      <c r="BH65" s="37"/>
      <c r="BI65" s="34"/>
      <c r="BJ65" s="34"/>
      <c r="BK65" s="34"/>
      <c r="BL65" s="37"/>
      <c r="BM65" s="37"/>
      <c r="BN65" s="34"/>
      <c r="BO65" s="34"/>
      <c r="BP65" s="34"/>
      <c r="BQ65" s="34"/>
      <c r="BR65" s="34"/>
      <c r="BS65" s="37"/>
      <c r="BT65" s="37"/>
      <c r="BU65" s="34"/>
      <c r="BV65" s="34"/>
      <c r="BW65" s="34"/>
      <c r="BX65" s="34"/>
      <c r="BY65" s="34"/>
      <c r="BZ65" s="34"/>
      <c r="CA65" s="37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43"/>
      <c r="CN65" s="37"/>
      <c r="CO65" s="37"/>
      <c r="CP65" s="34"/>
      <c r="CQ65" s="34"/>
      <c r="CR65" s="34"/>
      <c r="CS65" s="37"/>
      <c r="CT65" s="34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9"/>
      <c r="EB65" s="39"/>
      <c r="EC65" s="40"/>
    </row>
    <row r="66" spans="1:133">
      <c r="A66" s="44"/>
      <c r="B66" s="45" t="s">
        <v>241</v>
      </c>
      <c r="C66" s="20" t="s">
        <v>243</v>
      </c>
      <c r="D66" s="21" t="s">
        <v>162</v>
      </c>
      <c r="E66" s="21"/>
      <c r="F66" s="22" t="s">
        <v>137</v>
      </c>
      <c r="G66" s="23" t="str" cm="1">
        <f t="array" ref="G66">IFERROR(LOOKUP(2,1/(K66:GC66&lt;&gt;""),K$2:DQL$2),"")</f>
        <v/>
      </c>
      <c r="H66" s="24" t="str" cm="1">
        <f t="array" ref="H66">IFERROR(_xlfn.XLOOKUP(TRUE,P66:ED66&lt;&gt;"",P66:ED66,,,-1)," ")</f>
        <v xml:space="preserve"> </v>
      </c>
      <c r="I66" s="25">
        <v>24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34"/>
      <c r="AF66" s="35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7"/>
      <c r="BF66" s="37"/>
      <c r="BG66" s="34"/>
      <c r="BH66" s="37"/>
      <c r="BI66" s="34"/>
      <c r="BJ66" s="34"/>
      <c r="BK66" s="34"/>
      <c r="BL66" s="37"/>
      <c r="BM66" s="37"/>
      <c r="BN66" s="34"/>
      <c r="BO66" s="34"/>
      <c r="BP66" s="34"/>
      <c r="BQ66" s="34"/>
      <c r="BR66" s="34"/>
      <c r="BS66" s="37"/>
      <c r="BT66" s="37"/>
      <c r="BU66" s="34"/>
      <c r="BV66" s="34"/>
      <c r="BW66" s="34"/>
      <c r="BX66" s="34"/>
      <c r="BY66" s="34"/>
      <c r="BZ66" s="34"/>
      <c r="CA66" s="37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43"/>
      <c r="CN66" s="37"/>
      <c r="CO66" s="37"/>
      <c r="CP66" s="34"/>
      <c r="CQ66" s="36"/>
      <c r="CR66" s="34"/>
      <c r="CS66" s="37"/>
      <c r="CT66" s="34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9"/>
      <c r="EB66" s="39"/>
      <c r="EC66" s="40"/>
    </row>
    <row r="67" spans="1:133">
      <c r="A67" s="44"/>
      <c r="B67" s="45" t="s">
        <v>241</v>
      </c>
      <c r="C67" s="20" t="s">
        <v>244</v>
      </c>
      <c r="D67" s="21" t="s">
        <v>162</v>
      </c>
      <c r="E67" s="21"/>
      <c r="F67" s="22" t="s">
        <v>137</v>
      </c>
      <c r="G67" s="23" t="str" cm="1">
        <f t="array" ref="G67">IFERROR(LOOKUP(2,1/(K67:GC67&lt;&gt;""),K$2:DQL$2),"")</f>
        <v/>
      </c>
      <c r="H67" s="24" t="str" cm="1">
        <f t="array" ref="H67">IFERROR(_xlfn.XLOOKUP(TRUE,P67:ED67&lt;&gt;"",P67:ED67,,,-1)," ")</f>
        <v xml:space="preserve"> </v>
      </c>
      <c r="I67" s="25">
        <v>24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34"/>
      <c r="AF67" s="35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7"/>
      <c r="BF67" s="37"/>
      <c r="BG67" s="34"/>
      <c r="BH67" s="37"/>
      <c r="BI67" s="34"/>
      <c r="BJ67" s="34"/>
      <c r="BK67" s="34"/>
      <c r="BL67" s="37"/>
      <c r="BM67" s="37"/>
      <c r="BN67" s="34"/>
      <c r="BO67" s="34"/>
      <c r="BP67" s="34"/>
      <c r="BQ67" s="34"/>
      <c r="BR67" s="34"/>
      <c r="BS67" s="37"/>
      <c r="BT67" s="37"/>
      <c r="BU67" s="34"/>
      <c r="BV67" s="34"/>
      <c r="BW67" s="34"/>
      <c r="BX67" s="34"/>
      <c r="BY67" s="34"/>
      <c r="BZ67" s="34"/>
      <c r="CA67" s="37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43"/>
      <c r="CN67" s="37"/>
      <c r="CO67" s="37"/>
      <c r="CP67" s="34"/>
      <c r="CQ67" s="36"/>
      <c r="CR67" s="34"/>
      <c r="CS67" s="37"/>
      <c r="CT67" s="34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9"/>
      <c r="EB67" s="39"/>
      <c r="EC67" s="40"/>
    </row>
    <row r="68" spans="1:133">
      <c r="A68" s="44"/>
      <c r="B68" s="45" t="s">
        <v>245</v>
      </c>
      <c r="C68" s="20" t="s">
        <v>246</v>
      </c>
      <c r="D68" s="21" t="s">
        <v>162</v>
      </c>
      <c r="E68" s="21"/>
      <c r="F68" s="22" t="s">
        <v>137</v>
      </c>
      <c r="G68" s="23" t="str" cm="1">
        <f t="array" ref="G68">IFERROR(LOOKUP(2,1/(K68:GC68&lt;&gt;""),K$2:DQL$2),"")</f>
        <v>21-Aug</v>
      </c>
      <c r="H68" s="24" cm="1">
        <f t="array" ref="H68">IFERROR(_xlfn.XLOOKUP(TRUE,P68:ED68&lt;&gt;"",P68:ED68,,,-1)," ")</f>
        <v>24.2</v>
      </c>
      <c r="I68" s="25">
        <v>24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34"/>
      <c r="AF68" s="35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7"/>
      <c r="BF68" s="37"/>
      <c r="BG68" s="34"/>
      <c r="BH68" s="37"/>
      <c r="BI68" s="34">
        <v>24.2</v>
      </c>
      <c r="BJ68" s="34"/>
      <c r="BK68" s="34"/>
      <c r="BL68" s="37"/>
      <c r="BM68" s="37"/>
      <c r="BN68" s="34"/>
      <c r="BO68" s="34"/>
      <c r="BP68" s="34"/>
      <c r="BQ68" s="34"/>
      <c r="BR68" s="34"/>
      <c r="BS68" s="37"/>
      <c r="BT68" s="37"/>
      <c r="BU68" s="34"/>
      <c r="BV68" s="34"/>
      <c r="BW68" s="34"/>
      <c r="BX68" s="34"/>
      <c r="BY68" s="34"/>
      <c r="BZ68" s="34"/>
      <c r="CA68" s="37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43"/>
      <c r="CN68" s="37"/>
      <c r="CO68" s="37"/>
      <c r="CP68" s="34"/>
      <c r="CQ68" s="36"/>
      <c r="CR68" s="34"/>
      <c r="CS68" s="37"/>
      <c r="CT68" s="34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8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9"/>
      <c r="EB68" s="39"/>
      <c r="EC68" s="40"/>
    </row>
    <row r="69" spans="1:133">
      <c r="A69" s="44"/>
      <c r="B69" s="22"/>
      <c r="C69" s="20" t="s">
        <v>247</v>
      </c>
      <c r="D69" s="21" t="s">
        <v>162</v>
      </c>
      <c r="E69" s="21"/>
      <c r="F69" s="22" t="s">
        <v>137</v>
      </c>
      <c r="G69" s="23" t="str" cm="1">
        <f t="array" ref="G69">IFERROR(LOOKUP(2,1/(K69:GC69&lt;&gt;""),K$2:DQL$2),"")</f>
        <v/>
      </c>
      <c r="H69" s="24" t="str" cm="1">
        <f t="array" ref="H69">IFERROR(_xlfn.XLOOKUP(TRUE,P69:ED69&lt;&gt;"",P69:ED69,,,-1)," ")</f>
        <v xml:space="preserve"> </v>
      </c>
      <c r="I69" s="25">
        <v>24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7"/>
      <c r="BF69" s="37"/>
      <c r="BG69" s="34"/>
      <c r="BH69" s="34"/>
      <c r="BI69" s="34"/>
      <c r="BJ69" s="34"/>
      <c r="BK69" s="34"/>
      <c r="BL69" s="34"/>
      <c r="BM69" s="37"/>
      <c r="BN69" s="34"/>
      <c r="BO69" s="34"/>
      <c r="BP69" s="34"/>
      <c r="BQ69" s="34"/>
      <c r="BR69" s="34"/>
      <c r="BS69" s="37"/>
      <c r="BT69" s="37"/>
      <c r="BU69" s="34"/>
      <c r="BV69" s="34"/>
      <c r="BW69" s="34"/>
      <c r="BX69" s="37"/>
      <c r="BY69" s="34"/>
      <c r="BZ69" s="36"/>
      <c r="CA69" s="37"/>
      <c r="CB69" s="37"/>
      <c r="CC69" s="34"/>
      <c r="CD69" s="37"/>
      <c r="CE69" s="37"/>
      <c r="CF69" s="37"/>
      <c r="CG69" s="37"/>
      <c r="CH69" s="37"/>
      <c r="CI69" s="37"/>
      <c r="CJ69" s="34"/>
      <c r="CK69" s="37"/>
      <c r="CL69" s="34"/>
      <c r="CM69" s="37"/>
      <c r="CN69" s="37"/>
      <c r="CO69" s="37"/>
      <c r="CP69" s="34"/>
      <c r="CQ69" s="37"/>
      <c r="CR69" s="34"/>
      <c r="CS69" s="37"/>
      <c r="CT69" s="34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9"/>
      <c r="EB69" s="39"/>
      <c r="EC69" s="40"/>
    </row>
    <row r="70" spans="1:133">
      <c r="A70" s="44"/>
      <c r="B70" s="22"/>
      <c r="C70" s="20" t="s">
        <v>248</v>
      </c>
      <c r="D70" s="21" t="s">
        <v>162</v>
      </c>
      <c r="E70" s="21"/>
      <c r="F70" s="22" t="s">
        <v>137</v>
      </c>
      <c r="G70" s="23" t="str" cm="1">
        <f t="array" ref="G70">IFERROR(LOOKUP(2,1/(K70:GC70&lt;&gt;""),K$2:DQL$2),"")</f>
        <v/>
      </c>
      <c r="H70" s="24" t="str" cm="1">
        <f t="array" ref="H70">IFERROR(_xlfn.XLOOKUP(TRUE,P70:ED70&lt;&gt;"",P70:ED70,,,-1)," ")</f>
        <v xml:space="preserve"> </v>
      </c>
      <c r="I70" s="25">
        <v>24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7"/>
      <c r="BF70" s="37"/>
      <c r="BG70" s="34"/>
      <c r="BH70" s="34"/>
      <c r="BI70" s="34"/>
      <c r="BJ70" s="34"/>
      <c r="BK70" s="34"/>
      <c r="BL70" s="34"/>
      <c r="BM70" s="37"/>
      <c r="BN70" s="34"/>
      <c r="BO70" s="34"/>
      <c r="BP70" s="34"/>
      <c r="BQ70" s="34"/>
      <c r="BR70" s="34"/>
      <c r="BS70" s="37"/>
      <c r="BT70" s="37"/>
      <c r="BU70" s="34"/>
      <c r="BV70" s="34"/>
      <c r="BW70" s="34"/>
      <c r="BX70" s="37"/>
      <c r="BY70" s="34"/>
      <c r="BZ70" s="36"/>
      <c r="CA70" s="37"/>
      <c r="CB70" s="37"/>
      <c r="CC70" s="34"/>
      <c r="CD70" s="37"/>
      <c r="CE70" s="37"/>
      <c r="CF70" s="37"/>
      <c r="CG70" s="37"/>
      <c r="CH70" s="37"/>
      <c r="CI70" s="37"/>
      <c r="CJ70" s="34"/>
      <c r="CK70" s="37"/>
      <c r="CL70" s="34"/>
      <c r="CM70" s="37"/>
      <c r="CN70" s="37"/>
      <c r="CO70" s="37"/>
      <c r="CP70" s="34"/>
      <c r="CQ70" s="37"/>
      <c r="CR70" s="34"/>
      <c r="CS70" s="37"/>
      <c r="CT70" s="34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9"/>
      <c r="EB70" s="39"/>
      <c r="EC70" s="40"/>
    </row>
    <row r="71" spans="1:133">
      <c r="A71" s="44"/>
      <c r="B71" s="45" t="s">
        <v>245</v>
      </c>
      <c r="C71" s="20" t="s">
        <v>249</v>
      </c>
      <c r="D71" s="21" t="s">
        <v>162</v>
      </c>
      <c r="E71" s="21"/>
      <c r="F71" s="22" t="s">
        <v>137</v>
      </c>
      <c r="G71" s="23" t="str" cm="1">
        <f t="array" ref="G71">IFERROR(LOOKUP(2,1/(K71:GC71&lt;&gt;""),K$2:DQL$2),"")</f>
        <v>21-Aug</v>
      </c>
      <c r="H71" s="24" cm="1">
        <f t="array" ref="H71">IFERROR(_xlfn.XLOOKUP(TRUE,P71:ED71&lt;&gt;"",P71:ED71,,,-1)," ")</f>
        <v>22.6</v>
      </c>
      <c r="I71" s="25">
        <v>24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34"/>
      <c r="AF71" s="35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>
        <v>21.8</v>
      </c>
      <c r="BC71" s="34"/>
      <c r="BD71" s="34"/>
      <c r="BE71" s="37"/>
      <c r="BF71" s="37"/>
      <c r="BG71" s="34"/>
      <c r="BH71" s="37"/>
      <c r="BI71" s="34">
        <v>22.6</v>
      </c>
      <c r="BJ71" s="34"/>
      <c r="BK71" s="34"/>
      <c r="BL71" s="37"/>
      <c r="BM71" s="37"/>
      <c r="BN71" s="34"/>
      <c r="BO71" s="34"/>
      <c r="BP71" s="34"/>
      <c r="BQ71" s="34"/>
      <c r="BR71" s="34"/>
      <c r="BS71" s="37"/>
      <c r="BT71" s="37"/>
      <c r="BU71" s="34"/>
      <c r="BV71" s="34"/>
      <c r="BW71" s="34"/>
      <c r="BX71" s="34"/>
      <c r="BY71" s="34"/>
      <c r="BZ71" s="34"/>
      <c r="CA71" s="37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43"/>
      <c r="CN71" s="37"/>
      <c r="CO71" s="37"/>
      <c r="CP71" s="34"/>
      <c r="CQ71" s="34"/>
      <c r="CR71" s="34"/>
      <c r="CS71" s="37"/>
      <c r="CT71" s="34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7"/>
      <c r="DV71" s="37"/>
      <c r="DW71" s="37"/>
      <c r="DX71" s="37"/>
      <c r="DY71" s="37"/>
      <c r="DZ71" s="37"/>
      <c r="EA71" s="39"/>
      <c r="EB71" s="39"/>
      <c r="EC71" s="40"/>
    </row>
    <row r="72" spans="1:133">
      <c r="A72" s="44"/>
      <c r="B72" s="45" t="s">
        <v>250</v>
      </c>
      <c r="C72" s="20" t="s">
        <v>251</v>
      </c>
      <c r="D72" s="21" t="s">
        <v>162</v>
      </c>
      <c r="E72" s="21"/>
      <c r="F72" s="22" t="s">
        <v>137</v>
      </c>
      <c r="G72" s="23" t="str" cm="1">
        <f t="array" ref="G72">IFERROR(LOOKUP(2,1/(K72:GC72&lt;&gt;""),K$2:DQL$2),"")</f>
        <v/>
      </c>
      <c r="H72" s="24" t="str" cm="1">
        <f t="array" ref="H72">IFERROR(_xlfn.XLOOKUP(TRUE,P72:ED72&lt;&gt;"",P72:ED72,,,-1)," ")</f>
        <v xml:space="preserve"> </v>
      </c>
      <c r="I72" s="25">
        <v>23.5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34"/>
      <c r="AF72" s="35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7"/>
      <c r="BF72" s="37"/>
      <c r="BG72" s="34"/>
      <c r="BH72" s="37"/>
      <c r="BI72" s="34"/>
      <c r="BJ72" s="34"/>
      <c r="BK72" s="34"/>
      <c r="BL72" s="37"/>
      <c r="BM72" s="37"/>
      <c r="BN72" s="34"/>
      <c r="BO72" s="34"/>
      <c r="BP72" s="34"/>
      <c r="BQ72" s="34"/>
      <c r="BR72" s="34"/>
      <c r="BS72" s="37"/>
      <c r="BT72" s="37"/>
      <c r="BU72" s="34"/>
      <c r="BV72" s="34"/>
      <c r="BW72" s="34"/>
      <c r="BX72" s="34"/>
      <c r="BY72" s="34"/>
      <c r="BZ72" s="34"/>
      <c r="CA72" s="37"/>
      <c r="CB72" s="34"/>
      <c r="CC72" s="39"/>
      <c r="CD72" s="34"/>
      <c r="CE72" s="34"/>
      <c r="CF72" s="34"/>
      <c r="CG72" s="34"/>
      <c r="CH72" s="34"/>
      <c r="CI72" s="34"/>
      <c r="CJ72" s="34"/>
      <c r="CK72" s="34"/>
      <c r="CL72" s="34"/>
      <c r="CM72" s="43"/>
      <c r="CN72" s="37"/>
      <c r="CO72" s="37"/>
      <c r="CP72" s="34"/>
      <c r="CQ72" s="34"/>
      <c r="CR72" s="34"/>
      <c r="CS72" s="37"/>
      <c r="CT72" s="34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9"/>
      <c r="EB72" s="39"/>
      <c r="EC72" s="40"/>
    </row>
    <row r="73" spans="1:133">
      <c r="A73" s="44"/>
      <c r="B73" s="45" t="s">
        <v>252</v>
      </c>
      <c r="C73" s="20" t="s">
        <v>253</v>
      </c>
      <c r="D73" s="21" t="s">
        <v>162</v>
      </c>
      <c r="E73" s="21"/>
      <c r="F73" s="22" t="s">
        <v>137</v>
      </c>
      <c r="G73" s="23" t="str" cm="1">
        <f t="array" ref="G73">IFERROR(LOOKUP(2,1/(K73:GC73&lt;&gt;""),K$2:DQL$2),"")</f>
        <v>12-Aug</v>
      </c>
      <c r="H73" s="24" cm="1">
        <f t="array" ref="H73">IFERROR(_xlfn.XLOOKUP(TRUE,P73:ED73&lt;&gt;"",P73:ED73,,,-1)," ")</f>
        <v>21.2</v>
      </c>
      <c r="I73" s="25">
        <v>24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34"/>
      <c r="AF73" s="35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>
        <v>21.2</v>
      </c>
      <c r="BA73" s="34"/>
      <c r="BB73" s="34"/>
      <c r="BC73" s="34"/>
      <c r="BD73" s="34"/>
      <c r="BE73" s="37"/>
      <c r="BF73" s="37"/>
      <c r="BG73" s="34"/>
      <c r="BH73" s="37"/>
      <c r="BI73" s="34"/>
      <c r="BJ73" s="34"/>
      <c r="BK73" s="34"/>
      <c r="BL73" s="37"/>
      <c r="BM73" s="37"/>
      <c r="BN73" s="34"/>
      <c r="BO73" s="34"/>
      <c r="BP73" s="34"/>
      <c r="BQ73" s="34"/>
      <c r="BR73" s="34"/>
      <c r="BS73" s="37"/>
      <c r="BT73" s="37"/>
      <c r="BU73" s="34"/>
      <c r="BV73" s="34"/>
      <c r="BW73" s="34"/>
      <c r="BX73" s="34"/>
      <c r="BY73" s="34"/>
      <c r="BZ73" s="34"/>
      <c r="CA73" s="37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43"/>
      <c r="CN73" s="37"/>
      <c r="CO73" s="37"/>
      <c r="CP73" s="34"/>
      <c r="CQ73" s="34"/>
      <c r="CR73" s="34"/>
      <c r="CS73" s="37"/>
      <c r="CT73" s="34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9"/>
      <c r="EB73" s="39"/>
      <c r="EC73" s="40"/>
    </row>
    <row r="74" spans="1:133">
      <c r="A74" s="44"/>
      <c r="B74" s="45" t="s">
        <v>252</v>
      </c>
      <c r="C74" s="20" t="s">
        <v>254</v>
      </c>
      <c r="D74" s="21" t="s">
        <v>162</v>
      </c>
      <c r="E74" s="21"/>
      <c r="F74" s="22" t="s">
        <v>137</v>
      </c>
      <c r="G74" s="23" t="str" cm="1">
        <f t="array" ref="G74">IFERROR(LOOKUP(2,1/(K74:GC74&lt;&gt;""),K$2:DQL$2),"")</f>
        <v>21-Aug</v>
      </c>
      <c r="H74" s="24" cm="1">
        <f t="array" ref="H74">IFERROR(_xlfn.XLOOKUP(TRUE,P74:ED74&lt;&gt;"",P74:ED74,,,-1)," ")</f>
        <v>24</v>
      </c>
      <c r="I74" s="25">
        <v>24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34"/>
      <c r="AF74" s="35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7"/>
      <c r="BF74" s="37"/>
      <c r="BG74" s="34"/>
      <c r="BH74" s="37"/>
      <c r="BI74" s="34">
        <v>24</v>
      </c>
      <c r="BJ74" s="34"/>
      <c r="BK74" s="34"/>
      <c r="BL74" s="37"/>
      <c r="BM74" s="37"/>
      <c r="BN74" s="34"/>
      <c r="BO74" s="34"/>
      <c r="BP74" s="34"/>
      <c r="BQ74" s="34"/>
      <c r="BR74" s="34"/>
      <c r="BS74" s="37"/>
      <c r="BT74" s="37"/>
      <c r="BU74" s="34"/>
      <c r="BV74" s="34"/>
      <c r="BW74" s="34"/>
      <c r="BX74" s="34"/>
      <c r="BY74" s="34"/>
      <c r="BZ74" s="34"/>
      <c r="CA74" s="37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43"/>
      <c r="CN74" s="37"/>
      <c r="CO74" s="37"/>
      <c r="CP74" s="34"/>
      <c r="CQ74" s="34"/>
      <c r="CR74" s="34"/>
      <c r="CS74" s="34"/>
      <c r="CT74" s="34"/>
      <c r="CU74" s="37"/>
      <c r="CV74" s="37"/>
      <c r="CW74" s="34"/>
      <c r="CX74" s="34"/>
      <c r="CY74" s="34"/>
      <c r="CZ74" s="34"/>
      <c r="DA74" s="37"/>
      <c r="DB74" s="37"/>
      <c r="DC74" s="37"/>
      <c r="DD74" s="34"/>
      <c r="DE74" s="36"/>
      <c r="DF74" s="37"/>
      <c r="DG74" s="37"/>
      <c r="DH74" s="37"/>
      <c r="DI74" s="37"/>
      <c r="DJ74" s="37"/>
      <c r="DK74" s="37"/>
      <c r="DL74" s="37"/>
      <c r="DM74" s="37"/>
      <c r="DN74" s="38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9"/>
      <c r="EB74" s="39"/>
      <c r="EC74" s="40"/>
    </row>
    <row r="75" spans="1:133">
      <c r="A75" s="44"/>
      <c r="B75" s="45" t="s">
        <v>252</v>
      </c>
      <c r="C75" s="20" t="s">
        <v>255</v>
      </c>
      <c r="D75" s="21" t="s">
        <v>162</v>
      </c>
      <c r="E75" s="21"/>
      <c r="F75" s="22" t="s">
        <v>137</v>
      </c>
      <c r="G75" s="23" t="str" cm="1">
        <f t="array" ref="G75">IFERROR(LOOKUP(2,1/(K75:GC75&lt;&gt;""),K$2:DQL$2),"")</f>
        <v>21-Aug</v>
      </c>
      <c r="H75" s="24" cm="1">
        <f t="array" ref="H75">IFERROR(_xlfn.XLOOKUP(TRUE,P75:ED75&lt;&gt;"",P75:ED75,,,-1)," ")</f>
        <v>24.1</v>
      </c>
      <c r="I75" s="25">
        <v>24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34"/>
      <c r="AF75" s="35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7"/>
      <c r="BF75" s="37"/>
      <c r="BG75" s="34"/>
      <c r="BH75" s="37"/>
      <c r="BI75" s="34">
        <v>24.1</v>
      </c>
      <c r="BJ75" s="34"/>
      <c r="BK75" s="34"/>
      <c r="BL75" s="37"/>
      <c r="BM75" s="37"/>
      <c r="BN75" s="34"/>
      <c r="BO75" s="34"/>
      <c r="BP75" s="34"/>
      <c r="BQ75" s="34"/>
      <c r="BR75" s="34"/>
      <c r="BS75" s="37"/>
      <c r="BT75" s="37"/>
      <c r="BU75" s="34"/>
      <c r="BV75" s="34"/>
      <c r="BW75" s="34"/>
      <c r="BX75" s="34"/>
      <c r="BY75" s="34"/>
      <c r="BZ75" s="34"/>
      <c r="CA75" s="37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43"/>
      <c r="CN75" s="37"/>
      <c r="CO75" s="37"/>
      <c r="CP75" s="34"/>
      <c r="CQ75" s="34"/>
      <c r="CR75" s="34"/>
      <c r="CS75" s="34"/>
      <c r="CT75" s="42"/>
      <c r="CU75" s="37"/>
      <c r="CV75" s="37"/>
      <c r="CW75" s="34"/>
      <c r="CX75" s="34"/>
      <c r="CY75" s="34"/>
      <c r="CZ75" s="34"/>
      <c r="DA75" s="37"/>
      <c r="DB75" s="37"/>
      <c r="DC75" s="37"/>
      <c r="DD75" s="34"/>
      <c r="DE75" s="36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9"/>
      <c r="EB75" s="39"/>
      <c r="EC75" s="40"/>
    </row>
    <row r="76" spans="1:133">
      <c r="A76" s="44"/>
      <c r="B76" s="22"/>
      <c r="C76" s="20" t="s">
        <v>256</v>
      </c>
      <c r="D76" s="21" t="s">
        <v>162</v>
      </c>
      <c r="E76" s="21"/>
      <c r="F76" s="22"/>
      <c r="G76" s="23" t="str" cm="1">
        <f t="array" ref="G76">IFERROR(LOOKUP(2,1/(K76:GC76&lt;&gt;""),K$2:DQL$2),"")</f>
        <v/>
      </c>
      <c r="H76" s="24" t="str" cm="1">
        <f t="array" ref="H76">IFERROR(_xlfn.XLOOKUP(TRUE,P76:ED76&lt;&gt;"",P76:ED76,,,-1)," ")</f>
        <v xml:space="preserve"> </v>
      </c>
      <c r="I76" s="25">
        <v>24</v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7"/>
      <c r="BF76" s="37"/>
      <c r="BG76" s="34"/>
      <c r="BH76" s="34"/>
      <c r="BI76" s="34"/>
      <c r="BJ76" s="34"/>
      <c r="BK76" s="34"/>
      <c r="BL76" s="34"/>
      <c r="BM76" s="37"/>
      <c r="BN76" s="34"/>
      <c r="BO76" s="34"/>
      <c r="BP76" s="34"/>
      <c r="BQ76" s="34"/>
      <c r="BR76" s="34"/>
      <c r="BS76" s="37"/>
      <c r="BT76" s="37"/>
      <c r="BU76" s="34"/>
      <c r="BV76" s="34"/>
      <c r="BW76" s="34"/>
      <c r="BX76" s="37"/>
      <c r="BY76" s="34"/>
      <c r="BZ76" s="34"/>
      <c r="CA76" s="37"/>
      <c r="CB76" s="37"/>
      <c r="CC76" s="34"/>
      <c r="CD76" s="37"/>
      <c r="CE76" s="37"/>
      <c r="CF76" s="37"/>
      <c r="CG76" s="37"/>
      <c r="CH76" s="37"/>
      <c r="CI76" s="37"/>
      <c r="CJ76" s="34"/>
      <c r="CK76" s="37"/>
      <c r="CL76" s="34"/>
      <c r="CM76" s="37"/>
      <c r="CN76" s="37"/>
      <c r="CO76" s="37"/>
      <c r="CP76" s="34"/>
      <c r="CQ76" s="37"/>
      <c r="CR76" s="34"/>
      <c r="CS76" s="37"/>
      <c r="CT76" s="34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9"/>
      <c r="EB76" s="39"/>
      <c r="EC76" s="40"/>
    </row>
    <row r="77" spans="1:133">
      <c r="A77" s="44"/>
      <c r="B77" s="45" t="s">
        <v>257</v>
      </c>
      <c r="C77" s="20" t="s">
        <v>258</v>
      </c>
      <c r="D77" s="21" t="s">
        <v>162</v>
      </c>
      <c r="E77" s="21"/>
      <c r="F77" s="22" t="s">
        <v>198</v>
      </c>
      <c r="G77" s="23" t="str" cm="1">
        <f t="array" ref="G77">IFERROR(LOOKUP(2,1/(K77:GC77&lt;&gt;""),K$2:DQL$2),"")</f>
        <v>18-Aug</v>
      </c>
      <c r="H77" s="24" cm="1">
        <f t="array" ref="H77">IFERROR(_xlfn.XLOOKUP(TRUE,P77:ED77&lt;&gt;"",P77:ED77,,,-1)," ")</f>
        <v>20.2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34"/>
      <c r="AF77" s="35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7"/>
      <c r="BF77" s="37">
        <v>20.2</v>
      </c>
      <c r="BG77" s="34"/>
      <c r="BH77" s="37"/>
      <c r="BI77" s="34"/>
      <c r="BJ77" s="34"/>
      <c r="BK77" s="34"/>
      <c r="BL77" s="37"/>
      <c r="BM77" s="37"/>
      <c r="BN77" s="34"/>
      <c r="BO77" s="34"/>
      <c r="BP77" s="34"/>
      <c r="BQ77" s="34"/>
      <c r="BR77" s="34"/>
      <c r="BS77" s="37"/>
      <c r="BT77" s="37"/>
      <c r="BU77" s="34"/>
      <c r="BV77" s="34"/>
      <c r="BW77" s="34"/>
      <c r="BX77" s="34"/>
      <c r="BY77" s="34"/>
      <c r="BZ77" s="34"/>
      <c r="CA77" s="37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43"/>
      <c r="CN77" s="37"/>
      <c r="CO77" s="37"/>
      <c r="CP77" s="34"/>
      <c r="CQ77" s="37"/>
      <c r="CR77" s="34"/>
      <c r="CS77" s="37"/>
      <c r="CT77" s="34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9"/>
      <c r="EB77" s="39"/>
      <c r="EC77" s="40"/>
    </row>
    <row r="78" spans="1:133">
      <c r="A78" s="44"/>
      <c r="B78" s="45" t="s">
        <v>259</v>
      </c>
      <c r="C78" s="20" t="s">
        <v>260</v>
      </c>
      <c r="D78" s="21" t="s">
        <v>162</v>
      </c>
      <c r="E78" s="21"/>
      <c r="F78" s="22" t="s">
        <v>261</v>
      </c>
      <c r="G78" s="23" t="str" cm="1">
        <f t="array" ref="G78">IFERROR(LOOKUP(2,1/(K78:GC78&lt;&gt;""),K$2:DQL$2),"")</f>
        <v>20-Aug</v>
      </c>
      <c r="H78" s="24" cm="1">
        <f t="array" ref="H78">IFERROR(_xlfn.XLOOKUP(TRUE,P78:ED78&lt;&gt;"",P78:ED78,,,-1)," ")</f>
        <v>23</v>
      </c>
      <c r="I78" s="25">
        <v>23.5</v>
      </c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34"/>
      <c r="AF78" s="35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7"/>
      <c r="BF78" s="37"/>
      <c r="BG78" s="34"/>
      <c r="BH78" s="37">
        <v>23</v>
      </c>
      <c r="BI78" s="34"/>
      <c r="BJ78" s="34"/>
      <c r="BK78" s="42"/>
      <c r="BL78" s="37"/>
      <c r="BM78" s="37"/>
      <c r="BN78" s="34"/>
      <c r="BO78" s="34"/>
      <c r="BP78" s="34"/>
      <c r="BQ78" s="34"/>
      <c r="BR78" s="34"/>
      <c r="BS78" s="37"/>
      <c r="BT78" s="42"/>
      <c r="BU78" s="34"/>
      <c r="BV78" s="34"/>
      <c r="BW78" s="34"/>
      <c r="BX78" s="34"/>
      <c r="BY78" s="34"/>
      <c r="BZ78" s="34"/>
      <c r="CA78" s="37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43"/>
      <c r="CN78" s="37"/>
      <c r="CO78" s="37"/>
      <c r="CP78" s="34"/>
      <c r="CQ78" s="34"/>
      <c r="CR78" s="34"/>
      <c r="CS78" s="34"/>
      <c r="CT78" s="34"/>
      <c r="CU78" s="37"/>
      <c r="CV78" s="37"/>
      <c r="CW78" s="34"/>
      <c r="CX78" s="34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9"/>
      <c r="EB78" s="39"/>
      <c r="EC78" s="40"/>
    </row>
    <row r="79" spans="1:133">
      <c r="A79" s="44"/>
      <c r="B79" s="45" t="s">
        <v>262</v>
      </c>
      <c r="C79" s="20" t="s">
        <v>263</v>
      </c>
      <c r="D79" s="21" t="s">
        <v>162</v>
      </c>
      <c r="E79" s="21"/>
      <c r="F79" s="22" t="s">
        <v>261</v>
      </c>
      <c r="G79" s="23" t="str" cm="1">
        <f t="array" ref="G79">IFERROR(LOOKUP(2,1/(K79:GC79&lt;&gt;""),K$2:DQL$2),"")</f>
        <v>20-Aug</v>
      </c>
      <c r="H79" s="24" cm="1">
        <f t="array" ref="H79">IFERROR(_xlfn.XLOOKUP(TRUE,P79:ED79&lt;&gt;"",P79:ED79,,,-1)," ")</f>
        <v>23.1</v>
      </c>
      <c r="I79" s="25">
        <v>23.5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34"/>
      <c r="AF79" s="35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7"/>
      <c r="BF79" s="37"/>
      <c r="BG79" s="34"/>
      <c r="BH79" s="37">
        <v>23.1</v>
      </c>
      <c r="BI79" s="34"/>
      <c r="BJ79" s="34"/>
      <c r="BK79" s="42"/>
      <c r="BL79" s="37"/>
      <c r="BM79" s="37"/>
      <c r="BN79" s="34"/>
      <c r="BO79" s="34"/>
      <c r="BP79" s="34"/>
      <c r="BQ79" s="34"/>
      <c r="BR79" s="34"/>
      <c r="BS79" s="37"/>
      <c r="BT79" s="42"/>
      <c r="BU79" s="34"/>
      <c r="BV79" s="34"/>
      <c r="BW79" s="34"/>
      <c r="BX79" s="34"/>
      <c r="BY79" s="34"/>
      <c r="BZ79" s="34"/>
      <c r="CA79" s="37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43"/>
      <c r="CN79" s="37"/>
      <c r="CO79" s="37"/>
      <c r="CP79" s="34"/>
      <c r="CQ79" s="34"/>
      <c r="CR79" s="34"/>
      <c r="CS79" s="34"/>
      <c r="CT79" s="34"/>
      <c r="CU79" s="37"/>
      <c r="CV79" s="37"/>
      <c r="CW79" s="34"/>
      <c r="CX79" s="34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9"/>
      <c r="EB79" s="39"/>
      <c r="EC79" s="40"/>
    </row>
    <row r="80" spans="1:133">
      <c r="A80" s="44"/>
      <c r="B80" s="45" t="s">
        <v>264</v>
      </c>
      <c r="C80" s="20" t="s">
        <v>265</v>
      </c>
      <c r="D80" s="21" t="s">
        <v>162</v>
      </c>
      <c r="E80" s="21"/>
      <c r="F80" s="22" t="s">
        <v>261</v>
      </c>
      <c r="G80" s="23" t="str" cm="1">
        <f t="array" ref="G80">IFERROR(LOOKUP(2,1/(K80:GC80&lt;&gt;""),K$2:DQL$2),"")</f>
        <v/>
      </c>
      <c r="H80" s="24" t="str" cm="1">
        <f t="array" ref="H80">IFERROR(_xlfn.XLOOKUP(TRUE,P80:ED80&lt;&gt;"",P80:ED80,,,-1)," ")</f>
        <v xml:space="preserve"> </v>
      </c>
      <c r="I80" s="25">
        <v>23.5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34"/>
      <c r="AF80" s="35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7"/>
      <c r="BF80" s="37"/>
      <c r="BG80" s="34"/>
      <c r="BH80" s="37"/>
      <c r="BI80" s="34"/>
      <c r="BJ80" s="34"/>
      <c r="BK80" s="42"/>
      <c r="BL80" s="37"/>
      <c r="BM80" s="37"/>
      <c r="BN80" s="34"/>
      <c r="BO80" s="34"/>
      <c r="BP80" s="34"/>
      <c r="BQ80" s="34"/>
      <c r="BR80" s="34"/>
      <c r="BS80" s="37"/>
      <c r="BT80" s="42"/>
      <c r="BU80" s="34"/>
      <c r="BV80" s="34"/>
      <c r="BW80" s="34"/>
      <c r="BX80" s="34"/>
      <c r="BY80" s="34"/>
      <c r="BZ80" s="34"/>
      <c r="CA80" s="37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43"/>
      <c r="CN80" s="37"/>
      <c r="CO80" s="37"/>
      <c r="CP80" s="34"/>
      <c r="CQ80" s="34"/>
      <c r="CR80" s="34"/>
      <c r="CS80" s="34"/>
      <c r="CT80" s="34"/>
      <c r="CU80" s="37"/>
      <c r="CV80" s="37"/>
      <c r="CW80" s="34"/>
      <c r="CX80" s="34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9"/>
      <c r="EB80" s="39"/>
      <c r="EC80" s="40"/>
    </row>
    <row r="81" spans="1:133">
      <c r="A81" s="44"/>
      <c r="B81" s="22"/>
      <c r="C81" s="20" t="s">
        <v>266</v>
      </c>
      <c r="D81" s="21" t="s">
        <v>162</v>
      </c>
      <c r="E81" s="22"/>
      <c r="F81" s="22" t="s">
        <v>261</v>
      </c>
      <c r="G81" s="23" t="str" cm="1">
        <f t="array" ref="G81">IFERROR(LOOKUP(2,1/(K81:GC81&lt;&gt;""),K$2:DQL$2),"")</f>
        <v>21-Aug</v>
      </c>
      <c r="H81" s="24" cm="1">
        <f t="array" ref="H81">IFERROR(_xlfn.XLOOKUP(TRUE,P81:ED81&lt;&gt;"",P81:ED81,,,-1)," ")</f>
        <v>24.2</v>
      </c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7"/>
      <c r="BF81" s="37"/>
      <c r="BG81" s="34"/>
      <c r="BH81" s="34"/>
      <c r="BI81" s="34">
        <v>24.2</v>
      </c>
      <c r="BJ81" s="34"/>
      <c r="BK81" s="34"/>
      <c r="BL81" s="34"/>
      <c r="BM81" s="37"/>
      <c r="BN81" s="34"/>
      <c r="BO81" s="34"/>
      <c r="BP81" s="34"/>
      <c r="BQ81" s="34"/>
      <c r="BR81" s="34"/>
      <c r="BS81" s="37"/>
      <c r="BT81" s="37"/>
      <c r="BU81" s="34"/>
      <c r="BV81" s="34"/>
      <c r="BW81" s="34"/>
      <c r="BX81" s="37"/>
      <c r="BY81" s="34"/>
      <c r="BZ81" s="36"/>
      <c r="CA81" s="37"/>
      <c r="CB81" s="37"/>
      <c r="CC81" s="34"/>
      <c r="CD81" s="37"/>
      <c r="CE81" s="37"/>
      <c r="CF81" s="37"/>
      <c r="CG81" s="37"/>
      <c r="CH81" s="37"/>
      <c r="CI81" s="37"/>
      <c r="CJ81" s="34"/>
      <c r="CK81" s="37"/>
      <c r="CL81" s="34"/>
      <c r="CM81" s="37"/>
      <c r="CN81" s="37"/>
      <c r="CO81" s="37"/>
      <c r="CP81" s="34"/>
      <c r="CQ81" s="37"/>
      <c r="CR81" s="34"/>
      <c r="CS81" s="37"/>
      <c r="CT81" s="34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9"/>
      <c r="EB81" s="39"/>
      <c r="EC81" s="40"/>
    </row>
    <row r="82" spans="1:133">
      <c r="A82" s="44"/>
      <c r="B82" s="22"/>
      <c r="C82" s="20" t="s">
        <v>267</v>
      </c>
      <c r="D82" s="21" t="s">
        <v>162</v>
      </c>
      <c r="E82" s="21"/>
      <c r="F82" s="22" t="s">
        <v>261</v>
      </c>
      <c r="G82" s="23" t="str" cm="1">
        <f t="array" ref="G82">IFERROR(LOOKUP(2,1/(K82:GC82&lt;&gt;""),K$2:DQL$2),"")</f>
        <v>21-Aug</v>
      </c>
      <c r="H82" s="24" cm="1">
        <f t="array" ref="H82">IFERROR(_xlfn.XLOOKUP(TRUE,P82:ED82&lt;&gt;"",P82:ED82,,,-1)," ")</f>
        <v>24.4</v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7"/>
      <c r="BF82" s="37"/>
      <c r="BG82" s="34"/>
      <c r="BH82" s="34"/>
      <c r="BI82" s="34">
        <v>24.4</v>
      </c>
      <c r="BJ82" s="34"/>
      <c r="BK82" s="34"/>
      <c r="BL82" s="34"/>
      <c r="BM82" s="37"/>
      <c r="BN82" s="34"/>
      <c r="BO82" s="34"/>
      <c r="BP82" s="34"/>
      <c r="BQ82" s="34"/>
      <c r="BR82" s="34"/>
      <c r="BS82" s="37"/>
      <c r="BT82" s="37"/>
      <c r="BU82" s="34"/>
      <c r="BV82" s="34"/>
      <c r="BW82" s="34"/>
      <c r="BX82" s="37"/>
      <c r="BY82" s="34"/>
      <c r="BZ82" s="36"/>
      <c r="CA82" s="37"/>
      <c r="CB82" s="37"/>
      <c r="CC82" s="34"/>
      <c r="CD82" s="37"/>
      <c r="CE82" s="37"/>
      <c r="CF82" s="37"/>
      <c r="CG82" s="37"/>
      <c r="CH82" s="37"/>
      <c r="CI82" s="37"/>
      <c r="CJ82" s="34"/>
      <c r="CK82" s="37"/>
      <c r="CL82" s="34"/>
      <c r="CM82" s="37"/>
      <c r="CN82" s="37"/>
      <c r="CO82" s="37"/>
      <c r="CP82" s="34"/>
      <c r="CQ82" s="37"/>
      <c r="CR82" s="34"/>
      <c r="CS82" s="37"/>
      <c r="CT82" s="34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9"/>
      <c r="EB82" s="39"/>
      <c r="EC82" s="40"/>
    </row>
    <row r="83" spans="1:133">
      <c r="A83" s="44"/>
      <c r="B83" s="45" t="s">
        <v>268</v>
      </c>
      <c r="C83" s="20" t="s">
        <v>269</v>
      </c>
      <c r="D83" s="21" t="s">
        <v>162</v>
      </c>
      <c r="E83" s="21"/>
      <c r="F83" s="22" t="s">
        <v>261</v>
      </c>
      <c r="G83" s="23" t="str" cm="1">
        <f t="array" ref="G83">IFERROR(LOOKUP(2,1/(K83:GC83&lt;&gt;""),K$2:DQL$2),"")</f>
        <v>20-Aug</v>
      </c>
      <c r="H83" s="24" cm="1">
        <f t="array" ref="H83">IFERROR(_xlfn.XLOOKUP(TRUE,P83:ED83&lt;&gt;"",P83:ED83,,,-1)," ")</f>
        <v>23.4</v>
      </c>
      <c r="I83" s="25">
        <v>23.5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34"/>
      <c r="AF83" s="35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7"/>
      <c r="BF83" s="37"/>
      <c r="BG83" s="34"/>
      <c r="BH83" s="37">
        <v>23.4</v>
      </c>
      <c r="BI83" s="34"/>
      <c r="BJ83" s="34"/>
      <c r="BK83" s="42"/>
      <c r="BL83" s="37"/>
      <c r="BM83" s="37"/>
      <c r="BN83" s="34"/>
      <c r="BO83" s="34"/>
      <c r="BP83" s="34"/>
      <c r="BQ83" s="34"/>
      <c r="BR83" s="34"/>
      <c r="BS83" s="37"/>
      <c r="BT83" s="42"/>
      <c r="BU83" s="34"/>
      <c r="BV83" s="34"/>
      <c r="BW83" s="34"/>
      <c r="BX83" s="34"/>
      <c r="BY83" s="34"/>
      <c r="BZ83" s="34"/>
      <c r="CA83" s="37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43"/>
      <c r="CN83" s="37"/>
      <c r="CO83" s="37"/>
      <c r="CP83" s="34"/>
      <c r="CQ83" s="34"/>
      <c r="CR83" s="34"/>
      <c r="CS83" s="34"/>
      <c r="CT83" s="34"/>
      <c r="CU83" s="37"/>
      <c r="CV83" s="37"/>
      <c r="CW83" s="34"/>
      <c r="CX83" s="34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9"/>
      <c r="EB83" s="39"/>
      <c r="EC83" s="40"/>
    </row>
    <row r="84" spans="1:133">
      <c r="A84" s="44"/>
      <c r="B84" s="45" t="s">
        <v>270</v>
      </c>
      <c r="C84" s="20" t="s">
        <v>271</v>
      </c>
      <c r="D84" s="21" t="s">
        <v>162</v>
      </c>
      <c r="E84" s="21"/>
      <c r="F84" s="22" t="s">
        <v>261</v>
      </c>
      <c r="G84" s="23" t="str" cm="1">
        <f t="array" ref="G84">IFERROR(LOOKUP(2,1/(K84:GC84&lt;&gt;""),K$2:DQL$2),"")</f>
        <v>20-Aug</v>
      </c>
      <c r="H84" s="24" cm="1">
        <f t="array" ref="H84">IFERROR(_xlfn.XLOOKUP(TRUE,P84:ED84&lt;&gt;"",P84:ED84,,,-1)," ")</f>
        <v>23</v>
      </c>
      <c r="I84" s="25">
        <v>23.5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34"/>
      <c r="AF84" s="35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7"/>
      <c r="BF84" s="37"/>
      <c r="BG84" s="34"/>
      <c r="BH84" s="37">
        <v>23</v>
      </c>
      <c r="BI84" s="34"/>
      <c r="BJ84" s="34"/>
      <c r="BK84" s="42"/>
      <c r="BL84" s="37"/>
      <c r="BM84" s="37"/>
      <c r="BN84" s="34"/>
      <c r="BO84" s="34"/>
      <c r="BP84" s="34"/>
      <c r="BQ84" s="34"/>
      <c r="BR84" s="34"/>
      <c r="BS84" s="37"/>
      <c r="BT84" s="42"/>
      <c r="BU84" s="34"/>
      <c r="BV84" s="34"/>
      <c r="BW84" s="34"/>
      <c r="BX84" s="34"/>
      <c r="BY84" s="34"/>
      <c r="BZ84" s="34"/>
      <c r="CA84" s="37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43"/>
      <c r="CN84" s="37"/>
      <c r="CO84" s="37"/>
      <c r="CP84" s="34"/>
      <c r="CQ84" s="34"/>
      <c r="CR84" s="34"/>
      <c r="CS84" s="34"/>
      <c r="CT84" s="34"/>
      <c r="CU84" s="37"/>
      <c r="CV84" s="37"/>
      <c r="CW84" s="34"/>
      <c r="CX84" s="34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9"/>
      <c r="EB84" s="39"/>
      <c r="EC84" s="40"/>
    </row>
    <row r="85" spans="1:133">
      <c r="A85" s="44"/>
      <c r="B85" s="45" t="s">
        <v>272</v>
      </c>
      <c r="C85" s="20" t="s">
        <v>273</v>
      </c>
      <c r="D85" s="21" t="s">
        <v>162</v>
      </c>
      <c r="E85" s="21"/>
      <c r="F85" s="22"/>
      <c r="G85" s="23" t="str" cm="1">
        <f t="array" ref="G85">IFERROR(LOOKUP(2,1/(K85:GC85&lt;&gt;""),K$2:DQL$2),"")</f>
        <v/>
      </c>
      <c r="H85" s="24" t="str" cm="1">
        <f t="array" ref="H85">IFERROR(_xlfn.XLOOKUP(TRUE,P85:ED85&lt;&gt;"",P85:ED85,,,-1)," ")</f>
        <v xml:space="preserve"> </v>
      </c>
      <c r="I85" s="25">
        <v>23.5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34"/>
      <c r="AF85" s="35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7"/>
      <c r="BF85" s="37"/>
      <c r="BG85" s="34"/>
      <c r="BH85" s="37"/>
      <c r="BI85" s="34"/>
      <c r="BJ85" s="34"/>
      <c r="BK85" s="42"/>
      <c r="BL85" s="37"/>
      <c r="BM85" s="37"/>
      <c r="BN85" s="34"/>
      <c r="BO85" s="34"/>
      <c r="BP85" s="34"/>
      <c r="BQ85" s="34"/>
      <c r="BR85" s="34"/>
      <c r="BS85" s="37"/>
      <c r="BT85" s="42"/>
      <c r="BU85" s="34"/>
      <c r="BV85" s="34"/>
      <c r="BW85" s="34"/>
      <c r="BX85" s="34"/>
      <c r="BY85" s="34"/>
      <c r="BZ85" s="34"/>
      <c r="CA85" s="37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43"/>
      <c r="CN85" s="37"/>
      <c r="CO85" s="37"/>
      <c r="CP85" s="34"/>
      <c r="CQ85" s="34"/>
      <c r="CR85" s="34"/>
      <c r="CS85" s="34"/>
      <c r="CT85" s="34"/>
      <c r="CU85" s="37"/>
      <c r="CV85" s="37"/>
      <c r="CW85" s="34"/>
      <c r="CX85" s="34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9"/>
      <c r="EB85" s="39"/>
      <c r="EC85" s="40"/>
    </row>
    <row r="86" spans="1:133">
      <c r="A86" s="44"/>
      <c r="B86" s="45" t="s">
        <v>274</v>
      </c>
      <c r="C86" s="20" t="s">
        <v>275</v>
      </c>
      <c r="D86" s="21" t="s">
        <v>162</v>
      </c>
      <c r="E86" s="21"/>
      <c r="F86" s="22"/>
      <c r="G86" s="23" t="str" cm="1">
        <f t="array" ref="G86">IFERROR(LOOKUP(2,1/(K86:GC86&lt;&gt;""),K$2:DQL$2),"")</f>
        <v/>
      </c>
      <c r="H86" s="24" t="str" cm="1">
        <f t="array" ref="H86">IFERROR(_xlfn.XLOOKUP(TRUE,P86:ED86&lt;&gt;"",P86:ED86,,,-1)," ")</f>
        <v xml:space="preserve"> </v>
      </c>
      <c r="I86" s="25">
        <v>24</v>
      </c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34"/>
      <c r="AF86" s="35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7"/>
      <c r="BF86" s="37"/>
      <c r="BG86" s="34"/>
      <c r="BH86" s="37"/>
      <c r="BI86" s="34"/>
      <c r="BJ86" s="34"/>
      <c r="BK86" s="34"/>
      <c r="BL86" s="37"/>
      <c r="BM86" s="37"/>
      <c r="BN86" s="34"/>
      <c r="BO86" s="34"/>
      <c r="BP86" s="34"/>
      <c r="BQ86" s="34"/>
      <c r="BR86" s="34"/>
      <c r="BS86" s="37"/>
      <c r="BT86" s="37"/>
      <c r="BU86" s="34"/>
      <c r="BV86" s="34"/>
      <c r="BW86" s="34"/>
      <c r="BX86" s="34"/>
      <c r="BY86" s="34"/>
      <c r="BZ86" s="34"/>
      <c r="CA86" s="37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43"/>
      <c r="CN86" s="37"/>
      <c r="CO86" s="37"/>
      <c r="CP86" s="34"/>
      <c r="CQ86" s="37"/>
      <c r="CR86" s="34"/>
      <c r="CS86" s="37"/>
      <c r="CT86" s="34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9"/>
      <c r="EB86" s="39"/>
      <c r="EC86" s="40"/>
    </row>
    <row r="87" spans="1:133">
      <c r="A87" s="44"/>
      <c r="B87" s="45" t="s">
        <v>274</v>
      </c>
      <c r="C87" s="20" t="s">
        <v>276</v>
      </c>
      <c r="D87" s="21" t="s">
        <v>162</v>
      </c>
      <c r="E87" s="21"/>
      <c r="F87" s="22"/>
      <c r="G87" s="23" t="str" cm="1">
        <f t="array" ref="G87">IFERROR(LOOKUP(2,1/(K87:GC87&lt;&gt;""),K$2:DQL$2),"")</f>
        <v/>
      </c>
      <c r="H87" s="24" t="str" cm="1">
        <f t="array" ref="H87">IFERROR(_xlfn.XLOOKUP(TRUE,P87:ED87&lt;&gt;"",P87:ED87,,,-1)," ")</f>
        <v xml:space="preserve"> </v>
      </c>
      <c r="I87" s="25">
        <v>24</v>
      </c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34"/>
      <c r="AF87" s="35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7"/>
      <c r="BF87" s="37"/>
      <c r="BG87" s="34"/>
      <c r="BH87" s="37"/>
      <c r="BI87" s="34"/>
      <c r="BJ87" s="34"/>
      <c r="BK87" s="34"/>
      <c r="BL87" s="37"/>
      <c r="BM87" s="37"/>
      <c r="BN87" s="34"/>
      <c r="BO87" s="34"/>
      <c r="BP87" s="34"/>
      <c r="BQ87" s="34"/>
      <c r="BR87" s="34"/>
      <c r="BS87" s="37"/>
      <c r="BT87" s="37"/>
      <c r="BU87" s="34"/>
      <c r="BV87" s="34"/>
      <c r="BW87" s="34"/>
      <c r="BX87" s="34"/>
      <c r="BY87" s="34"/>
      <c r="BZ87" s="34"/>
      <c r="CA87" s="37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43"/>
      <c r="CN87" s="37"/>
      <c r="CO87" s="37"/>
      <c r="CP87" s="34"/>
      <c r="CQ87" s="37"/>
      <c r="CR87" s="34"/>
      <c r="CS87" s="37"/>
      <c r="CT87" s="34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9"/>
      <c r="EB87" s="39"/>
      <c r="EC87" s="40"/>
    </row>
    <row r="88" spans="1:133">
      <c r="A88" s="44"/>
      <c r="B88" s="45" t="s">
        <v>274</v>
      </c>
      <c r="C88" s="20" t="s">
        <v>277</v>
      </c>
      <c r="D88" s="21" t="s">
        <v>162</v>
      </c>
      <c r="E88" s="21"/>
      <c r="F88" s="22"/>
      <c r="G88" s="23" t="str" cm="1">
        <f t="array" ref="G88">IFERROR(LOOKUP(2,1/(K88:GC88&lt;&gt;""),K$2:DQL$2),"")</f>
        <v/>
      </c>
      <c r="H88" s="24" t="str" cm="1">
        <f t="array" ref="H88">IFERROR(_xlfn.XLOOKUP(TRUE,P88:ED88&lt;&gt;"",P88:ED88,,,-1)," ")</f>
        <v xml:space="preserve"> </v>
      </c>
      <c r="I88" s="25">
        <v>24</v>
      </c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34"/>
      <c r="AF88" s="35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7"/>
      <c r="BF88" s="37"/>
      <c r="BG88" s="34"/>
      <c r="BH88" s="37"/>
      <c r="BI88" s="34"/>
      <c r="BJ88" s="34"/>
      <c r="BK88" s="34"/>
      <c r="BL88" s="37"/>
      <c r="BM88" s="37"/>
      <c r="BN88" s="34"/>
      <c r="BO88" s="34"/>
      <c r="BP88" s="34"/>
      <c r="BQ88" s="34"/>
      <c r="BR88" s="34"/>
      <c r="BS88" s="37"/>
      <c r="BT88" s="37"/>
      <c r="BU88" s="34"/>
      <c r="BV88" s="34"/>
      <c r="BW88" s="34"/>
      <c r="BX88" s="34"/>
      <c r="BY88" s="34"/>
      <c r="BZ88" s="34"/>
      <c r="CA88" s="37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43"/>
      <c r="CN88" s="37"/>
      <c r="CO88" s="37"/>
      <c r="CP88" s="34"/>
      <c r="CQ88" s="37"/>
      <c r="CR88" s="34"/>
      <c r="CS88" s="37"/>
      <c r="CT88" s="34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9"/>
      <c r="EB88" s="39"/>
      <c r="EC88" s="40"/>
    </row>
    <row r="89" spans="1:133">
      <c r="A89" s="44"/>
      <c r="B89" s="45" t="s">
        <v>278</v>
      </c>
      <c r="C89" s="20" t="s">
        <v>279</v>
      </c>
      <c r="D89" s="21" t="s">
        <v>162</v>
      </c>
      <c r="E89" s="21"/>
      <c r="F89" s="22"/>
      <c r="G89" s="23" t="str" cm="1">
        <f t="array" ref="G89">IFERROR(LOOKUP(2,1/(K89:GC89&lt;&gt;""),K$2:DQL$2),"")</f>
        <v/>
      </c>
      <c r="H89" s="24" t="str" cm="1">
        <f t="array" ref="H89">IFERROR(_xlfn.XLOOKUP(TRUE,P89:ED89&lt;&gt;"",P89:ED89,,,-1)," ")</f>
        <v xml:space="preserve"> </v>
      </c>
      <c r="I89" s="25">
        <v>22.5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34"/>
      <c r="AF89" s="35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7"/>
      <c r="BF89" s="37"/>
      <c r="BG89" s="34"/>
      <c r="BH89" s="37"/>
      <c r="BI89" s="34"/>
      <c r="BJ89" s="34"/>
      <c r="BK89" s="34"/>
      <c r="BL89" s="37"/>
      <c r="BM89" s="37"/>
      <c r="BN89" s="34"/>
      <c r="BO89" s="34"/>
      <c r="BP89" s="34"/>
      <c r="BQ89" s="34"/>
      <c r="BR89" s="34"/>
      <c r="BS89" s="37"/>
      <c r="BT89" s="37"/>
      <c r="BU89" s="34"/>
      <c r="BV89" s="34"/>
      <c r="BW89" s="34"/>
      <c r="BX89" s="34"/>
      <c r="BY89" s="34"/>
      <c r="BZ89" s="34"/>
      <c r="CA89" s="37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43"/>
      <c r="CN89" s="37"/>
      <c r="CO89" s="37"/>
      <c r="CP89" s="34"/>
      <c r="CQ89" s="34"/>
      <c r="CR89" s="34"/>
      <c r="CS89" s="37"/>
      <c r="CT89" s="34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9"/>
      <c r="EB89" s="39"/>
      <c r="EC89" s="40"/>
    </row>
    <row r="90" spans="1:133">
      <c r="A90" s="44"/>
      <c r="B90" s="45" t="s">
        <v>278</v>
      </c>
      <c r="C90" s="20" t="s">
        <v>280</v>
      </c>
      <c r="D90" s="21" t="s">
        <v>162</v>
      </c>
      <c r="E90" s="21"/>
      <c r="F90" s="22"/>
      <c r="G90" s="23" t="str" cm="1">
        <f t="array" ref="G90">IFERROR(LOOKUP(2,1/(K90:GC90&lt;&gt;""),K$2:DQL$2),"")</f>
        <v/>
      </c>
      <c r="H90" s="24" t="str" cm="1">
        <f t="array" ref="H90">IFERROR(_xlfn.XLOOKUP(TRUE,P90:ED90&lt;&gt;"",P90:ED90,,,-1)," ")</f>
        <v xml:space="preserve"> </v>
      </c>
      <c r="I90" s="25">
        <v>22.5</v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34"/>
      <c r="AF90" s="35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7"/>
      <c r="BF90" s="37"/>
      <c r="BG90" s="34"/>
      <c r="BH90" s="37"/>
      <c r="BI90" s="34"/>
      <c r="BJ90" s="34"/>
      <c r="BK90" s="34"/>
      <c r="BL90" s="37"/>
      <c r="BM90" s="37"/>
      <c r="BN90" s="34"/>
      <c r="BO90" s="34"/>
      <c r="BP90" s="34"/>
      <c r="BQ90" s="34"/>
      <c r="BR90" s="34"/>
      <c r="BS90" s="37"/>
      <c r="BT90" s="37"/>
      <c r="BU90" s="34"/>
      <c r="BV90" s="34"/>
      <c r="BW90" s="34"/>
      <c r="BX90" s="34"/>
      <c r="BY90" s="34"/>
      <c r="BZ90" s="34"/>
      <c r="CA90" s="37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43"/>
      <c r="CN90" s="37"/>
      <c r="CO90" s="37"/>
      <c r="CP90" s="34"/>
      <c r="CQ90" s="34"/>
      <c r="CR90" s="34"/>
      <c r="CS90" s="37"/>
      <c r="CT90" s="34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9"/>
      <c r="EB90" s="39"/>
      <c r="EC90" s="40"/>
    </row>
    <row r="91" spans="1:133">
      <c r="A91" s="44"/>
      <c r="B91" s="45" t="s">
        <v>278</v>
      </c>
      <c r="C91" s="20" t="s">
        <v>281</v>
      </c>
      <c r="D91" s="21" t="s">
        <v>162</v>
      </c>
      <c r="E91" s="21"/>
      <c r="F91" s="22"/>
      <c r="G91" s="23" t="str" cm="1">
        <f t="array" ref="G91">IFERROR(LOOKUP(2,1/(K91:GC91&lt;&gt;""),K$2:DQL$2),"")</f>
        <v/>
      </c>
      <c r="H91" s="24" t="str" cm="1">
        <f t="array" ref="H91">IFERROR(_xlfn.XLOOKUP(TRUE,P91:ED91&lt;&gt;"",P91:ED91,,,-1)," ")</f>
        <v xml:space="preserve"> </v>
      </c>
      <c r="I91" s="25">
        <v>22.5</v>
      </c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34"/>
      <c r="AF91" s="35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7"/>
      <c r="BF91" s="37"/>
      <c r="BG91" s="34"/>
      <c r="BH91" s="37"/>
      <c r="BI91" s="34"/>
      <c r="BJ91" s="34"/>
      <c r="BK91" s="34"/>
      <c r="BL91" s="37"/>
      <c r="BM91" s="37"/>
      <c r="BN91" s="34"/>
      <c r="BO91" s="34"/>
      <c r="BP91" s="34"/>
      <c r="BQ91" s="34"/>
      <c r="BR91" s="34"/>
      <c r="BS91" s="37"/>
      <c r="BT91" s="37"/>
      <c r="BU91" s="34"/>
      <c r="BV91" s="34"/>
      <c r="BW91" s="34"/>
      <c r="BX91" s="34"/>
      <c r="BY91" s="34"/>
      <c r="BZ91" s="34"/>
      <c r="CA91" s="37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43"/>
      <c r="CN91" s="37"/>
      <c r="CO91" s="37"/>
      <c r="CP91" s="34"/>
      <c r="CQ91" s="34"/>
      <c r="CR91" s="34"/>
      <c r="CS91" s="37"/>
      <c r="CT91" s="34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9"/>
      <c r="EB91" s="39"/>
      <c r="EC91" s="40"/>
    </row>
    <row r="92" spans="1:133">
      <c r="A92" s="44"/>
      <c r="B92" s="45" t="s">
        <v>282</v>
      </c>
      <c r="C92" s="20" t="s">
        <v>283</v>
      </c>
      <c r="D92" s="21" t="s">
        <v>162</v>
      </c>
      <c r="E92" s="21"/>
      <c r="F92" s="22"/>
      <c r="G92" s="23" t="str" cm="1">
        <f t="array" ref="G92">IFERROR(LOOKUP(2,1/(K92:GC92&lt;&gt;""),K$2:DQL$2),"")</f>
        <v/>
      </c>
      <c r="H92" s="24" t="str" cm="1">
        <f t="array" ref="H92">IFERROR(_xlfn.XLOOKUP(TRUE,P92:ED92&lt;&gt;"",P92:ED92,,,-1)," ")</f>
        <v xml:space="preserve"> </v>
      </c>
      <c r="I92" s="25">
        <v>24</v>
      </c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34"/>
      <c r="AF92" s="35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7"/>
      <c r="BF92" s="37"/>
      <c r="BG92" s="34"/>
      <c r="BH92" s="37"/>
      <c r="BI92" s="34"/>
      <c r="BJ92" s="34"/>
      <c r="BK92" s="34"/>
      <c r="BL92" s="37"/>
      <c r="BM92" s="37"/>
      <c r="BN92" s="34"/>
      <c r="BO92" s="34"/>
      <c r="BP92" s="34"/>
      <c r="BQ92" s="34"/>
      <c r="BR92" s="34"/>
      <c r="BS92" s="37"/>
      <c r="BT92" s="37"/>
      <c r="BU92" s="34"/>
      <c r="BV92" s="34"/>
      <c r="BW92" s="34"/>
      <c r="BX92" s="34"/>
      <c r="BY92" s="34"/>
      <c r="BZ92" s="34"/>
      <c r="CA92" s="37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43"/>
      <c r="CN92" s="37"/>
      <c r="CO92" s="37"/>
      <c r="CP92" s="34"/>
      <c r="CQ92" s="38"/>
      <c r="CR92" s="34"/>
      <c r="CS92" s="37"/>
      <c r="CT92" s="34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9"/>
      <c r="EB92" s="39"/>
      <c r="EC92" s="40"/>
    </row>
    <row r="93" spans="1:133">
      <c r="A93" s="44"/>
      <c r="B93" s="45" t="s">
        <v>284</v>
      </c>
      <c r="C93" s="20" t="s">
        <v>285</v>
      </c>
      <c r="D93" s="21" t="s">
        <v>162</v>
      </c>
      <c r="E93" s="21"/>
      <c r="F93" s="22" t="s">
        <v>137</v>
      </c>
      <c r="G93" s="23" t="str" cm="1">
        <f t="array" ref="G93">IFERROR(LOOKUP(2,1/(K93:GC93&lt;&gt;""),K$2:DQL$2),"")</f>
        <v>20-Aug</v>
      </c>
      <c r="H93" s="24" cm="1">
        <f t="array" ref="H93">IFERROR(_xlfn.XLOOKUP(TRUE,P93:ED93&lt;&gt;"",P93:ED93,,,-1)," ")</f>
        <v>23.3</v>
      </c>
      <c r="I93" s="25">
        <v>23.5</v>
      </c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34"/>
      <c r="AF93" s="35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7"/>
      <c r="BF93" s="37"/>
      <c r="BG93" s="34"/>
      <c r="BH93" s="298">
        <v>23.3</v>
      </c>
      <c r="BI93" s="34"/>
      <c r="BJ93" s="34"/>
      <c r="BK93" s="34"/>
      <c r="BL93" s="37"/>
      <c r="BM93" s="37"/>
      <c r="BN93" s="34"/>
      <c r="BO93" s="34"/>
      <c r="BP93" s="34"/>
      <c r="BQ93" s="34"/>
      <c r="BR93" s="34"/>
      <c r="BS93" s="37"/>
      <c r="BT93" s="37"/>
      <c r="BU93" s="34"/>
      <c r="BV93" s="34"/>
      <c r="BW93" s="34"/>
      <c r="BX93" s="34"/>
      <c r="BY93" s="34"/>
      <c r="BZ93" s="34"/>
      <c r="CA93" s="37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43"/>
      <c r="CN93" s="37"/>
      <c r="CO93" s="37"/>
      <c r="CP93" s="34"/>
      <c r="CQ93" s="46"/>
      <c r="CR93" s="34"/>
      <c r="CS93" s="37"/>
      <c r="CT93" s="34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9"/>
      <c r="EB93" s="39"/>
      <c r="EC93" s="40"/>
    </row>
    <row r="94" spans="1:133">
      <c r="A94" s="44"/>
      <c r="B94" s="45" t="s">
        <v>284</v>
      </c>
      <c r="C94" s="20" t="s">
        <v>286</v>
      </c>
      <c r="D94" s="21" t="s">
        <v>162</v>
      </c>
      <c r="E94" s="21"/>
      <c r="F94" s="22" t="s">
        <v>137</v>
      </c>
      <c r="G94" s="23" t="str" cm="1">
        <f t="array" ref="G94">IFERROR(LOOKUP(2,1/(K94:GC94&lt;&gt;""),K$2:DQL$2),"")</f>
        <v/>
      </c>
      <c r="H94" s="24" t="str" cm="1">
        <f t="array" ref="H94">IFERROR(_xlfn.XLOOKUP(TRUE,P94:ED94&lt;&gt;"",P94:ED94,,,-1)," ")</f>
        <v xml:space="preserve"> </v>
      </c>
      <c r="I94" s="25">
        <v>23.5</v>
      </c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34"/>
      <c r="AF94" s="35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7"/>
      <c r="BF94" s="37"/>
      <c r="BG94" s="34"/>
      <c r="BH94" s="37"/>
      <c r="BI94" s="34"/>
      <c r="BJ94" s="34"/>
      <c r="BK94" s="34"/>
      <c r="BL94" s="37"/>
      <c r="BM94" s="37"/>
      <c r="BN94" s="34"/>
      <c r="BO94" s="34"/>
      <c r="BP94" s="34"/>
      <c r="BQ94" s="34"/>
      <c r="BR94" s="34"/>
      <c r="BS94" s="37"/>
      <c r="BT94" s="37"/>
      <c r="BU94" s="34"/>
      <c r="BV94" s="34"/>
      <c r="BW94" s="34"/>
      <c r="BX94" s="34"/>
      <c r="BY94" s="34"/>
      <c r="BZ94" s="34"/>
      <c r="CA94" s="37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43"/>
      <c r="CN94" s="37"/>
      <c r="CO94" s="37"/>
      <c r="CP94" s="34"/>
      <c r="CQ94" s="46"/>
      <c r="CR94" s="34"/>
      <c r="CS94" s="38"/>
      <c r="CT94" s="34"/>
      <c r="CU94" s="37"/>
      <c r="CV94" s="37"/>
      <c r="CW94" s="37"/>
      <c r="CX94" s="38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9"/>
      <c r="EB94" s="39"/>
      <c r="EC94" s="40"/>
    </row>
    <row r="95" spans="1:133">
      <c r="A95" s="44"/>
      <c r="B95" s="45" t="s">
        <v>284</v>
      </c>
      <c r="C95" s="20" t="s">
        <v>287</v>
      </c>
      <c r="D95" s="21" t="s">
        <v>162</v>
      </c>
      <c r="E95" s="21"/>
      <c r="F95" s="22" t="s">
        <v>137</v>
      </c>
      <c r="G95" s="23" t="str" cm="1">
        <f t="array" ref="G95">IFERROR(LOOKUP(2,1/(K95:GC95&lt;&gt;""),K$2:DQL$2),"")</f>
        <v/>
      </c>
      <c r="H95" s="24" t="str" cm="1">
        <f t="array" ref="H95">IFERROR(_xlfn.XLOOKUP(TRUE,P95:ED95&lt;&gt;"",P95:ED95,,,-1)," ")</f>
        <v xml:space="preserve"> </v>
      </c>
      <c r="I95" s="25">
        <v>24</v>
      </c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34"/>
      <c r="AF95" s="35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7"/>
      <c r="BF95" s="37"/>
      <c r="BG95" s="34"/>
      <c r="BH95" s="37"/>
      <c r="BI95" s="34"/>
      <c r="BJ95" s="34"/>
      <c r="BK95" s="34"/>
      <c r="BL95" s="37"/>
      <c r="BM95" s="37"/>
      <c r="BN95" s="34"/>
      <c r="BO95" s="34"/>
      <c r="BP95" s="34"/>
      <c r="BQ95" s="34"/>
      <c r="BR95" s="34"/>
      <c r="BS95" s="37"/>
      <c r="BT95" s="37"/>
      <c r="BU95" s="34"/>
      <c r="BV95" s="34"/>
      <c r="BW95" s="34"/>
      <c r="BX95" s="34"/>
      <c r="BY95" s="34"/>
      <c r="BZ95" s="34"/>
      <c r="CA95" s="37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43"/>
      <c r="CN95" s="37"/>
      <c r="CO95" s="37"/>
      <c r="CP95" s="34"/>
      <c r="CQ95" s="37"/>
      <c r="CR95" s="34"/>
      <c r="CS95" s="38"/>
      <c r="CT95" s="34"/>
      <c r="CU95" s="37"/>
      <c r="CV95" s="37"/>
      <c r="CW95" s="37"/>
      <c r="CX95" s="38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9"/>
      <c r="EB95" s="39"/>
      <c r="EC95" s="40"/>
    </row>
    <row r="96" spans="1:133">
      <c r="A96" s="44"/>
      <c r="B96" s="22"/>
      <c r="C96" s="20" t="s">
        <v>288</v>
      </c>
      <c r="D96" s="21" t="s">
        <v>162</v>
      </c>
      <c r="E96" s="21"/>
      <c r="F96" s="22" t="s">
        <v>137</v>
      </c>
      <c r="G96" s="23" t="str" cm="1">
        <f t="array" ref="G96">IFERROR(LOOKUP(2,1/(K96:GC96&lt;&gt;""),K$2:DQL$2),"")</f>
        <v/>
      </c>
      <c r="H96" s="24" t="str" cm="1">
        <f t="array" ref="H96">IFERROR(_xlfn.XLOOKUP(TRUE,P96:ED96&lt;&gt;"",P96:ED96,,,-1)," ")</f>
        <v xml:space="preserve"> </v>
      </c>
      <c r="I96" s="25">
        <v>23.5</v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7"/>
      <c r="BF96" s="37"/>
      <c r="BG96" s="34"/>
      <c r="BH96" s="34"/>
      <c r="BI96" s="34"/>
      <c r="BJ96" s="34"/>
      <c r="BK96" s="34"/>
      <c r="BL96" s="34"/>
      <c r="BM96" s="37"/>
      <c r="BN96" s="34"/>
      <c r="BO96" s="34"/>
      <c r="BP96" s="34"/>
      <c r="BQ96" s="34"/>
      <c r="BR96" s="34"/>
      <c r="BS96" s="37"/>
      <c r="BT96" s="37"/>
      <c r="BU96" s="34"/>
      <c r="BV96" s="34"/>
      <c r="BW96" s="34"/>
      <c r="BX96" s="37"/>
      <c r="BY96" s="34"/>
      <c r="BZ96" s="36"/>
      <c r="CA96" s="37"/>
      <c r="CB96" s="37"/>
      <c r="CC96" s="34"/>
      <c r="CD96" s="37"/>
      <c r="CE96" s="37"/>
      <c r="CF96" s="37"/>
      <c r="CG96" s="37"/>
      <c r="CH96" s="37"/>
      <c r="CI96" s="37"/>
      <c r="CJ96" s="34"/>
      <c r="CK96" s="37"/>
      <c r="CL96" s="34"/>
      <c r="CM96" s="37"/>
      <c r="CN96" s="37"/>
      <c r="CO96" s="37"/>
      <c r="CP96" s="34"/>
      <c r="CQ96" s="37"/>
      <c r="CR96" s="34"/>
      <c r="CS96" s="37"/>
      <c r="CT96" s="34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9"/>
      <c r="EB96" s="39"/>
      <c r="EC96" s="40"/>
    </row>
    <row r="97" spans="1:133">
      <c r="A97" s="44"/>
      <c r="B97" s="22"/>
      <c r="C97" s="20" t="s">
        <v>289</v>
      </c>
      <c r="D97" s="21" t="s">
        <v>162</v>
      </c>
      <c r="E97" s="21"/>
      <c r="F97" s="22" t="s">
        <v>137</v>
      </c>
      <c r="G97" s="23" t="str" cm="1">
        <f t="array" ref="G97">IFERROR(LOOKUP(2,1/(K97:GC97&lt;&gt;""),K$2:DQL$2),"")</f>
        <v/>
      </c>
      <c r="H97" s="24" t="str" cm="1">
        <f t="array" ref="H97">IFERROR(_xlfn.XLOOKUP(TRUE,P97:ED97&lt;&gt;"",P97:ED97,,,-1)," ")</f>
        <v xml:space="preserve"> </v>
      </c>
      <c r="I97" s="25">
        <v>24</v>
      </c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7"/>
      <c r="BF97" s="37"/>
      <c r="BG97" s="34"/>
      <c r="BH97" s="34"/>
      <c r="BI97" s="34"/>
      <c r="BJ97" s="34"/>
      <c r="BK97" s="34"/>
      <c r="BL97" s="34"/>
      <c r="BM97" s="37"/>
      <c r="BN97" s="34"/>
      <c r="BO97" s="34"/>
      <c r="BP97" s="34"/>
      <c r="BQ97" s="34"/>
      <c r="BR97" s="34"/>
      <c r="BS97" s="37"/>
      <c r="BT97" s="37"/>
      <c r="BU97" s="34"/>
      <c r="BV97" s="34"/>
      <c r="BW97" s="34"/>
      <c r="BX97" s="37"/>
      <c r="BY97" s="34"/>
      <c r="BZ97" s="36"/>
      <c r="CA97" s="37"/>
      <c r="CB97" s="37"/>
      <c r="CC97" s="34"/>
      <c r="CD97" s="37"/>
      <c r="CE97" s="37"/>
      <c r="CF97" s="37"/>
      <c r="CG97" s="37"/>
      <c r="CH97" s="37"/>
      <c r="CI97" s="37"/>
      <c r="CJ97" s="34"/>
      <c r="CK97" s="37"/>
      <c r="CL97" s="34"/>
      <c r="CM97" s="37"/>
      <c r="CN97" s="37"/>
      <c r="CO97" s="37"/>
      <c r="CP97" s="34"/>
      <c r="CQ97" s="37"/>
      <c r="CR97" s="34"/>
      <c r="CS97" s="37"/>
      <c r="CT97" s="34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9"/>
      <c r="EB97" s="39"/>
      <c r="EC97" s="40"/>
    </row>
    <row r="98" spans="1:133">
      <c r="A98" s="44"/>
      <c r="B98" s="45" t="s">
        <v>290</v>
      </c>
      <c r="C98" s="20" t="s">
        <v>291</v>
      </c>
      <c r="D98" s="21" t="s">
        <v>162</v>
      </c>
      <c r="E98" s="21"/>
      <c r="F98" s="22" t="s">
        <v>198</v>
      </c>
      <c r="G98" s="23" t="str" cm="1">
        <f t="array" ref="G98">IFERROR(LOOKUP(2,1/(K98:GC98&lt;&gt;""),K$2:DQL$2),"")</f>
        <v/>
      </c>
      <c r="H98" s="24" t="str" cm="1">
        <f t="array" ref="H98">IFERROR(_xlfn.XLOOKUP(TRUE,P98:ED98&lt;&gt;"",P98:ED98,,,-1)," ")</f>
        <v xml:space="preserve"> </v>
      </c>
      <c r="I98" s="25">
        <v>24</v>
      </c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34"/>
      <c r="AF98" s="35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7"/>
      <c r="BF98" s="37"/>
      <c r="BG98" s="34"/>
      <c r="BH98" s="37"/>
      <c r="BI98" s="34"/>
      <c r="BJ98" s="34"/>
      <c r="BK98" s="34"/>
      <c r="BL98" s="37"/>
      <c r="BM98" s="37"/>
      <c r="BN98" s="34"/>
      <c r="BO98" s="34"/>
      <c r="BP98" s="34"/>
      <c r="BQ98" s="34"/>
      <c r="BR98" s="34"/>
      <c r="BS98" s="37"/>
      <c r="BT98" s="37"/>
      <c r="BU98" s="34"/>
      <c r="BV98" s="34"/>
      <c r="BW98" s="34"/>
      <c r="BX98" s="34"/>
      <c r="BY98" s="34"/>
      <c r="BZ98" s="34"/>
      <c r="CA98" s="37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43"/>
      <c r="CN98" s="37"/>
      <c r="CO98" s="37"/>
      <c r="CP98" s="34"/>
      <c r="CQ98" s="34"/>
      <c r="CR98" s="34"/>
      <c r="CS98" s="37"/>
      <c r="CT98" s="34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9"/>
      <c r="EB98" s="39"/>
      <c r="EC98" s="40"/>
    </row>
    <row r="99" spans="1:133">
      <c r="A99" s="44"/>
      <c r="B99" s="45" t="s">
        <v>290</v>
      </c>
      <c r="C99" s="20" t="s">
        <v>292</v>
      </c>
      <c r="D99" s="21" t="s">
        <v>162</v>
      </c>
      <c r="E99" s="21"/>
      <c r="F99" s="22" t="s">
        <v>198</v>
      </c>
      <c r="G99" s="23" t="str" cm="1">
        <f t="array" ref="G99">IFERROR(LOOKUP(2,1/(K99:GC99&lt;&gt;""),K$2:DQL$2),"")</f>
        <v/>
      </c>
      <c r="H99" s="24" t="str" cm="1">
        <f t="array" ref="H99">IFERROR(_xlfn.XLOOKUP(TRUE,P99:ED99&lt;&gt;"",P99:ED99,,,-1)," ")</f>
        <v xml:space="preserve"> </v>
      </c>
      <c r="I99" s="25">
        <v>24</v>
      </c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34"/>
      <c r="AF99" s="35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7"/>
      <c r="BF99" s="37"/>
      <c r="BG99" s="34"/>
      <c r="BH99" s="37"/>
      <c r="BI99" s="34"/>
      <c r="BJ99" s="34"/>
      <c r="BK99" s="34"/>
      <c r="BL99" s="37"/>
      <c r="BM99" s="37"/>
      <c r="BN99" s="34"/>
      <c r="BO99" s="34"/>
      <c r="BP99" s="34"/>
      <c r="BQ99" s="34"/>
      <c r="BR99" s="34"/>
      <c r="BS99" s="37"/>
      <c r="BT99" s="37"/>
      <c r="BU99" s="34"/>
      <c r="BV99" s="34"/>
      <c r="BW99" s="34"/>
      <c r="BX99" s="34"/>
      <c r="BY99" s="34"/>
      <c r="BZ99" s="34"/>
      <c r="CA99" s="37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43"/>
      <c r="CN99" s="37"/>
      <c r="CO99" s="37"/>
      <c r="CP99" s="34"/>
      <c r="CQ99" s="37"/>
      <c r="CR99" s="34"/>
      <c r="CS99" s="37"/>
      <c r="CT99" s="34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9"/>
      <c r="EB99" s="39"/>
      <c r="EC99" s="40"/>
    </row>
    <row r="100" spans="1:133">
      <c r="A100" s="44"/>
      <c r="B100" s="45" t="s">
        <v>290</v>
      </c>
      <c r="C100" s="20" t="s">
        <v>293</v>
      </c>
      <c r="D100" s="21" t="s">
        <v>162</v>
      </c>
      <c r="E100" s="21"/>
      <c r="F100" s="22" t="s">
        <v>198</v>
      </c>
      <c r="G100" s="23" t="str" cm="1">
        <f t="array" ref="G100">IFERROR(LOOKUP(2,1/(K100:GC100&lt;&gt;""),K$2:DQL$2),"")</f>
        <v/>
      </c>
      <c r="H100" s="24" t="str" cm="1">
        <f t="array" ref="H100">IFERROR(_xlfn.XLOOKUP(TRUE,P100:ED100&lt;&gt;"",P100:ED100,,,-1)," ")</f>
        <v xml:space="preserve"> </v>
      </c>
      <c r="I100" s="25">
        <v>24</v>
      </c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34"/>
      <c r="AF100" s="35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7"/>
      <c r="BF100" s="37"/>
      <c r="BG100" s="34"/>
      <c r="BH100" s="37"/>
      <c r="BI100" s="34"/>
      <c r="BJ100" s="34"/>
      <c r="BK100" s="34"/>
      <c r="BL100" s="37"/>
      <c r="BM100" s="37"/>
      <c r="BN100" s="34"/>
      <c r="BO100" s="34"/>
      <c r="BP100" s="34"/>
      <c r="BQ100" s="34"/>
      <c r="BR100" s="34"/>
      <c r="BS100" s="37"/>
      <c r="BT100" s="37"/>
      <c r="BU100" s="34"/>
      <c r="BV100" s="34"/>
      <c r="BW100" s="34"/>
      <c r="BX100" s="34"/>
      <c r="BY100" s="34"/>
      <c r="BZ100" s="34"/>
      <c r="CA100" s="37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43"/>
      <c r="CN100" s="37"/>
      <c r="CO100" s="37"/>
      <c r="CP100" s="34"/>
      <c r="CQ100" s="37"/>
      <c r="CR100" s="34"/>
      <c r="CS100" s="37"/>
      <c r="CT100" s="34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9"/>
      <c r="EB100" s="39"/>
      <c r="EC100" s="40"/>
    </row>
    <row r="101" spans="1:133">
      <c r="A101" s="44"/>
      <c r="B101" s="45" t="s">
        <v>294</v>
      </c>
      <c r="C101" s="289" t="s">
        <v>295</v>
      </c>
      <c r="D101" s="21" t="s">
        <v>296</v>
      </c>
      <c r="E101" s="21"/>
      <c r="F101" s="54" t="s">
        <v>137</v>
      </c>
      <c r="G101" s="23" t="str" cm="1">
        <f t="array" ref="G101">IFERROR(LOOKUP(2,1/(K101:GC101&lt;&gt;""),K$2:DQL$2),"")</f>
        <v>22-Aug</v>
      </c>
      <c r="H101" s="24" cm="1">
        <f t="array" ref="H101">IFERROR(_xlfn.XLOOKUP(TRUE,P101:ED101&lt;&gt;"",P101:ED101,,,-1)," ")</f>
        <v>23.2</v>
      </c>
      <c r="I101" s="25">
        <v>23</v>
      </c>
      <c r="J101" s="55">
        <v>24.5</v>
      </c>
      <c r="K101" s="55"/>
      <c r="L101" s="55"/>
      <c r="M101" s="55"/>
      <c r="N101" s="55"/>
      <c r="O101" s="55"/>
      <c r="P101" s="55"/>
      <c r="Q101" s="55"/>
      <c r="R101" s="55"/>
      <c r="S101" s="55">
        <v>13.7</v>
      </c>
      <c r="T101" s="55"/>
      <c r="U101" s="55"/>
      <c r="V101" s="55"/>
      <c r="W101" s="55"/>
      <c r="X101" s="55"/>
      <c r="Y101" s="55"/>
      <c r="Z101" s="55"/>
      <c r="AA101" s="55"/>
      <c r="AB101" s="55"/>
      <c r="AC101" s="55">
        <v>17.7</v>
      </c>
      <c r="AD101" s="55"/>
      <c r="AE101" s="60"/>
      <c r="AF101" s="35"/>
      <c r="AG101" s="60"/>
      <c r="AH101" s="60"/>
      <c r="AI101" s="60"/>
      <c r="AJ101" s="34">
        <v>19.399999999999999</v>
      </c>
      <c r="AK101" s="34"/>
      <c r="AL101" s="34"/>
      <c r="AM101" s="60"/>
      <c r="AN101" s="60"/>
      <c r="AO101" s="34"/>
      <c r="AP101" s="60"/>
      <c r="AQ101" s="60"/>
      <c r="AR101" s="60"/>
      <c r="AS101" s="36"/>
      <c r="AT101" s="60"/>
      <c r="AU101" s="36">
        <v>20.9</v>
      </c>
      <c r="AV101" s="34"/>
      <c r="AW101" s="34"/>
      <c r="AX101" s="60"/>
      <c r="AY101" s="34"/>
      <c r="AZ101" s="36">
        <v>22</v>
      </c>
      <c r="BA101" s="60"/>
      <c r="BB101" s="34"/>
      <c r="BC101" s="60"/>
      <c r="BD101" s="60"/>
      <c r="BE101" s="292">
        <v>22.3</v>
      </c>
      <c r="BF101" s="37"/>
      <c r="BG101" s="60"/>
      <c r="BH101" s="60"/>
      <c r="BI101" s="60"/>
      <c r="BJ101" s="60">
        <v>23.2</v>
      </c>
      <c r="BK101" s="60"/>
      <c r="BL101" s="37"/>
      <c r="BM101" s="37"/>
      <c r="BN101" s="56"/>
      <c r="BO101" s="38"/>
      <c r="BP101" s="56"/>
      <c r="BQ101" s="56"/>
      <c r="BR101" s="34"/>
      <c r="BS101" s="37"/>
      <c r="BT101" s="37"/>
      <c r="BU101" s="34"/>
      <c r="BV101" s="37"/>
      <c r="BW101" s="34"/>
      <c r="BX101" s="37"/>
      <c r="BY101" s="34"/>
      <c r="BZ101" s="34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4"/>
      <c r="CM101" s="37"/>
      <c r="CN101" s="37"/>
      <c r="CO101" s="37"/>
      <c r="CP101" s="34"/>
      <c r="CQ101" s="37"/>
      <c r="CR101" s="37"/>
      <c r="CS101" s="37"/>
      <c r="CT101" s="34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9"/>
      <c r="EB101" s="39"/>
      <c r="EC101" s="40"/>
    </row>
    <row r="102" spans="1:133" hidden="1">
      <c r="A102" s="44" t="s">
        <v>138</v>
      </c>
      <c r="B102" s="45" t="s">
        <v>297</v>
      </c>
      <c r="C102" s="53" t="s">
        <v>298</v>
      </c>
      <c r="D102" s="21" t="s">
        <v>296</v>
      </c>
      <c r="E102" s="21"/>
      <c r="F102" s="54" t="s">
        <v>137</v>
      </c>
      <c r="G102" s="23" t="str" cm="1">
        <f t="array" ref="G102">IFERROR(LOOKUP(2,1/(K102:GC102&lt;&gt;""),K$2:DQL$2),"")</f>
        <v>7-Aug</v>
      </c>
      <c r="H102" s="24" cm="1">
        <f t="array" ref="H102">IFERROR(_xlfn.XLOOKUP(TRUE,P102:ED102&lt;&gt;"",P102:ED102,,,-1)," ")</f>
        <v>24.2</v>
      </c>
      <c r="I102" s="25">
        <v>22.5</v>
      </c>
      <c r="J102" s="55">
        <v>23.5</v>
      </c>
      <c r="K102" s="55"/>
      <c r="L102" s="55"/>
      <c r="M102" s="55"/>
      <c r="N102" s="55"/>
      <c r="O102" s="55"/>
      <c r="P102" s="55"/>
      <c r="Q102" s="55"/>
      <c r="R102" s="55">
        <v>14.2</v>
      </c>
      <c r="S102" s="55"/>
      <c r="T102" s="55"/>
      <c r="U102" s="55"/>
      <c r="V102" s="55"/>
      <c r="W102" s="55"/>
      <c r="X102" s="55">
        <v>17.8</v>
      </c>
      <c r="Y102" s="55"/>
      <c r="Z102" s="55"/>
      <c r="AA102" s="55"/>
      <c r="AB102" s="55"/>
      <c r="AC102" s="55" t="s">
        <v>299</v>
      </c>
      <c r="AD102" s="55"/>
      <c r="AE102" s="34"/>
      <c r="AF102" s="35"/>
      <c r="AG102" s="34">
        <v>19.2</v>
      </c>
      <c r="AH102" s="34"/>
      <c r="AI102" s="34"/>
      <c r="AJ102" s="34"/>
      <c r="AK102" s="34"/>
      <c r="AL102" s="34"/>
      <c r="AM102" s="34"/>
      <c r="AN102" s="34"/>
      <c r="AO102" s="34"/>
      <c r="AP102" s="34"/>
      <c r="AQ102" s="36">
        <v>22</v>
      </c>
      <c r="AR102" s="34"/>
      <c r="AS102" s="34"/>
      <c r="AT102" s="34"/>
      <c r="AU102" s="36">
        <v>24.2</v>
      </c>
      <c r="AV102" s="34"/>
      <c r="AW102" s="34"/>
      <c r="AX102" s="34"/>
      <c r="AY102" s="34"/>
      <c r="AZ102" s="34"/>
      <c r="BA102" s="34"/>
      <c r="BB102" s="34"/>
      <c r="BC102" s="36"/>
      <c r="BD102" s="34"/>
      <c r="BE102" s="37"/>
      <c r="BF102" s="37"/>
      <c r="BG102" s="34"/>
      <c r="BH102" s="36"/>
      <c r="BI102" s="34"/>
      <c r="BJ102" s="36"/>
      <c r="BK102" s="34"/>
      <c r="BL102" s="37"/>
      <c r="BM102" s="37"/>
      <c r="BN102" s="37"/>
      <c r="BO102" s="37"/>
      <c r="BP102" s="37"/>
      <c r="BQ102" s="37"/>
      <c r="BR102" s="34"/>
      <c r="BS102" s="37"/>
      <c r="BT102" s="37"/>
      <c r="BU102" s="34"/>
      <c r="BV102" s="37"/>
      <c r="BW102" s="34"/>
      <c r="BX102" s="37"/>
      <c r="BY102" s="34"/>
      <c r="BZ102" s="34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4"/>
      <c r="CM102" s="37"/>
      <c r="CN102" s="37"/>
      <c r="CO102" s="37"/>
      <c r="CP102" s="34"/>
      <c r="CQ102" s="37"/>
      <c r="CR102" s="37"/>
      <c r="CS102" s="37"/>
      <c r="CT102" s="34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9"/>
      <c r="EB102" s="39"/>
      <c r="EC102" s="40"/>
    </row>
    <row r="103" spans="1:133">
      <c r="A103" s="44"/>
      <c r="B103" s="45" t="s">
        <v>300</v>
      </c>
      <c r="C103" s="20" t="s">
        <v>301</v>
      </c>
      <c r="D103" s="21" t="s">
        <v>296</v>
      </c>
      <c r="E103" s="21"/>
      <c r="F103" s="22"/>
      <c r="G103" s="23" t="str" cm="1">
        <f t="array" ref="G103">IFERROR(LOOKUP(2,1/(K103:GC103&lt;&gt;""),K$2:DQL$2),"")</f>
        <v>18-Aug</v>
      </c>
      <c r="H103" s="24" cm="1">
        <f t="array" ref="H103">IFERROR(_xlfn.XLOOKUP(TRUE,P103:ED103&lt;&gt;"",P103:ED103,,,-1)," ")</f>
        <v>24.5</v>
      </c>
      <c r="I103" s="25">
        <v>22.5</v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34">
        <v>19.2</v>
      </c>
      <c r="AF103" s="35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>
        <v>24</v>
      </c>
      <c r="AZ103" s="34"/>
      <c r="BA103" s="34"/>
      <c r="BB103" s="34"/>
      <c r="BC103" s="36"/>
      <c r="BD103" s="34"/>
      <c r="BE103" s="37"/>
      <c r="BF103" s="38">
        <v>24.5</v>
      </c>
      <c r="BG103" s="34"/>
      <c r="BH103" s="34"/>
      <c r="BI103" s="34"/>
      <c r="BJ103" s="34"/>
      <c r="BK103" s="34"/>
      <c r="BL103" s="37"/>
      <c r="BM103" s="37"/>
      <c r="BN103" s="37"/>
      <c r="BO103" s="37"/>
      <c r="BP103" s="37"/>
      <c r="BQ103" s="37"/>
      <c r="BR103" s="34"/>
      <c r="BS103" s="37"/>
      <c r="BT103" s="37"/>
      <c r="BU103" s="36"/>
      <c r="BV103" s="37"/>
      <c r="BW103" s="34"/>
      <c r="BX103" s="37"/>
      <c r="BY103" s="34"/>
      <c r="BZ103" s="36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4"/>
      <c r="CM103" s="37"/>
      <c r="CN103" s="37"/>
      <c r="CO103" s="37"/>
      <c r="CP103" s="34"/>
      <c r="CQ103" s="37"/>
      <c r="CR103" s="37"/>
      <c r="CS103" s="37"/>
      <c r="CT103" s="34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9"/>
      <c r="EB103" s="39"/>
      <c r="EC103" s="40"/>
    </row>
    <row r="104" spans="1:133">
      <c r="A104" s="44"/>
      <c r="B104" s="45" t="s">
        <v>302</v>
      </c>
      <c r="C104" s="20" t="s">
        <v>303</v>
      </c>
      <c r="D104" s="21" t="s">
        <v>296</v>
      </c>
      <c r="E104" s="21"/>
      <c r="F104" s="22" t="s">
        <v>198</v>
      </c>
      <c r="G104" s="23" t="str" cm="1">
        <f t="array" ref="G104">IFERROR(LOOKUP(2,1/(K104:GC104&lt;&gt;""),K$2:DQL$2),"")</f>
        <v>20-Aug</v>
      </c>
      <c r="H104" s="24" cm="1">
        <f t="array" ref="H104">IFERROR(_xlfn.XLOOKUP(TRUE,P104:ED104&lt;&gt;"",P104:ED104,,,-1)," ")</f>
        <v>21.4</v>
      </c>
      <c r="I104" s="25">
        <v>23</v>
      </c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34"/>
      <c r="AF104" s="247">
        <v>15</v>
      </c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248">
        <v>17.3</v>
      </c>
      <c r="AR104" s="34"/>
      <c r="AS104" s="34"/>
      <c r="AT104" s="34"/>
      <c r="AU104" s="248">
        <v>20.100000000000001</v>
      </c>
      <c r="AV104" s="34"/>
      <c r="AW104" s="34"/>
      <c r="AX104" s="34"/>
      <c r="AY104" s="34"/>
      <c r="AZ104" s="34">
        <v>21.7</v>
      </c>
      <c r="BA104" s="34"/>
      <c r="BB104" s="34"/>
      <c r="BC104" s="34"/>
      <c r="BD104" s="34"/>
      <c r="BE104" s="37">
        <v>21.7</v>
      </c>
      <c r="BF104" s="37"/>
      <c r="BG104" s="34"/>
      <c r="BH104" s="34">
        <v>21.4</v>
      </c>
      <c r="BI104" s="34"/>
      <c r="BJ104" s="34"/>
      <c r="BK104" s="34"/>
      <c r="BL104" s="37"/>
      <c r="BM104" s="37"/>
      <c r="BN104" s="34"/>
      <c r="BO104" s="34"/>
      <c r="BP104" s="37"/>
      <c r="BQ104" s="34"/>
      <c r="BR104" s="34"/>
      <c r="BS104" s="37"/>
      <c r="BT104" s="37"/>
      <c r="BU104" s="34"/>
      <c r="BV104" s="37"/>
      <c r="BW104" s="34"/>
      <c r="BX104" s="37"/>
      <c r="BY104" s="34"/>
      <c r="BZ104" s="36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4"/>
      <c r="CM104" s="37"/>
      <c r="CN104" s="37"/>
      <c r="CO104" s="37"/>
      <c r="CP104" s="34"/>
      <c r="CQ104" s="37"/>
      <c r="CR104" s="37"/>
      <c r="CS104" s="37"/>
      <c r="CT104" s="34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9"/>
      <c r="EB104" s="39"/>
      <c r="EC104" s="40"/>
    </row>
    <row r="105" spans="1:133">
      <c r="A105" s="44"/>
      <c r="B105" s="45" t="s">
        <v>304</v>
      </c>
      <c r="C105" s="20" t="s">
        <v>305</v>
      </c>
      <c r="D105" s="21" t="s">
        <v>296</v>
      </c>
      <c r="E105" s="21"/>
      <c r="F105" s="22"/>
      <c r="G105" s="23" t="str" cm="1">
        <f t="array" ref="G105">IFERROR(LOOKUP(2,1/(K105:GC105&lt;&gt;""),K$2:DQL$2),"")</f>
        <v>20-Aug</v>
      </c>
      <c r="H105" s="24" cm="1">
        <f t="array" ref="H105">IFERROR(_xlfn.XLOOKUP(TRUE,P105:ED105&lt;&gt;"",P105:ED105,,,-1)," ")</f>
        <v>25.1</v>
      </c>
      <c r="I105" s="25">
        <v>23</v>
      </c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34"/>
      <c r="AF105" s="35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>
        <v>24.6</v>
      </c>
      <c r="AY105" s="34"/>
      <c r="AZ105" s="34"/>
      <c r="BA105" s="34"/>
      <c r="BB105" s="34"/>
      <c r="BC105" s="34"/>
      <c r="BD105" s="34"/>
      <c r="BE105" s="56"/>
      <c r="BF105" s="37"/>
      <c r="BG105" s="34"/>
      <c r="BH105" s="36">
        <v>25.1</v>
      </c>
      <c r="BI105" s="34"/>
      <c r="BJ105" s="34"/>
      <c r="BK105" s="34"/>
      <c r="BL105" s="37"/>
      <c r="BM105" s="37"/>
      <c r="BN105" s="34"/>
      <c r="BO105" s="34"/>
      <c r="BP105" s="37"/>
      <c r="BQ105" s="34"/>
      <c r="BR105" s="34"/>
      <c r="BS105" s="37"/>
      <c r="BT105" s="37"/>
      <c r="BU105" s="34"/>
      <c r="BV105" s="37"/>
      <c r="BW105" s="34"/>
      <c r="BX105" s="37"/>
      <c r="BY105" s="34"/>
      <c r="BZ105" s="34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4"/>
      <c r="CM105" s="37"/>
      <c r="CN105" s="37"/>
      <c r="CO105" s="37"/>
      <c r="CP105" s="34"/>
      <c r="CQ105" s="37"/>
      <c r="CR105" s="37"/>
      <c r="CS105" s="37"/>
      <c r="CT105" s="34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9"/>
      <c r="EB105" s="39"/>
      <c r="EC105" s="40"/>
    </row>
    <row r="106" spans="1:133" hidden="1">
      <c r="A106" s="44" t="s">
        <v>138</v>
      </c>
      <c r="B106" s="45" t="s">
        <v>306</v>
      </c>
      <c r="C106" s="20" t="s">
        <v>307</v>
      </c>
      <c r="D106" s="21" t="s">
        <v>296</v>
      </c>
      <c r="E106" s="21"/>
      <c r="F106" s="22" t="s">
        <v>137</v>
      </c>
      <c r="G106" s="23" t="str" cm="1">
        <f t="array" ref="G106">IFERROR(LOOKUP(2,1/(K106:GC106&lt;&gt;""),K$2:DQL$2),"")</f>
        <v>17-Aug</v>
      </c>
      <c r="H106" s="24" cm="1">
        <f t="array" ref="H106">IFERROR(_xlfn.XLOOKUP(TRUE,P106:ED106&lt;&gt;"",P106:ED106,,,-1)," ")</f>
        <v>23.2</v>
      </c>
      <c r="I106" s="25">
        <v>24</v>
      </c>
      <c r="J106" s="25">
        <v>25</v>
      </c>
      <c r="K106" s="25"/>
      <c r="L106" s="25"/>
      <c r="M106" s="25"/>
      <c r="N106" s="25"/>
      <c r="O106" s="25"/>
      <c r="P106" s="25"/>
      <c r="Q106" s="25"/>
      <c r="R106" s="25"/>
      <c r="S106" s="25">
        <v>15.5</v>
      </c>
      <c r="T106" s="25"/>
      <c r="U106" s="25"/>
      <c r="V106" s="25"/>
      <c r="W106" s="25">
        <v>16</v>
      </c>
      <c r="X106" s="25"/>
      <c r="Y106" s="25">
        <v>16.600000000000001</v>
      </c>
      <c r="Z106" s="25"/>
      <c r="AA106" s="25"/>
      <c r="AB106" s="25"/>
      <c r="AC106" s="25"/>
      <c r="AD106" s="25">
        <v>18.7</v>
      </c>
      <c r="AE106" s="48"/>
      <c r="AF106" s="47"/>
      <c r="AG106" s="48"/>
      <c r="AH106" s="49"/>
      <c r="AI106" s="48"/>
      <c r="AJ106" s="48"/>
      <c r="AK106" s="48"/>
      <c r="AL106" s="48"/>
      <c r="AM106" s="49"/>
      <c r="AN106" s="49">
        <v>21.1</v>
      </c>
      <c r="AO106" s="49"/>
      <c r="AP106" s="48"/>
      <c r="AQ106" s="48"/>
      <c r="AR106" s="48"/>
      <c r="AS106" s="34"/>
      <c r="AT106" s="48"/>
      <c r="AU106" s="36">
        <v>23.1</v>
      </c>
      <c r="AV106" s="34"/>
      <c r="AW106" s="50"/>
      <c r="AX106" s="48"/>
      <c r="AY106" s="50">
        <v>24</v>
      </c>
      <c r="AZ106" s="36"/>
      <c r="BA106" s="48"/>
      <c r="BB106" s="34"/>
      <c r="BC106" s="50"/>
      <c r="BD106" s="48"/>
      <c r="BE106" s="52">
        <v>23.2</v>
      </c>
      <c r="BF106" s="51"/>
      <c r="BG106" s="48"/>
      <c r="BH106" s="48"/>
      <c r="BI106" s="48"/>
      <c r="BJ106" s="48"/>
      <c r="BK106" s="48"/>
      <c r="BL106" s="51"/>
      <c r="BM106" s="51"/>
      <c r="BN106" s="51"/>
      <c r="BO106" s="39"/>
      <c r="BP106" s="51"/>
      <c r="BQ106" s="51"/>
      <c r="BR106" s="48"/>
      <c r="BS106" s="51"/>
      <c r="BT106" s="51"/>
      <c r="BU106" s="48"/>
      <c r="BV106" s="39"/>
      <c r="BW106" s="48"/>
      <c r="BX106" s="51"/>
      <c r="BY106" s="48"/>
      <c r="BZ106" s="48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48"/>
      <c r="CM106" s="51"/>
      <c r="CN106" s="51"/>
      <c r="CO106" s="51"/>
      <c r="CP106" s="48"/>
      <c r="CQ106" s="51"/>
      <c r="CR106" s="51"/>
      <c r="CS106" s="51"/>
      <c r="CT106" s="48"/>
      <c r="CU106" s="51"/>
      <c r="CV106" s="51"/>
      <c r="CW106" s="51"/>
      <c r="CX106" s="51"/>
      <c r="CY106" s="51"/>
      <c r="CZ106" s="51"/>
      <c r="DA106" s="37"/>
      <c r="DB106" s="51"/>
      <c r="DC106" s="51"/>
      <c r="DD106" s="51"/>
      <c r="DE106" s="51"/>
      <c r="DF106" s="51"/>
      <c r="DG106" s="51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  <c r="DS106" s="51"/>
      <c r="DT106" s="51"/>
      <c r="DU106" s="51"/>
      <c r="DV106" s="51"/>
      <c r="DW106" s="51"/>
      <c r="DX106" s="51"/>
      <c r="DY106" s="51"/>
      <c r="DZ106" s="51"/>
      <c r="EA106" s="39"/>
      <c r="EB106" s="39"/>
      <c r="EC106" s="40"/>
    </row>
    <row r="107" spans="1:133">
      <c r="A107" s="44"/>
      <c r="B107" s="45" t="s">
        <v>308</v>
      </c>
      <c r="C107" s="20" t="s">
        <v>309</v>
      </c>
      <c r="D107" s="21" t="s">
        <v>296</v>
      </c>
      <c r="E107" s="21"/>
      <c r="F107" s="22" t="s">
        <v>137</v>
      </c>
      <c r="G107" s="23" t="str" cm="1">
        <f t="array" ref="G107">IFERROR(LOOKUP(2,1/(K107:GC107&lt;&gt;""),K$2:DQL$2),"")</f>
        <v>5-Aug</v>
      </c>
      <c r="H107" s="24" cm="1">
        <f t="array" ref="H107">IFERROR(_xlfn.XLOOKUP(TRUE,P107:ED107&lt;&gt;"",P107:ED107,,,-1)," ")</f>
        <v>21</v>
      </c>
      <c r="I107" s="25">
        <v>25</v>
      </c>
      <c r="J107" s="25">
        <v>26.5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48">
        <v>17.2</v>
      </c>
      <c r="AF107" s="35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>
        <v>21</v>
      </c>
      <c r="AT107" s="34"/>
      <c r="AU107" s="34"/>
      <c r="AV107" s="34"/>
      <c r="AW107" s="34"/>
      <c r="AX107" s="34"/>
      <c r="AY107" s="34"/>
      <c r="AZ107" s="34"/>
      <c r="BA107" s="34"/>
      <c r="BB107" s="49"/>
      <c r="BC107" s="34"/>
      <c r="BD107" s="34"/>
      <c r="BE107" s="37"/>
      <c r="BF107" s="37"/>
      <c r="BG107" s="34"/>
      <c r="BH107" s="34"/>
      <c r="BI107" s="34"/>
      <c r="BJ107" s="34"/>
      <c r="BK107" s="34"/>
      <c r="BL107" s="37"/>
      <c r="BM107" s="37"/>
      <c r="BN107" s="34"/>
      <c r="BO107" s="36"/>
      <c r="BP107" s="37"/>
      <c r="BQ107" s="34"/>
      <c r="BR107" s="34"/>
      <c r="BS107" s="37"/>
      <c r="BT107" s="37"/>
      <c r="BU107" s="34"/>
      <c r="BV107" s="37"/>
      <c r="BW107" s="34"/>
      <c r="BX107" s="37"/>
      <c r="BY107" s="34"/>
      <c r="BZ107" s="34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4"/>
      <c r="CM107" s="37"/>
      <c r="CN107" s="37"/>
      <c r="CO107" s="37"/>
      <c r="CP107" s="34"/>
      <c r="CQ107" s="37"/>
      <c r="CR107" s="37"/>
      <c r="CS107" s="37"/>
      <c r="CT107" s="34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9"/>
      <c r="EB107" s="39"/>
      <c r="EC107" s="40"/>
    </row>
    <row r="108" spans="1:133">
      <c r="A108" s="44"/>
      <c r="B108" s="45" t="s">
        <v>308</v>
      </c>
      <c r="C108" s="20" t="s">
        <v>310</v>
      </c>
      <c r="D108" s="21" t="s">
        <v>296</v>
      </c>
      <c r="E108" s="21"/>
      <c r="F108" s="22" t="s">
        <v>137</v>
      </c>
      <c r="G108" s="23" t="str" cm="1">
        <f t="array" ref="G108">IFERROR(LOOKUP(2,1/(K108:GC108&lt;&gt;""),K$2:DQL$2),"")</f>
        <v>19-Aug</v>
      </c>
      <c r="H108" s="24" cm="1">
        <f t="array" ref="H108">IFERROR(_xlfn.XLOOKUP(TRUE,P108:ED108&lt;&gt;"",P108:ED108,,,-1)," ")</f>
        <v>21.9</v>
      </c>
      <c r="I108" s="25">
        <v>25</v>
      </c>
      <c r="J108" s="25">
        <v>26.5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34"/>
      <c r="AF108" s="35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>
        <v>21.2</v>
      </c>
      <c r="AY108" s="34"/>
      <c r="AZ108" s="34"/>
      <c r="BA108" s="34"/>
      <c r="BB108" s="34"/>
      <c r="BC108" s="34"/>
      <c r="BD108" s="34"/>
      <c r="BE108" s="37"/>
      <c r="BF108" s="37"/>
      <c r="BG108" s="36">
        <v>21.9</v>
      </c>
      <c r="BH108" s="34"/>
      <c r="BI108" s="34"/>
      <c r="BJ108" s="34"/>
      <c r="BK108" s="34"/>
      <c r="BL108" s="37"/>
      <c r="BM108" s="37"/>
      <c r="BN108" s="34"/>
      <c r="BO108" s="34"/>
      <c r="BP108" s="37"/>
      <c r="BQ108" s="34"/>
      <c r="BR108" s="34"/>
      <c r="BS108" s="37"/>
      <c r="BT108" s="37"/>
      <c r="BU108" s="34"/>
      <c r="BV108" s="37"/>
      <c r="BW108" s="34"/>
      <c r="BX108" s="37"/>
      <c r="BY108" s="34"/>
      <c r="BZ108" s="34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4"/>
      <c r="CM108" s="37"/>
      <c r="CN108" s="37"/>
      <c r="CO108" s="37"/>
      <c r="CP108" s="34"/>
      <c r="CQ108" s="37"/>
      <c r="CR108" s="37"/>
      <c r="CS108" s="37"/>
      <c r="CT108" s="34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9"/>
      <c r="EB108" s="39"/>
      <c r="EC108" s="40"/>
    </row>
    <row r="109" spans="1:133">
      <c r="A109" s="44"/>
      <c r="B109" s="45" t="s">
        <v>308</v>
      </c>
      <c r="C109" s="20" t="s">
        <v>311</v>
      </c>
      <c r="D109" s="21" t="s">
        <v>296</v>
      </c>
      <c r="E109" s="21"/>
      <c r="F109" s="22" t="s">
        <v>137</v>
      </c>
      <c r="G109" s="23" t="str" cm="1">
        <f t="array" ref="G109">IFERROR(LOOKUP(2,1/(K109:GC109&lt;&gt;""),K$2:DQL$2),"")</f>
        <v>19-Aug</v>
      </c>
      <c r="H109" s="24" cm="1">
        <f t="array" ref="H109">IFERROR(_xlfn.XLOOKUP(TRUE,P109:ED109&lt;&gt;"",P109:ED109,,,-1)," ")</f>
        <v>22</v>
      </c>
      <c r="I109" s="25">
        <v>25</v>
      </c>
      <c r="J109" s="25">
        <v>26.5</v>
      </c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34"/>
      <c r="AF109" s="35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>
        <v>21.9</v>
      </c>
      <c r="AY109" s="34"/>
      <c r="AZ109" s="34"/>
      <c r="BA109" s="34"/>
      <c r="BB109" s="34"/>
      <c r="BC109" s="34"/>
      <c r="BD109" s="34"/>
      <c r="BE109" s="37"/>
      <c r="BF109" s="37"/>
      <c r="BG109" s="34">
        <v>22</v>
      </c>
      <c r="BH109" s="34"/>
      <c r="BI109" s="34"/>
      <c r="BJ109" s="34"/>
      <c r="BK109" s="34"/>
      <c r="BL109" s="37"/>
      <c r="BM109" s="37"/>
      <c r="BN109" s="34"/>
      <c r="BO109" s="36"/>
      <c r="BP109" s="37"/>
      <c r="BQ109" s="34"/>
      <c r="BR109" s="34"/>
      <c r="BS109" s="37"/>
      <c r="BT109" s="37"/>
      <c r="BU109" s="34"/>
      <c r="BV109" s="37"/>
      <c r="BW109" s="34"/>
      <c r="BX109" s="37"/>
      <c r="BY109" s="34"/>
      <c r="BZ109" s="34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4"/>
      <c r="CM109" s="37"/>
      <c r="CN109" s="37"/>
      <c r="CO109" s="37"/>
      <c r="CP109" s="34"/>
      <c r="CQ109" s="37"/>
      <c r="CR109" s="37"/>
      <c r="CS109" s="37"/>
      <c r="CT109" s="34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9"/>
      <c r="EB109" s="39"/>
      <c r="EC109" s="40"/>
    </row>
    <row r="110" spans="1:133">
      <c r="A110" s="44"/>
      <c r="B110" s="45" t="s">
        <v>297</v>
      </c>
      <c r="C110" s="20" t="s">
        <v>312</v>
      </c>
      <c r="D110" s="21" t="s">
        <v>296</v>
      </c>
      <c r="E110" s="21"/>
      <c r="F110" s="22"/>
      <c r="G110" s="23" t="str" cm="1">
        <f t="array" ref="G110">IFERROR(LOOKUP(2,1/(K110:GC110&lt;&gt;""),K$2:DQL$2),"")</f>
        <v>4-Aug</v>
      </c>
      <c r="H110" s="24" cm="1">
        <f t="array" ref="H110">IFERROR(_xlfn.XLOOKUP(TRUE,P110:ED110&lt;&gt;"",P110:ED110,,,-1)," ")</f>
        <v>23.2</v>
      </c>
      <c r="I110" s="25">
        <v>23</v>
      </c>
      <c r="J110" s="25">
        <v>24.5</v>
      </c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>
        <v>17.399999999999999</v>
      </c>
      <c r="X110" s="25"/>
      <c r="Y110" s="25"/>
      <c r="Z110" s="25"/>
      <c r="AA110" s="25"/>
      <c r="AB110" s="25"/>
      <c r="AC110" s="25"/>
      <c r="AD110" s="25"/>
      <c r="AE110" s="34">
        <v>20.100000000000001</v>
      </c>
      <c r="AF110" s="35"/>
      <c r="AG110" s="34"/>
      <c r="AH110" s="34"/>
      <c r="AI110" s="34"/>
      <c r="AJ110" s="248">
        <v>21.4</v>
      </c>
      <c r="AK110" s="34"/>
      <c r="AL110" s="34"/>
      <c r="AM110" s="34"/>
      <c r="AN110" s="34"/>
      <c r="AO110" s="34"/>
      <c r="AP110" s="34"/>
      <c r="AQ110" s="34">
        <v>23.2</v>
      </c>
      <c r="AR110" s="36">
        <v>23.2</v>
      </c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6"/>
      <c r="BD110" s="36"/>
      <c r="BE110" s="38"/>
      <c r="BF110" s="37"/>
      <c r="BG110" s="36"/>
      <c r="BH110" s="36"/>
      <c r="BI110" s="34"/>
      <c r="BJ110" s="34"/>
      <c r="BK110" s="34"/>
      <c r="BL110" s="37"/>
      <c r="BM110" s="37"/>
      <c r="BN110" s="37"/>
      <c r="BO110" s="37"/>
      <c r="BP110" s="37"/>
      <c r="BQ110" s="37"/>
      <c r="BR110" s="34"/>
      <c r="BS110" s="37"/>
      <c r="BT110" s="37"/>
      <c r="BU110" s="34"/>
      <c r="BV110" s="37"/>
      <c r="BW110" s="34"/>
      <c r="BX110" s="37"/>
      <c r="BY110" s="34"/>
      <c r="BZ110" s="34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4"/>
      <c r="CM110" s="37"/>
      <c r="CN110" s="37"/>
      <c r="CO110" s="37"/>
      <c r="CP110" s="34"/>
      <c r="CQ110" s="37"/>
      <c r="CR110" s="37"/>
      <c r="CS110" s="37"/>
      <c r="CT110" s="34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9"/>
      <c r="EB110" s="39"/>
      <c r="EC110" s="40"/>
    </row>
    <row r="111" spans="1:133" hidden="1">
      <c r="A111" s="44" t="s">
        <v>138</v>
      </c>
      <c r="B111" s="45" t="s">
        <v>313</v>
      </c>
      <c r="C111" s="20" t="s">
        <v>314</v>
      </c>
      <c r="D111" s="21" t="s">
        <v>296</v>
      </c>
      <c r="E111" s="21"/>
      <c r="F111" s="22" t="s">
        <v>137</v>
      </c>
      <c r="G111" s="23" t="str" cm="1">
        <f t="array" ref="G111">IFERROR(LOOKUP(2,1/(K111:GC111&lt;&gt;""),K$2:DQL$2),"")</f>
        <v>4-Aug</v>
      </c>
      <c r="H111" s="24" cm="1">
        <f t="array" ref="H111">IFERROR(_xlfn.XLOOKUP(TRUE,P111:ED111&lt;&gt;"",P111:ED111,,,-1)," ")</f>
        <v>23</v>
      </c>
      <c r="I111" s="25">
        <v>23</v>
      </c>
      <c r="J111" s="25">
        <v>24.5</v>
      </c>
      <c r="K111" s="25"/>
      <c r="L111" s="25"/>
      <c r="M111" s="25"/>
      <c r="N111" s="25"/>
      <c r="O111" s="25"/>
      <c r="P111" s="25"/>
      <c r="Q111" s="25"/>
      <c r="R111" s="25">
        <v>13.2</v>
      </c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>
        <v>17.3</v>
      </c>
      <c r="AD111" s="25"/>
      <c r="AE111" s="34"/>
      <c r="AF111" s="35">
        <v>18.899999999999999</v>
      </c>
      <c r="AG111" s="34"/>
      <c r="AH111" s="34"/>
      <c r="AI111" s="34"/>
      <c r="AJ111" s="34"/>
      <c r="AK111" s="34"/>
      <c r="AL111" s="34">
        <v>21.2</v>
      </c>
      <c r="AM111" s="34"/>
      <c r="AN111" s="34"/>
      <c r="AO111" s="34"/>
      <c r="AP111" s="36"/>
      <c r="AQ111" s="34"/>
      <c r="AR111" s="36">
        <v>23</v>
      </c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6"/>
      <c r="BD111" s="36"/>
      <c r="BE111" s="37"/>
      <c r="BF111" s="37"/>
      <c r="BG111" s="34"/>
      <c r="BH111" s="36"/>
      <c r="BI111" s="36"/>
      <c r="BJ111" s="34"/>
      <c r="BK111" s="34"/>
      <c r="BL111" s="37"/>
      <c r="BM111" s="37"/>
      <c r="BN111" s="37"/>
      <c r="BO111" s="37"/>
      <c r="BP111" s="37"/>
      <c r="BQ111" s="37"/>
      <c r="BR111" s="34"/>
      <c r="BS111" s="37"/>
      <c r="BT111" s="37"/>
      <c r="BU111" s="34"/>
      <c r="BV111" s="37"/>
      <c r="BW111" s="34"/>
      <c r="BX111" s="37"/>
      <c r="BY111" s="34"/>
      <c r="BZ111" s="34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4"/>
      <c r="CM111" s="37"/>
      <c r="CN111" s="37"/>
      <c r="CO111" s="37"/>
      <c r="CP111" s="34"/>
      <c r="CQ111" s="37"/>
      <c r="CR111" s="37"/>
      <c r="CS111" s="37"/>
      <c r="CT111" s="34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9"/>
      <c r="EB111" s="39"/>
      <c r="EC111" s="40"/>
    </row>
    <row r="112" spans="1:133" hidden="1">
      <c r="A112" s="44" t="s">
        <v>138</v>
      </c>
      <c r="B112" s="22"/>
      <c r="C112" s="20" t="s">
        <v>315</v>
      </c>
      <c r="D112" s="21" t="s">
        <v>296</v>
      </c>
      <c r="E112" s="21"/>
      <c r="F112" s="22"/>
      <c r="G112" s="23" t="str" cm="1">
        <f t="array" ref="G112">IFERROR(LOOKUP(2,1/(K112:GC112&lt;&gt;""),K$2:DQL$2),"")</f>
        <v>12-Aug</v>
      </c>
      <c r="H112" s="24" cm="1">
        <f t="array" ref="H112">IFERROR(_xlfn.XLOOKUP(TRUE,P112:ED112&lt;&gt;"",P112:ED112,,,-1)," ")</f>
        <v>24.5</v>
      </c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>
        <v>24.5</v>
      </c>
      <c r="BA112" s="34"/>
      <c r="BB112" s="34"/>
      <c r="BC112" s="34"/>
      <c r="BD112" s="34"/>
      <c r="BE112" s="37"/>
      <c r="BF112" s="37"/>
      <c r="BG112" s="34"/>
      <c r="BH112" s="34"/>
      <c r="BI112" s="34"/>
      <c r="BJ112" s="34"/>
      <c r="BK112" s="34"/>
      <c r="BL112" s="34"/>
      <c r="BM112" s="37"/>
      <c r="BN112" s="34"/>
      <c r="BO112" s="34"/>
      <c r="BP112" s="34"/>
      <c r="BQ112" s="34"/>
      <c r="BR112" s="34"/>
      <c r="BS112" s="37"/>
      <c r="BT112" s="37"/>
      <c r="BU112" s="34"/>
      <c r="BV112" s="34"/>
      <c r="BW112" s="34"/>
      <c r="BX112" s="37"/>
      <c r="BY112" s="34"/>
      <c r="BZ112" s="36"/>
      <c r="CA112" s="37"/>
      <c r="CB112" s="37"/>
      <c r="CC112" s="34"/>
      <c r="CD112" s="37"/>
      <c r="CE112" s="37"/>
      <c r="CF112" s="37"/>
      <c r="CG112" s="37"/>
      <c r="CH112" s="37"/>
      <c r="CI112" s="37"/>
      <c r="CJ112" s="37"/>
      <c r="CK112" s="37"/>
      <c r="CL112" s="34"/>
      <c r="CM112" s="37"/>
      <c r="CN112" s="37"/>
      <c r="CO112" s="37"/>
      <c r="CP112" s="34"/>
      <c r="CQ112" s="37"/>
      <c r="CR112" s="34"/>
      <c r="CS112" s="37"/>
      <c r="CT112" s="34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9"/>
      <c r="EB112" s="39"/>
      <c r="EC112" s="40"/>
    </row>
    <row r="113" spans="1:133" hidden="1">
      <c r="A113" s="44" t="s">
        <v>138</v>
      </c>
      <c r="B113" s="45" t="s">
        <v>316</v>
      </c>
      <c r="C113" s="20" t="s">
        <v>317</v>
      </c>
      <c r="D113" s="21" t="s">
        <v>296</v>
      </c>
      <c r="E113" s="21"/>
      <c r="F113" s="22" t="s">
        <v>318</v>
      </c>
      <c r="G113" s="23" t="str" cm="1">
        <f t="array" ref="G113">IFERROR(LOOKUP(2,1/(K113:GC113&lt;&gt;""),K$2:DQL$2),"")</f>
        <v>5-Aug</v>
      </c>
      <c r="H113" s="24" cm="1">
        <f t="array" ref="H113">IFERROR(_xlfn.XLOOKUP(TRUE,P113:ED113&lt;&gt;"",P113:ED113,,,-1)," ")</f>
        <v>23</v>
      </c>
      <c r="I113" s="25">
        <v>22.5</v>
      </c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42">
        <v>18.7</v>
      </c>
      <c r="AD113" s="25"/>
      <c r="AE113" s="34"/>
      <c r="AF113" s="35">
        <v>19.2</v>
      </c>
      <c r="AG113" s="34"/>
      <c r="AH113" s="34"/>
      <c r="AI113" s="34"/>
      <c r="AJ113" s="34"/>
      <c r="AK113" s="34"/>
      <c r="AL113" s="34"/>
      <c r="AM113" s="34">
        <v>21.4</v>
      </c>
      <c r="AN113" s="34"/>
      <c r="AO113" s="34"/>
      <c r="AP113" s="34"/>
      <c r="AQ113" s="34"/>
      <c r="AR113" s="34"/>
      <c r="AS113" s="34">
        <v>23</v>
      </c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7"/>
      <c r="BF113" s="37"/>
      <c r="BG113" s="34"/>
      <c r="BH113" s="34"/>
      <c r="BI113" s="34"/>
      <c r="BJ113" s="34"/>
      <c r="BK113" s="34"/>
      <c r="BL113" s="37"/>
      <c r="BM113" s="37"/>
      <c r="BN113" s="34"/>
      <c r="BO113" s="34"/>
      <c r="BP113" s="37"/>
      <c r="BQ113" s="34"/>
      <c r="BR113" s="34"/>
      <c r="BS113" s="37"/>
      <c r="BT113" s="37"/>
      <c r="BU113" s="34"/>
      <c r="BV113" s="34"/>
      <c r="BW113" s="34"/>
      <c r="BX113" s="37"/>
      <c r="BY113" s="34"/>
      <c r="BZ113" s="34"/>
      <c r="CA113" s="37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7"/>
      <c r="CN113" s="37"/>
      <c r="CO113" s="37"/>
      <c r="CP113" s="34"/>
      <c r="CQ113" s="37"/>
      <c r="CR113" s="37"/>
      <c r="CS113" s="37"/>
      <c r="CT113" s="34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9"/>
      <c r="EB113" s="39"/>
      <c r="EC113" s="40"/>
    </row>
    <row r="114" spans="1:133" hidden="1">
      <c r="A114" s="44" t="s">
        <v>138</v>
      </c>
      <c r="B114" s="45" t="s">
        <v>319</v>
      </c>
      <c r="C114" s="20" t="s">
        <v>320</v>
      </c>
      <c r="D114" s="21" t="s">
        <v>296</v>
      </c>
      <c r="E114" s="21"/>
      <c r="F114" s="25" t="s">
        <v>318</v>
      </c>
      <c r="G114" s="23" t="str" cm="1">
        <f t="array" ref="G114">IFERROR(LOOKUP(2,1/(K114:GC114&lt;&gt;""),K$2:DQL$2),"")</f>
        <v>5-Aug</v>
      </c>
      <c r="H114" s="24" cm="1">
        <f t="array" ref="H114">IFERROR(_xlfn.XLOOKUP(TRUE,P114:ED114&lt;&gt;"",P114:ED114,,,-1)," ")</f>
        <v>23.2</v>
      </c>
      <c r="I114" s="25">
        <v>22.5</v>
      </c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42">
        <v>19.2</v>
      </c>
      <c r="AD114" s="25"/>
      <c r="AE114" s="34"/>
      <c r="AF114" s="35">
        <v>20.2</v>
      </c>
      <c r="AG114" s="34"/>
      <c r="AH114" s="34"/>
      <c r="AI114" s="34"/>
      <c r="AJ114" s="34"/>
      <c r="AK114" s="34"/>
      <c r="AL114" s="34"/>
      <c r="AM114" s="34">
        <v>22.1</v>
      </c>
      <c r="AN114" s="34"/>
      <c r="AO114" s="34"/>
      <c r="AP114" s="34"/>
      <c r="AQ114" s="34"/>
      <c r="AR114" s="34"/>
      <c r="AS114" s="34">
        <v>23.2</v>
      </c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7"/>
      <c r="BF114" s="37"/>
      <c r="BG114" s="34"/>
      <c r="BH114" s="34"/>
      <c r="BI114" s="34"/>
      <c r="BJ114" s="34"/>
      <c r="BK114" s="34"/>
      <c r="BL114" s="37"/>
      <c r="BM114" s="37"/>
      <c r="BN114" s="34"/>
      <c r="BO114" s="34"/>
      <c r="BP114" s="37"/>
      <c r="BQ114" s="38"/>
      <c r="BR114" s="34"/>
      <c r="BS114" s="37"/>
      <c r="BT114" s="37"/>
      <c r="BU114" s="34"/>
      <c r="BV114" s="37"/>
      <c r="BW114" s="34"/>
      <c r="BX114" s="37"/>
      <c r="BY114" s="34"/>
      <c r="BZ114" s="34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4"/>
      <c r="CM114" s="37"/>
      <c r="CN114" s="37"/>
      <c r="CO114" s="37"/>
      <c r="CP114" s="34"/>
      <c r="CQ114" s="37"/>
      <c r="CR114" s="37"/>
      <c r="CS114" s="37"/>
      <c r="CT114" s="34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9"/>
      <c r="EB114" s="39"/>
      <c r="EC114" s="40"/>
    </row>
    <row r="115" spans="1:133">
      <c r="A115" s="44"/>
      <c r="B115" s="45" t="s">
        <v>321</v>
      </c>
      <c r="C115" s="20" t="s">
        <v>322</v>
      </c>
      <c r="D115" s="21" t="s">
        <v>296</v>
      </c>
      <c r="E115" s="21"/>
      <c r="F115" s="22"/>
      <c r="G115" s="23" t="str" cm="1">
        <f t="array" ref="G115">IFERROR(LOOKUP(2,1/(K115:GC115&lt;&gt;""),K$2:DQL$2),"")</f>
        <v>18-Aug</v>
      </c>
      <c r="H115" s="24" cm="1">
        <f t="array" ref="H115">IFERROR(_xlfn.XLOOKUP(TRUE,P115:ED115&lt;&gt;"",P115:ED115,,,-1)," ")</f>
        <v>21.3</v>
      </c>
      <c r="I115" s="25">
        <v>23</v>
      </c>
      <c r="J115" s="25">
        <v>24.5</v>
      </c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34"/>
      <c r="AF115" s="35"/>
      <c r="AG115" s="34"/>
      <c r="AH115" s="34"/>
      <c r="AI115" s="34"/>
      <c r="AJ115" s="34"/>
      <c r="AK115" s="34"/>
      <c r="AL115" s="34"/>
      <c r="AM115" s="34"/>
      <c r="AN115" s="34"/>
      <c r="AO115" s="34"/>
      <c r="AP115" s="36"/>
      <c r="AQ115" s="34"/>
      <c r="AR115" s="34"/>
      <c r="AS115" s="34"/>
      <c r="AT115" s="34"/>
      <c r="AU115" s="34"/>
      <c r="AV115" s="34"/>
      <c r="AW115" s="34"/>
      <c r="AX115" s="34" t="s">
        <v>323</v>
      </c>
      <c r="AY115" s="34"/>
      <c r="AZ115" s="34"/>
      <c r="BA115" s="34"/>
      <c r="BB115" s="34"/>
      <c r="BC115" s="34"/>
      <c r="BD115" s="34"/>
      <c r="BE115" s="37"/>
      <c r="BF115" s="37">
        <v>21.3</v>
      </c>
      <c r="BG115" s="36"/>
      <c r="BH115" s="34"/>
      <c r="BI115" s="34"/>
      <c r="BJ115" s="34"/>
      <c r="BK115" s="34"/>
      <c r="BL115" s="37"/>
      <c r="BM115" s="37"/>
      <c r="BN115" s="37"/>
      <c r="BO115" s="37"/>
      <c r="BP115" s="37"/>
      <c r="BQ115" s="38"/>
      <c r="BR115" s="34"/>
      <c r="BS115" s="37"/>
      <c r="BT115" s="37"/>
      <c r="BU115" s="34"/>
      <c r="BV115" s="37"/>
      <c r="BW115" s="34"/>
      <c r="BX115" s="37"/>
      <c r="BY115" s="34"/>
      <c r="BZ115" s="34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4"/>
      <c r="CM115" s="37"/>
      <c r="CN115" s="37"/>
      <c r="CO115" s="37"/>
      <c r="CP115" s="34"/>
      <c r="CQ115" s="37"/>
      <c r="CR115" s="37"/>
      <c r="CS115" s="37"/>
      <c r="CT115" s="34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9"/>
      <c r="EB115" s="39"/>
      <c r="EC115" s="40"/>
    </row>
    <row r="116" spans="1:133" hidden="1">
      <c r="A116" s="44" t="s">
        <v>138</v>
      </c>
      <c r="B116" s="45" t="s">
        <v>324</v>
      </c>
      <c r="C116" s="20" t="s">
        <v>325</v>
      </c>
      <c r="D116" s="21" t="s">
        <v>296</v>
      </c>
      <c r="E116" s="21"/>
      <c r="F116" s="57" t="s">
        <v>137</v>
      </c>
      <c r="G116" s="23" t="str" cm="1">
        <f t="array" ref="G116">IFERROR(LOOKUP(2,1/(K116:GC116&lt;&gt;""),K$2:DQL$2),"")</f>
        <v>6-Aug</v>
      </c>
      <c r="H116" s="24" cm="1">
        <f t="array" ref="H116">IFERROR(_xlfn.XLOOKUP(TRUE,P116:ED116&lt;&gt;"",P116:ED116,,,-1)," ")</f>
        <v>23.9</v>
      </c>
      <c r="I116" s="25">
        <v>23</v>
      </c>
      <c r="J116" s="25">
        <v>24.5</v>
      </c>
      <c r="K116" s="25"/>
      <c r="L116" s="25"/>
      <c r="M116" s="25"/>
      <c r="N116" s="25"/>
      <c r="O116" s="25"/>
      <c r="P116" s="25">
        <v>16.8</v>
      </c>
      <c r="Q116" s="217">
        <v>15.3</v>
      </c>
      <c r="R116" s="25"/>
      <c r="S116" s="25"/>
      <c r="T116" s="25"/>
      <c r="U116" s="25"/>
      <c r="V116" s="25"/>
      <c r="W116" s="25"/>
      <c r="X116" s="25"/>
      <c r="Y116" s="25"/>
      <c r="Z116" s="25">
        <v>19.3</v>
      </c>
      <c r="AA116" s="25"/>
      <c r="AB116" s="25"/>
      <c r="AC116" s="25"/>
      <c r="AD116" s="25"/>
      <c r="AE116" s="34"/>
      <c r="AF116" s="35"/>
      <c r="AG116" s="34">
        <v>20.399999999999999</v>
      </c>
      <c r="AH116" s="34"/>
      <c r="AI116" s="34"/>
      <c r="AJ116" s="34"/>
      <c r="AK116" s="34"/>
      <c r="AL116" s="34"/>
      <c r="AM116" s="34">
        <v>21.1</v>
      </c>
      <c r="AN116" s="34"/>
      <c r="AO116" s="34"/>
      <c r="AP116" s="34"/>
      <c r="AQ116" s="34"/>
      <c r="AR116" s="34"/>
      <c r="AS116" s="34"/>
      <c r="AT116" s="36">
        <v>23.9</v>
      </c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7"/>
      <c r="BF116" s="38"/>
      <c r="BG116" s="34"/>
      <c r="BH116" s="34"/>
      <c r="BI116" s="34"/>
      <c r="BJ116" s="34"/>
      <c r="BK116" s="34"/>
      <c r="BL116" s="37"/>
      <c r="BM116" s="37"/>
      <c r="BN116" s="37"/>
      <c r="BO116" s="37"/>
      <c r="BP116" s="37"/>
      <c r="BQ116" s="37"/>
      <c r="BR116" s="34"/>
      <c r="BS116" s="37"/>
      <c r="BT116" s="37"/>
      <c r="BU116" s="34"/>
      <c r="BV116" s="37"/>
      <c r="BW116" s="34"/>
      <c r="BX116" s="37"/>
      <c r="BY116" s="34"/>
      <c r="BZ116" s="34"/>
      <c r="CA116" s="37"/>
      <c r="CB116" s="38"/>
      <c r="CC116" s="37"/>
      <c r="CD116" s="37"/>
      <c r="CE116" s="37"/>
      <c r="CF116" s="37"/>
      <c r="CG116" s="37"/>
      <c r="CH116" s="37"/>
      <c r="CI116" s="37"/>
      <c r="CJ116" s="37"/>
      <c r="CK116" s="37"/>
      <c r="CL116" s="34"/>
      <c r="CM116" s="37"/>
      <c r="CN116" s="37"/>
      <c r="CO116" s="37"/>
      <c r="CP116" s="34"/>
      <c r="CQ116" s="37"/>
      <c r="CR116" s="37"/>
      <c r="CS116" s="37"/>
      <c r="CT116" s="34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9"/>
      <c r="EB116" s="39"/>
      <c r="EC116" s="40"/>
    </row>
    <row r="117" spans="1:133" hidden="1">
      <c r="A117" s="44" t="s">
        <v>138</v>
      </c>
      <c r="B117" s="45" t="s">
        <v>326</v>
      </c>
      <c r="C117" s="20" t="s">
        <v>327</v>
      </c>
      <c r="D117" s="21" t="s">
        <v>296</v>
      </c>
      <c r="E117" s="21"/>
      <c r="F117" s="22" t="s">
        <v>137</v>
      </c>
      <c r="G117" s="23" t="str" cm="1">
        <f t="array" ref="G117">IFERROR(LOOKUP(2,1/(K117:GC117&lt;&gt;""),K$2:DQL$2),"")</f>
        <v>14-Jul</v>
      </c>
      <c r="H117" s="24" cm="1">
        <f t="array" ref="H117">IFERROR(_xlfn.XLOOKUP(TRUE,P117:ED117&lt;&gt;"",P117:ED117,,,-1)," ")</f>
        <v>19.5</v>
      </c>
      <c r="I117" s="25">
        <v>17.5</v>
      </c>
      <c r="J117" s="25">
        <v>19</v>
      </c>
      <c r="K117" s="25"/>
      <c r="L117" s="25"/>
      <c r="M117" s="25"/>
      <c r="N117" s="25"/>
      <c r="O117" s="25"/>
      <c r="P117" s="25">
        <v>17.2</v>
      </c>
      <c r="Q117" s="25"/>
      <c r="R117" s="217">
        <v>18.5</v>
      </c>
      <c r="S117" s="25"/>
      <c r="T117" s="25"/>
      <c r="U117" s="25"/>
      <c r="V117" s="217">
        <v>19.5</v>
      </c>
      <c r="W117" s="217">
        <v>19.5</v>
      </c>
      <c r="X117" s="25"/>
      <c r="Y117" s="25"/>
      <c r="Z117" s="25"/>
      <c r="AA117" s="25"/>
      <c r="AB117" s="25"/>
      <c r="AC117" s="25"/>
      <c r="AD117" s="25"/>
      <c r="AE117" s="34"/>
      <c r="AF117" s="35"/>
      <c r="AG117" s="34"/>
      <c r="AH117" s="34"/>
      <c r="AI117" s="34"/>
      <c r="AJ117" s="34"/>
      <c r="AK117" s="34"/>
      <c r="AL117" s="34"/>
      <c r="AM117" s="34"/>
      <c r="AN117" s="34"/>
      <c r="AO117" s="34"/>
      <c r="AP117" s="36"/>
      <c r="AQ117" s="34"/>
      <c r="AR117" s="34"/>
      <c r="AS117" s="36"/>
      <c r="AT117" s="36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7"/>
      <c r="BF117" s="37"/>
      <c r="BG117" s="34"/>
      <c r="BH117" s="34"/>
      <c r="BI117" s="34"/>
      <c r="BJ117" s="34"/>
      <c r="BK117" s="34"/>
      <c r="BL117" s="37"/>
      <c r="BM117" s="37"/>
      <c r="BN117" s="37"/>
      <c r="BO117" s="37"/>
      <c r="BP117" s="38"/>
      <c r="BQ117" s="37"/>
      <c r="BR117" s="34"/>
      <c r="BS117" s="37"/>
      <c r="BT117" s="37"/>
      <c r="BU117" s="34"/>
      <c r="BV117" s="37"/>
      <c r="BW117" s="34"/>
      <c r="BX117" s="37"/>
      <c r="BY117" s="34"/>
      <c r="BZ117" s="34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4"/>
      <c r="CM117" s="37"/>
      <c r="CN117" s="37"/>
      <c r="CO117" s="37"/>
      <c r="CP117" s="34"/>
      <c r="CQ117" s="37"/>
      <c r="CR117" s="37"/>
      <c r="CS117" s="37"/>
      <c r="CT117" s="34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9"/>
      <c r="EB117" s="39"/>
      <c r="EC117" s="40"/>
    </row>
    <row r="118" spans="1:133" hidden="1">
      <c r="A118" s="44" t="s">
        <v>138</v>
      </c>
      <c r="B118" s="22"/>
      <c r="C118" s="20" t="s">
        <v>328</v>
      </c>
      <c r="D118" s="21" t="s">
        <v>296</v>
      </c>
      <c r="E118" s="21"/>
      <c r="F118" s="22" t="s">
        <v>137</v>
      </c>
      <c r="G118" s="23" t="str" cm="1">
        <f t="array" ref="G118">IFERROR(LOOKUP(2,1/(K118:GC118&lt;&gt;""),K$2:DQL$2),"")</f>
        <v>4-Aug</v>
      </c>
      <c r="H118" s="24" cm="1">
        <f t="array" ref="H118">IFERROR(_xlfn.XLOOKUP(TRUE,P118:ED118&lt;&gt;"",P118:ED118,,,-1)," ")</f>
        <v>25.4</v>
      </c>
      <c r="I118" s="25">
        <v>23</v>
      </c>
      <c r="J118" s="25">
        <v>24.5</v>
      </c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65">
        <v>20.5</v>
      </c>
      <c r="AD118" s="25"/>
      <c r="AE118" s="34"/>
      <c r="AF118" s="34"/>
      <c r="AG118" s="34"/>
      <c r="AH118" s="34"/>
      <c r="AI118" s="34"/>
      <c r="AJ118" s="34"/>
      <c r="AK118" s="34">
        <v>21.9</v>
      </c>
      <c r="AL118" s="34"/>
      <c r="AM118" s="34"/>
      <c r="AN118" s="34"/>
      <c r="AO118" s="34"/>
      <c r="AP118" s="34"/>
      <c r="AQ118" s="34">
        <v>24</v>
      </c>
      <c r="AR118" s="36">
        <v>25.4</v>
      </c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7"/>
      <c r="BF118" s="37"/>
      <c r="BG118" s="34"/>
      <c r="BH118" s="34"/>
      <c r="BI118" s="34"/>
      <c r="BJ118" s="34"/>
      <c r="BK118" s="34"/>
      <c r="BL118" s="34"/>
      <c r="BM118" s="37"/>
      <c r="BN118" s="34"/>
      <c r="BO118" s="34"/>
      <c r="BP118" s="34"/>
      <c r="BQ118" s="34"/>
      <c r="BR118" s="34"/>
      <c r="BS118" s="37"/>
      <c r="BT118" s="37"/>
      <c r="BU118" s="34"/>
      <c r="BV118" s="34"/>
      <c r="BW118" s="34"/>
      <c r="BX118" s="37"/>
      <c r="BY118" s="34"/>
      <c r="BZ118" s="36"/>
      <c r="CA118" s="37"/>
      <c r="CB118" s="37"/>
      <c r="CC118" s="34"/>
      <c r="CD118" s="37"/>
      <c r="CE118" s="37"/>
      <c r="CF118" s="37"/>
      <c r="CG118" s="37"/>
      <c r="CH118" s="37"/>
      <c r="CI118" s="37"/>
      <c r="CJ118" s="37"/>
      <c r="CK118" s="37"/>
      <c r="CL118" s="34"/>
      <c r="CM118" s="37"/>
      <c r="CN118" s="37"/>
      <c r="CO118" s="37"/>
      <c r="CP118" s="34"/>
      <c r="CQ118" s="37"/>
      <c r="CR118" s="34"/>
      <c r="CS118" s="37"/>
      <c r="CT118" s="34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9"/>
      <c r="EB118" s="39"/>
      <c r="EC118" s="40"/>
    </row>
    <row r="119" spans="1:133" hidden="1">
      <c r="A119" s="44" t="s">
        <v>138</v>
      </c>
      <c r="B119" s="45" t="s">
        <v>329</v>
      </c>
      <c r="C119" s="20" t="s">
        <v>330</v>
      </c>
      <c r="D119" s="21" t="s">
        <v>296</v>
      </c>
      <c r="E119" s="21"/>
      <c r="F119" s="22" t="s">
        <v>137</v>
      </c>
      <c r="G119" s="23" t="str" cm="1">
        <f t="array" ref="G119">IFERROR(LOOKUP(2,1/(K119:GC119&lt;&gt;""),K$2:DQL$2),"")</f>
        <v>5-Aug</v>
      </c>
      <c r="H119" s="24" cm="1">
        <f t="array" ref="H119">IFERROR(_xlfn.XLOOKUP(TRUE,P119:ED119&lt;&gt;"",P119:ED119,,,-1)," ")</f>
        <v>25.1</v>
      </c>
      <c r="I119" s="25">
        <v>23</v>
      </c>
      <c r="J119" s="25">
        <v>24.5</v>
      </c>
      <c r="K119" s="25"/>
      <c r="L119" s="25"/>
      <c r="M119" s="25"/>
      <c r="N119" s="25"/>
      <c r="O119" s="25"/>
      <c r="P119" s="25"/>
      <c r="Q119" s="25"/>
      <c r="R119" s="25">
        <v>16.3</v>
      </c>
      <c r="S119" s="25"/>
      <c r="T119" s="25"/>
      <c r="U119" s="25"/>
      <c r="V119" s="25"/>
      <c r="W119" s="25"/>
      <c r="X119" s="25"/>
      <c r="Y119" s="25">
        <v>20.3</v>
      </c>
      <c r="Z119" s="25"/>
      <c r="AA119" s="25"/>
      <c r="AB119" s="25"/>
      <c r="AC119" s="25"/>
      <c r="AD119" s="25"/>
      <c r="AE119" s="34"/>
      <c r="AF119" s="35">
        <v>21.3</v>
      </c>
      <c r="AG119" s="34"/>
      <c r="AH119" s="34"/>
      <c r="AI119" s="34"/>
      <c r="AJ119" s="34"/>
      <c r="AK119" s="34"/>
      <c r="AL119" s="34"/>
      <c r="AM119" s="34"/>
      <c r="AN119" s="34"/>
      <c r="AO119" s="34"/>
      <c r="AP119" s="36"/>
      <c r="AQ119" s="34"/>
      <c r="AR119" s="34"/>
      <c r="AS119" s="36">
        <v>25.1</v>
      </c>
      <c r="AT119" s="34"/>
      <c r="AU119" s="34"/>
      <c r="AV119" s="34"/>
      <c r="AW119" s="36"/>
      <c r="AX119" s="34"/>
      <c r="AY119" s="34"/>
      <c r="AZ119" s="34"/>
      <c r="BA119" s="34"/>
      <c r="BB119" s="34"/>
      <c r="BC119" s="58"/>
      <c r="BD119" s="34"/>
      <c r="BE119" s="38"/>
      <c r="BF119" s="37"/>
      <c r="BG119" s="34"/>
      <c r="BH119" s="34"/>
      <c r="BI119" s="34"/>
      <c r="BJ119" s="36"/>
      <c r="BK119" s="34"/>
      <c r="BL119" s="37"/>
      <c r="BM119" s="37"/>
      <c r="BN119" s="34"/>
      <c r="BO119" s="34"/>
      <c r="BP119" s="37"/>
      <c r="BQ119" s="34"/>
      <c r="BR119" s="34"/>
      <c r="BS119" s="37"/>
      <c r="BT119" s="37"/>
      <c r="BU119" s="34"/>
      <c r="BV119" s="37"/>
      <c r="BW119" s="34"/>
      <c r="BX119" s="37"/>
      <c r="BY119" s="34"/>
      <c r="BZ119" s="34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4"/>
      <c r="CM119" s="37"/>
      <c r="CN119" s="37"/>
      <c r="CO119" s="37"/>
      <c r="CP119" s="34"/>
      <c r="CQ119" s="37"/>
      <c r="CR119" s="37"/>
      <c r="CS119" s="37"/>
      <c r="CT119" s="34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9"/>
      <c r="EB119" s="39"/>
      <c r="EC119" s="40"/>
    </row>
    <row r="120" spans="1:133" hidden="1">
      <c r="A120" s="44" t="s">
        <v>138</v>
      </c>
      <c r="B120" s="22"/>
      <c r="C120" s="20" t="s">
        <v>331</v>
      </c>
      <c r="D120" s="21" t="s">
        <v>296</v>
      </c>
      <c r="E120" s="21"/>
      <c r="F120" s="22" t="s">
        <v>137</v>
      </c>
      <c r="G120" s="23" t="str" cm="1">
        <f t="array" ref="G120">IFERROR(LOOKUP(2,1/(K120:GC120&lt;&gt;""),K$2:DQL$2),"")</f>
        <v>29-Jul</v>
      </c>
      <c r="H120" s="24" cm="1">
        <f t="array" ref="H120">IFERROR(_xlfn.XLOOKUP(TRUE,P120:ED120&lt;&gt;"",P120:ED120,,,-1)," ")</f>
        <v>22.4</v>
      </c>
      <c r="I120" s="25">
        <v>23</v>
      </c>
      <c r="J120" s="25">
        <v>24.5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34"/>
      <c r="AF120" s="34"/>
      <c r="AG120" s="34"/>
      <c r="AH120" s="34"/>
      <c r="AI120" s="34"/>
      <c r="AJ120" s="34"/>
      <c r="AK120" s="34"/>
      <c r="AL120" s="34">
        <v>22.4</v>
      </c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7"/>
      <c r="BF120" s="37"/>
      <c r="BG120" s="34"/>
      <c r="BH120" s="34"/>
      <c r="BI120" s="34"/>
      <c r="BJ120" s="34"/>
      <c r="BK120" s="34"/>
      <c r="BL120" s="34"/>
      <c r="BM120" s="37"/>
      <c r="BN120" s="34"/>
      <c r="BO120" s="34"/>
      <c r="BP120" s="34"/>
      <c r="BQ120" s="34"/>
      <c r="BR120" s="34"/>
      <c r="BS120" s="37"/>
      <c r="BT120" s="37"/>
      <c r="BU120" s="34"/>
      <c r="BV120" s="34"/>
      <c r="BW120" s="34"/>
      <c r="BX120" s="37"/>
      <c r="BY120" s="34"/>
      <c r="BZ120" s="36"/>
      <c r="CA120" s="37"/>
      <c r="CB120" s="37"/>
      <c r="CC120" s="34"/>
      <c r="CD120" s="37"/>
      <c r="CE120" s="37"/>
      <c r="CF120" s="37"/>
      <c r="CG120" s="37"/>
      <c r="CH120" s="37"/>
      <c r="CI120" s="37"/>
      <c r="CJ120" s="37"/>
      <c r="CK120" s="37"/>
      <c r="CL120" s="34"/>
      <c r="CM120" s="37"/>
      <c r="CN120" s="37"/>
      <c r="CO120" s="37"/>
      <c r="CP120" s="34"/>
      <c r="CQ120" s="37"/>
      <c r="CR120" s="34"/>
      <c r="CS120" s="37"/>
      <c r="CT120" s="34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9"/>
      <c r="EB120" s="39"/>
      <c r="EC120" s="40"/>
    </row>
    <row r="121" spans="1:133" hidden="1">
      <c r="A121" s="44" t="s">
        <v>138</v>
      </c>
      <c r="B121" s="22"/>
      <c r="C121" s="20" t="s">
        <v>332</v>
      </c>
      <c r="D121" s="21" t="s">
        <v>296</v>
      </c>
      <c r="E121" s="21"/>
      <c r="F121" s="22" t="s">
        <v>137</v>
      </c>
      <c r="G121" s="23" t="str" cm="1">
        <f t="array" ref="G121">IFERROR(LOOKUP(2,1/(K121:GC121&lt;&gt;""),K$2:DQL$2),"")</f>
        <v>29-Jul</v>
      </c>
      <c r="H121" s="24" cm="1">
        <f t="array" ref="H121">IFERROR(_xlfn.XLOOKUP(TRUE,P121:ED121&lt;&gt;"",P121:ED121,,,-1)," ")</f>
        <v>22.8</v>
      </c>
      <c r="I121" s="25">
        <v>23</v>
      </c>
      <c r="J121" s="25">
        <v>24.5</v>
      </c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34"/>
      <c r="AF121" s="34"/>
      <c r="AG121" s="34"/>
      <c r="AH121" s="34"/>
      <c r="AI121" s="34"/>
      <c r="AJ121" s="34"/>
      <c r="AK121" s="34"/>
      <c r="AL121" s="34">
        <v>22.8</v>
      </c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7"/>
      <c r="BF121" s="37"/>
      <c r="BG121" s="34"/>
      <c r="BH121" s="34"/>
      <c r="BI121" s="34"/>
      <c r="BJ121" s="34"/>
      <c r="BK121" s="34"/>
      <c r="BL121" s="34"/>
      <c r="BM121" s="37"/>
      <c r="BN121" s="34"/>
      <c r="BO121" s="34"/>
      <c r="BP121" s="34"/>
      <c r="BQ121" s="34"/>
      <c r="BR121" s="34"/>
      <c r="BS121" s="37"/>
      <c r="BT121" s="37"/>
      <c r="BU121" s="34"/>
      <c r="BV121" s="34"/>
      <c r="BW121" s="34"/>
      <c r="BX121" s="37"/>
      <c r="BY121" s="34"/>
      <c r="BZ121" s="36"/>
      <c r="CA121" s="37"/>
      <c r="CB121" s="37"/>
      <c r="CC121" s="34"/>
      <c r="CD121" s="37"/>
      <c r="CE121" s="37"/>
      <c r="CF121" s="37"/>
      <c r="CG121" s="37"/>
      <c r="CH121" s="37"/>
      <c r="CI121" s="37"/>
      <c r="CJ121" s="37"/>
      <c r="CK121" s="37"/>
      <c r="CL121" s="34"/>
      <c r="CM121" s="37"/>
      <c r="CN121" s="37"/>
      <c r="CO121" s="37"/>
      <c r="CP121" s="34"/>
      <c r="CQ121" s="37"/>
      <c r="CR121" s="34"/>
      <c r="CS121" s="37"/>
      <c r="CT121" s="34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9"/>
      <c r="EB121" s="39"/>
      <c r="EC121" s="40"/>
    </row>
    <row r="122" spans="1:133" hidden="1">
      <c r="A122" s="44" t="s">
        <v>138</v>
      </c>
      <c r="B122" s="45" t="s">
        <v>333</v>
      </c>
      <c r="C122" s="20" t="s">
        <v>334</v>
      </c>
      <c r="D122" s="21" t="s">
        <v>296</v>
      </c>
      <c r="E122" s="21"/>
      <c r="F122" s="22" t="s">
        <v>261</v>
      </c>
      <c r="G122" s="23" t="str" cm="1">
        <f t="array" ref="G122">IFERROR(LOOKUP(2,1/(K122:GC122&lt;&gt;""),K$2:DQL$2),"")</f>
        <v>5-Aug</v>
      </c>
      <c r="H122" s="24" cm="1">
        <f t="array" ref="H122">IFERROR(_xlfn.XLOOKUP(TRUE,P122:ED122&lt;&gt;"",P122:ED122,,,-1)," ")</f>
        <v>24.2</v>
      </c>
      <c r="I122" s="25">
        <v>23.5</v>
      </c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>
        <v>18.600000000000001</v>
      </c>
      <c r="AA122" s="25"/>
      <c r="AB122" s="25"/>
      <c r="AC122" s="25"/>
      <c r="AD122" s="25"/>
      <c r="AE122" s="34"/>
      <c r="AF122" s="35"/>
      <c r="AG122" s="34">
        <v>21</v>
      </c>
      <c r="AH122" s="34"/>
      <c r="AI122" s="34"/>
      <c r="AJ122" s="34"/>
      <c r="AK122" s="34"/>
      <c r="AL122" s="34"/>
      <c r="AM122" s="34"/>
      <c r="AN122" s="34">
        <v>22.2</v>
      </c>
      <c r="AO122" s="34"/>
      <c r="AP122" s="34"/>
      <c r="AQ122" s="34"/>
      <c r="AR122" s="34"/>
      <c r="AS122" s="34">
        <v>24.2</v>
      </c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7"/>
      <c r="BF122" s="37"/>
      <c r="BG122" s="34"/>
      <c r="BH122" s="34"/>
      <c r="BI122" s="34"/>
      <c r="BJ122" s="34"/>
      <c r="BK122" s="34"/>
      <c r="BL122" s="34"/>
      <c r="BM122" s="37"/>
      <c r="BN122" s="34"/>
      <c r="BO122" s="34"/>
      <c r="BP122" s="34"/>
      <c r="BQ122" s="34"/>
      <c r="BR122" s="34"/>
      <c r="BS122" s="37"/>
      <c r="BT122" s="37"/>
      <c r="BU122" s="34"/>
      <c r="BV122" s="34"/>
      <c r="BW122" s="34"/>
      <c r="BX122" s="37"/>
      <c r="BY122" s="34"/>
      <c r="BZ122" s="34"/>
      <c r="CA122" s="37"/>
      <c r="CB122" s="37"/>
      <c r="CC122" s="34"/>
      <c r="CD122" s="37"/>
      <c r="CE122" s="37"/>
      <c r="CF122" s="37"/>
      <c r="CG122" s="37"/>
      <c r="CH122" s="37"/>
      <c r="CI122" s="37"/>
      <c r="CJ122" s="37"/>
      <c r="CK122" s="37"/>
      <c r="CL122" s="34"/>
      <c r="CM122" s="37"/>
      <c r="CN122" s="37"/>
      <c r="CO122" s="37"/>
      <c r="CP122" s="34"/>
      <c r="CQ122" s="37"/>
      <c r="CR122" s="34"/>
      <c r="CS122" s="37"/>
      <c r="CT122" s="34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  <c r="DZ122" s="37"/>
      <c r="EA122" s="39"/>
      <c r="EB122" s="39"/>
      <c r="EC122" s="40"/>
    </row>
    <row r="123" spans="1:133" hidden="1">
      <c r="A123" s="44" t="s">
        <v>138</v>
      </c>
      <c r="B123" s="22"/>
      <c r="C123" s="20" t="s">
        <v>335</v>
      </c>
      <c r="D123" s="21" t="s">
        <v>296</v>
      </c>
      <c r="E123" s="21"/>
      <c r="F123" s="22" t="s">
        <v>261</v>
      </c>
      <c r="G123" s="23" t="str" cm="1">
        <f t="array" ref="G123">IFERROR(LOOKUP(2,1/(K123:GC123&lt;&gt;""),K$2:DQL$2),"")</f>
        <v>5-Aug</v>
      </c>
      <c r="H123" s="24" cm="1">
        <f t="array" ref="H123">IFERROR(_xlfn.XLOOKUP(TRUE,P123:ED123&lt;&gt;"",P123:ED123,,,-1)," ")</f>
        <v>24.1</v>
      </c>
      <c r="I123" s="25">
        <v>23.5</v>
      </c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>
        <v>19.2</v>
      </c>
      <c r="AA123" s="25"/>
      <c r="AB123" s="25"/>
      <c r="AC123" s="25"/>
      <c r="AD123" s="25"/>
      <c r="AE123" s="34"/>
      <c r="AF123" s="34"/>
      <c r="AG123" s="34">
        <v>21.2</v>
      </c>
      <c r="AH123" s="34"/>
      <c r="AI123" s="34"/>
      <c r="AJ123" s="34"/>
      <c r="AK123" s="34"/>
      <c r="AL123" s="34"/>
      <c r="AM123" s="34"/>
      <c r="AN123" s="34">
        <v>23</v>
      </c>
      <c r="AO123" s="34"/>
      <c r="AP123" s="34"/>
      <c r="AQ123" s="34"/>
      <c r="AR123" s="34"/>
      <c r="AS123" s="34">
        <v>24.1</v>
      </c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7"/>
      <c r="BF123" s="37"/>
      <c r="BG123" s="34"/>
      <c r="BH123" s="34"/>
      <c r="BI123" s="34"/>
      <c r="BJ123" s="34"/>
      <c r="BK123" s="34"/>
      <c r="BL123" s="34"/>
      <c r="BM123" s="37"/>
      <c r="BN123" s="34"/>
      <c r="BO123" s="34"/>
      <c r="BP123" s="34"/>
      <c r="BQ123" s="34"/>
      <c r="BR123" s="34"/>
      <c r="BS123" s="37"/>
      <c r="BT123" s="37"/>
      <c r="BU123" s="34"/>
      <c r="BV123" s="34"/>
      <c r="BW123" s="34"/>
      <c r="BX123" s="37"/>
      <c r="BY123" s="34"/>
      <c r="BZ123" s="36"/>
      <c r="CA123" s="37"/>
      <c r="CB123" s="37"/>
      <c r="CC123" s="34"/>
      <c r="CD123" s="37"/>
      <c r="CE123" s="37"/>
      <c r="CF123" s="37"/>
      <c r="CG123" s="37"/>
      <c r="CH123" s="37"/>
      <c r="CI123" s="37"/>
      <c r="CJ123" s="37"/>
      <c r="CK123" s="37"/>
      <c r="CL123" s="34"/>
      <c r="CM123" s="37"/>
      <c r="CN123" s="37"/>
      <c r="CO123" s="37"/>
      <c r="CP123" s="34"/>
      <c r="CQ123" s="37"/>
      <c r="CR123" s="34"/>
      <c r="CS123" s="37"/>
      <c r="CT123" s="34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9"/>
      <c r="EB123" s="39"/>
      <c r="EC123" s="40"/>
    </row>
    <row r="124" spans="1:133" hidden="1">
      <c r="A124" s="44" t="s">
        <v>138</v>
      </c>
      <c r="B124" s="45" t="s">
        <v>336</v>
      </c>
      <c r="C124" s="20" t="s">
        <v>337</v>
      </c>
      <c r="D124" s="21" t="s">
        <v>296</v>
      </c>
      <c r="E124" s="21"/>
      <c r="F124" s="22" t="s">
        <v>137</v>
      </c>
      <c r="G124" s="23" t="str" cm="1">
        <f t="array" ref="G124">IFERROR(LOOKUP(2,1/(K124:GC124&lt;&gt;""),K$2:DQL$2),"")</f>
        <v>1-Aug</v>
      </c>
      <c r="H124" s="24" cm="1">
        <f t="array" ref="H124">IFERROR(_xlfn.XLOOKUP(TRUE,P124:ED124&lt;&gt;"",P124:ED124,,,-1)," ")</f>
        <v>23</v>
      </c>
      <c r="I124" s="25">
        <v>24</v>
      </c>
      <c r="J124" s="25">
        <v>25</v>
      </c>
      <c r="K124" s="25"/>
      <c r="L124" s="25"/>
      <c r="M124" s="25"/>
      <c r="N124" s="25"/>
      <c r="O124" s="25"/>
      <c r="P124" s="25"/>
      <c r="Q124" s="25"/>
      <c r="R124" s="25">
        <v>16.600000000000001</v>
      </c>
      <c r="S124" s="25"/>
      <c r="T124" s="25"/>
      <c r="U124" s="25"/>
      <c r="V124" s="25"/>
      <c r="W124" s="25"/>
      <c r="X124" s="25">
        <v>20</v>
      </c>
      <c r="Y124" s="25"/>
      <c r="Z124" s="25"/>
      <c r="AA124" s="25"/>
      <c r="AB124" s="25"/>
      <c r="AC124" s="25"/>
      <c r="AD124" s="25"/>
      <c r="AE124" s="248">
        <v>21.2</v>
      </c>
      <c r="AF124" s="35"/>
      <c r="AG124" s="34"/>
      <c r="AH124" s="34"/>
      <c r="AI124" s="34"/>
      <c r="AJ124" s="34"/>
      <c r="AK124" s="34"/>
      <c r="AL124" s="34"/>
      <c r="AM124" s="34"/>
      <c r="AN124" s="34"/>
      <c r="AO124" s="36">
        <v>23</v>
      </c>
      <c r="AP124" s="34"/>
      <c r="AQ124" s="36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6"/>
      <c r="BD124" s="34"/>
      <c r="BE124" s="37"/>
      <c r="BF124" s="37"/>
      <c r="BG124" s="34"/>
      <c r="BH124" s="34"/>
      <c r="BI124" s="34"/>
      <c r="BJ124" s="34"/>
      <c r="BK124" s="34"/>
      <c r="BL124" s="37"/>
      <c r="BM124" s="37"/>
      <c r="BN124" s="37"/>
      <c r="BO124" s="37"/>
      <c r="BP124" s="37"/>
      <c r="BQ124" s="38"/>
      <c r="BR124" s="34"/>
      <c r="BS124" s="37"/>
      <c r="BT124" s="37"/>
      <c r="BU124" s="34"/>
      <c r="BV124" s="37"/>
      <c r="BW124" s="34"/>
      <c r="BX124" s="37"/>
      <c r="BY124" s="34"/>
      <c r="BZ124" s="34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4"/>
      <c r="CM124" s="37"/>
      <c r="CN124" s="37"/>
      <c r="CO124" s="37"/>
      <c r="CP124" s="34"/>
      <c r="CQ124" s="37"/>
      <c r="CR124" s="37"/>
      <c r="CS124" s="37"/>
      <c r="CT124" s="34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9"/>
      <c r="EB124" s="39"/>
      <c r="EC124" s="40"/>
    </row>
    <row r="125" spans="1:133" hidden="1">
      <c r="A125" s="44" t="s">
        <v>138</v>
      </c>
      <c r="B125" s="45" t="s">
        <v>338</v>
      </c>
      <c r="C125" s="20" t="s">
        <v>339</v>
      </c>
      <c r="D125" s="21" t="s">
        <v>296</v>
      </c>
      <c r="E125" s="21"/>
      <c r="F125" s="22" t="s">
        <v>340</v>
      </c>
      <c r="G125" s="23" t="str" cm="1">
        <f t="array" ref="G125">IFERROR(LOOKUP(2,1/(K125:GC125&lt;&gt;""),K$2:DQL$2),"")</f>
        <v>4-Aug</v>
      </c>
      <c r="H125" s="24" cm="1">
        <f t="array" ref="H125">IFERROR(_xlfn.XLOOKUP(TRUE,P125:ED125&lt;&gt;"",P125:ED125,,,-1)," ")</f>
        <v>22.1</v>
      </c>
      <c r="I125" s="25">
        <v>23.5</v>
      </c>
      <c r="J125" s="25">
        <v>24.5</v>
      </c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>
        <v>15.9</v>
      </c>
      <c r="X125" s="25"/>
      <c r="Y125" s="25"/>
      <c r="Z125" s="25"/>
      <c r="AA125" s="25"/>
      <c r="AB125" s="25"/>
      <c r="AC125" s="25"/>
      <c r="AD125" s="25">
        <v>17.100000000000001</v>
      </c>
      <c r="AE125" s="34"/>
      <c r="AF125" s="35"/>
      <c r="AG125" s="34"/>
      <c r="AH125" s="34"/>
      <c r="AI125" s="34"/>
      <c r="AJ125" s="34"/>
      <c r="AK125" s="34">
        <v>19.100000000000001</v>
      </c>
      <c r="AL125" s="34"/>
      <c r="AM125" s="34"/>
      <c r="AN125" s="34"/>
      <c r="AO125" s="34"/>
      <c r="AP125" s="34"/>
      <c r="AQ125" s="34"/>
      <c r="AR125" s="34">
        <v>22.1</v>
      </c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7"/>
      <c r="BF125" s="37"/>
      <c r="BG125" s="34"/>
      <c r="BH125" s="34"/>
      <c r="BI125" s="36"/>
      <c r="BJ125" s="34"/>
      <c r="BK125" s="34"/>
      <c r="BL125" s="37"/>
      <c r="BM125" s="37"/>
      <c r="BN125" s="36"/>
      <c r="BO125" s="34"/>
      <c r="BP125" s="37"/>
      <c r="BQ125" s="37"/>
      <c r="BR125" s="34"/>
      <c r="BS125" s="37"/>
      <c r="BT125" s="37"/>
      <c r="BU125" s="34"/>
      <c r="BV125" s="37"/>
      <c r="BW125" s="34"/>
      <c r="BX125" s="37"/>
      <c r="BY125" s="34"/>
      <c r="BZ125" s="34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4"/>
      <c r="CM125" s="43"/>
      <c r="CN125" s="37"/>
      <c r="CO125" s="37"/>
      <c r="CP125" s="34"/>
      <c r="CQ125" s="37"/>
      <c r="CR125" s="37"/>
      <c r="CS125" s="37"/>
      <c r="CT125" s="34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9"/>
      <c r="EB125" s="39"/>
      <c r="EC125" s="40"/>
    </row>
    <row r="126" spans="1:133" hidden="1">
      <c r="A126" s="44" t="s">
        <v>138</v>
      </c>
      <c r="B126" s="45" t="s">
        <v>341</v>
      </c>
      <c r="C126" s="21" t="s">
        <v>342</v>
      </c>
      <c r="D126" s="21" t="s">
        <v>296</v>
      </c>
      <c r="E126" s="21"/>
      <c r="F126" s="59" t="s">
        <v>340</v>
      </c>
      <c r="G126" s="23" t="str" cm="1">
        <f t="array" ref="G126">IFERROR(LOOKUP(2,1/(K126:GC126&lt;&gt;""),K$2:DQL$2),"")</f>
        <v>4-Aug</v>
      </c>
      <c r="H126" s="24" cm="1">
        <f t="array" ref="H126">IFERROR(_xlfn.XLOOKUP(TRUE,P126:ED126&lt;&gt;"",P126:ED126,,,-1)," ")</f>
        <v>24</v>
      </c>
      <c r="I126" s="25">
        <v>23.5</v>
      </c>
      <c r="J126" s="25">
        <v>24.5</v>
      </c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>
        <v>17.7</v>
      </c>
      <c r="X126" s="25"/>
      <c r="Y126" s="25"/>
      <c r="Z126" s="25"/>
      <c r="AA126" s="25"/>
      <c r="AB126" s="25"/>
      <c r="AC126" s="25"/>
      <c r="AD126" s="25">
        <v>21.1</v>
      </c>
      <c r="AE126" s="34"/>
      <c r="AF126" s="35"/>
      <c r="AG126" s="34"/>
      <c r="AH126" s="34"/>
      <c r="AI126" s="34"/>
      <c r="AJ126" s="34"/>
      <c r="AK126" s="34">
        <v>23</v>
      </c>
      <c r="AL126" s="34"/>
      <c r="AM126" s="34"/>
      <c r="AN126" s="34"/>
      <c r="AO126" s="34"/>
      <c r="AP126" s="34"/>
      <c r="AQ126" s="34"/>
      <c r="AR126" s="34">
        <v>24</v>
      </c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7"/>
      <c r="BF126" s="37"/>
      <c r="BG126" s="34"/>
      <c r="BH126" s="34"/>
      <c r="BI126" s="34"/>
      <c r="BJ126" s="36"/>
      <c r="BK126" s="34"/>
      <c r="BL126" s="37"/>
      <c r="BM126" s="37"/>
      <c r="BN126" s="36"/>
      <c r="BO126" s="34"/>
      <c r="BP126" s="37"/>
      <c r="BQ126" s="37"/>
      <c r="BR126" s="34"/>
      <c r="BS126" s="37"/>
      <c r="BT126" s="37"/>
      <c r="BU126" s="34"/>
      <c r="BV126" s="37"/>
      <c r="BW126" s="34"/>
      <c r="BX126" s="37"/>
      <c r="BY126" s="34"/>
      <c r="BZ126" s="34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4"/>
      <c r="CM126" s="43"/>
      <c r="CN126" s="37"/>
      <c r="CO126" s="37"/>
      <c r="CP126" s="34"/>
      <c r="CQ126" s="37"/>
      <c r="CR126" s="37"/>
      <c r="CS126" s="37"/>
      <c r="CT126" s="34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9"/>
      <c r="EB126" s="39"/>
      <c r="EC126" s="40"/>
    </row>
    <row r="127" spans="1:133" hidden="1">
      <c r="A127" s="44" t="s">
        <v>138</v>
      </c>
      <c r="B127" s="45" t="s">
        <v>343</v>
      </c>
      <c r="C127" s="20" t="s">
        <v>344</v>
      </c>
      <c r="D127" s="21" t="s">
        <v>296</v>
      </c>
      <c r="E127" s="21"/>
      <c r="F127" s="22" t="s">
        <v>345</v>
      </c>
      <c r="G127" s="23" t="str" cm="1">
        <f t="array" ref="G127">IFERROR(LOOKUP(2,1/(K127:GC127&lt;&gt;""),K$2:DQL$2),"")</f>
        <v>14-Aug</v>
      </c>
      <c r="H127" s="24" cm="1">
        <f t="array" ref="H127">IFERROR(_xlfn.XLOOKUP(TRUE,P127:ED127&lt;&gt;"",P127:ED127,,,-1)," ")</f>
        <v>22.4</v>
      </c>
      <c r="I127" s="25">
        <v>21.5</v>
      </c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>
        <v>15.2</v>
      </c>
      <c r="Y127" s="25"/>
      <c r="Z127" s="25"/>
      <c r="AA127" s="25"/>
      <c r="AB127" s="25"/>
      <c r="AC127" s="25"/>
      <c r="AD127" s="25"/>
      <c r="AE127" s="34"/>
      <c r="AF127" s="35"/>
      <c r="AG127" s="34"/>
      <c r="AH127" s="34"/>
      <c r="AI127" s="34"/>
      <c r="AJ127" s="34">
        <v>20.3</v>
      </c>
      <c r="AK127" s="34"/>
      <c r="AL127" s="34"/>
      <c r="AM127" s="34"/>
      <c r="AN127" s="34"/>
      <c r="AO127" s="34"/>
      <c r="AP127" s="34"/>
      <c r="AQ127" s="34">
        <v>21.5</v>
      </c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>
        <v>22.4</v>
      </c>
      <c r="BC127" s="34"/>
      <c r="BD127" s="34"/>
      <c r="BE127" s="37"/>
      <c r="BF127" s="37"/>
      <c r="BG127" s="34"/>
      <c r="BH127" s="34"/>
      <c r="BI127" s="34"/>
      <c r="BJ127" s="34"/>
      <c r="BK127" s="34"/>
      <c r="BL127" s="37"/>
      <c r="BM127" s="37"/>
      <c r="BN127" s="34"/>
      <c r="BO127" s="34"/>
      <c r="BP127" s="37"/>
      <c r="BQ127" s="37"/>
      <c r="BR127" s="34"/>
      <c r="BS127" s="37"/>
      <c r="BT127" s="37"/>
      <c r="BU127" s="34"/>
      <c r="BV127" s="37"/>
      <c r="BW127" s="34"/>
      <c r="BX127" s="37"/>
      <c r="BY127" s="34"/>
      <c r="BZ127" s="34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4"/>
      <c r="CM127" s="43"/>
      <c r="CN127" s="37"/>
      <c r="CO127" s="37"/>
      <c r="CP127" s="34"/>
      <c r="CQ127" s="37"/>
      <c r="CR127" s="37"/>
      <c r="CS127" s="37"/>
      <c r="CT127" s="34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9"/>
      <c r="EB127" s="39"/>
      <c r="EC127" s="40"/>
    </row>
    <row r="128" spans="1:133" hidden="1">
      <c r="A128" s="44" t="s">
        <v>138</v>
      </c>
      <c r="B128" s="45" t="s">
        <v>343</v>
      </c>
      <c r="C128" s="20" t="s">
        <v>346</v>
      </c>
      <c r="D128" s="21" t="s">
        <v>296</v>
      </c>
      <c r="E128" s="21"/>
      <c r="F128" s="22" t="s">
        <v>345</v>
      </c>
      <c r="G128" s="23" t="str" cm="1">
        <f t="array" ref="G128">IFERROR(LOOKUP(2,1/(K128:GC128&lt;&gt;""),K$2:DQL$2),"")</f>
        <v>15-Aug</v>
      </c>
      <c r="H128" s="24" cm="1">
        <f t="array" ref="H128">IFERROR(_xlfn.XLOOKUP(TRUE,P128:ED128&lt;&gt;"",P128:ED128,,,-1)," ")</f>
        <v>23.4</v>
      </c>
      <c r="I128" s="25">
        <v>21.5</v>
      </c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34"/>
      <c r="AF128" s="35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>
        <v>23.4</v>
      </c>
      <c r="BD128" s="34"/>
      <c r="BE128" s="37"/>
      <c r="BF128" s="37"/>
      <c r="BG128" s="34"/>
      <c r="BH128" s="34"/>
      <c r="BI128" s="34"/>
      <c r="BJ128" s="34"/>
      <c r="BK128" s="34"/>
      <c r="BL128" s="37"/>
      <c r="BM128" s="37"/>
      <c r="BN128" s="34"/>
      <c r="BO128" s="34"/>
      <c r="BP128" s="37"/>
      <c r="BQ128" s="37"/>
      <c r="BR128" s="34"/>
      <c r="BS128" s="37"/>
      <c r="BT128" s="37"/>
      <c r="BU128" s="34"/>
      <c r="BV128" s="37"/>
      <c r="BW128" s="34"/>
      <c r="BX128" s="37"/>
      <c r="BY128" s="34"/>
      <c r="BZ128" s="34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4"/>
      <c r="CM128" s="43"/>
      <c r="CN128" s="37"/>
      <c r="CO128" s="37"/>
      <c r="CP128" s="34"/>
      <c r="CQ128" s="37"/>
      <c r="CR128" s="37"/>
      <c r="CS128" s="37"/>
      <c r="CT128" s="34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9"/>
      <c r="EB128" s="39"/>
      <c r="EC128" s="40"/>
    </row>
    <row r="129" spans="1:133" hidden="1">
      <c r="A129" s="44" t="s">
        <v>138</v>
      </c>
      <c r="B129" s="45" t="s">
        <v>343</v>
      </c>
      <c r="C129" s="20" t="s">
        <v>347</v>
      </c>
      <c r="D129" s="21" t="s">
        <v>296</v>
      </c>
      <c r="E129" s="21"/>
      <c r="F129" s="22" t="s">
        <v>345</v>
      </c>
      <c r="G129" s="23" t="str" cm="1">
        <f t="array" ref="G129">IFERROR(LOOKUP(2,1/(K129:GC129&lt;&gt;""),K$2:DQL$2),"")</f>
        <v>15-Aug</v>
      </c>
      <c r="H129" s="24" cm="1">
        <f t="array" ref="H129">IFERROR(_xlfn.XLOOKUP(TRUE,P129:ED129&lt;&gt;"",P129:ED129,,,-1)," ")</f>
        <v>23</v>
      </c>
      <c r="I129" s="25">
        <v>21.5</v>
      </c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34"/>
      <c r="AF129" s="35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>
        <v>23</v>
      </c>
      <c r="BD129" s="34"/>
      <c r="BE129" s="37"/>
      <c r="BF129" s="37"/>
      <c r="BG129" s="34"/>
      <c r="BH129" s="34"/>
      <c r="BI129" s="34"/>
      <c r="BJ129" s="34"/>
      <c r="BK129" s="34"/>
      <c r="BL129" s="37"/>
      <c r="BM129" s="37"/>
      <c r="BN129" s="34"/>
      <c r="BO129" s="34"/>
      <c r="BP129" s="37"/>
      <c r="BQ129" s="37"/>
      <c r="BR129" s="34"/>
      <c r="BS129" s="37"/>
      <c r="BT129" s="37"/>
      <c r="BU129" s="34"/>
      <c r="BV129" s="37"/>
      <c r="BW129" s="34"/>
      <c r="BX129" s="37"/>
      <c r="BY129" s="34"/>
      <c r="BZ129" s="34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4"/>
      <c r="CM129" s="43"/>
      <c r="CN129" s="37"/>
      <c r="CO129" s="37"/>
      <c r="CP129" s="34"/>
      <c r="CQ129" s="37"/>
      <c r="CR129" s="37"/>
      <c r="CS129" s="37"/>
      <c r="CT129" s="34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9"/>
      <c r="EB129" s="39"/>
      <c r="EC129" s="40"/>
    </row>
    <row r="130" spans="1:133" hidden="1">
      <c r="A130" s="44" t="s">
        <v>138</v>
      </c>
      <c r="B130" s="45" t="s">
        <v>343</v>
      </c>
      <c r="C130" s="20" t="s">
        <v>348</v>
      </c>
      <c r="D130" s="21" t="s">
        <v>296</v>
      </c>
      <c r="E130" s="21"/>
      <c r="F130" s="22" t="s">
        <v>345</v>
      </c>
      <c r="G130" s="23" t="str" cm="1">
        <f t="array" ref="G130">IFERROR(LOOKUP(2,1/(K130:GC130&lt;&gt;""),K$2:DQL$2),"")</f>
        <v>15-Aug</v>
      </c>
      <c r="H130" s="24" cm="1">
        <f t="array" ref="H130">IFERROR(_xlfn.XLOOKUP(TRUE,P130:ED130&lt;&gt;"",P130:ED130,,,-1)," ")</f>
        <v>24.2</v>
      </c>
      <c r="I130" s="25">
        <v>21.5</v>
      </c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34"/>
      <c r="AF130" s="35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>
        <v>24.2</v>
      </c>
      <c r="BD130" s="34"/>
      <c r="BE130" s="37"/>
      <c r="BF130" s="37"/>
      <c r="BG130" s="34"/>
      <c r="BH130" s="34"/>
      <c r="BI130" s="34"/>
      <c r="BJ130" s="34"/>
      <c r="BK130" s="34"/>
      <c r="BL130" s="37"/>
      <c r="BM130" s="37"/>
      <c r="BN130" s="34"/>
      <c r="BO130" s="34"/>
      <c r="BP130" s="37"/>
      <c r="BQ130" s="37"/>
      <c r="BR130" s="34"/>
      <c r="BS130" s="37"/>
      <c r="BT130" s="37"/>
      <c r="BU130" s="34"/>
      <c r="BV130" s="37"/>
      <c r="BW130" s="34"/>
      <c r="BX130" s="37"/>
      <c r="BY130" s="34"/>
      <c r="BZ130" s="34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4"/>
      <c r="CM130" s="43"/>
      <c r="CN130" s="37"/>
      <c r="CO130" s="37"/>
      <c r="CP130" s="34"/>
      <c r="CQ130" s="37"/>
      <c r="CR130" s="37"/>
      <c r="CS130" s="37"/>
      <c r="CT130" s="34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9"/>
      <c r="EB130" s="39"/>
      <c r="EC130" s="40"/>
    </row>
    <row r="131" spans="1:133" hidden="1">
      <c r="A131" s="44" t="s">
        <v>138</v>
      </c>
      <c r="B131" s="45" t="s">
        <v>349</v>
      </c>
      <c r="C131" s="20" t="s">
        <v>350</v>
      </c>
      <c r="D131" s="21" t="s">
        <v>296</v>
      </c>
      <c r="E131" s="21"/>
      <c r="F131" s="22" t="s">
        <v>345</v>
      </c>
      <c r="G131" s="23" t="str" cm="1">
        <f t="array" ref="G131">IFERROR(LOOKUP(2,1/(K131:GC131&lt;&gt;""),K$2:DQL$2),"")</f>
        <v>14-Aug</v>
      </c>
      <c r="H131" s="24" cm="1">
        <f t="array" ref="H131">IFERROR(_xlfn.XLOOKUP(TRUE,P131:ED131&lt;&gt;"",P131:ED131,,,-1)," ")</f>
        <v>23.3</v>
      </c>
      <c r="I131" s="25">
        <v>22</v>
      </c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34"/>
      <c r="AF131" s="35"/>
      <c r="AG131" s="34"/>
      <c r="AH131" s="34"/>
      <c r="AI131" s="34"/>
      <c r="AJ131" s="34">
        <v>20.100000000000001</v>
      </c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>
        <v>23.3</v>
      </c>
      <c r="BC131" s="34"/>
      <c r="BD131" s="34"/>
      <c r="BE131" s="37"/>
      <c r="BF131" s="37"/>
      <c r="BG131" s="34"/>
      <c r="BH131" s="34"/>
      <c r="BI131" s="34"/>
      <c r="BJ131" s="34"/>
      <c r="BK131" s="34"/>
      <c r="BL131" s="37"/>
      <c r="BM131" s="37"/>
      <c r="BN131" s="34"/>
      <c r="BO131" s="34"/>
      <c r="BP131" s="34"/>
      <c r="BQ131" s="34"/>
      <c r="BR131" s="34"/>
      <c r="BS131" s="37"/>
      <c r="BT131" s="37"/>
      <c r="BU131" s="34"/>
      <c r="BV131" s="37"/>
      <c r="BW131" s="34"/>
      <c r="BX131" s="37"/>
      <c r="BY131" s="34"/>
      <c r="BZ131" s="34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4"/>
      <c r="CM131" s="37"/>
      <c r="CN131" s="37"/>
      <c r="CO131" s="37"/>
      <c r="CP131" s="34"/>
      <c r="CQ131" s="37"/>
      <c r="CR131" s="37"/>
      <c r="CS131" s="37"/>
      <c r="CT131" s="34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9"/>
      <c r="EB131" s="39"/>
      <c r="EC131" s="40"/>
    </row>
    <row r="132" spans="1:133">
      <c r="A132" s="44"/>
      <c r="B132" s="45" t="s">
        <v>351</v>
      </c>
      <c r="C132" s="20" t="s">
        <v>352</v>
      </c>
      <c r="D132" s="21" t="s">
        <v>296</v>
      </c>
      <c r="E132" s="21"/>
      <c r="F132" s="22"/>
      <c r="G132" s="23" t="str" cm="1">
        <f t="array" ref="G132">IFERROR(LOOKUP(2,1/(K132:GC132&lt;&gt;""),K$2:DQL$2),"")</f>
        <v/>
      </c>
      <c r="H132" s="24" t="str" cm="1">
        <f t="array" ref="H132">IFERROR(_xlfn.XLOOKUP(TRUE,P132:ED132&lt;&gt;"",P132:ED132,,,-1)," ")</f>
        <v xml:space="preserve"> </v>
      </c>
      <c r="I132" s="25">
        <v>23</v>
      </c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34"/>
      <c r="AF132" s="35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7"/>
      <c r="BF132" s="37"/>
      <c r="BG132" s="34"/>
      <c r="BH132" s="34"/>
      <c r="BI132" s="34"/>
      <c r="BJ132" s="34"/>
      <c r="BK132" s="34"/>
      <c r="BL132" s="37"/>
      <c r="BM132" s="37"/>
      <c r="BN132" s="38"/>
      <c r="BO132" s="37"/>
      <c r="BP132" s="37"/>
      <c r="BQ132" s="37"/>
      <c r="BR132" s="34"/>
      <c r="BS132" s="37"/>
      <c r="BT132" s="37"/>
      <c r="BU132" s="34"/>
      <c r="BV132" s="37"/>
      <c r="BW132" s="34"/>
      <c r="BX132" s="37"/>
      <c r="BY132" s="34"/>
      <c r="BZ132" s="34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4"/>
      <c r="CM132" s="37"/>
      <c r="CN132" s="37"/>
      <c r="CO132" s="37"/>
      <c r="CP132" s="34"/>
      <c r="CQ132" s="37"/>
      <c r="CR132" s="37"/>
      <c r="CS132" s="37"/>
      <c r="CT132" s="34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9"/>
      <c r="EB132" s="39"/>
      <c r="EC132" s="40"/>
    </row>
    <row r="133" spans="1:133">
      <c r="A133" s="44"/>
      <c r="B133" s="45" t="s">
        <v>353</v>
      </c>
      <c r="C133" s="20" t="s">
        <v>354</v>
      </c>
      <c r="D133" s="21" t="s">
        <v>296</v>
      </c>
      <c r="E133" s="21"/>
      <c r="F133" s="22"/>
      <c r="G133" s="23" t="str" cm="1">
        <f t="array" ref="G133">IFERROR(LOOKUP(2,1/(K133:GC133&lt;&gt;""),K$2:DQL$2),"")</f>
        <v>20-Aug</v>
      </c>
      <c r="H133" s="24" cm="1">
        <f t="array" ref="H133">IFERROR(_xlfn.XLOOKUP(TRUE,P133:ED133&lt;&gt;"",P133:ED133,,,-1)," ")</f>
        <v>23.2</v>
      </c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>
        <v>16.8</v>
      </c>
      <c r="Z133" s="25"/>
      <c r="AA133" s="25"/>
      <c r="AB133" s="25"/>
      <c r="AC133" s="25"/>
      <c r="AD133" s="25"/>
      <c r="AE133" s="34"/>
      <c r="AF133" s="61"/>
      <c r="AG133" s="34"/>
      <c r="AH133" s="34"/>
      <c r="AI133" s="36"/>
      <c r="AJ133" s="34">
        <v>19.2</v>
      </c>
      <c r="AK133" s="34"/>
      <c r="AL133" s="34"/>
      <c r="AM133" s="36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>
        <v>23</v>
      </c>
      <c r="AZ133" s="34"/>
      <c r="BA133" s="34"/>
      <c r="BB133" s="34"/>
      <c r="BC133" s="34"/>
      <c r="BD133" s="34"/>
      <c r="BE133" s="37"/>
      <c r="BF133" s="37"/>
      <c r="BG133" s="34">
        <v>23.4</v>
      </c>
      <c r="BH133" s="36">
        <v>23.2</v>
      </c>
      <c r="BI133" s="34"/>
      <c r="BJ133" s="34"/>
      <c r="BK133" s="34"/>
      <c r="BL133" s="37"/>
      <c r="BM133" s="37"/>
      <c r="BN133" s="37"/>
      <c r="BO133" s="37"/>
      <c r="BP133" s="37"/>
      <c r="BQ133" s="37"/>
      <c r="BR133" s="34"/>
      <c r="BS133" s="37"/>
      <c r="BT133" s="37"/>
      <c r="BU133" s="34"/>
      <c r="BV133" s="37"/>
      <c r="BW133" s="34"/>
      <c r="BX133" s="37"/>
      <c r="BY133" s="34"/>
      <c r="BZ133" s="34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4"/>
      <c r="CM133" s="37"/>
      <c r="CN133" s="37"/>
      <c r="CO133" s="37"/>
      <c r="CP133" s="34"/>
      <c r="CQ133" s="37"/>
      <c r="CR133" s="37"/>
      <c r="CS133" s="37"/>
      <c r="CT133" s="34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9"/>
      <c r="EB133" s="39"/>
      <c r="EC133" s="40"/>
    </row>
    <row r="134" spans="1:133" hidden="1">
      <c r="A134" s="44" t="s">
        <v>138</v>
      </c>
      <c r="B134" s="45" t="s">
        <v>355</v>
      </c>
      <c r="C134" s="20" t="s">
        <v>356</v>
      </c>
      <c r="D134" s="21" t="s">
        <v>357</v>
      </c>
      <c r="E134" s="21"/>
      <c r="F134" s="22" t="s">
        <v>137</v>
      </c>
      <c r="G134" s="23" t="str" cm="1">
        <f t="array" ref="G134">IFERROR(LOOKUP(2,1/(K134:GC134&lt;&gt;""),K$2:DQL$2),"")</f>
        <v>10-Aug</v>
      </c>
      <c r="H134" s="24" cm="1">
        <f t="array" ref="H134">IFERROR(_xlfn.XLOOKUP(TRUE,P134:ED134&lt;&gt;"",P134:ED134,,,-1)," ")</f>
        <v>21.5</v>
      </c>
      <c r="I134" s="25">
        <v>20.5</v>
      </c>
      <c r="J134" s="25">
        <v>22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34">
        <v>16.3</v>
      </c>
      <c r="AF134" s="35"/>
      <c r="AG134" s="34"/>
      <c r="AH134" s="34"/>
      <c r="AI134" s="34"/>
      <c r="AJ134" s="34"/>
      <c r="AK134" s="34"/>
      <c r="AL134" s="34"/>
      <c r="AM134" s="34">
        <v>18.399999999999999</v>
      </c>
      <c r="AN134" s="34"/>
      <c r="AO134" s="34"/>
      <c r="AP134" s="34"/>
      <c r="AQ134" s="34"/>
      <c r="AR134" s="34"/>
      <c r="AS134" s="36">
        <v>19.8</v>
      </c>
      <c r="AT134" s="34"/>
      <c r="AU134" s="34"/>
      <c r="AV134" s="34"/>
      <c r="AW134" s="34"/>
      <c r="AX134" s="36">
        <v>21.5</v>
      </c>
      <c r="AY134" s="34"/>
      <c r="AZ134" s="34"/>
      <c r="BA134" s="34"/>
      <c r="BB134" s="34"/>
      <c r="BC134" s="34"/>
      <c r="BD134" s="34"/>
      <c r="BE134" s="37"/>
      <c r="BF134" s="37"/>
      <c r="BG134" s="34"/>
      <c r="BH134" s="37"/>
      <c r="BI134" s="37"/>
      <c r="BJ134" s="34"/>
      <c r="BK134" s="37"/>
      <c r="BL134" s="37"/>
      <c r="BM134" s="37"/>
      <c r="BN134" s="38"/>
      <c r="BO134" s="34"/>
      <c r="BP134" s="37"/>
      <c r="BQ134" s="37"/>
      <c r="BR134" s="34"/>
      <c r="BS134" s="37"/>
      <c r="BT134" s="37"/>
      <c r="BU134" s="34"/>
      <c r="BV134" s="37"/>
      <c r="BW134" s="34"/>
      <c r="BX134" s="37"/>
      <c r="BY134" s="34"/>
      <c r="BZ134" s="34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4"/>
      <c r="CM134" s="37"/>
      <c r="CN134" s="37"/>
      <c r="CO134" s="37"/>
      <c r="CP134" s="34"/>
      <c r="CQ134" s="37"/>
      <c r="CR134" s="37"/>
      <c r="CS134" s="37"/>
      <c r="CT134" s="34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9"/>
      <c r="EB134" s="39"/>
      <c r="EC134" s="40"/>
    </row>
    <row r="135" spans="1:133">
      <c r="A135" s="44"/>
      <c r="B135" s="45" t="s">
        <v>358</v>
      </c>
      <c r="C135" s="53" t="s">
        <v>359</v>
      </c>
      <c r="D135" s="21" t="s">
        <v>357</v>
      </c>
      <c r="E135" s="21"/>
      <c r="F135" s="54" t="s">
        <v>360</v>
      </c>
      <c r="G135" s="23" t="str" cm="1">
        <f t="array" ref="G135">IFERROR(LOOKUP(2,1/(K135:GC135&lt;&gt;""),K$2:DQL$2),"")</f>
        <v>10-Aug</v>
      </c>
      <c r="H135" s="24" cm="1">
        <f t="array" ref="H135">IFERROR(_xlfn.XLOOKUP(TRUE,P135:ED135&lt;&gt;"",P135:ED135,,,-1)," ")</f>
        <v>21.3</v>
      </c>
      <c r="I135" s="55">
        <v>19</v>
      </c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34">
        <v>17.100000000000001</v>
      </c>
      <c r="AF135" s="35"/>
      <c r="AG135" s="34"/>
      <c r="AH135" s="34"/>
      <c r="AI135" s="34"/>
      <c r="AJ135" s="34"/>
      <c r="AK135" s="34"/>
      <c r="AL135" s="34"/>
      <c r="AM135" s="34">
        <v>18.2</v>
      </c>
      <c r="AN135" s="34"/>
      <c r="AO135" s="34"/>
      <c r="AP135" s="34"/>
      <c r="AQ135" s="34"/>
      <c r="AR135" s="34"/>
      <c r="AS135" s="34">
        <v>20.3</v>
      </c>
      <c r="AT135" s="34"/>
      <c r="AU135" s="34"/>
      <c r="AV135" s="34"/>
      <c r="AW135" s="34"/>
      <c r="AX135" s="34">
        <v>21.3</v>
      </c>
      <c r="AY135" s="34"/>
      <c r="AZ135" s="34"/>
      <c r="BA135" s="34"/>
      <c r="BB135" s="34"/>
      <c r="BC135" s="34"/>
      <c r="BD135" s="34"/>
      <c r="BE135" s="37"/>
      <c r="BF135" s="37"/>
      <c r="BG135" s="34"/>
      <c r="BH135" s="37"/>
      <c r="BI135" s="37"/>
      <c r="BJ135" s="34"/>
      <c r="BK135" s="37"/>
      <c r="BL135" s="37"/>
      <c r="BM135" s="37"/>
      <c r="BN135" s="38"/>
      <c r="BO135" s="34"/>
      <c r="BP135" s="38"/>
      <c r="BQ135" s="37"/>
      <c r="BR135" s="36"/>
      <c r="BS135" s="37"/>
      <c r="BT135" s="37"/>
      <c r="BU135" s="34"/>
      <c r="BV135" s="37"/>
      <c r="BW135" s="36"/>
      <c r="BX135" s="37"/>
      <c r="BY135" s="34"/>
      <c r="BZ135" s="34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4"/>
      <c r="CM135" s="37"/>
      <c r="CN135" s="37"/>
      <c r="CO135" s="37"/>
      <c r="CP135" s="34"/>
      <c r="CQ135" s="37"/>
      <c r="CR135" s="37"/>
      <c r="CS135" s="37"/>
      <c r="CT135" s="34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9"/>
      <c r="EB135" s="39"/>
      <c r="EC135" s="40"/>
    </row>
    <row r="136" spans="1:133">
      <c r="A136" s="44"/>
      <c r="B136" s="22"/>
      <c r="C136" s="53" t="s">
        <v>361</v>
      </c>
      <c r="D136" s="21" t="s">
        <v>357</v>
      </c>
      <c r="E136" s="21"/>
      <c r="F136" s="22"/>
      <c r="G136" s="23" t="str" cm="1">
        <f t="array" ref="G136">IFERROR(LOOKUP(2,1/(K136:GC136&lt;&gt;""),K$2:DQL$2),"")</f>
        <v>12-Aug</v>
      </c>
      <c r="H136" s="24" cm="1">
        <f t="array" ref="H136">IFERROR(_xlfn.XLOOKUP(TRUE,P136:ED136&lt;&gt;"",P136:ED136,,,-1)," ")</f>
        <v>23</v>
      </c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6">
        <v>23</v>
      </c>
      <c r="BA136" s="34"/>
      <c r="BB136" s="34"/>
      <c r="BC136" s="34"/>
      <c r="BD136" s="34"/>
      <c r="BE136" s="37"/>
      <c r="BF136" s="37"/>
      <c r="BG136" s="34"/>
      <c r="BH136" s="34"/>
      <c r="BI136" s="34"/>
      <c r="BJ136" s="34"/>
      <c r="BK136" s="34"/>
      <c r="BL136" s="34"/>
      <c r="BM136" s="37"/>
      <c r="BN136" s="34"/>
      <c r="BO136" s="34"/>
      <c r="BP136" s="34"/>
      <c r="BQ136" s="34"/>
      <c r="BR136" s="34"/>
      <c r="BS136" s="37"/>
      <c r="BT136" s="37"/>
      <c r="BU136" s="34"/>
      <c r="BV136" s="34"/>
      <c r="BW136" s="34"/>
      <c r="BX136" s="37"/>
      <c r="BY136" s="34"/>
      <c r="BZ136" s="36"/>
      <c r="CA136" s="37"/>
      <c r="CB136" s="37"/>
      <c r="CC136" s="34"/>
      <c r="CD136" s="37"/>
      <c r="CE136" s="37"/>
      <c r="CF136" s="37"/>
      <c r="CG136" s="37"/>
      <c r="CH136" s="37"/>
      <c r="CI136" s="37"/>
      <c r="CJ136" s="37"/>
      <c r="CK136" s="37"/>
      <c r="CL136" s="34"/>
      <c r="CM136" s="37"/>
      <c r="CN136" s="37"/>
      <c r="CO136" s="37"/>
      <c r="CP136" s="34"/>
      <c r="CQ136" s="37"/>
      <c r="CR136" s="34"/>
      <c r="CS136" s="37"/>
      <c r="CT136" s="34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9"/>
      <c r="EB136" s="39"/>
      <c r="EC136" s="40"/>
    </row>
    <row r="137" spans="1:133">
      <c r="A137" s="44"/>
      <c r="B137" s="45" t="s">
        <v>362</v>
      </c>
      <c r="C137" s="20" t="s">
        <v>363</v>
      </c>
      <c r="D137" s="21" t="s">
        <v>357</v>
      </c>
      <c r="E137" s="21"/>
      <c r="F137" s="22" t="s">
        <v>340</v>
      </c>
      <c r="G137" s="23" t="str" cm="1">
        <f t="array" ref="G137">IFERROR(LOOKUP(2,1/(K137:GC137&lt;&gt;""),K$2:DQL$2),"")</f>
        <v>6-Aug</v>
      </c>
      <c r="H137" s="24" cm="1">
        <f t="array" ref="H137">IFERROR(_xlfn.XLOOKUP(TRUE,P137:ED137&lt;&gt;"",P137:ED137,,,-1)," ")</f>
        <v>19.2</v>
      </c>
      <c r="I137" s="25">
        <v>20</v>
      </c>
      <c r="J137" s="25">
        <v>22</v>
      </c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34"/>
      <c r="AF137" s="35"/>
      <c r="AG137" s="34"/>
      <c r="AH137" s="34"/>
      <c r="AI137" s="34"/>
      <c r="AJ137" s="34"/>
      <c r="AK137" s="34"/>
      <c r="AL137" s="34">
        <v>16.899999999999999</v>
      </c>
      <c r="AM137" s="34"/>
      <c r="AN137" s="34"/>
      <c r="AO137" s="34"/>
      <c r="AP137" s="34"/>
      <c r="AQ137" s="34"/>
      <c r="AR137" s="34">
        <v>18.600000000000001</v>
      </c>
      <c r="AS137" s="34"/>
      <c r="AT137" s="36">
        <v>19.2</v>
      </c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7"/>
      <c r="BF137" s="37"/>
      <c r="BG137" s="34"/>
      <c r="BH137" s="37"/>
      <c r="BI137" s="37"/>
      <c r="BJ137" s="34"/>
      <c r="BK137" s="37"/>
      <c r="BL137" s="37"/>
      <c r="BM137" s="37"/>
      <c r="BN137" s="38"/>
      <c r="BO137" s="34"/>
      <c r="BP137" s="34"/>
      <c r="BQ137" s="34"/>
      <c r="BR137" s="34"/>
      <c r="BS137" s="37"/>
      <c r="BT137" s="37"/>
      <c r="BU137" s="34"/>
      <c r="BV137" s="34"/>
      <c r="BW137" s="34"/>
      <c r="BX137" s="37"/>
      <c r="BY137" s="34"/>
      <c r="BZ137" s="34"/>
      <c r="CA137" s="37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6"/>
      <c r="CM137" s="43"/>
      <c r="CN137" s="37"/>
      <c r="CO137" s="37"/>
      <c r="CP137" s="34"/>
      <c r="CQ137" s="34"/>
      <c r="CR137" s="37"/>
      <c r="CS137" s="37"/>
      <c r="CT137" s="34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9"/>
      <c r="EB137" s="39"/>
      <c r="EC137" s="40"/>
    </row>
    <row r="138" spans="1:133" hidden="1">
      <c r="A138" s="44" t="s">
        <v>138</v>
      </c>
      <c r="B138" s="45" t="s">
        <v>364</v>
      </c>
      <c r="C138" s="20" t="s">
        <v>365</v>
      </c>
      <c r="D138" s="21" t="s">
        <v>357</v>
      </c>
      <c r="E138" s="21"/>
      <c r="F138" s="22" t="s">
        <v>340</v>
      </c>
      <c r="G138" s="23" t="str" cm="1">
        <f t="array" ref="G138">IFERROR(LOOKUP(2,1/(K138:GC138&lt;&gt;""),K$2:DQL$2),"")</f>
        <v>4-Aug</v>
      </c>
      <c r="H138" s="24" cm="1">
        <f t="array" ref="H138">IFERROR(_xlfn.XLOOKUP(TRUE,P138:ED138&lt;&gt;"",P138:ED138,,,-1)," ")</f>
        <v>19</v>
      </c>
      <c r="I138" s="25">
        <v>20</v>
      </c>
      <c r="J138" s="25">
        <v>22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34"/>
      <c r="AF138" s="35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>
        <v>19</v>
      </c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7"/>
      <c r="BF138" s="37"/>
      <c r="BG138" s="34"/>
      <c r="BH138" s="37"/>
      <c r="BI138" s="37"/>
      <c r="BJ138" s="34"/>
      <c r="BK138" s="37"/>
      <c r="BL138" s="37"/>
      <c r="BM138" s="37"/>
      <c r="BN138" s="38"/>
      <c r="BO138" s="34"/>
      <c r="BP138" s="34"/>
      <c r="BQ138" s="34"/>
      <c r="BR138" s="34"/>
      <c r="BS138" s="37"/>
      <c r="BT138" s="37"/>
      <c r="BU138" s="34"/>
      <c r="BV138" s="34"/>
      <c r="BW138" s="34"/>
      <c r="BX138" s="37"/>
      <c r="BY138" s="34"/>
      <c r="BZ138" s="34"/>
      <c r="CA138" s="37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43"/>
      <c r="CN138" s="37"/>
      <c r="CO138" s="37"/>
      <c r="CP138" s="34"/>
      <c r="CQ138" s="37"/>
      <c r="CR138" s="37"/>
      <c r="CS138" s="37"/>
      <c r="CT138" s="34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9"/>
      <c r="EB138" s="39"/>
      <c r="EC138" s="40"/>
    </row>
    <row r="139" spans="1:133" hidden="1">
      <c r="A139" s="44" t="s">
        <v>138</v>
      </c>
      <c r="B139" s="45" t="s">
        <v>366</v>
      </c>
      <c r="C139" s="20" t="s">
        <v>367</v>
      </c>
      <c r="D139" s="21" t="s">
        <v>357</v>
      </c>
      <c r="E139" s="21"/>
      <c r="F139" s="22" t="s">
        <v>340</v>
      </c>
      <c r="G139" s="23" t="str" cm="1">
        <f t="array" ref="G139">IFERROR(LOOKUP(2,1/(K139:GC139&lt;&gt;""),K$2:DQL$2),"")</f>
        <v>4-Aug</v>
      </c>
      <c r="H139" s="24" cm="1">
        <f t="array" ref="H139">IFERROR(_xlfn.XLOOKUP(TRUE,P139:ED139&lt;&gt;"",P139:ED139,,,-1)," ")</f>
        <v>20.5</v>
      </c>
      <c r="I139" s="25">
        <v>20</v>
      </c>
      <c r="J139" s="25">
        <v>22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34"/>
      <c r="AF139" s="35"/>
      <c r="AG139" s="34"/>
      <c r="AH139" s="34"/>
      <c r="AI139" s="34"/>
      <c r="AJ139" s="34"/>
      <c r="AK139" s="34"/>
      <c r="AL139" s="34">
        <v>19.7</v>
      </c>
      <c r="AM139" s="34"/>
      <c r="AN139" s="34"/>
      <c r="AO139" s="34"/>
      <c r="AP139" s="34"/>
      <c r="AQ139" s="34"/>
      <c r="AR139" s="34">
        <v>20.5</v>
      </c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7"/>
      <c r="BF139" s="37"/>
      <c r="BG139" s="34"/>
      <c r="BH139" s="37"/>
      <c r="BI139" s="37"/>
      <c r="BJ139" s="34"/>
      <c r="BK139" s="37"/>
      <c r="BL139" s="37"/>
      <c r="BM139" s="37"/>
      <c r="BN139" s="38"/>
      <c r="BO139" s="34"/>
      <c r="BP139" s="34"/>
      <c r="BQ139" s="34"/>
      <c r="BR139" s="34"/>
      <c r="BS139" s="37"/>
      <c r="BT139" s="37"/>
      <c r="BU139" s="34"/>
      <c r="BV139" s="34"/>
      <c r="BW139" s="34"/>
      <c r="BX139" s="37"/>
      <c r="BY139" s="34"/>
      <c r="BZ139" s="34"/>
      <c r="CA139" s="37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43"/>
      <c r="CN139" s="37"/>
      <c r="CO139" s="37"/>
      <c r="CP139" s="34"/>
      <c r="CQ139" s="34"/>
      <c r="CR139" s="37"/>
      <c r="CS139" s="37"/>
      <c r="CT139" s="34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9"/>
      <c r="EB139" s="39"/>
      <c r="EC139" s="40"/>
    </row>
    <row r="140" spans="1:133" hidden="1">
      <c r="A140" s="44" t="s">
        <v>138</v>
      </c>
      <c r="B140" s="45" t="s">
        <v>368</v>
      </c>
      <c r="C140" s="20" t="s">
        <v>369</v>
      </c>
      <c r="D140" s="21" t="s">
        <v>357</v>
      </c>
      <c r="E140" s="21"/>
      <c r="F140" s="22" t="s">
        <v>340</v>
      </c>
      <c r="G140" s="23" t="str" cm="1">
        <f t="array" ref="G140">IFERROR(LOOKUP(2,1/(K140:GC140&lt;&gt;""),K$2:DQL$2),"")</f>
        <v>4-Aug</v>
      </c>
      <c r="H140" s="24" cm="1">
        <f t="array" ref="H140">IFERROR(_xlfn.XLOOKUP(TRUE,P140:ED140&lt;&gt;"",P140:ED140,,,-1)," ")</f>
        <v>21.3</v>
      </c>
      <c r="I140" s="25">
        <v>20</v>
      </c>
      <c r="J140" s="25">
        <v>22</v>
      </c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34"/>
      <c r="AF140" s="35"/>
      <c r="AG140" s="34"/>
      <c r="AH140" s="34"/>
      <c r="AI140" s="34"/>
      <c r="AJ140" s="34"/>
      <c r="AK140" s="34"/>
      <c r="AL140" s="34">
        <v>19.7</v>
      </c>
      <c r="AM140" s="34"/>
      <c r="AN140" s="34"/>
      <c r="AO140" s="34"/>
      <c r="AP140" s="34"/>
      <c r="AQ140" s="34"/>
      <c r="AR140" s="248">
        <v>21.3</v>
      </c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7"/>
      <c r="BF140" s="37"/>
      <c r="BG140" s="34"/>
      <c r="BH140" s="37"/>
      <c r="BI140" s="37"/>
      <c r="BJ140" s="34"/>
      <c r="BK140" s="38"/>
      <c r="BL140" s="37"/>
      <c r="BM140" s="37"/>
      <c r="BN140" s="38"/>
      <c r="BO140" s="34"/>
      <c r="BP140" s="34"/>
      <c r="BQ140" s="34"/>
      <c r="BR140" s="34"/>
      <c r="BS140" s="37"/>
      <c r="BT140" s="37"/>
      <c r="BU140" s="34"/>
      <c r="BV140" s="34"/>
      <c r="BW140" s="34"/>
      <c r="BX140" s="37"/>
      <c r="BY140" s="34"/>
      <c r="BZ140" s="34"/>
      <c r="CA140" s="37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43"/>
      <c r="CN140" s="37"/>
      <c r="CO140" s="37"/>
      <c r="CP140" s="34"/>
      <c r="CQ140" s="37"/>
      <c r="CR140" s="37"/>
      <c r="CS140" s="37"/>
      <c r="CT140" s="34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9"/>
      <c r="EB140" s="39"/>
      <c r="EC140" s="40"/>
    </row>
    <row r="141" spans="1:133">
      <c r="A141" s="44"/>
      <c r="B141" s="45" t="s">
        <v>368</v>
      </c>
      <c r="C141" s="20" t="s">
        <v>370</v>
      </c>
      <c r="D141" s="21" t="s">
        <v>357</v>
      </c>
      <c r="E141" s="21"/>
      <c r="F141" s="22" t="s">
        <v>340</v>
      </c>
      <c r="G141" s="23" t="str" cm="1">
        <f t="array" ref="G141">IFERROR(LOOKUP(2,1/(K141:GC141&lt;&gt;""),K$2:DQL$2),"")</f>
        <v>18-Aug</v>
      </c>
      <c r="H141" s="24" cm="1">
        <f t="array" ref="H141">IFERROR(_xlfn.XLOOKUP(TRUE,P141:ED141&lt;&gt;"",P141:ED141,,,-1)," ")</f>
        <v>24</v>
      </c>
      <c r="I141" s="25">
        <v>20</v>
      </c>
      <c r="J141" s="25">
        <v>22</v>
      </c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34"/>
      <c r="AF141" s="35"/>
      <c r="AG141" s="34"/>
      <c r="AH141" s="34"/>
      <c r="AI141" s="34"/>
      <c r="AJ141" s="34"/>
      <c r="AK141" s="34"/>
      <c r="AL141" s="34">
        <v>19.7</v>
      </c>
      <c r="AM141" s="34"/>
      <c r="AN141" s="34"/>
      <c r="AO141" s="34"/>
      <c r="AP141" s="34"/>
      <c r="AQ141" s="34"/>
      <c r="AR141" s="248">
        <v>21.3</v>
      </c>
      <c r="AS141" s="34"/>
      <c r="AT141" s="34"/>
      <c r="AU141" s="34"/>
      <c r="AV141" s="34"/>
      <c r="AW141" s="34"/>
      <c r="AX141" s="34"/>
      <c r="AY141" s="34">
        <v>22.4</v>
      </c>
      <c r="AZ141" s="34"/>
      <c r="BA141" s="34"/>
      <c r="BB141" s="34"/>
      <c r="BC141" s="34"/>
      <c r="BD141" s="34"/>
      <c r="BE141" s="37"/>
      <c r="BF141" s="37">
        <v>24</v>
      </c>
      <c r="BG141" s="34"/>
      <c r="BH141" s="37"/>
      <c r="BI141" s="37"/>
      <c r="BJ141" s="34"/>
      <c r="BK141" s="38"/>
      <c r="BL141" s="37"/>
      <c r="BM141" s="37"/>
      <c r="BN141" s="38"/>
      <c r="BO141" s="34"/>
      <c r="BP141" s="34"/>
      <c r="BQ141" s="34"/>
      <c r="BR141" s="34"/>
      <c r="BS141" s="37"/>
      <c r="BT141" s="37"/>
      <c r="BU141" s="34"/>
      <c r="BV141" s="34"/>
      <c r="BW141" s="34"/>
      <c r="BX141" s="37"/>
      <c r="BY141" s="34"/>
      <c r="BZ141" s="34"/>
      <c r="CA141" s="37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43"/>
      <c r="CN141" s="37"/>
      <c r="CO141" s="37"/>
      <c r="CP141" s="34"/>
      <c r="CQ141" s="37"/>
      <c r="CR141" s="37"/>
      <c r="CS141" s="37"/>
      <c r="CT141" s="34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9"/>
      <c r="EB141" s="39"/>
      <c r="EC141" s="40"/>
    </row>
    <row r="142" spans="1:133" hidden="1">
      <c r="A142" s="44" t="s">
        <v>138</v>
      </c>
      <c r="B142" s="45" t="s">
        <v>371</v>
      </c>
      <c r="C142" s="20" t="s">
        <v>372</v>
      </c>
      <c r="D142" s="21" t="s">
        <v>357</v>
      </c>
      <c r="E142" s="21"/>
      <c r="F142" s="22" t="s">
        <v>340</v>
      </c>
      <c r="G142" s="23" t="str" cm="1">
        <f t="array" ref="G142">IFERROR(LOOKUP(2,1/(K142:GC142&lt;&gt;""),K$2:DQL$2),"")</f>
        <v>4-Aug</v>
      </c>
      <c r="H142" s="24" cm="1">
        <f t="array" ref="H142">IFERROR(_xlfn.XLOOKUP(TRUE,P142:ED142&lt;&gt;"",P142:ED142,,,-1)," ")</f>
        <v>20.2</v>
      </c>
      <c r="I142" s="25">
        <v>20</v>
      </c>
      <c r="J142" s="25">
        <v>22</v>
      </c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34"/>
      <c r="AF142" s="35"/>
      <c r="AG142" s="34"/>
      <c r="AH142" s="34"/>
      <c r="AI142" s="34"/>
      <c r="AJ142" s="34"/>
      <c r="AK142" s="34"/>
      <c r="AL142" s="34">
        <v>19.899999999999999</v>
      </c>
      <c r="AM142" s="34"/>
      <c r="AN142" s="34"/>
      <c r="AO142" s="34"/>
      <c r="AP142" s="34"/>
      <c r="AQ142" s="34"/>
      <c r="AR142" s="34">
        <v>20.2</v>
      </c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7"/>
      <c r="BF142" s="37"/>
      <c r="BG142" s="34"/>
      <c r="BH142" s="37"/>
      <c r="BI142" s="37"/>
      <c r="BJ142" s="34"/>
      <c r="BK142" s="37"/>
      <c r="BL142" s="37"/>
      <c r="BM142" s="37"/>
      <c r="BN142" s="38"/>
      <c r="BO142" s="34"/>
      <c r="BP142" s="34"/>
      <c r="BQ142" s="34"/>
      <c r="BR142" s="34"/>
      <c r="BS142" s="37"/>
      <c r="BT142" s="37"/>
      <c r="BU142" s="34"/>
      <c r="BV142" s="34"/>
      <c r="BW142" s="34"/>
      <c r="BX142" s="37"/>
      <c r="BY142" s="34"/>
      <c r="BZ142" s="34"/>
      <c r="CA142" s="37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43"/>
      <c r="CN142" s="37"/>
      <c r="CO142" s="37"/>
      <c r="CP142" s="34"/>
      <c r="CQ142" s="37"/>
      <c r="CR142" s="37"/>
      <c r="CS142" s="37"/>
      <c r="CT142" s="34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9"/>
      <c r="EB142" s="39"/>
      <c r="EC142" s="40"/>
    </row>
    <row r="143" spans="1:133" hidden="1">
      <c r="A143" s="44" t="s">
        <v>138</v>
      </c>
      <c r="B143" s="45" t="s">
        <v>373</v>
      </c>
      <c r="C143" s="20" t="s">
        <v>374</v>
      </c>
      <c r="D143" s="21" t="s">
        <v>357</v>
      </c>
      <c r="E143" s="21"/>
      <c r="F143" s="22" t="s">
        <v>340</v>
      </c>
      <c r="G143" s="23" t="str" cm="1">
        <f t="array" ref="G143">IFERROR(LOOKUP(2,1/(K143:GC143&lt;&gt;""),K$2:DQL$2),"")</f>
        <v>11-Aug</v>
      </c>
      <c r="H143" s="24" cm="1">
        <f t="array" ref="H143">IFERROR(_xlfn.XLOOKUP(TRUE,P143:ED143&lt;&gt;"",P143:ED143,,,-1)," ")</f>
        <v>22.5</v>
      </c>
      <c r="I143" s="25">
        <v>20</v>
      </c>
      <c r="J143" s="25">
        <v>22</v>
      </c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34"/>
      <c r="AF143" s="35"/>
      <c r="AG143" s="34"/>
      <c r="AH143" s="34"/>
      <c r="AI143" s="34"/>
      <c r="AJ143" s="34"/>
      <c r="AK143" s="34"/>
      <c r="AL143" s="34"/>
      <c r="AM143" s="34"/>
      <c r="AN143" s="34">
        <v>20.100000000000001</v>
      </c>
      <c r="AO143" s="34"/>
      <c r="AP143" s="34"/>
      <c r="AQ143" s="34"/>
      <c r="AR143" s="34">
        <v>21</v>
      </c>
      <c r="AS143" s="34"/>
      <c r="AT143" s="34"/>
      <c r="AU143" s="34"/>
      <c r="AV143" s="34"/>
      <c r="AW143" s="34"/>
      <c r="AX143" s="34"/>
      <c r="AY143" s="34">
        <v>22.5</v>
      </c>
      <c r="AZ143" s="34"/>
      <c r="BA143" s="34"/>
      <c r="BB143" s="34"/>
      <c r="BC143" s="34"/>
      <c r="BD143" s="34"/>
      <c r="BE143" s="37"/>
      <c r="BF143" s="37"/>
      <c r="BG143" s="34"/>
      <c r="BH143" s="37"/>
      <c r="BI143" s="37"/>
      <c r="BJ143" s="34"/>
      <c r="BK143" s="37"/>
      <c r="BL143" s="37"/>
      <c r="BM143" s="37"/>
      <c r="BN143" s="38"/>
      <c r="BO143" s="34"/>
      <c r="BP143" s="34"/>
      <c r="BQ143" s="34"/>
      <c r="BR143" s="34"/>
      <c r="BS143" s="37"/>
      <c r="BT143" s="37"/>
      <c r="BU143" s="34"/>
      <c r="BV143" s="34"/>
      <c r="BW143" s="34"/>
      <c r="BX143" s="37"/>
      <c r="BY143" s="34"/>
      <c r="BZ143" s="34"/>
      <c r="CA143" s="37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7"/>
      <c r="CN143" s="37"/>
      <c r="CO143" s="37"/>
      <c r="CP143" s="34"/>
      <c r="CQ143" s="37"/>
      <c r="CR143" s="37"/>
      <c r="CS143" s="37"/>
      <c r="CT143" s="34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9"/>
      <c r="EB143" s="39"/>
      <c r="EC143" s="40"/>
    </row>
    <row r="144" spans="1:133" hidden="1">
      <c r="A144" s="44" t="s">
        <v>138</v>
      </c>
      <c r="B144" s="45" t="s">
        <v>375</v>
      </c>
      <c r="C144" s="20" t="s">
        <v>376</v>
      </c>
      <c r="D144" s="21" t="s">
        <v>357</v>
      </c>
      <c r="E144" s="21"/>
      <c r="F144" s="22" t="s">
        <v>340</v>
      </c>
      <c r="G144" s="23" t="str" cm="1">
        <f t="array" ref="G144">IFERROR(LOOKUP(2,1/(K144:GC144&lt;&gt;""),K$2:DQL$2),"")</f>
        <v/>
      </c>
      <c r="H144" s="24" t="str" cm="1">
        <f t="array" ref="H144">IFERROR(_xlfn.XLOOKUP(TRUE,P144:ED144&lt;&gt;"",P144:ED144,,,-1)," ")</f>
        <v xml:space="preserve"> </v>
      </c>
      <c r="I144" s="25">
        <v>20</v>
      </c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34"/>
      <c r="AF144" s="35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7"/>
      <c r="BF144" s="37"/>
      <c r="BG144" s="34"/>
      <c r="BH144" s="37"/>
      <c r="BI144" s="37"/>
      <c r="BJ144" s="34"/>
      <c r="BK144" s="37"/>
      <c r="BL144" s="37"/>
      <c r="BM144" s="37"/>
      <c r="BN144" s="37"/>
      <c r="BO144" s="34"/>
      <c r="BP144" s="34"/>
      <c r="BQ144" s="34"/>
      <c r="BR144" s="34"/>
      <c r="BS144" s="37"/>
      <c r="BT144" s="37"/>
      <c r="BU144" s="34"/>
      <c r="BV144" s="34"/>
      <c r="BW144" s="34"/>
      <c r="BX144" s="37"/>
      <c r="BY144" s="34"/>
      <c r="BZ144" s="34"/>
      <c r="CA144" s="37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43"/>
      <c r="CN144" s="37"/>
      <c r="CO144" s="37"/>
      <c r="CP144" s="34"/>
      <c r="CQ144" s="37"/>
      <c r="CR144" s="37"/>
      <c r="CS144" s="37"/>
      <c r="CT144" s="34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9"/>
      <c r="EB144" s="39"/>
      <c r="EC144" s="40"/>
    </row>
    <row r="145" spans="1:133" hidden="1">
      <c r="A145" s="44" t="s">
        <v>138</v>
      </c>
      <c r="B145" s="45" t="s">
        <v>377</v>
      </c>
      <c r="C145" s="20" t="s">
        <v>378</v>
      </c>
      <c r="D145" s="21" t="s">
        <v>379</v>
      </c>
      <c r="E145" s="21"/>
      <c r="F145" s="22" t="s">
        <v>380</v>
      </c>
      <c r="G145" s="23" t="str" cm="1">
        <f t="array" ref="G145">IFERROR(LOOKUP(2,1/(K145:GC145&lt;&gt;""),K$2:DQL$2),"")</f>
        <v>20-Jul</v>
      </c>
      <c r="H145" s="24" cm="1">
        <f t="array" ref="H145">IFERROR(_xlfn.XLOOKUP(TRUE,P145:ED145&lt;&gt;"",P145:ED145,,,-1)," ")</f>
        <v>19.8</v>
      </c>
      <c r="I145" s="25">
        <v>22</v>
      </c>
      <c r="J145" s="25">
        <v>23</v>
      </c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>
        <v>19.8</v>
      </c>
      <c r="AD145" s="25"/>
      <c r="AE145" s="34"/>
      <c r="AF145" s="35"/>
      <c r="AG145" s="34"/>
      <c r="AH145" s="34"/>
      <c r="AI145" s="34"/>
      <c r="AJ145" s="34"/>
      <c r="AK145" s="34"/>
      <c r="AL145" s="34"/>
      <c r="AM145" s="34"/>
      <c r="AN145" s="36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6"/>
      <c r="BE145" s="37"/>
      <c r="BF145" s="37"/>
      <c r="BG145" s="34"/>
      <c r="BH145" s="37"/>
      <c r="BI145" s="37"/>
      <c r="BJ145" s="37"/>
      <c r="BK145" s="38"/>
      <c r="BL145" s="37"/>
      <c r="BM145" s="37"/>
      <c r="BN145" s="37"/>
      <c r="BO145" s="37"/>
      <c r="BP145" s="37"/>
      <c r="BQ145" s="38"/>
      <c r="BR145" s="34"/>
      <c r="BS145" s="37"/>
      <c r="BT145" s="37"/>
      <c r="BU145" s="34"/>
      <c r="BV145" s="37"/>
      <c r="BW145" s="34"/>
      <c r="BX145" s="37"/>
      <c r="BY145" s="34"/>
      <c r="BZ145" s="34"/>
      <c r="CA145" s="37"/>
      <c r="CB145" s="37"/>
      <c r="CC145" s="34"/>
      <c r="CD145" s="37"/>
      <c r="CE145" s="37"/>
      <c r="CF145" s="37"/>
      <c r="CG145" s="37"/>
      <c r="CH145" s="37"/>
      <c r="CI145" s="37"/>
      <c r="CJ145" s="37"/>
      <c r="CK145" s="37"/>
      <c r="CL145" s="34"/>
      <c r="CM145" s="37"/>
      <c r="CN145" s="37"/>
      <c r="CO145" s="37"/>
      <c r="CP145" s="34"/>
      <c r="CQ145" s="37"/>
      <c r="CR145" s="37"/>
      <c r="CS145" s="37"/>
      <c r="CT145" s="34"/>
      <c r="CU145" s="37"/>
      <c r="CV145" s="37"/>
      <c r="CW145" s="37"/>
      <c r="CX145" s="37"/>
      <c r="CY145" s="37"/>
      <c r="CZ145" s="37"/>
      <c r="DA145" s="39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  <c r="DZ145" s="37"/>
      <c r="EA145" s="39"/>
      <c r="EB145" s="39"/>
      <c r="EC145" s="40"/>
    </row>
    <row r="146" spans="1:133" hidden="1">
      <c r="A146" s="44" t="s">
        <v>138</v>
      </c>
      <c r="B146" s="45" t="s">
        <v>377</v>
      </c>
      <c r="C146" s="20" t="s">
        <v>381</v>
      </c>
      <c r="D146" s="21" t="s">
        <v>379</v>
      </c>
      <c r="E146" s="21"/>
      <c r="F146" s="22" t="s">
        <v>380</v>
      </c>
      <c r="G146" s="23" t="str" cm="1">
        <f t="array" ref="G146">IFERROR(LOOKUP(2,1/(K146:GC146&lt;&gt;""),K$2:DQL$2),"")</f>
        <v>27-Jul</v>
      </c>
      <c r="H146" s="24" cm="1">
        <f t="array" ref="H146">IFERROR(_xlfn.XLOOKUP(TRUE,P146:ED146&lt;&gt;"",P146:ED146,,,-1)," ")</f>
        <v>21.3</v>
      </c>
      <c r="I146" s="25">
        <v>22</v>
      </c>
      <c r="J146" s="25">
        <v>23</v>
      </c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36">
        <v>21</v>
      </c>
      <c r="AF146" s="35"/>
      <c r="AG146" s="34"/>
      <c r="AH146" s="34"/>
      <c r="AI146" s="34"/>
      <c r="AJ146" s="36">
        <v>21.3</v>
      </c>
      <c r="AK146" s="34"/>
      <c r="AL146" s="34"/>
      <c r="AM146" s="34"/>
      <c r="AN146" s="34"/>
      <c r="AO146" s="34"/>
      <c r="AP146" s="34"/>
      <c r="AQ146" s="34"/>
      <c r="AR146" s="34"/>
      <c r="AS146" s="34"/>
      <c r="AT146" s="36"/>
      <c r="AU146" s="34"/>
      <c r="AV146" s="34"/>
      <c r="AW146" s="34"/>
      <c r="AX146" s="34"/>
      <c r="AY146" s="34"/>
      <c r="AZ146" s="36"/>
      <c r="BA146" s="34"/>
      <c r="BB146" s="34"/>
      <c r="BC146" s="34"/>
      <c r="BD146" s="36"/>
      <c r="BE146" s="37"/>
      <c r="BF146" s="37"/>
      <c r="BG146" s="34"/>
      <c r="BH146" s="38"/>
      <c r="BI146" s="37"/>
      <c r="BJ146" s="37"/>
      <c r="BK146" s="37"/>
      <c r="BL146" s="37"/>
      <c r="BM146" s="38"/>
      <c r="BN146" s="37"/>
      <c r="BO146" s="37"/>
      <c r="BP146" s="37"/>
      <c r="BQ146" s="37"/>
      <c r="BR146" s="34"/>
      <c r="BS146" s="37"/>
      <c r="BT146" s="37"/>
      <c r="BU146" s="34"/>
      <c r="BV146" s="37"/>
      <c r="BW146" s="34"/>
      <c r="BX146" s="37"/>
      <c r="BY146" s="34"/>
      <c r="BZ146" s="34"/>
      <c r="CA146" s="37"/>
      <c r="CB146" s="37"/>
      <c r="CC146" s="34"/>
      <c r="CD146" s="37"/>
      <c r="CE146" s="37"/>
      <c r="CF146" s="37"/>
      <c r="CG146" s="37"/>
      <c r="CH146" s="37"/>
      <c r="CI146" s="37"/>
      <c r="CJ146" s="37"/>
      <c r="CK146" s="37"/>
      <c r="CL146" s="34"/>
      <c r="CM146" s="37"/>
      <c r="CN146" s="37"/>
      <c r="CO146" s="37"/>
      <c r="CP146" s="34"/>
      <c r="CQ146" s="37"/>
      <c r="CR146" s="37"/>
      <c r="CS146" s="37"/>
      <c r="CT146" s="34"/>
      <c r="CU146" s="37"/>
      <c r="CV146" s="37"/>
      <c r="CW146" s="37"/>
      <c r="CX146" s="37"/>
      <c r="CY146" s="37"/>
      <c r="CZ146" s="37"/>
      <c r="DA146" s="39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9"/>
      <c r="EB146" s="39"/>
      <c r="EC146" s="40"/>
    </row>
    <row r="147" spans="1:133" hidden="1">
      <c r="A147" s="44" t="s">
        <v>138</v>
      </c>
      <c r="B147" s="45" t="s">
        <v>377</v>
      </c>
      <c r="C147" s="20" t="s">
        <v>382</v>
      </c>
      <c r="D147" s="21" t="s">
        <v>379</v>
      </c>
      <c r="E147" s="21"/>
      <c r="F147" s="22" t="s">
        <v>380</v>
      </c>
      <c r="G147" s="23" t="str" cm="1">
        <f t="array" ref="G147">IFERROR(LOOKUP(2,1/(K147:GC147&lt;&gt;""),K$2:DQL$2),"")</f>
        <v>27-Jul</v>
      </c>
      <c r="H147" s="24" cm="1">
        <f t="array" ref="H147">IFERROR(_xlfn.XLOOKUP(TRUE,P147:ED147&lt;&gt;"",P147:ED147,,,-1)," ")</f>
        <v>21.5</v>
      </c>
      <c r="I147" s="25">
        <v>22</v>
      </c>
      <c r="J147" s="25">
        <v>23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34"/>
      <c r="AF147" s="35"/>
      <c r="AG147" s="34"/>
      <c r="AH147" s="34"/>
      <c r="AI147" s="34"/>
      <c r="AJ147" s="36">
        <v>21.5</v>
      </c>
      <c r="AK147" s="34"/>
      <c r="AL147" s="34"/>
      <c r="AM147" s="34"/>
      <c r="AN147" s="34"/>
      <c r="AO147" s="34"/>
      <c r="AP147" s="34"/>
      <c r="AQ147" s="34"/>
      <c r="AR147" s="34"/>
      <c r="AS147" s="34"/>
      <c r="AT147" s="36"/>
      <c r="AU147" s="34"/>
      <c r="AV147" s="34"/>
      <c r="AW147" s="34"/>
      <c r="AX147" s="34"/>
      <c r="AY147" s="34"/>
      <c r="AZ147" s="34"/>
      <c r="BA147" s="34"/>
      <c r="BB147" s="34"/>
      <c r="BC147" s="34"/>
      <c r="BD147" s="36"/>
      <c r="BE147" s="37"/>
      <c r="BF147" s="37"/>
      <c r="BG147" s="34"/>
      <c r="BH147" s="38"/>
      <c r="BI147" s="37"/>
      <c r="BJ147" s="37"/>
      <c r="BK147" s="38"/>
      <c r="BL147" s="37"/>
      <c r="BM147" s="38"/>
      <c r="BN147" s="37"/>
      <c r="BO147" s="37"/>
      <c r="BP147" s="37"/>
      <c r="BQ147" s="38"/>
      <c r="BR147" s="34"/>
      <c r="BS147" s="37"/>
      <c r="BT147" s="37"/>
      <c r="BU147" s="34"/>
      <c r="BV147" s="37"/>
      <c r="BW147" s="34"/>
      <c r="BX147" s="37"/>
      <c r="BY147" s="34"/>
      <c r="BZ147" s="34"/>
      <c r="CA147" s="37"/>
      <c r="CB147" s="37"/>
      <c r="CC147" s="34"/>
      <c r="CD147" s="37"/>
      <c r="CE147" s="37"/>
      <c r="CF147" s="37"/>
      <c r="CG147" s="37"/>
      <c r="CH147" s="37"/>
      <c r="CI147" s="37"/>
      <c r="CJ147" s="37"/>
      <c r="CK147" s="37"/>
      <c r="CL147" s="34"/>
      <c r="CM147" s="37"/>
      <c r="CN147" s="37"/>
      <c r="CO147" s="37"/>
      <c r="CP147" s="34"/>
      <c r="CQ147" s="37"/>
      <c r="CR147" s="37"/>
      <c r="CS147" s="37"/>
      <c r="CT147" s="34"/>
      <c r="CU147" s="37"/>
      <c r="CV147" s="37"/>
      <c r="CW147" s="37"/>
      <c r="CX147" s="37"/>
      <c r="CY147" s="37"/>
      <c r="CZ147" s="37"/>
      <c r="DA147" s="49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9"/>
      <c r="EB147" s="39"/>
      <c r="EC147" s="40"/>
    </row>
    <row r="148" spans="1:133" hidden="1">
      <c r="A148" s="44" t="s">
        <v>138</v>
      </c>
      <c r="B148" s="45" t="s">
        <v>383</v>
      </c>
      <c r="C148" s="20" t="s">
        <v>384</v>
      </c>
      <c r="D148" s="21" t="s">
        <v>385</v>
      </c>
      <c r="E148" s="21"/>
      <c r="F148" s="22" t="s">
        <v>137</v>
      </c>
      <c r="G148" s="23" t="str" cm="1">
        <f t="array" ref="G148">IFERROR(LOOKUP(2,1/(K148:GC148&lt;&gt;""),K$2:DQL$2),"")</f>
        <v>11-Aug</v>
      </c>
      <c r="H148" s="24" cm="1">
        <f t="array" ref="H148">IFERROR(_xlfn.XLOOKUP(TRUE,P148:ED148&lt;&gt;"",P148:ED148,,,-1)," ")</f>
        <v>21.1</v>
      </c>
      <c r="I148" s="25">
        <v>22</v>
      </c>
      <c r="J148" s="25">
        <v>23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34"/>
      <c r="AF148" s="35">
        <v>15</v>
      </c>
      <c r="AG148" s="34"/>
      <c r="AH148" s="34"/>
      <c r="AI148" s="34"/>
      <c r="AJ148" s="34"/>
      <c r="AK148" s="34"/>
      <c r="AL148" s="34"/>
      <c r="AM148" s="34"/>
      <c r="AN148" s="34">
        <v>16.899999999999999</v>
      </c>
      <c r="AO148" s="34"/>
      <c r="AP148" s="34"/>
      <c r="AQ148" s="34"/>
      <c r="AR148" s="34"/>
      <c r="AS148" s="34">
        <v>19.399999999999999</v>
      </c>
      <c r="AT148" s="36">
        <v>20</v>
      </c>
      <c r="AU148" s="34"/>
      <c r="AV148" s="34"/>
      <c r="AW148" s="34"/>
      <c r="AX148" s="34"/>
      <c r="AY148" s="36">
        <v>21.1</v>
      </c>
      <c r="AZ148" s="34"/>
      <c r="BA148" s="34"/>
      <c r="BB148" s="34"/>
      <c r="BC148" s="34"/>
      <c r="BD148" s="34"/>
      <c r="BE148" s="38"/>
      <c r="BF148" s="37"/>
      <c r="BG148" s="34"/>
      <c r="BH148" s="62"/>
      <c r="BI148" s="37"/>
      <c r="BJ148" s="37"/>
      <c r="BK148" s="37"/>
      <c r="BL148" s="37"/>
      <c r="BM148" s="37"/>
      <c r="BN148" s="37"/>
      <c r="BO148" s="38"/>
      <c r="BP148" s="37"/>
      <c r="BQ148" s="37"/>
      <c r="BR148" s="36"/>
      <c r="BS148" s="37"/>
      <c r="BT148" s="37"/>
      <c r="BU148" s="34"/>
      <c r="BV148" s="37"/>
      <c r="BW148" s="34"/>
      <c r="BX148" s="37"/>
      <c r="BY148" s="34"/>
      <c r="BZ148" s="34"/>
      <c r="CA148" s="37"/>
      <c r="CB148" s="37"/>
      <c r="CC148" s="34"/>
      <c r="CD148" s="37"/>
      <c r="CE148" s="37"/>
      <c r="CF148" s="37"/>
      <c r="CG148" s="37"/>
      <c r="CH148" s="37"/>
      <c r="CI148" s="37"/>
      <c r="CJ148" s="37"/>
      <c r="CK148" s="37"/>
      <c r="CL148" s="34"/>
      <c r="CM148" s="37"/>
      <c r="CN148" s="37"/>
      <c r="CO148" s="37"/>
      <c r="CP148" s="34"/>
      <c r="CQ148" s="37"/>
      <c r="CR148" s="37"/>
      <c r="CS148" s="37"/>
      <c r="CT148" s="34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9"/>
      <c r="EB148" s="39"/>
      <c r="EC148" s="40"/>
    </row>
    <row r="149" spans="1:133" hidden="1">
      <c r="A149" s="44" t="s">
        <v>138</v>
      </c>
      <c r="B149" s="45" t="s">
        <v>386</v>
      </c>
      <c r="C149" s="20" t="s">
        <v>387</v>
      </c>
      <c r="D149" s="21" t="s">
        <v>388</v>
      </c>
      <c r="E149" s="21"/>
      <c r="F149" s="22"/>
      <c r="G149" s="23" t="str" cm="1">
        <f t="array" ref="G149">IFERROR(LOOKUP(2,1/(K149:GC149&lt;&gt;""),K$2:DQL$2),"")</f>
        <v>11-Aug</v>
      </c>
      <c r="H149" s="24" cm="1">
        <f t="array" ref="H149">IFERROR(_xlfn.XLOOKUP(TRUE,P149:ED149&lt;&gt;"",P149:ED149,,,-1)," ")</f>
        <v>21.9</v>
      </c>
      <c r="I149" s="25">
        <v>21.5</v>
      </c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34">
        <v>15.7</v>
      </c>
      <c r="AF149" s="35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6">
        <v>21.9</v>
      </c>
      <c r="AZ149" s="34"/>
      <c r="BA149" s="34"/>
      <c r="BB149" s="34"/>
      <c r="BC149" s="34"/>
      <c r="BD149" s="34"/>
      <c r="BE149" s="37"/>
      <c r="BF149" s="37"/>
      <c r="BG149" s="34"/>
      <c r="BH149" s="37"/>
      <c r="BI149" s="37"/>
      <c r="BJ149" s="37"/>
      <c r="BK149" s="37"/>
      <c r="BL149" s="37"/>
      <c r="BM149" s="37"/>
      <c r="BN149" s="38"/>
      <c r="BO149" s="37"/>
      <c r="BP149" s="37"/>
      <c r="BQ149" s="37"/>
      <c r="BR149" s="34"/>
      <c r="BS149" s="37"/>
      <c r="BT149" s="37"/>
      <c r="BU149" s="34"/>
      <c r="BV149" s="37"/>
      <c r="BW149" s="34"/>
      <c r="BX149" s="37"/>
      <c r="BY149" s="34"/>
      <c r="BZ149" s="36"/>
      <c r="CA149" s="37"/>
      <c r="CB149" s="37"/>
      <c r="CC149" s="34"/>
      <c r="CD149" s="37"/>
      <c r="CE149" s="37"/>
      <c r="CF149" s="37"/>
      <c r="CG149" s="37"/>
      <c r="CH149" s="37"/>
      <c r="CI149" s="37"/>
      <c r="CJ149" s="37"/>
      <c r="CK149" s="37"/>
      <c r="CL149" s="34"/>
      <c r="CM149" s="37"/>
      <c r="CN149" s="37"/>
      <c r="CO149" s="37"/>
      <c r="CP149" s="34"/>
      <c r="CQ149" s="37"/>
      <c r="CR149" s="37"/>
      <c r="CS149" s="37"/>
      <c r="CT149" s="34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9"/>
      <c r="EB149" s="39"/>
      <c r="EC149" s="40"/>
    </row>
    <row r="150" spans="1:133" hidden="1">
      <c r="A150" s="44" t="s">
        <v>138</v>
      </c>
      <c r="B150" s="45" t="s">
        <v>389</v>
      </c>
      <c r="C150" s="20" t="s">
        <v>390</v>
      </c>
      <c r="D150" s="21" t="s">
        <v>391</v>
      </c>
      <c r="E150" s="21"/>
      <c r="F150" s="22" t="s">
        <v>137</v>
      </c>
      <c r="G150" s="23" t="str" cm="1">
        <f t="array" ref="G150">IFERROR(LOOKUP(2,1/(K150:GC150&lt;&gt;""),K$2:DQL$2),"")</f>
        <v>31-Jul</v>
      </c>
      <c r="H150" s="24" cm="1">
        <f t="array" ref="H150">IFERROR(_xlfn.XLOOKUP(TRUE,P150:ED150&lt;&gt;"",P150:ED150,,,-1)," ")</f>
        <v>23.5</v>
      </c>
      <c r="I150" s="25">
        <v>22</v>
      </c>
      <c r="J150" s="25">
        <v>23</v>
      </c>
      <c r="K150" s="25"/>
      <c r="L150" s="25"/>
      <c r="M150" s="25"/>
      <c r="N150" s="25"/>
      <c r="O150" s="25"/>
      <c r="P150" s="25"/>
      <c r="Q150" s="25"/>
      <c r="R150" s="25">
        <v>15.4</v>
      </c>
      <c r="S150" s="25"/>
      <c r="T150" s="25"/>
      <c r="U150" s="25"/>
      <c r="V150" s="25"/>
      <c r="W150" s="25"/>
      <c r="X150" s="25">
        <v>18.399999999999999</v>
      </c>
      <c r="Y150" s="25"/>
      <c r="Z150" s="25"/>
      <c r="AA150" s="25"/>
      <c r="AB150" s="25"/>
      <c r="AC150" s="25"/>
      <c r="AD150" s="25"/>
      <c r="AE150" s="248">
        <v>22.3</v>
      </c>
      <c r="AF150" s="61">
        <v>20.100000000000001</v>
      </c>
      <c r="AG150" s="34"/>
      <c r="AH150" s="34"/>
      <c r="AI150" s="34"/>
      <c r="AJ150" s="34"/>
      <c r="AK150" s="34">
        <v>21.4</v>
      </c>
      <c r="AL150" s="34"/>
      <c r="AM150" s="34"/>
      <c r="AN150" s="36">
        <v>23.5</v>
      </c>
      <c r="AO150" s="34"/>
      <c r="AP150" s="34"/>
      <c r="AQ150" s="34"/>
      <c r="AR150" s="34"/>
      <c r="AS150" s="36"/>
      <c r="AT150" s="36"/>
      <c r="AU150" s="34"/>
      <c r="AV150" s="34"/>
      <c r="AW150" s="34"/>
      <c r="AX150" s="34"/>
      <c r="AY150" s="34"/>
      <c r="AZ150" s="34"/>
      <c r="BA150" s="34"/>
      <c r="BB150" s="34"/>
      <c r="BC150" s="34"/>
      <c r="BD150" s="36"/>
      <c r="BE150" s="37"/>
      <c r="BF150" s="37"/>
      <c r="BG150" s="34"/>
      <c r="BH150" s="37"/>
      <c r="BI150" s="37"/>
      <c r="BJ150" s="37"/>
      <c r="BK150" s="37"/>
      <c r="BL150" s="37"/>
      <c r="BM150" s="37"/>
      <c r="BN150" s="38"/>
      <c r="BO150" s="37"/>
      <c r="BP150" s="37"/>
      <c r="BQ150" s="37"/>
      <c r="BR150" s="34"/>
      <c r="BS150" s="37"/>
      <c r="BT150" s="37"/>
      <c r="BU150" s="34"/>
      <c r="BV150" s="37"/>
      <c r="BW150" s="34"/>
      <c r="BX150" s="37"/>
      <c r="BY150" s="34"/>
      <c r="BZ150" s="36"/>
      <c r="CA150" s="37"/>
      <c r="CB150" s="37"/>
      <c r="CC150" s="34"/>
      <c r="CD150" s="37"/>
      <c r="CE150" s="37"/>
      <c r="CF150" s="37"/>
      <c r="CG150" s="37"/>
      <c r="CH150" s="37"/>
      <c r="CI150" s="37"/>
      <c r="CJ150" s="37"/>
      <c r="CK150" s="37"/>
      <c r="CL150" s="34"/>
      <c r="CM150" s="37"/>
      <c r="CN150" s="37"/>
      <c r="CO150" s="37"/>
      <c r="CP150" s="34"/>
      <c r="CQ150" s="37"/>
      <c r="CR150" s="37"/>
      <c r="CS150" s="37"/>
      <c r="CT150" s="34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9"/>
      <c r="EB150" s="39"/>
      <c r="EC150" s="40"/>
    </row>
    <row r="151" spans="1:133">
      <c r="A151" s="44"/>
      <c r="B151" s="22"/>
      <c r="C151" s="20" t="s">
        <v>392</v>
      </c>
      <c r="D151" s="21" t="s">
        <v>393</v>
      </c>
      <c r="E151" s="21"/>
      <c r="F151" s="22"/>
      <c r="G151" s="23" t="str" cm="1">
        <f t="array" ref="G151">IFERROR(LOOKUP(2,1/(K151:GC151&lt;&gt;""),K$2:DQL$2),"")</f>
        <v>12-Aug</v>
      </c>
      <c r="H151" s="24" cm="1">
        <f t="array" ref="H151">IFERROR(_xlfn.XLOOKUP(TRUE,P151:ED151&lt;&gt;"",P151:ED151,,,-1)," ")</f>
        <v>16.3</v>
      </c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>
        <v>16.3</v>
      </c>
      <c r="BA151" s="34"/>
      <c r="BB151" s="34"/>
      <c r="BC151" s="34"/>
      <c r="BD151" s="34"/>
      <c r="BE151" s="37"/>
      <c r="BF151" s="37"/>
      <c r="BG151" s="34"/>
      <c r="BH151" s="34"/>
      <c r="BI151" s="34"/>
      <c r="BJ151" s="34"/>
      <c r="BK151" s="34"/>
      <c r="BL151" s="34"/>
      <c r="BM151" s="37"/>
      <c r="BN151" s="34"/>
      <c r="BO151" s="34"/>
      <c r="BP151" s="34"/>
      <c r="BQ151" s="34"/>
      <c r="BR151" s="34"/>
      <c r="BS151" s="37"/>
      <c r="BT151" s="37"/>
      <c r="BU151" s="34"/>
      <c r="BV151" s="34"/>
      <c r="BW151" s="34"/>
      <c r="BX151" s="37"/>
      <c r="BY151" s="34"/>
      <c r="BZ151" s="36"/>
      <c r="CA151" s="37"/>
      <c r="CB151" s="37"/>
      <c r="CC151" s="34"/>
      <c r="CD151" s="37"/>
      <c r="CE151" s="37"/>
      <c r="CF151" s="37"/>
      <c r="CG151" s="37"/>
      <c r="CH151" s="37"/>
      <c r="CI151" s="37"/>
      <c r="CJ151" s="37"/>
      <c r="CK151" s="37"/>
      <c r="CL151" s="34"/>
      <c r="CM151" s="37"/>
      <c r="CN151" s="37"/>
      <c r="CO151" s="37"/>
      <c r="CP151" s="34"/>
      <c r="CQ151" s="37"/>
      <c r="CR151" s="34"/>
      <c r="CS151" s="37"/>
      <c r="CT151" s="34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  <c r="DZ151" s="37"/>
      <c r="EA151" s="39"/>
      <c r="EB151" s="39"/>
      <c r="EC151" s="40"/>
    </row>
    <row r="152" spans="1:133">
      <c r="A152" s="44"/>
      <c r="B152" s="45" t="s">
        <v>394</v>
      </c>
      <c r="C152" s="20" t="s">
        <v>395</v>
      </c>
      <c r="D152" s="21" t="s">
        <v>396</v>
      </c>
      <c r="E152" s="21"/>
      <c r="F152" s="22" t="s">
        <v>137</v>
      </c>
      <c r="G152" s="23" t="str" cm="1">
        <f t="array" ref="G152">IFERROR(LOOKUP(2,1/(K152:GC152&lt;&gt;""),K$2:DQL$2),"")</f>
        <v>19-Aug</v>
      </c>
      <c r="H152" s="24" cm="1">
        <f t="array" ref="H152">IFERROR(_xlfn.XLOOKUP(TRUE,P152:ED152&lt;&gt;"",P152:ED152,,,-1)," ")</f>
        <v>22.6</v>
      </c>
      <c r="I152" s="25">
        <v>24</v>
      </c>
      <c r="J152" s="25">
        <v>26</v>
      </c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48"/>
      <c r="AF152" s="35"/>
      <c r="AG152" s="34">
        <v>16.2</v>
      </c>
      <c r="AH152" s="34"/>
      <c r="AI152" s="34"/>
      <c r="AJ152" s="34"/>
      <c r="AK152" s="34"/>
      <c r="AL152" s="34">
        <v>17.100000000000001</v>
      </c>
      <c r="AM152" s="34"/>
      <c r="AN152" s="34"/>
      <c r="AO152" s="34"/>
      <c r="AP152" s="34"/>
      <c r="AQ152" s="34"/>
      <c r="AR152" s="34"/>
      <c r="AS152" s="34">
        <v>20.399999999999999</v>
      </c>
      <c r="AT152" s="34"/>
      <c r="AU152" s="34"/>
      <c r="AV152" s="34"/>
      <c r="AW152" s="34"/>
      <c r="AX152" s="34"/>
      <c r="AY152" s="34"/>
      <c r="AZ152" s="34">
        <v>22.4</v>
      </c>
      <c r="BA152" s="34"/>
      <c r="BB152" s="34"/>
      <c r="BC152" s="34"/>
      <c r="BD152" s="34"/>
      <c r="BE152" s="38"/>
      <c r="BF152" s="37"/>
      <c r="BG152" s="34">
        <v>22.6</v>
      </c>
      <c r="BH152" s="37"/>
      <c r="BI152" s="37"/>
      <c r="BJ152" s="34"/>
      <c r="BK152" s="36"/>
      <c r="BL152" s="37"/>
      <c r="BM152" s="37"/>
      <c r="BN152" s="37"/>
      <c r="BO152" s="38"/>
      <c r="BP152" s="34"/>
      <c r="BQ152" s="34"/>
      <c r="BR152" s="34"/>
      <c r="BS152" s="37"/>
      <c r="BT152" s="37"/>
      <c r="BU152" s="34"/>
      <c r="BV152" s="34"/>
      <c r="BW152" s="34"/>
      <c r="BX152" s="37"/>
      <c r="BY152" s="34"/>
      <c r="BZ152" s="34"/>
      <c r="CA152" s="38"/>
      <c r="CB152" s="37"/>
      <c r="CC152" s="34"/>
      <c r="CD152" s="37"/>
      <c r="CE152" s="37"/>
      <c r="CF152" s="37"/>
      <c r="CG152" s="37"/>
      <c r="CH152" s="56"/>
      <c r="CI152" s="37"/>
      <c r="CJ152" s="37"/>
      <c r="CK152" s="38"/>
      <c r="CL152" s="34"/>
      <c r="CM152" s="43"/>
      <c r="CN152" s="37"/>
      <c r="CO152" s="38"/>
      <c r="CP152" s="34"/>
      <c r="CQ152" s="37"/>
      <c r="CR152" s="37"/>
      <c r="CS152" s="37"/>
      <c r="CT152" s="34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9"/>
      <c r="EB152" s="39"/>
      <c r="EC152" s="40"/>
    </row>
    <row r="153" spans="1:133">
      <c r="A153" s="44"/>
      <c r="B153" s="45" t="s">
        <v>397</v>
      </c>
      <c r="C153" s="20" t="s">
        <v>398</v>
      </c>
      <c r="D153" s="21" t="s">
        <v>396</v>
      </c>
      <c r="E153" s="21"/>
      <c r="F153" s="22" t="s">
        <v>137</v>
      </c>
      <c r="G153" s="23" t="str" cm="1">
        <f t="array" ref="G153">IFERROR(LOOKUP(2,1/(K153:GC153&lt;&gt;""),K$2:DQL$2),"")</f>
        <v>18-Aug</v>
      </c>
      <c r="H153" s="24" cm="1">
        <f t="array" ref="H153">IFERROR(_xlfn.XLOOKUP(TRUE,P153:ED153&lt;&gt;"",P153:ED153,,,-1)," ")</f>
        <v>22.9</v>
      </c>
      <c r="I153" s="25">
        <v>24</v>
      </c>
      <c r="J153" s="25">
        <v>26</v>
      </c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48">
        <v>17.3</v>
      </c>
      <c r="AF153" s="35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248">
        <v>22.7</v>
      </c>
      <c r="AR153" s="34"/>
      <c r="AS153" s="34"/>
      <c r="AT153" s="34"/>
      <c r="AU153" s="34"/>
      <c r="AV153" s="34"/>
      <c r="AW153" s="34"/>
      <c r="AX153" s="36">
        <v>22.9</v>
      </c>
      <c r="AY153" s="34"/>
      <c r="AZ153" s="34"/>
      <c r="BA153" s="36">
        <v>23.3</v>
      </c>
      <c r="BB153" s="34"/>
      <c r="BC153" s="34"/>
      <c r="BD153" s="34"/>
      <c r="BE153" s="37"/>
      <c r="BF153" s="38">
        <v>22.9</v>
      </c>
      <c r="BG153" s="34"/>
      <c r="BH153" s="37"/>
      <c r="BI153" s="37"/>
      <c r="BJ153" s="34"/>
      <c r="BK153" s="34"/>
      <c r="BL153" s="37"/>
      <c r="BM153" s="37"/>
      <c r="BN153" s="37"/>
      <c r="BO153" s="34"/>
      <c r="BP153" s="37"/>
      <c r="BQ153" s="34"/>
      <c r="BR153" s="34"/>
      <c r="BS153" s="37"/>
      <c r="BT153" s="37"/>
      <c r="BU153" s="34"/>
      <c r="BV153" s="34"/>
      <c r="BW153" s="34"/>
      <c r="BX153" s="37"/>
      <c r="BY153" s="34"/>
      <c r="BZ153" s="34"/>
      <c r="CA153" s="37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43"/>
      <c r="CN153" s="37"/>
      <c r="CO153" s="37"/>
      <c r="CP153" s="34"/>
      <c r="CQ153" s="37"/>
      <c r="CR153" s="37"/>
      <c r="CS153" s="37"/>
      <c r="CT153" s="34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9"/>
      <c r="EB153" s="39"/>
      <c r="EC153" s="40"/>
    </row>
    <row r="154" spans="1:133">
      <c r="A154" s="44"/>
      <c r="B154" s="45" t="s">
        <v>397</v>
      </c>
      <c r="C154" s="20" t="s">
        <v>399</v>
      </c>
      <c r="D154" s="21" t="s">
        <v>396</v>
      </c>
      <c r="E154" s="21"/>
      <c r="F154" s="22" t="s">
        <v>137</v>
      </c>
      <c r="G154" s="23" t="str" cm="1">
        <f t="array" ref="G154">IFERROR(LOOKUP(2,1/(K154:GC154&lt;&gt;""),K$2:DQL$2),"")</f>
        <v/>
      </c>
      <c r="H154" s="24" t="str" cm="1">
        <f t="array" ref="H154">IFERROR(_xlfn.XLOOKUP(TRUE,P154:ED154&lt;&gt;"",P154:ED154,,,-1)," ")</f>
        <v xml:space="preserve"> </v>
      </c>
      <c r="I154" s="25">
        <v>24</v>
      </c>
      <c r="J154" s="25">
        <v>26</v>
      </c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34"/>
      <c r="AF154" s="35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7"/>
      <c r="BF154" s="37"/>
      <c r="BG154" s="34"/>
      <c r="BH154" s="37"/>
      <c r="BI154" s="37"/>
      <c r="BJ154" s="34"/>
      <c r="BK154" s="34"/>
      <c r="BL154" s="37"/>
      <c r="BM154" s="37"/>
      <c r="BN154" s="37"/>
      <c r="BO154" s="37"/>
      <c r="BP154" s="37"/>
      <c r="BQ154" s="34"/>
      <c r="BR154" s="34"/>
      <c r="BS154" s="37"/>
      <c r="BT154" s="37"/>
      <c r="BU154" s="34"/>
      <c r="BV154" s="34"/>
      <c r="BW154" s="34"/>
      <c r="BX154" s="38"/>
      <c r="BY154" s="34"/>
      <c r="BZ154" s="34"/>
      <c r="CA154" s="37"/>
      <c r="CB154" s="36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43"/>
      <c r="CN154" s="37"/>
      <c r="CO154" s="37"/>
      <c r="CP154" s="34"/>
      <c r="CQ154" s="37"/>
      <c r="CR154" s="37"/>
      <c r="CS154" s="37"/>
      <c r="CT154" s="34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9"/>
      <c r="EB154" s="39"/>
      <c r="EC154" s="40"/>
    </row>
    <row r="155" spans="1:133">
      <c r="A155" s="44"/>
      <c r="B155" s="45" t="s">
        <v>397</v>
      </c>
      <c r="C155" s="20" t="s">
        <v>400</v>
      </c>
      <c r="D155" s="21" t="s">
        <v>396</v>
      </c>
      <c r="E155" s="21"/>
      <c r="F155" s="22" t="s">
        <v>137</v>
      </c>
      <c r="G155" s="23" t="str" cm="1">
        <f t="array" ref="G155">IFERROR(LOOKUP(2,1/(K155:GC155&lt;&gt;""),K$2:DQL$2),"")</f>
        <v/>
      </c>
      <c r="H155" s="24" t="str" cm="1">
        <f t="array" ref="H155">IFERROR(_xlfn.XLOOKUP(TRUE,P155:ED155&lt;&gt;"",P155:ED155,,,-1)," ")</f>
        <v xml:space="preserve"> </v>
      </c>
      <c r="I155" s="25">
        <v>24</v>
      </c>
      <c r="J155" s="25">
        <v>26</v>
      </c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34"/>
      <c r="AF155" s="35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7"/>
      <c r="BF155" s="37"/>
      <c r="BG155" s="34"/>
      <c r="BH155" s="37"/>
      <c r="BI155" s="37"/>
      <c r="BJ155" s="34"/>
      <c r="BK155" s="34"/>
      <c r="BL155" s="37"/>
      <c r="BM155" s="37"/>
      <c r="BN155" s="37"/>
      <c r="BO155" s="37"/>
      <c r="BP155" s="37"/>
      <c r="BQ155" s="34"/>
      <c r="BR155" s="34"/>
      <c r="BS155" s="37"/>
      <c r="BT155" s="37"/>
      <c r="BU155" s="34"/>
      <c r="BV155" s="34"/>
      <c r="BW155" s="34"/>
      <c r="BX155" s="38"/>
      <c r="BY155" s="34"/>
      <c r="BZ155" s="34"/>
      <c r="CA155" s="37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43"/>
      <c r="CN155" s="37"/>
      <c r="CO155" s="37"/>
      <c r="CP155" s="34"/>
      <c r="CQ155" s="37"/>
      <c r="CR155" s="37"/>
      <c r="CS155" s="37"/>
      <c r="CT155" s="34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9"/>
      <c r="EB155" s="39"/>
      <c r="EC155" s="40"/>
    </row>
    <row r="156" spans="1:133">
      <c r="A156" s="44"/>
      <c r="B156" s="45" t="s">
        <v>401</v>
      </c>
      <c r="C156" s="20" t="s">
        <v>402</v>
      </c>
      <c r="D156" s="21" t="s">
        <v>396</v>
      </c>
      <c r="E156" s="21"/>
      <c r="F156" s="22"/>
      <c r="G156" s="23" t="str" cm="1">
        <f t="array" ref="G156">IFERROR(LOOKUP(2,1/(K156:GC156&lt;&gt;""),K$2:DQL$2),"")</f>
        <v>20-Aug</v>
      </c>
      <c r="H156" s="24" cm="1">
        <f t="array" ref="H156">IFERROR(_xlfn.XLOOKUP(TRUE,P156:ED156&lt;&gt;"",P156:ED156,,,-1)," ")</f>
        <v>23.6</v>
      </c>
      <c r="I156" s="25">
        <v>24.5</v>
      </c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34"/>
      <c r="AF156" s="35"/>
      <c r="AG156" s="34">
        <v>16.399999999999999</v>
      </c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>
        <v>22.5</v>
      </c>
      <c r="AU156" s="34"/>
      <c r="AV156" s="34"/>
      <c r="AW156" s="34"/>
      <c r="AX156" s="34"/>
      <c r="AY156" s="34"/>
      <c r="AZ156" s="34"/>
      <c r="BA156" s="34">
        <v>23.4</v>
      </c>
      <c r="BB156" s="34"/>
      <c r="BC156" s="34"/>
      <c r="BD156" s="34"/>
      <c r="BE156" s="37"/>
      <c r="BF156" s="37"/>
      <c r="BG156" s="34"/>
      <c r="BH156" s="37">
        <v>23.6</v>
      </c>
      <c r="BI156" s="37"/>
      <c r="BJ156" s="34"/>
      <c r="BK156" s="34"/>
      <c r="BL156" s="37"/>
      <c r="BM156" s="37"/>
      <c r="BN156" s="37"/>
      <c r="BO156" s="37"/>
      <c r="BP156" s="37"/>
      <c r="BQ156" s="34"/>
      <c r="BR156" s="34"/>
      <c r="BS156" s="37"/>
      <c r="BT156" s="37"/>
      <c r="BU156" s="34"/>
      <c r="BV156" s="34"/>
      <c r="BW156" s="34"/>
      <c r="BX156" s="37"/>
      <c r="BY156" s="34"/>
      <c r="BZ156" s="34"/>
      <c r="CA156" s="37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43"/>
      <c r="CN156" s="37"/>
      <c r="CO156" s="37"/>
      <c r="CP156" s="34"/>
      <c r="CQ156" s="36"/>
      <c r="CR156" s="37"/>
      <c r="CS156" s="34"/>
      <c r="CT156" s="34"/>
      <c r="CU156" s="37"/>
      <c r="CV156" s="37"/>
      <c r="CW156" s="34"/>
      <c r="CX156" s="37"/>
      <c r="CY156" s="37"/>
      <c r="CZ156" s="38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9"/>
      <c r="EB156" s="39"/>
      <c r="EC156" s="40"/>
    </row>
    <row r="157" spans="1:133">
      <c r="A157" s="44"/>
      <c r="B157" s="45" t="s">
        <v>401</v>
      </c>
      <c r="C157" s="20" t="s">
        <v>403</v>
      </c>
      <c r="D157" s="21" t="s">
        <v>396</v>
      </c>
      <c r="E157" s="21"/>
      <c r="F157" s="22" t="s">
        <v>137</v>
      </c>
      <c r="G157" s="23" t="str" cm="1">
        <f t="array" ref="G157">IFERROR(LOOKUP(2,1/(K157:GC157&lt;&gt;""),K$2:DQL$2),"")</f>
        <v>20-Aug</v>
      </c>
      <c r="H157" s="24" cm="1">
        <f t="array" ref="H157">IFERROR(_xlfn.XLOOKUP(TRUE,P157:ED157&lt;&gt;"",P157:ED157,,,-1)," ")</f>
        <v>22</v>
      </c>
      <c r="I157" s="25">
        <v>24</v>
      </c>
      <c r="J157" s="25">
        <v>26</v>
      </c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34"/>
      <c r="AF157" s="35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>
        <v>20.100000000000001</v>
      </c>
      <c r="AU157" s="34"/>
      <c r="AV157" s="34"/>
      <c r="AW157" s="34"/>
      <c r="AX157" s="34"/>
      <c r="AY157" s="34"/>
      <c r="AZ157" s="34"/>
      <c r="BA157" s="34">
        <v>21.5</v>
      </c>
      <c r="BB157" s="34"/>
      <c r="BC157" s="34"/>
      <c r="BD157" s="34"/>
      <c r="BE157" s="37"/>
      <c r="BF157" s="37"/>
      <c r="BG157" s="34"/>
      <c r="BH157" s="37">
        <v>22</v>
      </c>
      <c r="BI157" s="37"/>
      <c r="BJ157" s="34"/>
      <c r="BK157" s="34"/>
      <c r="BL157" s="37"/>
      <c r="BM157" s="37"/>
      <c r="BN157" s="37"/>
      <c r="BO157" s="37"/>
      <c r="BP157" s="37"/>
      <c r="BQ157" s="34"/>
      <c r="BR157" s="34"/>
      <c r="BS157" s="37"/>
      <c r="BT157" s="37"/>
      <c r="BU157" s="34"/>
      <c r="BV157" s="34"/>
      <c r="BW157" s="34"/>
      <c r="BX157" s="37"/>
      <c r="BY157" s="34"/>
      <c r="BZ157" s="34"/>
      <c r="CA157" s="37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43"/>
      <c r="CN157" s="37"/>
      <c r="CO157" s="37"/>
      <c r="CP157" s="34"/>
      <c r="CQ157" s="36"/>
      <c r="CR157" s="37"/>
      <c r="CS157" s="34"/>
      <c r="CT157" s="34"/>
      <c r="CU157" s="37"/>
      <c r="CV157" s="37"/>
      <c r="CW157" s="34"/>
      <c r="CX157" s="37"/>
      <c r="CY157" s="37"/>
      <c r="CZ157" s="38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9"/>
      <c r="EB157" s="39"/>
      <c r="EC157" s="40"/>
    </row>
    <row r="158" spans="1:133">
      <c r="A158" s="44"/>
      <c r="B158" s="45" t="s">
        <v>404</v>
      </c>
      <c r="C158" s="20" t="s">
        <v>405</v>
      </c>
      <c r="D158" s="21" t="s">
        <v>396</v>
      </c>
      <c r="E158" s="21"/>
      <c r="F158" s="22" t="s">
        <v>340</v>
      </c>
      <c r="G158" s="23" t="str" cm="1">
        <f t="array" ref="G158">IFERROR(LOOKUP(2,1/(K158:GC158&lt;&gt;""),K$2:DQL$2),"")</f>
        <v>18-Aug</v>
      </c>
      <c r="H158" s="24" cm="1">
        <f t="array" ref="H158">IFERROR(_xlfn.XLOOKUP(TRUE,P158:ED158&lt;&gt;"",P158:ED158,,,-1)," ")</f>
        <v>21.6</v>
      </c>
      <c r="I158" s="25">
        <v>25</v>
      </c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34"/>
      <c r="AF158" s="35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7"/>
      <c r="BF158" s="298">
        <v>21.6</v>
      </c>
      <c r="BG158" s="34"/>
      <c r="BH158" s="37"/>
      <c r="BI158" s="37"/>
      <c r="BJ158" s="34"/>
      <c r="BK158" s="34"/>
      <c r="BL158" s="37"/>
      <c r="BM158" s="37"/>
      <c r="BN158" s="37"/>
      <c r="BO158" s="37"/>
      <c r="BP158" s="37"/>
      <c r="BQ158" s="34"/>
      <c r="BR158" s="34"/>
      <c r="BS158" s="37"/>
      <c r="BT158" s="37"/>
      <c r="BU158" s="34"/>
      <c r="BV158" s="34"/>
      <c r="BW158" s="34"/>
      <c r="BX158" s="37"/>
      <c r="BY158" s="34"/>
      <c r="BZ158" s="34"/>
      <c r="CA158" s="37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43"/>
      <c r="CN158" s="37"/>
      <c r="CO158" s="37"/>
      <c r="CP158" s="34"/>
      <c r="CQ158" s="37"/>
      <c r="CR158" s="37"/>
      <c r="CS158" s="37"/>
      <c r="CT158" s="34"/>
      <c r="CU158" s="37"/>
      <c r="CV158" s="37"/>
      <c r="CW158" s="37"/>
      <c r="CX158" s="37"/>
      <c r="CY158" s="37"/>
      <c r="CZ158" s="37"/>
      <c r="DA158" s="39"/>
      <c r="DB158" s="37"/>
      <c r="DC158" s="37"/>
      <c r="DD158" s="38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  <c r="DZ158" s="37"/>
      <c r="EA158" s="39"/>
      <c r="EB158" s="39"/>
      <c r="EC158" s="40"/>
    </row>
    <row r="159" spans="1:133">
      <c r="A159" s="44"/>
      <c r="B159" s="45" t="s">
        <v>404</v>
      </c>
      <c r="C159" s="20" t="s">
        <v>406</v>
      </c>
      <c r="D159" s="21" t="s">
        <v>396</v>
      </c>
      <c r="E159" s="21"/>
      <c r="F159" s="22" t="s">
        <v>340</v>
      </c>
      <c r="G159" s="23" t="str" cm="1">
        <f t="array" ref="G159">IFERROR(LOOKUP(2,1/(K159:GC159&lt;&gt;""),K$2:DQL$2),"")</f>
        <v>18-Aug</v>
      </c>
      <c r="H159" s="24" cm="1">
        <f t="array" ref="H159">IFERROR(_xlfn.XLOOKUP(TRUE,P159:ED159&lt;&gt;"",P159:ED159,,,-1)," ")</f>
        <v>21.9</v>
      </c>
      <c r="I159" s="25">
        <v>25</v>
      </c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34"/>
      <c r="AF159" s="35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>
        <v>20.3</v>
      </c>
      <c r="AZ159" s="34"/>
      <c r="BA159" s="34"/>
      <c r="BB159" s="34"/>
      <c r="BC159" s="34"/>
      <c r="BD159" s="34"/>
      <c r="BE159" s="37"/>
      <c r="BF159" s="298">
        <v>21.9</v>
      </c>
      <c r="BG159" s="34"/>
      <c r="BH159" s="37"/>
      <c r="BI159" s="37"/>
      <c r="BJ159" s="34"/>
      <c r="BK159" s="34"/>
      <c r="BL159" s="37"/>
      <c r="BM159" s="37"/>
      <c r="BN159" s="37"/>
      <c r="BO159" s="37"/>
      <c r="BP159" s="37"/>
      <c r="BQ159" s="34"/>
      <c r="BR159" s="34"/>
      <c r="BS159" s="37"/>
      <c r="BT159" s="37"/>
      <c r="BU159" s="34"/>
      <c r="BV159" s="34"/>
      <c r="BW159" s="34"/>
      <c r="BX159" s="37"/>
      <c r="BY159" s="34"/>
      <c r="BZ159" s="34"/>
      <c r="CA159" s="37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43"/>
      <c r="CN159" s="37"/>
      <c r="CO159" s="37"/>
      <c r="CP159" s="34"/>
      <c r="CQ159" s="37"/>
      <c r="CR159" s="37"/>
      <c r="CS159" s="37"/>
      <c r="CT159" s="34"/>
      <c r="CU159" s="37"/>
      <c r="CV159" s="37"/>
      <c r="CW159" s="37"/>
      <c r="CX159" s="37"/>
      <c r="CY159" s="37"/>
      <c r="CZ159" s="37"/>
      <c r="DA159" s="39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9"/>
      <c r="EB159" s="39"/>
      <c r="EC159" s="40"/>
    </row>
    <row r="160" spans="1:133" ht="15">
      <c r="A160" s="44"/>
      <c r="B160" s="45" t="s">
        <v>407</v>
      </c>
      <c r="C160" t="s">
        <v>408</v>
      </c>
      <c r="D160" s="21" t="s">
        <v>409</v>
      </c>
      <c r="E160" s="21"/>
      <c r="F160" s="22" t="s">
        <v>137</v>
      </c>
      <c r="G160" s="23" t="str" cm="1">
        <f t="array" ref="G160">IFERROR(LOOKUP(2,1/(K160:GC160&lt;&gt;""),K$2:DQL$2),"")</f>
        <v>20-Jul</v>
      </c>
      <c r="H160" s="24" cm="1">
        <f t="array" ref="H160">IFERROR(_xlfn.XLOOKUP(TRUE,P160:ED160&lt;&gt;"",P160:ED160,,,-1)," ")</f>
        <v>19</v>
      </c>
      <c r="I160" s="25">
        <v>24</v>
      </c>
      <c r="J160" s="25">
        <v>26</v>
      </c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>
        <v>19</v>
      </c>
      <c r="AD160" s="25"/>
      <c r="AE160" s="34"/>
      <c r="AF160" s="35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8"/>
      <c r="BF160" s="38"/>
      <c r="BG160" s="34"/>
      <c r="BH160" s="36"/>
      <c r="BI160" s="34"/>
      <c r="BJ160" s="38"/>
      <c r="BK160" s="34"/>
      <c r="BL160" s="36"/>
      <c r="BM160" s="37"/>
      <c r="BN160" s="37"/>
      <c r="BO160" s="34"/>
      <c r="BP160" s="34"/>
      <c r="BQ160" s="36"/>
      <c r="BR160" s="36"/>
      <c r="BS160" s="37"/>
      <c r="BT160" s="37"/>
      <c r="BU160" s="34"/>
      <c r="BV160" s="36"/>
      <c r="BW160" s="34"/>
      <c r="BX160" s="37"/>
      <c r="BY160" s="34"/>
      <c r="BZ160" s="36"/>
      <c r="CA160" s="37"/>
      <c r="CB160" s="37"/>
      <c r="CC160" s="34"/>
      <c r="CD160" s="37"/>
      <c r="CE160" s="37"/>
      <c r="CF160" s="37"/>
      <c r="CG160" s="37"/>
      <c r="CH160" s="37"/>
      <c r="CI160" s="37"/>
      <c r="CJ160" s="37"/>
      <c r="CK160" s="37"/>
      <c r="CL160" s="34"/>
      <c r="CM160" s="37"/>
      <c r="CN160" s="37"/>
      <c r="CO160" s="37"/>
      <c r="CP160" s="34"/>
      <c r="CQ160" s="37"/>
      <c r="CR160" s="37"/>
      <c r="CS160" s="37"/>
      <c r="CT160" s="34"/>
      <c r="CU160" s="37"/>
      <c r="CV160" s="37"/>
      <c r="CW160" s="37"/>
      <c r="CX160" s="37"/>
      <c r="CY160" s="37"/>
      <c r="CZ160" s="37"/>
      <c r="DA160" s="39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9"/>
      <c r="EB160" s="39"/>
      <c r="EC160" s="40"/>
    </row>
    <row r="161" spans="1:133">
      <c r="A161" s="44"/>
      <c r="B161" s="45" t="s">
        <v>407</v>
      </c>
      <c r="C161" s="20" t="s">
        <v>410</v>
      </c>
      <c r="D161" s="21" t="s">
        <v>409</v>
      </c>
      <c r="E161" s="21"/>
      <c r="F161" s="22" t="s">
        <v>137</v>
      </c>
      <c r="G161" s="23" t="str" cm="1">
        <f t="array" ref="G161">IFERROR(LOOKUP(2,1/(K161:GC161&lt;&gt;""),K$2:DQL$2),"")</f>
        <v>12-Aug</v>
      </c>
      <c r="H161" s="24" cm="1">
        <f t="array" ref="H161">IFERROR(_xlfn.XLOOKUP(TRUE,P161:ED161&lt;&gt;"",P161:ED161,,,-1)," ")</f>
        <v>25.6</v>
      </c>
      <c r="I161" s="25">
        <v>24</v>
      </c>
      <c r="J161" s="25">
        <v>26</v>
      </c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>
        <v>19</v>
      </c>
      <c r="AD161" s="25"/>
      <c r="AE161" s="34">
        <v>18.399999999999999</v>
      </c>
      <c r="AF161" s="35"/>
      <c r="AG161" s="34"/>
      <c r="AH161" s="34"/>
      <c r="AI161" s="34"/>
      <c r="AJ161" s="34"/>
      <c r="AK161" s="34"/>
      <c r="AL161" s="34">
        <v>20.100000000000001</v>
      </c>
      <c r="AM161" s="34"/>
      <c r="AN161" s="34"/>
      <c r="AO161" s="34"/>
      <c r="AP161" s="34"/>
      <c r="AQ161" s="34"/>
      <c r="AR161" s="34"/>
      <c r="AS161" s="248">
        <v>23.4</v>
      </c>
      <c r="AT161" s="34">
        <v>22</v>
      </c>
      <c r="AU161" s="34"/>
      <c r="AV161" s="34"/>
      <c r="AW161" s="34"/>
      <c r="AX161" s="34"/>
      <c r="AY161" s="34"/>
      <c r="AZ161" s="34">
        <v>25.6</v>
      </c>
      <c r="BA161" s="34"/>
      <c r="BB161" s="34"/>
      <c r="BC161" s="34"/>
      <c r="BD161" s="34"/>
      <c r="BE161" s="38"/>
      <c r="BF161" s="38"/>
      <c r="BG161" s="34"/>
      <c r="BH161" s="36"/>
      <c r="BI161" s="34"/>
      <c r="BJ161" s="38"/>
      <c r="BK161" s="34"/>
      <c r="BL161" s="36"/>
      <c r="BM161" s="37"/>
      <c r="BN161" s="37"/>
      <c r="BO161" s="34"/>
      <c r="BP161" s="34"/>
      <c r="BQ161" s="36"/>
      <c r="BR161" s="36"/>
      <c r="BS161" s="37"/>
      <c r="BT161" s="37"/>
      <c r="BU161" s="34"/>
      <c r="BV161" s="36"/>
      <c r="BW161" s="34"/>
      <c r="BX161" s="37"/>
      <c r="BY161" s="34"/>
      <c r="BZ161" s="36"/>
      <c r="CA161" s="37"/>
      <c r="CB161" s="37"/>
      <c r="CC161" s="34"/>
      <c r="CD161" s="37"/>
      <c r="CE161" s="37"/>
      <c r="CF161" s="37"/>
      <c r="CG161" s="37"/>
      <c r="CH161" s="37"/>
      <c r="CI161" s="37"/>
      <c r="CJ161" s="37"/>
      <c r="CK161" s="37"/>
      <c r="CL161" s="34"/>
      <c r="CM161" s="37"/>
      <c r="CN161" s="37"/>
      <c r="CO161" s="37"/>
      <c r="CP161" s="34"/>
      <c r="CQ161" s="37"/>
      <c r="CR161" s="37"/>
      <c r="CS161" s="37"/>
      <c r="CT161" s="34"/>
      <c r="CU161" s="37"/>
      <c r="CV161" s="37"/>
      <c r="CW161" s="37"/>
      <c r="CX161" s="37"/>
      <c r="CY161" s="37"/>
      <c r="CZ161" s="37"/>
      <c r="DA161" s="39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9"/>
      <c r="EB161" s="39"/>
      <c r="EC161" s="40"/>
    </row>
    <row r="162" spans="1:133">
      <c r="A162" s="44"/>
      <c r="B162" s="45" t="s">
        <v>407</v>
      </c>
      <c r="C162" s="289" t="s">
        <v>411</v>
      </c>
      <c r="D162" s="21" t="s">
        <v>409</v>
      </c>
      <c r="E162" s="21"/>
      <c r="F162" s="22" t="s">
        <v>137</v>
      </c>
      <c r="G162" s="23" t="str" cm="1">
        <f t="array" ref="G162">IFERROR(LOOKUP(2,1/(K162:GC162&lt;&gt;""),K$2:DQL$2),"")</f>
        <v>11-Aug</v>
      </c>
      <c r="H162" s="24" cm="1">
        <f t="array" ref="H162">IFERROR(_xlfn.XLOOKUP(TRUE,P162:ED162&lt;&gt;"",P162:ED162,,,-1)," ")</f>
        <v>25.7</v>
      </c>
      <c r="I162" s="25">
        <v>24</v>
      </c>
      <c r="J162" s="25">
        <v>26</v>
      </c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>
        <v>19</v>
      </c>
      <c r="AD162" s="25"/>
      <c r="AE162" s="34">
        <v>19.3</v>
      </c>
      <c r="AF162" s="35"/>
      <c r="AG162" s="34"/>
      <c r="AH162" s="34"/>
      <c r="AI162" s="34"/>
      <c r="AJ162" s="34"/>
      <c r="AK162" s="34"/>
      <c r="AL162" s="34">
        <v>21.4</v>
      </c>
      <c r="AM162" s="34"/>
      <c r="AN162" s="34"/>
      <c r="AO162" s="34"/>
      <c r="AP162" s="34"/>
      <c r="AQ162" s="34"/>
      <c r="AR162" s="34"/>
      <c r="AS162" s="248">
        <v>23.8</v>
      </c>
      <c r="AT162" s="36">
        <v>25</v>
      </c>
      <c r="AU162" s="34"/>
      <c r="AV162" s="34"/>
      <c r="AW162" s="34"/>
      <c r="AX162" s="34"/>
      <c r="AY162" s="36">
        <v>25.7</v>
      </c>
      <c r="AZ162" s="34"/>
      <c r="BA162" s="34"/>
      <c r="BB162" s="34"/>
      <c r="BC162" s="34"/>
      <c r="BD162" s="34"/>
      <c r="BE162" s="38"/>
      <c r="BF162" s="38"/>
      <c r="BG162" s="34"/>
      <c r="BH162" s="36"/>
      <c r="BI162" s="34"/>
      <c r="BJ162" s="38"/>
      <c r="BK162" s="34"/>
      <c r="BL162" s="36"/>
      <c r="BM162" s="37"/>
      <c r="BN162" s="37"/>
      <c r="BO162" s="34"/>
      <c r="BP162" s="34"/>
      <c r="BQ162" s="36"/>
      <c r="BR162" s="36"/>
      <c r="BS162" s="37"/>
      <c r="BT162" s="37"/>
      <c r="BU162" s="34"/>
      <c r="BV162" s="36"/>
      <c r="BW162" s="34"/>
      <c r="BX162" s="37"/>
      <c r="BY162" s="34"/>
      <c r="BZ162" s="36"/>
      <c r="CA162" s="37"/>
      <c r="CB162" s="37"/>
      <c r="CC162" s="34"/>
      <c r="CD162" s="37"/>
      <c r="CE162" s="37"/>
      <c r="CF162" s="37"/>
      <c r="CG162" s="37"/>
      <c r="CH162" s="37"/>
      <c r="CI162" s="37"/>
      <c r="CJ162" s="37"/>
      <c r="CK162" s="37"/>
      <c r="CL162" s="34"/>
      <c r="CM162" s="37"/>
      <c r="CN162" s="37"/>
      <c r="CO162" s="37"/>
      <c r="CP162" s="34"/>
      <c r="CQ162" s="37"/>
      <c r="CR162" s="37"/>
      <c r="CS162" s="37"/>
      <c r="CT162" s="34"/>
      <c r="CU162" s="37"/>
      <c r="CV162" s="37"/>
      <c r="CW162" s="37"/>
      <c r="CX162" s="37"/>
      <c r="CY162" s="37"/>
      <c r="CZ162" s="37"/>
      <c r="DA162" s="39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9"/>
      <c r="EB162" s="39"/>
      <c r="EC162" s="40"/>
    </row>
    <row r="163" spans="1:133" hidden="1">
      <c r="A163" s="44" t="s">
        <v>138</v>
      </c>
      <c r="B163" s="22" t="s">
        <v>412</v>
      </c>
      <c r="C163" s="20" t="s">
        <v>413</v>
      </c>
      <c r="D163" s="21" t="s">
        <v>409</v>
      </c>
      <c r="E163" s="21"/>
      <c r="F163" s="22" t="s">
        <v>198</v>
      </c>
      <c r="G163" s="23" t="str" cm="1">
        <f t="array" ref="G163">IFERROR(LOOKUP(2,1/(K163:GC163&lt;&gt;""),K$2:DQL$2),"")</f>
        <v>1-Aug</v>
      </c>
      <c r="H163" s="24" cm="1">
        <f t="array" ref="H163">IFERROR(_xlfn.XLOOKUP(TRUE,P163:ED163&lt;&gt;"",P163:ED163,,,-1)," ")</f>
        <v>23.8</v>
      </c>
      <c r="I163" s="25">
        <v>22.5</v>
      </c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248">
        <v>23.8</v>
      </c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7"/>
      <c r="BF163" s="37"/>
      <c r="BG163" s="83"/>
      <c r="BH163" s="34"/>
      <c r="BI163" s="34"/>
      <c r="BJ163" s="37"/>
      <c r="BK163" s="34"/>
      <c r="BL163" s="34"/>
      <c r="BM163" s="37"/>
      <c r="BN163" s="37"/>
      <c r="BO163" s="85"/>
      <c r="BP163" s="34"/>
      <c r="BQ163" s="34"/>
      <c r="BR163" s="34"/>
      <c r="BS163" s="37"/>
      <c r="BT163" s="37"/>
      <c r="BU163" s="34"/>
      <c r="BV163" s="34"/>
      <c r="BW163" s="34"/>
      <c r="BX163" s="37"/>
      <c r="BY163" s="34"/>
      <c r="BZ163" s="34"/>
      <c r="CA163" s="37"/>
      <c r="CB163" s="37"/>
      <c r="CC163" s="34"/>
      <c r="CD163" s="37"/>
      <c r="CE163" s="37"/>
      <c r="CF163" s="37"/>
      <c r="CG163" s="37"/>
      <c r="CH163" s="37"/>
      <c r="CI163" s="37"/>
      <c r="CJ163" s="37"/>
      <c r="CK163" s="37"/>
      <c r="CL163" s="34"/>
      <c r="CM163" s="37"/>
      <c r="CN163" s="37"/>
      <c r="CO163" s="37"/>
      <c r="CP163" s="34"/>
      <c r="CQ163" s="37"/>
      <c r="CR163" s="37"/>
      <c r="CS163" s="37"/>
      <c r="CT163" s="34"/>
      <c r="CU163" s="37"/>
      <c r="CV163" s="37"/>
      <c r="CW163" s="37"/>
      <c r="CX163" s="37"/>
      <c r="CY163" s="37"/>
      <c r="CZ163" s="37"/>
      <c r="DA163" s="39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9"/>
      <c r="EB163" s="39"/>
      <c r="EC163" s="40"/>
    </row>
    <row r="164" spans="1:133">
      <c r="A164" s="44"/>
      <c r="B164" s="22" t="s">
        <v>414</v>
      </c>
      <c r="C164" s="20" t="s">
        <v>415</v>
      </c>
      <c r="D164" s="21" t="s">
        <v>409</v>
      </c>
      <c r="E164" s="21"/>
      <c r="F164" s="22"/>
      <c r="G164" s="23" t="str" cm="1">
        <f t="array" ref="G164">IFERROR(LOOKUP(2,1/(K164:GC164&lt;&gt;""),K$2:DQL$2),"")</f>
        <v/>
      </c>
      <c r="H164" s="24" t="str" cm="1">
        <f t="array" ref="H164">IFERROR(_xlfn.XLOOKUP(TRUE,P164:ED164&lt;&gt;"",P164:ED164,,,-1)," ")</f>
        <v xml:space="preserve"> </v>
      </c>
      <c r="I164" s="25">
        <v>24</v>
      </c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7"/>
      <c r="BF164" s="37"/>
      <c r="BG164" s="34"/>
      <c r="BH164" s="34"/>
      <c r="BI164" s="34"/>
      <c r="BJ164" s="34"/>
      <c r="BK164" s="34"/>
      <c r="BL164" s="34"/>
      <c r="BM164" s="37"/>
      <c r="BN164" s="37"/>
      <c r="BO164" s="37"/>
      <c r="BP164" s="34"/>
      <c r="BQ164" s="34"/>
      <c r="BR164" s="34"/>
      <c r="BS164" s="37"/>
      <c r="BT164" s="37"/>
      <c r="BU164" s="34"/>
      <c r="BV164" s="34"/>
      <c r="BW164" s="34"/>
      <c r="BX164" s="37"/>
      <c r="BY164" s="34"/>
      <c r="BZ164" s="34"/>
      <c r="CA164" s="38"/>
      <c r="CB164" s="34"/>
      <c r="CC164" s="36"/>
      <c r="CD164" s="34"/>
      <c r="CE164" s="34"/>
      <c r="CF164" s="34"/>
      <c r="CG164" s="34"/>
      <c r="CH164" s="34"/>
      <c r="CI164" s="34"/>
      <c r="CJ164" s="34"/>
      <c r="CK164" s="34"/>
      <c r="CL164" s="34"/>
      <c r="CM164" s="43"/>
      <c r="CN164" s="37"/>
      <c r="CO164" s="37"/>
      <c r="CP164" s="34"/>
      <c r="CQ164" s="37"/>
      <c r="CR164" s="37"/>
      <c r="CS164" s="37"/>
      <c r="CT164" s="34"/>
      <c r="CU164" s="37"/>
      <c r="CV164" s="37"/>
      <c r="CW164" s="37"/>
      <c r="CX164" s="37"/>
      <c r="CY164" s="37"/>
      <c r="CZ164" s="37"/>
      <c r="DA164" s="71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  <c r="DZ164" s="37"/>
      <c r="EA164" s="39"/>
      <c r="EB164" s="39"/>
      <c r="EC164" s="40"/>
    </row>
    <row r="165" spans="1:133">
      <c r="A165" s="44"/>
      <c r="B165" s="45" t="s">
        <v>414</v>
      </c>
      <c r="C165" s="20" t="s">
        <v>416</v>
      </c>
      <c r="D165" s="21" t="s">
        <v>409</v>
      </c>
      <c r="E165" s="21"/>
      <c r="F165" s="22"/>
      <c r="G165" s="23" t="str" cm="1">
        <f t="array" ref="G165">IFERROR(LOOKUP(2,1/(K165:GC165&lt;&gt;""),K$2:DQL$2),"")</f>
        <v/>
      </c>
      <c r="H165" s="24" t="str" cm="1">
        <f t="array" ref="H165">IFERROR(_xlfn.XLOOKUP(TRUE,P165:ED165&lt;&gt;"",P165:ED165,,,-1)," ")</f>
        <v xml:space="preserve"> </v>
      </c>
      <c r="I165" s="25">
        <v>24</v>
      </c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34"/>
      <c r="AF165" s="35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7"/>
      <c r="BF165" s="37"/>
      <c r="BG165" s="34"/>
      <c r="BH165" s="34"/>
      <c r="BI165" s="34"/>
      <c r="BJ165" s="37"/>
      <c r="BK165" s="34"/>
      <c r="BL165" s="34"/>
      <c r="BM165" s="37"/>
      <c r="BN165" s="37"/>
      <c r="BO165" s="37"/>
      <c r="BP165" s="34"/>
      <c r="BQ165" s="34"/>
      <c r="BR165" s="34"/>
      <c r="BS165" s="37"/>
      <c r="BT165" s="37"/>
      <c r="BU165" s="34"/>
      <c r="BV165" s="34"/>
      <c r="BW165" s="34"/>
      <c r="BX165" s="37"/>
      <c r="BY165" s="34"/>
      <c r="BZ165" s="34"/>
      <c r="CA165" s="37"/>
      <c r="CB165" s="37"/>
      <c r="CC165" s="34"/>
      <c r="CD165" s="37"/>
      <c r="CE165" s="37"/>
      <c r="CF165" s="37"/>
      <c r="CG165" s="37"/>
      <c r="CH165" s="37"/>
      <c r="CI165" s="37"/>
      <c r="CJ165" s="37"/>
      <c r="CK165" s="37"/>
      <c r="CL165" s="34"/>
      <c r="CM165" s="43"/>
      <c r="CN165" s="37"/>
      <c r="CO165" s="37"/>
      <c r="CP165" s="34"/>
      <c r="CQ165" s="37"/>
      <c r="CR165" s="37"/>
      <c r="CS165" s="37"/>
      <c r="CT165" s="34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9"/>
      <c r="EB165" s="39"/>
      <c r="EC165" s="40"/>
    </row>
    <row r="166" spans="1:133">
      <c r="A166" s="44"/>
      <c r="B166" s="45" t="s">
        <v>414</v>
      </c>
      <c r="C166" s="20" t="s">
        <v>417</v>
      </c>
      <c r="D166" s="21" t="s">
        <v>409</v>
      </c>
      <c r="E166" s="21"/>
      <c r="F166" s="22"/>
      <c r="G166" s="23" t="str" cm="1">
        <f t="array" ref="G166">IFERROR(LOOKUP(2,1/(K166:GC166&lt;&gt;""),K$2:DQL$2),"")</f>
        <v/>
      </c>
      <c r="H166" s="24" t="str" cm="1">
        <f t="array" ref="H166">IFERROR(_xlfn.XLOOKUP(TRUE,P166:ED166&lt;&gt;"",P166:ED166,,,-1)," ")</f>
        <v xml:space="preserve"> </v>
      </c>
      <c r="I166" s="25">
        <v>24</v>
      </c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34"/>
      <c r="AF166" s="35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7"/>
      <c r="BF166" s="37"/>
      <c r="BG166" s="34"/>
      <c r="BH166" s="34"/>
      <c r="BI166" s="34"/>
      <c r="BJ166" s="37"/>
      <c r="BK166" s="34"/>
      <c r="BL166" s="34"/>
      <c r="BM166" s="37"/>
      <c r="BN166" s="37"/>
      <c r="BO166" s="37"/>
      <c r="BP166" s="34"/>
      <c r="BQ166" s="34"/>
      <c r="BR166" s="34"/>
      <c r="BS166" s="37"/>
      <c r="BT166" s="37"/>
      <c r="BU166" s="34"/>
      <c r="BV166" s="34"/>
      <c r="BW166" s="34"/>
      <c r="BX166" s="37"/>
      <c r="BY166" s="34"/>
      <c r="BZ166" s="34"/>
      <c r="CA166" s="37"/>
      <c r="CB166" s="37"/>
      <c r="CC166" s="34"/>
      <c r="CD166" s="37"/>
      <c r="CE166" s="37"/>
      <c r="CF166" s="37"/>
      <c r="CG166" s="37"/>
      <c r="CH166" s="37"/>
      <c r="CI166" s="37"/>
      <c r="CJ166" s="37"/>
      <c r="CK166" s="37"/>
      <c r="CL166" s="34"/>
      <c r="CM166" s="43"/>
      <c r="CN166" s="37"/>
      <c r="CO166" s="37"/>
      <c r="CP166" s="34"/>
      <c r="CQ166" s="37"/>
      <c r="CR166" s="37"/>
      <c r="CS166" s="37"/>
      <c r="CT166" s="34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9"/>
      <c r="EB166" s="39"/>
      <c r="EC166" s="40"/>
    </row>
    <row r="167" spans="1:133">
      <c r="A167" s="44"/>
      <c r="B167" s="45" t="s">
        <v>414</v>
      </c>
      <c r="C167" s="20" t="s">
        <v>418</v>
      </c>
      <c r="D167" s="21" t="s">
        <v>409</v>
      </c>
      <c r="E167" s="21"/>
      <c r="F167" s="22"/>
      <c r="G167" s="23" t="str" cm="1">
        <f t="array" ref="G167">IFERROR(LOOKUP(2,1/(K167:GC167&lt;&gt;""),K$2:DQL$2),"")</f>
        <v/>
      </c>
      <c r="H167" s="24" t="str" cm="1">
        <f t="array" ref="H167">IFERROR(_xlfn.XLOOKUP(TRUE,P167:ED167&lt;&gt;"",P167:ED167,,,-1)," ")</f>
        <v xml:space="preserve"> </v>
      </c>
      <c r="I167" s="25">
        <v>24</v>
      </c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34"/>
      <c r="AF167" s="35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7"/>
      <c r="BF167" s="37"/>
      <c r="BG167" s="34"/>
      <c r="BH167" s="34"/>
      <c r="BI167" s="34"/>
      <c r="BJ167" s="37"/>
      <c r="BK167" s="34"/>
      <c r="BL167" s="34"/>
      <c r="BM167" s="37"/>
      <c r="BN167" s="37"/>
      <c r="BO167" s="37"/>
      <c r="BP167" s="34"/>
      <c r="BQ167" s="34"/>
      <c r="BR167" s="34"/>
      <c r="BS167" s="37"/>
      <c r="BT167" s="37"/>
      <c r="BU167" s="34"/>
      <c r="BV167" s="34"/>
      <c r="BW167" s="34"/>
      <c r="BX167" s="37"/>
      <c r="BY167" s="34"/>
      <c r="BZ167" s="34"/>
      <c r="CA167" s="37"/>
      <c r="CB167" s="37"/>
      <c r="CC167" s="34"/>
      <c r="CD167" s="37"/>
      <c r="CE167" s="37"/>
      <c r="CF167" s="37"/>
      <c r="CG167" s="37"/>
      <c r="CH167" s="37"/>
      <c r="CI167" s="37"/>
      <c r="CJ167" s="37"/>
      <c r="CK167" s="37"/>
      <c r="CL167" s="34"/>
      <c r="CM167" s="43"/>
      <c r="CN167" s="37"/>
      <c r="CO167" s="37"/>
      <c r="CP167" s="34"/>
      <c r="CQ167" s="37"/>
      <c r="CR167" s="37"/>
      <c r="CS167" s="37"/>
      <c r="CT167" s="34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9"/>
      <c r="EB167" s="39"/>
      <c r="EC167" s="40"/>
    </row>
    <row r="168" spans="1:133">
      <c r="A168" s="44"/>
      <c r="B168" s="45" t="s">
        <v>419</v>
      </c>
      <c r="C168" s="20" t="s">
        <v>420</v>
      </c>
      <c r="D168" s="21" t="s">
        <v>409</v>
      </c>
      <c r="E168" s="21"/>
      <c r="F168" s="22" t="s">
        <v>137</v>
      </c>
      <c r="G168" s="23" t="str" cm="1">
        <f t="array" ref="G168">IFERROR(LOOKUP(2,1/(K168:GC168&lt;&gt;""),K$2:DQL$2),"")</f>
        <v>22-Aug</v>
      </c>
      <c r="H168" s="24" cm="1">
        <f t="array" ref="H168">IFERROR(_xlfn.XLOOKUP(TRUE,P168:ED168&lt;&gt;"",P168:ED168,,,-1)," ")</f>
        <v>22</v>
      </c>
      <c r="I168" s="25">
        <v>24</v>
      </c>
      <c r="J168" s="25">
        <v>26</v>
      </c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34"/>
      <c r="AF168" s="35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>
        <v>20.100000000000001</v>
      </c>
      <c r="AU168" s="34"/>
      <c r="AV168" s="34"/>
      <c r="AW168" s="34"/>
      <c r="AX168" s="34"/>
      <c r="AY168" s="34"/>
      <c r="AZ168" s="34"/>
      <c r="BA168" s="34">
        <v>22.2</v>
      </c>
      <c r="BB168" s="34"/>
      <c r="BC168" s="34"/>
      <c r="BD168" s="34"/>
      <c r="BE168" s="37"/>
      <c r="BF168" s="37"/>
      <c r="BG168" s="36">
        <v>23.1</v>
      </c>
      <c r="BH168" s="34"/>
      <c r="BI168" s="34"/>
      <c r="BJ168" s="38">
        <v>22</v>
      </c>
      <c r="BK168" s="34"/>
      <c r="BL168" s="34"/>
      <c r="BM168" s="37"/>
      <c r="BN168" s="37"/>
      <c r="BO168" s="37"/>
      <c r="BP168" s="34"/>
      <c r="BQ168" s="34"/>
      <c r="BR168" s="34"/>
      <c r="BS168" s="37"/>
      <c r="BT168" s="38"/>
      <c r="BU168" s="34"/>
      <c r="BV168" s="34"/>
      <c r="BW168" s="34"/>
      <c r="BX168" s="37"/>
      <c r="BY168" s="34"/>
      <c r="BZ168" s="34"/>
      <c r="CA168" s="37"/>
      <c r="CB168" s="37"/>
      <c r="CC168" s="34"/>
      <c r="CD168" s="37"/>
      <c r="CE168" s="37"/>
      <c r="CF168" s="37"/>
      <c r="CG168" s="37"/>
      <c r="CH168" s="37"/>
      <c r="CI168" s="37"/>
      <c r="CJ168" s="37"/>
      <c r="CK168" s="37"/>
      <c r="CL168" s="34"/>
      <c r="CM168" s="43"/>
      <c r="CN168" s="37"/>
      <c r="CO168" s="37"/>
      <c r="CP168" s="34"/>
      <c r="CQ168" s="37"/>
      <c r="CR168" s="37"/>
      <c r="CS168" s="37"/>
      <c r="CT168" s="34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9"/>
      <c r="EB168" s="39"/>
      <c r="EC168" s="40"/>
    </row>
    <row r="169" spans="1:133">
      <c r="A169" s="44"/>
      <c r="B169" s="45"/>
      <c r="C169" s="20" t="s">
        <v>421</v>
      </c>
      <c r="D169" s="21" t="s">
        <v>409</v>
      </c>
      <c r="E169" s="21"/>
      <c r="F169" s="22" t="s">
        <v>137</v>
      </c>
      <c r="G169" s="23" t="str" cm="1">
        <f t="array" ref="G169">IFERROR(LOOKUP(2,1/(K169:GC169&lt;&gt;""),K$2:DQL$2),"")</f>
        <v/>
      </c>
      <c r="H169" s="24" t="str" cm="1">
        <f t="array" ref="H169">IFERROR(_xlfn.XLOOKUP(TRUE,P169:ED169&lt;&gt;"",P169:ED169,,,-1)," ")</f>
        <v xml:space="preserve"> </v>
      </c>
      <c r="I169" s="25">
        <v>24</v>
      </c>
      <c r="J169" s="25">
        <v>26</v>
      </c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34"/>
      <c r="AF169" s="35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7"/>
      <c r="BF169" s="37"/>
      <c r="BG169" s="34"/>
      <c r="BH169" s="34"/>
      <c r="BI169" s="34"/>
      <c r="BJ169" s="34"/>
      <c r="BK169" s="34"/>
      <c r="BL169" s="34"/>
      <c r="BM169" s="37"/>
      <c r="BN169" s="34"/>
      <c r="BO169" s="34"/>
      <c r="BP169" s="34"/>
      <c r="BQ169" s="34"/>
      <c r="BR169" s="34"/>
      <c r="BS169" s="37"/>
      <c r="BT169" s="37"/>
      <c r="BU169" s="34"/>
      <c r="BV169" s="34"/>
      <c r="BW169" s="34"/>
      <c r="BX169" s="37"/>
      <c r="BY169" s="34"/>
      <c r="BZ169" s="36"/>
      <c r="CA169" s="37"/>
      <c r="CB169" s="37"/>
      <c r="CC169" s="36"/>
      <c r="CD169" s="37"/>
      <c r="CE169" s="37"/>
      <c r="CF169" s="37"/>
      <c r="CG169" s="37"/>
      <c r="CH169" s="37"/>
      <c r="CI169" s="37"/>
      <c r="CJ169" s="37"/>
      <c r="CK169" s="37"/>
      <c r="CL169" s="34"/>
      <c r="CM169" s="37"/>
      <c r="CN169" s="37"/>
      <c r="CO169" s="37"/>
      <c r="CP169" s="34"/>
      <c r="CQ169" s="37"/>
      <c r="CR169" s="34"/>
      <c r="CS169" s="37"/>
      <c r="CT169" s="34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  <c r="DN169" s="37"/>
      <c r="DO169" s="37"/>
      <c r="DP169" s="37"/>
      <c r="DQ169" s="37"/>
      <c r="DR169" s="37"/>
      <c r="DS169" s="37"/>
      <c r="DT169" s="37"/>
      <c r="DU169" s="37"/>
      <c r="DV169" s="37"/>
      <c r="DW169" s="37"/>
      <c r="DX169" s="37"/>
      <c r="DY169" s="37"/>
      <c r="DZ169" s="37"/>
      <c r="EA169" s="39"/>
      <c r="EB169" s="39"/>
      <c r="EC169" s="40"/>
    </row>
    <row r="170" spans="1:133">
      <c r="A170" s="44"/>
      <c r="B170" s="45" t="s">
        <v>419</v>
      </c>
      <c r="C170" s="20" t="s">
        <v>422</v>
      </c>
      <c r="D170" s="21" t="s">
        <v>409</v>
      </c>
      <c r="E170" s="21"/>
      <c r="F170" s="22" t="s">
        <v>137</v>
      </c>
      <c r="G170" s="23" t="str" cm="1">
        <f t="array" ref="G170">IFERROR(LOOKUP(2,1/(K170:GC170&lt;&gt;""),K$2:DQL$2),"")</f>
        <v/>
      </c>
      <c r="H170" s="24" t="str" cm="1">
        <f t="array" ref="H170">IFERROR(_xlfn.XLOOKUP(TRUE,P170:ED170&lt;&gt;"",P170:ED170,,,-1)," ")</f>
        <v xml:space="preserve"> </v>
      </c>
      <c r="I170" s="25">
        <v>24</v>
      </c>
      <c r="J170" s="25">
        <v>26</v>
      </c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34"/>
      <c r="AF170" s="35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7"/>
      <c r="BF170" s="37"/>
      <c r="BG170" s="34"/>
      <c r="BH170" s="34"/>
      <c r="BI170" s="34"/>
      <c r="BJ170" s="37"/>
      <c r="BK170" s="34"/>
      <c r="BL170" s="34"/>
      <c r="BM170" s="37"/>
      <c r="BN170" s="37"/>
      <c r="BO170" s="37"/>
      <c r="BP170" s="34"/>
      <c r="BQ170" s="34"/>
      <c r="BR170" s="34"/>
      <c r="BS170" s="37"/>
      <c r="BT170" s="37"/>
      <c r="BU170" s="34"/>
      <c r="BV170" s="34"/>
      <c r="BW170" s="34"/>
      <c r="BX170" s="37"/>
      <c r="BY170" s="34"/>
      <c r="BZ170" s="34"/>
      <c r="CA170" s="37"/>
      <c r="CB170" s="37"/>
      <c r="CC170" s="34"/>
      <c r="CD170" s="37"/>
      <c r="CE170" s="37"/>
      <c r="CF170" s="37"/>
      <c r="CG170" s="37"/>
      <c r="CH170" s="37"/>
      <c r="CI170" s="37"/>
      <c r="CJ170" s="37"/>
      <c r="CK170" s="37"/>
      <c r="CL170" s="34"/>
      <c r="CM170" s="43"/>
      <c r="CN170" s="37"/>
      <c r="CO170" s="37"/>
      <c r="CP170" s="34"/>
      <c r="CQ170" s="37"/>
      <c r="CR170" s="37"/>
      <c r="CS170" s="37"/>
      <c r="CT170" s="34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  <c r="DN170" s="37"/>
      <c r="DO170" s="37"/>
      <c r="DP170" s="37"/>
      <c r="DQ170" s="37"/>
      <c r="DR170" s="37"/>
      <c r="DS170" s="37"/>
      <c r="DT170" s="37"/>
      <c r="DU170" s="37"/>
      <c r="DV170" s="37"/>
      <c r="DW170" s="37"/>
      <c r="DX170" s="37"/>
      <c r="DY170" s="37"/>
      <c r="DZ170" s="37"/>
      <c r="EA170" s="39"/>
      <c r="EB170" s="39"/>
      <c r="EC170" s="40"/>
    </row>
    <row r="171" spans="1:133">
      <c r="A171" s="44"/>
      <c r="B171" s="22" t="s">
        <v>423</v>
      </c>
      <c r="C171" s="20" t="s">
        <v>424</v>
      </c>
      <c r="D171" s="21" t="s">
        <v>409</v>
      </c>
      <c r="E171" s="21"/>
      <c r="F171" s="22"/>
      <c r="G171" s="23" t="str" cm="1">
        <f t="array" ref="G171">IFERROR(LOOKUP(2,1/(K171:GC171&lt;&gt;""),K$2:DQL$2),"")</f>
        <v/>
      </c>
      <c r="H171" s="24" t="str" cm="1">
        <f t="array" ref="H171">IFERROR(_xlfn.XLOOKUP(TRUE,P171:ED171&lt;&gt;"",P171:ED171,,,-1)," ")</f>
        <v xml:space="preserve"> </v>
      </c>
      <c r="I171" s="25">
        <v>24</v>
      </c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7"/>
      <c r="BF171" s="37"/>
      <c r="BG171" s="34"/>
      <c r="BH171" s="34"/>
      <c r="BI171" s="34"/>
      <c r="BJ171" s="37"/>
      <c r="BK171" s="34"/>
      <c r="BL171" s="34"/>
      <c r="BM171" s="37"/>
      <c r="BN171" s="37"/>
      <c r="BO171" s="37"/>
      <c r="BP171" s="34"/>
      <c r="BQ171" s="34"/>
      <c r="BR171" s="34"/>
      <c r="BS171" s="37"/>
      <c r="BT171" s="37"/>
      <c r="BU171" s="34"/>
      <c r="BV171" s="34"/>
      <c r="BW171" s="34"/>
      <c r="BX171" s="37"/>
      <c r="BY171" s="34"/>
      <c r="BZ171" s="34"/>
      <c r="CA171" s="37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43"/>
      <c r="CN171" s="37"/>
      <c r="CO171" s="37"/>
      <c r="CP171" s="34"/>
      <c r="CQ171" s="34"/>
      <c r="CR171" s="37"/>
      <c r="CS171" s="37"/>
      <c r="CT171" s="34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37"/>
      <c r="DU171" s="37"/>
      <c r="DV171" s="37"/>
      <c r="DW171" s="37"/>
      <c r="DX171" s="37"/>
      <c r="DY171" s="37"/>
      <c r="DZ171" s="37"/>
      <c r="EA171" s="39"/>
      <c r="EB171" s="39"/>
      <c r="EC171" s="40"/>
    </row>
    <row r="172" spans="1:133">
      <c r="A172" s="44"/>
      <c r="B172" s="45" t="s">
        <v>425</v>
      </c>
      <c r="C172" s="20" t="s">
        <v>426</v>
      </c>
      <c r="D172" s="21" t="s">
        <v>409</v>
      </c>
      <c r="E172" s="21"/>
      <c r="F172" s="22"/>
      <c r="G172" s="23" t="str" cm="1">
        <f t="array" ref="G172">IFERROR(LOOKUP(2,1/(K172:GC172&lt;&gt;""),K$2:DQL$2),"")</f>
        <v/>
      </c>
      <c r="H172" s="24" t="str" cm="1">
        <f t="array" ref="H172">IFERROR(_xlfn.XLOOKUP(TRUE,P172:ED172&lt;&gt;"",P172:ED172,,,-1)," ")</f>
        <v xml:space="preserve"> </v>
      </c>
      <c r="I172" s="25">
        <v>24.5</v>
      </c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34"/>
      <c r="AF172" s="35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7"/>
      <c r="BF172" s="37"/>
      <c r="BG172" s="34"/>
      <c r="BH172" s="34"/>
      <c r="BI172" s="34"/>
      <c r="BJ172" s="37"/>
      <c r="BK172" s="34"/>
      <c r="BL172" s="34"/>
      <c r="BM172" s="37"/>
      <c r="BN172" s="37"/>
      <c r="BO172" s="37"/>
      <c r="BP172" s="34"/>
      <c r="BQ172" s="34"/>
      <c r="BR172" s="34"/>
      <c r="BS172" s="37"/>
      <c r="BT172" s="37"/>
      <c r="BU172" s="34"/>
      <c r="BV172" s="34"/>
      <c r="BW172" s="34"/>
      <c r="BX172" s="37"/>
      <c r="BY172" s="34"/>
      <c r="BZ172" s="34"/>
      <c r="CA172" s="37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43"/>
      <c r="CN172" s="37"/>
      <c r="CO172" s="37"/>
      <c r="CP172" s="34"/>
      <c r="CQ172" s="37"/>
      <c r="CR172" s="37"/>
      <c r="CS172" s="37"/>
      <c r="CT172" s="34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37"/>
      <c r="DU172" s="37"/>
      <c r="DV172" s="37"/>
      <c r="DW172" s="37"/>
      <c r="DX172" s="37"/>
      <c r="DY172" s="37"/>
      <c r="DZ172" s="37"/>
      <c r="EA172" s="39"/>
      <c r="EB172" s="39"/>
      <c r="EC172" s="40"/>
    </row>
    <row r="173" spans="1:133">
      <c r="A173" s="44"/>
      <c r="B173" s="45" t="s">
        <v>425</v>
      </c>
      <c r="C173" s="20" t="s">
        <v>427</v>
      </c>
      <c r="D173" s="21" t="s">
        <v>409</v>
      </c>
      <c r="E173" s="21"/>
      <c r="F173" s="22"/>
      <c r="G173" s="23" t="str" cm="1">
        <f t="array" ref="G173">IFERROR(LOOKUP(2,1/(K173:GC173&lt;&gt;""),K$2:DQL$2),"")</f>
        <v/>
      </c>
      <c r="H173" s="24" t="str" cm="1">
        <f t="array" ref="H173">IFERROR(_xlfn.XLOOKUP(TRUE,P173:ED173&lt;&gt;"",P173:ED173,,,-1)," ")</f>
        <v xml:space="preserve"> </v>
      </c>
      <c r="I173" s="25">
        <v>24.5</v>
      </c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34"/>
      <c r="AF173" s="35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7"/>
      <c r="BF173" s="37"/>
      <c r="BG173" s="34"/>
      <c r="BH173" s="34"/>
      <c r="BI173" s="34"/>
      <c r="BJ173" s="37"/>
      <c r="BK173" s="34"/>
      <c r="BL173" s="34"/>
      <c r="BM173" s="37"/>
      <c r="BN173" s="37"/>
      <c r="BO173" s="37"/>
      <c r="BP173" s="34"/>
      <c r="BQ173" s="34"/>
      <c r="BR173" s="34"/>
      <c r="BS173" s="37"/>
      <c r="BT173" s="37"/>
      <c r="BU173" s="34"/>
      <c r="BV173" s="34"/>
      <c r="BW173" s="34"/>
      <c r="BX173" s="37"/>
      <c r="BY173" s="34"/>
      <c r="BZ173" s="34"/>
      <c r="CA173" s="37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43"/>
      <c r="CN173" s="37"/>
      <c r="CO173" s="37"/>
      <c r="CP173" s="34"/>
      <c r="CQ173" s="37"/>
      <c r="CR173" s="37"/>
      <c r="CS173" s="37"/>
      <c r="CT173" s="34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7"/>
      <c r="DR173" s="37"/>
      <c r="DS173" s="37"/>
      <c r="DT173" s="37"/>
      <c r="DU173" s="37"/>
      <c r="DV173" s="37"/>
      <c r="DW173" s="37"/>
      <c r="DX173" s="37"/>
      <c r="DY173" s="37"/>
      <c r="DZ173" s="37"/>
      <c r="EA173" s="39"/>
      <c r="EB173" s="39"/>
      <c r="EC173" s="40"/>
    </row>
    <row r="174" spans="1:133">
      <c r="A174" s="44"/>
      <c r="B174" s="45" t="s">
        <v>425</v>
      </c>
      <c r="C174" s="20" t="s">
        <v>428</v>
      </c>
      <c r="D174" s="21" t="s">
        <v>409</v>
      </c>
      <c r="E174" s="21"/>
      <c r="F174" s="22"/>
      <c r="G174" s="23" t="str" cm="1">
        <f t="array" ref="G174">IFERROR(LOOKUP(2,1/(K174:GC174&lt;&gt;""),K$2:DQL$2),"")</f>
        <v/>
      </c>
      <c r="H174" s="24" t="str" cm="1">
        <f t="array" ref="H174">IFERROR(_xlfn.XLOOKUP(TRUE,P174:ED174&lt;&gt;"",P174:ED174,,,-1)," ")</f>
        <v xml:space="preserve"> </v>
      </c>
      <c r="I174" s="25">
        <v>24.5</v>
      </c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34"/>
      <c r="AF174" s="35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7"/>
      <c r="BF174" s="37"/>
      <c r="BG174" s="34"/>
      <c r="BH174" s="34"/>
      <c r="BI174" s="34"/>
      <c r="BJ174" s="37"/>
      <c r="BK174" s="34"/>
      <c r="BL174" s="34"/>
      <c r="BM174" s="37"/>
      <c r="BN174" s="37"/>
      <c r="BO174" s="37"/>
      <c r="BP174" s="34"/>
      <c r="BQ174" s="34"/>
      <c r="BR174" s="34"/>
      <c r="BS174" s="37"/>
      <c r="BT174" s="37"/>
      <c r="BU174" s="34"/>
      <c r="BV174" s="34"/>
      <c r="BW174" s="34"/>
      <c r="BX174" s="37"/>
      <c r="BY174" s="34"/>
      <c r="BZ174" s="34"/>
      <c r="CA174" s="37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43"/>
      <c r="CN174" s="37"/>
      <c r="CO174" s="37"/>
      <c r="CP174" s="34"/>
      <c r="CQ174" s="37"/>
      <c r="CR174" s="37"/>
      <c r="CS174" s="37"/>
      <c r="CT174" s="34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7"/>
      <c r="DR174" s="37"/>
      <c r="DS174" s="37"/>
      <c r="DT174" s="37"/>
      <c r="DU174" s="37"/>
      <c r="DV174" s="37"/>
      <c r="DW174" s="37"/>
      <c r="DX174" s="37"/>
      <c r="DY174" s="37"/>
      <c r="DZ174" s="37"/>
      <c r="EA174" s="39"/>
      <c r="EB174" s="39"/>
      <c r="EC174" s="40"/>
    </row>
    <row r="175" spans="1:133">
      <c r="A175" s="44"/>
      <c r="B175" s="45" t="s">
        <v>425</v>
      </c>
      <c r="C175" s="20" t="s">
        <v>429</v>
      </c>
      <c r="D175" s="21" t="s">
        <v>409</v>
      </c>
      <c r="E175" s="21"/>
      <c r="F175" s="22"/>
      <c r="G175" s="23" t="str" cm="1">
        <f t="array" ref="G175">IFERROR(LOOKUP(2,1/(K175:GC175&lt;&gt;""),K$2:DQL$2),"")</f>
        <v/>
      </c>
      <c r="H175" s="24" t="str" cm="1">
        <f t="array" ref="H175">IFERROR(_xlfn.XLOOKUP(TRUE,P175:ED175&lt;&gt;"",P175:ED175,,,-1)," ")</f>
        <v xml:space="preserve"> </v>
      </c>
      <c r="I175" s="25">
        <v>24.5</v>
      </c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34"/>
      <c r="AF175" s="35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7"/>
      <c r="BF175" s="37"/>
      <c r="BG175" s="34"/>
      <c r="BH175" s="34"/>
      <c r="BI175" s="34"/>
      <c r="BJ175" s="34"/>
      <c r="BK175" s="34"/>
      <c r="BL175" s="34"/>
      <c r="BM175" s="37"/>
      <c r="BN175" s="37"/>
      <c r="BO175" s="37"/>
      <c r="BP175" s="34"/>
      <c r="BQ175" s="34"/>
      <c r="BR175" s="34"/>
      <c r="BS175" s="37"/>
      <c r="BT175" s="37"/>
      <c r="BU175" s="34"/>
      <c r="BV175" s="34"/>
      <c r="BW175" s="34"/>
      <c r="BX175" s="37"/>
      <c r="BY175" s="34"/>
      <c r="BZ175" s="34"/>
      <c r="CA175" s="37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43"/>
      <c r="CN175" s="37"/>
      <c r="CO175" s="37"/>
      <c r="CP175" s="34"/>
      <c r="CQ175" s="37"/>
      <c r="CR175" s="37"/>
      <c r="CS175" s="37"/>
      <c r="CT175" s="34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7"/>
      <c r="DR175" s="37"/>
      <c r="DS175" s="37"/>
      <c r="DT175" s="37"/>
      <c r="DU175" s="37"/>
      <c r="DV175" s="37"/>
      <c r="DW175" s="37"/>
      <c r="DX175" s="37"/>
      <c r="DY175" s="37"/>
      <c r="DZ175" s="37"/>
      <c r="EA175" s="39"/>
      <c r="EB175" s="39"/>
      <c r="EC175" s="40"/>
    </row>
    <row r="176" spans="1:133">
      <c r="A176" s="44"/>
      <c r="B176" s="45" t="s">
        <v>430</v>
      </c>
      <c r="C176" s="20" t="s">
        <v>431</v>
      </c>
      <c r="D176" s="21" t="s">
        <v>409</v>
      </c>
      <c r="E176" s="21"/>
      <c r="F176" s="22" t="s">
        <v>432</v>
      </c>
      <c r="G176" s="23" t="str" cm="1">
        <f t="array" ref="G176">IFERROR(LOOKUP(2,1/(K176:GC176&lt;&gt;""),K$2:DQL$2),"")</f>
        <v>19-Aug</v>
      </c>
      <c r="H176" s="24" cm="1">
        <f t="array" ref="H176">IFERROR(_xlfn.XLOOKUP(TRUE,P176:ED176&lt;&gt;"",P176:ED176,,,-1)," ")</f>
        <v>23.1</v>
      </c>
      <c r="I176" s="25">
        <v>24</v>
      </c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34"/>
      <c r="AF176" s="35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>
        <v>22.2</v>
      </c>
      <c r="BC176" s="34"/>
      <c r="BD176" s="34"/>
      <c r="BE176" s="37"/>
      <c r="BF176" s="37"/>
      <c r="BG176" s="34">
        <v>23.1</v>
      </c>
      <c r="BH176" s="34"/>
      <c r="BI176" s="34"/>
      <c r="BJ176" s="37"/>
      <c r="BK176" s="34"/>
      <c r="BL176" s="34"/>
      <c r="BM176" s="37"/>
      <c r="BN176" s="37"/>
      <c r="BO176" s="37"/>
      <c r="BP176" s="34"/>
      <c r="BQ176" s="34"/>
      <c r="BR176" s="34"/>
      <c r="BS176" s="37"/>
      <c r="BT176" s="37"/>
      <c r="BU176" s="34"/>
      <c r="BV176" s="34"/>
      <c r="BW176" s="34"/>
      <c r="BX176" s="37"/>
      <c r="BY176" s="34"/>
      <c r="BZ176" s="34"/>
      <c r="CA176" s="37"/>
      <c r="CB176" s="37"/>
      <c r="CC176" s="34"/>
      <c r="CD176" s="37"/>
      <c r="CE176" s="37"/>
      <c r="CF176" s="37"/>
      <c r="CG176" s="37"/>
      <c r="CH176" s="37"/>
      <c r="CI176" s="37"/>
      <c r="CJ176" s="37"/>
      <c r="CK176" s="37"/>
      <c r="CL176" s="34"/>
      <c r="CM176" s="43"/>
      <c r="CN176" s="37"/>
      <c r="CO176" s="37"/>
      <c r="CP176" s="34"/>
      <c r="CQ176" s="37"/>
      <c r="CR176" s="37"/>
      <c r="CS176" s="37"/>
      <c r="CT176" s="34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7"/>
      <c r="DR176" s="37"/>
      <c r="DS176" s="37"/>
      <c r="DT176" s="37"/>
      <c r="DU176" s="37"/>
      <c r="DV176" s="37"/>
      <c r="DW176" s="37"/>
      <c r="DX176" s="37"/>
      <c r="DY176" s="37"/>
      <c r="DZ176" s="37"/>
      <c r="EA176" s="39"/>
      <c r="EB176" s="39"/>
      <c r="EC176" s="40"/>
    </row>
    <row r="177" spans="1:133">
      <c r="A177" s="44"/>
      <c r="B177" s="45" t="s">
        <v>430</v>
      </c>
      <c r="C177" s="20" t="s">
        <v>433</v>
      </c>
      <c r="D177" s="21" t="s">
        <v>409</v>
      </c>
      <c r="E177" s="21"/>
      <c r="F177" s="22" t="s">
        <v>432</v>
      </c>
      <c r="G177" s="23" t="str" cm="1">
        <f t="array" ref="G177">IFERROR(LOOKUP(2,1/(K177:GC177&lt;&gt;""),K$2:DQL$2),"")</f>
        <v/>
      </c>
      <c r="H177" s="24" t="str" cm="1">
        <f t="array" ref="H177">IFERROR(_xlfn.XLOOKUP(TRUE,P177:ED177&lt;&gt;"",P177:ED177,,,-1)," ")</f>
        <v xml:space="preserve"> </v>
      </c>
      <c r="I177" s="25">
        <v>24</v>
      </c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34"/>
      <c r="AF177" s="35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7"/>
      <c r="BF177" s="37"/>
      <c r="BG177" s="34"/>
      <c r="BH177" s="34"/>
      <c r="BI177" s="34"/>
      <c r="BJ177" s="37"/>
      <c r="BK177" s="34"/>
      <c r="BL177" s="34"/>
      <c r="BM177" s="37"/>
      <c r="BN177" s="37"/>
      <c r="BO177" s="37"/>
      <c r="BP177" s="34"/>
      <c r="BQ177" s="34"/>
      <c r="BR177" s="34"/>
      <c r="BS177" s="37"/>
      <c r="BT177" s="37"/>
      <c r="BU177" s="34"/>
      <c r="BV177" s="34"/>
      <c r="BW177" s="34"/>
      <c r="BX177" s="37"/>
      <c r="BY177" s="34"/>
      <c r="BZ177" s="34"/>
      <c r="CA177" s="37"/>
      <c r="CB177" s="37"/>
      <c r="CC177" s="34"/>
      <c r="CD177" s="37"/>
      <c r="CE177" s="37"/>
      <c r="CF177" s="37"/>
      <c r="CG177" s="37"/>
      <c r="CH177" s="37"/>
      <c r="CI177" s="37"/>
      <c r="CJ177" s="37"/>
      <c r="CK177" s="37"/>
      <c r="CL177" s="34"/>
      <c r="CM177" s="43"/>
      <c r="CN177" s="37"/>
      <c r="CO177" s="37"/>
      <c r="CP177" s="34"/>
      <c r="CQ177" s="37"/>
      <c r="CR177" s="37"/>
      <c r="CS177" s="37"/>
      <c r="CT177" s="34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37"/>
      <c r="DU177" s="37"/>
      <c r="DV177" s="37"/>
      <c r="DW177" s="37"/>
      <c r="DX177" s="37"/>
      <c r="DY177" s="37"/>
      <c r="DZ177" s="37"/>
      <c r="EA177" s="39"/>
      <c r="EB177" s="39"/>
      <c r="EC177" s="40"/>
    </row>
    <row r="178" spans="1:133">
      <c r="A178" s="44"/>
      <c r="B178" s="45" t="s">
        <v>430</v>
      </c>
      <c r="C178" s="20" t="s">
        <v>434</v>
      </c>
      <c r="D178" s="21" t="s">
        <v>409</v>
      </c>
      <c r="E178" s="21"/>
      <c r="F178" s="22" t="s">
        <v>432</v>
      </c>
      <c r="G178" s="23" t="str" cm="1">
        <f t="array" ref="G178">IFERROR(LOOKUP(2,1/(K178:GC178&lt;&gt;""),K$2:DQL$2),"")</f>
        <v/>
      </c>
      <c r="H178" s="24" t="str" cm="1">
        <f t="array" ref="H178">IFERROR(_xlfn.XLOOKUP(TRUE,P178:ED178&lt;&gt;"",P178:ED178,,,-1)," ")</f>
        <v xml:space="preserve"> </v>
      </c>
      <c r="I178" s="25">
        <v>24</v>
      </c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34"/>
      <c r="AF178" s="35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7"/>
      <c r="BF178" s="37"/>
      <c r="BG178" s="34"/>
      <c r="BH178" s="34"/>
      <c r="BI178" s="34"/>
      <c r="BJ178" s="37"/>
      <c r="BK178" s="34"/>
      <c r="BL178" s="34"/>
      <c r="BM178" s="37"/>
      <c r="BN178" s="37"/>
      <c r="BO178" s="37"/>
      <c r="BP178" s="34"/>
      <c r="BQ178" s="34"/>
      <c r="BR178" s="34"/>
      <c r="BS178" s="37"/>
      <c r="BT178" s="37"/>
      <c r="BU178" s="34"/>
      <c r="BV178" s="34"/>
      <c r="BW178" s="34"/>
      <c r="BX178" s="37"/>
      <c r="BY178" s="34"/>
      <c r="BZ178" s="34"/>
      <c r="CA178" s="37"/>
      <c r="CB178" s="37"/>
      <c r="CC178" s="34"/>
      <c r="CD178" s="37"/>
      <c r="CE178" s="37"/>
      <c r="CF178" s="37"/>
      <c r="CG178" s="37"/>
      <c r="CH178" s="37"/>
      <c r="CI178" s="37"/>
      <c r="CJ178" s="37"/>
      <c r="CK178" s="37"/>
      <c r="CL178" s="34"/>
      <c r="CM178" s="43"/>
      <c r="CN178" s="37"/>
      <c r="CO178" s="37"/>
      <c r="CP178" s="34"/>
      <c r="CQ178" s="37"/>
      <c r="CR178" s="37"/>
      <c r="CS178" s="37"/>
      <c r="CT178" s="34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37"/>
      <c r="DU178" s="37"/>
      <c r="DV178" s="37"/>
      <c r="DW178" s="37"/>
      <c r="DX178" s="37"/>
      <c r="DY178" s="37"/>
      <c r="DZ178" s="37"/>
      <c r="EA178" s="39"/>
      <c r="EB178" s="39"/>
      <c r="EC178" s="40"/>
    </row>
    <row r="179" spans="1:133">
      <c r="A179" s="44"/>
      <c r="B179" s="45" t="s">
        <v>430</v>
      </c>
      <c r="C179" s="20" t="s">
        <v>435</v>
      </c>
      <c r="D179" s="21" t="s">
        <v>409</v>
      </c>
      <c r="E179" s="21"/>
      <c r="F179" s="22" t="s">
        <v>432</v>
      </c>
      <c r="G179" s="23" t="str" cm="1">
        <f t="array" ref="G179">IFERROR(LOOKUP(2,1/(K179:GC179&lt;&gt;""),K$2:DQL$2),"")</f>
        <v/>
      </c>
      <c r="H179" s="24" t="str" cm="1">
        <f t="array" ref="H179">IFERROR(_xlfn.XLOOKUP(TRUE,P179:ED179&lt;&gt;"",P179:ED179,,,-1)," ")</f>
        <v xml:space="preserve"> </v>
      </c>
      <c r="I179" s="25">
        <v>24</v>
      </c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34"/>
      <c r="AF179" s="35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7"/>
      <c r="BF179" s="37"/>
      <c r="BG179" s="34"/>
      <c r="BH179" s="34"/>
      <c r="BI179" s="34"/>
      <c r="BJ179" s="37"/>
      <c r="BK179" s="34"/>
      <c r="BL179" s="34"/>
      <c r="BM179" s="37"/>
      <c r="BN179" s="37"/>
      <c r="BO179" s="37"/>
      <c r="BP179" s="34"/>
      <c r="BQ179" s="34"/>
      <c r="BR179" s="34"/>
      <c r="BS179" s="37"/>
      <c r="BT179" s="37"/>
      <c r="BU179" s="34"/>
      <c r="BV179" s="34"/>
      <c r="BW179" s="34"/>
      <c r="BX179" s="37"/>
      <c r="BY179" s="34"/>
      <c r="BZ179" s="34"/>
      <c r="CA179" s="37"/>
      <c r="CB179" s="37"/>
      <c r="CC179" s="34"/>
      <c r="CD179" s="37"/>
      <c r="CE179" s="37"/>
      <c r="CF179" s="37"/>
      <c r="CG179" s="37"/>
      <c r="CH179" s="37"/>
      <c r="CI179" s="37"/>
      <c r="CJ179" s="37"/>
      <c r="CK179" s="37"/>
      <c r="CL179" s="34"/>
      <c r="CM179" s="43"/>
      <c r="CN179" s="37"/>
      <c r="CO179" s="37"/>
      <c r="CP179" s="34"/>
      <c r="CQ179" s="37"/>
      <c r="CR179" s="37"/>
      <c r="CS179" s="37"/>
      <c r="CT179" s="34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9"/>
      <c r="EB179" s="39"/>
      <c r="EC179" s="40"/>
    </row>
    <row r="180" spans="1:133">
      <c r="A180" s="44"/>
      <c r="B180" s="45" t="s">
        <v>430</v>
      </c>
      <c r="C180" s="20" t="s">
        <v>436</v>
      </c>
      <c r="D180" s="21" t="s">
        <v>409</v>
      </c>
      <c r="E180" s="21"/>
      <c r="F180" s="22" t="s">
        <v>432</v>
      </c>
      <c r="G180" s="23" t="str" cm="1">
        <f t="array" ref="G180">IFERROR(LOOKUP(2,1/(K180:GC180&lt;&gt;""),K$2:DQL$2),"")</f>
        <v/>
      </c>
      <c r="H180" s="24" t="str" cm="1">
        <f t="array" ref="H180">IFERROR(_xlfn.XLOOKUP(TRUE,P180:ED180&lt;&gt;"",P180:ED180,,,-1)," ")</f>
        <v xml:space="preserve"> </v>
      </c>
      <c r="I180" s="25">
        <v>24</v>
      </c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34"/>
      <c r="AF180" s="35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7"/>
      <c r="BF180" s="37"/>
      <c r="BG180" s="34"/>
      <c r="BH180" s="34"/>
      <c r="BI180" s="34"/>
      <c r="BJ180" s="37"/>
      <c r="BK180" s="34"/>
      <c r="BL180" s="34"/>
      <c r="BM180" s="37"/>
      <c r="BN180" s="37"/>
      <c r="BO180" s="37"/>
      <c r="BP180" s="34"/>
      <c r="BQ180" s="34"/>
      <c r="BR180" s="34"/>
      <c r="BS180" s="37"/>
      <c r="BT180" s="37"/>
      <c r="BU180" s="34"/>
      <c r="BV180" s="34"/>
      <c r="BW180" s="34"/>
      <c r="BX180" s="37"/>
      <c r="BY180" s="34"/>
      <c r="BZ180" s="34"/>
      <c r="CA180" s="37"/>
      <c r="CB180" s="37"/>
      <c r="CC180" s="34"/>
      <c r="CD180" s="37"/>
      <c r="CE180" s="37"/>
      <c r="CF180" s="37"/>
      <c r="CG180" s="37"/>
      <c r="CH180" s="37"/>
      <c r="CI180" s="37"/>
      <c r="CJ180" s="37"/>
      <c r="CK180" s="37"/>
      <c r="CL180" s="34"/>
      <c r="CM180" s="43"/>
      <c r="CN180" s="37"/>
      <c r="CO180" s="37"/>
      <c r="CP180" s="34"/>
      <c r="CQ180" s="37"/>
      <c r="CR180" s="37"/>
      <c r="CS180" s="37"/>
      <c r="CT180" s="34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9"/>
      <c r="EB180" s="39"/>
      <c r="EC180" s="40"/>
    </row>
    <row r="181" spans="1:133">
      <c r="A181" s="44"/>
      <c r="B181" s="45" t="s">
        <v>430</v>
      </c>
      <c r="C181" s="20" t="s">
        <v>437</v>
      </c>
      <c r="D181" s="21" t="s">
        <v>409</v>
      </c>
      <c r="E181" s="21"/>
      <c r="F181" s="22" t="s">
        <v>432</v>
      </c>
      <c r="G181" s="23" t="str" cm="1">
        <f t="array" ref="G181">IFERROR(LOOKUP(2,1/(K181:GC181&lt;&gt;""),K$2:DQL$2),"")</f>
        <v/>
      </c>
      <c r="H181" s="24" t="str" cm="1">
        <f t="array" ref="H181">IFERROR(_xlfn.XLOOKUP(TRUE,P181:ED181&lt;&gt;"",P181:ED181,,,-1)," ")</f>
        <v xml:space="preserve"> </v>
      </c>
      <c r="I181" s="25">
        <v>24</v>
      </c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34"/>
      <c r="AF181" s="35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7"/>
      <c r="BF181" s="37"/>
      <c r="BG181" s="34"/>
      <c r="BH181" s="34"/>
      <c r="BI181" s="34"/>
      <c r="BJ181" s="37"/>
      <c r="BK181" s="34"/>
      <c r="BL181" s="34"/>
      <c r="BM181" s="37"/>
      <c r="BN181" s="37"/>
      <c r="BO181" s="37"/>
      <c r="BP181" s="34"/>
      <c r="BQ181" s="34"/>
      <c r="BR181" s="34"/>
      <c r="BS181" s="37"/>
      <c r="BT181" s="37"/>
      <c r="BU181" s="34"/>
      <c r="BV181" s="34"/>
      <c r="BW181" s="34"/>
      <c r="BX181" s="37"/>
      <c r="BY181" s="34"/>
      <c r="BZ181" s="34"/>
      <c r="CA181" s="37"/>
      <c r="CB181" s="37"/>
      <c r="CC181" s="34"/>
      <c r="CD181" s="37"/>
      <c r="CE181" s="37"/>
      <c r="CF181" s="37"/>
      <c r="CG181" s="37"/>
      <c r="CH181" s="37"/>
      <c r="CI181" s="37"/>
      <c r="CJ181" s="37"/>
      <c r="CK181" s="37"/>
      <c r="CL181" s="34"/>
      <c r="CM181" s="43"/>
      <c r="CN181" s="37"/>
      <c r="CO181" s="37"/>
      <c r="CP181" s="34"/>
      <c r="CQ181" s="37"/>
      <c r="CR181" s="37"/>
      <c r="CS181" s="37"/>
      <c r="CT181" s="34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37"/>
      <c r="DU181" s="37"/>
      <c r="DV181" s="37"/>
      <c r="DW181" s="37"/>
      <c r="DX181" s="37"/>
      <c r="DY181" s="37"/>
      <c r="DZ181" s="37"/>
      <c r="EA181" s="39"/>
      <c r="EB181" s="39"/>
      <c r="EC181" s="40"/>
    </row>
    <row r="182" spans="1:133">
      <c r="A182" s="44"/>
      <c r="B182" s="45" t="s">
        <v>438</v>
      </c>
      <c r="C182" s="20" t="s">
        <v>439</v>
      </c>
      <c r="D182" s="21" t="s">
        <v>409</v>
      </c>
      <c r="E182" s="21"/>
      <c r="F182" s="22"/>
      <c r="G182" s="23" t="str" cm="1">
        <f t="array" ref="G182">IFERROR(LOOKUP(2,1/(K182:GC182&lt;&gt;""),K$2:DQL$2),"")</f>
        <v>19-Aug</v>
      </c>
      <c r="H182" s="24" cm="1">
        <f t="array" ref="H182">IFERROR(_xlfn.XLOOKUP(TRUE,P182:ED182&lt;&gt;"",P182:ED182,,,-1)," ")</f>
        <v>22.8</v>
      </c>
      <c r="I182" s="25">
        <v>24.5</v>
      </c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34"/>
      <c r="AF182" s="35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>
        <v>22.4</v>
      </c>
      <c r="BC182" s="34"/>
      <c r="BD182" s="34"/>
      <c r="BE182" s="37"/>
      <c r="BF182" s="37"/>
      <c r="BG182" s="34">
        <v>22.8</v>
      </c>
      <c r="BH182" s="34"/>
      <c r="BI182" s="34"/>
      <c r="BJ182" s="37"/>
      <c r="BK182" s="34"/>
      <c r="BL182" s="34"/>
      <c r="BM182" s="37"/>
      <c r="BN182" s="37"/>
      <c r="BO182" s="37"/>
      <c r="BP182" s="34"/>
      <c r="BQ182" s="34"/>
      <c r="BR182" s="34"/>
      <c r="BS182" s="37"/>
      <c r="BT182" s="37"/>
      <c r="BU182" s="34"/>
      <c r="BV182" s="37"/>
      <c r="BW182" s="34"/>
      <c r="BX182" s="38"/>
      <c r="BY182" s="34"/>
      <c r="BZ182" s="34"/>
      <c r="CA182" s="37"/>
      <c r="CB182" s="37"/>
      <c r="CC182" s="34"/>
      <c r="CD182" s="37"/>
      <c r="CE182" s="37"/>
      <c r="CF182" s="37"/>
      <c r="CG182" s="37"/>
      <c r="CH182" s="37"/>
      <c r="CI182" s="37"/>
      <c r="CJ182" s="37"/>
      <c r="CK182" s="37"/>
      <c r="CL182" s="34"/>
      <c r="CM182" s="43"/>
      <c r="CN182" s="37"/>
      <c r="CO182" s="37"/>
      <c r="CP182" s="34"/>
      <c r="CQ182" s="37"/>
      <c r="CR182" s="37"/>
      <c r="CS182" s="37"/>
      <c r="CT182" s="34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37"/>
      <c r="DU182" s="37"/>
      <c r="DV182" s="37"/>
      <c r="DW182" s="37"/>
      <c r="DX182" s="37"/>
      <c r="DY182" s="37"/>
      <c r="DZ182" s="37"/>
      <c r="EA182" s="39"/>
      <c r="EB182" s="39"/>
      <c r="EC182" s="40"/>
    </row>
    <row r="183" spans="1:133">
      <c r="A183" s="44"/>
      <c r="B183" s="45" t="s">
        <v>438</v>
      </c>
      <c r="C183" s="20" t="s">
        <v>440</v>
      </c>
      <c r="D183" s="21" t="s">
        <v>409</v>
      </c>
      <c r="E183" s="21"/>
      <c r="F183" s="22"/>
      <c r="G183" s="23" t="str" cm="1">
        <f t="array" ref="G183">IFERROR(LOOKUP(2,1/(K183:GC183&lt;&gt;""),K$2:DQL$2),"")</f>
        <v>18-Aug</v>
      </c>
      <c r="H183" s="24" cm="1">
        <f t="array" ref="H183">IFERROR(_xlfn.XLOOKUP(TRUE,P183:ED183&lt;&gt;"",P183:ED183,,,-1)," ")</f>
        <v>22.1</v>
      </c>
      <c r="I183" s="25">
        <v>24.5</v>
      </c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34"/>
      <c r="AF183" s="35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>
        <v>22</v>
      </c>
      <c r="AZ183" s="34"/>
      <c r="BA183" s="34"/>
      <c r="BB183" s="34"/>
      <c r="BC183" s="34"/>
      <c r="BD183" s="34"/>
      <c r="BE183" s="37"/>
      <c r="BF183" s="37">
        <v>22.1</v>
      </c>
      <c r="BG183" s="34"/>
      <c r="BH183" s="34"/>
      <c r="BI183" s="34"/>
      <c r="BJ183" s="37"/>
      <c r="BK183" s="34"/>
      <c r="BL183" s="34"/>
      <c r="BM183" s="37"/>
      <c r="BN183" s="37"/>
      <c r="BO183" s="37"/>
      <c r="BP183" s="34"/>
      <c r="BQ183" s="34"/>
      <c r="BR183" s="34"/>
      <c r="BS183" s="37"/>
      <c r="BT183" s="37"/>
      <c r="BU183" s="34"/>
      <c r="BV183" s="37"/>
      <c r="BW183" s="34"/>
      <c r="BX183" s="37"/>
      <c r="BY183" s="34"/>
      <c r="BZ183" s="34"/>
      <c r="CA183" s="37"/>
      <c r="CB183" s="37"/>
      <c r="CC183" s="34"/>
      <c r="CD183" s="37"/>
      <c r="CE183" s="38"/>
      <c r="CF183" s="37"/>
      <c r="CG183" s="37"/>
      <c r="CH183" s="37"/>
      <c r="CI183" s="37"/>
      <c r="CJ183" s="37"/>
      <c r="CK183" s="37"/>
      <c r="CL183" s="34"/>
      <c r="CM183" s="43"/>
      <c r="CN183" s="37"/>
      <c r="CO183" s="37"/>
      <c r="CP183" s="34"/>
      <c r="CQ183" s="37"/>
      <c r="CR183" s="37"/>
      <c r="CS183" s="37"/>
      <c r="CT183" s="34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9"/>
      <c r="EB183" s="39"/>
      <c r="EC183" s="40"/>
    </row>
    <row r="184" spans="1:133">
      <c r="A184" s="44"/>
      <c r="B184" s="45" t="s">
        <v>441</v>
      </c>
      <c r="C184" s="20" t="s">
        <v>442</v>
      </c>
      <c r="D184" s="21" t="s">
        <v>409</v>
      </c>
      <c r="E184" s="21"/>
      <c r="F184" s="22" t="s">
        <v>188</v>
      </c>
      <c r="G184" s="23" t="str" cm="1">
        <f t="array" ref="G184">IFERROR(LOOKUP(2,1/(K184:GC184&lt;&gt;""),K$2:DQL$2),"")</f>
        <v/>
      </c>
      <c r="H184" s="24" t="str" cm="1">
        <f t="array" ref="H184">IFERROR(_xlfn.XLOOKUP(TRUE,P184:ED184&lt;&gt;"",P184:ED184,,,-1)," ")</f>
        <v xml:space="preserve"> </v>
      </c>
      <c r="I184" s="25">
        <v>24</v>
      </c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34"/>
      <c r="AF184" s="35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7"/>
      <c r="BF184" s="37"/>
      <c r="BG184" s="34"/>
      <c r="BH184" s="34"/>
      <c r="BI184" s="34"/>
      <c r="BJ184" s="37"/>
      <c r="BK184" s="34"/>
      <c r="BL184" s="34"/>
      <c r="BM184" s="37"/>
      <c r="BN184" s="37"/>
      <c r="BO184" s="37"/>
      <c r="BP184" s="34"/>
      <c r="BQ184" s="34"/>
      <c r="BR184" s="34"/>
      <c r="BS184" s="37"/>
      <c r="BT184" s="37"/>
      <c r="BU184" s="34"/>
      <c r="BV184" s="34"/>
      <c r="BW184" s="34"/>
      <c r="BX184" s="37"/>
      <c r="BY184" s="34"/>
      <c r="BZ184" s="34"/>
      <c r="CA184" s="37"/>
      <c r="CB184" s="37"/>
      <c r="CC184" s="34"/>
      <c r="CD184" s="37"/>
      <c r="CE184" s="37"/>
      <c r="CF184" s="37"/>
      <c r="CG184" s="37"/>
      <c r="CH184" s="37"/>
      <c r="CI184" s="37"/>
      <c r="CJ184" s="37"/>
      <c r="CK184" s="37"/>
      <c r="CL184" s="34"/>
      <c r="CM184" s="43"/>
      <c r="CN184" s="37"/>
      <c r="CO184" s="37"/>
      <c r="CP184" s="34"/>
      <c r="CQ184" s="37"/>
      <c r="CR184" s="37"/>
      <c r="CS184" s="37"/>
      <c r="CT184" s="34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9"/>
      <c r="EB184" s="39"/>
      <c r="EC184" s="40"/>
    </row>
    <row r="185" spans="1:133">
      <c r="A185" s="44"/>
      <c r="B185" s="45" t="s">
        <v>441</v>
      </c>
      <c r="C185" s="20" t="s">
        <v>443</v>
      </c>
      <c r="D185" s="21" t="s">
        <v>409</v>
      </c>
      <c r="E185" s="21"/>
      <c r="F185" s="22" t="s">
        <v>188</v>
      </c>
      <c r="G185" s="23" t="str" cm="1">
        <f t="array" ref="G185">IFERROR(LOOKUP(2,1/(K185:GC185&lt;&gt;""),K$2:DQL$2),"")</f>
        <v/>
      </c>
      <c r="H185" s="24" t="str" cm="1">
        <f t="array" ref="H185">IFERROR(_xlfn.XLOOKUP(TRUE,P185:ED185&lt;&gt;"",P185:ED185,,,-1)," ")</f>
        <v xml:space="preserve"> </v>
      </c>
      <c r="I185" s="25">
        <v>24</v>
      </c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34"/>
      <c r="AF185" s="35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7"/>
      <c r="BF185" s="37"/>
      <c r="BG185" s="34"/>
      <c r="BH185" s="34"/>
      <c r="BI185" s="34"/>
      <c r="BJ185" s="37"/>
      <c r="BK185" s="34"/>
      <c r="BL185" s="34"/>
      <c r="BM185" s="37"/>
      <c r="BN185" s="37"/>
      <c r="BO185" s="37"/>
      <c r="BP185" s="34"/>
      <c r="BQ185" s="34"/>
      <c r="BR185" s="34"/>
      <c r="BS185" s="37"/>
      <c r="BT185" s="37"/>
      <c r="BU185" s="34"/>
      <c r="BV185" s="34"/>
      <c r="BW185" s="34"/>
      <c r="BX185" s="37"/>
      <c r="BY185" s="34"/>
      <c r="BZ185" s="34"/>
      <c r="CA185" s="37"/>
      <c r="CB185" s="37"/>
      <c r="CC185" s="34"/>
      <c r="CD185" s="37"/>
      <c r="CE185" s="37"/>
      <c r="CF185" s="37"/>
      <c r="CG185" s="37"/>
      <c r="CH185" s="37"/>
      <c r="CI185" s="37"/>
      <c r="CJ185" s="37"/>
      <c r="CK185" s="37"/>
      <c r="CL185" s="34"/>
      <c r="CM185" s="43"/>
      <c r="CN185" s="37"/>
      <c r="CO185" s="37"/>
      <c r="CP185" s="34"/>
      <c r="CQ185" s="37"/>
      <c r="CR185" s="37"/>
      <c r="CS185" s="37"/>
      <c r="CT185" s="34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9"/>
      <c r="EB185" s="39"/>
      <c r="EC185" s="40"/>
    </row>
    <row r="186" spans="1:133">
      <c r="A186" s="44"/>
      <c r="B186" s="45" t="s">
        <v>441</v>
      </c>
      <c r="C186" s="20" t="s">
        <v>444</v>
      </c>
      <c r="D186" s="21" t="s">
        <v>409</v>
      </c>
      <c r="E186" s="21"/>
      <c r="F186" s="22" t="s">
        <v>188</v>
      </c>
      <c r="G186" s="23" t="str" cm="1">
        <f t="array" ref="G186">IFERROR(LOOKUP(2,1/(K186:GC186&lt;&gt;""),K$2:DQL$2),"")</f>
        <v/>
      </c>
      <c r="H186" s="24" t="str" cm="1">
        <f t="array" ref="H186">IFERROR(_xlfn.XLOOKUP(TRUE,P186:ED186&lt;&gt;"",P186:ED186,,,-1)," ")</f>
        <v xml:space="preserve"> </v>
      </c>
      <c r="I186" s="25">
        <v>24</v>
      </c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34"/>
      <c r="AF186" s="35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7"/>
      <c r="BF186" s="37"/>
      <c r="BG186" s="34"/>
      <c r="BH186" s="34"/>
      <c r="BI186" s="34"/>
      <c r="BJ186" s="37"/>
      <c r="BK186" s="34"/>
      <c r="BL186" s="34"/>
      <c r="BM186" s="37"/>
      <c r="BN186" s="37"/>
      <c r="BO186" s="37"/>
      <c r="BP186" s="34"/>
      <c r="BQ186" s="34"/>
      <c r="BR186" s="34"/>
      <c r="BS186" s="37"/>
      <c r="BT186" s="37"/>
      <c r="BU186" s="34"/>
      <c r="BV186" s="34"/>
      <c r="BW186" s="34"/>
      <c r="BX186" s="37"/>
      <c r="BY186" s="34"/>
      <c r="BZ186" s="34"/>
      <c r="CA186" s="37"/>
      <c r="CB186" s="37"/>
      <c r="CC186" s="34"/>
      <c r="CD186" s="37"/>
      <c r="CE186" s="37"/>
      <c r="CF186" s="37"/>
      <c r="CG186" s="37"/>
      <c r="CH186" s="37"/>
      <c r="CI186" s="37"/>
      <c r="CJ186" s="37"/>
      <c r="CK186" s="37"/>
      <c r="CL186" s="34"/>
      <c r="CM186" s="43"/>
      <c r="CN186" s="37"/>
      <c r="CO186" s="37"/>
      <c r="CP186" s="34"/>
      <c r="CQ186" s="37"/>
      <c r="CR186" s="37"/>
      <c r="CS186" s="37"/>
      <c r="CT186" s="34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9"/>
      <c r="EB186" s="39"/>
      <c r="EC186" s="40"/>
    </row>
    <row r="187" spans="1:133">
      <c r="A187" s="44"/>
      <c r="B187" s="45" t="s">
        <v>441</v>
      </c>
      <c r="C187" s="20" t="s">
        <v>445</v>
      </c>
      <c r="D187" s="21" t="s">
        <v>409</v>
      </c>
      <c r="E187" s="21"/>
      <c r="F187" s="22" t="s">
        <v>188</v>
      </c>
      <c r="G187" s="23" t="str" cm="1">
        <f t="array" ref="G187">IFERROR(LOOKUP(2,1/(K187:GC187&lt;&gt;""),K$2:DQL$2),"")</f>
        <v>18-Aug</v>
      </c>
      <c r="H187" s="24" cm="1">
        <f t="array" ref="H187">IFERROR(_xlfn.XLOOKUP(TRUE,P187:ED187&lt;&gt;"",P187:ED187,,,-1)," ")</f>
        <v>22.2</v>
      </c>
      <c r="I187" s="25">
        <v>24</v>
      </c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34"/>
      <c r="AF187" s="35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>
        <v>22.1</v>
      </c>
      <c r="AZ187" s="34"/>
      <c r="BA187" s="80">
        <v>22.7</v>
      </c>
      <c r="BB187" s="34"/>
      <c r="BC187" s="34"/>
      <c r="BD187" s="34"/>
      <c r="BE187" s="37"/>
      <c r="BF187" s="37">
        <v>22.2</v>
      </c>
      <c r="BG187" s="34"/>
      <c r="BH187" s="34"/>
      <c r="BI187" s="34"/>
      <c r="BJ187" s="37"/>
      <c r="BK187" s="34"/>
      <c r="BL187" s="34"/>
      <c r="BM187" s="37"/>
      <c r="BN187" s="37"/>
      <c r="BO187" s="37"/>
      <c r="BP187" s="34"/>
      <c r="BQ187" s="34"/>
      <c r="BR187" s="34"/>
      <c r="BS187" s="37"/>
      <c r="BT187" s="37"/>
      <c r="BU187" s="34"/>
      <c r="BV187" s="34"/>
      <c r="BW187" s="34"/>
      <c r="BX187" s="37"/>
      <c r="BY187" s="34"/>
      <c r="BZ187" s="34"/>
      <c r="CA187" s="37"/>
      <c r="CB187" s="37"/>
      <c r="CC187" s="34"/>
      <c r="CD187" s="37"/>
      <c r="CE187" s="38"/>
      <c r="CF187" s="37"/>
      <c r="CG187" s="37"/>
      <c r="CH187" s="37"/>
      <c r="CI187" s="37"/>
      <c r="CJ187" s="37"/>
      <c r="CK187" s="37"/>
      <c r="CL187" s="34"/>
      <c r="CM187" s="43"/>
      <c r="CN187" s="37"/>
      <c r="CO187" s="37"/>
      <c r="CP187" s="34"/>
      <c r="CQ187" s="37"/>
      <c r="CR187" s="37"/>
      <c r="CS187" s="38"/>
      <c r="CT187" s="34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9"/>
      <c r="EB187" s="39"/>
      <c r="EC187" s="40"/>
    </row>
    <row r="188" spans="1:133" hidden="1">
      <c r="A188" s="44" t="s">
        <v>138</v>
      </c>
      <c r="B188" s="45" t="s">
        <v>446</v>
      </c>
      <c r="C188" s="20" t="s">
        <v>447</v>
      </c>
      <c r="D188" s="21" t="s">
        <v>409</v>
      </c>
      <c r="E188" s="21"/>
      <c r="F188" s="22" t="s">
        <v>261</v>
      </c>
      <c r="G188" s="23" t="str" cm="1">
        <f t="array" ref="G188">IFERROR(LOOKUP(2,1/(K188:GC188&lt;&gt;""),K$2:DQL$2),"")</f>
        <v>7-Aug</v>
      </c>
      <c r="H188" s="24" cm="1">
        <f t="array" ref="H188">IFERROR(_xlfn.XLOOKUP(TRUE,P188:ED188&lt;&gt;"",P188:ED188,,,-1)," ")</f>
        <v>23.2</v>
      </c>
      <c r="I188" s="25">
        <v>23.5</v>
      </c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34"/>
      <c r="AF188" s="35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>
        <v>23.2</v>
      </c>
      <c r="AV188" s="34"/>
      <c r="AW188" s="34"/>
      <c r="AX188" s="34"/>
      <c r="AY188" s="34"/>
      <c r="AZ188" s="34"/>
      <c r="BA188" s="34"/>
      <c r="BB188" s="34"/>
      <c r="BC188" s="34"/>
      <c r="BD188" s="34"/>
      <c r="BE188" s="37"/>
      <c r="BF188" s="37"/>
      <c r="BG188" s="34"/>
      <c r="BH188" s="34"/>
      <c r="BI188" s="34"/>
      <c r="BJ188" s="34"/>
      <c r="BK188" s="34"/>
      <c r="BL188" s="34"/>
      <c r="BM188" s="37"/>
      <c r="BN188" s="34"/>
      <c r="BO188" s="34"/>
      <c r="BP188" s="34"/>
      <c r="BQ188" s="34"/>
      <c r="BR188" s="34"/>
      <c r="BS188" s="37"/>
      <c r="BT188" s="37"/>
      <c r="BU188" s="34"/>
      <c r="BV188" s="34"/>
      <c r="BW188" s="34"/>
      <c r="BX188" s="37"/>
      <c r="BY188" s="34"/>
      <c r="BZ188" s="34"/>
      <c r="CA188" s="37"/>
      <c r="CB188" s="37"/>
      <c r="CC188" s="34"/>
      <c r="CD188" s="37"/>
      <c r="CE188" s="37"/>
      <c r="CF188" s="37"/>
      <c r="CG188" s="37"/>
      <c r="CH188" s="37"/>
      <c r="CI188" s="37"/>
      <c r="CJ188" s="37"/>
      <c r="CK188" s="37"/>
      <c r="CL188" s="34"/>
      <c r="CM188" s="37"/>
      <c r="CN188" s="37"/>
      <c r="CO188" s="37"/>
      <c r="CP188" s="34"/>
      <c r="CQ188" s="37"/>
      <c r="CR188" s="34"/>
      <c r="CS188" s="37"/>
      <c r="CT188" s="34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9"/>
      <c r="EB188" s="39"/>
      <c r="EC188" s="40"/>
    </row>
    <row r="189" spans="1:133" hidden="1">
      <c r="A189" s="44" t="s">
        <v>138</v>
      </c>
      <c r="B189" s="45" t="s">
        <v>448</v>
      </c>
      <c r="C189" s="20" t="s">
        <v>449</v>
      </c>
      <c r="D189" s="21" t="s">
        <v>409</v>
      </c>
      <c r="E189" s="21"/>
      <c r="F189" s="22" t="s">
        <v>261</v>
      </c>
      <c r="G189" s="23" t="str" cm="1">
        <f t="array" ref="G189">IFERROR(LOOKUP(2,1/(K189:GC189&lt;&gt;""),K$2:DQL$2),"")</f>
        <v>7-Aug</v>
      </c>
      <c r="H189" s="24" cm="1">
        <f t="array" ref="H189">IFERROR(_xlfn.XLOOKUP(TRUE,P189:ED189&lt;&gt;"",P189:ED189,,,-1)," ")</f>
        <v>23.4</v>
      </c>
      <c r="I189" s="25">
        <v>23.5</v>
      </c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34"/>
      <c r="AF189" s="35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>
        <v>23.4</v>
      </c>
      <c r="AV189" s="34"/>
      <c r="AW189" s="34"/>
      <c r="AX189" s="34"/>
      <c r="AY189" s="34"/>
      <c r="AZ189" s="34"/>
      <c r="BA189" s="34"/>
      <c r="BB189" s="34"/>
      <c r="BC189" s="34"/>
      <c r="BD189" s="34"/>
      <c r="BE189" s="37"/>
      <c r="BF189" s="37"/>
      <c r="BG189" s="34"/>
      <c r="BH189" s="34"/>
      <c r="BI189" s="34"/>
      <c r="BJ189" s="34"/>
      <c r="BK189" s="34"/>
      <c r="BL189" s="34"/>
      <c r="BM189" s="37"/>
      <c r="BN189" s="34"/>
      <c r="BO189" s="34"/>
      <c r="BP189" s="34"/>
      <c r="BQ189" s="34"/>
      <c r="BR189" s="34"/>
      <c r="BS189" s="37"/>
      <c r="BT189" s="37"/>
      <c r="BU189" s="34"/>
      <c r="BV189" s="34"/>
      <c r="BW189" s="34"/>
      <c r="BX189" s="37"/>
      <c r="BY189" s="34"/>
      <c r="BZ189" s="34"/>
      <c r="CA189" s="37"/>
      <c r="CB189" s="37"/>
      <c r="CC189" s="34"/>
      <c r="CD189" s="37"/>
      <c r="CE189" s="37"/>
      <c r="CF189" s="37"/>
      <c r="CG189" s="37"/>
      <c r="CH189" s="37"/>
      <c r="CI189" s="37"/>
      <c r="CJ189" s="37"/>
      <c r="CK189" s="37"/>
      <c r="CL189" s="34"/>
      <c r="CM189" s="37"/>
      <c r="CN189" s="37"/>
      <c r="CO189" s="37"/>
      <c r="CP189" s="34"/>
      <c r="CQ189" s="37"/>
      <c r="CR189" s="34"/>
      <c r="CS189" s="37"/>
      <c r="CT189" s="34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9"/>
      <c r="EB189" s="39"/>
      <c r="EC189" s="40"/>
    </row>
    <row r="190" spans="1:133">
      <c r="A190" s="44"/>
      <c r="B190" s="45" t="s">
        <v>450</v>
      </c>
      <c r="C190" s="20" t="s">
        <v>451</v>
      </c>
      <c r="D190" s="21" t="s">
        <v>409</v>
      </c>
      <c r="E190" s="21"/>
      <c r="F190" s="22" t="s">
        <v>137</v>
      </c>
      <c r="G190" s="23" t="str" cm="1">
        <f t="array" ref="G190">IFERROR(LOOKUP(2,1/(K190:GC190&lt;&gt;""),K$2:DQL$2),"")</f>
        <v>22-Aug</v>
      </c>
      <c r="H190" s="24" cm="1">
        <f t="array" ref="H190">IFERROR(_xlfn.XLOOKUP(TRUE,P190:ED190&lt;&gt;"",P190:ED190,,,-1)," ")</f>
        <v>22.9</v>
      </c>
      <c r="I190" s="25">
        <v>24</v>
      </c>
      <c r="J190" s="25">
        <v>26</v>
      </c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34"/>
      <c r="AF190" s="35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>
        <v>22.4</v>
      </c>
      <c r="AU190" s="34"/>
      <c r="AV190" s="34"/>
      <c r="AW190" s="34"/>
      <c r="AX190" s="34"/>
      <c r="AY190" s="34"/>
      <c r="AZ190" s="34"/>
      <c r="BA190" s="34">
        <v>23.3</v>
      </c>
      <c r="BB190" s="34"/>
      <c r="BC190" s="34"/>
      <c r="BD190" s="34"/>
      <c r="BE190" s="37"/>
      <c r="BF190" s="37"/>
      <c r="BG190" s="36">
        <v>23.9</v>
      </c>
      <c r="BH190" s="34"/>
      <c r="BI190" s="34"/>
      <c r="BJ190" s="38">
        <v>22.9</v>
      </c>
      <c r="BK190" s="34"/>
      <c r="BL190" s="34"/>
      <c r="BM190" s="37"/>
      <c r="BN190" s="37"/>
      <c r="BO190" s="38"/>
      <c r="BP190" s="34"/>
      <c r="BQ190" s="34"/>
      <c r="BR190" s="36"/>
      <c r="BS190" s="37"/>
      <c r="BT190" s="37"/>
      <c r="BU190" s="34"/>
      <c r="BV190" s="37"/>
      <c r="BW190" s="34"/>
      <c r="BX190" s="37"/>
      <c r="BY190" s="34"/>
      <c r="BZ190" s="34"/>
      <c r="CA190" s="37"/>
      <c r="CB190" s="37"/>
      <c r="CC190" s="34"/>
      <c r="CD190" s="37"/>
      <c r="CE190" s="37"/>
      <c r="CF190" s="37"/>
      <c r="CG190" s="37"/>
      <c r="CH190" s="37"/>
      <c r="CI190" s="37"/>
      <c r="CJ190" s="37"/>
      <c r="CK190" s="37"/>
      <c r="CL190" s="34"/>
      <c r="CM190" s="37"/>
      <c r="CN190" s="37"/>
      <c r="CO190" s="37"/>
      <c r="CP190" s="34"/>
      <c r="CQ190" s="37"/>
      <c r="CR190" s="37"/>
      <c r="CS190" s="37"/>
      <c r="CT190" s="34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9"/>
      <c r="EB190" s="39"/>
      <c r="EC190" s="40"/>
    </row>
    <row r="191" spans="1:133">
      <c r="A191" s="44"/>
      <c r="B191" s="45" t="s">
        <v>452</v>
      </c>
      <c r="C191" s="20" t="s">
        <v>453</v>
      </c>
      <c r="D191" s="21" t="s">
        <v>454</v>
      </c>
      <c r="E191" s="21"/>
      <c r="F191" s="22" t="s">
        <v>137</v>
      </c>
      <c r="G191" s="23" t="str" cm="1">
        <f t="array" ref="G191">IFERROR(LOOKUP(2,1/(K191:GC191&lt;&gt;""),K$2:DQL$2),"")</f>
        <v/>
      </c>
      <c r="H191" s="24" t="str" cm="1">
        <f t="array" ref="H191">IFERROR(_xlfn.XLOOKUP(TRUE,P191:ED191&lt;&gt;"",P191:ED191,,,-1)," ")</f>
        <v xml:space="preserve"> </v>
      </c>
      <c r="I191" s="25">
        <v>22</v>
      </c>
      <c r="J191" s="25">
        <v>23.5</v>
      </c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34"/>
      <c r="AF191" s="35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7"/>
      <c r="BF191" s="37"/>
      <c r="BG191" s="34"/>
      <c r="BH191" s="37"/>
      <c r="BI191" s="37"/>
      <c r="BJ191" s="37"/>
      <c r="BK191" s="34"/>
      <c r="BL191" s="37"/>
      <c r="BM191" s="37"/>
      <c r="BN191" s="37"/>
      <c r="BO191" s="37"/>
      <c r="BP191" s="37"/>
      <c r="BQ191" s="34"/>
      <c r="BR191" s="34"/>
      <c r="BS191" s="37"/>
      <c r="BT191" s="37"/>
      <c r="BU191" s="34"/>
      <c r="BV191" s="34"/>
      <c r="BW191" s="36"/>
      <c r="BX191" s="37"/>
      <c r="BY191" s="34"/>
      <c r="BZ191" s="34"/>
      <c r="CA191" s="37"/>
      <c r="CB191" s="34"/>
      <c r="CC191" s="36"/>
      <c r="CD191" s="34"/>
      <c r="CE191" s="34"/>
      <c r="CF191" s="34"/>
      <c r="CG191" s="34"/>
      <c r="CH191" s="34"/>
      <c r="CI191" s="34"/>
      <c r="CJ191" s="34"/>
      <c r="CK191" s="34"/>
      <c r="CL191" s="34"/>
      <c r="CM191" s="43"/>
      <c r="CN191" s="37"/>
      <c r="CO191" s="37"/>
      <c r="CP191" s="34"/>
      <c r="CQ191" s="34"/>
      <c r="CR191" s="37"/>
      <c r="CS191" s="34"/>
      <c r="CT191" s="34"/>
      <c r="CU191" s="37"/>
      <c r="CV191" s="37"/>
      <c r="CW191" s="34"/>
      <c r="CX191" s="34"/>
      <c r="CY191" s="34"/>
      <c r="CZ191" s="34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9"/>
      <c r="EB191" s="39"/>
      <c r="EC191" s="40"/>
    </row>
    <row r="192" spans="1:133">
      <c r="A192" s="44"/>
      <c r="B192" s="45"/>
      <c r="C192" s="20" t="s">
        <v>455</v>
      </c>
      <c r="D192" s="21" t="s">
        <v>454</v>
      </c>
      <c r="E192" s="21"/>
      <c r="F192" s="22" t="s">
        <v>137</v>
      </c>
      <c r="G192" s="23" t="str" cm="1">
        <f t="array" ref="G192">IFERROR(LOOKUP(2,1/(K192:GC192&lt;&gt;""),K$2:DQL$2),"")</f>
        <v>14-Aug</v>
      </c>
      <c r="H192" s="24" cm="1">
        <f t="array" ref="H192">IFERROR(_xlfn.XLOOKUP(TRUE,P192:ED192&lt;&gt;"",P192:ED192,,,-1)," ")</f>
        <v>20.2</v>
      </c>
      <c r="I192" s="25">
        <v>23</v>
      </c>
      <c r="J192" s="25">
        <v>25</v>
      </c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34"/>
      <c r="AF192" s="35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>
        <v>20.2</v>
      </c>
      <c r="BC192" s="34"/>
      <c r="BD192" s="34"/>
      <c r="BE192" s="37"/>
      <c r="BF192" s="37"/>
      <c r="BG192" s="34"/>
      <c r="BH192" s="34"/>
      <c r="BI192" s="34"/>
      <c r="BJ192" s="34"/>
      <c r="BK192" s="34"/>
      <c r="BL192" s="34"/>
      <c r="BM192" s="37"/>
      <c r="BN192" s="34"/>
      <c r="BO192" s="34"/>
      <c r="BP192" s="34"/>
      <c r="BQ192" s="34"/>
      <c r="BR192" s="34"/>
      <c r="BS192" s="37"/>
      <c r="BT192" s="37"/>
      <c r="BU192" s="34"/>
      <c r="BV192" s="34"/>
      <c r="BW192" s="34"/>
      <c r="BX192" s="37"/>
      <c r="BY192" s="34"/>
      <c r="BZ192" s="36"/>
      <c r="CA192" s="37"/>
      <c r="CB192" s="37"/>
      <c r="CC192" s="34"/>
      <c r="CD192" s="37"/>
      <c r="CE192" s="37"/>
      <c r="CF192" s="37"/>
      <c r="CG192" s="37"/>
      <c r="CH192" s="37"/>
      <c r="CI192" s="37"/>
      <c r="CJ192" s="34"/>
      <c r="CK192" s="37"/>
      <c r="CL192" s="34"/>
      <c r="CM192" s="37"/>
      <c r="CN192" s="37"/>
      <c r="CO192" s="37"/>
      <c r="CP192" s="34"/>
      <c r="CQ192" s="37"/>
      <c r="CR192" s="34"/>
      <c r="CS192" s="37"/>
      <c r="CT192" s="34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9"/>
      <c r="EB192" s="39"/>
      <c r="EC192" s="40"/>
    </row>
    <row r="193" spans="1:133">
      <c r="A193" s="44"/>
      <c r="B193" s="45"/>
      <c r="C193" s="20" t="s">
        <v>456</v>
      </c>
      <c r="D193" s="21" t="s">
        <v>454</v>
      </c>
      <c r="E193" s="21"/>
      <c r="F193" s="22" t="s">
        <v>137</v>
      </c>
      <c r="G193" s="23" t="str" cm="1">
        <f t="array" ref="G193">IFERROR(LOOKUP(2,1/(K193:GC193&lt;&gt;""),K$2:DQL$2),"")</f>
        <v>21-Aug</v>
      </c>
      <c r="H193" s="24" cm="1">
        <f t="array" ref="H193">IFERROR(_xlfn.XLOOKUP(TRUE,P193:ED193&lt;&gt;"",P193:ED193,,,-1)," ")</f>
        <v>20.7</v>
      </c>
      <c r="I193" s="25">
        <v>23</v>
      </c>
      <c r="J193" s="25">
        <v>25</v>
      </c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34"/>
      <c r="AF193" s="35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>
        <v>17.399999999999999</v>
      </c>
      <c r="AV193" s="34"/>
      <c r="AW193" s="34"/>
      <c r="AX193" s="34"/>
      <c r="AY193" s="34"/>
      <c r="AZ193" s="34"/>
      <c r="BA193" s="34"/>
      <c r="BB193" s="34">
        <v>21</v>
      </c>
      <c r="BC193" s="34"/>
      <c r="BD193" s="34"/>
      <c r="BE193" s="37"/>
      <c r="BF193" s="37"/>
      <c r="BG193" s="34"/>
      <c r="BH193" s="34"/>
      <c r="BI193" s="36">
        <v>20.7</v>
      </c>
      <c r="BJ193" s="34"/>
      <c r="BK193" s="34"/>
      <c r="BL193" s="34"/>
      <c r="BM193" s="37"/>
      <c r="BN193" s="34"/>
      <c r="BO193" s="34"/>
      <c r="BP193" s="34"/>
      <c r="BQ193" s="34"/>
      <c r="BR193" s="34"/>
      <c r="BS193" s="37"/>
      <c r="BT193" s="37"/>
      <c r="BU193" s="34"/>
      <c r="BV193" s="34"/>
      <c r="BW193" s="34"/>
      <c r="BX193" s="37"/>
      <c r="BY193" s="34"/>
      <c r="BZ193" s="36"/>
      <c r="CA193" s="37"/>
      <c r="CB193" s="37"/>
      <c r="CC193" s="34"/>
      <c r="CD193" s="37"/>
      <c r="CE193" s="37"/>
      <c r="CF193" s="37"/>
      <c r="CG193" s="37"/>
      <c r="CH193" s="37"/>
      <c r="CI193" s="38"/>
      <c r="CJ193" s="34"/>
      <c r="CK193" s="37"/>
      <c r="CL193" s="34"/>
      <c r="CM193" s="37"/>
      <c r="CN193" s="37"/>
      <c r="CO193" s="38"/>
      <c r="CP193" s="34"/>
      <c r="CQ193" s="37"/>
      <c r="CR193" s="34"/>
      <c r="CS193" s="37"/>
      <c r="CT193" s="34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9"/>
      <c r="EB193" s="39"/>
      <c r="EC193" s="40"/>
    </row>
    <row r="194" spans="1:133">
      <c r="A194" s="44"/>
      <c r="B194" s="22"/>
      <c r="C194" s="20" t="s">
        <v>457</v>
      </c>
      <c r="D194" s="21" t="s">
        <v>454</v>
      </c>
      <c r="E194" s="21"/>
      <c r="F194" s="22" t="s">
        <v>137</v>
      </c>
      <c r="G194" s="23" t="str" cm="1">
        <f t="array" ref="G194">IFERROR(LOOKUP(2,1/(K194:GC194&lt;&gt;""),K$2:DQL$2),"")</f>
        <v/>
      </c>
      <c r="H194" s="24" t="str" cm="1">
        <f t="array" ref="H194">IFERROR(_xlfn.XLOOKUP(TRUE,P194:ED194&lt;&gt;"",P194:ED194,,,-1)," ")</f>
        <v xml:space="preserve"> </v>
      </c>
      <c r="I194" s="25">
        <v>23</v>
      </c>
      <c r="J194" s="25">
        <v>25</v>
      </c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7"/>
      <c r="BF194" s="37"/>
      <c r="BG194" s="34"/>
      <c r="BH194" s="34"/>
      <c r="BI194" s="34"/>
      <c r="BJ194" s="34"/>
      <c r="BK194" s="34"/>
      <c r="BL194" s="34"/>
      <c r="BM194" s="37"/>
      <c r="BN194" s="34"/>
      <c r="BO194" s="34"/>
      <c r="BP194" s="34"/>
      <c r="BQ194" s="34"/>
      <c r="BR194" s="34"/>
      <c r="BS194" s="37"/>
      <c r="BT194" s="37"/>
      <c r="BU194" s="34"/>
      <c r="BV194" s="34"/>
      <c r="BW194" s="34"/>
      <c r="BX194" s="37"/>
      <c r="BY194" s="34"/>
      <c r="BZ194" s="36"/>
      <c r="CA194" s="37"/>
      <c r="CB194" s="37"/>
      <c r="CC194" s="34"/>
      <c r="CD194" s="37"/>
      <c r="CE194" s="37"/>
      <c r="CF194" s="37"/>
      <c r="CG194" s="37"/>
      <c r="CH194" s="37"/>
      <c r="CI194" s="37"/>
      <c r="CJ194" s="34"/>
      <c r="CK194" s="37"/>
      <c r="CL194" s="34"/>
      <c r="CM194" s="37"/>
      <c r="CN194" s="37"/>
      <c r="CO194" s="38"/>
      <c r="CP194" s="34"/>
      <c r="CQ194" s="37"/>
      <c r="CR194" s="34"/>
      <c r="CS194" s="37"/>
      <c r="CT194" s="34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9"/>
      <c r="EB194" s="39"/>
      <c r="EC194" s="40"/>
    </row>
    <row r="195" spans="1:133" hidden="1">
      <c r="A195" s="44" t="s">
        <v>138</v>
      </c>
      <c r="B195" s="22" t="s">
        <v>458</v>
      </c>
      <c r="C195" s="20" t="s">
        <v>459</v>
      </c>
      <c r="D195" s="21" t="s">
        <v>460</v>
      </c>
      <c r="E195" s="21"/>
      <c r="F195" s="22" t="s">
        <v>137</v>
      </c>
      <c r="G195" s="23" t="str" cm="1">
        <f t="array" ref="G195">IFERROR(LOOKUP(2,1/(K195:GC195&lt;&gt;""),K$2:DQL$2),"")</f>
        <v>3-Aug</v>
      </c>
      <c r="H195" s="24" cm="1">
        <f t="array" ref="H195">IFERROR(_xlfn.XLOOKUP(TRUE,P195:ED195&lt;&gt;"",P195:ED195,,,-1)," ")</f>
        <v>21.9</v>
      </c>
      <c r="I195" s="25">
        <v>22</v>
      </c>
      <c r="J195" s="25">
        <v>23.5</v>
      </c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6">
        <v>21.9</v>
      </c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7"/>
      <c r="BF195" s="37"/>
      <c r="BG195" s="36"/>
      <c r="BH195" s="37"/>
      <c r="BI195" s="37"/>
      <c r="BJ195" s="38"/>
      <c r="BK195" s="37"/>
      <c r="BL195" s="37"/>
      <c r="BM195" s="37"/>
      <c r="BN195" s="37"/>
      <c r="BO195" s="38"/>
      <c r="BP195" s="38"/>
      <c r="BQ195" s="37"/>
      <c r="BR195" s="34"/>
      <c r="BS195" s="37"/>
      <c r="BT195" s="37"/>
      <c r="BU195" s="34"/>
      <c r="BV195" s="37"/>
      <c r="BW195" s="34"/>
      <c r="BX195" s="37"/>
      <c r="BY195" s="34"/>
      <c r="BZ195" s="34"/>
      <c r="CA195" s="37"/>
      <c r="CB195" s="37"/>
      <c r="CC195" s="34"/>
      <c r="CD195" s="37"/>
      <c r="CE195" s="37"/>
      <c r="CF195" s="37"/>
      <c r="CG195" s="37"/>
      <c r="CH195" s="37"/>
      <c r="CI195" s="37"/>
      <c r="CJ195" s="37"/>
      <c r="CK195" s="37"/>
      <c r="CL195" s="34"/>
      <c r="CM195" s="37"/>
      <c r="CN195" s="37"/>
      <c r="CO195" s="37"/>
      <c r="CP195" s="34"/>
      <c r="CQ195" s="37"/>
      <c r="CR195" s="37"/>
      <c r="CS195" s="37"/>
      <c r="CT195" s="34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9"/>
      <c r="EB195" s="39"/>
      <c r="EC195" s="40"/>
    </row>
    <row r="196" spans="1:133" hidden="1">
      <c r="A196" s="44" t="s">
        <v>138</v>
      </c>
      <c r="B196" s="22" t="s">
        <v>458</v>
      </c>
      <c r="C196" s="20" t="s">
        <v>459</v>
      </c>
      <c r="D196" s="21" t="s">
        <v>460</v>
      </c>
      <c r="E196" s="21"/>
      <c r="F196" s="22" t="s">
        <v>137</v>
      </c>
      <c r="G196" s="23" t="str" cm="1">
        <f t="array" ref="G196">IFERROR(LOOKUP(2,1/(K196:GC196&lt;&gt;""),K$2:DQL$2),"")</f>
        <v>29-Jul</v>
      </c>
      <c r="H196" s="24" cm="1">
        <f t="array" ref="H196">IFERROR(_xlfn.XLOOKUP(TRUE,P196:ED196&lt;&gt;"",P196:ED196,,,-1)," ")</f>
        <v>20.8</v>
      </c>
      <c r="I196" s="25">
        <v>22</v>
      </c>
      <c r="J196" s="25">
        <v>23.5</v>
      </c>
      <c r="K196" s="25"/>
      <c r="L196" s="25"/>
      <c r="M196" s="25"/>
      <c r="N196" s="25"/>
      <c r="O196" s="25"/>
      <c r="P196" s="25"/>
      <c r="Q196" s="25"/>
      <c r="R196" s="25">
        <v>15</v>
      </c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>
        <v>18.3</v>
      </c>
      <c r="AD196" s="25"/>
      <c r="AE196" s="34"/>
      <c r="AF196" s="34"/>
      <c r="AG196" s="34"/>
      <c r="AH196" s="34"/>
      <c r="AI196" s="34"/>
      <c r="AJ196" s="34"/>
      <c r="AK196" s="34"/>
      <c r="AL196" s="34">
        <v>20.8</v>
      </c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7"/>
      <c r="BF196" s="37"/>
      <c r="BG196" s="36"/>
      <c r="BH196" s="37"/>
      <c r="BI196" s="37"/>
      <c r="BJ196" s="38"/>
      <c r="BK196" s="37"/>
      <c r="BL196" s="37"/>
      <c r="BM196" s="37"/>
      <c r="BN196" s="37"/>
      <c r="BO196" s="38"/>
      <c r="BP196" s="38"/>
      <c r="BQ196" s="37"/>
      <c r="BR196" s="34"/>
      <c r="BS196" s="37"/>
      <c r="BT196" s="37"/>
      <c r="BU196" s="34"/>
      <c r="BV196" s="37"/>
      <c r="BW196" s="34"/>
      <c r="BX196" s="37"/>
      <c r="BY196" s="34"/>
      <c r="BZ196" s="34"/>
      <c r="CA196" s="37"/>
      <c r="CB196" s="37"/>
      <c r="CC196" s="34"/>
      <c r="CD196" s="37"/>
      <c r="CE196" s="37"/>
      <c r="CF196" s="37"/>
      <c r="CG196" s="37"/>
      <c r="CH196" s="37"/>
      <c r="CI196" s="37"/>
      <c r="CJ196" s="37"/>
      <c r="CK196" s="37"/>
      <c r="CL196" s="34"/>
      <c r="CM196" s="37"/>
      <c r="CN196" s="37"/>
      <c r="CO196" s="37"/>
      <c r="CP196" s="34"/>
      <c r="CQ196" s="37"/>
      <c r="CR196" s="37"/>
      <c r="CS196" s="37"/>
      <c r="CT196" s="34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9"/>
      <c r="EB196" s="39"/>
      <c r="EC196" s="40"/>
    </row>
    <row r="197" spans="1:133" hidden="1">
      <c r="A197" s="44" t="s">
        <v>138</v>
      </c>
      <c r="B197" s="22" t="s">
        <v>458</v>
      </c>
      <c r="C197" s="20" t="s">
        <v>461</v>
      </c>
      <c r="D197" s="21" t="s">
        <v>460</v>
      </c>
      <c r="E197" s="21"/>
      <c r="F197" s="22" t="s">
        <v>137</v>
      </c>
      <c r="G197" s="23" t="str" cm="1">
        <f t="array" ref="G197">IFERROR(LOOKUP(2,1/(K197:GC197&lt;&gt;""),K$2:DQL$2),"")</f>
        <v>29-Jul</v>
      </c>
      <c r="H197" s="24" cm="1">
        <f t="array" ref="H197">IFERROR(_xlfn.XLOOKUP(TRUE,P197:ED197&lt;&gt;"",P197:ED197,,,-1)," ")</f>
        <v>21.6</v>
      </c>
      <c r="I197" s="25">
        <v>22</v>
      </c>
      <c r="J197" s="25">
        <v>23.5</v>
      </c>
      <c r="K197" s="25"/>
      <c r="L197" s="25"/>
      <c r="M197" s="25"/>
      <c r="N197" s="25"/>
      <c r="O197" s="25"/>
      <c r="P197" s="25"/>
      <c r="Q197" s="25"/>
      <c r="R197" s="25">
        <v>15.2</v>
      </c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>
        <v>18.8</v>
      </c>
      <c r="AD197" s="25"/>
      <c r="AE197" s="34"/>
      <c r="AF197" s="34"/>
      <c r="AG197" s="34"/>
      <c r="AH197" s="34"/>
      <c r="AI197" s="34"/>
      <c r="AJ197" s="34"/>
      <c r="AK197" s="34"/>
      <c r="AL197" s="34">
        <v>21.6</v>
      </c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7"/>
      <c r="BF197" s="37"/>
      <c r="BG197" s="43"/>
      <c r="BH197" s="37"/>
      <c r="BI197" s="37"/>
      <c r="BJ197" s="38"/>
      <c r="BK197" s="37"/>
      <c r="BL197" s="37"/>
      <c r="BM197" s="37"/>
      <c r="BN197" s="37"/>
      <c r="BO197" s="37"/>
      <c r="BP197" s="38"/>
      <c r="BQ197" s="37"/>
      <c r="BR197" s="34"/>
      <c r="BS197" s="37"/>
      <c r="BT197" s="37"/>
      <c r="BU197" s="34"/>
      <c r="BV197" s="37"/>
      <c r="BW197" s="34"/>
      <c r="BX197" s="37"/>
      <c r="BY197" s="34"/>
      <c r="BZ197" s="34"/>
      <c r="CA197" s="37"/>
      <c r="CB197" s="37"/>
      <c r="CC197" s="34"/>
      <c r="CD197" s="37"/>
      <c r="CE197" s="37"/>
      <c r="CF197" s="37"/>
      <c r="CG197" s="37"/>
      <c r="CH197" s="37"/>
      <c r="CI197" s="37"/>
      <c r="CJ197" s="37"/>
      <c r="CK197" s="37"/>
      <c r="CL197" s="34"/>
      <c r="CM197" s="37"/>
      <c r="CN197" s="37"/>
      <c r="CO197" s="37"/>
      <c r="CP197" s="34"/>
      <c r="CQ197" s="37"/>
      <c r="CR197" s="37"/>
      <c r="CS197" s="37"/>
      <c r="CT197" s="34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9"/>
      <c r="EB197" s="39"/>
      <c r="EC197" s="40"/>
    </row>
    <row r="198" spans="1:133" hidden="1">
      <c r="A198" s="44" t="s">
        <v>138</v>
      </c>
      <c r="B198" s="45" t="s">
        <v>462</v>
      </c>
      <c r="C198" s="20" t="s">
        <v>463</v>
      </c>
      <c r="D198" s="21" t="s">
        <v>464</v>
      </c>
      <c r="E198" s="21"/>
      <c r="F198" s="22" t="s">
        <v>465</v>
      </c>
      <c r="G198" s="23" t="str" cm="1">
        <f t="array" ref="G198">IFERROR(LOOKUP(2,1/(K198:GC198&lt;&gt;""),K$2:DQL$2),"")</f>
        <v>6-Aug</v>
      </c>
      <c r="H198" s="227" cm="1">
        <f t="array" ref="H198">IFERROR(_xlfn.XLOOKUP(TRUE,P198:ED198&lt;&gt;"",P198:ED198,,,-1)," ")</f>
        <v>24.9</v>
      </c>
      <c r="I198" s="25">
        <v>23</v>
      </c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34"/>
      <c r="AF198" s="35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>
        <v>24</v>
      </c>
      <c r="AT198" s="36">
        <v>24.9</v>
      </c>
      <c r="AU198" s="34"/>
      <c r="AV198" s="34"/>
      <c r="AW198" s="36"/>
      <c r="AX198" s="34"/>
      <c r="AY198" s="34"/>
      <c r="AZ198" s="34"/>
      <c r="BA198" s="34"/>
      <c r="BB198" s="34"/>
      <c r="BC198" s="34"/>
      <c r="BD198" s="34"/>
      <c r="BE198" s="37"/>
      <c r="BF198" s="37"/>
      <c r="BG198" s="34"/>
      <c r="BH198" s="38"/>
      <c r="BI198" s="34"/>
      <c r="BJ198" s="37"/>
      <c r="BK198" s="37"/>
      <c r="BL198" s="37"/>
      <c r="BM198" s="37"/>
      <c r="BN198" s="34"/>
      <c r="BO198" s="37"/>
      <c r="BP198" s="37"/>
      <c r="BQ198" s="37"/>
      <c r="BR198" s="34"/>
      <c r="BS198" s="37"/>
      <c r="BT198" s="37"/>
      <c r="BU198" s="34"/>
      <c r="BV198" s="37"/>
      <c r="BW198" s="34"/>
      <c r="BX198" s="37"/>
      <c r="BY198" s="34"/>
      <c r="BZ198" s="34"/>
      <c r="CA198" s="37"/>
      <c r="CB198" s="37"/>
      <c r="CC198" s="34"/>
      <c r="CD198" s="37"/>
      <c r="CE198" s="37"/>
      <c r="CF198" s="37"/>
      <c r="CG198" s="37"/>
      <c r="CH198" s="37"/>
      <c r="CI198" s="37"/>
      <c r="CJ198" s="37"/>
      <c r="CK198" s="37"/>
      <c r="CL198" s="34"/>
      <c r="CM198" s="37"/>
      <c r="CN198" s="37"/>
      <c r="CO198" s="37"/>
      <c r="CP198" s="34"/>
      <c r="CQ198" s="37"/>
      <c r="CR198" s="37"/>
      <c r="CS198" s="37"/>
      <c r="CT198" s="34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9"/>
      <c r="EB198" s="39"/>
      <c r="EC198" s="40"/>
    </row>
    <row r="199" spans="1:133" hidden="1">
      <c r="A199" s="44" t="s">
        <v>138</v>
      </c>
      <c r="B199" s="45" t="s">
        <v>466</v>
      </c>
      <c r="C199" s="20" t="s">
        <v>467</v>
      </c>
      <c r="D199" s="21" t="s">
        <v>464</v>
      </c>
      <c r="E199" s="21"/>
      <c r="F199" s="22" t="s">
        <v>137</v>
      </c>
      <c r="G199" s="23" t="str" cm="1">
        <f t="array" ref="G199">IFERROR(LOOKUP(2,1/(K199:GC199&lt;&gt;""),K$2:DQL$2),"")</f>
        <v/>
      </c>
      <c r="H199" s="24" t="str" cm="1">
        <f t="array" ref="H199">IFERROR(_xlfn.XLOOKUP(TRUE,P199:ED199&lt;&gt;"",P199:ED199,,,-1)," ")</f>
        <v xml:space="preserve"> </v>
      </c>
      <c r="I199" s="25">
        <v>23</v>
      </c>
      <c r="J199" s="25">
        <v>24</v>
      </c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34"/>
      <c r="AF199" s="35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7"/>
      <c r="BF199" s="37"/>
      <c r="BG199" s="36"/>
      <c r="BH199" s="37"/>
      <c r="BI199" s="34"/>
      <c r="BJ199" s="37"/>
      <c r="BK199" s="37"/>
      <c r="BL199" s="37"/>
      <c r="BM199" s="37"/>
      <c r="BN199" s="37"/>
      <c r="BO199" s="38"/>
      <c r="BP199" s="37"/>
      <c r="BQ199" s="38"/>
      <c r="BR199" s="34"/>
      <c r="BS199" s="37"/>
      <c r="BT199" s="37"/>
      <c r="BU199" s="34"/>
      <c r="BV199" s="38"/>
      <c r="BW199" s="34"/>
      <c r="BX199" s="37"/>
      <c r="BY199" s="34"/>
      <c r="BZ199" s="34"/>
      <c r="CA199" s="37"/>
      <c r="CB199" s="37"/>
      <c r="CC199" s="34"/>
      <c r="CD199" s="37"/>
      <c r="CE199" s="37"/>
      <c r="CF199" s="37"/>
      <c r="CG199" s="37"/>
      <c r="CH199" s="37"/>
      <c r="CI199" s="37"/>
      <c r="CJ199" s="37"/>
      <c r="CK199" s="37"/>
      <c r="CL199" s="34"/>
      <c r="CM199" s="43"/>
      <c r="CN199" s="37"/>
      <c r="CO199" s="37"/>
      <c r="CP199" s="34"/>
      <c r="CQ199" s="37"/>
      <c r="CR199" s="37"/>
      <c r="CS199" s="37"/>
      <c r="CT199" s="34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9"/>
      <c r="EB199" s="39"/>
      <c r="EC199" s="40"/>
    </row>
    <row r="200" spans="1:133">
      <c r="A200" s="44"/>
      <c r="B200" s="45" t="s">
        <v>468</v>
      </c>
      <c r="C200" s="20" t="s">
        <v>469</v>
      </c>
      <c r="D200" s="21" t="s">
        <v>470</v>
      </c>
      <c r="E200" s="21"/>
      <c r="F200" s="22" t="s">
        <v>137</v>
      </c>
      <c r="G200" s="23" t="str" cm="1">
        <f t="array" ref="G200">IFERROR(LOOKUP(2,1/(K200:GC200&lt;&gt;""),K$2:DQL$2),"")</f>
        <v>19-Aug</v>
      </c>
      <c r="H200" s="24" cm="1">
        <f t="array" ref="H200">IFERROR(_xlfn.XLOOKUP(TRUE,P200:ED200&lt;&gt;"",P200:ED200,,,-1)," ")</f>
        <v>22.3</v>
      </c>
      <c r="I200" s="25">
        <v>24.5</v>
      </c>
      <c r="J200" s="25">
        <v>26</v>
      </c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34"/>
      <c r="AF200" s="35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>
        <v>20</v>
      </c>
      <c r="BA200" s="34"/>
      <c r="BB200" s="34"/>
      <c r="BC200" s="34"/>
      <c r="BD200" s="34"/>
      <c r="BE200" s="37"/>
      <c r="BF200" s="37"/>
      <c r="BG200" s="34">
        <v>22.3</v>
      </c>
      <c r="BH200" s="37"/>
      <c r="BI200" s="34"/>
      <c r="BJ200" s="37"/>
      <c r="BK200" s="37"/>
      <c r="BL200" s="34"/>
      <c r="BM200" s="37"/>
      <c r="BN200" s="37"/>
      <c r="BO200" s="37"/>
      <c r="BP200" s="34"/>
      <c r="BQ200" s="34"/>
      <c r="BR200" s="34"/>
      <c r="BS200" s="37"/>
      <c r="BT200" s="37"/>
      <c r="BU200" s="34"/>
      <c r="BV200" s="34"/>
      <c r="BW200" s="36"/>
      <c r="BX200" s="37"/>
      <c r="BY200" s="34"/>
      <c r="BZ200" s="34"/>
      <c r="CA200" s="38"/>
      <c r="CB200" s="86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7"/>
      <c r="CO200" s="37"/>
      <c r="CP200" s="34"/>
      <c r="CQ200" s="34"/>
      <c r="CR200" s="37"/>
      <c r="CS200" s="34"/>
      <c r="CT200" s="34"/>
      <c r="CU200" s="37"/>
      <c r="CV200" s="37"/>
      <c r="CW200" s="34"/>
      <c r="CX200" s="34"/>
      <c r="CY200" s="34"/>
      <c r="CZ200" s="34"/>
      <c r="DA200" s="34"/>
      <c r="DB200" s="37"/>
      <c r="DC200" s="37"/>
      <c r="DD200" s="34"/>
      <c r="DE200" s="34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9"/>
      <c r="EB200" s="39"/>
      <c r="EC200" s="40"/>
    </row>
    <row r="201" spans="1:133">
      <c r="A201" s="44"/>
      <c r="B201" s="45" t="s">
        <v>471</v>
      </c>
      <c r="C201" s="20" t="s">
        <v>472</v>
      </c>
      <c r="D201" s="21" t="s">
        <v>470</v>
      </c>
      <c r="E201" s="21"/>
      <c r="F201" s="22" t="s">
        <v>137</v>
      </c>
      <c r="G201" s="23" t="str" cm="1">
        <f t="array" ref="G201">IFERROR(LOOKUP(2,1/(K201:GC201&lt;&gt;""),K$2:DQL$2),"")</f>
        <v/>
      </c>
      <c r="H201" s="24" t="str" cm="1">
        <f t="array" ref="H201">IFERROR(_xlfn.XLOOKUP(TRUE,P201:ED201&lt;&gt;"",P201:ED201,,,-1)," ")</f>
        <v xml:space="preserve"> </v>
      </c>
      <c r="I201" s="25">
        <v>24.5</v>
      </c>
      <c r="J201" s="25">
        <v>26</v>
      </c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34"/>
      <c r="AF201" s="35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7"/>
      <c r="BF201" s="37"/>
      <c r="BG201" s="34"/>
      <c r="BH201" s="37"/>
      <c r="BI201" s="34"/>
      <c r="BJ201" s="37"/>
      <c r="BK201" s="37"/>
      <c r="BL201" s="34"/>
      <c r="BM201" s="37"/>
      <c r="BN201" s="37"/>
      <c r="BO201" s="37"/>
      <c r="BP201" s="34"/>
      <c r="BQ201" s="34"/>
      <c r="BR201" s="34"/>
      <c r="BS201" s="37"/>
      <c r="BT201" s="37"/>
      <c r="BU201" s="34"/>
      <c r="BV201" s="34"/>
      <c r="BW201" s="34"/>
      <c r="BX201" s="37"/>
      <c r="BY201" s="34"/>
      <c r="BZ201" s="34"/>
      <c r="CA201" s="37"/>
      <c r="CB201" s="36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7"/>
      <c r="CN201" s="37"/>
      <c r="CO201" s="37"/>
      <c r="CP201" s="34"/>
      <c r="CQ201" s="37"/>
      <c r="CR201" s="37"/>
      <c r="CS201" s="37"/>
      <c r="CT201" s="34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9"/>
      <c r="EB201" s="39"/>
      <c r="EC201" s="40"/>
    </row>
    <row r="202" spans="1:133">
      <c r="A202" s="44"/>
      <c r="B202" s="45" t="s">
        <v>473</v>
      </c>
      <c r="C202" s="20" t="s">
        <v>474</v>
      </c>
      <c r="D202" s="21" t="s">
        <v>470</v>
      </c>
      <c r="E202" s="21"/>
      <c r="F202" s="22" t="s">
        <v>137</v>
      </c>
      <c r="G202" s="23" t="str" cm="1">
        <f t="array" ref="G202">IFERROR(LOOKUP(2,1/(K202:GC202&lt;&gt;""),K$2:DQL$2),"")</f>
        <v>20-Aug</v>
      </c>
      <c r="H202" s="24" cm="1">
        <f t="array" ref="H202">IFERROR(_xlfn.XLOOKUP(TRUE,P202:ED202&lt;&gt;"",P202:ED202,,,-1)," ")</f>
        <v>21.1</v>
      </c>
      <c r="I202" s="25">
        <v>24.5</v>
      </c>
      <c r="J202" s="25">
        <v>26</v>
      </c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34"/>
      <c r="AF202" s="35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7"/>
      <c r="BF202" s="37"/>
      <c r="BG202" s="34"/>
      <c r="BH202" s="37">
        <v>21.1</v>
      </c>
      <c r="BI202" s="34"/>
      <c r="BJ202" s="37"/>
      <c r="BK202" s="37"/>
      <c r="BL202" s="34"/>
      <c r="BM202" s="37"/>
      <c r="BN202" s="37"/>
      <c r="BO202" s="37"/>
      <c r="BP202" s="34"/>
      <c r="BQ202" s="34"/>
      <c r="BR202" s="34"/>
      <c r="BS202" s="37"/>
      <c r="BT202" s="37"/>
      <c r="BU202" s="34"/>
      <c r="BV202" s="34"/>
      <c r="BW202" s="34"/>
      <c r="BX202" s="37"/>
      <c r="BY202" s="34"/>
      <c r="BZ202" s="34"/>
      <c r="CA202" s="37"/>
      <c r="CB202" s="34"/>
      <c r="CC202" s="34"/>
      <c r="CD202" s="34"/>
      <c r="CE202" s="34"/>
      <c r="CF202" s="34"/>
      <c r="CG202" s="34"/>
      <c r="CH202" s="34"/>
      <c r="CI202" s="36"/>
      <c r="CJ202" s="34"/>
      <c r="CK202" s="34"/>
      <c r="CL202" s="34"/>
      <c r="CM202" s="37"/>
      <c r="CN202" s="37"/>
      <c r="CO202" s="37"/>
      <c r="CP202" s="34"/>
      <c r="CQ202" s="37"/>
      <c r="CR202" s="37"/>
      <c r="CS202" s="37"/>
      <c r="CT202" s="34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9"/>
      <c r="EB202" s="39"/>
      <c r="EC202" s="40"/>
    </row>
    <row r="203" spans="1:133">
      <c r="A203" s="44"/>
      <c r="B203" s="45" t="s">
        <v>475</v>
      </c>
      <c r="C203" s="20" t="s">
        <v>476</v>
      </c>
      <c r="D203" s="21" t="s">
        <v>470</v>
      </c>
      <c r="E203" s="21"/>
      <c r="F203" s="22" t="s">
        <v>137</v>
      </c>
      <c r="G203" s="23" t="str" cm="1">
        <f t="array" ref="G203">IFERROR(LOOKUP(2,1/(K203:GC203&lt;&gt;""),K$2:DQL$2),"")</f>
        <v>20-Aug</v>
      </c>
      <c r="H203" s="24" cm="1">
        <f t="array" ref="H203">IFERROR(_xlfn.XLOOKUP(TRUE,P203:ED203&lt;&gt;"",P203:ED203,,,-1)," ")</f>
        <v>21.4</v>
      </c>
      <c r="I203" s="25">
        <v>24.5</v>
      </c>
      <c r="J203" s="25">
        <v>26</v>
      </c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34"/>
      <c r="AF203" s="35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7"/>
      <c r="BF203" s="37"/>
      <c r="BG203" s="34"/>
      <c r="BH203" s="37">
        <v>21.4</v>
      </c>
      <c r="BI203" s="34"/>
      <c r="BJ203" s="37"/>
      <c r="BK203" s="34"/>
      <c r="BL203" s="34"/>
      <c r="BM203" s="37"/>
      <c r="BN203" s="37"/>
      <c r="BO203" s="37"/>
      <c r="BP203" s="34"/>
      <c r="BQ203" s="34"/>
      <c r="BR203" s="34"/>
      <c r="BS203" s="37"/>
      <c r="BT203" s="37"/>
      <c r="BU203" s="34"/>
      <c r="BV203" s="34"/>
      <c r="BW203" s="34"/>
      <c r="BX203" s="37"/>
      <c r="BY203" s="34"/>
      <c r="BZ203" s="34"/>
      <c r="CA203" s="37"/>
      <c r="CB203" s="34"/>
      <c r="CC203" s="34"/>
      <c r="CD203" s="34"/>
      <c r="CE203" s="34"/>
      <c r="CF203" s="34"/>
      <c r="CG203" s="34"/>
      <c r="CH203" s="34"/>
      <c r="CI203" s="36"/>
      <c r="CJ203" s="34"/>
      <c r="CK203" s="34"/>
      <c r="CL203" s="34"/>
      <c r="CM203" s="37"/>
      <c r="CN203" s="37"/>
      <c r="CO203" s="37"/>
      <c r="CP203" s="34"/>
      <c r="CQ203" s="37"/>
      <c r="CR203" s="37"/>
      <c r="CS203" s="37"/>
      <c r="CT203" s="34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9"/>
      <c r="EB203" s="39"/>
      <c r="EC203" s="40"/>
    </row>
    <row r="204" spans="1:133">
      <c r="A204" s="44"/>
      <c r="B204" s="45" t="s">
        <v>211</v>
      </c>
      <c r="C204" s="20" t="s">
        <v>477</v>
      </c>
      <c r="D204" s="21" t="s">
        <v>470</v>
      </c>
      <c r="E204" s="21"/>
      <c r="F204" s="22"/>
      <c r="G204" s="23" t="str" cm="1">
        <f t="array" ref="G204">IFERROR(LOOKUP(2,1/(K204:GC204&lt;&gt;""),K$2:DQL$2),"")</f>
        <v/>
      </c>
      <c r="H204" s="24" t="str" cm="1">
        <f t="array" ref="H204">IFERROR(_xlfn.XLOOKUP(TRUE,P204:ED204&lt;&gt;"",P204:ED204,,,-1)," ")</f>
        <v xml:space="preserve"> </v>
      </c>
      <c r="I204" s="25">
        <v>25</v>
      </c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34"/>
      <c r="AF204" s="35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7"/>
      <c r="BF204" s="37"/>
      <c r="BG204" s="34"/>
      <c r="BH204" s="37"/>
      <c r="BI204" s="34"/>
      <c r="BJ204" s="37"/>
      <c r="BK204" s="37"/>
      <c r="BL204" s="34"/>
      <c r="BM204" s="37"/>
      <c r="BN204" s="37"/>
      <c r="BO204" s="37"/>
      <c r="BP204" s="34"/>
      <c r="BQ204" s="34"/>
      <c r="BR204" s="34"/>
      <c r="BS204" s="37"/>
      <c r="BT204" s="37"/>
      <c r="BU204" s="34"/>
      <c r="BV204" s="34"/>
      <c r="BW204" s="34"/>
      <c r="BX204" s="37"/>
      <c r="BY204" s="34"/>
      <c r="BZ204" s="34"/>
      <c r="CA204" s="37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43"/>
      <c r="CN204" s="37"/>
      <c r="CO204" s="37"/>
      <c r="CP204" s="34"/>
      <c r="CQ204" s="34"/>
      <c r="CR204" s="37"/>
      <c r="CS204" s="34"/>
      <c r="CT204" s="34"/>
      <c r="CU204" s="37"/>
      <c r="CV204" s="37"/>
      <c r="CW204" s="34"/>
      <c r="CX204" s="34"/>
      <c r="CY204" s="34"/>
      <c r="CZ204" s="34"/>
      <c r="DA204" s="34"/>
      <c r="DB204" s="37"/>
      <c r="DC204" s="37"/>
      <c r="DD204" s="34"/>
      <c r="DE204" s="34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9"/>
      <c r="EB204" s="39"/>
      <c r="EC204" s="40"/>
    </row>
    <row r="205" spans="1:133">
      <c r="A205" s="44"/>
      <c r="B205" s="45" t="s">
        <v>478</v>
      </c>
      <c r="C205" s="20" t="s">
        <v>479</v>
      </c>
      <c r="D205" s="21" t="s">
        <v>470</v>
      </c>
      <c r="E205" s="21"/>
      <c r="F205" s="22" t="s">
        <v>188</v>
      </c>
      <c r="G205" s="23" t="str" cm="1">
        <f t="array" ref="G205">IFERROR(LOOKUP(2,1/(K205:GC205&lt;&gt;""),K$2:DQL$2),"")</f>
        <v>18-Aug</v>
      </c>
      <c r="H205" s="24" cm="1">
        <f t="array" ref="H205">IFERROR(_xlfn.XLOOKUP(TRUE,P205:ED205&lt;&gt;"",P205:ED205,,,-1)," ")</f>
        <v>22.9</v>
      </c>
      <c r="I205" s="25">
        <v>25</v>
      </c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>
        <v>15</v>
      </c>
      <c r="AE205" s="34"/>
      <c r="AF205" s="35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>
        <v>21.8</v>
      </c>
      <c r="AW205" s="34"/>
      <c r="AX205" s="34"/>
      <c r="AY205" s="34"/>
      <c r="AZ205" s="34"/>
      <c r="BA205" s="34"/>
      <c r="BB205" s="248">
        <v>21.7</v>
      </c>
      <c r="BC205" s="34"/>
      <c r="BD205" s="34"/>
      <c r="BE205" s="37"/>
      <c r="BF205" s="37">
        <v>22.9</v>
      </c>
      <c r="BG205" s="34"/>
      <c r="BH205" s="37"/>
      <c r="BI205" s="34"/>
      <c r="BJ205" s="37"/>
      <c r="BK205" s="37"/>
      <c r="BL205" s="34"/>
      <c r="BM205" s="37"/>
      <c r="BN205" s="37"/>
      <c r="BO205" s="37"/>
      <c r="BP205" s="34"/>
      <c r="BQ205" s="34"/>
      <c r="BR205" s="34"/>
      <c r="BS205" s="37"/>
      <c r="BT205" s="37"/>
      <c r="BU205" s="34"/>
      <c r="BV205" s="34"/>
      <c r="BW205" s="34"/>
      <c r="BX205" s="34"/>
      <c r="BY205" s="34"/>
      <c r="BZ205" s="34"/>
      <c r="CA205" s="37"/>
      <c r="CB205" s="34"/>
      <c r="CC205" s="34"/>
      <c r="CD205" s="34"/>
      <c r="CE205" s="34"/>
      <c r="CF205" s="34"/>
      <c r="CG205" s="34"/>
      <c r="CH205" s="42"/>
      <c r="CI205" s="34"/>
      <c r="CJ205" s="34"/>
      <c r="CK205" s="34"/>
      <c r="CL205" s="34"/>
      <c r="CM205" s="43"/>
      <c r="CN205" s="37"/>
      <c r="CO205" s="37"/>
      <c r="CP205" s="34"/>
      <c r="CQ205" s="34"/>
      <c r="CR205" s="37"/>
      <c r="CS205" s="34"/>
      <c r="CT205" s="34"/>
      <c r="CU205" s="37"/>
      <c r="CV205" s="37"/>
      <c r="CW205" s="34"/>
      <c r="CX205" s="34"/>
      <c r="CY205" s="34"/>
      <c r="CZ205" s="34"/>
      <c r="DA205" s="34"/>
      <c r="DB205" s="37"/>
      <c r="DC205" s="37"/>
      <c r="DD205" s="34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7"/>
      <c r="DR205" s="37"/>
      <c r="DS205" s="37"/>
      <c r="DT205" s="37"/>
      <c r="DU205" s="37"/>
      <c r="DV205" s="37"/>
      <c r="DW205" s="37"/>
      <c r="DX205" s="37"/>
      <c r="DY205" s="37"/>
      <c r="DZ205" s="37"/>
      <c r="EA205" s="39"/>
      <c r="EB205" s="39"/>
      <c r="EC205" s="40"/>
    </row>
    <row r="206" spans="1:133">
      <c r="A206" s="44"/>
      <c r="B206" s="45" t="s">
        <v>478</v>
      </c>
      <c r="C206" s="20" t="s">
        <v>480</v>
      </c>
      <c r="D206" s="21" t="s">
        <v>470</v>
      </c>
      <c r="E206" s="21"/>
      <c r="F206" s="22" t="s">
        <v>188</v>
      </c>
      <c r="G206" s="23" t="str" cm="1">
        <f t="array" ref="G206">IFERROR(LOOKUP(2,1/(K206:GC206&lt;&gt;""),K$2:DQL$2),"")</f>
        <v/>
      </c>
      <c r="H206" s="24" t="str" cm="1">
        <f t="array" ref="H206">IFERROR(_xlfn.XLOOKUP(TRUE,P206:ED206&lt;&gt;"",P206:ED206,,,-1)," ")</f>
        <v xml:space="preserve"> </v>
      </c>
      <c r="I206" s="25">
        <v>25</v>
      </c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34"/>
      <c r="AF206" s="35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7"/>
      <c r="BF206" s="37"/>
      <c r="BG206" s="34"/>
      <c r="BH206" s="37"/>
      <c r="BI206" s="34"/>
      <c r="BJ206" s="37"/>
      <c r="BK206" s="37"/>
      <c r="BL206" s="34"/>
      <c r="BM206" s="37"/>
      <c r="BN206" s="37"/>
      <c r="BO206" s="37"/>
      <c r="BP206" s="34"/>
      <c r="BQ206" s="34"/>
      <c r="BR206" s="34"/>
      <c r="BS206" s="37"/>
      <c r="BT206" s="37"/>
      <c r="BU206" s="34"/>
      <c r="BV206" s="34"/>
      <c r="BW206" s="34"/>
      <c r="BX206" s="37"/>
      <c r="BY206" s="34"/>
      <c r="BZ206" s="34"/>
      <c r="CA206" s="37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43"/>
      <c r="CN206" s="37"/>
      <c r="CO206" s="37"/>
      <c r="CP206" s="34"/>
      <c r="CQ206" s="34"/>
      <c r="CR206" s="37"/>
      <c r="CS206" s="34"/>
      <c r="CT206" s="34"/>
      <c r="CU206" s="37"/>
      <c r="CV206" s="37"/>
      <c r="CW206" s="34"/>
      <c r="CX206" s="34"/>
      <c r="CY206" s="34"/>
      <c r="CZ206" s="34"/>
      <c r="DA206" s="34"/>
      <c r="DB206" s="37"/>
      <c r="DC206" s="37"/>
      <c r="DD206" s="34"/>
      <c r="DE206" s="37"/>
      <c r="DF206" s="37"/>
      <c r="DG206" s="37"/>
      <c r="DH206" s="37"/>
      <c r="DI206" s="37"/>
      <c r="DJ206" s="37"/>
      <c r="DK206" s="37"/>
      <c r="DL206" s="37"/>
      <c r="DM206" s="37"/>
      <c r="DN206" s="37"/>
      <c r="DO206" s="37"/>
      <c r="DP206" s="37"/>
      <c r="DQ206" s="37"/>
      <c r="DR206" s="37"/>
      <c r="DS206" s="37"/>
      <c r="DT206" s="37"/>
      <c r="DU206" s="37"/>
      <c r="DV206" s="37"/>
      <c r="DW206" s="37"/>
      <c r="DX206" s="37"/>
      <c r="DY206" s="37"/>
      <c r="DZ206" s="37"/>
      <c r="EA206" s="39"/>
      <c r="EB206" s="39"/>
      <c r="EC206" s="40"/>
    </row>
    <row r="207" spans="1:133">
      <c r="A207" s="44"/>
      <c r="B207" s="45" t="s">
        <v>478</v>
      </c>
      <c r="C207" s="20" t="s">
        <v>481</v>
      </c>
      <c r="D207" s="21" t="s">
        <v>470</v>
      </c>
      <c r="E207" s="21"/>
      <c r="F207" s="22" t="s">
        <v>188</v>
      </c>
      <c r="G207" s="23" t="str" cm="1">
        <f t="array" ref="G207">IFERROR(LOOKUP(2,1/(K207:GC207&lt;&gt;""),K$2:DQL$2),"")</f>
        <v/>
      </c>
      <c r="H207" s="24" t="str" cm="1">
        <f t="array" ref="H207">IFERROR(_xlfn.XLOOKUP(TRUE,P207:ED207&lt;&gt;"",P207:ED207,,,-1)," ")</f>
        <v xml:space="preserve"> </v>
      </c>
      <c r="I207" s="25">
        <v>25</v>
      </c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34"/>
      <c r="AF207" s="35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7"/>
      <c r="BF207" s="37"/>
      <c r="BG207" s="34"/>
      <c r="BH207" s="37"/>
      <c r="BI207" s="34"/>
      <c r="BJ207" s="37"/>
      <c r="BK207" s="37"/>
      <c r="BL207" s="34"/>
      <c r="BM207" s="37"/>
      <c r="BN207" s="37"/>
      <c r="BO207" s="37"/>
      <c r="BP207" s="34"/>
      <c r="BQ207" s="34"/>
      <c r="BR207" s="34"/>
      <c r="BS207" s="37"/>
      <c r="BT207" s="37"/>
      <c r="BU207" s="34"/>
      <c r="BV207" s="34"/>
      <c r="BW207" s="34"/>
      <c r="BX207" s="37"/>
      <c r="BY207" s="34"/>
      <c r="BZ207" s="34"/>
      <c r="CA207" s="37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43"/>
      <c r="CN207" s="37"/>
      <c r="CO207" s="37"/>
      <c r="CP207" s="34"/>
      <c r="CQ207" s="34"/>
      <c r="CR207" s="37"/>
      <c r="CS207" s="34"/>
      <c r="CT207" s="34"/>
      <c r="CU207" s="37"/>
      <c r="CV207" s="37"/>
      <c r="CW207" s="34"/>
      <c r="CX207" s="34"/>
      <c r="CY207" s="34"/>
      <c r="CZ207" s="34"/>
      <c r="DA207" s="34"/>
      <c r="DB207" s="37"/>
      <c r="DC207" s="37"/>
      <c r="DD207" s="34"/>
      <c r="DE207" s="37"/>
      <c r="DF207" s="37"/>
      <c r="DG207" s="37"/>
      <c r="DH207" s="37"/>
      <c r="DI207" s="37"/>
      <c r="DJ207" s="37"/>
      <c r="DK207" s="37"/>
      <c r="DL207" s="37"/>
      <c r="DM207" s="37"/>
      <c r="DN207" s="37"/>
      <c r="DO207" s="37"/>
      <c r="DP207" s="37"/>
      <c r="DQ207" s="37"/>
      <c r="DR207" s="37"/>
      <c r="DS207" s="37"/>
      <c r="DT207" s="37"/>
      <c r="DU207" s="37"/>
      <c r="DV207" s="37"/>
      <c r="DW207" s="37"/>
      <c r="DX207" s="37"/>
      <c r="DY207" s="37"/>
      <c r="DZ207" s="37"/>
      <c r="EA207" s="39"/>
      <c r="EB207" s="39"/>
      <c r="EC207" s="40"/>
    </row>
    <row r="208" spans="1:133">
      <c r="A208" s="44"/>
      <c r="B208" s="45" t="s">
        <v>221</v>
      </c>
      <c r="C208" s="21" t="s">
        <v>482</v>
      </c>
      <c r="D208" s="21" t="s">
        <v>470</v>
      </c>
      <c r="E208" s="21"/>
      <c r="F208" s="22" t="s">
        <v>137</v>
      </c>
      <c r="G208" s="23" t="str" cm="1">
        <f t="array" ref="G208">IFERROR(LOOKUP(2,1/(K208:GC208&lt;&gt;""),K$2:DQL$2),"")</f>
        <v/>
      </c>
      <c r="H208" s="24" t="str" cm="1">
        <f t="array" ref="H208">IFERROR(_xlfn.XLOOKUP(TRUE,P208:ED208&lt;&gt;"",P208:ED208,,,-1)," ")</f>
        <v xml:space="preserve"> </v>
      </c>
      <c r="I208" s="25">
        <v>25</v>
      </c>
      <c r="J208" s="25">
        <v>26</v>
      </c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34"/>
      <c r="AF208" s="35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43"/>
      <c r="BF208" s="43"/>
      <c r="BG208" s="34"/>
      <c r="BH208" s="43"/>
      <c r="BI208" s="34"/>
      <c r="BJ208" s="43"/>
      <c r="BK208" s="43"/>
      <c r="BL208" s="34"/>
      <c r="BM208" s="43"/>
      <c r="BN208" s="43"/>
      <c r="BO208" s="43"/>
      <c r="BP208" s="34"/>
      <c r="BQ208" s="34"/>
      <c r="BR208" s="34"/>
      <c r="BS208" s="43"/>
      <c r="BT208" s="43"/>
      <c r="BU208" s="34"/>
      <c r="BV208" s="34"/>
      <c r="BW208" s="34"/>
      <c r="BX208" s="43"/>
      <c r="BY208" s="34"/>
      <c r="BZ208" s="34"/>
      <c r="CA208" s="43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43"/>
      <c r="CN208" s="43"/>
      <c r="CO208" s="43"/>
      <c r="CP208" s="34"/>
      <c r="CQ208" s="34"/>
      <c r="CR208" s="43"/>
      <c r="CS208" s="43"/>
      <c r="CT208" s="34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22"/>
      <c r="EB208" s="22"/>
      <c r="EC208" s="45"/>
    </row>
    <row r="209" spans="1:133">
      <c r="A209" s="44"/>
      <c r="B209" s="45" t="s">
        <v>221</v>
      </c>
      <c r="C209" s="21" t="s">
        <v>483</v>
      </c>
      <c r="D209" s="21" t="s">
        <v>470</v>
      </c>
      <c r="E209" s="21"/>
      <c r="F209" s="22" t="s">
        <v>137</v>
      </c>
      <c r="G209" s="23" t="str" cm="1">
        <f t="array" ref="G209">IFERROR(LOOKUP(2,1/(K209:GC209&lt;&gt;""),K$2:DQL$2),"")</f>
        <v>18-Aug</v>
      </c>
      <c r="H209" s="24" cm="1">
        <f t="array" ref="H209">IFERROR(_xlfn.XLOOKUP(TRUE,P209:ED209&lt;&gt;"",P209:ED209,,,-1)," ")</f>
        <v>23.2</v>
      </c>
      <c r="I209" s="25">
        <v>25</v>
      </c>
      <c r="J209" s="25">
        <v>26</v>
      </c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34"/>
      <c r="AF209" s="35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43"/>
      <c r="BF209" s="41">
        <v>23.2</v>
      </c>
      <c r="BG209" s="34"/>
      <c r="BH209" s="43"/>
      <c r="BI209" s="34"/>
      <c r="BJ209" s="43"/>
      <c r="BK209" s="43"/>
      <c r="BL209" s="34"/>
      <c r="BM209" s="43"/>
      <c r="BN209" s="43"/>
      <c r="BO209" s="43"/>
      <c r="BP209" s="34"/>
      <c r="BQ209" s="34"/>
      <c r="BR209" s="34"/>
      <c r="BS209" s="43"/>
      <c r="BT209" s="43"/>
      <c r="BU209" s="34"/>
      <c r="BV209" s="34"/>
      <c r="BW209" s="34"/>
      <c r="BX209" s="43"/>
      <c r="BY209" s="34"/>
      <c r="BZ209" s="34"/>
      <c r="CA209" s="43"/>
      <c r="CB209" s="36"/>
      <c r="CC209" s="34"/>
      <c r="CD209" s="34"/>
      <c r="CE209" s="34"/>
      <c r="CF209" s="34"/>
      <c r="CG209" s="34"/>
      <c r="CH209" s="34"/>
      <c r="CI209" s="34"/>
      <c r="CJ209" s="34"/>
      <c r="CK209" s="36"/>
      <c r="CL209" s="34"/>
      <c r="CM209" s="43"/>
      <c r="CN209" s="43"/>
      <c r="CO209" s="43"/>
      <c r="CP209" s="34"/>
      <c r="CQ209" s="34"/>
      <c r="CR209" s="43"/>
      <c r="CS209" s="43"/>
      <c r="CT209" s="34"/>
      <c r="CU209" s="43"/>
      <c r="CV209" s="43"/>
      <c r="CW209" s="21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22"/>
      <c r="EB209" s="22"/>
      <c r="EC209" s="45"/>
    </row>
    <row r="210" spans="1:133">
      <c r="A210" s="44"/>
      <c r="B210" s="45" t="s">
        <v>221</v>
      </c>
      <c r="C210" s="21" t="s">
        <v>484</v>
      </c>
      <c r="D210" s="21" t="s">
        <v>470</v>
      </c>
      <c r="E210" s="21"/>
      <c r="F210" s="22" t="s">
        <v>137</v>
      </c>
      <c r="G210" s="23" t="str" cm="1">
        <f t="array" ref="G210">IFERROR(LOOKUP(2,1/(K210:GC210&lt;&gt;""),K$2:DQL$2),"")</f>
        <v>18-Aug</v>
      </c>
      <c r="H210" s="24" cm="1">
        <f t="array" ref="H210">IFERROR(_xlfn.XLOOKUP(TRUE,P210:ED210&lt;&gt;"",P210:ED210,,,-1)," ")</f>
        <v>21.8</v>
      </c>
      <c r="I210" s="25">
        <v>25</v>
      </c>
      <c r="J210" s="25">
        <v>26</v>
      </c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34"/>
      <c r="AF210" s="35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43"/>
      <c r="BF210" s="41">
        <v>21.8</v>
      </c>
      <c r="BG210" s="34"/>
      <c r="BH210" s="43"/>
      <c r="BI210" s="34"/>
      <c r="BJ210" s="43"/>
      <c r="BK210" s="43"/>
      <c r="BL210" s="34"/>
      <c r="BM210" s="43"/>
      <c r="BN210" s="43"/>
      <c r="BO210" s="43"/>
      <c r="BP210" s="34"/>
      <c r="BQ210" s="34"/>
      <c r="BR210" s="34"/>
      <c r="BS210" s="43"/>
      <c r="BT210" s="43"/>
      <c r="BU210" s="34"/>
      <c r="BV210" s="34"/>
      <c r="BW210" s="34"/>
      <c r="BX210" s="43"/>
      <c r="BY210" s="34"/>
      <c r="BZ210" s="34"/>
      <c r="CA210" s="43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43"/>
      <c r="CN210" s="43"/>
      <c r="CO210" s="43"/>
      <c r="CP210" s="34"/>
      <c r="CQ210" s="34"/>
      <c r="CR210" s="43"/>
      <c r="CS210" s="43"/>
      <c r="CT210" s="34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22"/>
      <c r="EB210" s="22"/>
      <c r="EC210" s="45"/>
    </row>
    <row r="211" spans="1:133">
      <c r="A211" s="44"/>
      <c r="B211" s="45" t="s">
        <v>221</v>
      </c>
      <c r="C211" s="21" t="s">
        <v>485</v>
      </c>
      <c r="D211" s="21" t="s">
        <v>470</v>
      </c>
      <c r="E211" s="21"/>
      <c r="F211" s="22" t="s">
        <v>137</v>
      </c>
      <c r="G211" s="23" t="str" cm="1">
        <f t="array" ref="G211">IFERROR(LOOKUP(2,1/(K211:GC211&lt;&gt;""),K$2:DQL$2),"")</f>
        <v/>
      </c>
      <c r="H211" s="24" t="str" cm="1">
        <f t="array" ref="H211">IFERROR(_xlfn.XLOOKUP(TRUE,P211:ED211&lt;&gt;"",P211:ED211,,,-1)," ")</f>
        <v xml:space="preserve"> </v>
      </c>
      <c r="I211" s="25">
        <v>25</v>
      </c>
      <c r="J211" s="25">
        <v>26</v>
      </c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34"/>
      <c r="AF211" s="35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43"/>
      <c r="BF211" s="43"/>
      <c r="BG211" s="34"/>
      <c r="BH211" s="43"/>
      <c r="BI211" s="34"/>
      <c r="BJ211" s="43"/>
      <c r="BK211" s="43"/>
      <c r="BL211" s="34"/>
      <c r="BM211" s="43"/>
      <c r="BN211" s="43"/>
      <c r="BO211" s="43"/>
      <c r="BP211" s="34"/>
      <c r="BQ211" s="34"/>
      <c r="BR211" s="34"/>
      <c r="BS211" s="43"/>
      <c r="BT211" s="43"/>
      <c r="BU211" s="34"/>
      <c r="BV211" s="34"/>
      <c r="BW211" s="34"/>
      <c r="BX211" s="43"/>
      <c r="BY211" s="34"/>
      <c r="BZ211" s="34"/>
      <c r="CA211" s="43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43"/>
      <c r="CN211" s="43"/>
      <c r="CO211" s="43"/>
      <c r="CP211" s="34"/>
      <c r="CQ211" s="34"/>
      <c r="CR211" s="43"/>
      <c r="CS211" s="43"/>
      <c r="CT211" s="34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3"/>
      <c r="DQ211" s="43"/>
      <c r="DR211" s="43"/>
      <c r="DS211" s="43"/>
      <c r="DT211" s="43"/>
      <c r="DU211" s="43"/>
      <c r="DV211" s="43"/>
      <c r="DW211" s="43"/>
      <c r="DX211" s="43"/>
      <c r="DY211" s="43"/>
      <c r="DZ211" s="43"/>
      <c r="EA211" s="22"/>
      <c r="EB211" s="22"/>
      <c r="EC211" s="45"/>
    </row>
    <row r="212" spans="1:133">
      <c r="A212" s="44"/>
      <c r="B212" s="45" t="s">
        <v>221</v>
      </c>
      <c r="C212" s="21" t="s">
        <v>486</v>
      </c>
      <c r="D212" s="21" t="s">
        <v>470</v>
      </c>
      <c r="E212" s="21"/>
      <c r="F212" s="22" t="s">
        <v>137</v>
      </c>
      <c r="G212" s="23" t="str" cm="1">
        <f t="array" ref="G212">IFERROR(LOOKUP(2,1/(K212:GC212&lt;&gt;""),K$2:DQL$2),"")</f>
        <v>14-Aug</v>
      </c>
      <c r="H212" s="24" cm="1">
        <f t="array" ref="H212">IFERROR(_xlfn.XLOOKUP(TRUE,P212:ED212&lt;&gt;"",P212:ED212,,,-1)," ")</f>
        <v>25.1</v>
      </c>
      <c r="I212" s="25">
        <v>25</v>
      </c>
      <c r="J212" s="25">
        <v>26</v>
      </c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34"/>
      <c r="AF212" s="35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>
        <v>23.7</v>
      </c>
      <c r="AW212" s="34"/>
      <c r="AX212" s="34"/>
      <c r="AY212" s="34"/>
      <c r="AZ212" s="34"/>
      <c r="BA212" s="34"/>
      <c r="BB212" s="34">
        <v>25.1</v>
      </c>
      <c r="BC212" s="34"/>
      <c r="BD212" s="34"/>
      <c r="BE212" s="43"/>
      <c r="BF212" s="43"/>
      <c r="BG212" s="34"/>
      <c r="BH212" s="43"/>
      <c r="BI212" s="34"/>
      <c r="BJ212" s="43"/>
      <c r="BK212" s="43"/>
      <c r="BL212" s="34"/>
      <c r="BM212" s="43"/>
      <c r="BN212" s="43"/>
      <c r="BO212" s="43"/>
      <c r="BP212" s="34"/>
      <c r="BQ212" s="34"/>
      <c r="BR212" s="34"/>
      <c r="BS212" s="43"/>
      <c r="BT212" s="43"/>
      <c r="BU212" s="34"/>
      <c r="BV212" s="34"/>
      <c r="BW212" s="34"/>
      <c r="BX212" s="43"/>
      <c r="BY212" s="34"/>
      <c r="BZ212" s="34"/>
      <c r="CA212" s="43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43"/>
      <c r="CN212" s="43"/>
      <c r="CO212" s="43"/>
      <c r="CP212" s="34"/>
      <c r="CQ212" s="34"/>
      <c r="CR212" s="43"/>
      <c r="CS212" s="43"/>
      <c r="CT212" s="34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  <c r="DO212" s="43"/>
      <c r="DP212" s="43"/>
      <c r="DQ212" s="43"/>
      <c r="DR212" s="43"/>
      <c r="DS212" s="43"/>
      <c r="DT212" s="43"/>
      <c r="DU212" s="43"/>
      <c r="DV212" s="43"/>
      <c r="DW212" s="43"/>
      <c r="DX212" s="43"/>
      <c r="DY212" s="43"/>
      <c r="DZ212" s="43"/>
      <c r="EA212" s="39"/>
      <c r="EB212" s="39"/>
      <c r="EC212" s="40"/>
    </row>
    <row r="213" spans="1:133">
      <c r="A213" s="44"/>
      <c r="B213" s="45" t="s">
        <v>487</v>
      </c>
      <c r="C213" s="20" t="s">
        <v>488</v>
      </c>
      <c r="D213" s="21" t="s">
        <v>470</v>
      </c>
      <c r="E213" s="21"/>
      <c r="F213" s="22" t="s">
        <v>340</v>
      </c>
      <c r="G213" s="23" t="str" cm="1">
        <f t="array" ref="G213">IFERROR(LOOKUP(2,1/(K213:GC213&lt;&gt;""),K$2:DQL$2),"")</f>
        <v>18-Aug</v>
      </c>
      <c r="H213" s="24" cm="1">
        <f t="array" ref="H213">IFERROR(_xlfn.XLOOKUP(TRUE,P213:ED213&lt;&gt;"",P213:ED213,,,-1)," ")</f>
        <v>22.2</v>
      </c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34"/>
      <c r="AF213" s="35"/>
      <c r="AG213" s="34"/>
      <c r="AH213" s="34"/>
      <c r="AI213" s="34"/>
      <c r="AJ213" s="34"/>
      <c r="AK213" s="34"/>
      <c r="AL213" s="248">
        <v>17.399999999999999</v>
      </c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>
        <v>21.1</v>
      </c>
      <c r="AZ213" s="34"/>
      <c r="BA213" s="34"/>
      <c r="BB213" s="34"/>
      <c r="BC213" s="34"/>
      <c r="BD213" s="34"/>
      <c r="BE213" s="37"/>
      <c r="BF213" s="37">
        <v>22.2</v>
      </c>
      <c r="BG213" s="34"/>
      <c r="BH213" s="37"/>
      <c r="BI213" s="34"/>
      <c r="BJ213" s="37"/>
      <c r="BK213" s="37"/>
      <c r="BL213" s="34"/>
      <c r="BM213" s="37"/>
      <c r="BN213" s="37"/>
      <c r="BO213" s="37"/>
      <c r="BP213" s="34"/>
      <c r="BQ213" s="34"/>
      <c r="BR213" s="34"/>
      <c r="BS213" s="37"/>
      <c r="BT213" s="37"/>
      <c r="BU213" s="34"/>
      <c r="BV213" s="34"/>
      <c r="BW213" s="34"/>
      <c r="BX213" s="37"/>
      <c r="BY213" s="34"/>
      <c r="BZ213" s="34"/>
      <c r="CA213" s="37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43"/>
      <c r="CN213" s="37"/>
      <c r="CO213" s="37"/>
      <c r="CP213" s="34"/>
      <c r="CQ213" s="34"/>
      <c r="CR213" s="37"/>
      <c r="CS213" s="37"/>
      <c r="CT213" s="34"/>
      <c r="CU213" s="37"/>
      <c r="CV213" s="37"/>
      <c r="CW213" s="37"/>
      <c r="CX213" s="37"/>
      <c r="CY213" s="37"/>
      <c r="CZ213" s="37"/>
      <c r="DA213" s="37"/>
      <c r="DB213" s="37"/>
      <c r="DC213" s="37"/>
      <c r="DD213" s="38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9"/>
      <c r="EB213" s="39"/>
      <c r="EC213" s="40"/>
    </row>
    <row r="214" spans="1:133">
      <c r="A214" s="44"/>
      <c r="B214" s="22" t="s">
        <v>489</v>
      </c>
      <c r="C214" s="20" t="s">
        <v>490</v>
      </c>
      <c r="D214" s="21" t="s">
        <v>491</v>
      </c>
      <c r="E214" s="21"/>
      <c r="F214" s="22" t="s">
        <v>492</v>
      </c>
      <c r="G214" s="23" t="str" cm="1">
        <f t="array" ref="G214">IFERROR(LOOKUP(2,1/(K214:GC214&lt;&gt;""),K$2:DQL$2),"")</f>
        <v/>
      </c>
      <c r="H214" s="24" t="str" cm="1">
        <f t="array" ref="H214">IFERROR(_xlfn.XLOOKUP(TRUE,P214:ED214&lt;&gt;"",P214:ED214,,,-1)," ")</f>
        <v xml:space="preserve"> </v>
      </c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7"/>
      <c r="BF214" s="37"/>
      <c r="BG214" s="34"/>
      <c r="BH214" s="37"/>
      <c r="BI214" s="37"/>
      <c r="BJ214" s="37"/>
      <c r="BK214" s="37"/>
      <c r="BL214" s="37"/>
      <c r="BM214" s="37"/>
      <c r="BN214" s="37"/>
      <c r="BO214" s="37"/>
      <c r="BP214" s="37"/>
      <c r="BQ214" s="34"/>
      <c r="BR214" s="34"/>
      <c r="BS214" s="37"/>
      <c r="BT214" s="37"/>
      <c r="BU214" s="34"/>
      <c r="BV214" s="34"/>
      <c r="BW214" s="34"/>
      <c r="BX214" s="34"/>
      <c r="BY214" s="34"/>
      <c r="BZ214" s="34"/>
      <c r="CA214" s="37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43"/>
      <c r="CN214" s="37"/>
      <c r="CO214" s="37"/>
      <c r="CP214" s="34"/>
      <c r="CQ214" s="34"/>
      <c r="CR214" s="34"/>
      <c r="CS214" s="34"/>
      <c r="CT214" s="34"/>
      <c r="CU214" s="37"/>
      <c r="CV214" s="37"/>
      <c r="CW214" s="34"/>
      <c r="CX214" s="34"/>
      <c r="CY214" s="34"/>
      <c r="CZ214" s="34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9"/>
      <c r="EB214" s="39"/>
      <c r="EC214" s="40"/>
    </row>
    <row r="215" spans="1:133">
      <c r="A215" s="44"/>
      <c r="B215" s="22"/>
      <c r="C215" s="20" t="s">
        <v>493</v>
      </c>
      <c r="D215" s="21" t="s">
        <v>491</v>
      </c>
      <c r="E215" s="21"/>
      <c r="F215" s="22" t="s">
        <v>492</v>
      </c>
      <c r="G215" s="23" t="str" cm="1">
        <f t="array" ref="G215">IFERROR(LOOKUP(2,1/(K215:GC215&lt;&gt;""),K$2:DQL$2),"")</f>
        <v/>
      </c>
      <c r="H215" s="24" t="str" cm="1">
        <f t="array" ref="H215">IFERROR(_xlfn.XLOOKUP(TRUE,P215:ED215&lt;&gt;"",P215:ED215,,,-1)," ")</f>
        <v xml:space="preserve"> </v>
      </c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7"/>
      <c r="BF215" s="37"/>
      <c r="BG215" s="34"/>
      <c r="BH215" s="34"/>
      <c r="BI215" s="34"/>
      <c r="BJ215" s="34"/>
      <c r="BK215" s="34"/>
      <c r="BL215" s="34"/>
      <c r="BM215" s="37"/>
      <c r="BN215" s="34"/>
      <c r="BO215" s="34"/>
      <c r="BP215" s="34"/>
      <c r="BQ215" s="34"/>
      <c r="BR215" s="34"/>
      <c r="BS215" s="37"/>
      <c r="BT215" s="37"/>
      <c r="BU215" s="34"/>
      <c r="BV215" s="34"/>
      <c r="BW215" s="34"/>
      <c r="BX215" s="37"/>
      <c r="BY215" s="34"/>
      <c r="BZ215" s="36"/>
      <c r="CA215" s="37"/>
      <c r="CB215" s="37"/>
      <c r="CC215" s="34"/>
      <c r="CD215" s="37"/>
      <c r="CE215" s="37"/>
      <c r="CF215" s="37"/>
      <c r="CG215" s="37"/>
      <c r="CH215" s="37"/>
      <c r="CI215" s="37"/>
      <c r="CJ215" s="34"/>
      <c r="CK215" s="37"/>
      <c r="CL215" s="34"/>
      <c r="CM215" s="37"/>
      <c r="CN215" s="37"/>
      <c r="CO215" s="37"/>
      <c r="CP215" s="34"/>
      <c r="CQ215" s="37"/>
      <c r="CR215" s="34"/>
      <c r="CS215" s="37"/>
      <c r="CT215" s="34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9"/>
      <c r="EB215" s="39"/>
      <c r="EC215" s="40"/>
    </row>
    <row r="216" spans="1:133">
      <c r="A216" s="44"/>
      <c r="B216" s="45"/>
      <c r="C216" s="20" t="s">
        <v>494</v>
      </c>
      <c r="D216" s="21" t="s">
        <v>491</v>
      </c>
      <c r="E216" s="21"/>
      <c r="F216" s="22" t="s">
        <v>492</v>
      </c>
      <c r="G216" s="23" t="str" cm="1">
        <f t="array" ref="G216">IFERROR(LOOKUP(2,1/(K216:GC216&lt;&gt;""),K$2:DQL$2),"")</f>
        <v/>
      </c>
      <c r="H216" s="24" t="str" cm="1">
        <f t="array" ref="H216">IFERROR(_xlfn.XLOOKUP(TRUE,P216:ED216&lt;&gt;"",P216:ED216,,,-1)," ")</f>
        <v xml:space="preserve"> </v>
      </c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34"/>
      <c r="AF216" s="35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7"/>
      <c r="BF216" s="37"/>
      <c r="BG216" s="34"/>
      <c r="BH216" s="34"/>
      <c r="BI216" s="34"/>
      <c r="BJ216" s="34"/>
      <c r="BK216" s="34"/>
      <c r="BL216" s="34"/>
      <c r="BM216" s="37"/>
      <c r="BN216" s="34"/>
      <c r="BO216" s="34"/>
      <c r="BP216" s="34"/>
      <c r="BQ216" s="34"/>
      <c r="BR216" s="34"/>
      <c r="BS216" s="37"/>
      <c r="BT216" s="37"/>
      <c r="BU216" s="34"/>
      <c r="BV216" s="34"/>
      <c r="BW216" s="34"/>
      <c r="BX216" s="37"/>
      <c r="BY216" s="34"/>
      <c r="BZ216" s="36"/>
      <c r="CA216" s="37"/>
      <c r="CB216" s="37"/>
      <c r="CC216" s="34"/>
      <c r="CD216" s="37"/>
      <c r="CE216" s="37"/>
      <c r="CF216" s="37"/>
      <c r="CG216" s="37"/>
      <c r="CH216" s="37"/>
      <c r="CI216" s="37"/>
      <c r="CJ216" s="34"/>
      <c r="CK216" s="37"/>
      <c r="CL216" s="34"/>
      <c r="CM216" s="37"/>
      <c r="CN216" s="37"/>
      <c r="CO216" s="37"/>
      <c r="CP216" s="34"/>
      <c r="CQ216" s="37"/>
      <c r="CR216" s="34"/>
      <c r="CS216" s="37"/>
      <c r="CT216" s="34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9"/>
      <c r="EB216" s="39"/>
      <c r="EC216" s="40"/>
    </row>
    <row r="217" spans="1:133">
      <c r="A217" s="44"/>
      <c r="B217" s="22"/>
      <c r="C217" s="20" t="s">
        <v>495</v>
      </c>
      <c r="D217" s="21" t="s">
        <v>491</v>
      </c>
      <c r="E217" s="21"/>
      <c r="F217" s="22" t="s">
        <v>496</v>
      </c>
      <c r="G217" s="23" t="str" cm="1">
        <f t="array" ref="G217">IFERROR(LOOKUP(2,1/(K217:GC217&lt;&gt;""),K$2:DQL$2),"")</f>
        <v>19-Aug</v>
      </c>
      <c r="H217" s="24" cm="1">
        <f t="array" ref="H217">IFERROR(_xlfn.XLOOKUP(TRUE,P217:ED217&lt;&gt;"",P217:ED217,,,-1)," ")</f>
        <v>22.2</v>
      </c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7"/>
      <c r="BF217" s="37"/>
      <c r="BG217" s="34">
        <v>22.2</v>
      </c>
      <c r="BH217" s="34"/>
      <c r="BI217" s="34"/>
      <c r="BJ217" s="34"/>
      <c r="BK217" s="34"/>
      <c r="BL217" s="34"/>
      <c r="BM217" s="37"/>
      <c r="BN217" s="34"/>
      <c r="BO217" s="34"/>
      <c r="BP217" s="34"/>
      <c r="BQ217" s="34"/>
      <c r="BR217" s="34"/>
      <c r="BS217" s="37"/>
      <c r="BT217" s="37"/>
      <c r="BU217" s="34"/>
      <c r="BV217" s="34"/>
      <c r="BW217" s="34"/>
      <c r="BX217" s="37"/>
      <c r="BY217" s="34"/>
      <c r="BZ217" s="36"/>
      <c r="CA217" s="37"/>
      <c r="CB217" s="37"/>
      <c r="CC217" s="34"/>
      <c r="CD217" s="37"/>
      <c r="CE217" s="37"/>
      <c r="CF217" s="37"/>
      <c r="CG217" s="37"/>
      <c r="CH217" s="37"/>
      <c r="CI217" s="37"/>
      <c r="CJ217" s="34"/>
      <c r="CK217" s="37"/>
      <c r="CL217" s="34"/>
      <c r="CM217" s="37"/>
      <c r="CN217" s="37"/>
      <c r="CO217" s="37"/>
      <c r="CP217" s="34"/>
      <c r="CQ217" s="37"/>
      <c r="CR217" s="34"/>
      <c r="CS217" s="37"/>
      <c r="CT217" s="34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  <c r="DN217" s="37"/>
      <c r="DO217" s="37"/>
      <c r="DP217" s="37"/>
      <c r="DQ217" s="37"/>
      <c r="DR217" s="37"/>
      <c r="DS217" s="37"/>
      <c r="DT217" s="37"/>
      <c r="DU217" s="37"/>
      <c r="DV217" s="37"/>
      <c r="DW217" s="37"/>
      <c r="DX217" s="37"/>
      <c r="DY217" s="37"/>
      <c r="DZ217" s="37"/>
      <c r="EA217" s="39"/>
      <c r="EB217" s="39"/>
      <c r="EC217" s="40"/>
    </row>
    <row r="218" spans="1:133">
      <c r="A218" s="44"/>
      <c r="B218" s="22" t="s">
        <v>497</v>
      </c>
      <c r="C218" s="20" t="s">
        <v>498</v>
      </c>
      <c r="D218" s="21" t="s">
        <v>499</v>
      </c>
      <c r="E218" s="21"/>
      <c r="F218" s="22" t="s">
        <v>137</v>
      </c>
      <c r="G218" s="23" t="str" cm="1">
        <f t="array" ref="G218">IFERROR(LOOKUP(2,1/(K218:GC218&lt;&gt;""),K$2:DQL$2),"")</f>
        <v>22-Aug</v>
      </c>
      <c r="H218" s="24" cm="1">
        <f t="array" ref="H218">IFERROR(_xlfn.XLOOKUP(TRUE,P218:ED218&lt;&gt;"",P218:ED218,,,-1)," ")</f>
        <v>19</v>
      </c>
      <c r="I218" s="25">
        <v>22</v>
      </c>
      <c r="J218" s="25">
        <v>23</v>
      </c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34"/>
      <c r="AF218" s="34">
        <v>13.1</v>
      </c>
      <c r="AG218" s="34"/>
      <c r="AH218" s="34"/>
      <c r="AI218" s="34"/>
      <c r="AJ218" s="34"/>
      <c r="AK218" s="34"/>
      <c r="AL218" s="34"/>
      <c r="AM218" s="34"/>
      <c r="AN218" s="34">
        <v>15</v>
      </c>
      <c r="AO218" s="34"/>
      <c r="AP218" s="34"/>
      <c r="AQ218" s="34"/>
      <c r="AR218" s="34"/>
      <c r="AS218" s="34">
        <v>15.3</v>
      </c>
      <c r="AT218" s="34"/>
      <c r="AU218" s="34"/>
      <c r="AV218" s="34"/>
      <c r="AW218" s="34"/>
      <c r="AX218" s="34"/>
      <c r="AY218" s="34">
        <v>18.2</v>
      </c>
      <c r="AZ218" s="34"/>
      <c r="BA218" s="34"/>
      <c r="BB218" s="34"/>
      <c r="BC218" s="34"/>
      <c r="BD218" s="34"/>
      <c r="BE218" s="38">
        <v>19.3</v>
      </c>
      <c r="BF218" s="37"/>
      <c r="BG218" s="36"/>
      <c r="BH218" s="37"/>
      <c r="BI218" s="34"/>
      <c r="BJ218" s="38">
        <v>19</v>
      </c>
      <c r="BK218" s="37"/>
      <c r="BL218" s="37"/>
      <c r="BM218" s="37"/>
      <c r="BN218" s="37"/>
      <c r="BO218" s="38"/>
      <c r="BP218" s="37"/>
      <c r="BQ218" s="38"/>
      <c r="BR218" s="34"/>
      <c r="BS218" s="37"/>
      <c r="BT218" s="37"/>
      <c r="BU218" s="34"/>
      <c r="BV218" s="37"/>
      <c r="BW218" s="34"/>
      <c r="BX218" s="37"/>
      <c r="BY218" s="34"/>
      <c r="BZ218" s="34"/>
      <c r="CA218" s="37"/>
      <c r="CB218" s="37"/>
      <c r="CC218" s="34"/>
      <c r="CD218" s="37"/>
      <c r="CE218" s="37"/>
      <c r="CF218" s="37"/>
      <c r="CG218" s="37"/>
      <c r="CH218" s="37"/>
      <c r="CI218" s="37"/>
      <c r="CJ218" s="37"/>
      <c r="CK218" s="37"/>
      <c r="CL218" s="34"/>
      <c r="CM218" s="37"/>
      <c r="CN218" s="37"/>
      <c r="CO218" s="37"/>
      <c r="CP218" s="34"/>
      <c r="CQ218" s="37"/>
      <c r="CR218" s="37"/>
      <c r="CS218" s="37"/>
      <c r="CT218" s="34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  <c r="DN218" s="37"/>
      <c r="DO218" s="37"/>
      <c r="DP218" s="37"/>
      <c r="DQ218" s="37"/>
      <c r="DR218" s="37"/>
      <c r="DS218" s="37"/>
      <c r="DT218" s="37"/>
      <c r="DU218" s="37"/>
      <c r="DV218" s="37"/>
      <c r="DW218" s="37"/>
      <c r="DX218" s="37"/>
      <c r="DY218" s="37"/>
      <c r="DZ218" s="37"/>
      <c r="EA218" s="39"/>
      <c r="EB218" s="39"/>
      <c r="EC218" s="40"/>
    </row>
    <row r="219" spans="1:133" hidden="1">
      <c r="A219" s="44" t="s">
        <v>138</v>
      </c>
      <c r="B219" s="22" t="s">
        <v>500</v>
      </c>
      <c r="C219" s="20" t="s">
        <v>501</v>
      </c>
      <c r="D219" s="21" t="s">
        <v>502</v>
      </c>
      <c r="E219" s="21"/>
      <c r="F219" s="22" t="s">
        <v>261</v>
      </c>
      <c r="G219" s="23" t="str" cm="1">
        <f t="array" ref="G219">IFERROR(LOOKUP(2,1/(K219:GC219&lt;&gt;""),K$2:DQL$2),"")</f>
        <v>20-Jul</v>
      </c>
      <c r="H219" s="24" cm="1">
        <f t="array" ref="H219">IFERROR(_xlfn.XLOOKUP(TRUE,P219:ED219&lt;&gt;"",P219:ED219,,,-1)," ")</f>
        <v>21</v>
      </c>
      <c r="I219" s="25">
        <v>19</v>
      </c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>
        <v>19</v>
      </c>
      <c r="Y219" s="25"/>
      <c r="Z219" s="242">
        <v>18.899999999999999</v>
      </c>
      <c r="AA219" s="25"/>
      <c r="AB219" s="25"/>
      <c r="AC219" s="25">
        <v>21</v>
      </c>
      <c r="AD219" s="25"/>
      <c r="AE219" s="49"/>
      <c r="AF219" s="34"/>
      <c r="AG219" s="49"/>
      <c r="AH219" s="49"/>
      <c r="AI219" s="34"/>
      <c r="AJ219" s="49"/>
      <c r="AK219" s="34"/>
      <c r="AL219" s="49"/>
      <c r="AM219" s="49"/>
      <c r="AN219" s="49"/>
      <c r="AO219" s="34"/>
      <c r="AP219" s="49"/>
      <c r="AQ219" s="49"/>
      <c r="AR219" s="49"/>
      <c r="AS219" s="34"/>
      <c r="AT219" s="49"/>
      <c r="AU219" s="34"/>
      <c r="AV219" s="34"/>
      <c r="AW219" s="49"/>
      <c r="AX219" s="49"/>
      <c r="AY219" s="34"/>
      <c r="AZ219" s="49"/>
      <c r="BA219" s="49"/>
      <c r="BB219" s="49"/>
      <c r="BC219" s="49"/>
      <c r="BD219" s="49"/>
      <c r="BE219" s="39"/>
      <c r="BF219" s="39"/>
      <c r="BG219" s="4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49"/>
      <c r="BS219" s="39"/>
      <c r="BT219" s="39"/>
      <c r="BU219" s="49"/>
      <c r="BV219" s="39"/>
      <c r="BW219" s="49"/>
      <c r="BX219" s="39"/>
      <c r="BY219" s="49"/>
      <c r="BZ219" s="49"/>
      <c r="CA219" s="39"/>
      <c r="CB219" s="39"/>
      <c r="CC219" s="49"/>
      <c r="CD219" s="39"/>
      <c r="CE219" s="39"/>
      <c r="CF219" s="39"/>
      <c r="CG219" s="39"/>
      <c r="CH219" s="39"/>
      <c r="CI219" s="39"/>
      <c r="CJ219" s="39"/>
      <c r="CK219" s="39"/>
      <c r="CL219" s="49"/>
      <c r="CM219" s="39"/>
      <c r="CN219" s="39"/>
      <c r="CO219" s="39"/>
      <c r="CP219" s="49"/>
      <c r="CQ219" s="39"/>
      <c r="CR219" s="39"/>
      <c r="CS219" s="39"/>
      <c r="CT219" s="4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  <c r="DH219" s="39"/>
      <c r="DI219" s="39"/>
      <c r="DJ219" s="39"/>
      <c r="DK219" s="39"/>
      <c r="DL219" s="39"/>
      <c r="DM219" s="39"/>
      <c r="DN219" s="39"/>
      <c r="DO219" s="39"/>
      <c r="DP219" s="39"/>
      <c r="DQ219" s="39"/>
      <c r="DR219" s="39"/>
      <c r="DS219" s="39"/>
      <c r="DT219" s="39"/>
      <c r="DU219" s="39"/>
      <c r="DV219" s="39"/>
      <c r="DW219" s="39"/>
      <c r="DX219" s="39"/>
      <c r="DY219" s="39"/>
      <c r="DZ219" s="39"/>
      <c r="EA219" s="39"/>
      <c r="EB219" s="39"/>
      <c r="EC219" s="40"/>
    </row>
    <row r="220" spans="1:133" hidden="1">
      <c r="A220" s="44" t="s">
        <v>138</v>
      </c>
      <c r="B220" s="45" t="s">
        <v>503</v>
      </c>
      <c r="C220" s="20" t="s">
        <v>504</v>
      </c>
      <c r="D220" s="21" t="s">
        <v>502</v>
      </c>
      <c r="E220" s="21"/>
      <c r="F220" s="22" t="s">
        <v>505</v>
      </c>
      <c r="G220" s="23" t="str" cm="1">
        <f t="array" ref="G220">IFERROR(LOOKUP(2,1/(K220:GC220&lt;&gt;""),K$2:DQL$2),"")</f>
        <v>9-Jul</v>
      </c>
      <c r="H220" s="24" cm="1">
        <f t="array" ref="H220">IFERROR(_xlfn.XLOOKUP(TRUE,P220:ED220&lt;&gt;"",P220:ED220,,,-1)," ")</f>
        <v>16.3</v>
      </c>
      <c r="I220" s="25">
        <v>19</v>
      </c>
      <c r="J220" s="25"/>
      <c r="K220" s="25"/>
      <c r="L220" s="25"/>
      <c r="M220" s="25"/>
      <c r="N220" s="25"/>
      <c r="O220" s="25"/>
      <c r="P220" s="25"/>
      <c r="Q220" s="25"/>
      <c r="R220" s="25">
        <v>16.3</v>
      </c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34"/>
      <c r="AF220" s="35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7"/>
      <c r="BF220" s="37"/>
      <c r="BG220" s="34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4"/>
      <c r="BS220" s="37"/>
      <c r="BT220" s="37"/>
      <c r="BU220" s="34"/>
      <c r="BV220" s="37"/>
      <c r="BW220" s="34"/>
      <c r="BX220" s="37"/>
      <c r="BY220" s="34"/>
      <c r="BZ220" s="34"/>
      <c r="CA220" s="37"/>
      <c r="CB220" s="37"/>
      <c r="CC220" s="34"/>
      <c r="CD220" s="37"/>
      <c r="CE220" s="37"/>
      <c r="CF220" s="37"/>
      <c r="CG220" s="37"/>
      <c r="CH220" s="37"/>
      <c r="CI220" s="37"/>
      <c r="CJ220" s="37"/>
      <c r="CK220" s="37"/>
      <c r="CL220" s="34"/>
      <c r="CM220" s="37"/>
      <c r="CN220" s="37"/>
      <c r="CO220" s="37"/>
      <c r="CP220" s="34"/>
      <c r="CQ220" s="37"/>
      <c r="CR220" s="37"/>
      <c r="CS220" s="37"/>
      <c r="CT220" s="34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9"/>
      <c r="EB220" s="39"/>
      <c r="EC220" s="40"/>
    </row>
    <row r="221" spans="1:133" hidden="1">
      <c r="A221" s="44" t="s">
        <v>138</v>
      </c>
      <c r="B221" s="45" t="s">
        <v>503</v>
      </c>
      <c r="C221" s="20" t="s">
        <v>506</v>
      </c>
      <c r="D221" s="21" t="s">
        <v>502</v>
      </c>
      <c r="E221" s="21"/>
      <c r="F221" s="22" t="s">
        <v>505</v>
      </c>
      <c r="G221" s="23" t="str" cm="1">
        <f t="array" ref="G221">IFERROR(LOOKUP(2,1/(K221:GC221&lt;&gt;""),K$2:DQL$2),"")</f>
        <v>23-Jul</v>
      </c>
      <c r="H221" s="24" cm="1">
        <f t="array" ref="H221">IFERROR(_xlfn.XLOOKUP(TRUE,P221:ED221&lt;&gt;"",P221:ED221,,,-1)," ")</f>
        <v>21.3</v>
      </c>
      <c r="I221" s="25">
        <v>19</v>
      </c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>
        <v>20</v>
      </c>
      <c r="AE221" s="34"/>
      <c r="AF221" s="36">
        <v>21.3</v>
      </c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7"/>
      <c r="BF221" s="37"/>
      <c r="BG221" s="34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4"/>
      <c r="BS221" s="37"/>
      <c r="BT221" s="37"/>
      <c r="BU221" s="34"/>
      <c r="BV221" s="37"/>
      <c r="BW221" s="34"/>
      <c r="BX221" s="37"/>
      <c r="BY221" s="34"/>
      <c r="BZ221" s="36"/>
      <c r="CA221" s="37"/>
      <c r="CB221" s="37"/>
      <c r="CC221" s="34"/>
      <c r="CD221" s="37"/>
      <c r="CE221" s="37"/>
      <c r="CF221" s="37"/>
      <c r="CG221" s="37"/>
      <c r="CH221" s="37"/>
      <c r="CI221" s="37"/>
      <c r="CJ221" s="37"/>
      <c r="CK221" s="37"/>
      <c r="CL221" s="34"/>
      <c r="CM221" s="37"/>
      <c r="CN221" s="37"/>
      <c r="CO221" s="37"/>
      <c r="CP221" s="34"/>
      <c r="CQ221" s="37"/>
      <c r="CR221" s="37"/>
      <c r="CS221" s="37"/>
      <c r="CT221" s="34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9"/>
      <c r="EB221" s="39"/>
      <c r="EC221" s="40"/>
    </row>
    <row r="222" spans="1:133" hidden="1">
      <c r="A222" s="44" t="s">
        <v>138</v>
      </c>
      <c r="B222" s="45" t="s">
        <v>503</v>
      </c>
      <c r="C222" s="20" t="s">
        <v>507</v>
      </c>
      <c r="D222" s="21" t="s">
        <v>502</v>
      </c>
      <c r="E222" s="21"/>
      <c r="F222" s="22" t="s">
        <v>505</v>
      </c>
      <c r="G222" s="23" t="str" cm="1">
        <f t="array" ref="G222">IFERROR(LOOKUP(2,1/(K222:GC222&lt;&gt;""),K$2:DQL$2),"")</f>
        <v>23-Jul</v>
      </c>
      <c r="H222" s="24" cm="1">
        <f t="array" ref="H222">IFERROR(_xlfn.XLOOKUP(TRUE,P222:ED222&lt;&gt;"",P222:ED222,,,-1)," ")</f>
        <v>20.8</v>
      </c>
      <c r="I222" s="25">
        <v>19</v>
      </c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>
        <v>18.2</v>
      </c>
      <c r="X222" s="25"/>
      <c r="Y222" s="25"/>
      <c r="Z222" s="25"/>
      <c r="AA222" s="25"/>
      <c r="AB222" s="25"/>
      <c r="AC222" s="25"/>
      <c r="AD222" s="25">
        <v>20</v>
      </c>
      <c r="AE222" s="34"/>
      <c r="AF222" s="36">
        <v>20.8</v>
      </c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7"/>
      <c r="BF222" s="37"/>
      <c r="BG222" s="34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4"/>
      <c r="BS222" s="37"/>
      <c r="BT222" s="37"/>
      <c r="BU222" s="34"/>
      <c r="BV222" s="37"/>
      <c r="BW222" s="34"/>
      <c r="BX222" s="37"/>
      <c r="BY222" s="34"/>
      <c r="BZ222" s="36"/>
      <c r="CA222" s="37"/>
      <c r="CB222" s="37"/>
      <c r="CC222" s="34"/>
      <c r="CD222" s="37"/>
      <c r="CE222" s="37"/>
      <c r="CF222" s="37"/>
      <c r="CG222" s="37"/>
      <c r="CH222" s="37"/>
      <c r="CI222" s="37"/>
      <c r="CJ222" s="37"/>
      <c r="CK222" s="37"/>
      <c r="CL222" s="34"/>
      <c r="CM222" s="37"/>
      <c r="CN222" s="37"/>
      <c r="CO222" s="37"/>
      <c r="CP222" s="34"/>
      <c r="CQ222" s="37"/>
      <c r="CR222" s="37"/>
      <c r="CS222" s="37"/>
      <c r="CT222" s="34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9"/>
      <c r="EB222" s="39"/>
      <c r="EC222" s="40"/>
    </row>
    <row r="223" spans="1:133" hidden="1">
      <c r="A223" s="44" t="s">
        <v>138</v>
      </c>
      <c r="B223" s="45" t="s">
        <v>503</v>
      </c>
      <c r="C223" s="20" t="s">
        <v>508</v>
      </c>
      <c r="D223" s="21" t="s">
        <v>502</v>
      </c>
      <c r="E223" s="21"/>
      <c r="F223" s="22" t="s">
        <v>505</v>
      </c>
      <c r="G223" s="23" t="str" cm="1">
        <f t="array" ref="G223">IFERROR(LOOKUP(2,1/(K223:GC223&lt;&gt;""),K$2:DQL$2),"")</f>
        <v>23-Jul</v>
      </c>
      <c r="H223" s="24" cm="1">
        <f t="array" ref="H223">IFERROR(_xlfn.XLOOKUP(TRUE,P223:ED223&lt;&gt;"",P223:ED223,,,-1)," ")</f>
        <v>20.2</v>
      </c>
      <c r="I223" s="25">
        <v>19</v>
      </c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>
        <v>18</v>
      </c>
      <c r="X223" s="25"/>
      <c r="Y223" s="25"/>
      <c r="Z223" s="25"/>
      <c r="AA223" s="25"/>
      <c r="AB223" s="25"/>
      <c r="AC223" s="25"/>
      <c r="AD223" s="25">
        <v>19.3</v>
      </c>
      <c r="AE223" s="34"/>
      <c r="AF223" s="36">
        <v>20.2</v>
      </c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7"/>
      <c r="BF223" s="37"/>
      <c r="BG223" s="34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4"/>
      <c r="BS223" s="37"/>
      <c r="BT223" s="37"/>
      <c r="BU223" s="34"/>
      <c r="BV223" s="37"/>
      <c r="BW223" s="34"/>
      <c r="BX223" s="37"/>
      <c r="BY223" s="34"/>
      <c r="BZ223" s="36"/>
      <c r="CA223" s="37"/>
      <c r="CB223" s="37"/>
      <c r="CC223" s="34"/>
      <c r="CD223" s="37"/>
      <c r="CE223" s="37"/>
      <c r="CF223" s="37"/>
      <c r="CG223" s="37"/>
      <c r="CH223" s="37"/>
      <c r="CI223" s="37"/>
      <c r="CJ223" s="37"/>
      <c r="CK223" s="37"/>
      <c r="CL223" s="34"/>
      <c r="CM223" s="37"/>
      <c r="CN223" s="37"/>
      <c r="CO223" s="37"/>
      <c r="CP223" s="34"/>
      <c r="CQ223" s="37"/>
      <c r="CR223" s="37"/>
      <c r="CS223" s="37"/>
      <c r="CT223" s="34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/>
      <c r="DX223" s="37"/>
      <c r="DY223" s="37"/>
      <c r="DZ223" s="37"/>
      <c r="EA223" s="39"/>
      <c r="EB223" s="39"/>
      <c r="EC223" s="40"/>
    </row>
    <row r="224" spans="1:133" hidden="1">
      <c r="A224" s="44" t="s">
        <v>138</v>
      </c>
      <c r="B224" s="45" t="s">
        <v>509</v>
      </c>
      <c r="C224" s="20" t="s">
        <v>510</v>
      </c>
      <c r="D224" s="21" t="s">
        <v>502</v>
      </c>
      <c r="E224" s="21"/>
      <c r="F224" s="22" t="s">
        <v>137</v>
      </c>
      <c r="G224" s="23" t="str" cm="1">
        <f t="array" ref="G224">IFERROR(LOOKUP(2,1/(K224:GC224&lt;&gt;""),K$2:DQL$2),"")</f>
        <v>29-Jul</v>
      </c>
      <c r="H224" s="24" cm="1">
        <f t="array" ref="H224">IFERROR(_xlfn.XLOOKUP(TRUE,P224:ED224&lt;&gt;"",P224:ED224,,,-1)," ")</f>
        <v>20.5</v>
      </c>
      <c r="I224" s="25">
        <v>20</v>
      </c>
      <c r="J224" s="25">
        <v>21</v>
      </c>
      <c r="K224" s="25"/>
      <c r="L224" s="25"/>
      <c r="M224" s="25"/>
      <c r="N224" s="25"/>
      <c r="O224" s="25"/>
      <c r="P224" s="25"/>
      <c r="Q224" s="25"/>
      <c r="R224" s="25"/>
      <c r="S224" s="25">
        <v>15.4</v>
      </c>
      <c r="T224" s="25"/>
      <c r="U224" s="25"/>
      <c r="V224" s="25"/>
      <c r="W224" s="25"/>
      <c r="X224" s="25"/>
      <c r="Y224" s="25">
        <v>18</v>
      </c>
      <c r="Z224" s="25"/>
      <c r="AA224" s="25"/>
      <c r="AB224" s="25"/>
      <c r="AC224" s="25"/>
      <c r="AD224" s="25" t="s">
        <v>511</v>
      </c>
      <c r="AE224" s="34"/>
      <c r="AF224" s="35"/>
      <c r="AG224" s="34"/>
      <c r="AH224" s="36">
        <v>19.600000000000001</v>
      </c>
      <c r="AI224" s="34"/>
      <c r="AJ224" s="34"/>
      <c r="AK224" s="34"/>
      <c r="AL224" s="34">
        <v>20.5</v>
      </c>
      <c r="AM224" s="34"/>
      <c r="AN224" s="34"/>
      <c r="AO224" s="34"/>
      <c r="AP224" s="34"/>
      <c r="AQ224" s="34"/>
      <c r="AR224" s="34"/>
      <c r="AS224" s="36"/>
      <c r="AT224" s="34"/>
      <c r="AU224" s="34"/>
      <c r="AV224" s="34"/>
      <c r="AW224" s="34"/>
      <c r="AX224" s="34"/>
      <c r="AY224" s="36"/>
      <c r="AZ224" s="34"/>
      <c r="BA224" s="34"/>
      <c r="BB224" s="34"/>
      <c r="BC224" s="36"/>
      <c r="BD224" s="36"/>
      <c r="BE224" s="37"/>
      <c r="BF224" s="37"/>
      <c r="BG224" s="34"/>
      <c r="BH224" s="38"/>
      <c r="BI224" s="37"/>
      <c r="BJ224" s="37"/>
      <c r="BK224" s="37"/>
      <c r="BL224" s="37"/>
      <c r="BM224" s="37"/>
      <c r="BN224" s="37"/>
      <c r="BO224" s="37"/>
      <c r="BP224" s="37"/>
      <c r="BQ224" s="37"/>
      <c r="BR224" s="34"/>
      <c r="BS224" s="37"/>
      <c r="BT224" s="37"/>
      <c r="BU224" s="34"/>
      <c r="BV224" s="37"/>
      <c r="BW224" s="34"/>
      <c r="BX224" s="37"/>
      <c r="BY224" s="34"/>
      <c r="BZ224" s="36"/>
      <c r="CA224" s="37"/>
      <c r="CB224" s="37"/>
      <c r="CC224" s="34"/>
      <c r="CD224" s="37"/>
      <c r="CE224" s="37"/>
      <c r="CF224" s="37"/>
      <c r="CG224" s="37"/>
      <c r="CH224" s="37"/>
      <c r="CI224" s="37"/>
      <c r="CJ224" s="37"/>
      <c r="CK224" s="37"/>
      <c r="CL224" s="34"/>
      <c r="CM224" s="37"/>
      <c r="CN224" s="37"/>
      <c r="CO224" s="37"/>
      <c r="CP224" s="34"/>
      <c r="CQ224" s="37"/>
      <c r="CR224" s="37"/>
      <c r="CS224" s="37"/>
      <c r="CT224" s="34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9"/>
      <c r="EB224" s="39"/>
      <c r="EC224" s="40"/>
    </row>
    <row r="225" spans="1:133" hidden="1">
      <c r="A225" s="44" t="s">
        <v>138</v>
      </c>
      <c r="B225" s="45" t="s">
        <v>512</v>
      </c>
      <c r="C225" s="20" t="s">
        <v>513</v>
      </c>
      <c r="D225" s="21" t="s">
        <v>502</v>
      </c>
      <c r="E225" s="21"/>
      <c r="F225" s="22" t="s">
        <v>514</v>
      </c>
      <c r="G225" s="23" t="str" cm="1">
        <f t="array" ref="G225">IFERROR(LOOKUP(2,1/(K225:GC225&lt;&gt;""),K$2:DQL$2),"")</f>
        <v>29-Jul</v>
      </c>
      <c r="H225" s="24" t="str" cm="1">
        <f t="array" ref="H225">IFERROR(_xlfn.XLOOKUP(TRUE,P225:ED225&lt;&gt;"",P225:ED225,,,-1)," ")</f>
        <v>G-20.0</v>
      </c>
      <c r="I225" s="25">
        <v>21.5</v>
      </c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34"/>
      <c r="AF225" s="254">
        <v>19.899999999999999</v>
      </c>
      <c r="AG225" s="34"/>
      <c r="AH225" s="97">
        <v>18</v>
      </c>
      <c r="AI225" s="34"/>
      <c r="AJ225" s="34">
        <v>19.899999999999999</v>
      </c>
      <c r="AK225" s="257">
        <v>21.5</v>
      </c>
      <c r="AL225" s="257" t="s">
        <v>515</v>
      </c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7"/>
      <c r="BF225" s="37"/>
      <c r="BG225" s="34"/>
      <c r="BH225" s="37"/>
      <c r="BI225" s="37"/>
      <c r="BJ225" s="38"/>
      <c r="BK225" s="37"/>
      <c r="BL225" s="37"/>
      <c r="BM225" s="37"/>
      <c r="BN225" s="37"/>
      <c r="BO225" s="37"/>
      <c r="BP225" s="37"/>
      <c r="BQ225" s="37"/>
      <c r="BR225" s="34"/>
      <c r="BS225" s="37"/>
      <c r="BT225" s="37"/>
      <c r="BU225" s="34"/>
      <c r="BV225" s="37"/>
      <c r="BW225" s="34"/>
      <c r="BX225" s="37"/>
      <c r="BY225" s="34"/>
      <c r="BZ225" s="34"/>
      <c r="CA225" s="37"/>
      <c r="CB225" s="37"/>
      <c r="CC225" s="34"/>
      <c r="CD225" s="37"/>
      <c r="CE225" s="37"/>
      <c r="CF225" s="37"/>
      <c r="CG225" s="37"/>
      <c r="CH225" s="37"/>
      <c r="CI225" s="37"/>
      <c r="CJ225" s="37"/>
      <c r="CK225" s="37"/>
      <c r="CL225" s="34"/>
      <c r="CM225" s="37"/>
      <c r="CN225" s="37"/>
      <c r="CO225" s="37"/>
      <c r="CP225" s="34"/>
      <c r="CQ225" s="37"/>
      <c r="CR225" s="37"/>
      <c r="CS225" s="37"/>
      <c r="CT225" s="34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7"/>
      <c r="DR225" s="37"/>
      <c r="DS225" s="37"/>
      <c r="DT225" s="37"/>
      <c r="DU225" s="37"/>
      <c r="DV225" s="37"/>
      <c r="DW225" s="37"/>
      <c r="DX225" s="37"/>
      <c r="DY225" s="37"/>
      <c r="DZ225" s="37"/>
      <c r="EA225" s="39"/>
      <c r="EB225" s="39"/>
      <c r="EC225" s="40"/>
    </row>
    <row r="226" spans="1:133" hidden="1">
      <c r="A226" s="44" t="s">
        <v>138</v>
      </c>
      <c r="B226" s="45" t="s">
        <v>516</v>
      </c>
      <c r="C226" s="20" t="s">
        <v>517</v>
      </c>
      <c r="D226" s="21" t="s">
        <v>502</v>
      </c>
      <c r="E226" s="21"/>
      <c r="F226" s="22" t="s">
        <v>137</v>
      </c>
      <c r="G226" s="23" t="str" cm="1">
        <f t="array" ref="G226">IFERROR(LOOKUP(2,1/(K226:GC226&lt;&gt;""),K$2:DQL$2),"")</f>
        <v>4-Aug</v>
      </c>
      <c r="H226" s="227" cm="1">
        <f t="array" ref="H226">IFERROR(_xlfn.XLOOKUP(TRUE,P226:ED226&lt;&gt;"",P226:ED226,,,-1)," ")</f>
        <v>22.6</v>
      </c>
      <c r="I226" s="25">
        <v>20</v>
      </c>
      <c r="J226" s="25">
        <v>21</v>
      </c>
      <c r="K226" s="25"/>
      <c r="L226" s="25"/>
      <c r="M226" s="25"/>
      <c r="N226" s="25"/>
      <c r="O226" s="25"/>
      <c r="P226" s="25"/>
      <c r="Q226" s="25"/>
      <c r="R226" s="25"/>
      <c r="S226" s="25">
        <v>15.7</v>
      </c>
      <c r="T226" s="25"/>
      <c r="U226" s="25"/>
      <c r="V226" s="25"/>
      <c r="W226" s="25"/>
      <c r="X226" s="25"/>
      <c r="Y226" s="25"/>
      <c r="Z226" s="25">
        <v>19</v>
      </c>
      <c r="AA226" s="25"/>
      <c r="AB226" s="25"/>
      <c r="AC226" s="25"/>
      <c r="AD226" s="217">
        <v>19.5</v>
      </c>
      <c r="AE226" s="34"/>
      <c r="AF226" s="35"/>
      <c r="AG226" s="34"/>
      <c r="AH226" s="36">
        <v>20.2</v>
      </c>
      <c r="AI226" s="34"/>
      <c r="AJ226" s="34"/>
      <c r="AK226" s="36">
        <v>21.1</v>
      </c>
      <c r="AL226" s="34"/>
      <c r="AM226" s="36">
        <v>20.2</v>
      </c>
      <c r="AN226" s="34"/>
      <c r="AO226" s="34"/>
      <c r="AP226" s="34"/>
      <c r="AQ226" s="34"/>
      <c r="AR226" s="36">
        <v>22.6</v>
      </c>
      <c r="AS226" s="34"/>
      <c r="AT226" s="34"/>
      <c r="AU226" s="34"/>
      <c r="AV226" s="34"/>
      <c r="AW226" s="36"/>
      <c r="AX226" s="34"/>
      <c r="AY226" s="34"/>
      <c r="AZ226" s="34"/>
      <c r="BA226" s="36"/>
      <c r="BB226" s="34"/>
      <c r="BC226" s="34"/>
      <c r="BD226" s="34"/>
      <c r="BE226" s="37"/>
      <c r="BF226" s="38"/>
      <c r="BG226" s="34"/>
      <c r="BH226" s="37"/>
      <c r="BI226" s="37"/>
      <c r="BJ226" s="37"/>
      <c r="BK226" s="37"/>
      <c r="BL226" s="37"/>
      <c r="BM226" s="38"/>
      <c r="BN226" s="37"/>
      <c r="BO226" s="37"/>
      <c r="BP226" s="37"/>
      <c r="BQ226" s="37"/>
      <c r="BR226" s="34"/>
      <c r="BS226" s="37"/>
      <c r="BT226" s="37"/>
      <c r="BU226" s="34"/>
      <c r="BV226" s="37"/>
      <c r="BW226" s="34"/>
      <c r="BX226" s="37"/>
      <c r="BY226" s="34"/>
      <c r="BZ226" s="36"/>
      <c r="CA226" s="37"/>
      <c r="CB226" s="37"/>
      <c r="CC226" s="34"/>
      <c r="CD226" s="37"/>
      <c r="CE226" s="37"/>
      <c r="CF226" s="37"/>
      <c r="CG226" s="37"/>
      <c r="CH226" s="37"/>
      <c r="CI226" s="37"/>
      <c r="CJ226" s="37"/>
      <c r="CK226" s="37"/>
      <c r="CL226" s="34"/>
      <c r="CM226" s="37"/>
      <c r="CN226" s="37"/>
      <c r="CO226" s="37"/>
      <c r="CP226" s="34"/>
      <c r="CQ226" s="37"/>
      <c r="CR226" s="37"/>
      <c r="CS226" s="37"/>
      <c r="CT226" s="34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7"/>
      <c r="DR226" s="37"/>
      <c r="DS226" s="37"/>
      <c r="DT226" s="37"/>
      <c r="DU226" s="37"/>
      <c r="DV226" s="37"/>
      <c r="DW226" s="37"/>
      <c r="DX226" s="37"/>
      <c r="DY226" s="37"/>
      <c r="DZ226" s="37"/>
      <c r="EA226" s="39"/>
      <c r="EB226" s="39"/>
      <c r="EC226" s="40"/>
    </row>
    <row r="227" spans="1:133" hidden="1">
      <c r="A227" s="44" t="s">
        <v>138</v>
      </c>
      <c r="B227" s="45" t="s">
        <v>516</v>
      </c>
      <c r="C227" s="20" t="s">
        <v>518</v>
      </c>
      <c r="D227" s="21" t="s">
        <v>502</v>
      </c>
      <c r="E227" s="21"/>
      <c r="F227" s="22" t="s">
        <v>137</v>
      </c>
      <c r="G227" s="23" t="str" cm="1">
        <f t="array" ref="G227">IFERROR(LOOKUP(2,1/(K227:GC227&lt;&gt;""),K$2:DQL$2),"")</f>
        <v>4-Aug</v>
      </c>
      <c r="H227" s="227" cm="1">
        <f t="array" ref="H227">IFERROR(_xlfn.XLOOKUP(TRUE,P227:ED227&lt;&gt;"",P227:ED227,,,-1)," ")</f>
        <v>22.8</v>
      </c>
      <c r="I227" s="25">
        <v>20</v>
      </c>
      <c r="J227" s="25">
        <v>21</v>
      </c>
      <c r="K227" s="25"/>
      <c r="L227" s="25"/>
      <c r="M227" s="25"/>
      <c r="N227" s="25"/>
      <c r="O227" s="25"/>
      <c r="P227" s="25"/>
      <c r="Q227" s="25"/>
      <c r="R227" s="25"/>
      <c r="S227" s="25">
        <v>16.7</v>
      </c>
      <c r="T227" s="25"/>
      <c r="U227" s="25"/>
      <c r="V227" s="25"/>
      <c r="W227" s="25"/>
      <c r="X227" s="25"/>
      <c r="Y227" s="25"/>
      <c r="Z227" s="25">
        <v>19.100000000000001</v>
      </c>
      <c r="AA227" s="25"/>
      <c r="AB227" s="25"/>
      <c r="AC227" s="25"/>
      <c r="AD227" s="217">
        <v>18.7</v>
      </c>
      <c r="AE227" s="34"/>
      <c r="AF227" s="35"/>
      <c r="AG227" s="34"/>
      <c r="AH227" s="36">
        <v>20.2</v>
      </c>
      <c r="AI227" s="34"/>
      <c r="AJ227" s="34"/>
      <c r="AK227" s="36">
        <v>20.2</v>
      </c>
      <c r="AL227" s="34"/>
      <c r="AM227" s="36">
        <v>19.600000000000001</v>
      </c>
      <c r="AN227" s="34"/>
      <c r="AO227" s="34"/>
      <c r="AP227" s="34"/>
      <c r="AQ227" s="34"/>
      <c r="AR227" s="36">
        <v>22.8</v>
      </c>
      <c r="AS227" s="34"/>
      <c r="AT227" s="63"/>
      <c r="AU227" s="36"/>
      <c r="AV227" s="34"/>
      <c r="AW227" s="36"/>
      <c r="AX227" s="34"/>
      <c r="AY227" s="34"/>
      <c r="AZ227" s="34"/>
      <c r="BA227" s="34"/>
      <c r="BB227" s="34"/>
      <c r="BC227" s="34"/>
      <c r="BD227" s="34"/>
      <c r="BE227" s="37"/>
      <c r="BF227" s="37"/>
      <c r="BG227" s="34"/>
      <c r="BH227" s="37"/>
      <c r="BI227" s="37"/>
      <c r="BJ227" s="37"/>
      <c r="BK227" s="37"/>
      <c r="BL227" s="37"/>
      <c r="BM227" s="38"/>
      <c r="BN227" s="37"/>
      <c r="BO227" s="37"/>
      <c r="BP227" s="37"/>
      <c r="BQ227" s="37"/>
      <c r="BR227" s="34"/>
      <c r="BS227" s="37"/>
      <c r="BT227" s="37"/>
      <c r="BU227" s="34"/>
      <c r="BV227" s="37"/>
      <c r="BW227" s="34"/>
      <c r="BX227" s="37"/>
      <c r="BY227" s="34"/>
      <c r="BZ227" s="34"/>
      <c r="CA227" s="37"/>
      <c r="CB227" s="37"/>
      <c r="CC227" s="34"/>
      <c r="CD227" s="37"/>
      <c r="CE227" s="37"/>
      <c r="CF227" s="37"/>
      <c r="CG227" s="37"/>
      <c r="CH227" s="37"/>
      <c r="CI227" s="37"/>
      <c r="CJ227" s="37"/>
      <c r="CK227" s="37"/>
      <c r="CL227" s="34"/>
      <c r="CM227" s="37"/>
      <c r="CN227" s="37"/>
      <c r="CO227" s="37"/>
      <c r="CP227" s="34"/>
      <c r="CQ227" s="37"/>
      <c r="CR227" s="37"/>
      <c r="CS227" s="37"/>
      <c r="CT227" s="34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37"/>
      <c r="DK227" s="37"/>
      <c r="DL227" s="37"/>
      <c r="DM227" s="37"/>
      <c r="DN227" s="37"/>
      <c r="DO227" s="37"/>
      <c r="DP227" s="37"/>
      <c r="DQ227" s="37"/>
      <c r="DR227" s="37"/>
      <c r="DS227" s="37"/>
      <c r="DT227" s="37"/>
      <c r="DU227" s="37"/>
      <c r="DV227" s="37"/>
      <c r="DW227" s="37"/>
      <c r="DX227" s="37"/>
      <c r="DY227" s="37"/>
      <c r="DZ227" s="37"/>
      <c r="EA227" s="39"/>
      <c r="EB227" s="39"/>
      <c r="EC227" s="40"/>
    </row>
    <row r="228" spans="1:133" hidden="1">
      <c r="A228" s="44" t="s">
        <v>138</v>
      </c>
      <c r="B228" s="45" t="s">
        <v>519</v>
      </c>
      <c r="C228" s="20" t="s">
        <v>520</v>
      </c>
      <c r="D228" s="21" t="s">
        <v>502</v>
      </c>
      <c r="E228" s="21"/>
      <c r="F228" s="22" t="s">
        <v>521</v>
      </c>
      <c r="G228" s="23" t="str" cm="1">
        <f t="array" ref="G228">IFERROR(LOOKUP(2,1/(K228:GC228&lt;&gt;""),K$2:DQL$2),"")</f>
        <v>22-Jul</v>
      </c>
      <c r="H228" s="24" cm="1">
        <f t="array" ref="H228">IFERROR(_xlfn.XLOOKUP(TRUE,P228:ED228&lt;&gt;"",P228:ED228,,,-1)," ")</f>
        <v>22.1</v>
      </c>
      <c r="I228" s="25">
        <v>20</v>
      </c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>
        <v>19</v>
      </c>
      <c r="Y228" s="25"/>
      <c r="Z228" s="25"/>
      <c r="AA228" s="25"/>
      <c r="AB228" s="25"/>
      <c r="AC228" s="25"/>
      <c r="AD228" s="25"/>
      <c r="AE228" s="34">
        <v>22.1</v>
      </c>
      <c r="AF228" s="35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7"/>
      <c r="BF228" s="37"/>
      <c r="BG228" s="34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4"/>
      <c r="BS228" s="37"/>
      <c r="BT228" s="37"/>
      <c r="BU228" s="34"/>
      <c r="BV228" s="37"/>
      <c r="BW228" s="34"/>
      <c r="BX228" s="37"/>
      <c r="BY228" s="34"/>
      <c r="BZ228" s="36"/>
      <c r="CA228" s="37"/>
      <c r="CB228" s="37"/>
      <c r="CC228" s="34"/>
      <c r="CD228" s="37"/>
      <c r="CE228" s="37"/>
      <c r="CF228" s="37"/>
      <c r="CG228" s="37"/>
      <c r="CH228" s="37"/>
      <c r="CI228" s="37"/>
      <c r="CJ228" s="37"/>
      <c r="CK228" s="37"/>
      <c r="CL228" s="34"/>
      <c r="CM228" s="37"/>
      <c r="CN228" s="37"/>
      <c r="CO228" s="37"/>
      <c r="CP228" s="34"/>
      <c r="CQ228" s="37"/>
      <c r="CR228" s="37"/>
      <c r="CS228" s="37"/>
      <c r="CT228" s="34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7"/>
      <c r="DR228" s="37"/>
      <c r="DS228" s="37"/>
      <c r="DT228" s="37"/>
      <c r="DU228" s="37"/>
      <c r="DV228" s="37"/>
      <c r="DW228" s="37"/>
      <c r="DX228" s="37"/>
      <c r="DY228" s="37"/>
      <c r="DZ228" s="37"/>
      <c r="EA228" s="39"/>
      <c r="EB228" s="39"/>
      <c r="EC228" s="40"/>
    </row>
    <row r="229" spans="1:133" hidden="1">
      <c r="A229" s="44" t="s">
        <v>138</v>
      </c>
      <c r="B229" s="45" t="s">
        <v>522</v>
      </c>
      <c r="C229" s="20" t="s">
        <v>523</v>
      </c>
      <c r="D229" s="21" t="s">
        <v>502</v>
      </c>
      <c r="E229" s="21"/>
      <c r="F229" s="22" t="s">
        <v>198</v>
      </c>
      <c r="G229" s="23" t="str" cm="1">
        <f t="array" ref="G229">IFERROR(LOOKUP(2,1/(K229:GC229&lt;&gt;""),K$2:DQL$2),"")</f>
        <v>31-Jul</v>
      </c>
      <c r="H229" s="24" cm="1">
        <f t="array" ref="H229">IFERROR(_xlfn.XLOOKUP(TRUE,P229:ED229&lt;&gt;"",P229:ED229,,,-1)," ")</f>
        <v>21</v>
      </c>
      <c r="I229" s="25">
        <v>22</v>
      </c>
      <c r="J229" s="25">
        <v>21</v>
      </c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>
        <v>17.899999999999999</v>
      </c>
      <c r="AA229" s="25"/>
      <c r="AB229" s="25"/>
      <c r="AC229" s="25"/>
      <c r="AD229" s="25"/>
      <c r="AE229" s="34"/>
      <c r="AF229" s="35"/>
      <c r="AG229" s="34">
        <v>19.600000000000001</v>
      </c>
      <c r="AH229" s="34"/>
      <c r="AI229" s="34"/>
      <c r="AJ229" s="34"/>
      <c r="AK229" s="34"/>
      <c r="AL229" s="34"/>
      <c r="AM229" s="34"/>
      <c r="AN229" s="34">
        <v>21</v>
      </c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7"/>
      <c r="BF229" s="37"/>
      <c r="BG229" s="34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4"/>
      <c r="BS229" s="37"/>
      <c r="BT229" s="37"/>
      <c r="BU229" s="34"/>
      <c r="BV229" s="37"/>
      <c r="BW229" s="34"/>
      <c r="BX229" s="37"/>
      <c r="BY229" s="34"/>
      <c r="BZ229" s="34"/>
      <c r="CA229" s="37"/>
      <c r="CB229" s="37"/>
      <c r="CC229" s="34"/>
      <c r="CD229" s="37"/>
      <c r="CE229" s="37"/>
      <c r="CF229" s="37"/>
      <c r="CG229" s="37"/>
      <c r="CH229" s="37"/>
      <c r="CI229" s="37"/>
      <c r="CJ229" s="37"/>
      <c r="CK229" s="37"/>
      <c r="CL229" s="34"/>
      <c r="CM229" s="37"/>
      <c r="CN229" s="37"/>
      <c r="CO229" s="37"/>
      <c r="CP229" s="34"/>
      <c r="CQ229" s="37"/>
      <c r="CR229" s="37"/>
      <c r="CS229" s="37"/>
      <c r="CT229" s="34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  <c r="DM229" s="37"/>
      <c r="DN229" s="37"/>
      <c r="DO229" s="37"/>
      <c r="DP229" s="37"/>
      <c r="DQ229" s="37"/>
      <c r="DR229" s="37"/>
      <c r="DS229" s="37"/>
      <c r="DT229" s="37"/>
      <c r="DU229" s="37"/>
      <c r="DV229" s="37"/>
      <c r="DW229" s="37"/>
      <c r="DX229" s="37"/>
      <c r="DY229" s="37"/>
      <c r="DZ229" s="37"/>
      <c r="EA229" s="39"/>
      <c r="EB229" s="39"/>
      <c r="EC229" s="40"/>
    </row>
    <row r="230" spans="1:133" hidden="1">
      <c r="A230" s="44" t="s">
        <v>138</v>
      </c>
      <c r="B230" s="45" t="s">
        <v>524</v>
      </c>
      <c r="C230" s="20" t="s">
        <v>525</v>
      </c>
      <c r="D230" s="21" t="s">
        <v>502</v>
      </c>
      <c r="E230" s="21"/>
      <c r="F230" s="22" t="s">
        <v>526</v>
      </c>
      <c r="G230" s="23" t="str" cm="1">
        <f t="array" ref="G230">IFERROR(LOOKUP(2,1/(K230:GC230&lt;&gt;""),K$2:DQL$2),"")</f>
        <v>20-Jul</v>
      </c>
      <c r="H230" s="24" cm="1">
        <f t="array" ref="H230">IFERROR(_xlfn.XLOOKUP(TRUE,P230:ED230&lt;&gt;"",P230:ED230,,,-1)," ")</f>
        <v>18.399999999999999</v>
      </c>
      <c r="I230" s="25">
        <v>20</v>
      </c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>
        <v>18.399999999999999</v>
      </c>
      <c r="AD230" s="25"/>
      <c r="AE230" s="34"/>
      <c r="AF230" s="35"/>
      <c r="AG230" s="34"/>
      <c r="AH230" s="34"/>
      <c r="AI230" s="34"/>
      <c r="AJ230" s="34"/>
      <c r="AK230" s="34"/>
      <c r="AL230" s="34"/>
      <c r="AM230" s="34"/>
      <c r="AN230" s="34"/>
      <c r="AO230" s="34"/>
      <c r="AP230" s="36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7"/>
      <c r="BF230" s="37"/>
      <c r="BG230" s="34"/>
      <c r="BH230" s="37"/>
      <c r="BI230" s="37"/>
      <c r="BJ230" s="37"/>
      <c r="BK230" s="37"/>
      <c r="BL230" s="37"/>
      <c r="BM230" s="38"/>
      <c r="BN230" s="37"/>
      <c r="BO230" s="37"/>
      <c r="BP230" s="37"/>
      <c r="BQ230" s="37"/>
      <c r="BR230" s="34"/>
      <c r="BS230" s="37"/>
      <c r="BT230" s="37"/>
      <c r="BU230" s="34"/>
      <c r="BV230" s="37"/>
      <c r="BW230" s="34"/>
      <c r="BX230" s="37"/>
      <c r="BY230" s="34"/>
      <c r="BZ230" s="34"/>
      <c r="CA230" s="37"/>
      <c r="CB230" s="37"/>
      <c r="CC230" s="34"/>
      <c r="CD230" s="37"/>
      <c r="CE230" s="37"/>
      <c r="CF230" s="37"/>
      <c r="CG230" s="37"/>
      <c r="CH230" s="37"/>
      <c r="CI230" s="37"/>
      <c r="CJ230" s="37"/>
      <c r="CK230" s="37"/>
      <c r="CL230" s="34"/>
      <c r="CM230" s="37"/>
      <c r="CN230" s="37"/>
      <c r="CO230" s="37"/>
      <c r="CP230" s="34"/>
      <c r="CQ230" s="37"/>
      <c r="CR230" s="37"/>
      <c r="CS230" s="37"/>
      <c r="CT230" s="34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  <c r="DM230" s="37"/>
      <c r="DN230" s="37"/>
      <c r="DO230" s="37"/>
      <c r="DP230" s="37"/>
      <c r="DQ230" s="37"/>
      <c r="DR230" s="37"/>
      <c r="DS230" s="37"/>
      <c r="DT230" s="37"/>
      <c r="DU230" s="37"/>
      <c r="DV230" s="37"/>
      <c r="DW230" s="37"/>
      <c r="DX230" s="37"/>
      <c r="DY230" s="37"/>
      <c r="DZ230" s="37"/>
      <c r="EA230" s="39"/>
      <c r="EB230" s="39"/>
      <c r="EC230" s="40"/>
    </row>
    <row r="231" spans="1:133" hidden="1">
      <c r="A231" s="44" t="s">
        <v>138</v>
      </c>
      <c r="B231" s="22" t="s">
        <v>527</v>
      </c>
      <c r="C231" s="20" t="s">
        <v>528</v>
      </c>
      <c r="D231" s="21" t="s">
        <v>529</v>
      </c>
      <c r="E231" s="21"/>
      <c r="F231" s="22" t="s">
        <v>137</v>
      </c>
      <c r="G231" s="23" t="str" cm="1">
        <f t="array" ref="G231">IFERROR(LOOKUP(2,1/(K231:GC231&lt;&gt;""),K$2:DQL$2),"")</f>
        <v>28-Jul</v>
      </c>
      <c r="H231" s="24" cm="1">
        <f t="array" ref="H231">IFERROR(_xlfn.XLOOKUP(TRUE,P231:ED231&lt;&gt;"",P231:ED231,,,-1)," ")</f>
        <v>23</v>
      </c>
      <c r="I231" s="25">
        <v>19</v>
      </c>
      <c r="J231" s="26">
        <v>21</v>
      </c>
      <c r="K231" s="26"/>
      <c r="L231" s="26"/>
      <c r="M231" s="26"/>
      <c r="N231" s="26"/>
      <c r="O231" s="26"/>
      <c r="P231" s="26"/>
      <c r="Q231" s="26"/>
      <c r="R231" s="26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34"/>
      <c r="AF231" s="35"/>
      <c r="AG231" s="34"/>
      <c r="AH231" s="34"/>
      <c r="AI231" s="34"/>
      <c r="AJ231" s="34"/>
      <c r="AK231" s="34">
        <v>23</v>
      </c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6"/>
      <c r="AX231" s="34"/>
      <c r="AY231" s="34"/>
      <c r="AZ231" s="36"/>
      <c r="BA231" s="34"/>
      <c r="BB231" s="34"/>
      <c r="BC231" s="34"/>
      <c r="BD231" s="34"/>
      <c r="BE231" s="37"/>
      <c r="BF231" s="37"/>
      <c r="BG231" s="34"/>
      <c r="BH231" s="37"/>
      <c r="BI231" s="34"/>
      <c r="BJ231" s="34"/>
      <c r="BK231" s="38"/>
      <c r="BL231" s="37"/>
      <c r="BM231" s="37"/>
      <c r="BN231" s="37"/>
      <c r="BO231" s="37"/>
      <c r="BP231" s="37"/>
      <c r="BQ231" s="37"/>
      <c r="BR231" s="34"/>
      <c r="BS231" s="37"/>
      <c r="BT231" s="37"/>
      <c r="BU231" s="34"/>
      <c r="BV231" s="37"/>
      <c r="BW231" s="34"/>
      <c r="BX231" s="37"/>
      <c r="BY231" s="34"/>
      <c r="BZ231" s="36"/>
      <c r="CA231" s="37"/>
      <c r="CB231" s="37"/>
      <c r="CC231" s="34"/>
      <c r="CD231" s="37"/>
      <c r="CE231" s="37"/>
      <c r="CF231" s="37"/>
      <c r="CG231" s="37"/>
      <c r="CH231" s="37"/>
      <c r="CI231" s="37"/>
      <c r="CJ231" s="37"/>
      <c r="CK231" s="37"/>
      <c r="CL231" s="34"/>
      <c r="CM231" s="37"/>
      <c r="CN231" s="37"/>
      <c r="CO231" s="37"/>
      <c r="CP231" s="34"/>
      <c r="CQ231" s="37"/>
      <c r="CR231" s="37"/>
      <c r="CS231" s="37"/>
      <c r="CT231" s="34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  <c r="DM231" s="37"/>
      <c r="DN231" s="37"/>
      <c r="DO231" s="37"/>
      <c r="DP231" s="37"/>
      <c r="DQ231" s="37"/>
      <c r="DR231" s="37"/>
      <c r="DS231" s="37"/>
      <c r="DT231" s="37"/>
      <c r="DU231" s="37"/>
      <c r="DV231" s="37"/>
      <c r="DW231" s="37"/>
      <c r="DX231" s="37"/>
      <c r="DY231" s="37"/>
      <c r="DZ231" s="37"/>
      <c r="EA231" s="39"/>
      <c r="EB231" s="39"/>
      <c r="EC231" s="40"/>
    </row>
    <row r="232" spans="1:133" hidden="1">
      <c r="A232" s="44" t="s">
        <v>138</v>
      </c>
      <c r="B232" s="22" t="s">
        <v>530</v>
      </c>
      <c r="C232" s="20" t="s">
        <v>531</v>
      </c>
      <c r="D232" s="21" t="s">
        <v>529</v>
      </c>
      <c r="E232" s="21"/>
      <c r="F232" s="22" t="s">
        <v>137</v>
      </c>
      <c r="G232" s="23" t="str" cm="1">
        <f t="array" ref="G232">IFERROR(LOOKUP(2,1/(K232:GC232&lt;&gt;""),K$2:DQL$2),"")</f>
        <v>1-Aug</v>
      </c>
      <c r="H232" s="24" cm="1">
        <f t="array" ref="H232">IFERROR(_xlfn.XLOOKUP(TRUE,P232:ED232&lt;&gt;"",P232:ED232,,,-1)," ")</f>
        <v>22.5</v>
      </c>
      <c r="I232" s="25">
        <v>21</v>
      </c>
      <c r="J232" s="25">
        <v>22</v>
      </c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>
        <v>15.4</v>
      </c>
      <c r="X232" s="25"/>
      <c r="Y232" s="25"/>
      <c r="Z232" s="25"/>
      <c r="AA232" s="25"/>
      <c r="AB232" s="25"/>
      <c r="AC232" s="25">
        <v>18.2</v>
      </c>
      <c r="AD232" s="25"/>
      <c r="AE232" s="34"/>
      <c r="AF232" s="36">
        <v>19</v>
      </c>
      <c r="AG232" s="34"/>
      <c r="AH232" s="34"/>
      <c r="AI232" s="34"/>
      <c r="AJ232" s="34"/>
      <c r="AK232" s="36">
        <v>20.3</v>
      </c>
      <c r="AL232" s="34"/>
      <c r="AM232" s="34"/>
      <c r="AN232" s="34"/>
      <c r="AO232" s="36">
        <v>22.5</v>
      </c>
      <c r="AP232" s="34"/>
      <c r="AQ232" s="34"/>
      <c r="AR232" s="34"/>
      <c r="AS232" s="34"/>
      <c r="AT232" s="34"/>
      <c r="AU232" s="34"/>
      <c r="AV232" s="34"/>
      <c r="AW232" s="34"/>
      <c r="AX232" s="34"/>
      <c r="AY232" s="36"/>
      <c r="AZ232" s="34"/>
      <c r="BA232" s="36"/>
      <c r="BB232" s="34"/>
      <c r="BC232" s="34"/>
      <c r="BD232" s="34"/>
      <c r="BE232" s="37"/>
      <c r="BF232" s="37"/>
      <c r="BG232" s="34"/>
      <c r="BH232" s="38"/>
      <c r="BI232" s="34"/>
      <c r="BJ232" s="34"/>
      <c r="BK232" s="37"/>
      <c r="BL232" s="38"/>
      <c r="BM232" s="37"/>
      <c r="BN232" s="37"/>
      <c r="BO232" s="37"/>
      <c r="BP232" s="37"/>
      <c r="BQ232" s="37"/>
      <c r="BR232" s="34"/>
      <c r="BS232" s="37"/>
      <c r="BT232" s="37"/>
      <c r="BU232" s="34"/>
      <c r="BV232" s="37"/>
      <c r="BW232" s="34"/>
      <c r="BX232" s="37"/>
      <c r="BY232" s="34"/>
      <c r="BZ232" s="36"/>
      <c r="CA232" s="37"/>
      <c r="CB232" s="37"/>
      <c r="CC232" s="34"/>
      <c r="CD232" s="37"/>
      <c r="CE232" s="37"/>
      <c r="CF232" s="37"/>
      <c r="CG232" s="37"/>
      <c r="CH232" s="37"/>
      <c r="CI232" s="37"/>
      <c r="CJ232" s="37"/>
      <c r="CK232" s="37"/>
      <c r="CL232" s="34"/>
      <c r="CM232" s="37"/>
      <c r="CN232" s="37"/>
      <c r="CO232" s="37"/>
      <c r="CP232" s="34"/>
      <c r="CQ232" s="37"/>
      <c r="CR232" s="37"/>
      <c r="CS232" s="37"/>
      <c r="CT232" s="34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  <c r="DM232" s="37"/>
      <c r="DN232" s="37"/>
      <c r="DO232" s="37"/>
      <c r="DP232" s="37"/>
      <c r="DQ232" s="37"/>
      <c r="DR232" s="37"/>
      <c r="DS232" s="37"/>
      <c r="DT232" s="37"/>
      <c r="DU232" s="37"/>
      <c r="DV232" s="37"/>
      <c r="DW232" s="37"/>
      <c r="DX232" s="37"/>
      <c r="DY232" s="37"/>
      <c r="DZ232" s="37"/>
      <c r="EA232" s="39"/>
      <c r="EB232" s="39"/>
      <c r="EC232" s="40"/>
    </row>
    <row r="233" spans="1:133" hidden="1">
      <c r="A233" s="44" t="s">
        <v>138</v>
      </c>
      <c r="B233" s="22" t="s">
        <v>530</v>
      </c>
      <c r="C233" s="20" t="s">
        <v>532</v>
      </c>
      <c r="D233" s="21" t="s">
        <v>529</v>
      </c>
      <c r="E233" s="21"/>
      <c r="F233" s="22" t="s">
        <v>137</v>
      </c>
      <c r="G233" s="23" t="str" cm="1">
        <f t="array" ref="G233">IFERROR(LOOKUP(2,1/(K233:GC233&lt;&gt;""),K$2:DQL$2),"")</f>
        <v>3-Aug</v>
      </c>
      <c r="H233" s="24" cm="1">
        <f t="array" ref="H233">IFERROR(_xlfn.XLOOKUP(TRUE,P233:ED233&lt;&gt;"",P233:ED233,,,-1)," ")</f>
        <v>24.4</v>
      </c>
      <c r="I233" s="25">
        <v>19</v>
      </c>
      <c r="J233" s="26">
        <v>21</v>
      </c>
      <c r="K233" s="26"/>
      <c r="L233" s="26"/>
      <c r="M233" s="26"/>
      <c r="N233" s="26"/>
      <c r="O233" s="26"/>
      <c r="P233" s="26"/>
      <c r="Q233" s="26"/>
      <c r="R233" s="26">
        <v>15</v>
      </c>
      <c r="S233" s="25"/>
      <c r="T233" s="25"/>
      <c r="U233" s="25"/>
      <c r="V233" s="25"/>
      <c r="W233" s="25">
        <v>16.3</v>
      </c>
      <c r="X233" s="25"/>
      <c r="Y233" s="25"/>
      <c r="Z233" s="25"/>
      <c r="AA233" s="25"/>
      <c r="AB233" s="25"/>
      <c r="AC233" s="25">
        <v>19.3</v>
      </c>
      <c r="AD233" s="25"/>
      <c r="AE233" s="34"/>
      <c r="AF233" s="35"/>
      <c r="AG233" s="34"/>
      <c r="AH233" s="34"/>
      <c r="AI233" s="34"/>
      <c r="AJ233" s="34"/>
      <c r="AK233" s="34">
        <v>21.4</v>
      </c>
      <c r="AL233" s="34"/>
      <c r="AM233" s="34"/>
      <c r="AN233" s="34"/>
      <c r="AO233" s="34"/>
      <c r="AP233" s="34"/>
      <c r="AQ233" s="34">
        <v>24.4</v>
      </c>
      <c r="AR233" s="34"/>
      <c r="AS233" s="34"/>
      <c r="AT233" s="34"/>
      <c r="AU233" s="34"/>
      <c r="AV233" s="34"/>
      <c r="AW233" s="34"/>
      <c r="AX233" s="34"/>
      <c r="AY233" s="36"/>
      <c r="AZ233" s="34"/>
      <c r="BA233" s="36"/>
      <c r="BB233" s="34"/>
      <c r="BC233" s="34"/>
      <c r="BD233" s="34"/>
      <c r="BE233" s="37"/>
      <c r="BF233" s="37"/>
      <c r="BG233" s="34"/>
      <c r="BH233" s="37"/>
      <c r="BI233" s="34"/>
      <c r="BJ233" s="34"/>
      <c r="BK233" s="37"/>
      <c r="BL233" s="38"/>
      <c r="BM233" s="37"/>
      <c r="BN233" s="37"/>
      <c r="BO233" s="37"/>
      <c r="BP233" s="37"/>
      <c r="BQ233" s="37"/>
      <c r="BR233" s="34"/>
      <c r="BS233" s="37"/>
      <c r="BT233" s="37"/>
      <c r="BU233" s="34"/>
      <c r="BV233" s="37"/>
      <c r="BW233" s="34"/>
      <c r="BX233" s="37"/>
      <c r="BY233" s="34"/>
      <c r="BZ233" s="36"/>
      <c r="CA233" s="37"/>
      <c r="CB233" s="37"/>
      <c r="CC233" s="34"/>
      <c r="CD233" s="37"/>
      <c r="CE233" s="37"/>
      <c r="CF233" s="37"/>
      <c r="CG233" s="37"/>
      <c r="CH233" s="37"/>
      <c r="CI233" s="37"/>
      <c r="CJ233" s="37"/>
      <c r="CK233" s="37"/>
      <c r="CL233" s="34"/>
      <c r="CM233" s="37"/>
      <c r="CN233" s="37"/>
      <c r="CO233" s="37"/>
      <c r="CP233" s="34"/>
      <c r="CQ233" s="37"/>
      <c r="CR233" s="37"/>
      <c r="CS233" s="37"/>
      <c r="CT233" s="34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  <c r="DP233" s="37"/>
      <c r="DQ233" s="37"/>
      <c r="DR233" s="37"/>
      <c r="DS233" s="37"/>
      <c r="DT233" s="37"/>
      <c r="DU233" s="37"/>
      <c r="DV233" s="37"/>
      <c r="DW233" s="37"/>
      <c r="DX233" s="37"/>
      <c r="DY233" s="37"/>
      <c r="DZ233" s="37"/>
      <c r="EA233" s="39"/>
      <c r="EB233" s="39"/>
      <c r="EC233" s="40"/>
    </row>
    <row r="234" spans="1:133" hidden="1">
      <c r="A234" s="44" t="s">
        <v>138</v>
      </c>
      <c r="B234" s="22" t="s">
        <v>533</v>
      </c>
      <c r="C234" s="20" t="s">
        <v>534</v>
      </c>
      <c r="D234" s="21" t="s">
        <v>529</v>
      </c>
      <c r="E234" s="21"/>
      <c r="F234" s="22" t="s">
        <v>137</v>
      </c>
      <c r="G234" s="23" t="str" cm="1">
        <f t="array" ref="G234">IFERROR(LOOKUP(2,1/(K234:GC234&lt;&gt;""),K$2:DQL$2),"")</f>
        <v>28-Jul</v>
      </c>
      <c r="H234" s="24" cm="1">
        <f t="array" ref="H234">IFERROR(_xlfn.XLOOKUP(TRUE,P234:ED234&lt;&gt;"",P234:ED234,,,-1)," ")</f>
        <v>22.1</v>
      </c>
      <c r="I234" s="25">
        <v>19</v>
      </c>
      <c r="J234" s="26">
        <v>21</v>
      </c>
      <c r="K234" s="26"/>
      <c r="L234" s="26"/>
      <c r="M234" s="26"/>
      <c r="N234" s="26"/>
      <c r="O234" s="26"/>
      <c r="P234" s="26"/>
      <c r="Q234" s="26"/>
      <c r="R234" s="26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34"/>
      <c r="AF234" s="35"/>
      <c r="AG234" s="34"/>
      <c r="AH234" s="34"/>
      <c r="AI234" s="34"/>
      <c r="AJ234" s="34"/>
      <c r="AK234" s="34">
        <v>22.1</v>
      </c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6"/>
      <c r="AX234" s="34"/>
      <c r="AY234" s="34"/>
      <c r="AZ234" s="36"/>
      <c r="BA234" s="34"/>
      <c r="BB234" s="34"/>
      <c r="BC234" s="34"/>
      <c r="BD234" s="34"/>
      <c r="BE234" s="37"/>
      <c r="BF234" s="37"/>
      <c r="BG234" s="34"/>
      <c r="BH234" s="37"/>
      <c r="BI234" s="34"/>
      <c r="BJ234" s="34"/>
      <c r="BK234" s="38"/>
      <c r="BL234" s="37"/>
      <c r="BM234" s="37"/>
      <c r="BN234" s="37"/>
      <c r="BO234" s="37"/>
      <c r="BP234" s="37"/>
      <c r="BQ234" s="37"/>
      <c r="BR234" s="34"/>
      <c r="BS234" s="37"/>
      <c r="BT234" s="37"/>
      <c r="BU234" s="34"/>
      <c r="BV234" s="37"/>
      <c r="BW234" s="34"/>
      <c r="BX234" s="37"/>
      <c r="BY234" s="34"/>
      <c r="BZ234" s="36"/>
      <c r="CA234" s="37"/>
      <c r="CB234" s="37"/>
      <c r="CC234" s="34"/>
      <c r="CD234" s="37"/>
      <c r="CE234" s="37"/>
      <c r="CF234" s="37"/>
      <c r="CG234" s="37"/>
      <c r="CH234" s="37"/>
      <c r="CI234" s="37"/>
      <c r="CJ234" s="37"/>
      <c r="CK234" s="37"/>
      <c r="CL234" s="34"/>
      <c r="CM234" s="37"/>
      <c r="CN234" s="37"/>
      <c r="CO234" s="37"/>
      <c r="CP234" s="34"/>
      <c r="CQ234" s="37"/>
      <c r="CR234" s="37"/>
      <c r="CS234" s="37"/>
      <c r="CT234" s="34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  <c r="DM234" s="37"/>
      <c r="DN234" s="37"/>
      <c r="DO234" s="37"/>
      <c r="DP234" s="37"/>
      <c r="DQ234" s="37"/>
      <c r="DR234" s="37"/>
      <c r="DS234" s="37"/>
      <c r="DT234" s="37"/>
      <c r="DU234" s="37"/>
      <c r="DV234" s="37"/>
      <c r="DW234" s="37"/>
      <c r="DX234" s="37"/>
      <c r="DY234" s="37"/>
      <c r="DZ234" s="37"/>
      <c r="EA234" s="39"/>
      <c r="EB234" s="39"/>
      <c r="EC234" s="40"/>
    </row>
    <row r="235" spans="1:133" hidden="1">
      <c r="A235" s="44" t="s">
        <v>138</v>
      </c>
      <c r="B235" s="22" t="s">
        <v>535</v>
      </c>
      <c r="C235" s="20" t="s">
        <v>536</v>
      </c>
      <c r="D235" s="21" t="s">
        <v>529</v>
      </c>
      <c r="E235" s="21"/>
      <c r="F235" s="22" t="s">
        <v>137</v>
      </c>
      <c r="G235" s="23" t="str" cm="1">
        <f t="array" ref="G235">IFERROR(LOOKUP(2,1/(K235:GC235&lt;&gt;""),K$2:DQL$2),"")</f>
        <v/>
      </c>
      <c r="H235" s="24" t="str" cm="1">
        <f t="array" ref="H235">IFERROR(_xlfn.XLOOKUP(TRUE,P235:ED235&lt;&gt;"",P235:ED235,,,-1)," ")</f>
        <v xml:space="preserve"> </v>
      </c>
      <c r="I235" s="25">
        <v>19</v>
      </c>
      <c r="J235" s="26">
        <v>21</v>
      </c>
      <c r="K235" s="26"/>
      <c r="L235" s="26"/>
      <c r="M235" s="26"/>
      <c r="N235" s="26"/>
      <c r="O235" s="26"/>
      <c r="P235" s="26"/>
      <c r="Q235" s="26"/>
      <c r="R235" s="26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34"/>
      <c r="AF235" s="35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6"/>
      <c r="BA235" s="34"/>
      <c r="BB235" s="34"/>
      <c r="BC235" s="34"/>
      <c r="BD235" s="34"/>
      <c r="BE235" s="37"/>
      <c r="BF235" s="37"/>
      <c r="BG235" s="34"/>
      <c r="BH235" s="37"/>
      <c r="BI235" s="34"/>
      <c r="BJ235" s="34"/>
      <c r="BK235" s="37"/>
      <c r="BL235" s="37"/>
      <c r="BM235" s="37"/>
      <c r="BN235" s="37"/>
      <c r="BO235" s="37"/>
      <c r="BP235" s="37"/>
      <c r="BQ235" s="37"/>
      <c r="BR235" s="34"/>
      <c r="BS235" s="37"/>
      <c r="BT235" s="37"/>
      <c r="BU235" s="34"/>
      <c r="BV235" s="37"/>
      <c r="BW235" s="34"/>
      <c r="BX235" s="37"/>
      <c r="BY235" s="34"/>
      <c r="BZ235" s="36"/>
      <c r="CA235" s="37"/>
      <c r="CB235" s="37"/>
      <c r="CC235" s="34"/>
      <c r="CD235" s="37"/>
      <c r="CE235" s="37"/>
      <c r="CF235" s="37"/>
      <c r="CG235" s="37"/>
      <c r="CH235" s="37"/>
      <c r="CI235" s="37"/>
      <c r="CJ235" s="37"/>
      <c r="CK235" s="37"/>
      <c r="CL235" s="34"/>
      <c r="CM235" s="37"/>
      <c r="CN235" s="37"/>
      <c r="CO235" s="37"/>
      <c r="CP235" s="34"/>
      <c r="CQ235" s="37"/>
      <c r="CR235" s="37"/>
      <c r="CS235" s="37"/>
      <c r="CT235" s="34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  <c r="DJ235" s="37"/>
      <c r="DK235" s="37"/>
      <c r="DL235" s="37"/>
      <c r="DM235" s="37"/>
      <c r="DN235" s="37"/>
      <c r="DO235" s="37"/>
      <c r="DP235" s="37"/>
      <c r="DQ235" s="37"/>
      <c r="DR235" s="37"/>
      <c r="DS235" s="37"/>
      <c r="DT235" s="37"/>
      <c r="DU235" s="37"/>
      <c r="DV235" s="37"/>
      <c r="DW235" s="37"/>
      <c r="DX235" s="37"/>
      <c r="DY235" s="37"/>
      <c r="DZ235" s="37"/>
      <c r="EA235" s="39"/>
      <c r="EB235" s="39"/>
      <c r="EC235" s="40"/>
    </row>
    <row r="236" spans="1:133" hidden="1">
      <c r="A236" s="44" t="s">
        <v>138</v>
      </c>
      <c r="B236" s="22" t="s">
        <v>537</v>
      </c>
      <c r="C236" s="20" t="s">
        <v>538</v>
      </c>
      <c r="D236" s="21" t="s">
        <v>529</v>
      </c>
      <c r="E236" s="21"/>
      <c r="F236" s="22" t="s">
        <v>137</v>
      </c>
      <c r="G236" s="23" t="str" cm="1">
        <f t="array" ref="G236">IFERROR(LOOKUP(2,1/(K236:GC236&lt;&gt;""),K$2:DQL$2),"")</f>
        <v>3-Aug</v>
      </c>
      <c r="H236" s="24" cm="1">
        <f t="array" ref="H236">IFERROR(_xlfn.XLOOKUP(TRUE,P236:ED236&lt;&gt;"",P236:ED236,,,-1)," ")</f>
        <v>25.1</v>
      </c>
      <c r="I236" s="25">
        <v>19</v>
      </c>
      <c r="J236" s="26">
        <v>21</v>
      </c>
      <c r="K236" s="26"/>
      <c r="L236" s="26"/>
      <c r="M236" s="26"/>
      <c r="N236" s="26"/>
      <c r="O236" s="26"/>
      <c r="P236" s="26"/>
      <c r="Q236" s="26"/>
      <c r="R236" s="26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34"/>
      <c r="AF236" s="35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6">
        <v>25.1</v>
      </c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7"/>
      <c r="BF236" s="37"/>
      <c r="BG236" s="34"/>
      <c r="BH236" s="38"/>
      <c r="BI236" s="34"/>
      <c r="BJ236" s="34"/>
      <c r="BK236" s="37"/>
      <c r="BL236" s="38"/>
      <c r="BM236" s="37"/>
      <c r="BN236" s="37"/>
      <c r="BO236" s="37"/>
      <c r="BP236" s="37"/>
      <c r="BQ236" s="37"/>
      <c r="BR236" s="34"/>
      <c r="BS236" s="37"/>
      <c r="BT236" s="37"/>
      <c r="BU236" s="34"/>
      <c r="BV236" s="37"/>
      <c r="BW236" s="34"/>
      <c r="BX236" s="37"/>
      <c r="BY236" s="34"/>
      <c r="BZ236" s="36"/>
      <c r="CA236" s="37"/>
      <c r="CB236" s="37"/>
      <c r="CC236" s="34"/>
      <c r="CD236" s="37"/>
      <c r="CE236" s="37"/>
      <c r="CF236" s="37"/>
      <c r="CG236" s="37"/>
      <c r="CH236" s="37"/>
      <c r="CI236" s="37"/>
      <c r="CJ236" s="37"/>
      <c r="CK236" s="37"/>
      <c r="CL236" s="34"/>
      <c r="CM236" s="37"/>
      <c r="CN236" s="37"/>
      <c r="CO236" s="37"/>
      <c r="CP236" s="34"/>
      <c r="CQ236" s="37"/>
      <c r="CR236" s="37"/>
      <c r="CS236" s="37"/>
      <c r="CT236" s="34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  <c r="DJ236" s="37"/>
      <c r="DK236" s="37"/>
      <c r="DL236" s="37"/>
      <c r="DM236" s="37"/>
      <c r="DN236" s="37"/>
      <c r="DO236" s="37"/>
      <c r="DP236" s="37"/>
      <c r="DQ236" s="37"/>
      <c r="DR236" s="37"/>
      <c r="DS236" s="37"/>
      <c r="DT236" s="37"/>
      <c r="DU236" s="37"/>
      <c r="DV236" s="37"/>
      <c r="DW236" s="37"/>
      <c r="DX236" s="37"/>
      <c r="DY236" s="37"/>
      <c r="DZ236" s="37"/>
      <c r="EA236" s="39"/>
      <c r="EB236" s="39"/>
      <c r="EC236" s="40"/>
    </row>
    <row r="237" spans="1:133" hidden="1">
      <c r="A237" s="44" t="s">
        <v>138</v>
      </c>
      <c r="B237" s="22" t="s">
        <v>539</v>
      </c>
      <c r="C237" s="20" t="s">
        <v>540</v>
      </c>
      <c r="D237" s="21" t="s">
        <v>529</v>
      </c>
      <c r="E237" s="21"/>
      <c r="F237" s="22" t="s">
        <v>318</v>
      </c>
      <c r="G237" s="23" t="str" cm="1">
        <f t="array" ref="G237">IFERROR(LOOKUP(2,1/(K237:GC237&lt;&gt;""),K$2:DQL$2),"")</f>
        <v>5-Aug</v>
      </c>
      <c r="H237" s="24" cm="1">
        <f t="array" ref="H237">IFERROR(_xlfn.XLOOKUP(TRUE,P237:ED237&lt;&gt;"",P237:ED237,,,-1)," ")</f>
        <v>22.4</v>
      </c>
      <c r="I237" s="25">
        <v>23.5</v>
      </c>
      <c r="J237" s="26"/>
      <c r="K237" s="26"/>
      <c r="L237" s="26"/>
      <c r="M237" s="26"/>
      <c r="N237" s="26"/>
      <c r="O237" s="26"/>
      <c r="P237" s="26"/>
      <c r="Q237" s="26"/>
      <c r="R237" s="26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34"/>
      <c r="AF237" s="248">
        <v>18.899999999999999</v>
      </c>
      <c r="AG237" s="34"/>
      <c r="AH237" s="34"/>
      <c r="AI237" s="34"/>
      <c r="AJ237" s="34"/>
      <c r="AK237" s="34"/>
      <c r="AL237" s="34"/>
      <c r="AM237" s="34">
        <v>20.6</v>
      </c>
      <c r="AN237" s="34"/>
      <c r="AO237" s="34"/>
      <c r="AP237" s="34"/>
      <c r="AQ237" s="34"/>
      <c r="AR237" s="34"/>
      <c r="AS237" s="34">
        <v>22.4</v>
      </c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7"/>
      <c r="BF237" s="37"/>
      <c r="BG237" s="34"/>
      <c r="BH237" s="37"/>
      <c r="BI237" s="34"/>
      <c r="BJ237" s="34"/>
      <c r="BK237" s="37"/>
      <c r="BL237" s="37"/>
      <c r="BM237" s="37"/>
      <c r="BN237" s="37"/>
      <c r="BO237" s="37"/>
      <c r="BP237" s="37"/>
      <c r="BQ237" s="37"/>
      <c r="BR237" s="34"/>
      <c r="BS237" s="37"/>
      <c r="BT237" s="37"/>
      <c r="BU237" s="34"/>
      <c r="BV237" s="37"/>
      <c r="BW237" s="34"/>
      <c r="BX237" s="37"/>
      <c r="BY237" s="34"/>
      <c r="BZ237" s="34"/>
      <c r="CA237" s="37"/>
      <c r="CB237" s="37"/>
      <c r="CC237" s="34"/>
      <c r="CD237" s="37"/>
      <c r="CE237" s="37"/>
      <c r="CF237" s="37"/>
      <c r="CG237" s="37"/>
      <c r="CH237" s="37"/>
      <c r="CI237" s="37"/>
      <c r="CJ237" s="37"/>
      <c r="CK237" s="37"/>
      <c r="CL237" s="34"/>
      <c r="CM237" s="43"/>
      <c r="CN237" s="37"/>
      <c r="CO237" s="37"/>
      <c r="CP237" s="34"/>
      <c r="CQ237" s="37"/>
      <c r="CR237" s="37"/>
      <c r="CS237" s="37"/>
      <c r="CT237" s="34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  <c r="DJ237" s="37"/>
      <c r="DK237" s="37"/>
      <c r="DL237" s="37"/>
      <c r="DM237" s="37"/>
      <c r="DN237" s="37"/>
      <c r="DO237" s="37"/>
      <c r="DP237" s="37"/>
      <c r="DQ237" s="37"/>
      <c r="DR237" s="37"/>
      <c r="DS237" s="37"/>
      <c r="DT237" s="37"/>
      <c r="DU237" s="37"/>
      <c r="DV237" s="37"/>
      <c r="DW237" s="37"/>
      <c r="DX237" s="37"/>
      <c r="DY237" s="37"/>
      <c r="DZ237" s="37"/>
      <c r="EA237" s="39"/>
      <c r="EB237" s="39"/>
      <c r="EC237" s="40"/>
    </row>
    <row r="238" spans="1:133" hidden="1">
      <c r="A238" s="44" t="s">
        <v>138</v>
      </c>
      <c r="B238" s="22" t="s">
        <v>539</v>
      </c>
      <c r="C238" s="20" t="s">
        <v>541</v>
      </c>
      <c r="D238" s="21" t="s">
        <v>529</v>
      </c>
      <c r="E238" s="21"/>
      <c r="F238" s="22" t="s">
        <v>318</v>
      </c>
      <c r="G238" s="23" t="str" cm="1">
        <f t="array" ref="G238">IFERROR(LOOKUP(2,1/(K238:GC238&lt;&gt;""),K$2:DQL$2),"")</f>
        <v>5-Aug</v>
      </c>
      <c r="H238" s="24" cm="1">
        <f t="array" ref="H238">IFERROR(_xlfn.XLOOKUP(TRUE,P238:ED238&lt;&gt;"",P238:ED238,,,-1)," ")</f>
        <v>23.2</v>
      </c>
      <c r="I238" s="25">
        <v>23.5</v>
      </c>
      <c r="J238" s="26"/>
      <c r="K238" s="26"/>
      <c r="L238" s="26"/>
      <c r="M238" s="26"/>
      <c r="N238" s="26"/>
      <c r="O238" s="26"/>
      <c r="P238" s="26"/>
      <c r="Q238" s="26"/>
      <c r="R238" s="26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34"/>
      <c r="AF238" s="35"/>
      <c r="AG238" s="34"/>
      <c r="AH238" s="34"/>
      <c r="AI238" s="34"/>
      <c r="AJ238" s="34"/>
      <c r="AK238" s="34"/>
      <c r="AL238" s="34"/>
      <c r="AM238" s="34">
        <v>21.5</v>
      </c>
      <c r="AN238" s="34"/>
      <c r="AO238" s="34"/>
      <c r="AP238" s="34"/>
      <c r="AQ238" s="34"/>
      <c r="AR238" s="34"/>
      <c r="AS238" s="34">
        <v>23.2</v>
      </c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7"/>
      <c r="BF238" s="37"/>
      <c r="BG238" s="34"/>
      <c r="BH238" s="37"/>
      <c r="BI238" s="34"/>
      <c r="BJ238" s="34"/>
      <c r="BK238" s="37"/>
      <c r="BL238" s="37"/>
      <c r="BM238" s="37"/>
      <c r="BN238" s="37"/>
      <c r="BO238" s="37"/>
      <c r="BP238" s="37"/>
      <c r="BQ238" s="37"/>
      <c r="BR238" s="34"/>
      <c r="BS238" s="37"/>
      <c r="BT238" s="37"/>
      <c r="BU238" s="34"/>
      <c r="BV238" s="37"/>
      <c r="BW238" s="34"/>
      <c r="BX238" s="37"/>
      <c r="BY238" s="34"/>
      <c r="BZ238" s="34"/>
      <c r="CA238" s="37"/>
      <c r="CB238" s="37"/>
      <c r="CC238" s="34"/>
      <c r="CD238" s="37"/>
      <c r="CE238" s="37"/>
      <c r="CF238" s="37"/>
      <c r="CG238" s="37"/>
      <c r="CH238" s="37"/>
      <c r="CI238" s="37"/>
      <c r="CJ238" s="37"/>
      <c r="CK238" s="37"/>
      <c r="CL238" s="34"/>
      <c r="CM238" s="43"/>
      <c r="CN238" s="37"/>
      <c r="CO238" s="37"/>
      <c r="CP238" s="34"/>
      <c r="CQ238" s="37"/>
      <c r="CR238" s="37"/>
      <c r="CS238" s="37"/>
      <c r="CT238" s="34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  <c r="DM238" s="37"/>
      <c r="DN238" s="37"/>
      <c r="DO238" s="37"/>
      <c r="DP238" s="37"/>
      <c r="DQ238" s="37"/>
      <c r="DR238" s="37"/>
      <c r="DS238" s="37"/>
      <c r="DT238" s="37"/>
      <c r="DU238" s="37"/>
      <c r="DV238" s="37"/>
      <c r="DW238" s="37"/>
      <c r="DX238" s="37"/>
      <c r="DY238" s="37"/>
      <c r="DZ238" s="37"/>
      <c r="EA238" s="39"/>
      <c r="EB238" s="39"/>
      <c r="EC238" s="40"/>
    </row>
    <row r="239" spans="1:133">
      <c r="A239" s="44"/>
      <c r="B239" s="22" t="s">
        <v>542</v>
      </c>
      <c r="C239" s="20" t="s">
        <v>543</v>
      </c>
      <c r="D239" s="21" t="s">
        <v>529</v>
      </c>
      <c r="E239" s="21"/>
      <c r="F239" s="22"/>
      <c r="G239" s="23" t="str" cm="1">
        <f t="array" ref="G239">IFERROR(LOOKUP(2,1/(K239:GC239&lt;&gt;""),K$2:DQL$2),"")</f>
        <v/>
      </c>
      <c r="H239" s="24" t="str" cm="1">
        <f t="array" ref="H239">IFERROR(_xlfn.XLOOKUP(TRUE,P239:ED239&lt;&gt;"",P239:ED239,,,-1)," ")</f>
        <v xml:space="preserve"> </v>
      </c>
      <c r="I239" s="25">
        <v>23.5</v>
      </c>
      <c r="J239" s="26"/>
      <c r="K239" s="26"/>
      <c r="L239" s="26"/>
      <c r="M239" s="26"/>
      <c r="N239" s="26"/>
      <c r="O239" s="26"/>
      <c r="P239" s="26"/>
      <c r="Q239" s="26"/>
      <c r="R239" s="26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34"/>
      <c r="AF239" s="35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7"/>
      <c r="BF239" s="37"/>
      <c r="BG239" s="34"/>
      <c r="BH239" s="37"/>
      <c r="BI239" s="34"/>
      <c r="BJ239" s="34"/>
      <c r="BK239" s="37"/>
      <c r="BL239" s="37"/>
      <c r="BM239" s="37"/>
      <c r="BN239" s="37"/>
      <c r="BO239" s="37"/>
      <c r="BP239" s="37"/>
      <c r="BQ239" s="37"/>
      <c r="BR239" s="34"/>
      <c r="BS239" s="37"/>
      <c r="BT239" s="37"/>
      <c r="BU239" s="34"/>
      <c r="BV239" s="37"/>
      <c r="BW239" s="34"/>
      <c r="BX239" s="37"/>
      <c r="BY239" s="34"/>
      <c r="BZ239" s="34"/>
      <c r="CA239" s="37"/>
      <c r="CB239" s="37"/>
      <c r="CC239" s="34"/>
      <c r="CD239" s="37"/>
      <c r="CE239" s="37"/>
      <c r="CF239" s="37"/>
      <c r="CG239" s="37"/>
      <c r="CH239" s="37"/>
      <c r="CI239" s="37"/>
      <c r="CJ239" s="37"/>
      <c r="CK239" s="37"/>
      <c r="CL239" s="34"/>
      <c r="CM239" s="43"/>
      <c r="CN239" s="37"/>
      <c r="CO239" s="37"/>
      <c r="CP239" s="34"/>
      <c r="CQ239" s="37"/>
      <c r="CR239" s="37"/>
      <c r="CS239" s="37"/>
      <c r="CT239" s="34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  <c r="DI239" s="37"/>
      <c r="DJ239" s="37"/>
      <c r="DK239" s="37"/>
      <c r="DL239" s="37"/>
      <c r="DM239" s="37"/>
      <c r="DN239" s="37"/>
      <c r="DO239" s="37"/>
      <c r="DP239" s="37"/>
      <c r="DQ239" s="37"/>
      <c r="DR239" s="37"/>
      <c r="DS239" s="37"/>
      <c r="DT239" s="37"/>
      <c r="DU239" s="37"/>
      <c r="DV239" s="37"/>
      <c r="DW239" s="37"/>
      <c r="DX239" s="37"/>
      <c r="DY239" s="37"/>
      <c r="DZ239" s="37"/>
      <c r="EA239" s="39"/>
      <c r="EB239" s="39"/>
      <c r="EC239" s="40"/>
    </row>
    <row r="240" spans="1:133">
      <c r="A240" s="44"/>
      <c r="B240" s="22" t="s">
        <v>544</v>
      </c>
      <c r="C240" s="20" t="s">
        <v>545</v>
      </c>
      <c r="D240" s="21" t="s">
        <v>529</v>
      </c>
      <c r="E240" s="21"/>
      <c r="F240" s="22"/>
      <c r="G240" s="23" t="str" cm="1">
        <f t="array" ref="G240">IFERROR(LOOKUP(2,1/(K240:GC240&lt;&gt;""),K$2:DQL$2),"")</f>
        <v/>
      </c>
      <c r="H240" s="24" t="str" cm="1">
        <f t="array" ref="H240">IFERROR(_xlfn.XLOOKUP(TRUE,P240:ED240&lt;&gt;"",P240:ED240,,,-1)," ")</f>
        <v xml:space="preserve"> </v>
      </c>
      <c r="I240" s="25">
        <v>23.5</v>
      </c>
      <c r="J240" s="26"/>
      <c r="K240" s="26"/>
      <c r="L240" s="26"/>
      <c r="M240" s="26"/>
      <c r="N240" s="26"/>
      <c r="O240" s="26"/>
      <c r="P240" s="26"/>
      <c r="Q240" s="26"/>
      <c r="R240" s="26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34"/>
      <c r="AF240" s="35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7"/>
      <c r="BF240" s="37"/>
      <c r="BG240" s="34"/>
      <c r="BH240" s="37"/>
      <c r="BI240" s="34"/>
      <c r="BJ240" s="34"/>
      <c r="BK240" s="37"/>
      <c r="BL240" s="37"/>
      <c r="BM240" s="37"/>
      <c r="BN240" s="34"/>
      <c r="BO240" s="34"/>
      <c r="BP240" s="34"/>
      <c r="BQ240" s="34"/>
      <c r="BR240" s="34"/>
      <c r="BS240" s="37"/>
      <c r="BT240" s="37"/>
      <c r="BU240" s="34"/>
      <c r="BV240" s="34"/>
      <c r="BW240" s="34"/>
      <c r="BX240" s="37"/>
      <c r="BY240" s="34"/>
      <c r="BZ240" s="34"/>
      <c r="CA240" s="37"/>
      <c r="CB240" s="37"/>
      <c r="CC240" s="34"/>
      <c r="CD240" s="37"/>
      <c r="CE240" s="37"/>
      <c r="CF240" s="37"/>
      <c r="CG240" s="34"/>
      <c r="CH240" s="37"/>
      <c r="CI240" s="37"/>
      <c r="CJ240" s="37"/>
      <c r="CK240" s="37"/>
      <c r="CL240" s="34"/>
      <c r="CM240" s="43"/>
      <c r="CN240" s="37"/>
      <c r="CO240" s="37"/>
      <c r="CP240" s="34"/>
      <c r="CQ240" s="37"/>
      <c r="CR240" s="37"/>
      <c r="CS240" s="37"/>
      <c r="CT240" s="34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  <c r="DJ240" s="37"/>
      <c r="DK240" s="37"/>
      <c r="DL240" s="37"/>
      <c r="DM240" s="37"/>
      <c r="DN240" s="37"/>
      <c r="DO240" s="37"/>
      <c r="DP240" s="37"/>
      <c r="DQ240" s="37"/>
      <c r="DR240" s="37"/>
      <c r="DS240" s="37"/>
      <c r="DT240" s="37"/>
      <c r="DU240" s="37"/>
      <c r="DV240" s="37"/>
      <c r="DW240" s="37"/>
      <c r="DX240" s="37"/>
      <c r="DY240" s="37"/>
      <c r="DZ240" s="37"/>
      <c r="EA240" s="39"/>
      <c r="EB240" s="39"/>
      <c r="EC240" s="40"/>
    </row>
    <row r="241" spans="1:133">
      <c r="A241" s="44"/>
      <c r="B241" s="22" t="s">
        <v>546</v>
      </c>
      <c r="C241" s="20" t="s">
        <v>547</v>
      </c>
      <c r="D241" s="21" t="s">
        <v>529</v>
      </c>
      <c r="E241" s="21"/>
      <c r="F241" s="22"/>
      <c r="G241" s="23" t="str" cm="1">
        <f t="array" ref="G241">IFERROR(LOOKUP(2,1/(K241:GC241&lt;&gt;""),K$2:DQL$2),"")</f>
        <v/>
      </c>
      <c r="H241" s="24" t="str" cm="1">
        <f t="array" ref="H241">IFERROR(_xlfn.XLOOKUP(TRUE,P241:ED241&lt;&gt;"",P241:ED241,,,-1)," ")</f>
        <v xml:space="preserve"> </v>
      </c>
      <c r="I241" s="25">
        <v>23.5</v>
      </c>
      <c r="J241" s="26"/>
      <c r="K241" s="26"/>
      <c r="L241" s="26"/>
      <c r="M241" s="26"/>
      <c r="N241" s="26"/>
      <c r="O241" s="26"/>
      <c r="P241" s="26"/>
      <c r="Q241" s="26"/>
      <c r="R241" s="26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34"/>
      <c r="AF241" s="35"/>
      <c r="AG241" s="34"/>
      <c r="AH241" s="34"/>
      <c r="AI241" s="36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7"/>
      <c r="BF241" s="37"/>
      <c r="BG241" s="34"/>
      <c r="BH241" s="37"/>
      <c r="BI241" s="34"/>
      <c r="BJ241" s="34"/>
      <c r="BK241" s="37"/>
      <c r="BL241" s="37"/>
      <c r="BM241" s="37"/>
      <c r="BN241" s="34"/>
      <c r="BO241" s="34"/>
      <c r="BP241" s="37"/>
      <c r="BQ241" s="37"/>
      <c r="BR241" s="34"/>
      <c r="BS241" s="37"/>
      <c r="BT241" s="37"/>
      <c r="BU241" s="34"/>
      <c r="BV241" s="37"/>
      <c r="BW241" s="34"/>
      <c r="BX241" s="37"/>
      <c r="BY241" s="34"/>
      <c r="BZ241" s="34"/>
      <c r="CA241" s="37"/>
      <c r="CB241" s="37"/>
      <c r="CC241" s="34"/>
      <c r="CD241" s="37"/>
      <c r="CE241" s="37"/>
      <c r="CF241" s="37"/>
      <c r="CG241" s="37"/>
      <c r="CH241" s="37"/>
      <c r="CI241" s="37"/>
      <c r="CJ241" s="37"/>
      <c r="CK241" s="37"/>
      <c r="CL241" s="34"/>
      <c r="CM241" s="43"/>
      <c r="CN241" s="37"/>
      <c r="CO241" s="37"/>
      <c r="CP241" s="34"/>
      <c r="CQ241" s="37"/>
      <c r="CR241" s="37"/>
      <c r="CS241" s="37"/>
      <c r="CT241" s="34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  <c r="DI241" s="37"/>
      <c r="DJ241" s="37"/>
      <c r="DK241" s="37"/>
      <c r="DL241" s="37"/>
      <c r="DM241" s="37"/>
      <c r="DN241" s="37"/>
      <c r="DO241" s="37"/>
      <c r="DP241" s="37"/>
      <c r="DQ241" s="37"/>
      <c r="DR241" s="37"/>
      <c r="DS241" s="37"/>
      <c r="DT241" s="37"/>
      <c r="DU241" s="37"/>
      <c r="DV241" s="37"/>
      <c r="DW241" s="37"/>
      <c r="DX241" s="37"/>
      <c r="DY241" s="37"/>
      <c r="DZ241" s="37"/>
      <c r="EA241" s="39"/>
      <c r="EB241" s="39"/>
      <c r="EC241" s="40"/>
    </row>
    <row r="242" spans="1:133">
      <c r="A242" s="44"/>
      <c r="B242" s="22" t="s">
        <v>546</v>
      </c>
      <c r="C242" s="20" t="s">
        <v>548</v>
      </c>
      <c r="D242" s="21" t="s">
        <v>529</v>
      </c>
      <c r="E242" s="21"/>
      <c r="F242" s="22"/>
      <c r="G242" s="23" t="str" cm="1">
        <f t="array" ref="G242">IFERROR(LOOKUP(2,1/(K242:GC242&lt;&gt;""),K$2:DQL$2),"")</f>
        <v/>
      </c>
      <c r="H242" s="24" t="str" cm="1">
        <f t="array" ref="H242">IFERROR(_xlfn.XLOOKUP(TRUE,P242:ED242&lt;&gt;"",P242:ED242,,,-1)," ")</f>
        <v xml:space="preserve"> </v>
      </c>
      <c r="I242" s="25">
        <v>23.5</v>
      </c>
      <c r="J242" s="26"/>
      <c r="K242" s="26"/>
      <c r="L242" s="26"/>
      <c r="M242" s="26"/>
      <c r="N242" s="26"/>
      <c r="O242" s="26"/>
      <c r="P242" s="26"/>
      <c r="Q242" s="26"/>
      <c r="R242" s="26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34"/>
      <c r="AF242" s="35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7"/>
      <c r="BF242" s="37"/>
      <c r="BG242" s="34"/>
      <c r="BH242" s="37"/>
      <c r="BI242" s="34"/>
      <c r="BJ242" s="34"/>
      <c r="BK242" s="37"/>
      <c r="BL242" s="37"/>
      <c r="BM242" s="37"/>
      <c r="BN242" s="34"/>
      <c r="BO242" s="34"/>
      <c r="BP242" s="37"/>
      <c r="BQ242" s="37"/>
      <c r="BR242" s="34"/>
      <c r="BS242" s="37"/>
      <c r="BT242" s="37"/>
      <c r="BU242" s="34"/>
      <c r="BV242" s="37"/>
      <c r="BW242" s="34"/>
      <c r="BX242" s="37"/>
      <c r="BY242" s="34"/>
      <c r="BZ242" s="34"/>
      <c r="CA242" s="37"/>
      <c r="CB242" s="37"/>
      <c r="CC242" s="34"/>
      <c r="CD242" s="37"/>
      <c r="CE242" s="37"/>
      <c r="CF242" s="37"/>
      <c r="CG242" s="37"/>
      <c r="CH242" s="37"/>
      <c r="CI242" s="37"/>
      <c r="CJ242" s="37"/>
      <c r="CK242" s="37"/>
      <c r="CL242" s="34"/>
      <c r="CM242" s="43"/>
      <c r="CN242" s="37"/>
      <c r="CO242" s="37"/>
      <c r="CP242" s="34"/>
      <c r="CQ242" s="37"/>
      <c r="CR242" s="37"/>
      <c r="CS242" s="37"/>
      <c r="CT242" s="34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  <c r="DI242" s="37"/>
      <c r="DJ242" s="37"/>
      <c r="DK242" s="37"/>
      <c r="DL242" s="37"/>
      <c r="DM242" s="37"/>
      <c r="DN242" s="37"/>
      <c r="DO242" s="37"/>
      <c r="DP242" s="37"/>
      <c r="DQ242" s="37"/>
      <c r="DR242" s="37"/>
      <c r="DS242" s="37"/>
      <c r="DT242" s="37"/>
      <c r="DU242" s="37"/>
      <c r="DV242" s="37"/>
      <c r="DW242" s="37"/>
      <c r="DX242" s="37"/>
      <c r="DY242" s="37"/>
      <c r="DZ242" s="37"/>
      <c r="EA242" s="39"/>
      <c r="EB242" s="39"/>
      <c r="EC242" s="40"/>
    </row>
    <row r="243" spans="1:133">
      <c r="A243" s="44"/>
      <c r="B243" s="22" t="s">
        <v>546</v>
      </c>
      <c r="C243" s="20" t="s">
        <v>549</v>
      </c>
      <c r="D243" s="21" t="s">
        <v>529</v>
      </c>
      <c r="E243" s="21"/>
      <c r="F243" s="22"/>
      <c r="G243" s="23" t="str" cm="1">
        <f t="array" ref="G243">IFERROR(LOOKUP(2,1/(K243:GC243&lt;&gt;""),K$2:DQL$2),"")</f>
        <v/>
      </c>
      <c r="H243" s="24" t="str" cm="1">
        <f t="array" ref="H243">IFERROR(_xlfn.XLOOKUP(TRUE,P243:ED243&lt;&gt;"",P243:ED243,,,-1)," ")</f>
        <v xml:space="preserve"> </v>
      </c>
      <c r="I243" s="25">
        <v>23.5</v>
      </c>
      <c r="J243" s="26"/>
      <c r="K243" s="26"/>
      <c r="L243" s="26"/>
      <c r="M243" s="26"/>
      <c r="N243" s="26"/>
      <c r="O243" s="26"/>
      <c r="P243" s="26"/>
      <c r="Q243" s="26"/>
      <c r="R243" s="26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34"/>
      <c r="AF243" s="35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7"/>
      <c r="BF243" s="37"/>
      <c r="BG243" s="34"/>
      <c r="BH243" s="37"/>
      <c r="BI243" s="34"/>
      <c r="BJ243" s="34"/>
      <c r="BK243" s="37"/>
      <c r="BL243" s="37"/>
      <c r="BM243" s="37"/>
      <c r="BN243" s="34"/>
      <c r="BO243" s="34"/>
      <c r="BP243" s="37"/>
      <c r="BQ243" s="37"/>
      <c r="BR243" s="34"/>
      <c r="BS243" s="37"/>
      <c r="BT243" s="37"/>
      <c r="BU243" s="34"/>
      <c r="BV243" s="37"/>
      <c r="BW243" s="34"/>
      <c r="BX243" s="37"/>
      <c r="BY243" s="34"/>
      <c r="BZ243" s="34"/>
      <c r="CA243" s="37"/>
      <c r="CB243" s="37"/>
      <c r="CC243" s="34"/>
      <c r="CD243" s="37"/>
      <c r="CE243" s="37"/>
      <c r="CF243" s="37"/>
      <c r="CG243" s="37"/>
      <c r="CH243" s="37"/>
      <c r="CI243" s="37"/>
      <c r="CJ243" s="37"/>
      <c r="CK243" s="37"/>
      <c r="CL243" s="34"/>
      <c r="CM243" s="43"/>
      <c r="CN243" s="37"/>
      <c r="CO243" s="37"/>
      <c r="CP243" s="34"/>
      <c r="CQ243" s="37"/>
      <c r="CR243" s="37"/>
      <c r="CS243" s="37"/>
      <c r="CT243" s="34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  <c r="DM243" s="37"/>
      <c r="DN243" s="37"/>
      <c r="DO243" s="37"/>
      <c r="DP243" s="37"/>
      <c r="DQ243" s="37"/>
      <c r="DR243" s="37"/>
      <c r="DS243" s="37"/>
      <c r="DT243" s="37"/>
      <c r="DU243" s="37"/>
      <c r="DV243" s="37"/>
      <c r="DW243" s="37"/>
      <c r="DX243" s="37"/>
      <c r="DY243" s="37"/>
      <c r="DZ243" s="37"/>
      <c r="EA243" s="39"/>
      <c r="EB243" s="39"/>
      <c r="EC243" s="40"/>
    </row>
    <row r="244" spans="1:133">
      <c r="A244" s="44"/>
      <c r="B244" s="22" t="s">
        <v>550</v>
      </c>
      <c r="C244" s="20" t="s">
        <v>551</v>
      </c>
      <c r="D244" s="21" t="s">
        <v>529</v>
      </c>
      <c r="E244" s="21"/>
      <c r="F244" s="22"/>
      <c r="G244" s="23" t="str" cm="1">
        <f t="array" ref="G244">IFERROR(LOOKUP(2,1/(K244:GC244&lt;&gt;""),K$2:DQL$2),"")</f>
        <v/>
      </c>
      <c r="H244" s="24" t="str" cm="1">
        <f t="array" ref="H244">IFERROR(_xlfn.XLOOKUP(TRUE,P244:ED244&lt;&gt;"",P244:ED244,,,-1)," ")</f>
        <v xml:space="preserve"> </v>
      </c>
      <c r="I244" s="25">
        <v>23.5</v>
      </c>
      <c r="J244" s="26"/>
      <c r="K244" s="26"/>
      <c r="L244" s="26"/>
      <c r="M244" s="26"/>
      <c r="N244" s="26"/>
      <c r="O244" s="26"/>
      <c r="P244" s="26"/>
      <c r="Q244" s="26"/>
      <c r="R244" s="26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34"/>
      <c r="AF244" s="35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7"/>
      <c r="BF244" s="37"/>
      <c r="BG244" s="34"/>
      <c r="BH244" s="38"/>
      <c r="BI244" s="34"/>
      <c r="BJ244" s="34"/>
      <c r="BK244" s="37"/>
      <c r="BL244" s="37"/>
      <c r="BM244" s="37"/>
      <c r="BN244" s="37"/>
      <c r="BO244" s="37"/>
      <c r="BP244" s="37"/>
      <c r="BQ244" s="37"/>
      <c r="BR244" s="34"/>
      <c r="BS244" s="37"/>
      <c r="BT244" s="37"/>
      <c r="BU244" s="34"/>
      <c r="BV244" s="37"/>
      <c r="BW244" s="34"/>
      <c r="BX244" s="37"/>
      <c r="BY244" s="34"/>
      <c r="BZ244" s="34"/>
      <c r="CA244" s="37"/>
      <c r="CB244" s="37"/>
      <c r="CC244" s="34"/>
      <c r="CD244" s="37"/>
      <c r="CE244" s="37"/>
      <c r="CF244" s="37"/>
      <c r="CG244" s="37"/>
      <c r="CH244" s="37"/>
      <c r="CI244" s="37"/>
      <c r="CJ244" s="37"/>
      <c r="CK244" s="37"/>
      <c r="CL244" s="34"/>
      <c r="CM244" s="43"/>
      <c r="CN244" s="37"/>
      <c r="CO244" s="37"/>
      <c r="CP244" s="34"/>
      <c r="CQ244" s="37"/>
      <c r="CR244" s="37"/>
      <c r="CS244" s="37"/>
      <c r="CT244" s="34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  <c r="DJ244" s="37"/>
      <c r="DK244" s="37"/>
      <c r="DL244" s="37"/>
      <c r="DM244" s="37"/>
      <c r="DN244" s="37"/>
      <c r="DO244" s="37"/>
      <c r="DP244" s="37"/>
      <c r="DQ244" s="37"/>
      <c r="DR244" s="37"/>
      <c r="DS244" s="37"/>
      <c r="DT244" s="37"/>
      <c r="DU244" s="37"/>
      <c r="DV244" s="37"/>
      <c r="DW244" s="37"/>
      <c r="DX244" s="37"/>
      <c r="DY244" s="37"/>
      <c r="DZ244" s="37"/>
      <c r="EA244" s="39"/>
      <c r="EB244" s="39"/>
      <c r="EC244" s="40"/>
    </row>
    <row r="245" spans="1:133" hidden="1">
      <c r="A245" s="44" t="s">
        <v>138</v>
      </c>
      <c r="B245" s="22" t="s">
        <v>552</v>
      </c>
      <c r="C245" s="53" t="s">
        <v>553</v>
      </c>
      <c r="D245" s="21" t="s">
        <v>529</v>
      </c>
      <c r="E245" s="21"/>
      <c r="F245" s="22" t="s">
        <v>340</v>
      </c>
      <c r="G245" s="23" t="str" cm="1">
        <f t="array" ref="G245">IFERROR(LOOKUP(2,1/(K245:GC245&lt;&gt;""),K$2:DQL$2),"")</f>
        <v>31-Jul</v>
      </c>
      <c r="H245" s="24" cm="1">
        <f t="array" ref="H245">IFERROR(_xlfn.XLOOKUP(TRUE,P245:ED245&lt;&gt;"",P245:ED245,,,-1)," ")</f>
        <v>24.6</v>
      </c>
      <c r="I245" s="25">
        <v>22.5</v>
      </c>
      <c r="J245" s="26">
        <v>25</v>
      </c>
      <c r="K245" s="26"/>
      <c r="L245" s="26"/>
      <c r="M245" s="26"/>
      <c r="N245" s="26"/>
      <c r="O245" s="26"/>
      <c r="P245" s="26"/>
      <c r="Q245" s="26"/>
      <c r="R245" s="26"/>
      <c r="S245" s="25"/>
      <c r="T245" s="25"/>
      <c r="U245" s="25"/>
      <c r="V245" s="25"/>
      <c r="W245" s="25">
        <v>19.600000000000001</v>
      </c>
      <c r="X245" s="25"/>
      <c r="Y245" s="25"/>
      <c r="Z245" s="217">
        <v>21.1</v>
      </c>
      <c r="AA245" s="25"/>
      <c r="AB245" s="25"/>
      <c r="AC245" s="25"/>
      <c r="AD245" s="217">
        <v>21.9</v>
      </c>
      <c r="AE245" s="34"/>
      <c r="AF245" s="35"/>
      <c r="AG245" s="34"/>
      <c r="AH245" s="34"/>
      <c r="AI245" s="34"/>
      <c r="AJ245" s="34"/>
      <c r="AK245" s="34">
        <v>23</v>
      </c>
      <c r="AL245" s="34"/>
      <c r="AM245" s="34"/>
      <c r="AN245" s="36">
        <v>24.6</v>
      </c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6"/>
      <c r="BD245" s="34"/>
      <c r="BE245" s="37"/>
      <c r="BF245" s="37"/>
      <c r="BG245" s="36"/>
      <c r="BH245" s="38"/>
      <c r="BI245" s="36"/>
      <c r="BJ245" s="36"/>
      <c r="BK245" s="37"/>
      <c r="BL245" s="37"/>
      <c r="BM245" s="37"/>
      <c r="BN245" s="34"/>
      <c r="BO245" s="34"/>
      <c r="BP245" s="34"/>
      <c r="BQ245" s="34"/>
      <c r="BR245" s="34"/>
      <c r="BS245" s="37"/>
      <c r="BT245" s="37"/>
      <c r="BU245" s="34"/>
      <c r="BV245" s="34"/>
      <c r="BW245" s="34"/>
      <c r="BX245" s="37"/>
      <c r="BY245" s="34"/>
      <c r="BZ245" s="34"/>
      <c r="CA245" s="37"/>
      <c r="CB245" s="37"/>
      <c r="CC245" s="34"/>
      <c r="CD245" s="37"/>
      <c r="CE245" s="37"/>
      <c r="CF245" s="37"/>
      <c r="CG245" s="37"/>
      <c r="CH245" s="37"/>
      <c r="CI245" s="37"/>
      <c r="CJ245" s="37"/>
      <c r="CK245" s="37"/>
      <c r="CL245" s="34"/>
      <c r="CM245" s="37"/>
      <c r="CN245" s="37"/>
      <c r="CO245" s="37"/>
      <c r="CP245" s="34"/>
      <c r="CQ245" s="37"/>
      <c r="CR245" s="37"/>
      <c r="CS245" s="37"/>
      <c r="CT245" s="34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  <c r="DJ245" s="37"/>
      <c r="DK245" s="37"/>
      <c r="DL245" s="37"/>
      <c r="DM245" s="37"/>
      <c r="DN245" s="37"/>
      <c r="DO245" s="37"/>
      <c r="DP245" s="37"/>
      <c r="DQ245" s="37"/>
      <c r="DR245" s="37"/>
      <c r="DS245" s="37"/>
      <c r="DT245" s="37"/>
      <c r="DU245" s="37"/>
      <c r="DV245" s="37"/>
      <c r="DW245" s="37"/>
      <c r="DX245" s="37"/>
      <c r="DY245" s="37"/>
      <c r="DZ245" s="37"/>
      <c r="EA245" s="39"/>
      <c r="EB245" s="39"/>
      <c r="EC245" s="40"/>
    </row>
    <row r="246" spans="1:133" hidden="1">
      <c r="A246" s="44" t="s">
        <v>138</v>
      </c>
      <c r="B246" s="22" t="s">
        <v>552</v>
      </c>
      <c r="C246" s="53" t="s">
        <v>554</v>
      </c>
      <c r="D246" s="21" t="s">
        <v>529</v>
      </c>
      <c r="E246" s="21"/>
      <c r="F246" s="22" t="s">
        <v>340</v>
      </c>
      <c r="G246" s="23" t="str" cm="1">
        <f t="array" ref="G246">IFERROR(LOOKUP(2,1/(K246:GC246&lt;&gt;""),K$2:DQL$2),"")</f>
        <v>3-Aug</v>
      </c>
      <c r="H246" s="24" cm="1">
        <f t="array" ref="H246">IFERROR(_xlfn.XLOOKUP(TRUE,P246:ED246&lt;&gt;"",P246:ED246,,,-1)," ")</f>
        <v>25.7</v>
      </c>
      <c r="I246" s="25">
        <v>22.5</v>
      </c>
      <c r="J246" s="26">
        <v>25</v>
      </c>
      <c r="K246" s="26"/>
      <c r="L246" s="26"/>
      <c r="M246" s="26"/>
      <c r="N246" s="26"/>
      <c r="O246" s="26"/>
      <c r="P246" s="26"/>
      <c r="Q246" s="26"/>
      <c r="R246" s="26"/>
      <c r="S246" s="25"/>
      <c r="T246" s="25"/>
      <c r="U246" s="25"/>
      <c r="V246" s="25"/>
      <c r="W246" s="265">
        <v>20</v>
      </c>
      <c r="X246" s="25"/>
      <c r="Y246" s="25"/>
      <c r="Z246" s="25"/>
      <c r="AA246" s="25"/>
      <c r="AB246" s="25"/>
      <c r="AC246" s="25"/>
      <c r="AD246" s="25"/>
      <c r="AE246" s="34"/>
      <c r="AF246" s="35"/>
      <c r="AG246" s="34"/>
      <c r="AH246" s="34"/>
      <c r="AI246" s="34"/>
      <c r="AJ246" s="34"/>
      <c r="AK246" s="34">
        <v>23.3</v>
      </c>
      <c r="AL246" s="34"/>
      <c r="AM246" s="34"/>
      <c r="AN246" s="34">
        <v>24</v>
      </c>
      <c r="AO246" s="34"/>
      <c r="AP246" s="34"/>
      <c r="AQ246" s="36">
        <v>25.7</v>
      </c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7"/>
      <c r="BF246" s="37"/>
      <c r="BG246" s="36"/>
      <c r="BH246" s="37"/>
      <c r="BI246" s="34"/>
      <c r="BJ246" s="34"/>
      <c r="BK246" s="37"/>
      <c r="BL246" s="37"/>
      <c r="BM246" s="37"/>
      <c r="BN246" s="34"/>
      <c r="BO246" s="34"/>
      <c r="BP246" s="34"/>
      <c r="BQ246" s="34"/>
      <c r="BR246" s="34"/>
      <c r="BS246" s="37"/>
      <c r="BT246" s="37"/>
      <c r="BU246" s="34"/>
      <c r="BV246" s="34"/>
      <c r="BW246" s="34"/>
      <c r="BX246" s="37"/>
      <c r="BY246" s="34"/>
      <c r="BZ246" s="34"/>
      <c r="CA246" s="37"/>
      <c r="CB246" s="37"/>
      <c r="CC246" s="34"/>
      <c r="CD246" s="37"/>
      <c r="CE246" s="37"/>
      <c r="CF246" s="37"/>
      <c r="CG246" s="37"/>
      <c r="CH246" s="37"/>
      <c r="CI246" s="37"/>
      <c r="CJ246" s="37"/>
      <c r="CK246" s="37"/>
      <c r="CL246" s="34"/>
      <c r="CM246" s="37"/>
      <c r="CN246" s="37"/>
      <c r="CO246" s="37"/>
      <c r="CP246" s="34"/>
      <c r="CQ246" s="37"/>
      <c r="CR246" s="37"/>
      <c r="CS246" s="37"/>
      <c r="CT246" s="34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  <c r="DM246" s="37"/>
      <c r="DN246" s="37"/>
      <c r="DO246" s="37"/>
      <c r="DP246" s="37"/>
      <c r="DQ246" s="37"/>
      <c r="DR246" s="37"/>
      <c r="DS246" s="37"/>
      <c r="DT246" s="37"/>
      <c r="DU246" s="37"/>
      <c r="DV246" s="37"/>
      <c r="DW246" s="37"/>
      <c r="DX246" s="37"/>
      <c r="DY246" s="37"/>
      <c r="DZ246" s="37"/>
      <c r="EA246" s="39"/>
      <c r="EB246" s="39"/>
      <c r="EC246" s="40"/>
    </row>
    <row r="247" spans="1:133">
      <c r="A247" s="44"/>
      <c r="B247" s="22" t="s">
        <v>555</v>
      </c>
      <c r="C247" s="20" t="s">
        <v>556</v>
      </c>
      <c r="D247" s="21" t="s">
        <v>529</v>
      </c>
      <c r="E247" s="21"/>
      <c r="F247" s="22"/>
      <c r="G247" s="23" t="str" cm="1">
        <f t="array" ref="G247">IFERROR(LOOKUP(2,1/(K247:GC247&lt;&gt;""),K$2:DQL$2),"")</f>
        <v/>
      </c>
      <c r="H247" s="24" t="str" cm="1">
        <f t="array" ref="H247">IFERROR(_xlfn.XLOOKUP(TRUE,P247:ED247&lt;&gt;"",P247:ED247,,,-1)," ")</f>
        <v xml:space="preserve"> </v>
      </c>
      <c r="I247" s="25"/>
      <c r="J247" s="26"/>
      <c r="K247" s="26"/>
      <c r="L247" s="26"/>
      <c r="M247" s="26"/>
      <c r="N247" s="26"/>
      <c r="O247" s="26"/>
      <c r="P247" s="26"/>
      <c r="Q247" s="26"/>
      <c r="R247" s="26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34"/>
      <c r="AF247" s="35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7"/>
      <c r="BF247" s="37"/>
      <c r="BG247" s="34"/>
      <c r="BH247" s="37"/>
      <c r="BI247" s="34"/>
      <c r="BJ247" s="34"/>
      <c r="BK247" s="37"/>
      <c r="BL247" s="37"/>
      <c r="BM247" s="37"/>
      <c r="BN247" s="34"/>
      <c r="BO247" s="34"/>
      <c r="BP247" s="34"/>
      <c r="BQ247" s="34"/>
      <c r="BR247" s="34"/>
      <c r="BS247" s="37"/>
      <c r="BT247" s="37"/>
      <c r="BU247" s="34"/>
      <c r="BV247" s="34"/>
      <c r="BW247" s="34"/>
      <c r="BX247" s="37"/>
      <c r="BY247" s="34"/>
      <c r="BZ247" s="34"/>
      <c r="CA247" s="37"/>
      <c r="CB247" s="37"/>
      <c r="CC247" s="34"/>
      <c r="CD247" s="37"/>
      <c r="CE247" s="37"/>
      <c r="CF247" s="37"/>
      <c r="CG247" s="37"/>
      <c r="CH247" s="37"/>
      <c r="CI247" s="37"/>
      <c r="CJ247" s="37"/>
      <c r="CK247" s="37"/>
      <c r="CL247" s="34"/>
      <c r="CM247" s="37"/>
      <c r="CN247" s="37"/>
      <c r="CO247" s="37"/>
      <c r="CP247" s="34"/>
      <c r="CQ247" s="37"/>
      <c r="CR247" s="37"/>
      <c r="CS247" s="37"/>
      <c r="CT247" s="34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  <c r="DM247" s="37"/>
      <c r="DN247" s="37"/>
      <c r="DO247" s="37"/>
      <c r="DP247" s="37"/>
      <c r="DQ247" s="37"/>
      <c r="DR247" s="37"/>
      <c r="DS247" s="37"/>
      <c r="DT247" s="37"/>
      <c r="DU247" s="37"/>
      <c r="DV247" s="37"/>
      <c r="DW247" s="37"/>
      <c r="DX247" s="37"/>
      <c r="DY247" s="37"/>
      <c r="DZ247" s="37"/>
      <c r="EA247" s="39"/>
      <c r="EB247" s="39"/>
      <c r="EC247" s="40"/>
    </row>
    <row r="248" spans="1:133" hidden="1">
      <c r="A248" s="44" t="s">
        <v>138</v>
      </c>
      <c r="B248" s="22" t="s">
        <v>557</v>
      </c>
      <c r="C248" s="20" t="s">
        <v>558</v>
      </c>
      <c r="D248" s="21" t="s">
        <v>529</v>
      </c>
      <c r="E248" s="21"/>
      <c r="F248" s="22" t="s">
        <v>137</v>
      </c>
      <c r="G248" s="23" t="str" cm="1">
        <f t="array" ref="G248">IFERROR(LOOKUP(2,1/(K248:GC248&lt;&gt;""),K$2:DQL$2),"")</f>
        <v>1-Aug</v>
      </c>
      <c r="H248" s="24" cm="1">
        <f t="array" ref="H248">IFERROR(_xlfn.XLOOKUP(TRUE,P248:ED248&lt;&gt;"",P248:ED248,,,-1)," ")</f>
        <v>23.4</v>
      </c>
      <c r="I248" s="25">
        <v>23.8</v>
      </c>
      <c r="J248" s="26">
        <v>25</v>
      </c>
      <c r="K248" s="26"/>
      <c r="L248" s="26"/>
      <c r="M248" s="26"/>
      <c r="N248" s="26"/>
      <c r="O248" s="26"/>
      <c r="P248" s="26"/>
      <c r="Q248" s="26"/>
      <c r="R248" s="26"/>
      <c r="S248" s="25"/>
      <c r="T248" s="25"/>
      <c r="U248" s="25"/>
      <c r="V248" s="25"/>
      <c r="W248" s="25"/>
      <c r="X248" s="25"/>
      <c r="Y248" s="25"/>
      <c r="Z248" s="25">
        <v>19.7</v>
      </c>
      <c r="AA248" s="25"/>
      <c r="AB248" s="25"/>
      <c r="AC248" s="25"/>
      <c r="AD248" s="25"/>
      <c r="AE248" s="34"/>
      <c r="AF248" s="35"/>
      <c r="AG248" s="34">
        <v>21.8</v>
      </c>
      <c r="AH248" s="34"/>
      <c r="AI248" s="34"/>
      <c r="AJ248" s="34"/>
      <c r="AK248" s="34"/>
      <c r="AL248" s="34">
        <v>22.4</v>
      </c>
      <c r="AM248" s="34"/>
      <c r="AN248" s="34"/>
      <c r="AO248" s="36">
        <v>23.4</v>
      </c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80"/>
      <c r="BB248" s="34"/>
      <c r="BC248" s="34"/>
      <c r="BD248" s="34"/>
      <c r="BE248" s="37"/>
      <c r="BF248" s="37"/>
      <c r="BG248" s="34"/>
      <c r="BH248" s="37"/>
      <c r="BI248" s="36"/>
      <c r="BJ248" s="34"/>
      <c r="BK248" s="37"/>
      <c r="BL248" s="37"/>
      <c r="BM248" s="37"/>
      <c r="BN248" s="34"/>
      <c r="BO248" s="34"/>
      <c r="BP248" s="34"/>
      <c r="BQ248" s="34"/>
      <c r="BR248" s="34"/>
      <c r="BS248" s="37"/>
      <c r="BT248" s="37"/>
      <c r="BU248" s="34"/>
      <c r="BV248" s="34"/>
      <c r="BW248" s="34"/>
      <c r="BX248" s="37"/>
      <c r="BY248" s="34"/>
      <c r="BZ248" s="34"/>
      <c r="CA248" s="37"/>
      <c r="CB248" s="37"/>
      <c r="CC248" s="34"/>
      <c r="CD248" s="37"/>
      <c r="CE248" s="37"/>
      <c r="CF248" s="37"/>
      <c r="CG248" s="37"/>
      <c r="CH248" s="37"/>
      <c r="CI248" s="37"/>
      <c r="CJ248" s="37"/>
      <c r="CK248" s="37"/>
      <c r="CL248" s="34"/>
      <c r="CM248" s="37"/>
      <c r="CN248" s="37"/>
      <c r="CO248" s="37"/>
      <c r="CP248" s="34"/>
      <c r="CQ248" s="37"/>
      <c r="CR248" s="37"/>
      <c r="CS248" s="37"/>
      <c r="CT248" s="34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  <c r="DJ248" s="37"/>
      <c r="DK248" s="37"/>
      <c r="DL248" s="37"/>
      <c r="DM248" s="37"/>
      <c r="DN248" s="37"/>
      <c r="DO248" s="37"/>
      <c r="DP248" s="37"/>
      <c r="DQ248" s="37"/>
      <c r="DR248" s="37"/>
      <c r="DS248" s="37"/>
      <c r="DT248" s="37"/>
      <c r="DU248" s="37"/>
      <c r="DV248" s="37"/>
      <c r="DW248" s="37"/>
      <c r="DX248" s="37"/>
      <c r="DY248" s="37"/>
      <c r="DZ248" s="37"/>
      <c r="EA248" s="39"/>
      <c r="EB248" s="39"/>
      <c r="EC248" s="40"/>
    </row>
    <row r="249" spans="1:133" hidden="1">
      <c r="A249" s="44" t="s">
        <v>138</v>
      </c>
      <c r="B249" s="22" t="s">
        <v>559</v>
      </c>
      <c r="C249" s="20" t="s">
        <v>560</v>
      </c>
      <c r="D249" s="21" t="s">
        <v>529</v>
      </c>
      <c r="E249" s="21"/>
      <c r="F249" s="22" t="s">
        <v>137</v>
      </c>
      <c r="G249" s="23" t="str" cm="1">
        <f t="array" ref="G249">IFERROR(LOOKUP(2,1/(K249:GC249&lt;&gt;""),K$2:DQL$2),"")</f>
        <v>3-Aug</v>
      </c>
      <c r="H249" s="24" cm="1">
        <f t="array" ref="H249">IFERROR(_xlfn.XLOOKUP(TRUE,P249:ED249&lt;&gt;"",P249:ED249,,,-1)," ")</f>
        <v>24.4</v>
      </c>
      <c r="I249" s="25">
        <v>23</v>
      </c>
      <c r="J249" s="26">
        <v>24</v>
      </c>
      <c r="K249" s="26"/>
      <c r="L249" s="26"/>
      <c r="M249" s="26"/>
      <c r="N249" s="26"/>
      <c r="O249" s="26"/>
      <c r="P249" s="26"/>
      <c r="Q249" s="26"/>
      <c r="R249" s="26"/>
      <c r="S249" s="25"/>
      <c r="T249" s="25"/>
      <c r="U249" s="25"/>
      <c r="V249" s="25">
        <v>18</v>
      </c>
      <c r="W249" s="25"/>
      <c r="X249" s="25"/>
      <c r="Y249" s="25"/>
      <c r="Z249" s="25"/>
      <c r="AA249" s="25"/>
      <c r="AB249" s="25"/>
      <c r="AC249" s="25"/>
      <c r="AD249" s="25"/>
      <c r="AE249" s="34"/>
      <c r="AF249" s="61"/>
      <c r="AG249" s="34"/>
      <c r="AH249" s="34"/>
      <c r="AI249" s="36"/>
      <c r="AJ249" s="34">
        <v>22.4</v>
      </c>
      <c r="AK249" s="34"/>
      <c r="AL249" s="36"/>
      <c r="AM249" s="36">
        <v>22.8</v>
      </c>
      <c r="AN249" s="34"/>
      <c r="AO249" s="34"/>
      <c r="AP249" s="34"/>
      <c r="AQ249" s="36">
        <v>24.4</v>
      </c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6"/>
      <c r="BE249" s="37"/>
      <c r="BF249" s="37"/>
      <c r="BG249" s="34"/>
      <c r="BH249" s="37"/>
      <c r="BI249" s="34"/>
      <c r="BJ249" s="34"/>
      <c r="BK249" s="37"/>
      <c r="BL249" s="37"/>
      <c r="BM249" s="37"/>
      <c r="BN249" s="34"/>
      <c r="BO249" s="34"/>
      <c r="BP249" s="37"/>
      <c r="BQ249" s="37"/>
      <c r="BR249" s="34"/>
      <c r="BS249" s="37"/>
      <c r="BT249" s="37"/>
      <c r="BU249" s="34"/>
      <c r="BV249" s="37"/>
      <c r="BW249" s="34"/>
      <c r="BX249" s="37"/>
      <c r="BY249" s="34"/>
      <c r="BZ249" s="36"/>
      <c r="CA249" s="37"/>
      <c r="CB249" s="37"/>
      <c r="CC249" s="34"/>
      <c r="CD249" s="37"/>
      <c r="CE249" s="37"/>
      <c r="CF249" s="37"/>
      <c r="CG249" s="37"/>
      <c r="CH249" s="37"/>
      <c r="CI249" s="37"/>
      <c r="CJ249" s="37"/>
      <c r="CK249" s="37"/>
      <c r="CL249" s="34"/>
      <c r="CM249" s="37"/>
      <c r="CN249" s="37"/>
      <c r="CO249" s="37"/>
      <c r="CP249" s="34"/>
      <c r="CQ249" s="37"/>
      <c r="CR249" s="37"/>
      <c r="CS249" s="37"/>
      <c r="CT249" s="34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  <c r="DJ249" s="37"/>
      <c r="DK249" s="37"/>
      <c r="DL249" s="37"/>
      <c r="DM249" s="37"/>
      <c r="DN249" s="37"/>
      <c r="DO249" s="37"/>
      <c r="DP249" s="37"/>
      <c r="DQ249" s="37"/>
      <c r="DR249" s="37"/>
      <c r="DS249" s="37"/>
      <c r="DT249" s="37"/>
      <c r="DU249" s="37"/>
      <c r="DV249" s="37"/>
      <c r="DW249" s="37"/>
      <c r="DX249" s="37"/>
      <c r="DY249" s="37"/>
      <c r="DZ249" s="37"/>
      <c r="EA249" s="39"/>
      <c r="EB249" s="39"/>
      <c r="EC249" s="40"/>
    </row>
    <row r="250" spans="1:133">
      <c r="A250" s="44"/>
      <c r="B250" s="22" t="s">
        <v>561</v>
      </c>
      <c r="C250" s="20" t="s">
        <v>562</v>
      </c>
      <c r="D250" s="21" t="s">
        <v>529</v>
      </c>
      <c r="E250" s="21"/>
      <c r="F250" s="22" t="s">
        <v>198</v>
      </c>
      <c r="G250" s="23" t="str" cm="1">
        <f t="array" ref="G250">IFERROR(LOOKUP(2,1/(K250:GC250&lt;&gt;""),K$2:DQL$2),"")</f>
        <v>10-Aug</v>
      </c>
      <c r="H250" s="24" cm="1">
        <f t="array" ref="H250">IFERROR(_xlfn.XLOOKUP(TRUE,P250:ED250&lt;&gt;"",P250:ED250,,,-1)," ")</f>
        <v>24.8</v>
      </c>
      <c r="I250" s="25">
        <v>23.5</v>
      </c>
      <c r="J250" s="26"/>
      <c r="K250" s="26"/>
      <c r="L250" s="26"/>
      <c r="M250" s="26"/>
      <c r="N250" s="26"/>
      <c r="O250" s="26"/>
      <c r="P250" s="26"/>
      <c r="Q250" s="26"/>
      <c r="R250" s="26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34"/>
      <c r="AF250" s="35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248">
        <v>24.8</v>
      </c>
      <c r="AY250" s="34"/>
      <c r="AZ250" s="34"/>
      <c r="BA250" s="34"/>
      <c r="BB250" s="34"/>
      <c r="BC250" s="34"/>
      <c r="BD250" s="34"/>
      <c r="BE250" s="37"/>
      <c r="BF250" s="37"/>
      <c r="BG250" s="34"/>
      <c r="BH250" s="37"/>
      <c r="BI250" s="34"/>
      <c r="BJ250" s="34"/>
      <c r="BK250" s="37"/>
      <c r="BL250" s="37"/>
      <c r="BM250" s="37"/>
      <c r="BN250" s="34"/>
      <c r="BO250" s="34"/>
      <c r="BP250" s="34"/>
      <c r="BQ250" s="34"/>
      <c r="BR250" s="34"/>
      <c r="BS250" s="37"/>
      <c r="BT250" s="37"/>
      <c r="BU250" s="34"/>
      <c r="BV250" s="34"/>
      <c r="BW250" s="34"/>
      <c r="BX250" s="37"/>
      <c r="BY250" s="34"/>
      <c r="BZ250" s="34"/>
      <c r="CA250" s="37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7"/>
      <c r="CN250" s="37"/>
      <c r="CO250" s="37"/>
      <c r="CP250" s="34"/>
      <c r="CQ250" s="37"/>
      <c r="CR250" s="37"/>
      <c r="CS250" s="37"/>
      <c r="CT250" s="34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  <c r="DJ250" s="37"/>
      <c r="DK250" s="37"/>
      <c r="DL250" s="37"/>
      <c r="DM250" s="37"/>
      <c r="DN250" s="37"/>
      <c r="DO250" s="37"/>
      <c r="DP250" s="37"/>
      <c r="DQ250" s="37"/>
      <c r="DR250" s="37"/>
      <c r="DS250" s="37"/>
      <c r="DT250" s="37"/>
      <c r="DU250" s="37"/>
      <c r="DV250" s="37"/>
      <c r="DW250" s="37"/>
      <c r="DX250" s="37"/>
      <c r="DY250" s="37"/>
      <c r="DZ250" s="37"/>
      <c r="EA250" s="39"/>
      <c r="EB250" s="39"/>
      <c r="EC250" s="40"/>
    </row>
    <row r="251" spans="1:133">
      <c r="A251" s="44"/>
      <c r="B251" s="22" t="s">
        <v>561</v>
      </c>
      <c r="C251" s="20" t="s">
        <v>563</v>
      </c>
      <c r="D251" s="21" t="s">
        <v>529</v>
      </c>
      <c r="E251" s="21"/>
      <c r="F251" s="22" t="s">
        <v>198</v>
      </c>
      <c r="G251" s="23" t="str" cm="1">
        <f t="array" ref="G251">IFERROR(LOOKUP(2,1/(K251:GC251&lt;&gt;""),K$2:DQL$2),"")</f>
        <v>15-Aug</v>
      </c>
      <c r="H251" s="24" cm="1">
        <f t="array" ref="H251">IFERROR(_xlfn.XLOOKUP(TRUE,P251:ED251&lt;&gt;"",P251:ED251,,,-1)," ")</f>
        <v>24.8</v>
      </c>
      <c r="I251" s="25">
        <v>23.5</v>
      </c>
      <c r="J251" s="26"/>
      <c r="K251" s="26"/>
      <c r="L251" s="26"/>
      <c r="M251" s="26"/>
      <c r="N251" s="26"/>
      <c r="O251" s="26"/>
      <c r="P251" s="26"/>
      <c r="Q251" s="26"/>
      <c r="R251" s="26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34"/>
      <c r="AF251" s="35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>
        <v>25</v>
      </c>
      <c r="BC251" s="34">
        <v>24.8</v>
      </c>
      <c r="BD251" s="34"/>
      <c r="BE251" s="37"/>
      <c r="BF251" s="37"/>
      <c r="BG251" s="34"/>
      <c r="BH251" s="37"/>
      <c r="BI251" s="34"/>
      <c r="BJ251" s="34"/>
      <c r="BK251" s="37"/>
      <c r="BL251" s="37"/>
      <c r="BM251" s="37"/>
      <c r="BN251" s="34"/>
      <c r="BO251" s="34"/>
      <c r="BP251" s="34"/>
      <c r="BQ251" s="34"/>
      <c r="BR251" s="34"/>
      <c r="BS251" s="37"/>
      <c r="BT251" s="37"/>
      <c r="BU251" s="34"/>
      <c r="BV251" s="34"/>
      <c r="BW251" s="34"/>
      <c r="BX251" s="37"/>
      <c r="BY251" s="34"/>
      <c r="BZ251" s="34"/>
      <c r="CA251" s="37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7"/>
      <c r="CN251" s="37"/>
      <c r="CO251" s="37"/>
      <c r="CP251" s="34"/>
      <c r="CQ251" s="37"/>
      <c r="CR251" s="37"/>
      <c r="CS251" s="37"/>
      <c r="CT251" s="34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  <c r="DI251" s="37"/>
      <c r="DJ251" s="37"/>
      <c r="DK251" s="37"/>
      <c r="DL251" s="37"/>
      <c r="DM251" s="37"/>
      <c r="DN251" s="37"/>
      <c r="DO251" s="37"/>
      <c r="DP251" s="37"/>
      <c r="DQ251" s="37"/>
      <c r="DR251" s="37"/>
      <c r="DS251" s="37"/>
      <c r="DT251" s="37"/>
      <c r="DU251" s="37"/>
      <c r="DV251" s="37"/>
      <c r="DW251" s="37"/>
      <c r="DX251" s="37"/>
      <c r="DY251" s="37"/>
      <c r="DZ251" s="37"/>
      <c r="EA251" s="39"/>
      <c r="EB251" s="39"/>
      <c r="EC251" s="40"/>
    </row>
    <row r="252" spans="1:133">
      <c r="A252" s="44"/>
      <c r="B252" s="22" t="s">
        <v>561</v>
      </c>
      <c r="C252" s="20" t="s">
        <v>564</v>
      </c>
      <c r="D252" s="21" t="s">
        <v>529</v>
      </c>
      <c r="E252" s="21"/>
      <c r="F252" s="22" t="s">
        <v>198</v>
      </c>
      <c r="G252" s="23" t="str" cm="1">
        <f t="array" ref="G252">IFERROR(LOOKUP(2,1/(K252:GC252&lt;&gt;""),K$2:DQL$2),"")</f>
        <v>15-Aug</v>
      </c>
      <c r="H252" s="24" cm="1">
        <f t="array" ref="H252">IFERROR(_xlfn.XLOOKUP(TRUE,P252:ED252&lt;&gt;"",P252:ED252,,,-1)," ")</f>
        <v>24.1</v>
      </c>
      <c r="I252" s="25">
        <v>23.5</v>
      </c>
      <c r="J252" s="26"/>
      <c r="K252" s="26"/>
      <c r="L252" s="26"/>
      <c r="M252" s="26"/>
      <c r="N252" s="26"/>
      <c r="O252" s="26"/>
      <c r="P252" s="26"/>
      <c r="Q252" s="26"/>
      <c r="R252" s="26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34"/>
      <c r="AF252" s="35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>
        <v>24</v>
      </c>
      <c r="BC252" s="34">
        <v>24.1</v>
      </c>
      <c r="BD252" s="34"/>
      <c r="BE252" s="37"/>
      <c r="BF252" s="37"/>
      <c r="BG252" s="34"/>
      <c r="BH252" s="37"/>
      <c r="BI252" s="34"/>
      <c r="BJ252" s="34"/>
      <c r="BK252" s="37"/>
      <c r="BL252" s="37"/>
      <c r="BM252" s="37"/>
      <c r="BN252" s="34"/>
      <c r="BO252" s="34"/>
      <c r="BP252" s="34"/>
      <c r="BQ252" s="34"/>
      <c r="BR252" s="34"/>
      <c r="BS252" s="37"/>
      <c r="BT252" s="37"/>
      <c r="BU252" s="34"/>
      <c r="BV252" s="34"/>
      <c r="BW252" s="34"/>
      <c r="BX252" s="37"/>
      <c r="BY252" s="34"/>
      <c r="BZ252" s="34"/>
      <c r="CA252" s="37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7"/>
      <c r="CN252" s="37"/>
      <c r="CO252" s="37"/>
      <c r="CP252" s="34"/>
      <c r="CQ252" s="37"/>
      <c r="CR252" s="37"/>
      <c r="CS252" s="37"/>
      <c r="CT252" s="34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  <c r="DI252" s="37"/>
      <c r="DJ252" s="37"/>
      <c r="DK252" s="37"/>
      <c r="DL252" s="37"/>
      <c r="DM252" s="37"/>
      <c r="DN252" s="37"/>
      <c r="DO252" s="37"/>
      <c r="DP252" s="37"/>
      <c r="DQ252" s="37"/>
      <c r="DR252" s="37"/>
      <c r="DS252" s="37"/>
      <c r="DT252" s="37"/>
      <c r="DU252" s="37"/>
      <c r="DV252" s="37"/>
      <c r="DW252" s="37"/>
      <c r="DX252" s="37"/>
      <c r="DY252" s="37"/>
      <c r="DZ252" s="37"/>
      <c r="EA252" s="39"/>
      <c r="EB252" s="39"/>
      <c r="EC252" s="40"/>
    </row>
    <row r="253" spans="1:133">
      <c r="A253" s="44"/>
      <c r="B253" s="22" t="s">
        <v>561</v>
      </c>
      <c r="C253" s="20" t="s">
        <v>565</v>
      </c>
      <c r="D253" s="21" t="s">
        <v>529</v>
      </c>
      <c r="E253" s="21"/>
      <c r="F253" s="22" t="s">
        <v>198</v>
      </c>
      <c r="G253" s="23" t="str" cm="1">
        <f t="array" ref="G253">IFERROR(LOOKUP(2,1/(K253:GC253&lt;&gt;""),K$2:DQL$2),"")</f>
        <v>15-Aug</v>
      </c>
      <c r="H253" s="24" cm="1">
        <f t="array" ref="H253">IFERROR(_xlfn.XLOOKUP(TRUE,P253:ED253&lt;&gt;"",P253:ED253,,,-1)," ")</f>
        <v>23.6</v>
      </c>
      <c r="I253" s="25">
        <v>23.5</v>
      </c>
      <c r="J253" s="26"/>
      <c r="K253" s="26"/>
      <c r="L253" s="26"/>
      <c r="M253" s="26"/>
      <c r="N253" s="26"/>
      <c r="O253" s="26"/>
      <c r="P253" s="26"/>
      <c r="Q253" s="26"/>
      <c r="R253" s="26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34"/>
      <c r="AF253" s="35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>
        <v>23.2</v>
      </c>
      <c r="BC253" s="34">
        <v>23.6</v>
      </c>
      <c r="BD253" s="34"/>
      <c r="BE253" s="37"/>
      <c r="BF253" s="37"/>
      <c r="BG253" s="34"/>
      <c r="BH253" s="37"/>
      <c r="BI253" s="34"/>
      <c r="BJ253" s="34"/>
      <c r="BK253" s="37"/>
      <c r="BL253" s="37"/>
      <c r="BM253" s="37"/>
      <c r="BN253" s="34"/>
      <c r="BO253" s="34"/>
      <c r="BP253" s="34"/>
      <c r="BQ253" s="34"/>
      <c r="BR253" s="34"/>
      <c r="BS253" s="37"/>
      <c r="BT253" s="37"/>
      <c r="BU253" s="34"/>
      <c r="BV253" s="34"/>
      <c r="BW253" s="34"/>
      <c r="BX253" s="37"/>
      <c r="BY253" s="34"/>
      <c r="BZ253" s="34"/>
      <c r="CA253" s="37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7"/>
      <c r="CN253" s="37"/>
      <c r="CO253" s="37"/>
      <c r="CP253" s="34"/>
      <c r="CQ253" s="37"/>
      <c r="CR253" s="37"/>
      <c r="CS253" s="37"/>
      <c r="CT253" s="34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  <c r="DI253" s="37"/>
      <c r="DJ253" s="37"/>
      <c r="DK253" s="37"/>
      <c r="DL253" s="37"/>
      <c r="DM253" s="37"/>
      <c r="DN253" s="37"/>
      <c r="DO253" s="37"/>
      <c r="DP253" s="37"/>
      <c r="DQ253" s="37"/>
      <c r="DR253" s="37"/>
      <c r="DS253" s="37"/>
      <c r="DT253" s="37"/>
      <c r="DU253" s="37"/>
      <c r="DV253" s="37"/>
      <c r="DW253" s="37"/>
      <c r="DX253" s="37"/>
      <c r="DY253" s="37"/>
      <c r="DZ253" s="37"/>
      <c r="EA253" s="39"/>
      <c r="EB253" s="39"/>
      <c r="EC253" s="40"/>
    </row>
    <row r="254" spans="1:133">
      <c r="A254" s="44"/>
      <c r="B254" s="22" t="s">
        <v>566</v>
      </c>
      <c r="C254" s="20" t="s">
        <v>567</v>
      </c>
      <c r="D254" s="21" t="s">
        <v>568</v>
      </c>
      <c r="E254" s="21"/>
      <c r="F254" s="22" t="s">
        <v>137</v>
      </c>
      <c r="G254" s="23" t="str" cm="1">
        <f t="array" ref="G254">IFERROR(LOOKUP(2,1/(K254:GC254&lt;&gt;""),K$2:DQL$2),"")</f>
        <v>23-Jul</v>
      </c>
      <c r="H254" s="24" cm="1">
        <f t="array" ref="H254">IFERROR(_xlfn.XLOOKUP(TRUE,P254:ED254&lt;&gt;"",P254:ED254,,,-1)," ")</f>
        <v>21</v>
      </c>
      <c r="I254" s="25">
        <v>17.5</v>
      </c>
      <c r="J254" s="26">
        <v>19.5</v>
      </c>
      <c r="K254" s="26"/>
      <c r="L254" s="26"/>
      <c r="M254" s="26"/>
      <c r="N254" s="26"/>
      <c r="O254" s="26"/>
      <c r="P254" s="26"/>
      <c r="Q254" s="26"/>
      <c r="R254" s="26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34"/>
      <c r="AF254" s="35">
        <v>21</v>
      </c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8"/>
      <c r="BF254" s="37"/>
      <c r="BG254" s="36"/>
      <c r="BH254" s="37"/>
      <c r="BI254" s="37"/>
      <c r="BJ254" s="37"/>
      <c r="BK254" s="38"/>
      <c r="BL254" s="37"/>
      <c r="BM254" s="37"/>
      <c r="BN254" s="38"/>
      <c r="BO254" s="37"/>
      <c r="BP254" s="37"/>
      <c r="BQ254" s="34"/>
      <c r="BR254" s="34"/>
      <c r="BS254" s="38"/>
      <c r="BT254" s="37"/>
      <c r="BU254" s="34"/>
      <c r="BV254" s="34"/>
      <c r="BW254" s="34"/>
      <c r="BX254" s="37"/>
      <c r="BY254" s="34"/>
      <c r="BZ254" s="36"/>
      <c r="CA254" s="37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43"/>
      <c r="CN254" s="37"/>
      <c r="CO254" s="37"/>
      <c r="CP254" s="34"/>
      <c r="CQ254" s="37"/>
      <c r="CR254" s="37"/>
      <c r="CS254" s="37"/>
      <c r="CT254" s="34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  <c r="DI254" s="37"/>
      <c r="DJ254" s="37"/>
      <c r="DK254" s="37"/>
      <c r="DL254" s="37"/>
      <c r="DM254" s="37"/>
      <c r="DN254" s="37"/>
      <c r="DO254" s="37"/>
      <c r="DP254" s="37"/>
      <c r="DQ254" s="37"/>
      <c r="DR254" s="37"/>
      <c r="DS254" s="37"/>
      <c r="DT254" s="37"/>
      <c r="DU254" s="37"/>
      <c r="DV254" s="37"/>
      <c r="DW254" s="37"/>
      <c r="DX254" s="37"/>
      <c r="DY254" s="37"/>
      <c r="DZ254" s="37"/>
      <c r="EA254" s="39"/>
      <c r="EB254" s="39"/>
      <c r="EC254" s="40"/>
    </row>
    <row r="255" spans="1:133">
      <c r="A255" s="44"/>
      <c r="B255" s="22" t="s">
        <v>569</v>
      </c>
      <c r="C255" s="20" t="s">
        <v>570</v>
      </c>
      <c r="D255" s="21" t="s">
        <v>568</v>
      </c>
      <c r="E255" s="21"/>
      <c r="F255" s="22" t="s">
        <v>465</v>
      </c>
      <c r="G255" s="23" t="str" cm="1">
        <f t="array" ref="G255">IFERROR(LOOKUP(2,1/(K255:GC255&lt;&gt;""),K$2:DQL$2),"")</f>
        <v>13-Aug</v>
      </c>
      <c r="H255" s="24" cm="1">
        <f t="array" ref="H255">IFERROR(_xlfn.XLOOKUP(TRUE,P255:ED255&lt;&gt;"",P255:ED255,,,-1)," ")</f>
        <v>22.3</v>
      </c>
      <c r="I255" s="25">
        <v>17.5</v>
      </c>
      <c r="J255" s="26"/>
      <c r="K255" s="26"/>
      <c r="L255" s="26"/>
      <c r="M255" s="26"/>
      <c r="N255" s="26"/>
      <c r="O255" s="26"/>
      <c r="P255" s="26">
        <v>14.4</v>
      </c>
      <c r="Q255" s="26"/>
      <c r="R255" s="26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34"/>
      <c r="AF255" s="35"/>
      <c r="AG255" s="34"/>
      <c r="AH255" s="34"/>
      <c r="AI255" s="36"/>
      <c r="AJ255" s="34"/>
      <c r="AK255" s="34"/>
      <c r="AL255" s="34"/>
      <c r="AM255" s="34"/>
      <c r="AN255" s="34"/>
      <c r="AO255" s="34"/>
      <c r="AP255" s="36"/>
      <c r="AQ255" s="34"/>
      <c r="AR255" s="34"/>
      <c r="AS255" s="60"/>
      <c r="AT255" s="36"/>
      <c r="AU255" s="34"/>
      <c r="AV255" s="36"/>
      <c r="AW255" s="34"/>
      <c r="AX255" s="34"/>
      <c r="AY255" s="34"/>
      <c r="AZ255" s="34"/>
      <c r="BA255" s="34">
        <v>22.3</v>
      </c>
      <c r="BB255" s="34"/>
      <c r="BC255" s="34"/>
      <c r="BD255" s="36"/>
      <c r="BE255" s="37"/>
      <c r="BF255" s="37"/>
      <c r="BG255" s="34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4"/>
      <c r="BS255" s="37"/>
      <c r="BT255" s="37"/>
      <c r="BU255" s="34"/>
      <c r="BV255" s="37"/>
      <c r="BW255" s="34"/>
      <c r="BX255" s="37"/>
      <c r="BY255" s="34"/>
      <c r="BZ255" s="34"/>
      <c r="CA255" s="37"/>
      <c r="CB255" s="37"/>
      <c r="CC255" s="34"/>
      <c r="CD255" s="37"/>
      <c r="CE255" s="37"/>
      <c r="CF255" s="37"/>
      <c r="CG255" s="37"/>
      <c r="CH255" s="37"/>
      <c r="CI255" s="37"/>
      <c r="CJ255" s="37"/>
      <c r="CK255" s="37"/>
      <c r="CL255" s="34"/>
      <c r="CM255" s="37"/>
      <c r="CN255" s="37"/>
      <c r="CO255" s="37"/>
      <c r="CP255" s="34"/>
      <c r="CQ255" s="37"/>
      <c r="CR255" s="37"/>
      <c r="CS255" s="37"/>
      <c r="CT255" s="34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  <c r="DI255" s="37"/>
      <c r="DJ255" s="37"/>
      <c r="DK255" s="37"/>
      <c r="DL255" s="37"/>
      <c r="DM255" s="37"/>
      <c r="DN255" s="37"/>
      <c r="DO255" s="37"/>
      <c r="DP255" s="37"/>
      <c r="DQ255" s="37"/>
      <c r="DR255" s="37"/>
      <c r="DS255" s="37"/>
      <c r="DT255" s="37"/>
      <c r="DU255" s="37"/>
      <c r="DV255" s="37"/>
      <c r="DW255" s="37"/>
      <c r="DX255" s="37"/>
      <c r="DY255" s="37"/>
      <c r="DZ255" s="37"/>
      <c r="EA255" s="39"/>
      <c r="EB255" s="39"/>
      <c r="EC255" s="40"/>
    </row>
    <row r="256" spans="1:133" hidden="1">
      <c r="A256" s="44" t="s">
        <v>138</v>
      </c>
      <c r="B256" s="22"/>
      <c r="C256" s="20" t="s">
        <v>567</v>
      </c>
      <c r="D256" s="21" t="s">
        <v>568</v>
      </c>
      <c r="E256" s="21"/>
      <c r="F256" s="22" t="s">
        <v>137</v>
      </c>
      <c r="G256" s="23" t="str" cm="1">
        <f t="array" ref="G256">IFERROR(LOOKUP(2,1/(K256:GC256&lt;&gt;""),K$2:DQL$2),"")</f>
        <v>13-Jul</v>
      </c>
      <c r="H256" s="24" cm="1">
        <f t="array" ref="H256">IFERROR(_xlfn.XLOOKUP(TRUE,P256:ED256&lt;&gt;"",P256:ED256,,,-1)," ")</f>
        <v>18.3</v>
      </c>
      <c r="I256" s="25">
        <v>17.5</v>
      </c>
      <c r="J256" s="26">
        <v>19.5</v>
      </c>
      <c r="K256" s="26"/>
      <c r="L256" s="26"/>
      <c r="M256" s="26"/>
      <c r="N256" s="26"/>
      <c r="O256" s="26"/>
      <c r="P256" s="245" t="s">
        <v>571</v>
      </c>
      <c r="Q256" s="26"/>
      <c r="R256" s="26"/>
      <c r="S256" s="25"/>
      <c r="T256" s="25"/>
      <c r="U256" s="25"/>
      <c r="V256" s="217">
        <v>18.3</v>
      </c>
      <c r="W256" s="25"/>
      <c r="X256" s="25"/>
      <c r="Y256" s="25"/>
      <c r="Z256" s="25"/>
      <c r="AA256" s="25"/>
      <c r="AB256" s="25"/>
      <c r="AC256" s="25"/>
      <c r="AD256" s="25"/>
      <c r="AE256" s="34"/>
      <c r="AF256" s="35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7"/>
      <c r="BF256" s="37"/>
      <c r="BG256" s="34"/>
      <c r="BH256" s="34"/>
      <c r="BI256" s="34"/>
      <c r="BJ256" s="34"/>
      <c r="BK256" s="34"/>
      <c r="BL256" s="34"/>
      <c r="BM256" s="37"/>
      <c r="BN256" s="34"/>
      <c r="BO256" s="34"/>
      <c r="BP256" s="34"/>
      <c r="BQ256" s="34"/>
      <c r="BR256" s="34"/>
      <c r="BS256" s="37"/>
      <c r="BT256" s="37"/>
      <c r="BU256" s="34"/>
      <c r="BV256" s="34"/>
      <c r="BW256" s="34"/>
      <c r="BX256" s="37"/>
      <c r="BY256" s="34"/>
      <c r="BZ256" s="36"/>
      <c r="CA256" s="37"/>
      <c r="CB256" s="37"/>
      <c r="CC256" s="34"/>
      <c r="CD256" s="37"/>
      <c r="CE256" s="37"/>
      <c r="CF256" s="37"/>
      <c r="CG256" s="37"/>
      <c r="CH256" s="37"/>
      <c r="CI256" s="37"/>
      <c r="CJ256" s="37"/>
      <c r="CK256" s="37"/>
      <c r="CL256" s="34"/>
      <c r="CM256" s="37"/>
      <c r="CN256" s="37"/>
      <c r="CO256" s="37"/>
      <c r="CP256" s="34"/>
      <c r="CQ256" s="37"/>
      <c r="CR256" s="34"/>
      <c r="CS256" s="37"/>
      <c r="CT256" s="34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  <c r="DI256" s="37"/>
      <c r="DJ256" s="37"/>
      <c r="DK256" s="37"/>
      <c r="DL256" s="37"/>
      <c r="DM256" s="37"/>
      <c r="DN256" s="37"/>
      <c r="DO256" s="37"/>
      <c r="DP256" s="37"/>
      <c r="DQ256" s="37"/>
      <c r="DR256" s="37"/>
      <c r="DS256" s="37"/>
      <c r="DT256" s="37"/>
      <c r="DU256" s="37"/>
      <c r="DV256" s="37"/>
      <c r="DW256" s="37"/>
      <c r="DX256" s="37"/>
      <c r="DY256" s="37"/>
      <c r="DZ256" s="37"/>
      <c r="EA256" s="39"/>
      <c r="EB256" s="39"/>
      <c r="EC256" s="40"/>
    </row>
    <row r="257" spans="1:133">
      <c r="A257" s="44"/>
      <c r="B257" s="22"/>
      <c r="C257" s="20" t="s">
        <v>572</v>
      </c>
      <c r="D257" s="21" t="s">
        <v>568</v>
      </c>
      <c r="E257" s="21"/>
      <c r="F257" s="22" t="s">
        <v>465</v>
      </c>
      <c r="G257" s="23" t="str" cm="1">
        <f t="array" ref="G257">IFERROR(LOOKUP(2,1/(K257:GC257&lt;&gt;""),K$2:DQL$2),"")</f>
        <v>11-Aug</v>
      </c>
      <c r="H257" s="24" cm="1">
        <f t="array" ref="H257">IFERROR(_xlfn.XLOOKUP(TRUE,P257:ED257&lt;&gt;"",P257:ED257,,,-1)," ")</f>
        <v>22.9</v>
      </c>
      <c r="I257" s="25"/>
      <c r="J257" s="26"/>
      <c r="K257" s="26"/>
      <c r="L257" s="26"/>
      <c r="M257" s="26"/>
      <c r="N257" s="26"/>
      <c r="O257" s="26"/>
      <c r="P257" s="245" t="s">
        <v>571</v>
      </c>
      <c r="Q257" s="26"/>
      <c r="R257" s="26"/>
      <c r="S257" s="25"/>
      <c r="T257" s="25"/>
      <c r="U257" s="25"/>
      <c r="V257" s="217">
        <v>18.3</v>
      </c>
      <c r="W257" s="25"/>
      <c r="X257" s="25"/>
      <c r="Y257" s="25"/>
      <c r="Z257" s="25"/>
      <c r="AA257" s="25"/>
      <c r="AB257" s="25"/>
      <c r="AC257" s="25"/>
      <c r="AD257" s="25"/>
      <c r="AE257" s="34"/>
      <c r="AF257" s="35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>
        <v>22.9</v>
      </c>
      <c r="AZ257" s="34"/>
      <c r="BA257" s="34"/>
      <c r="BB257" s="34"/>
      <c r="BC257" s="34"/>
      <c r="BD257" s="34"/>
      <c r="BE257" s="37"/>
      <c r="BF257" s="37"/>
      <c r="BG257" s="34"/>
      <c r="BH257" s="34"/>
      <c r="BI257" s="34"/>
      <c r="BJ257" s="34"/>
      <c r="BK257" s="34"/>
      <c r="BL257" s="34"/>
      <c r="BM257" s="37"/>
      <c r="BN257" s="34"/>
      <c r="BO257" s="34"/>
      <c r="BP257" s="34"/>
      <c r="BQ257" s="34"/>
      <c r="BR257" s="34"/>
      <c r="BS257" s="37"/>
      <c r="BT257" s="37"/>
      <c r="BU257" s="34"/>
      <c r="BV257" s="34"/>
      <c r="BW257" s="34"/>
      <c r="BX257" s="37"/>
      <c r="BY257" s="34"/>
      <c r="BZ257" s="36"/>
      <c r="CA257" s="37"/>
      <c r="CB257" s="37"/>
      <c r="CC257" s="34"/>
      <c r="CD257" s="37"/>
      <c r="CE257" s="37"/>
      <c r="CF257" s="37"/>
      <c r="CG257" s="37"/>
      <c r="CH257" s="37"/>
      <c r="CI257" s="37"/>
      <c r="CJ257" s="37"/>
      <c r="CK257" s="37"/>
      <c r="CL257" s="34"/>
      <c r="CM257" s="37"/>
      <c r="CN257" s="37"/>
      <c r="CO257" s="37"/>
      <c r="CP257" s="34"/>
      <c r="CQ257" s="37"/>
      <c r="CR257" s="34"/>
      <c r="CS257" s="37"/>
      <c r="CT257" s="34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  <c r="DI257" s="37"/>
      <c r="DJ257" s="37"/>
      <c r="DK257" s="37"/>
      <c r="DL257" s="37"/>
      <c r="DM257" s="37"/>
      <c r="DN257" s="37"/>
      <c r="DO257" s="37"/>
      <c r="DP257" s="37"/>
      <c r="DQ257" s="37"/>
      <c r="DR257" s="37"/>
      <c r="DS257" s="37"/>
      <c r="DT257" s="37"/>
      <c r="DU257" s="37"/>
      <c r="DV257" s="37"/>
      <c r="DW257" s="37"/>
      <c r="DX257" s="37"/>
      <c r="DY257" s="37"/>
      <c r="DZ257" s="37"/>
      <c r="EA257" s="39"/>
      <c r="EB257" s="39"/>
      <c r="EC257" s="40"/>
    </row>
    <row r="258" spans="1:133" hidden="1">
      <c r="A258" s="44" t="s">
        <v>138</v>
      </c>
      <c r="B258" s="22" t="s">
        <v>566</v>
      </c>
      <c r="C258" s="20" t="s">
        <v>573</v>
      </c>
      <c r="D258" s="21" t="s">
        <v>568</v>
      </c>
      <c r="E258" s="21"/>
      <c r="F258" s="22" t="s">
        <v>137</v>
      </c>
      <c r="G258" s="23" t="str" cm="1">
        <f t="array" ref="G258">IFERROR(LOOKUP(2,1/(K258:GC258&lt;&gt;""),K$2:DQL$2),"")</f>
        <v>15-Jul</v>
      </c>
      <c r="H258" s="24" cm="1">
        <f t="array" ref="H258">IFERROR(_xlfn.XLOOKUP(TRUE,P258:ED258&lt;&gt;"",P258:ED258,,,-1)," ")</f>
        <v>19.399999999999999</v>
      </c>
      <c r="I258" s="25">
        <v>17.5</v>
      </c>
      <c r="J258" s="26">
        <v>19.5</v>
      </c>
      <c r="K258" s="26">
        <v>15</v>
      </c>
      <c r="L258" s="26"/>
      <c r="M258" s="26"/>
      <c r="N258" s="26"/>
      <c r="O258" s="26"/>
      <c r="P258" s="26"/>
      <c r="Q258" s="26"/>
      <c r="R258" s="26">
        <v>17.399999999999999</v>
      </c>
      <c r="S258" s="25"/>
      <c r="T258" s="25"/>
      <c r="U258" s="25"/>
      <c r="V258" s="25"/>
      <c r="W258" s="25"/>
      <c r="X258" s="217">
        <v>19.399999999999999</v>
      </c>
      <c r="Y258" s="25"/>
      <c r="Z258" s="25"/>
      <c r="AA258" s="25"/>
      <c r="AB258" s="25"/>
      <c r="AC258" s="25"/>
      <c r="AD258" s="25"/>
      <c r="AE258" s="34"/>
      <c r="AF258" s="35"/>
      <c r="AG258" s="34"/>
      <c r="AH258" s="34"/>
      <c r="AI258" s="36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6"/>
      <c r="AW258" s="34"/>
      <c r="AX258" s="34"/>
      <c r="AY258" s="34"/>
      <c r="AZ258" s="34"/>
      <c r="BA258" s="34"/>
      <c r="BB258" s="34"/>
      <c r="BC258" s="34"/>
      <c r="BD258" s="34"/>
      <c r="BE258" s="37"/>
      <c r="BF258" s="37"/>
      <c r="BG258" s="34"/>
      <c r="BH258" s="37"/>
      <c r="BI258" s="37"/>
      <c r="BJ258" s="37"/>
      <c r="BK258" s="37"/>
      <c r="BL258" s="37"/>
      <c r="BM258" s="37"/>
      <c r="BN258" s="38"/>
      <c r="BO258" s="37"/>
      <c r="BP258" s="37"/>
      <c r="BQ258" s="34"/>
      <c r="BR258" s="34"/>
      <c r="BS258" s="37"/>
      <c r="BT258" s="37"/>
      <c r="BU258" s="34"/>
      <c r="BV258" s="34"/>
      <c r="BW258" s="34"/>
      <c r="BX258" s="37"/>
      <c r="BY258" s="34"/>
      <c r="BZ258" s="36"/>
      <c r="CA258" s="37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43"/>
      <c r="CN258" s="37"/>
      <c r="CO258" s="37"/>
      <c r="CP258" s="34"/>
      <c r="CQ258" s="37"/>
      <c r="CR258" s="37"/>
      <c r="CS258" s="37"/>
      <c r="CT258" s="34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  <c r="DJ258" s="37"/>
      <c r="DK258" s="37"/>
      <c r="DL258" s="37"/>
      <c r="DM258" s="37"/>
      <c r="DN258" s="37"/>
      <c r="DO258" s="37"/>
      <c r="DP258" s="37"/>
      <c r="DQ258" s="37"/>
      <c r="DR258" s="37"/>
      <c r="DS258" s="37"/>
      <c r="DT258" s="37"/>
      <c r="DU258" s="37"/>
      <c r="DV258" s="37"/>
      <c r="DW258" s="37"/>
      <c r="DX258" s="37"/>
      <c r="DY258" s="37"/>
      <c r="DZ258" s="37"/>
      <c r="EA258" s="39"/>
      <c r="EB258" s="39"/>
      <c r="EC258" s="40"/>
    </row>
    <row r="259" spans="1:133" hidden="1">
      <c r="A259" s="44" t="s">
        <v>138</v>
      </c>
      <c r="B259" s="22" t="s">
        <v>566</v>
      </c>
      <c r="C259" s="20" t="s">
        <v>574</v>
      </c>
      <c r="D259" s="21" t="s">
        <v>568</v>
      </c>
      <c r="E259" s="21"/>
      <c r="F259" s="22" t="s">
        <v>137</v>
      </c>
      <c r="G259" s="23" t="str" cm="1">
        <f t="array" ref="G259">IFERROR(LOOKUP(2,1/(K259:GC259&lt;&gt;""),K$2:DQL$2),"")</f>
        <v>15-Jul</v>
      </c>
      <c r="H259" s="24" cm="1">
        <f t="array" ref="H259">IFERROR(_xlfn.XLOOKUP(TRUE,P259:ED259&lt;&gt;"",P259:ED259,,,-1)," ")</f>
        <v>18.2</v>
      </c>
      <c r="I259" s="25">
        <v>17.5</v>
      </c>
      <c r="J259" s="25">
        <v>19.5</v>
      </c>
      <c r="K259" s="25">
        <v>14.4</v>
      </c>
      <c r="L259" s="25"/>
      <c r="M259" s="25"/>
      <c r="N259" s="25"/>
      <c r="O259" s="25"/>
      <c r="P259" s="25"/>
      <c r="Q259" s="25"/>
      <c r="R259" s="25">
        <v>16.7</v>
      </c>
      <c r="S259" s="25"/>
      <c r="T259" s="25"/>
      <c r="U259" s="25"/>
      <c r="V259" s="25"/>
      <c r="W259" s="25"/>
      <c r="X259" s="25">
        <v>18.2</v>
      </c>
      <c r="Y259" s="25"/>
      <c r="Z259" s="25"/>
      <c r="AA259" s="25"/>
      <c r="AB259" s="25"/>
      <c r="AC259" s="25"/>
      <c r="AD259" s="25"/>
      <c r="AE259" s="34"/>
      <c r="AF259" s="34"/>
      <c r="AG259" s="34"/>
      <c r="AH259" s="34"/>
      <c r="AI259" s="34"/>
      <c r="AJ259" s="34"/>
      <c r="AK259" s="34"/>
      <c r="AL259" s="36"/>
      <c r="AM259" s="34"/>
      <c r="AN259" s="34"/>
      <c r="AO259" s="34"/>
      <c r="AP259" s="34"/>
      <c r="AQ259" s="34"/>
      <c r="AR259" s="34"/>
      <c r="AS259" s="34"/>
      <c r="AT259" s="36"/>
      <c r="AU259" s="34"/>
      <c r="AV259" s="34"/>
      <c r="AW259" s="34"/>
      <c r="AX259" s="34"/>
      <c r="AY259" s="34"/>
      <c r="AZ259" s="34"/>
      <c r="BA259" s="34"/>
      <c r="BB259" s="34"/>
      <c r="BC259" s="34"/>
      <c r="BD259" s="36"/>
      <c r="BE259" s="37"/>
      <c r="BF259" s="37"/>
      <c r="BG259" s="36"/>
      <c r="BH259" s="37"/>
      <c r="BI259" s="37"/>
      <c r="BJ259" s="37"/>
      <c r="BK259" s="38"/>
      <c r="BL259" s="37"/>
      <c r="BM259" s="37"/>
      <c r="BN259" s="37"/>
      <c r="BO259" s="37"/>
      <c r="BP259" s="37"/>
      <c r="BQ259" s="34"/>
      <c r="BR259" s="34"/>
      <c r="BS259" s="37"/>
      <c r="BT259" s="37"/>
      <c r="BU259" s="34"/>
      <c r="BV259" s="34"/>
      <c r="BW259" s="34"/>
      <c r="BX259" s="37"/>
      <c r="BY259" s="34"/>
      <c r="BZ259" s="36"/>
      <c r="CA259" s="37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43"/>
      <c r="CN259" s="37"/>
      <c r="CO259" s="37"/>
      <c r="CP259" s="34"/>
      <c r="CQ259" s="37"/>
      <c r="CR259" s="37"/>
      <c r="CS259" s="37"/>
      <c r="CT259" s="34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  <c r="DI259" s="37"/>
      <c r="DJ259" s="37"/>
      <c r="DK259" s="37"/>
      <c r="DL259" s="37"/>
      <c r="DM259" s="37"/>
      <c r="DN259" s="37"/>
      <c r="DO259" s="37"/>
      <c r="DP259" s="37"/>
      <c r="DQ259" s="37"/>
      <c r="DR259" s="37"/>
      <c r="DS259" s="37"/>
      <c r="DT259" s="37"/>
      <c r="DU259" s="37"/>
      <c r="DV259" s="37"/>
      <c r="DW259" s="37"/>
      <c r="DX259" s="37"/>
      <c r="DY259" s="37"/>
      <c r="DZ259" s="37"/>
      <c r="EA259" s="39"/>
      <c r="EB259" s="39"/>
      <c r="EC259" s="40"/>
    </row>
    <row r="260" spans="1:133" hidden="1">
      <c r="A260" s="44" t="s">
        <v>138</v>
      </c>
      <c r="B260" s="22" t="s">
        <v>575</v>
      </c>
      <c r="C260" s="20" t="s">
        <v>576</v>
      </c>
      <c r="D260" s="21" t="s">
        <v>577</v>
      </c>
      <c r="E260" s="21"/>
      <c r="F260" s="22" t="s">
        <v>137</v>
      </c>
      <c r="G260" s="23" t="str" cm="1">
        <f t="array" ref="G260">IFERROR(LOOKUP(2,1/(K260:GC260&lt;&gt;""),K$2:DQL$2),"")</f>
        <v>1-Aug</v>
      </c>
      <c r="H260" s="24" cm="1">
        <f t="array" ref="H260">IFERROR(_xlfn.XLOOKUP(TRUE,P260:ED260&lt;&gt;"",P260:ED260,,,-1)," ")</f>
        <v>20.5</v>
      </c>
      <c r="I260" s="25">
        <v>20</v>
      </c>
      <c r="J260" s="26">
        <v>21</v>
      </c>
      <c r="K260" s="26"/>
      <c r="L260" s="26"/>
      <c r="M260" s="26"/>
      <c r="N260" s="26"/>
      <c r="O260" s="26"/>
      <c r="P260" s="26"/>
      <c r="Q260" s="26"/>
      <c r="R260" s="26"/>
      <c r="S260" s="25"/>
      <c r="T260" s="25"/>
      <c r="U260" s="25"/>
      <c r="V260" s="25"/>
      <c r="W260" s="25"/>
      <c r="X260" s="25"/>
      <c r="Y260" s="25">
        <v>16.8</v>
      </c>
      <c r="Z260" s="25"/>
      <c r="AA260" s="25"/>
      <c r="AB260" s="25"/>
      <c r="AC260" s="25"/>
      <c r="AD260" s="25"/>
      <c r="AE260" s="34"/>
      <c r="AF260" s="35">
        <v>17.399999999999999</v>
      </c>
      <c r="AG260" s="34"/>
      <c r="AH260" s="34"/>
      <c r="AI260" s="34"/>
      <c r="AJ260" s="34"/>
      <c r="AK260" s="34"/>
      <c r="AL260" s="34">
        <v>19.100000000000001</v>
      </c>
      <c r="AM260" s="34"/>
      <c r="AN260" s="34"/>
      <c r="AO260" s="36">
        <v>20.5</v>
      </c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6"/>
      <c r="BE260" s="37"/>
      <c r="BF260" s="37"/>
      <c r="BG260" s="36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4"/>
      <c r="BS260" s="37"/>
      <c r="BT260" s="37"/>
      <c r="BU260" s="34"/>
      <c r="BV260" s="37"/>
      <c r="BW260" s="34"/>
      <c r="BX260" s="37"/>
      <c r="BY260" s="34"/>
      <c r="BZ260" s="34"/>
      <c r="CA260" s="37"/>
      <c r="CB260" s="37"/>
      <c r="CC260" s="34"/>
      <c r="CD260" s="37"/>
      <c r="CE260" s="37"/>
      <c r="CF260" s="37"/>
      <c r="CG260" s="37"/>
      <c r="CH260" s="37"/>
      <c r="CI260" s="37"/>
      <c r="CJ260" s="37"/>
      <c r="CK260" s="37"/>
      <c r="CL260" s="34"/>
      <c r="CM260" s="37"/>
      <c r="CN260" s="37"/>
      <c r="CO260" s="37"/>
      <c r="CP260" s="34"/>
      <c r="CQ260" s="37"/>
      <c r="CR260" s="37"/>
      <c r="CS260" s="37"/>
      <c r="CT260" s="34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  <c r="DI260" s="37"/>
      <c r="DJ260" s="37"/>
      <c r="DK260" s="37"/>
      <c r="DL260" s="37"/>
      <c r="DM260" s="37"/>
      <c r="DN260" s="37"/>
      <c r="DO260" s="37"/>
      <c r="DP260" s="37"/>
      <c r="DQ260" s="37"/>
      <c r="DR260" s="37"/>
      <c r="DS260" s="37"/>
      <c r="DT260" s="37"/>
      <c r="DU260" s="37"/>
      <c r="DV260" s="37"/>
      <c r="DW260" s="37"/>
      <c r="DX260" s="37"/>
      <c r="DY260" s="37"/>
      <c r="DZ260" s="37"/>
      <c r="EA260" s="39"/>
      <c r="EB260" s="39"/>
      <c r="EC260" s="40"/>
    </row>
    <row r="261" spans="1:133" hidden="1">
      <c r="A261" s="44" t="s">
        <v>138</v>
      </c>
      <c r="B261" s="22" t="s">
        <v>578</v>
      </c>
      <c r="C261" s="20" t="s">
        <v>579</v>
      </c>
      <c r="D261" s="21" t="s">
        <v>577</v>
      </c>
      <c r="E261" s="21"/>
      <c r="F261" s="22" t="s">
        <v>345</v>
      </c>
      <c r="G261" s="23" t="str" cm="1">
        <f t="array" ref="G261">IFERROR(LOOKUP(2,1/(K261:GC261&lt;&gt;""),K$2:DQL$2),"")</f>
        <v>7-Aug</v>
      </c>
      <c r="H261" s="24" cm="1">
        <f t="array" ref="H261">IFERROR(_xlfn.XLOOKUP(TRUE,P261:ED261&lt;&gt;"",P261:ED261,,,-1)," ")</f>
        <v>22.5</v>
      </c>
      <c r="I261" s="25">
        <v>20</v>
      </c>
      <c r="J261" s="26"/>
      <c r="K261" s="26"/>
      <c r="L261" s="26"/>
      <c r="M261" s="26"/>
      <c r="N261" s="26"/>
      <c r="O261" s="26"/>
      <c r="P261" s="26"/>
      <c r="Q261" s="26"/>
      <c r="R261" s="26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34"/>
      <c r="AF261" s="35"/>
      <c r="AG261" s="34"/>
      <c r="AH261" s="34"/>
      <c r="AI261" s="34"/>
      <c r="AJ261" s="34"/>
      <c r="AK261" s="34"/>
      <c r="AL261" s="34">
        <v>18.2</v>
      </c>
      <c r="AM261" s="34"/>
      <c r="AN261" s="34"/>
      <c r="AO261" s="34"/>
      <c r="AP261" s="34"/>
      <c r="AQ261" s="34"/>
      <c r="AR261" s="34"/>
      <c r="AS261" s="34"/>
      <c r="AT261" s="34"/>
      <c r="AU261" s="34">
        <v>22.5</v>
      </c>
      <c r="AV261" s="34"/>
      <c r="AW261" s="34"/>
      <c r="AX261" s="34"/>
      <c r="AY261" s="34"/>
      <c r="AZ261" s="34"/>
      <c r="BA261" s="34"/>
      <c r="BB261" s="34"/>
      <c r="BC261" s="34"/>
      <c r="BD261" s="34"/>
      <c r="BE261" s="37"/>
      <c r="BF261" s="37"/>
      <c r="BG261" s="34"/>
      <c r="BH261" s="37"/>
      <c r="BI261" s="37"/>
      <c r="BJ261" s="37"/>
      <c r="BK261" s="34"/>
      <c r="BL261" s="38"/>
      <c r="BM261" s="37"/>
      <c r="BN261" s="37"/>
      <c r="BO261" s="37"/>
      <c r="BP261" s="37"/>
      <c r="BQ261" s="37"/>
      <c r="BR261" s="34"/>
      <c r="BS261" s="37"/>
      <c r="BT261" s="37"/>
      <c r="BU261" s="34"/>
      <c r="BV261" s="37"/>
      <c r="BW261" s="34"/>
      <c r="BX261" s="37"/>
      <c r="BY261" s="34"/>
      <c r="BZ261" s="34"/>
      <c r="CA261" s="37"/>
      <c r="CB261" s="37"/>
      <c r="CC261" s="34"/>
      <c r="CD261" s="37"/>
      <c r="CE261" s="37"/>
      <c r="CF261" s="37"/>
      <c r="CG261" s="37"/>
      <c r="CH261" s="37"/>
      <c r="CI261" s="37"/>
      <c r="CJ261" s="37"/>
      <c r="CK261" s="37"/>
      <c r="CL261" s="34"/>
      <c r="CM261" s="37"/>
      <c r="CN261" s="37"/>
      <c r="CO261" s="37"/>
      <c r="CP261" s="34"/>
      <c r="CQ261" s="37"/>
      <c r="CR261" s="37"/>
      <c r="CS261" s="37"/>
      <c r="CT261" s="34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  <c r="DI261" s="37"/>
      <c r="DJ261" s="37"/>
      <c r="DK261" s="37"/>
      <c r="DL261" s="37"/>
      <c r="DM261" s="37"/>
      <c r="DN261" s="37"/>
      <c r="DO261" s="37"/>
      <c r="DP261" s="37"/>
      <c r="DQ261" s="37"/>
      <c r="DR261" s="37"/>
      <c r="DS261" s="37"/>
      <c r="DT261" s="37"/>
      <c r="DU261" s="37"/>
      <c r="DV261" s="37"/>
      <c r="DW261" s="37"/>
      <c r="DX261" s="37"/>
      <c r="DY261" s="37"/>
      <c r="DZ261" s="37"/>
      <c r="EA261" s="39"/>
      <c r="EB261" s="39"/>
      <c r="EC261" s="40"/>
    </row>
    <row r="262" spans="1:133" hidden="1">
      <c r="A262" s="44" t="s">
        <v>138</v>
      </c>
      <c r="B262" s="22" t="s">
        <v>580</v>
      </c>
      <c r="C262" s="20" t="s">
        <v>581</v>
      </c>
      <c r="D262" s="21" t="s">
        <v>577</v>
      </c>
      <c r="E262" s="21"/>
      <c r="F262" s="22" t="s">
        <v>198</v>
      </c>
      <c r="G262" s="23" t="str" cm="1">
        <f t="array" ref="G262">IFERROR(LOOKUP(2,1/(K262:GC262&lt;&gt;""),K$2:DQL$2),"")</f>
        <v/>
      </c>
      <c r="H262" s="24" t="str" cm="1">
        <f t="array" ref="H262">IFERROR(_xlfn.XLOOKUP(TRUE,P262:ED262&lt;&gt;"",P262:ED262,,,-1)," ")</f>
        <v xml:space="preserve"> </v>
      </c>
      <c r="I262" s="25">
        <v>20</v>
      </c>
      <c r="J262" s="26"/>
      <c r="K262" s="26"/>
      <c r="L262" s="26"/>
      <c r="M262" s="26"/>
      <c r="N262" s="26"/>
      <c r="O262" s="26"/>
      <c r="P262" s="26"/>
      <c r="Q262" s="26"/>
      <c r="R262" s="26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34"/>
      <c r="AF262" s="35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7"/>
      <c r="BF262" s="37"/>
      <c r="BG262" s="34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4"/>
      <c r="BS262" s="37"/>
      <c r="BT262" s="37"/>
      <c r="BU262" s="34"/>
      <c r="BV262" s="37"/>
      <c r="BW262" s="34"/>
      <c r="BX262" s="37"/>
      <c r="BY262" s="34"/>
      <c r="BZ262" s="36"/>
      <c r="CA262" s="37"/>
      <c r="CB262" s="37"/>
      <c r="CC262" s="34"/>
      <c r="CD262" s="37"/>
      <c r="CE262" s="37"/>
      <c r="CF262" s="37"/>
      <c r="CG262" s="37"/>
      <c r="CH262" s="37"/>
      <c r="CI262" s="37"/>
      <c r="CJ262" s="37"/>
      <c r="CK262" s="37"/>
      <c r="CL262" s="34"/>
      <c r="CM262" s="37"/>
      <c r="CN262" s="37"/>
      <c r="CO262" s="37"/>
      <c r="CP262" s="34"/>
      <c r="CQ262" s="37"/>
      <c r="CR262" s="37"/>
      <c r="CS262" s="37"/>
      <c r="CT262" s="34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  <c r="DI262" s="37"/>
      <c r="DJ262" s="37"/>
      <c r="DK262" s="37"/>
      <c r="DL262" s="37"/>
      <c r="DM262" s="37"/>
      <c r="DN262" s="37"/>
      <c r="DO262" s="37"/>
      <c r="DP262" s="37"/>
      <c r="DQ262" s="37"/>
      <c r="DR262" s="37"/>
      <c r="DS262" s="37"/>
      <c r="DT262" s="37"/>
      <c r="DU262" s="37"/>
      <c r="DV262" s="37"/>
      <c r="DW262" s="37"/>
      <c r="DX262" s="37"/>
      <c r="DY262" s="37"/>
      <c r="DZ262" s="37"/>
      <c r="EA262" s="39"/>
      <c r="EB262" s="39"/>
      <c r="EC262" s="40"/>
    </row>
    <row r="263" spans="1:133" hidden="1">
      <c r="A263" s="44" t="s">
        <v>138</v>
      </c>
      <c r="B263" s="22" t="s">
        <v>582</v>
      </c>
      <c r="C263" s="20" t="s">
        <v>583</v>
      </c>
      <c r="D263" s="21" t="s">
        <v>577</v>
      </c>
      <c r="E263" s="21"/>
      <c r="F263" s="22" t="s">
        <v>198</v>
      </c>
      <c r="G263" s="23" t="str" cm="1">
        <f t="array" ref="G263">IFERROR(LOOKUP(2,1/(K263:GC263&lt;&gt;""),K$2:DQL$2),"")</f>
        <v>8-Jul</v>
      </c>
      <c r="H263" s="24" cm="1">
        <f t="array" ref="H263">IFERROR(_xlfn.XLOOKUP(TRUE,P263:ED263&lt;&gt;"",P263:ED263,,,-1)," ")</f>
        <v>14.7</v>
      </c>
      <c r="I263" s="25">
        <v>20</v>
      </c>
      <c r="J263" s="26"/>
      <c r="K263" s="26"/>
      <c r="L263" s="26"/>
      <c r="M263" s="26"/>
      <c r="N263" s="26"/>
      <c r="O263" s="26"/>
      <c r="P263" s="26"/>
      <c r="Q263" s="218">
        <v>14.7</v>
      </c>
      <c r="R263" s="26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34"/>
      <c r="AF263" s="35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7"/>
      <c r="BF263" s="37"/>
      <c r="BG263" s="34"/>
      <c r="BH263" s="37"/>
      <c r="BI263" s="37"/>
      <c r="BJ263" s="37"/>
      <c r="BK263" s="34"/>
      <c r="BL263" s="37"/>
      <c r="BM263" s="37"/>
      <c r="BN263" s="37"/>
      <c r="BO263" s="37"/>
      <c r="BP263" s="37"/>
      <c r="BQ263" s="37"/>
      <c r="BR263" s="34"/>
      <c r="BS263" s="37"/>
      <c r="BT263" s="37"/>
      <c r="BU263" s="34"/>
      <c r="BV263" s="37"/>
      <c r="BW263" s="34"/>
      <c r="BX263" s="37"/>
      <c r="BY263" s="34"/>
      <c r="BZ263" s="36"/>
      <c r="CA263" s="37"/>
      <c r="CB263" s="37"/>
      <c r="CC263" s="34"/>
      <c r="CD263" s="37"/>
      <c r="CE263" s="37"/>
      <c r="CF263" s="37"/>
      <c r="CG263" s="37"/>
      <c r="CH263" s="37"/>
      <c r="CI263" s="37"/>
      <c r="CJ263" s="37"/>
      <c r="CK263" s="37"/>
      <c r="CL263" s="34"/>
      <c r="CM263" s="37"/>
      <c r="CN263" s="37"/>
      <c r="CO263" s="37"/>
      <c r="CP263" s="34"/>
      <c r="CQ263" s="37"/>
      <c r="CR263" s="37"/>
      <c r="CS263" s="37"/>
      <c r="CT263" s="34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  <c r="DI263" s="37"/>
      <c r="DJ263" s="37"/>
      <c r="DK263" s="37"/>
      <c r="DL263" s="37"/>
      <c r="DM263" s="37"/>
      <c r="DN263" s="37"/>
      <c r="DO263" s="37"/>
      <c r="DP263" s="37"/>
      <c r="DQ263" s="37"/>
      <c r="DR263" s="37"/>
      <c r="DS263" s="37"/>
      <c r="DT263" s="37"/>
      <c r="DU263" s="37"/>
      <c r="DV263" s="37"/>
      <c r="DW263" s="37"/>
      <c r="DX263" s="37"/>
      <c r="DY263" s="37"/>
      <c r="DZ263" s="37"/>
      <c r="EA263" s="39"/>
      <c r="EB263" s="39"/>
      <c r="EC263" s="40"/>
    </row>
    <row r="264" spans="1:133" hidden="1">
      <c r="A264" s="44" t="s">
        <v>138</v>
      </c>
      <c r="B264" s="22" t="s">
        <v>584</v>
      </c>
      <c r="C264" s="20" t="s">
        <v>585</v>
      </c>
      <c r="D264" s="21" t="s">
        <v>577</v>
      </c>
      <c r="E264" s="21"/>
      <c r="F264" s="22" t="s">
        <v>261</v>
      </c>
      <c r="G264" s="23" t="str" cm="1">
        <f t="array" ref="G264">IFERROR(LOOKUP(2,1/(K264:GC264&lt;&gt;""),K$2:DQL$2),"")</f>
        <v>5-Aug</v>
      </c>
      <c r="H264" s="24" cm="1">
        <f t="array" ref="H264">IFERROR(_xlfn.XLOOKUP(TRUE,P264:ED264&lt;&gt;"",P264:ED264,,,-1)," ")</f>
        <v>24</v>
      </c>
      <c r="I264" s="25">
        <v>21</v>
      </c>
      <c r="J264" s="26"/>
      <c r="K264" s="26"/>
      <c r="L264" s="26"/>
      <c r="M264" s="26"/>
      <c r="N264" s="26"/>
      <c r="O264" s="26"/>
      <c r="P264" s="26"/>
      <c r="Q264" s="26"/>
      <c r="R264" s="26">
        <v>16</v>
      </c>
      <c r="S264" s="25"/>
      <c r="T264" s="25"/>
      <c r="U264" s="25"/>
      <c r="V264" s="25"/>
      <c r="W264" s="25"/>
      <c r="X264" s="25"/>
      <c r="Y264" s="25">
        <v>18.100000000000001</v>
      </c>
      <c r="Z264" s="25"/>
      <c r="AA264" s="25"/>
      <c r="AB264" s="25"/>
      <c r="AC264" s="25"/>
      <c r="AD264" s="25"/>
      <c r="AE264" s="36"/>
      <c r="AF264" s="35"/>
      <c r="AG264" s="34"/>
      <c r="AH264" s="34"/>
      <c r="AI264" s="34"/>
      <c r="AJ264" s="34">
        <v>21.2</v>
      </c>
      <c r="AK264" s="34"/>
      <c r="AL264" s="34"/>
      <c r="AM264" s="257">
        <v>21.1</v>
      </c>
      <c r="AN264" s="34">
        <v>21.5</v>
      </c>
      <c r="AO264" s="34"/>
      <c r="AP264" s="36"/>
      <c r="AQ264" s="34"/>
      <c r="AR264" s="34"/>
      <c r="AS264" s="80">
        <v>24</v>
      </c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7"/>
      <c r="BF264" s="37"/>
      <c r="BG264" s="36"/>
      <c r="BH264" s="37"/>
      <c r="BI264" s="37"/>
      <c r="BJ264" s="37"/>
      <c r="BK264" s="37"/>
      <c r="BL264" s="37"/>
      <c r="BM264" s="37"/>
      <c r="BN264" s="37"/>
      <c r="BO264" s="38"/>
      <c r="BP264" s="37"/>
      <c r="BQ264" s="37"/>
      <c r="BR264" s="34"/>
      <c r="BS264" s="37"/>
      <c r="BT264" s="37"/>
      <c r="BU264" s="34"/>
      <c r="BV264" s="37"/>
      <c r="BW264" s="34"/>
      <c r="BX264" s="37"/>
      <c r="BY264" s="34"/>
      <c r="BZ264" s="34"/>
      <c r="CA264" s="37"/>
      <c r="CB264" s="37"/>
      <c r="CC264" s="34"/>
      <c r="CD264" s="37"/>
      <c r="CE264" s="37"/>
      <c r="CF264" s="37"/>
      <c r="CG264" s="37"/>
      <c r="CH264" s="37"/>
      <c r="CI264" s="37"/>
      <c r="CJ264" s="37"/>
      <c r="CK264" s="37"/>
      <c r="CL264" s="34"/>
      <c r="CM264" s="37"/>
      <c r="CN264" s="37"/>
      <c r="CO264" s="37"/>
      <c r="CP264" s="34"/>
      <c r="CQ264" s="37"/>
      <c r="CR264" s="37"/>
      <c r="CS264" s="37"/>
      <c r="CT264" s="34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  <c r="DI264" s="37"/>
      <c r="DJ264" s="37"/>
      <c r="DK264" s="37"/>
      <c r="DL264" s="37"/>
      <c r="DM264" s="37"/>
      <c r="DN264" s="37"/>
      <c r="DO264" s="37"/>
      <c r="DP264" s="37"/>
      <c r="DQ264" s="37"/>
      <c r="DR264" s="37"/>
      <c r="DS264" s="37"/>
      <c r="DT264" s="37"/>
      <c r="DU264" s="37"/>
      <c r="DV264" s="37"/>
      <c r="DW264" s="37"/>
      <c r="DX264" s="37"/>
      <c r="DY264" s="37"/>
      <c r="DZ264" s="37"/>
      <c r="EA264" s="39"/>
      <c r="EB264" s="39"/>
      <c r="EC264" s="40"/>
    </row>
    <row r="265" spans="1:133" hidden="1">
      <c r="A265" s="44" t="s">
        <v>138</v>
      </c>
      <c r="B265" s="22" t="s">
        <v>584</v>
      </c>
      <c r="C265" s="20" t="s">
        <v>586</v>
      </c>
      <c r="D265" s="21" t="s">
        <v>577</v>
      </c>
      <c r="E265" s="21"/>
      <c r="F265" s="22" t="s">
        <v>261</v>
      </c>
      <c r="G265" s="23" t="str" cm="1">
        <f t="array" ref="G265">IFERROR(LOOKUP(2,1/(K265:GC265&lt;&gt;""),K$2:DQL$2),"")</f>
        <v/>
      </c>
      <c r="H265" s="24" t="str" cm="1">
        <f t="array" ref="H265">IFERROR(_xlfn.XLOOKUP(TRUE,P265:ED265&lt;&gt;"",P265:ED265,,,-1)," ")</f>
        <v xml:space="preserve"> </v>
      </c>
      <c r="I265" s="25">
        <v>21</v>
      </c>
      <c r="J265" s="26"/>
      <c r="K265" s="26"/>
      <c r="L265" s="26"/>
      <c r="M265" s="26"/>
      <c r="N265" s="26"/>
      <c r="O265" s="26"/>
      <c r="P265" s="26"/>
      <c r="Q265" s="26"/>
      <c r="R265" s="26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36"/>
      <c r="AF265" s="35"/>
      <c r="AG265" s="34"/>
      <c r="AH265" s="34"/>
      <c r="AI265" s="34"/>
      <c r="AJ265" s="34"/>
      <c r="AK265" s="34"/>
      <c r="AL265" s="34"/>
      <c r="AM265" s="34"/>
      <c r="AN265" s="34"/>
      <c r="AO265" s="34"/>
      <c r="AP265" s="36"/>
      <c r="AQ265" s="34"/>
      <c r="AR265" s="34"/>
      <c r="AS265" s="34"/>
      <c r="AT265" s="34"/>
      <c r="AU265" s="36"/>
      <c r="AV265" s="34"/>
      <c r="AW265" s="34"/>
      <c r="AX265" s="34"/>
      <c r="AY265" s="34"/>
      <c r="AZ265" s="34"/>
      <c r="BA265" s="34"/>
      <c r="BB265" s="34"/>
      <c r="BC265" s="34"/>
      <c r="BD265" s="34"/>
      <c r="BE265" s="37"/>
      <c r="BF265" s="37"/>
      <c r="BG265" s="36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4"/>
      <c r="BS265" s="37"/>
      <c r="BT265" s="37"/>
      <c r="BU265" s="34"/>
      <c r="BV265" s="37"/>
      <c r="BW265" s="34"/>
      <c r="BX265" s="37"/>
      <c r="BY265" s="34"/>
      <c r="BZ265" s="34"/>
      <c r="CA265" s="37"/>
      <c r="CB265" s="37"/>
      <c r="CC265" s="34"/>
      <c r="CD265" s="37"/>
      <c r="CE265" s="37"/>
      <c r="CF265" s="37"/>
      <c r="CG265" s="37"/>
      <c r="CH265" s="37"/>
      <c r="CI265" s="37"/>
      <c r="CJ265" s="37"/>
      <c r="CK265" s="37"/>
      <c r="CL265" s="34"/>
      <c r="CM265" s="37"/>
      <c r="CN265" s="37"/>
      <c r="CO265" s="37"/>
      <c r="CP265" s="34"/>
      <c r="CQ265" s="37"/>
      <c r="CR265" s="37"/>
      <c r="CS265" s="37"/>
      <c r="CT265" s="34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  <c r="DI265" s="37"/>
      <c r="DJ265" s="37"/>
      <c r="DK265" s="37"/>
      <c r="DL265" s="37"/>
      <c r="DM265" s="37"/>
      <c r="DN265" s="37"/>
      <c r="DO265" s="37"/>
      <c r="DP265" s="37"/>
      <c r="DQ265" s="37"/>
      <c r="DR265" s="37"/>
      <c r="DS265" s="37"/>
      <c r="DT265" s="37"/>
      <c r="DU265" s="37"/>
      <c r="DV265" s="37"/>
      <c r="DW265" s="37"/>
      <c r="DX265" s="37"/>
      <c r="DY265" s="37"/>
      <c r="DZ265" s="37"/>
      <c r="EA265" s="39"/>
      <c r="EB265" s="39"/>
      <c r="EC265" s="40"/>
    </row>
    <row r="266" spans="1:133" hidden="1">
      <c r="A266" s="44" t="s">
        <v>138</v>
      </c>
      <c r="B266" s="22" t="s">
        <v>587</v>
      </c>
      <c r="C266" s="20" t="s">
        <v>588</v>
      </c>
      <c r="D266" s="21" t="s">
        <v>577</v>
      </c>
      <c r="E266" s="21"/>
      <c r="F266" s="22" t="s">
        <v>521</v>
      </c>
      <c r="G266" s="23" t="str" cm="1">
        <f t="array" ref="G266">IFERROR(LOOKUP(2,1/(K266:GC266&lt;&gt;""),K$2:DQL$2),"")</f>
        <v>28-Jul</v>
      </c>
      <c r="H266" s="24" cm="1">
        <f t="array" ref="H266">IFERROR(_xlfn.XLOOKUP(TRUE,P266:ED266&lt;&gt;"",P266:ED266,,,-1)," ")</f>
        <v>22</v>
      </c>
      <c r="I266" s="25">
        <v>20</v>
      </c>
      <c r="J266" s="26"/>
      <c r="K266" s="26"/>
      <c r="L266" s="26"/>
      <c r="M266" s="26"/>
      <c r="N266" s="26"/>
      <c r="O266" s="26"/>
      <c r="P266" s="26"/>
      <c r="Q266" s="26"/>
      <c r="R266" s="26"/>
      <c r="S266" s="25"/>
      <c r="T266" s="25"/>
      <c r="U266" s="25"/>
      <c r="V266" s="25"/>
      <c r="W266" s="25"/>
      <c r="X266" s="25">
        <v>18</v>
      </c>
      <c r="Y266" s="25"/>
      <c r="Z266" s="25"/>
      <c r="AA266" s="25"/>
      <c r="AB266" s="25"/>
      <c r="AC266" s="25"/>
      <c r="AD266" s="25"/>
      <c r="AE266" s="34">
        <v>20.2</v>
      </c>
      <c r="AF266" s="35"/>
      <c r="AG266" s="34"/>
      <c r="AH266" s="34"/>
      <c r="AI266" s="34"/>
      <c r="AJ266" s="34"/>
      <c r="AK266" s="248">
        <v>22</v>
      </c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7"/>
      <c r="BF266" s="37"/>
      <c r="BG266" s="34"/>
      <c r="BH266" s="37"/>
      <c r="BI266" s="37"/>
      <c r="BJ266" s="37"/>
      <c r="BK266" s="37"/>
      <c r="BL266" s="38"/>
      <c r="BM266" s="37"/>
      <c r="BN266" s="37"/>
      <c r="BO266" s="37"/>
      <c r="BP266" s="37"/>
      <c r="BQ266" s="37"/>
      <c r="BR266" s="34"/>
      <c r="BS266" s="37"/>
      <c r="BT266" s="37"/>
      <c r="BU266" s="34"/>
      <c r="BV266" s="37"/>
      <c r="BW266" s="34"/>
      <c r="BX266" s="37"/>
      <c r="BY266" s="34"/>
      <c r="BZ266" s="36"/>
      <c r="CA266" s="37"/>
      <c r="CB266" s="37"/>
      <c r="CC266" s="34"/>
      <c r="CD266" s="37"/>
      <c r="CE266" s="37"/>
      <c r="CF266" s="37"/>
      <c r="CG266" s="37"/>
      <c r="CH266" s="37"/>
      <c r="CI266" s="37"/>
      <c r="CJ266" s="37"/>
      <c r="CK266" s="37"/>
      <c r="CL266" s="34"/>
      <c r="CM266" s="37"/>
      <c r="CN266" s="37"/>
      <c r="CO266" s="37"/>
      <c r="CP266" s="34"/>
      <c r="CQ266" s="37"/>
      <c r="CR266" s="37"/>
      <c r="CS266" s="37"/>
      <c r="CT266" s="34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  <c r="DI266" s="37"/>
      <c r="DJ266" s="37"/>
      <c r="DK266" s="37"/>
      <c r="DL266" s="37"/>
      <c r="DM266" s="37"/>
      <c r="DN266" s="37"/>
      <c r="DO266" s="37"/>
      <c r="DP266" s="37"/>
      <c r="DQ266" s="37"/>
      <c r="DR266" s="37"/>
      <c r="DS266" s="37"/>
      <c r="DT266" s="37"/>
      <c r="DU266" s="37"/>
      <c r="DV266" s="37"/>
      <c r="DW266" s="37"/>
      <c r="DX266" s="37"/>
      <c r="DY266" s="37"/>
      <c r="DZ266" s="37"/>
      <c r="EA266" s="39"/>
      <c r="EB266" s="39"/>
      <c r="EC266" s="40"/>
    </row>
    <row r="267" spans="1:133" hidden="1">
      <c r="A267" s="44" t="s">
        <v>138</v>
      </c>
      <c r="B267" s="22" t="s">
        <v>589</v>
      </c>
      <c r="C267" s="20" t="s">
        <v>590</v>
      </c>
      <c r="D267" s="21" t="s">
        <v>577</v>
      </c>
      <c r="E267" s="21"/>
      <c r="F267" s="22"/>
      <c r="G267" s="23" t="str" cm="1">
        <f t="array" ref="G267">IFERROR(LOOKUP(2,1/(K267:GC267&lt;&gt;""),K$2:DQL$2),"")</f>
        <v>20-Jul</v>
      </c>
      <c r="H267" s="24" cm="1">
        <f t="array" ref="H267">IFERROR(_xlfn.XLOOKUP(TRUE,P267:ED267&lt;&gt;"",P267:ED267,,,-1)," ")</f>
        <v>15.2</v>
      </c>
      <c r="I267" s="25">
        <v>20</v>
      </c>
      <c r="J267" s="26"/>
      <c r="K267" s="26"/>
      <c r="L267" s="26"/>
      <c r="M267" s="26"/>
      <c r="N267" s="26"/>
      <c r="O267" s="26"/>
      <c r="P267" s="26"/>
      <c r="Q267" s="26"/>
      <c r="R267" s="26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>
        <v>15.2</v>
      </c>
      <c r="AD267" s="25"/>
      <c r="AE267" s="34"/>
      <c r="AF267" s="35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6"/>
      <c r="BD267" s="36"/>
      <c r="BE267" s="38"/>
      <c r="BF267" s="37"/>
      <c r="BG267" s="34"/>
      <c r="BH267" s="37"/>
      <c r="BI267" s="37"/>
      <c r="BJ267" s="37"/>
      <c r="BK267" s="34"/>
      <c r="BL267" s="37"/>
      <c r="BM267" s="37"/>
      <c r="BN267" s="37"/>
      <c r="BO267" s="37"/>
      <c r="BP267" s="37"/>
      <c r="BQ267" s="37"/>
      <c r="BR267" s="34"/>
      <c r="BS267" s="37"/>
      <c r="BT267" s="37"/>
      <c r="BU267" s="34"/>
      <c r="BV267" s="37"/>
      <c r="BW267" s="34"/>
      <c r="BX267" s="37"/>
      <c r="BY267" s="34"/>
      <c r="BZ267" s="34"/>
      <c r="CA267" s="37"/>
      <c r="CB267" s="37"/>
      <c r="CC267" s="34"/>
      <c r="CD267" s="37"/>
      <c r="CE267" s="37"/>
      <c r="CF267" s="37"/>
      <c r="CG267" s="37"/>
      <c r="CH267" s="37"/>
      <c r="CI267" s="37"/>
      <c r="CJ267" s="37"/>
      <c r="CK267" s="37"/>
      <c r="CL267" s="34"/>
      <c r="CM267" s="43"/>
      <c r="CN267" s="37"/>
      <c r="CO267" s="37"/>
      <c r="CP267" s="34"/>
      <c r="CQ267" s="37"/>
      <c r="CR267" s="37"/>
      <c r="CS267" s="37"/>
      <c r="CT267" s="34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  <c r="DI267" s="37"/>
      <c r="DJ267" s="37"/>
      <c r="DK267" s="37"/>
      <c r="DL267" s="37"/>
      <c r="DM267" s="37"/>
      <c r="DN267" s="37"/>
      <c r="DO267" s="37"/>
      <c r="DP267" s="37"/>
      <c r="DQ267" s="37"/>
      <c r="DR267" s="37"/>
      <c r="DS267" s="37"/>
      <c r="DT267" s="37"/>
      <c r="DU267" s="37"/>
      <c r="DV267" s="37"/>
      <c r="DW267" s="37"/>
      <c r="DX267" s="37"/>
      <c r="DY267" s="37"/>
      <c r="DZ267" s="37"/>
      <c r="EA267" s="39"/>
      <c r="EB267" s="39"/>
      <c r="EC267" s="40"/>
    </row>
    <row r="268" spans="1:133" hidden="1">
      <c r="A268" s="44" t="s">
        <v>138</v>
      </c>
      <c r="B268" s="22" t="s">
        <v>591</v>
      </c>
      <c r="C268" s="20" t="s">
        <v>592</v>
      </c>
      <c r="D268" s="21" t="s">
        <v>577</v>
      </c>
      <c r="E268" s="21"/>
      <c r="F268" s="22" t="s">
        <v>340</v>
      </c>
      <c r="G268" s="23" t="str" cm="1">
        <f t="array" ref="G268">IFERROR(LOOKUP(2,1/(K268:GC268&lt;&gt;""),K$2:DQL$2),"")</f>
        <v>7-Aug</v>
      </c>
      <c r="H268" s="24" cm="1">
        <f t="array" ref="H268">IFERROR(_xlfn.XLOOKUP(TRUE,P268:ED268&lt;&gt;"",P268:ED268,,,-1)," ")</f>
        <v>21</v>
      </c>
      <c r="I268" s="25">
        <v>20</v>
      </c>
      <c r="J268" s="26"/>
      <c r="K268" s="26"/>
      <c r="L268" s="26"/>
      <c r="M268" s="26"/>
      <c r="N268" s="26"/>
      <c r="O268" s="26"/>
      <c r="P268" s="26"/>
      <c r="Q268" s="26"/>
      <c r="R268" s="26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34"/>
      <c r="AF268" s="35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6">
        <v>21</v>
      </c>
      <c r="AV268" s="34"/>
      <c r="AW268" s="34"/>
      <c r="AX268" s="34"/>
      <c r="AY268" s="34"/>
      <c r="AZ268" s="34"/>
      <c r="BA268" s="34"/>
      <c r="BB268" s="34"/>
      <c r="BC268" s="34"/>
      <c r="BD268" s="34"/>
      <c r="BE268" s="37"/>
      <c r="BF268" s="37"/>
      <c r="BG268" s="34"/>
      <c r="BH268" s="37"/>
      <c r="BI268" s="37"/>
      <c r="BJ268" s="37"/>
      <c r="BK268" s="34"/>
      <c r="BL268" s="37"/>
      <c r="BM268" s="37"/>
      <c r="BN268" s="37"/>
      <c r="BO268" s="37"/>
      <c r="BP268" s="37"/>
      <c r="BQ268" s="37"/>
      <c r="BR268" s="34"/>
      <c r="BS268" s="37"/>
      <c r="BT268" s="37"/>
      <c r="BU268" s="34"/>
      <c r="BV268" s="37"/>
      <c r="BW268" s="34"/>
      <c r="BX268" s="37"/>
      <c r="BY268" s="34"/>
      <c r="BZ268" s="34"/>
      <c r="CA268" s="37"/>
      <c r="CB268" s="37"/>
      <c r="CC268" s="34"/>
      <c r="CD268" s="37"/>
      <c r="CE268" s="37"/>
      <c r="CF268" s="37"/>
      <c r="CG268" s="37"/>
      <c r="CH268" s="37"/>
      <c r="CI268" s="37"/>
      <c r="CJ268" s="37"/>
      <c r="CK268" s="37"/>
      <c r="CL268" s="34"/>
      <c r="CM268" s="37"/>
      <c r="CN268" s="37"/>
      <c r="CO268" s="37"/>
      <c r="CP268" s="34"/>
      <c r="CQ268" s="37"/>
      <c r="CR268" s="37"/>
      <c r="CS268" s="37"/>
      <c r="CT268" s="34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  <c r="DI268" s="37"/>
      <c r="DJ268" s="37"/>
      <c r="DK268" s="37"/>
      <c r="DL268" s="37"/>
      <c r="DM268" s="37"/>
      <c r="DN268" s="37"/>
      <c r="DO268" s="37"/>
      <c r="DP268" s="37"/>
      <c r="DQ268" s="37"/>
      <c r="DR268" s="37"/>
      <c r="DS268" s="37"/>
      <c r="DT268" s="37"/>
      <c r="DU268" s="37"/>
      <c r="DV268" s="37"/>
      <c r="DW268" s="37"/>
      <c r="DX268" s="37"/>
      <c r="DY268" s="37"/>
      <c r="DZ268" s="37"/>
      <c r="EA268" s="39"/>
      <c r="EB268" s="39"/>
      <c r="EC268" s="40"/>
    </row>
    <row r="269" spans="1:133" hidden="1">
      <c r="A269" s="44" t="s">
        <v>138</v>
      </c>
      <c r="B269" s="22" t="s">
        <v>593</v>
      </c>
      <c r="C269" s="20" t="s">
        <v>594</v>
      </c>
      <c r="D269" s="21" t="s">
        <v>577</v>
      </c>
      <c r="E269" s="21"/>
      <c r="F269" s="22" t="s">
        <v>137</v>
      </c>
      <c r="G269" s="23" t="str" cm="1">
        <f t="array" ref="G269">IFERROR(LOOKUP(2,1/(K269:GC269&lt;&gt;""),K$2:DQL$2),"")</f>
        <v>30-Jul</v>
      </c>
      <c r="H269" s="24" cm="1">
        <f t="array" ref="H269">IFERROR(_xlfn.XLOOKUP(TRUE,P269:ED269&lt;&gt;"",P269:ED269,,,-1)," ")</f>
        <v>21.2</v>
      </c>
      <c r="I269" s="25">
        <v>20</v>
      </c>
      <c r="J269" s="26">
        <v>21</v>
      </c>
      <c r="K269" s="26"/>
      <c r="L269" s="26"/>
      <c r="M269" s="26"/>
      <c r="N269" s="26"/>
      <c r="O269" s="26"/>
      <c r="P269" s="26"/>
      <c r="Q269" s="26"/>
      <c r="R269" s="26"/>
      <c r="S269" s="25"/>
      <c r="T269" s="25"/>
      <c r="U269" s="25"/>
      <c r="V269" s="25"/>
      <c r="W269" s="25"/>
      <c r="X269" s="25"/>
      <c r="Y269" s="25">
        <v>18</v>
      </c>
      <c r="Z269" s="25"/>
      <c r="AA269" s="25"/>
      <c r="AB269" s="25"/>
      <c r="AC269" s="25"/>
      <c r="AD269" s="25"/>
      <c r="AE269" s="34"/>
      <c r="AF269" s="35">
        <v>19.2</v>
      </c>
      <c r="AG269" s="34"/>
      <c r="AH269" s="34"/>
      <c r="AI269" s="34"/>
      <c r="AJ269" s="36">
        <v>20.399999999999999</v>
      </c>
      <c r="AK269" s="34"/>
      <c r="AL269" s="34"/>
      <c r="AM269" s="36">
        <v>21.2</v>
      </c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6"/>
      <c r="BE269" s="38"/>
      <c r="BF269" s="37"/>
      <c r="BG269" s="34"/>
      <c r="BH269" s="37"/>
      <c r="BI269" s="38"/>
      <c r="BJ269" s="37"/>
      <c r="BK269" s="34"/>
      <c r="BL269" s="37"/>
      <c r="BM269" s="37"/>
      <c r="BN269" s="37"/>
      <c r="BO269" s="37"/>
      <c r="BP269" s="37"/>
      <c r="BQ269" s="37"/>
      <c r="BR269" s="34"/>
      <c r="BS269" s="37"/>
      <c r="BT269" s="37"/>
      <c r="BU269" s="34"/>
      <c r="BV269" s="37"/>
      <c r="BW269" s="36"/>
      <c r="BX269" s="37"/>
      <c r="BY269" s="34"/>
      <c r="BZ269" s="34"/>
      <c r="CA269" s="37"/>
      <c r="CB269" s="37"/>
      <c r="CC269" s="34"/>
      <c r="CD269" s="37"/>
      <c r="CE269" s="37"/>
      <c r="CF269" s="37"/>
      <c r="CG269" s="37"/>
      <c r="CH269" s="37"/>
      <c r="CI269" s="37"/>
      <c r="CJ269" s="37"/>
      <c r="CK269" s="37"/>
      <c r="CL269" s="34"/>
      <c r="CM269" s="43"/>
      <c r="CN269" s="37"/>
      <c r="CO269" s="37"/>
      <c r="CP269" s="34"/>
      <c r="CQ269" s="37"/>
      <c r="CR269" s="37"/>
      <c r="CS269" s="37"/>
      <c r="CT269" s="34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  <c r="DI269" s="37"/>
      <c r="DJ269" s="37"/>
      <c r="DK269" s="37"/>
      <c r="DL269" s="37"/>
      <c r="DM269" s="37"/>
      <c r="DN269" s="37"/>
      <c r="DO269" s="37"/>
      <c r="DP269" s="37"/>
      <c r="DQ269" s="37"/>
      <c r="DR269" s="37"/>
      <c r="DS269" s="37"/>
      <c r="DT269" s="37"/>
      <c r="DU269" s="37"/>
      <c r="DV269" s="37"/>
      <c r="DW269" s="37"/>
      <c r="DX269" s="37"/>
      <c r="DY269" s="37"/>
      <c r="DZ269" s="37"/>
      <c r="EA269" s="39"/>
      <c r="EB269" s="39"/>
      <c r="EC269" s="40"/>
    </row>
    <row r="270" spans="1:133" hidden="1">
      <c r="A270" s="44" t="s">
        <v>138</v>
      </c>
      <c r="B270" s="22" t="s">
        <v>595</v>
      </c>
      <c r="C270" s="20" t="s">
        <v>596</v>
      </c>
      <c r="D270" s="21" t="s">
        <v>597</v>
      </c>
      <c r="E270" s="21"/>
      <c r="F270" s="22" t="s">
        <v>179</v>
      </c>
      <c r="G270" s="23" t="str" cm="1">
        <f t="array" ref="G270">IFERROR(LOOKUP(2,1/(K270:GC270&lt;&gt;""),K$2:DQL$2),"")</f>
        <v/>
      </c>
      <c r="H270" s="24" t="str" cm="1">
        <f t="array" ref="H270">IFERROR(_xlfn.XLOOKUP(TRUE,P270:ED270&lt;&gt;"",P270:ED270,,,-1)," ")</f>
        <v xml:space="preserve"> </v>
      </c>
      <c r="I270" s="25">
        <v>25</v>
      </c>
      <c r="J270" s="26"/>
      <c r="K270" s="26"/>
      <c r="L270" s="26"/>
      <c r="M270" s="26"/>
      <c r="N270" s="26"/>
      <c r="O270" s="26"/>
      <c r="P270" s="26"/>
      <c r="Q270" s="26"/>
      <c r="R270" s="26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34"/>
      <c r="AF270" s="35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7"/>
      <c r="BF270" s="37"/>
      <c r="BG270" s="34"/>
      <c r="BH270" s="37"/>
      <c r="BI270" s="37"/>
      <c r="BJ270" s="34"/>
      <c r="BK270" s="37"/>
      <c r="BL270" s="37"/>
      <c r="BM270" s="37"/>
      <c r="BN270" s="49"/>
      <c r="BO270" s="34"/>
      <c r="BP270" s="37"/>
      <c r="BQ270" s="34"/>
      <c r="BR270" s="34"/>
      <c r="BS270" s="37"/>
      <c r="BT270" s="37"/>
      <c r="BU270" s="34"/>
      <c r="BV270" s="34"/>
      <c r="BW270" s="34"/>
      <c r="BX270" s="37"/>
      <c r="BY270" s="34"/>
      <c r="BZ270" s="34"/>
      <c r="CA270" s="37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43"/>
      <c r="CN270" s="37"/>
      <c r="CO270" s="37"/>
      <c r="CP270" s="34"/>
      <c r="CQ270" s="37"/>
      <c r="CR270" s="37"/>
      <c r="CS270" s="37"/>
      <c r="CT270" s="34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  <c r="DI270" s="37"/>
      <c r="DJ270" s="37"/>
      <c r="DK270" s="37"/>
      <c r="DL270" s="37"/>
      <c r="DM270" s="37"/>
      <c r="DN270" s="37"/>
      <c r="DO270" s="37"/>
      <c r="DP270" s="37"/>
      <c r="DQ270" s="37"/>
      <c r="DR270" s="37"/>
      <c r="DS270" s="37"/>
      <c r="DT270" s="37"/>
      <c r="DU270" s="37"/>
      <c r="DV270" s="37"/>
      <c r="DW270" s="37"/>
      <c r="DX270" s="37"/>
      <c r="DY270" s="37"/>
      <c r="DZ270" s="37"/>
      <c r="EA270" s="39"/>
      <c r="EB270" s="39"/>
      <c r="EC270" s="40"/>
    </row>
    <row r="271" spans="1:133" hidden="1">
      <c r="A271" s="44" t="s">
        <v>138</v>
      </c>
      <c r="B271" s="22" t="s">
        <v>595</v>
      </c>
      <c r="C271" s="20" t="s">
        <v>598</v>
      </c>
      <c r="D271" s="21" t="s">
        <v>597</v>
      </c>
      <c r="E271" s="21"/>
      <c r="F271" s="22" t="s">
        <v>179</v>
      </c>
      <c r="G271" s="23" t="str" cm="1">
        <f t="array" ref="G271">IFERROR(LOOKUP(2,1/(K271:GC271&lt;&gt;""),K$2:DQL$2),"")</f>
        <v>14-Aug</v>
      </c>
      <c r="H271" s="24" cm="1">
        <f t="array" ref="H271">IFERROR(_xlfn.XLOOKUP(TRUE,P271:ED271&lt;&gt;"",P271:ED271,,,-1)," ")</f>
        <v>24.3</v>
      </c>
      <c r="I271" s="25">
        <v>25</v>
      </c>
      <c r="J271" s="26"/>
      <c r="K271" s="26"/>
      <c r="L271" s="26"/>
      <c r="M271" s="26"/>
      <c r="N271" s="26"/>
      <c r="O271" s="26"/>
      <c r="P271" s="26"/>
      <c r="Q271" s="26"/>
      <c r="R271" s="26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34"/>
      <c r="AF271" s="35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>
        <v>24.3</v>
      </c>
      <c r="BC271" s="34"/>
      <c r="BD271" s="34"/>
      <c r="BE271" s="37"/>
      <c r="BF271" s="37"/>
      <c r="BG271" s="34"/>
      <c r="BH271" s="37"/>
      <c r="BI271" s="37"/>
      <c r="BJ271" s="34"/>
      <c r="BK271" s="37"/>
      <c r="BL271" s="37"/>
      <c r="BM271" s="37"/>
      <c r="BN271" s="34"/>
      <c r="BO271" s="34"/>
      <c r="BP271" s="37"/>
      <c r="BQ271" s="34"/>
      <c r="BR271" s="34"/>
      <c r="BS271" s="37"/>
      <c r="BT271" s="37"/>
      <c r="BU271" s="34"/>
      <c r="BV271" s="34"/>
      <c r="BW271" s="34"/>
      <c r="BX271" s="37"/>
      <c r="BY271" s="34"/>
      <c r="BZ271" s="34"/>
      <c r="CA271" s="37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43"/>
      <c r="CN271" s="37"/>
      <c r="CO271" s="37"/>
      <c r="CP271" s="34"/>
      <c r="CQ271" s="37"/>
      <c r="CR271" s="37"/>
      <c r="CS271" s="37"/>
      <c r="CT271" s="34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  <c r="DI271" s="37"/>
      <c r="DJ271" s="37"/>
      <c r="DK271" s="37"/>
      <c r="DL271" s="37"/>
      <c r="DM271" s="37"/>
      <c r="DN271" s="37"/>
      <c r="DO271" s="37"/>
      <c r="DP271" s="37"/>
      <c r="DQ271" s="37"/>
      <c r="DR271" s="37"/>
      <c r="DS271" s="37"/>
      <c r="DT271" s="37"/>
      <c r="DU271" s="37"/>
      <c r="DV271" s="37"/>
      <c r="DW271" s="37"/>
      <c r="DX271" s="37"/>
      <c r="DY271" s="37"/>
      <c r="DZ271" s="37"/>
      <c r="EA271" s="39"/>
      <c r="EB271" s="39"/>
      <c r="EC271" s="40"/>
    </row>
    <row r="272" spans="1:133" hidden="1">
      <c r="A272" s="44" t="s">
        <v>138</v>
      </c>
      <c r="B272" s="22" t="s">
        <v>595</v>
      </c>
      <c r="C272" s="20" t="s">
        <v>599</v>
      </c>
      <c r="D272" s="21" t="s">
        <v>597</v>
      </c>
      <c r="E272" s="21"/>
      <c r="F272" s="22" t="s">
        <v>179</v>
      </c>
      <c r="G272" s="23" t="str" cm="1">
        <f t="array" ref="G272">IFERROR(LOOKUP(2,1/(K272:GC272&lt;&gt;""),K$2:DQL$2),"")</f>
        <v/>
      </c>
      <c r="H272" s="24" t="str" cm="1">
        <f t="array" ref="H272">IFERROR(_xlfn.XLOOKUP(TRUE,P272:ED272&lt;&gt;"",P272:ED272,,,-1)," ")</f>
        <v xml:space="preserve"> </v>
      </c>
      <c r="I272" s="25">
        <v>25</v>
      </c>
      <c r="J272" s="26"/>
      <c r="K272" s="26"/>
      <c r="L272" s="26"/>
      <c r="M272" s="26"/>
      <c r="N272" s="26"/>
      <c r="O272" s="26"/>
      <c r="P272" s="26"/>
      <c r="Q272" s="26"/>
      <c r="R272" s="26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34"/>
      <c r="AF272" s="35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7"/>
      <c r="BF272" s="37"/>
      <c r="BG272" s="34"/>
      <c r="BH272" s="37"/>
      <c r="BI272" s="37"/>
      <c r="BJ272" s="34"/>
      <c r="BK272" s="37"/>
      <c r="BL272" s="37"/>
      <c r="BM272" s="37"/>
      <c r="BN272" s="34"/>
      <c r="BO272" s="34"/>
      <c r="BP272" s="37"/>
      <c r="BQ272" s="34"/>
      <c r="BR272" s="34"/>
      <c r="BS272" s="37"/>
      <c r="BT272" s="37"/>
      <c r="BU272" s="34"/>
      <c r="BV272" s="34"/>
      <c r="BW272" s="34"/>
      <c r="BX272" s="37"/>
      <c r="BY272" s="34"/>
      <c r="BZ272" s="34"/>
      <c r="CA272" s="37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43"/>
      <c r="CN272" s="37"/>
      <c r="CO272" s="37"/>
      <c r="CP272" s="34"/>
      <c r="CQ272" s="37"/>
      <c r="CR272" s="37"/>
      <c r="CS272" s="37"/>
      <c r="CT272" s="34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  <c r="DI272" s="37"/>
      <c r="DJ272" s="37"/>
      <c r="DK272" s="37"/>
      <c r="DL272" s="37"/>
      <c r="DM272" s="37"/>
      <c r="DN272" s="37"/>
      <c r="DO272" s="37"/>
      <c r="DP272" s="37"/>
      <c r="DQ272" s="37"/>
      <c r="DR272" s="37"/>
      <c r="DS272" s="37"/>
      <c r="DT272" s="37"/>
      <c r="DU272" s="37"/>
      <c r="DV272" s="37"/>
      <c r="DW272" s="37"/>
      <c r="DX272" s="37"/>
      <c r="DY272" s="37"/>
      <c r="DZ272" s="37"/>
      <c r="EA272" s="39"/>
      <c r="EB272" s="39"/>
      <c r="EC272" s="40"/>
    </row>
    <row r="273" spans="1:133" hidden="1">
      <c r="A273" s="44" t="s">
        <v>138</v>
      </c>
      <c r="B273" s="22" t="s">
        <v>595</v>
      </c>
      <c r="C273" s="20" t="s">
        <v>600</v>
      </c>
      <c r="D273" s="21" t="s">
        <v>597</v>
      </c>
      <c r="E273" s="21"/>
      <c r="F273" s="22" t="s">
        <v>179</v>
      </c>
      <c r="G273" s="23" t="str" cm="1">
        <f t="array" ref="G273">IFERROR(LOOKUP(2,1/(K273:GC273&lt;&gt;""),K$2:DQL$2),"")</f>
        <v/>
      </c>
      <c r="H273" s="24" t="str" cm="1">
        <f t="array" ref="H273">IFERROR(_xlfn.XLOOKUP(TRUE,P273:ED273&lt;&gt;"",P273:ED273,,,-1)," ")</f>
        <v xml:space="preserve"> </v>
      </c>
      <c r="I273" s="25">
        <v>25</v>
      </c>
      <c r="J273" s="26"/>
      <c r="K273" s="26"/>
      <c r="L273" s="26"/>
      <c r="M273" s="26"/>
      <c r="N273" s="26"/>
      <c r="O273" s="26"/>
      <c r="P273" s="26"/>
      <c r="Q273" s="26"/>
      <c r="R273" s="26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34"/>
      <c r="AF273" s="35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7"/>
      <c r="BF273" s="37"/>
      <c r="BG273" s="34"/>
      <c r="BH273" s="37"/>
      <c r="BI273" s="37"/>
      <c r="BJ273" s="34"/>
      <c r="BK273" s="37"/>
      <c r="BL273" s="37"/>
      <c r="BM273" s="37"/>
      <c r="BN273" s="34"/>
      <c r="BO273" s="34"/>
      <c r="BP273" s="37"/>
      <c r="BQ273" s="34"/>
      <c r="BR273" s="34"/>
      <c r="BS273" s="37"/>
      <c r="BT273" s="37"/>
      <c r="BU273" s="34"/>
      <c r="BV273" s="34"/>
      <c r="BW273" s="34"/>
      <c r="BX273" s="37"/>
      <c r="BY273" s="34"/>
      <c r="BZ273" s="34"/>
      <c r="CA273" s="37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43"/>
      <c r="CN273" s="37"/>
      <c r="CO273" s="37"/>
      <c r="CP273" s="34"/>
      <c r="CQ273" s="37"/>
      <c r="CR273" s="37"/>
      <c r="CS273" s="37"/>
      <c r="CT273" s="34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  <c r="DI273" s="37"/>
      <c r="DJ273" s="37"/>
      <c r="DK273" s="37"/>
      <c r="DL273" s="37"/>
      <c r="DM273" s="37"/>
      <c r="DN273" s="37"/>
      <c r="DO273" s="37"/>
      <c r="DP273" s="37"/>
      <c r="DQ273" s="37"/>
      <c r="DR273" s="37"/>
      <c r="DS273" s="37"/>
      <c r="DT273" s="37"/>
      <c r="DU273" s="37"/>
      <c r="DV273" s="37"/>
      <c r="DW273" s="37"/>
      <c r="DX273" s="37"/>
      <c r="DY273" s="37"/>
      <c r="DZ273" s="37"/>
      <c r="EA273" s="39"/>
      <c r="EB273" s="39"/>
      <c r="EC273" s="40"/>
    </row>
    <row r="274" spans="1:133" hidden="1">
      <c r="A274" s="44" t="s">
        <v>138</v>
      </c>
      <c r="B274" s="22" t="s">
        <v>595</v>
      </c>
      <c r="C274" s="20" t="s">
        <v>601</v>
      </c>
      <c r="D274" s="21" t="s">
        <v>597</v>
      </c>
      <c r="E274" s="21"/>
      <c r="F274" s="22" t="s">
        <v>179</v>
      </c>
      <c r="G274" s="23" t="str" cm="1">
        <f t="array" ref="G274">IFERROR(LOOKUP(2,1/(K274:GC274&lt;&gt;""),K$2:DQL$2),"")</f>
        <v>14-Aug</v>
      </c>
      <c r="H274" s="24" cm="1">
        <f t="array" ref="H274">IFERROR(_xlfn.XLOOKUP(TRUE,P274:ED274&lt;&gt;"",P274:ED274,,,-1)," ")</f>
        <v>25.4</v>
      </c>
      <c r="I274" s="25">
        <v>25</v>
      </c>
      <c r="J274" s="26"/>
      <c r="K274" s="26"/>
      <c r="L274" s="26"/>
      <c r="M274" s="26"/>
      <c r="N274" s="26"/>
      <c r="O274" s="26"/>
      <c r="P274" s="26"/>
      <c r="Q274" s="26"/>
      <c r="R274" s="26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34"/>
      <c r="AF274" s="35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>
        <v>25.4</v>
      </c>
      <c r="BC274" s="34"/>
      <c r="BD274" s="34"/>
      <c r="BE274" s="37"/>
      <c r="BF274" s="37"/>
      <c r="BG274" s="34"/>
      <c r="BH274" s="37"/>
      <c r="BI274" s="37"/>
      <c r="BJ274" s="34"/>
      <c r="BK274" s="37"/>
      <c r="BL274" s="37"/>
      <c r="BM274" s="37"/>
      <c r="BN274" s="34"/>
      <c r="BO274" s="34"/>
      <c r="BP274" s="37"/>
      <c r="BQ274" s="34"/>
      <c r="BR274" s="34"/>
      <c r="BS274" s="37"/>
      <c r="BT274" s="37"/>
      <c r="BU274" s="34"/>
      <c r="BV274" s="34"/>
      <c r="BW274" s="34"/>
      <c r="BX274" s="37"/>
      <c r="BY274" s="34"/>
      <c r="BZ274" s="34"/>
      <c r="CA274" s="37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43"/>
      <c r="CN274" s="37"/>
      <c r="CO274" s="37"/>
      <c r="CP274" s="34"/>
      <c r="CQ274" s="37"/>
      <c r="CR274" s="37"/>
      <c r="CS274" s="37"/>
      <c r="CT274" s="34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  <c r="DH274" s="37"/>
      <c r="DI274" s="37"/>
      <c r="DJ274" s="37"/>
      <c r="DK274" s="37"/>
      <c r="DL274" s="37"/>
      <c r="DM274" s="37"/>
      <c r="DN274" s="37"/>
      <c r="DO274" s="37"/>
      <c r="DP274" s="37"/>
      <c r="DQ274" s="37"/>
      <c r="DR274" s="37"/>
      <c r="DS274" s="37"/>
      <c r="DT274" s="37"/>
      <c r="DU274" s="37"/>
      <c r="DV274" s="37"/>
      <c r="DW274" s="37"/>
      <c r="DX274" s="37"/>
      <c r="DY274" s="37"/>
      <c r="DZ274" s="37"/>
      <c r="EA274" s="39"/>
      <c r="EB274" s="39"/>
      <c r="EC274" s="40"/>
    </row>
    <row r="275" spans="1:133" hidden="1">
      <c r="A275" s="44" t="s">
        <v>138</v>
      </c>
      <c r="B275" s="22" t="s">
        <v>602</v>
      </c>
      <c r="C275" s="20" t="s">
        <v>603</v>
      </c>
      <c r="D275" s="21" t="s">
        <v>597</v>
      </c>
      <c r="E275" s="21"/>
      <c r="F275" s="22" t="s">
        <v>604</v>
      </c>
      <c r="G275" s="23" t="str" cm="1">
        <f t="array" ref="G275">IFERROR(LOOKUP(2,1/(K275:GC275&lt;&gt;""),K$2:DQL$2),"")</f>
        <v>19-Aug</v>
      </c>
      <c r="H275" s="24" cm="1">
        <f t="array" ref="H275">IFERROR(_xlfn.XLOOKUP(TRUE,P275:ED275&lt;&gt;"",P275:ED275,,,-1)," ")</f>
        <v>23.6</v>
      </c>
      <c r="I275" s="25">
        <v>24</v>
      </c>
      <c r="J275" s="26"/>
      <c r="K275" s="26"/>
      <c r="L275" s="26"/>
      <c r="M275" s="26"/>
      <c r="N275" s="26"/>
      <c r="O275" s="26"/>
      <c r="P275" s="26"/>
      <c r="Q275" s="26"/>
      <c r="R275" s="26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34"/>
      <c r="AF275" s="35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7"/>
      <c r="BF275" s="37">
        <v>22.4</v>
      </c>
      <c r="BG275" s="34">
        <v>23.6</v>
      </c>
      <c r="BH275" s="84"/>
      <c r="BI275" s="37"/>
      <c r="BJ275" s="34"/>
      <c r="BK275" s="37"/>
      <c r="BL275" s="37"/>
      <c r="BM275" s="37"/>
      <c r="BN275" s="34"/>
      <c r="BO275" s="85"/>
      <c r="BP275" s="37"/>
      <c r="BQ275" s="34"/>
      <c r="BR275" s="34"/>
      <c r="BS275" s="37"/>
      <c r="BT275" s="37"/>
      <c r="BU275" s="34"/>
      <c r="BV275" s="34"/>
      <c r="BW275" s="34"/>
      <c r="BX275" s="37"/>
      <c r="BY275" s="34"/>
      <c r="BZ275" s="34"/>
      <c r="CA275" s="37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7"/>
      <c r="CN275" s="37"/>
      <c r="CO275" s="37"/>
      <c r="CP275" s="34"/>
      <c r="CQ275" s="37"/>
      <c r="CR275" s="37"/>
      <c r="CS275" s="37"/>
      <c r="CT275" s="34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  <c r="DH275" s="37"/>
      <c r="DI275" s="37"/>
      <c r="DJ275" s="37"/>
      <c r="DK275" s="37"/>
      <c r="DL275" s="37"/>
      <c r="DM275" s="37"/>
      <c r="DN275" s="37"/>
      <c r="DO275" s="37"/>
      <c r="DP275" s="37"/>
      <c r="DQ275" s="37"/>
      <c r="DR275" s="37"/>
      <c r="DS275" s="37"/>
      <c r="DT275" s="37"/>
      <c r="DU275" s="37"/>
      <c r="DV275" s="37"/>
      <c r="DW275" s="37"/>
      <c r="DX275" s="37"/>
      <c r="DY275" s="37"/>
      <c r="DZ275" s="37"/>
      <c r="EA275" s="39"/>
      <c r="EB275" s="39"/>
      <c r="EC275" s="40"/>
    </row>
    <row r="276" spans="1:133">
      <c r="A276" s="44"/>
      <c r="B276" s="22" t="s">
        <v>605</v>
      </c>
      <c r="C276" s="20" t="s">
        <v>606</v>
      </c>
      <c r="D276" s="21" t="s">
        <v>607</v>
      </c>
      <c r="E276" s="21"/>
      <c r="F276" s="22" t="s">
        <v>465</v>
      </c>
      <c r="G276" s="23" t="str" cm="1">
        <f t="array" ref="G276">IFERROR(LOOKUP(2,1/(K276:GC276&lt;&gt;""),K$2:DQL$2),"")</f>
        <v>12-Aug</v>
      </c>
      <c r="H276" s="24" cm="1">
        <f t="array" ref="H276">IFERROR(_xlfn.XLOOKUP(TRUE,P276:ED276&lt;&gt;"",P276:ED276,,,-1)," ")</f>
        <v>21.1</v>
      </c>
      <c r="I276" s="25">
        <v>24.5</v>
      </c>
      <c r="J276" s="26"/>
      <c r="K276" s="26"/>
      <c r="L276" s="26"/>
      <c r="M276" s="26"/>
      <c r="N276" s="26"/>
      <c r="O276" s="26"/>
      <c r="P276" s="26"/>
      <c r="Q276" s="26"/>
      <c r="R276" s="26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34"/>
      <c r="AF276" s="35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>
        <v>21.1</v>
      </c>
      <c r="BA276" s="34"/>
      <c r="BB276" s="34"/>
      <c r="BC276" s="34"/>
      <c r="BD276" s="34"/>
      <c r="BE276" s="37"/>
      <c r="BF276" s="37"/>
      <c r="BG276" s="34"/>
      <c r="BH276" s="37"/>
      <c r="BI276" s="37"/>
      <c r="BJ276" s="37"/>
      <c r="BK276" s="34"/>
      <c r="BL276" s="37"/>
      <c r="BM276" s="37"/>
      <c r="BN276" s="37"/>
      <c r="BO276" s="34"/>
      <c r="BP276" s="37"/>
      <c r="BQ276" s="34"/>
      <c r="BR276" s="34"/>
      <c r="BS276" s="37"/>
      <c r="BT276" s="37"/>
      <c r="BU276" s="34"/>
      <c r="BV276" s="34"/>
      <c r="BW276" s="34"/>
      <c r="BX276" s="37"/>
      <c r="BY276" s="34"/>
      <c r="BZ276" s="34"/>
      <c r="CA276" s="37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43"/>
      <c r="CN276" s="37"/>
      <c r="CO276" s="37"/>
      <c r="CP276" s="34"/>
      <c r="CQ276" s="34"/>
      <c r="CR276" s="37"/>
      <c r="CS276" s="34"/>
      <c r="CT276" s="34"/>
      <c r="CU276" s="37"/>
      <c r="CV276" s="37"/>
      <c r="CW276" s="34"/>
      <c r="CX276" s="34"/>
      <c r="CY276" s="34"/>
      <c r="CZ276" s="34"/>
      <c r="DA276" s="34"/>
      <c r="DB276" s="37"/>
      <c r="DC276" s="37"/>
      <c r="DD276" s="34"/>
      <c r="DE276" s="34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37"/>
      <c r="DQ276" s="37"/>
      <c r="DR276" s="37"/>
      <c r="DS276" s="37"/>
      <c r="DT276" s="37"/>
      <c r="DU276" s="37"/>
      <c r="DV276" s="37"/>
      <c r="DW276" s="37"/>
      <c r="DX276" s="37"/>
      <c r="DY276" s="37"/>
      <c r="DZ276" s="37"/>
      <c r="EA276" s="39"/>
      <c r="EB276" s="39"/>
      <c r="EC276" s="40"/>
    </row>
    <row r="277" spans="1:133">
      <c r="A277" s="44"/>
      <c r="B277" s="22" t="s">
        <v>608</v>
      </c>
      <c r="C277" s="20" t="s">
        <v>609</v>
      </c>
      <c r="D277" s="21" t="s">
        <v>607</v>
      </c>
      <c r="E277" s="21"/>
      <c r="F277" s="22" t="s">
        <v>465</v>
      </c>
      <c r="G277" s="23" t="str" cm="1">
        <f t="array" ref="G277">IFERROR(LOOKUP(2,1/(K277:GC277&lt;&gt;""),K$2:DQL$2),"")</f>
        <v/>
      </c>
      <c r="H277" s="24" t="str" cm="1">
        <f t="array" ref="H277">IFERROR(_xlfn.XLOOKUP(TRUE,P277:ED277&lt;&gt;"",P277:ED277,,,-1)," ")</f>
        <v xml:space="preserve"> </v>
      </c>
      <c r="I277" s="25">
        <v>22</v>
      </c>
      <c r="J277" s="26"/>
      <c r="K277" s="26"/>
      <c r="L277" s="26"/>
      <c r="M277" s="26"/>
      <c r="N277" s="26"/>
      <c r="O277" s="26"/>
      <c r="P277" s="26"/>
      <c r="Q277" s="26"/>
      <c r="R277" s="26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34"/>
      <c r="AF277" s="35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7"/>
      <c r="BF277" s="37"/>
      <c r="BG277" s="34"/>
      <c r="BH277" s="37"/>
      <c r="BI277" s="37"/>
      <c r="BJ277" s="37"/>
      <c r="BK277" s="34"/>
      <c r="BL277" s="37"/>
      <c r="BM277" s="37"/>
      <c r="BN277" s="34"/>
      <c r="BO277" s="34"/>
      <c r="BP277" s="37"/>
      <c r="BQ277" s="34"/>
      <c r="BR277" s="34"/>
      <c r="BS277" s="37"/>
      <c r="BT277" s="37"/>
      <c r="BU277" s="34"/>
      <c r="BV277" s="34"/>
      <c r="BW277" s="34"/>
      <c r="BX277" s="37"/>
      <c r="BY277" s="34"/>
      <c r="BZ277" s="34"/>
      <c r="CA277" s="37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43"/>
      <c r="CN277" s="37"/>
      <c r="CO277" s="37"/>
      <c r="CP277" s="34"/>
      <c r="CQ277" s="34"/>
      <c r="CR277" s="37"/>
      <c r="CS277" s="34"/>
      <c r="CT277" s="34"/>
      <c r="CU277" s="37"/>
      <c r="CV277" s="37"/>
      <c r="CW277" s="34"/>
      <c r="CX277" s="34"/>
      <c r="CY277" s="34"/>
      <c r="CZ277" s="34"/>
      <c r="DA277" s="34"/>
      <c r="DB277" s="37"/>
      <c r="DC277" s="37"/>
      <c r="DD277" s="34"/>
      <c r="DE277" s="34"/>
      <c r="DF277" s="37"/>
      <c r="DG277" s="37"/>
      <c r="DH277" s="37"/>
      <c r="DI277" s="37"/>
      <c r="DJ277" s="37"/>
      <c r="DK277" s="37"/>
      <c r="DL277" s="37"/>
      <c r="DM277" s="37"/>
      <c r="DN277" s="37"/>
      <c r="DO277" s="37"/>
      <c r="DP277" s="37"/>
      <c r="DQ277" s="37"/>
      <c r="DR277" s="37"/>
      <c r="DS277" s="37"/>
      <c r="DT277" s="37"/>
      <c r="DU277" s="37"/>
      <c r="DV277" s="37"/>
      <c r="DW277" s="37"/>
      <c r="DX277" s="37"/>
      <c r="DY277" s="37"/>
      <c r="DZ277" s="37"/>
      <c r="EA277" s="39"/>
      <c r="EB277" s="39"/>
      <c r="EC277" s="40"/>
    </row>
    <row r="278" spans="1:133">
      <c r="A278" s="44"/>
      <c r="B278" s="22" t="s">
        <v>608</v>
      </c>
      <c r="C278" s="20" t="s">
        <v>610</v>
      </c>
      <c r="D278" s="21" t="s">
        <v>607</v>
      </c>
      <c r="E278" s="21"/>
      <c r="F278" s="22" t="s">
        <v>465</v>
      </c>
      <c r="G278" s="23" t="str" cm="1">
        <f t="array" ref="G278">IFERROR(LOOKUP(2,1/(K278:GC278&lt;&gt;""),K$2:DQL$2),"")</f>
        <v/>
      </c>
      <c r="H278" s="24" t="str" cm="1">
        <f t="array" ref="H278">IFERROR(_xlfn.XLOOKUP(TRUE,P278:ED278&lt;&gt;"",P278:ED278,,,-1)," ")</f>
        <v xml:space="preserve"> </v>
      </c>
      <c r="I278" s="25">
        <v>22</v>
      </c>
      <c r="J278" s="26"/>
      <c r="K278" s="26"/>
      <c r="L278" s="26"/>
      <c r="M278" s="26"/>
      <c r="N278" s="26"/>
      <c r="O278" s="26"/>
      <c r="P278" s="26"/>
      <c r="Q278" s="26"/>
      <c r="R278" s="26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34"/>
      <c r="AF278" s="35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7"/>
      <c r="BF278" s="37"/>
      <c r="BG278" s="34"/>
      <c r="BH278" s="37"/>
      <c r="BI278" s="37"/>
      <c r="BJ278" s="37"/>
      <c r="BK278" s="34"/>
      <c r="BL278" s="37"/>
      <c r="BM278" s="37"/>
      <c r="BN278" s="34"/>
      <c r="BO278" s="34"/>
      <c r="BP278" s="37"/>
      <c r="BQ278" s="34"/>
      <c r="BR278" s="34"/>
      <c r="BS278" s="37"/>
      <c r="BT278" s="37"/>
      <c r="BU278" s="34"/>
      <c r="BV278" s="34"/>
      <c r="BW278" s="34"/>
      <c r="BX278" s="37"/>
      <c r="BY278" s="34"/>
      <c r="BZ278" s="34"/>
      <c r="CA278" s="37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43"/>
      <c r="CN278" s="37"/>
      <c r="CO278" s="37"/>
      <c r="CP278" s="34"/>
      <c r="CQ278" s="34"/>
      <c r="CR278" s="37"/>
      <c r="CS278" s="34"/>
      <c r="CT278" s="34"/>
      <c r="CU278" s="37"/>
      <c r="CV278" s="37"/>
      <c r="CW278" s="34"/>
      <c r="CX278" s="34"/>
      <c r="CY278" s="34"/>
      <c r="CZ278" s="34"/>
      <c r="DA278" s="34"/>
      <c r="DB278" s="37"/>
      <c r="DC278" s="37"/>
      <c r="DD278" s="34"/>
      <c r="DE278" s="34"/>
      <c r="DF278" s="37"/>
      <c r="DG278" s="37"/>
      <c r="DH278" s="37"/>
      <c r="DI278" s="37"/>
      <c r="DJ278" s="37"/>
      <c r="DK278" s="37"/>
      <c r="DL278" s="37"/>
      <c r="DM278" s="37"/>
      <c r="DN278" s="37"/>
      <c r="DO278" s="37"/>
      <c r="DP278" s="37"/>
      <c r="DQ278" s="37"/>
      <c r="DR278" s="37"/>
      <c r="DS278" s="37"/>
      <c r="DT278" s="37"/>
      <c r="DU278" s="37"/>
      <c r="DV278" s="37"/>
      <c r="DW278" s="37"/>
      <c r="DX278" s="37"/>
      <c r="DY278" s="37"/>
      <c r="DZ278" s="37"/>
      <c r="EA278" s="39"/>
      <c r="EB278" s="39"/>
      <c r="EC278" s="40"/>
    </row>
    <row r="279" spans="1:133">
      <c r="A279" s="44"/>
      <c r="B279" s="22" t="s">
        <v>611</v>
      </c>
      <c r="C279" s="20" t="s">
        <v>612</v>
      </c>
      <c r="D279" s="21" t="s">
        <v>613</v>
      </c>
      <c r="E279" s="21"/>
      <c r="F279" s="22" t="s">
        <v>198</v>
      </c>
      <c r="G279" s="23" t="str" cm="1">
        <f t="array" ref="G279">IFERROR(LOOKUP(2,1/(K279:GC279&lt;&gt;""),K$2:DQL$2),"")</f>
        <v>21-Aug</v>
      </c>
      <c r="H279" s="24" cm="1">
        <f t="array" ref="H279">IFERROR(_xlfn.XLOOKUP(TRUE,P279:ED279&lt;&gt;"",P279:ED279,,,-1)," ")</f>
        <v>22</v>
      </c>
      <c r="I279" s="25">
        <v>24.5</v>
      </c>
      <c r="J279" s="26"/>
      <c r="K279" s="26"/>
      <c r="L279" s="26"/>
      <c r="M279" s="26"/>
      <c r="N279" s="26"/>
      <c r="O279" s="26"/>
      <c r="P279" s="26"/>
      <c r="Q279" s="26"/>
      <c r="R279" s="26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34"/>
      <c r="AF279" s="35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>
        <v>20.2</v>
      </c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7"/>
      <c r="BF279" s="37"/>
      <c r="BG279" s="34"/>
      <c r="BH279" s="37"/>
      <c r="BI279" s="37">
        <v>22</v>
      </c>
      <c r="BJ279" s="37"/>
      <c r="BK279" s="34"/>
      <c r="BL279" s="34"/>
      <c r="BM279" s="37"/>
      <c r="BN279" s="34"/>
      <c r="BO279" s="37"/>
      <c r="BP279" s="37"/>
      <c r="BQ279" s="34"/>
      <c r="BR279" s="34"/>
      <c r="BS279" s="37"/>
      <c r="BT279" s="37"/>
      <c r="BU279" s="34"/>
      <c r="BV279" s="34"/>
      <c r="BW279" s="34"/>
      <c r="BX279" s="37"/>
      <c r="BY279" s="34"/>
      <c r="BZ279" s="34"/>
      <c r="CA279" s="37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43"/>
      <c r="CN279" s="37"/>
      <c r="CO279" s="37"/>
      <c r="CP279" s="34"/>
      <c r="CQ279" s="34"/>
      <c r="CR279" s="34"/>
      <c r="CS279" s="34"/>
      <c r="CT279" s="34"/>
      <c r="CU279" s="37"/>
      <c r="CV279" s="37"/>
      <c r="CW279" s="34"/>
      <c r="CX279" s="34"/>
      <c r="CY279" s="34"/>
      <c r="CZ279" s="34"/>
      <c r="DA279" s="37"/>
      <c r="DB279" s="37"/>
      <c r="DC279" s="37"/>
      <c r="DD279" s="37"/>
      <c r="DE279" s="37"/>
      <c r="DF279" s="37"/>
      <c r="DG279" s="37"/>
      <c r="DH279" s="37"/>
      <c r="DI279" s="37"/>
      <c r="DJ279" s="37"/>
      <c r="DK279" s="37"/>
      <c r="DL279" s="37"/>
      <c r="DM279" s="37"/>
      <c r="DN279" s="37"/>
      <c r="DO279" s="37"/>
      <c r="DP279" s="37"/>
      <c r="DQ279" s="37"/>
      <c r="DR279" s="37"/>
      <c r="DS279" s="37"/>
      <c r="DT279" s="37"/>
      <c r="DU279" s="37"/>
      <c r="DV279" s="37"/>
      <c r="DW279" s="37"/>
      <c r="DX279" s="37"/>
      <c r="DY279" s="37"/>
      <c r="DZ279" s="37"/>
      <c r="EA279" s="39"/>
      <c r="EB279" s="39"/>
      <c r="EC279" s="40"/>
    </row>
    <row r="280" spans="1:133">
      <c r="A280" s="44"/>
      <c r="B280" s="22" t="s">
        <v>614</v>
      </c>
      <c r="C280" s="20" t="s">
        <v>615</v>
      </c>
      <c r="D280" s="21" t="s">
        <v>613</v>
      </c>
      <c r="E280" s="21"/>
      <c r="F280" s="22" t="s">
        <v>198</v>
      </c>
      <c r="G280" s="23" t="str" cm="1">
        <f t="array" ref="G280">IFERROR(LOOKUP(2,1/(K280:GC280&lt;&gt;""),K$2:DQL$2),"")</f>
        <v/>
      </c>
      <c r="H280" s="24" t="str" cm="1">
        <f t="array" ref="H280">IFERROR(_xlfn.XLOOKUP(TRUE,P280:ED280&lt;&gt;"",P280:ED280,,,-1)," ")</f>
        <v xml:space="preserve"> </v>
      </c>
      <c r="I280" s="25">
        <v>24.5</v>
      </c>
      <c r="J280" s="26"/>
      <c r="K280" s="26"/>
      <c r="L280" s="26"/>
      <c r="M280" s="26"/>
      <c r="N280" s="26"/>
      <c r="O280" s="26"/>
      <c r="P280" s="26"/>
      <c r="Q280" s="26"/>
      <c r="R280" s="26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34"/>
      <c r="AF280" s="35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7"/>
      <c r="BF280" s="37"/>
      <c r="BG280" s="34"/>
      <c r="BH280" s="37"/>
      <c r="BI280" s="37"/>
      <c r="BJ280" s="37"/>
      <c r="BK280" s="34"/>
      <c r="BL280" s="34"/>
      <c r="BM280" s="37"/>
      <c r="BN280" s="34"/>
      <c r="BO280" s="37"/>
      <c r="BP280" s="37"/>
      <c r="BQ280" s="34"/>
      <c r="BR280" s="34"/>
      <c r="BS280" s="37"/>
      <c r="BT280" s="37"/>
      <c r="BU280" s="34"/>
      <c r="BV280" s="34"/>
      <c r="BW280" s="34"/>
      <c r="BX280" s="37"/>
      <c r="BY280" s="34"/>
      <c r="BZ280" s="34"/>
      <c r="CA280" s="37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43"/>
      <c r="CN280" s="37"/>
      <c r="CO280" s="37"/>
      <c r="CP280" s="34"/>
      <c r="CQ280" s="34"/>
      <c r="CR280" s="34"/>
      <c r="CS280" s="34"/>
      <c r="CT280" s="34"/>
      <c r="CU280" s="37"/>
      <c r="CV280" s="37"/>
      <c r="CW280" s="34"/>
      <c r="CX280" s="34"/>
      <c r="CY280" s="34"/>
      <c r="CZ280" s="34"/>
      <c r="DA280" s="37"/>
      <c r="DB280" s="37"/>
      <c r="DC280" s="37"/>
      <c r="DD280" s="37"/>
      <c r="DE280" s="37"/>
      <c r="DF280" s="37"/>
      <c r="DG280" s="37"/>
      <c r="DH280" s="37"/>
      <c r="DI280" s="37"/>
      <c r="DJ280" s="37"/>
      <c r="DK280" s="37"/>
      <c r="DL280" s="37"/>
      <c r="DM280" s="37"/>
      <c r="DN280" s="37"/>
      <c r="DO280" s="37"/>
      <c r="DP280" s="37"/>
      <c r="DQ280" s="37"/>
      <c r="DR280" s="37"/>
      <c r="DS280" s="37"/>
      <c r="DT280" s="37"/>
      <c r="DU280" s="37"/>
      <c r="DV280" s="37"/>
      <c r="DW280" s="37"/>
      <c r="DX280" s="37"/>
      <c r="DY280" s="37"/>
      <c r="DZ280" s="37"/>
      <c r="EA280" s="39"/>
      <c r="EB280" s="39"/>
      <c r="EC280" s="40"/>
    </row>
    <row r="281" spans="1:133">
      <c r="A281" s="44"/>
      <c r="B281" s="22" t="s">
        <v>614</v>
      </c>
      <c r="C281" s="20" t="s">
        <v>616</v>
      </c>
      <c r="D281" s="21" t="s">
        <v>613</v>
      </c>
      <c r="E281" s="21"/>
      <c r="F281" s="22" t="s">
        <v>198</v>
      </c>
      <c r="G281" s="23" t="str" cm="1">
        <f t="array" ref="G281">IFERROR(LOOKUP(2,1/(K281:GC281&lt;&gt;""),K$2:DQL$2),"")</f>
        <v/>
      </c>
      <c r="H281" s="24" t="str" cm="1">
        <f t="array" ref="H281">IFERROR(_xlfn.XLOOKUP(TRUE,P281:ED281&lt;&gt;"",P281:ED281,,,-1)," ")</f>
        <v xml:space="preserve"> </v>
      </c>
      <c r="I281" s="25">
        <v>24.5</v>
      </c>
      <c r="J281" s="26"/>
      <c r="K281" s="26"/>
      <c r="L281" s="26"/>
      <c r="M281" s="26"/>
      <c r="N281" s="26"/>
      <c r="O281" s="26"/>
      <c r="P281" s="26"/>
      <c r="Q281" s="26"/>
      <c r="R281" s="26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34"/>
      <c r="AF281" s="35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7"/>
      <c r="BF281" s="37"/>
      <c r="BG281" s="34"/>
      <c r="BH281" s="37"/>
      <c r="BI281" s="37"/>
      <c r="BJ281" s="37"/>
      <c r="BK281" s="34"/>
      <c r="BL281" s="34"/>
      <c r="BM281" s="37"/>
      <c r="BN281" s="34"/>
      <c r="BO281" s="37"/>
      <c r="BP281" s="37"/>
      <c r="BQ281" s="34"/>
      <c r="BR281" s="34"/>
      <c r="BS281" s="37"/>
      <c r="BT281" s="37"/>
      <c r="BU281" s="34"/>
      <c r="BV281" s="34"/>
      <c r="BW281" s="34"/>
      <c r="BX281" s="37"/>
      <c r="BY281" s="34"/>
      <c r="BZ281" s="34"/>
      <c r="CA281" s="37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43"/>
      <c r="CN281" s="37"/>
      <c r="CO281" s="37"/>
      <c r="CP281" s="34"/>
      <c r="CQ281" s="34"/>
      <c r="CR281" s="34"/>
      <c r="CS281" s="34"/>
      <c r="CT281" s="34"/>
      <c r="CU281" s="37"/>
      <c r="CV281" s="37"/>
      <c r="CW281" s="34"/>
      <c r="CX281" s="34"/>
      <c r="CY281" s="34"/>
      <c r="CZ281" s="34"/>
      <c r="DA281" s="37"/>
      <c r="DB281" s="37"/>
      <c r="DC281" s="37"/>
      <c r="DD281" s="37"/>
      <c r="DE281" s="37"/>
      <c r="DF281" s="37"/>
      <c r="DG281" s="37"/>
      <c r="DH281" s="37"/>
      <c r="DI281" s="37"/>
      <c r="DJ281" s="37"/>
      <c r="DK281" s="37"/>
      <c r="DL281" s="37"/>
      <c r="DM281" s="37"/>
      <c r="DN281" s="37"/>
      <c r="DO281" s="37"/>
      <c r="DP281" s="37"/>
      <c r="DQ281" s="37"/>
      <c r="DR281" s="37"/>
      <c r="DS281" s="37"/>
      <c r="DT281" s="37"/>
      <c r="DU281" s="37"/>
      <c r="DV281" s="37"/>
      <c r="DW281" s="37"/>
      <c r="DX281" s="37"/>
      <c r="DY281" s="37"/>
      <c r="DZ281" s="37"/>
      <c r="EA281" s="39"/>
      <c r="EB281" s="39"/>
      <c r="EC281" s="40"/>
    </row>
    <row r="282" spans="1:133">
      <c r="A282" s="44"/>
      <c r="B282" s="22" t="s">
        <v>617</v>
      </c>
      <c r="C282" s="20" t="s">
        <v>618</v>
      </c>
      <c r="D282" s="21" t="s">
        <v>613</v>
      </c>
      <c r="E282" s="21"/>
      <c r="F282" s="22" t="s">
        <v>619</v>
      </c>
      <c r="G282" s="23" t="str" cm="1">
        <f t="array" ref="G282">IFERROR(LOOKUP(2,1/(K282:GC282&lt;&gt;""),K$2:DQL$2),"")</f>
        <v>20-Aug</v>
      </c>
      <c r="H282" s="24" cm="1">
        <f t="array" ref="H282">IFERROR(_xlfn.XLOOKUP(TRUE,P282:ED282&lt;&gt;"",P282:ED282,,,-1)," ")</f>
        <v>23.6</v>
      </c>
      <c r="I282" s="25">
        <v>24.5</v>
      </c>
      <c r="J282" s="26"/>
      <c r="K282" s="26"/>
      <c r="L282" s="26"/>
      <c r="M282" s="26"/>
      <c r="N282" s="26"/>
      <c r="O282" s="26"/>
      <c r="P282" s="26"/>
      <c r="Q282" s="26"/>
      <c r="R282" s="26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34"/>
      <c r="AF282" s="35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>
        <v>21.3</v>
      </c>
      <c r="AV282" s="34"/>
      <c r="AW282" s="34"/>
      <c r="AX282" s="34"/>
      <c r="AY282" s="34"/>
      <c r="AZ282" s="34"/>
      <c r="BA282" s="34">
        <v>23.6</v>
      </c>
      <c r="BB282" s="34"/>
      <c r="BC282" s="34"/>
      <c r="BD282" s="34"/>
      <c r="BE282" s="37"/>
      <c r="BF282" s="37"/>
      <c r="BG282" s="34"/>
      <c r="BH282" s="37">
        <v>23.6</v>
      </c>
      <c r="BI282" s="37"/>
      <c r="BJ282" s="37"/>
      <c r="BK282" s="34"/>
      <c r="BL282" s="34"/>
      <c r="BM282" s="37"/>
      <c r="BN282" s="34"/>
      <c r="BO282" s="37"/>
      <c r="BP282" s="37"/>
      <c r="BQ282" s="34"/>
      <c r="BR282" s="34"/>
      <c r="BS282" s="37"/>
      <c r="BT282" s="37"/>
      <c r="BU282" s="34"/>
      <c r="BV282" s="34"/>
      <c r="BW282" s="34"/>
      <c r="BX282" s="37"/>
      <c r="BY282" s="34"/>
      <c r="BZ282" s="34"/>
      <c r="CA282" s="37"/>
      <c r="CB282" s="34"/>
      <c r="CC282" s="34"/>
      <c r="CD282" s="34"/>
      <c r="CE282" s="34"/>
      <c r="CF282" s="34"/>
      <c r="CG282" s="34"/>
      <c r="CH282" s="34"/>
      <c r="CI282" s="36"/>
      <c r="CJ282" s="34"/>
      <c r="CK282" s="34"/>
      <c r="CL282" s="34"/>
      <c r="CM282" s="43"/>
      <c r="CN282" s="37"/>
      <c r="CO282" s="37"/>
      <c r="CP282" s="34"/>
      <c r="CQ282" s="34"/>
      <c r="CR282" s="34"/>
      <c r="CS282" s="34"/>
      <c r="CT282" s="34"/>
      <c r="CU282" s="37"/>
      <c r="CV282" s="37"/>
      <c r="CW282" s="34"/>
      <c r="CX282" s="34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  <c r="DI282" s="37"/>
      <c r="DJ282" s="37"/>
      <c r="DK282" s="37"/>
      <c r="DL282" s="37"/>
      <c r="DM282" s="37"/>
      <c r="DN282" s="37"/>
      <c r="DO282" s="37"/>
      <c r="DP282" s="37"/>
      <c r="DQ282" s="37"/>
      <c r="DR282" s="37"/>
      <c r="DS282" s="37"/>
      <c r="DT282" s="37"/>
      <c r="DU282" s="37"/>
      <c r="DV282" s="37"/>
      <c r="DW282" s="37"/>
      <c r="DX282" s="37"/>
      <c r="DY282" s="37"/>
      <c r="DZ282" s="37"/>
      <c r="EA282" s="39"/>
      <c r="EB282" s="39"/>
      <c r="EC282" s="40"/>
    </row>
    <row r="283" spans="1:133">
      <c r="A283" s="44"/>
      <c r="B283" s="22" t="s">
        <v>620</v>
      </c>
      <c r="C283" s="20" t="s">
        <v>621</v>
      </c>
      <c r="D283" s="21" t="s">
        <v>613</v>
      </c>
      <c r="E283" s="21"/>
      <c r="F283" s="22" t="s">
        <v>188</v>
      </c>
      <c r="G283" s="23" t="str" cm="1">
        <f t="array" ref="G283">IFERROR(LOOKUP(2,1/(K283:GC283&lt;&gt;""),K$2:DQL$2),"")</f>
        <v>20-Aug</v>
      </c>
      <c r="H283" s="24" cm="1">
        <f t="array" ref="H283">IFERROR(_xlfn.XLOOKUP(TRUE,P283:ED283&lt;&gt;"",P283:ED283,,,-1)," ")</f>
        <v>21.3</v>
      </c>
      <c r="I283" s="25">
        <v>25</v>
      </c>
      <c r="J283" s="26"/>
      <c r="K283" s="26"/>
      <c r="L283" s="26"/>
      <c r="M283" s="26"/>
      <c r="N283" s="26"/>
      <c r="O283" s="26"/>
      <c r="P283" s="26"/>
      <c r="Q283" s="26"/>
      <c r="R283" s="26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34"/>
      <c r="AF283" s="35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7"/>
      <c r="BF283" s="37"/>
      <c r="BG283" s="34"/>
      <c r="BH283" s="37">
        <v>21.3</v>
      </c>
      <c r="BI283" s="37"/>
      <c r="BJ283" s="37"/>
      <c r="BK283" s="34"/>
      <c r="BL283" s="34"/>
      <c r="BM283" s="37"/>
      <c r="BN283" s="34"/>
      <c r="BO283" s="37"/>
      <c r="BP283" s="37"/>
      <c r="BQ283" s="34"/>
      <c r="BR283" s="34"/>
      <c r="BS283" s="37"/>
      <c r="BT283" s="37"/>
      <c r="BU283" s="34"/>
      <c r="BV283" s="34"/>
      <c r="BW283" s="34"/>
      <c r="BX283" s="37"/>
      <c r="BY283" s="34"/>
      <c r="BZ283" s="34"/>
      <c r="CA283" s="37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43"/>
      <c r="CN283" s="37"/>
      <c r="CO283" s="37"/>
      <c r="CP283" s="34"/>
      <c r="CQ283" s="34"/>
      <c r="CR283" s="34"/>
      <c r="CS283" s="34"/>
      <c r="CT283" s="34"/>
      <c r="CU283" s="37"/>
      <c r="CV283" s="37"/>
      <c r="CW283" s="34"/>
      <c r="CX283" s="34"/>
      <c r="CY283" s="34"/>
      <c r="CZ283" s="34"/>
      <c r="DA283" s="34"/>
      <c r="DB283" s="37"/>
      <c r="DC283" s="37"/>
      <c r="DD283" s="34"/>
      <c r="DE283" s="34"/>
      <c r="DF283" s="37"/>
      <c r="DG283" s="37"/>
      <c r="DH283" s="37"/>
      <c r="DI283" s="37"/>
      <c r="DJ283" s="37"/>
      <c r="DK283" s="37"/>
      <c r="DL283" s="37"/>
      <c r="DM283" s="37"/>
      <c r="DN283" s="37"/>
      <c r="DO283" s="37"/>
      <c r="DP283" s="37"/>
      <c r="DQ283" s="37"/>
      <c r="DR283" s="37"/>
      <c r="DS283" s="37"/>
      <c r="DT283" s="37"/>
      <c r="DU283" s="37"/>
      <c r="DV283" s="37"/>
      <c r="DW283" s="37"/>
      <c r="DX283" s="37"/>
      <c r="DY283" s="37"/>
      <c r="DZ283" s="37"/>
      <c r="EA283" s="39"/>
      <c r="EB283" s="39"/>
      <c r="EC283" s="40"/>
    </row>
    <row r="284" spans="1:133">
      <c r="A284" s="44"/>
      <c r="B284" s="22" t="s">
        <v>622</v>
      </c>
      <c r="C284" s="20" t="s">
        <v>623</v>
      </c>
      <c r="D284" s="21" t="s">
        <v>624</v>
      </c>
      <c r="E284" s="21"/>
      <c r="F284" s="22"/>
      <c r="G284" s="23" t="str" cm="1">
        <f t="array" ref="G284">IFERROR(LOOKUP(2,1/(K284:GC284&lt;&gt;""),K$2:DQL$2),"")</f>
        <v>12-Aug</v>
      </c>
      <c r="H284" s="24" cm="1">
        <f t="array" ref="H284">IFERROR(_xlfn.XLOOKUP(TRUE,P284:ED284&lt;&gt;"",P284:ED284,,,-1)," ")</f>
        <v>21.3</v>
      </c>
      <c r="I284" s="25">
        <v>24</v>
      </c>
      <c r="J284" s="26"/>
      <c r="K284" s="26"/>
      <c r="L284" s="26"/>
      <c r="M284" s="26"/>
      <c r="N284" s="26"/>
      <c r="O284" s="26"/>
      <c r="P284" s="26"/>
      <c r="Q284" s="26"/>
      <c r="R284" s="26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34"/>
      <c r="AF284" s="35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>
        <v>21.3</v>
      </c>
      <c r="BA284" s="34"/>
      <c r="BB284" s="34"/>
      <c r="BC284" s="34"/>
      <c r="BD284" s="34"/>
      <c r="BE284" s="37"/>
      <c r="BF284" s="37"/>
      <c r="BG284" s="34"/>
      <c r="BH284" s="37"/>
      <c r="BI284" s="37"/>
      <c r="BJ284" s="37"/>
      <c r="BK284" s="34"/>
      <c r="BL284" s="37"/>
      <c r="BM284" s="37"/>
      <c r="BN284" s="37"/>
      <c r="BO284" s="37"/>
      <c r="BP284" s="37"/>
      <c r="BQ284" s="34"/>
      <c r="BR284" s="34"/>
      <c r="BS284" s="37"/>
      <c r="BT284" s="37"/>
      <c r="BU284" s="34"/>
      <c r="BV284" s="34"/>
      <c r="BW284" s="34"/>
      <c r="BX284" s="37"/>
      <c r="BY284" s="34"/>
      <c r="BZ284" s="34"/>
      <c r="CA284" s="37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43"/>
      <c r="CN284" s="37"/>
      <c r="CO284" s="37"/>
      <c r="CP284" s="34"/>
      <c r="CQ284" s="34"/>
      <c r="CR284" s="37"/>
      <c r="CS284" s="34"/>
      <c r="CT284" s="34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  <c r="DI284" s="37"/>
      <c r="DJ284" s="37"/>
      <c r="DK284" s="37"/>
      <c r="DL284" s="37"/>
      <c r="DM284" s="37"/>
      <c r="DN284" s="37"/>
      <c r="DO284" s="37"/>
      <c r="DP284" s="37"/>
      <c r="DQ284" s="37"/>
      <c r="DR284" s="37"/>
      <c r="DS284" s="37"/>
      <c r="DT284" s="37"/>
      <c r="DU284" s="37"/>
      <c r="DV284" s="37"/>
      <c r="DW284" s="37"/>
      <c r="DX284" s="37"/>
      <c r="DY284" s="37"/>
      <c r="DZ284" s="37"/>
      <c r="EA284" s="39"/>
      <c r="EB284" s="39"/>
      <c r="EC284" s="40"/>
    </row>
    <row r="285" spans="1:133">
      <c r="A285" s="44"/>
      <c r="B285" s="22" t="s">
        <v>625</v>
      </c>
      <c r="C285" s="20" t="s">
        <v>626</v>
      </c>
      <c r="D285" s="21" t="s">
        <v>627</v>
      </c>
      <c r="E285" s="21"/>
      <c r="F285" s="22"/>
      <c r="G285" s="23" t="str" cm="1">
        <f t="array" ref="G285">IFERROR(LOOKUP(2,1/(K285:GC285&lt;&gt;""),K$2:DQL$2),"")</f>
        <v/>
      </c>
      <c r="H285" s="24" t="str" cm="1">
        <f t="array" ref="H285">IFERROR(_xlfn.XLOOKUP(TRUE,P285:ED285&lt;&gt;"",P285:ED285,,,-1)," ")</f>
        <v xml:space="preserve"> </v>
      </c>
      <c r="I285" s="25">
        <v>21.5</v>
      </c>
      <c r="J285" s="26"/>
      <c r="K285" s="26"/>
      <c r="L285" s="26"/>
      <c r="M285" s="26"/>
      <c r="N285" s="26"/>
      <c r="O285" s="26"/>
      <c r="P285" s="26"/>
      <c r="Q285" s="26"/>
      <c r="R285" s="26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34"/>
      <c r="AF285" s="35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7"/>
      <c r="BF285" s="37"/>
      <c r="BG285" s="34"/>
      <c r="BH285" s="37"/>
      <c r="BI285" s="37"/>
      <c r="BJ285" s="37"/>
      <c r="BK285" s="37"/>
      <c r="BL285" s="37"/>
      <c r="BM285" s="37"/>
      <c r="BN285" s="37"/>
      <c r="BO285" s="38"/>
      <c r="BP285" s="37"/>
      <c r="BQ285" s="37"/>
      <c r="BR285" s="34"/>
      <c r="BS285" s="37"/>
      <c r="BT285" s="37"/>
      <c r="BU285" s="34"/>
      <c r="BV285" s="37"/>
      <c r="BW285" s="34"/>
      <c r="BX285" s="37"/>
      <c r="BY285" s="34"/>
      <c r="BZ285" s="34"/>
      <c r="CA285" s="37"/>
      <c r="CB285" s="37"/>
      <c r="CC285" s="34"/>
      <c r="CD285" s="37"/>
      <c r="CE285" s="37"/>
      <c r="CF285" s="37"/>
      <c r="CG285" s="37"/>
      <c r="CH285" s="37"/>
      <c r="CI285" s="37"/>
      <c r="CJ285" s="37"/>
      <c r="CK285" s="37"/>
      <c r="CL285" s="34"/>
      <c r="CM285" s="43"/>
      <c r="CN285" s="37"/>
      <c r="CO285" s="37"/>
      <c r="CP285" s="34"/>
      <c r="CQ285" s="37"/>
      <c r="CR285" s="37"/>
      <c r="CS285" s="37"/>
      <c r="CT285" s="34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  <c r="DI285" s="37"/>
      <c r="DJ285" s="37"/>
      <c r="DK285" s="37"/>
      <c r="DL285" s="37"/>
      <c r="DM285" s="37"/>
      <c r="DN285" s="37"/>
      <c r="DO285" s="37"/>
      <c r="DP285" s="37"/>
      <c r="DQ285" s="37"/>
      <c r="DR285" s="37"/>
      <c r="DS285" s="37"/>
      <c r="DT285" s="37"/>
      <c r="DU285" s="37"/>
      <c r="DV285" s="37"/>
      <c r="DW285" s="37"/>
      <c r="DX285" s="37"/>
      <c r="DY285" s="37"/>
      <c r="DZ285" s="37"/>
      <c r="EA285" s="39"/>
      <c r="EB285" s="39"/>
      <c r="EC285" s="40"/>
    </row>
    <row r="286" spans="1:133">
      <c r="A286" s="44"/>
      <c r="B286" s="22"/>
      <c r="C286" s="20" t="s">
        <v>628</v>
      </c>
      <c r="D286" s="21" t="s">
        <v>629</v>
      </c>
      <c r="E286" s="21"/>
      <c r="F286" s="22" t="s">
        <v>137</v>
      </c>
      <c r="G286" s="23" t="str" cm="1">
        <f t="array" ref="G286">IFERROR(LOOKUP(2,1/(K286:GC286&lt;&gt;""),K$2:DQL$2),"")</f>
        <v>14-Aug</v>
      </c>
      <c r="H286" s="24" cm="1">
        <f t="array" ref="H286">IFERROR(_xlfn.XLOOKUP(TRUE,P286:ED286&lt;&gt;"",P286:ED286,,,-1)," ")</f>
        <v>20.2</v>
      </c>
      <c r="I286" s="25"/>
      <c r="J286" s="26"/>
      <c r="K286" s="26"/>
      <c r="L286" s="26"/>
      <c r="M286" s="26"/>
      <c r="N286" s="26"/>
      <c r="O286" s="26"/>
      <c r="P286" s="26"/>
      <c r="Q286" s="26"/>
      <c r="R286" s="26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>
        <v>15</v>
      </c>
      <c r="AD286" s="25"/>
      <c r="AE286" s="34"/>
      <c r="AF286" s="35"/>
      <c r="AG286" s="34"/>
      <c r="AH286" s="34"/>
      <c r="AI286" s="34"/>
      <c r="AJ286" s="34"/>
      <c r="AK286" s="34"/>
      <c r="AL286" s="34"/>
      <c r="AM286" s="248">
        <v>17</v>
      </c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248">
        <v>19.7</v>
      </c>
      <c r="AZ286" s="34"/>
      <c r="BA286" s="34"/>
      <c r="BB286" s="36">
        <v>20.2</v>
      </c>
      <c r="BC286" s="34"/>
      <c r="BD286" s="34"/>
      <c r="BE286" s="37"/>
      <c r="BF286" s="37"/>
      <c r="BG286" s="34"/>
      <c r="BH286" s="34"/>
      <c r="BI286" s="34"/>
      <c r="BJ286" s="34"/>
      <c r="BK286" s="34"/>
      <c r="BL286" s="34"/>
      <c r="BM286" s="37"/>
      <c r="BN286" s="34"/>
      <c r="BO286" s="34"/>
      <c r="BP286" s="34"/>
      <c r="BQ286" s="34"/>
      <c r="BR286" s="34"/>
      <c r="BS286" s="37"/>
      <c r="BT286" s="37"/>
      <c r="BU286" s="34"/>
      <c r="BV286" s="34"/>
      <c r="BW286" s="34"/>
      <c r="BX286" s="37"/>
      <c r="BY286" s="34"/>
      <c r="BZ286" s="36"/>
      <c r="CA286" s="37"/>
      <c r="CB286" s="37"/>
      <c r="CC286" s="34"/>
      <c r="CD286" s="37"/>
      <c r="CE286" s="37"/>
      <c r="CF286" s="37"/>
      <c r="CG286" s="37"/>
      <c r="CH286" s="37"/>
      <c r="CI286" s="37"/>
      <c r="CJ286" s="37"/>
      <c r="CK286" s="37"/>
      <c r="CL286" s="34"/>
      <c r="CM286" s="37"/>
      <c r="CN286" s="37"/>
      <c r="CO286" s="37"/>
      <c r="CP286" s="34"/>
      <c r="CQ286" s="37"/>
      <c r="CR286" s="34"/>
      <c r="CS286" s="37"/>
      <c r="CT286" s="34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  <c r="DI286" s="37"/>
      <c r="DJ286" s="37"/>
      <c r="DK286" s="37"/>
      <c r="DL286" s="37"/>
      <c r="DM286" s="37"/>
      <c r="DN286" s="37"/>
      <c r="DO286" s="37"/>
      <c r="DP286" s="37"/>
      <c r="DQ286" s="37"/>
      <c r="DR286" s="37"/>
      <c r="DS286" s="37"/>
      <c r="DT286" s="37"/>
      <c r="DU286" s="37"/>
      <c r="DV286" s="37"/>
      <c r="DW286" s="37"/>
      <c r="DX286" s="37"/>
      <c r="DY286" s="37"/>
      <c r="DZ286" s="37"/>
      <c r="EA286" s="39"/>
      <c r="EB286" s="39"/>
      <c r="EC286" s="40"/>
    </row>
    <row r="287" spans="1:133" hidden="1">
      <c r="A287" s="44" t="s">
        <v>138</v>
      </c>
      <c r="B287" s="22" t="s">
        <v>630</v>
      </c>
      <c r="C287" s="20" t="s">
        <v>631</v>
      </c>
      <c r="D287" s="21" t="s">
        <v>629</v>
      </c>
      <c r="E287" s="21"/>
      <c r="F287" s="22" t="s">
        <v>632</v>
      </c>
      <c r="G287" s="23" t="str" cm="1">
        <f t="array" ref="G287">IFERROR(LOOKUP(2,1/(K287:GC287&lt;&gt;""),K$2:DQL$2),"")</f>
        <v>27-Jul</v>
      </c>
      <c r="H287" s="24" cm="1">
        <f t="array" ref="H287">IFERROR(_xlfn.XLOOKUP(TRUE,P287:ED287&lt;&gt;"",P287:ED287,,,-1)," ")</f>
        <v>22.2</v>
      </c>
      <c r="I287" s="25" t="s">
        <v>633</v>
      </c>
      <c r="J287" s="26"/>
      <c r="K287" s="26"/>
      <c r="L287" s="26"/>
      <c r="M287" s="26"/>
      <c r="N287" s="26"/>
      <c r="O287" s="26"/>
      <c r="P287" s="26"/>
      <c r="Q287" s="26">
        <v>15.3</v>
      </c>
      <c r="R287" s="26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>
        <v>21.8</v>
      </c>
      <c r="AE287" s="34"/>
      <c r="AF287" s="35"/>
      <c r="AG287" s="34"/>
      <c r="AH287" s="34"/>
      <c r="AI287" s="34"/>
      <c r="AJ287" s="34">
        <v>22.2</v>
      </c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6"/>
      <c r="AZ287" s="34"/>
      <c r="BA287" s="34"/>
      <c r="BB287" s="34"/>
      <c r="BC287" s="34"/>
      <c r="BD287" s="34"/>
      <c r="BE287" s="37"/>
      <c r="BF287" s="37"/>
      <c r="BG287" s="34"/>
      <c r="BH287" s="37"/>
      <c r="BI287" s="34"/>
      <c r="BJ287" s="37"/>
      <c r="BK287" s="34"/>
      <c r="BL287" s="37"/>
      <c r="BM287" s="37"/>
      <c r="BN287" s="37"/>
      <c r="BO287" s="37"/>
      <c r="BP287" s="37"/>
      <c r="BQ287" s="37"/>
      <c r="BR287" s="34"/>
      <c r="BS287" s="37"/>
      <c r="BT287" s="37"/>
      <c r="BU287" s="34"/>
      <c r="BV287" s="37"/>
      <c r="BW287" s="34"/>
      <c r="BX287" s="37"/>
      <c r="BY287" s="34"/>
      <c r="BZ287" s="34"/>
      <c r="CA287" s="37"/>
      <c r="CB287" s="37"/>
      <c r="CC287" s="34"/>
      <c r="CD287" s="37"/>
      <c r="CE287" s="37"/>
      <c r="CF287" s="37"/>
      <c r="CG287" s="37"/>
      <c r="CH287" s="37"/>
      <c r="CI287" s="37"/>
      <c r="CJ287" s="37"/>
      <c r="CK287" s="37"/>
      <c r="CL287" s="34"/>
      <c r="CM287" s="37"/>
      <c r="CN287" s="37"/>
      <c r="CO287" s="37"/>
      <c r="CP287" s="34"/>
      <c r="CQ287" s="37"/>
      <c r="CR287" s="37"/>
      <c r="CS287" s="37"/>
      <c r="CT287" s="34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  <c r="DI287" s="37"/>
      <c r="DJ287" s="37"/>
      <c r="DK287" s="37"/>
      <c r="DL287" s="37"/>
      <c r="DM287" s="37"/>
      <c r="DN287" s="37"/>
      <c r="DO287" s="37"/>
      <c r="DP287" s="37"/>
      <c r="DQ287" s="37"/>
      <c r="DR287" s="37"/>
      <c r="DS287" s="37"/>
      <c r="DT287" s="37"/>
      <c r="DU287" s="37"/>
      <c r="DV287" s="37"/>
      <c r="DW287" s="37"/>
      <c r="DX287" s="37"/>
      <c r="DY287" s="37"/>
      <c r="DZ287" s="37"/>
      <c r="EA287" s="39"/>
      <c r="EB287" s="39"/>
      <c r="EC287" s="40"/>
    </row>
    <row r="288" spans="1:133" hidden="1">
      <c r="A288" s="44" t="s">
        <v>138</v>
      </c>
      <c r="B288" s="22" t="s">
        <v>630</v>
      </c>
      <c r="C288" s="20" t="s">
        <v>634</v>
      </c>
      <c r="D288" s="21" t="s">
        <v>629</v>
      </c>
      <c r="E288" s="21"/>
      <c r="F288" s="22" t="s">
        <v>345</v>
      </c>
      <c r="G288" s="23" t="str" cm="1">
        <f t="array" ref="G288">IFERROR(LOOKUP(2,1/(K288:GC288&lt;&gt;""),K$2:DQL$2),"")</f>
        <v>28-Jul</v>
      </c>
      <c r="H288" s="24" cm="1">
        <f t="array" ref="H288">IFERROR(_xlfn.XLOOKUP(TRUE,P288:ED288&lt;&gt;"",P288:ED288,,,-1)," ")</f>
        <v>23.2</v>
      </c>
      <c r="I288" s="25">
        <v>21.5</v>
      </c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34"/>
      <c r="AF288" s="34"/>
      <c r="AG288" s="34"/>
      <c r="AH288" s="34"/>
      <c r="AI288" s="34"/>
      <c r="AJ288" s="34"/>
      <c r="AK288" s="34">
        <v>23.2</v>
      </c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6"/>
      <c r="AZ288" s="34"/>
      <c r="BA288" s="34"/>
      <c r="BB288" s="34"/>
      <c r="BC288" s="34"/>
      <c r="BD288" s="34"/>
      <c r="BE288" s="37"/>
      <c r="BF288" s="37"/>
      <c r="BG288" s="34"/>
      <c r="BH288" s="37"/>
      <c r="BI288" s="34"/>
      <c r="BJ288" s="37"/>
      <c r="BK288" s="34"/>
      <c r="BL288" s="37"/>
      <c r="BM288" s="37"/>
      <c r="BN288" s="37"/>
      <c r="BO288" s="37"/>
      <c r="BP288" s="37"/>
      <c r="BQ288" s="37"/>
      <c r="BR288" s="34"/>
      <c r="BS288" s="37"/>
      <c r="BT288" s="37"/>
      <c r="BU288" s="34"/>
      <c r="BV288" s="37"/>
      <c r="BW288" s="34"/>
      <c r="BX288" s="37"/>
      <c r="BY288" s="34"/>
      <c r="BZ288" s="34"/>
      <c r="CA288" s="37"/>
      <c r="CB288" s="37"/>
      <c r="CC288" s="34"/>
      <c r="CD288" s="37"/>
      <c r="CE288" s="37"/>
      <c r="CF288" s="37"/>
      <c r="CG288" s="37"/>
      <c r="CH288" s="37"/>
      <c r="CI288" s="37"/>
      <c r="CJ288" s="37"/>
      <c r="CK288" s="37"/>
      <c r="CL288" s="34"/>
      <c r="CM288" s="37"/>
      <c r="CN288" s="37"/>
      <c r="CO288" s="37"/>
      <c r="CP288" s="34"/>
      <c r="CQ288" s="37"/>
      <c r="CR288" s="37"/>
      <c r="CS288" s="37"/>
      <c r="CT288" s="34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  <c r="DI288" s="37"/>
      <c r="DJ288" s="37"/>
      <c r="DK288" s="37"/>
      <c r="DL288" s="37"/>
      <c r="DM288" s="37"/>
      <c r="DN288" s="37"/>
      <c r="DO288" s="37"/>
      <c r="DP288" s="37"/>
      <c r="DQ288" s="37"/>
      <c r="DR288" s="37"/>
      <c r="DS288" s="37"/>
      <c r="DT288" s="37"/>
      <c r="DU288" s="37"/>
      <c r="DV288" s="37"/>
      <c r="DW288" s="37"/>
      <c r="DX288" s="37"/>
      <c r="DY288" s="37"/>
      <c r="DZ288" s="37"/>
      <c r="EA288" s="39"/>
      <c r="EB288" s="39"/>
      <c r="EC288" s="40"/>
    </row>
    <row r="289" spans="1:133" hidden="1">
      <c r="A289" s="44" t="s">
        <v>138</v>
      </c>
      <c r="B289" s="22" t="s">
        <v>630</v>
      </c>
      <c r="C289" s="20" t="s">
        <v>635</v>
      </c>
      <c r="D289" s="21" t="s">
        <v>629</v>
      </c>
      <c r="E289" s="21"/>
      <c r="F289" s="22" t="s">
        <v>636</v>
      </c>
      <c r="G289" s="23" t="str" cm="1">
        <f t="array" ref="G289">IFERROR(LOOKUP(2,1/(K289:GC289&lt;&gt;""),K$2:DQL$2),"")</f>
        <v>28-Jul</v>
      </c>
      <c r="H289" s="24" cm="1">
        <f t="array" ref="H289">IFERROR(_xlfn.XLOOKUP(TRUE,P289:ED289&lt;&gt;"",P289:ED289,,,-1)," ")</f>
        <v>21.8</v>
      </c>
      <c r="I289" s="25">
        <v>21.5</v>
      </c>
      <c r="J289" s="26"/>
      <c r="K289" s="26"/>
      <c r="L289" s="26"/>
      <c r="M289" s="26"/>
      <c r="N289" s="26"/>
      <c r="O289" s="26"/>
      <c r="P289" s="26"/>
      <c r="Q289" s="26"/>
      <c r="R289" s="26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34"/>
      <c r="AF289" s="35"/>
      <c r="AG289" s="34"/>
      <c r="AH289" s="34"/>
      <c r="AI289" s="34"/>
      <c r="AJ289" s="34"/>
      <c r="AK289" s="34">
        <v>21.8</v>
      </c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6"/>
      <c r="AZ289" s="34"/>
      <c r="BA289" s="34"/>
      <c r="BB289" s="34"/>
      <c r="BC289" s="34"/>
      <c r="BD289" s="34"/>
      <c r="BE289" s="37"/>
      <c r="BF289" s="37"/>
      <c r="BG289" s="34"/>
      <c r="BH289" s="37"/>
      <c r="BI289" s="36"/>
      <c r="BJ289" s="37"/>
      <c r="BK289" s="34"/>
      <c r="BL289" s="37"/>
      <c r="BM289" s="37"/>
      <c r="BN289" s="37"/>
      <c r="BO289" s="37"/>
      <c r="BP289" s="37"/>
      <c r="BQ289" s="37"/>
      <c r="BR289" s="34"/>
      <c r="BS289" s="37"/>
      <c r="BT289" s="37"/>
      <c r="BU289" s="34"/>
      <c r="BV289" s="37"/>
      <c r="BW289" s="34"/>
      <c r="BX289" s="37"/>
      <c r="BY289" s="34"/>
      <c r="BZ289" s="34"/>
      <c r="CA289" s="37"/>
      <c r="CB289" s="37"/>
      <c r="CC289" s="34"/>
      <c r="CD289" s="37"/>
      <c r="CE289" s="37"/>
      <c r="CF289" s="37"/>
      <c r="CG289" s="37"/>
      <c r="CH289" s="37"/>
      <c r="CI289" s="37"/>
      <c r="CJ289" s="37"/>
      <c r="CK289" s="37"/>
      <c r="CL289" s="34"/>
      <c r="CM289" s="37"/>
      <c r="CN289" s="37"/>
      <c r="CO289" s="37"/>
      <c r="CP289" s="34"/>
      <c r="CQ289" s="37"/>
      <c r="CR289" s="37"/>
      <c r="CS289" s="37"/>
      <c r="CT289" s="34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  <c r="DI289" s="37"/>
      <c r="DJ289" s="37"/>
      <c r="DK289" s="37"/>
      <c r="DL289" s="37"/>
      <c r="DM289" s="37"/>
      <c r="DN289" s="37"/>
      <c r="DO289" s="37"/>
      <c r="DP289" s="37"/>
      <c r="DQ289" s="37"/>
      <c r="DR289" s="37"/>
      <c r="DS289" s="37"/>
      <c r="DT289" s="37"/>
      <c r="DU289" s="37"/>
      <c r="DV289" s="37"/>
      <c r="DW289" s="37"/>
      <c r="DX289" s="37"/>
      <c r="DY289" s="37"/>
      <c r="DZ289" s="37"/>
      <c r="EA289" s="39"/>
      <c r="EB289" s="39"/>
      <c r="EC289" s="40"/>
    </row>
    <row r="290" spans="1:133" hidden="1">
      <c r="A290" s="44" t="s">
        <v>138</v>
      </c>
      <c r="B290" s="22" t="s">
        <v>637</v>
      </c>
      <c r="C290" s="20" t="s">
        <v>638</v>
      </c>
      <c r="D290" s="21" t="s">
        <v>629</v>
      </c>
      <c r="E290" s="21"/>
      <c r="F290" s="22" t="s">
        <v>360</v>
      </c>
      <c r="G290" s="23" t="str" cm="1">
        <f t="array" ref="G290">IFERROR(LOOKUP(2,1/(K290:GC290&lt;&gt;""),K$2:DQL$2),"")</f>
        <v>21-Jul</v>
      </c>
      <c r="H290" s="227" cm="1">
        <f t="array" ref="H290">IFERROR(_xlfn.XLOOKUP(TRUE,P290:ED290&lt;&gt;"",P290:ED290,,,-1)," ")</f>
        <v>23.3</v>
      </c>
      <c r="I290" s="25">
        <v>22</v>
      </c>
      <c r="J290" s="26"/>
      <c r="K290" s="26">
        <v>14.4</v>
      </c>
      <c r="L290" s="26"/>
      <c r="M290" s="26"/>
      <c r="N290" s="26"/>
      <c r="O290" s="26"/>
      <c r="P290" s="26"/>
      <c r="Q290" s="26">
        <v>15.4</v>
      </c>
      <c r="R290" s="26"/>
      <c r="S290" s="25"/>
      <c r="T290" s="25"/>
      <c r="U290" s="25"/>
      <c r="V290" s="25">
        <v>19.2</v>
      </c>
      <c r="W290" s="25"/>
      <c r="X290" s="25"/>
      <c r="Y290" s="217">
        <v>21.3</v>
      </c>
      <c r="Z290" s="25"/>
      <c r="AA290" s="25"/>
      <c r="AB290" s="25"/>
      <c r="AC290" s="25"/>
      <c r="AD290" s="217">
        <v>23.3</v>
      </c>
      <c r="AE290" s="34"/>
      <c r="AF290" s="35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6"/>
      <c r="AT290" s="34"/>
      <c r="AU290" s="34"/>
      <c r="AV290" s="34"/>
      <c r="AW290" s="34"/>
      <c r="AX290" s="34"/>
      <c r="AY290" s="36"/>
      <c r="AZ290" s="34"/>
      <c r="BA290" s="36"/>
      <c r="BB290" s="60"/>
      <c r="BC290" s="34"/>
      <c r="BD290" s="34"/>
      <c r="BE290" s="37"/>
      <c r="BF290" s="38"/>
      <c r="BG290" s="36"/>
      <c r="BH290" s="38"/>
      <c r="BI290" s="34"/>
      <c r="BJ290" s="37"/>
      <c r="BK290" s="34"/>
      <c r="BL290" s="37"/>
      <c r="BM290" s="37"/>
      <c r="BN290" s="37"/>
      <c r="BO290" s="37"/>
      <c r="BP290" s="37"/>
      <c r="BQ290" s="37"/>
      <c r="BR290" s="34"/>
      <c r="BS290" s="37"/>
      <c r="BT290" s="37"/>
      <c r="BU290" s="34"/>
      <c r="BV290" s="37"/>
      <c r="BW290" s="34"/>
      <c r="BX290" s="37"/>
      <c r="BY290" s="34"/>
      <c r="BZ290" s="34"/>
      <c r="CA290" s="37"/>
      <c r="CB290" s="37"/>
      <c r="CC290" s="34"/>
      <c r="CD290" s="37"/>
      <c r="CE290" s="37"/>
      <c r="CF290" s="37"/>
      <c r="CG290" s="37"/>
      <c r="CH290" s="37"/>
      <c r="CI290" s="37"/>
      <c r="CJ290" s="37"/>
      <c r="CK290" s="37"/>
      <c r="CL290" s="34"/>
      <c r="CM290" s="37"/>
      <c r="CN290" s="37"/>
      <c r="CO290" s="37"/>
      <c r="CP290" s="34"/>
      <c r="CQ290" s="37"/>
      <c r="CR290" s="37"/>
      <c r="CS290" s="37"/>
      <c r="CT290" s="34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  <c r="DH290" s="37"/>
      <c r="DI290" s="37"/>
      <c r="DJ290" s="37"/>
      <c r="DK290" s="37"/>
      <c r="DL290" s="37"/>
      <c r="DM290" s="37"/>
      <c r="DN290" s="37"/>
      <c r="DO290" s="37"/>
      <c r="DP290" s="37"/>
      <c r="DQ290" s="37"/>
      <c r="DR290" s="37"/>
      <c r="DS290" s="37"/>
      <c r="DT290" s="37"/>
      <c r="DU290" s="37"/>
      <c r="DV290" s="37"/>
      <c r="DW290" s="37"/>
      <c r="DX290" s="37"/>
      <c r="DY290" s="37"/>
      <c r="DZ290" s="37"/>
      <c r="EA290" s="39"/>
      <c r="EB290" s="39"/>
      <c r="EC290" s="40"/>
    </row>
    <row r="291" spans="1:133" hidden="1">
      <c r="A291" s="44" t="s">
        <v>138</v>
      </c>
      <c r="B291" s="22" t="s">
        <v>639</v>
      </c>
      <c r="C291" s="20" t="s">
        <v>640</v>
      </c>
      <c r="D291" s="21" t="s">
        <v>629</v>
      </c>
      <c r="E291" s="21"/>
      <c r="F291" s="22" t="s">
        <v>360</v>
      </c>
      <c r="G291" s="23" t="str" cm="1">
        <f t="array" ref="G291">IFERROR(LOOKUP(2,1/(K291:GC291&lt;&gt;""),K$2:DQL$2),"")</f>
        <v>21-Jul</v>
      </c>
      <c r="H291" s="227" cm="1">
        <f t="array" ref="H291">IFERROR(_xlfn.XLOOKUP(TRUE,P291:ED291&lt;&gt;"",P291:ED291,,,-1)," ")</f>
        <v>22.1</v>
      </c>
      <c r="I291" s="25">
        <v>22</v>
      </c>
      <c r="J291" s="26"/>
      <c r="K291" s="26">
        <v>14.2</v>
      </c>
      <c r="L291" s="26"/>
      <c r="M291" s="26"/>
      <c r="N291" s="26"/>
      <c r="O291" s="26"/>
      <c r="P291" s="26"/>
      <c r="Q291" s="26">
        <v>16</v>
      </c>
      <c r="R291" s="26"/>
      <c r="S291" s="25"/>
      <c r="T291" s="25"/>
      <c r="U291" s="25"/>
      <c r="V291" s="217">
        <v>19.600000000000001</v>
      </c>
      <c r="W291" s="25"/>
      <c r="X291" s="25"/>
      <c r="Y291" s="217">
        <v>21.4</v>
      </c>
      <c r="Z291" s="25"/>
      <c r="AA291" s="25"/>
      <c r="AB291" s="25"/>
      <c r="AC291" s="25"/>
      <c r="AD291" s="217">
        <v>22.1</v>
      </c>
      <c r="AE291" s="34"/>
      <c r="AF291" s="35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6"/>
      <c r="AT291" s="34"/>
      <c r="AU291" s="34"/>
      <c r="AV291" s="34"/>
      <c r="AW291" s="34"/>
      <c r="AX291" s="34"/>
      <c r="AY291" s="36"/>
      <c r="AZ291" s="34"/>
      <c r="BA291" s="36"/>
      <c r="BB291" s="60"/>
      <c r="BC291" s="34"/>
      <c r="BD291" s="34"/>
      <c r="BE291" s="37"/>
      <c r="BF291" s="37"/>
      <c r="BG291" s="34"/>
      <c r="BH291" s="37"/>
      <c r="BI291" s="34"/>
      <c r="BJ291" s="37"/>
      <c r="BK291" s="34"/>
      <c r="BL291" s="37"/>
      <c r="BM291" s="37"/>
      <c r="BN291" s="37"/>
      <c r="BO291" s="37"/>
      <c r="BP291" s="37"/>
      <c r="BQ291" s="37"/>
      <c r="BR291" s="34"/>
      <c r="BS291" s="37"/>
      <c r="BT291" s="37"/>
      <c r="BU291" s="34"/>
      <c r="BV291" s="37"/>
      <c r="BW291" s="34"/>
      <c r="BX291" s="37"/>
      <c r="BY291" s="34"/>
      <c r="BZ291" s="34"/>
      <c r="CA291" s="37"/>
      <c r="CB291" s="37"/>
      <c r="CC291" s="34"/>
      <c r="CD291" s="37"/>
      <c r="CE291" s="37"/>
      <c r="CF291" s="37"/>
      <c r="CG291" s="37"/>
      <c r="CH291" s="37"/>
      <c r="CI291" s="37"/>
      <c r="CJ291" s="37"/>
      <c r="CK291" s="37"/>
      <c r="CL291" s="34"/>
      <c r="CM291" s="37"/>
      <c r="CN291" s="37"/>
      <c r="CO291" s="37"/>
      <c r="CP291" s="34"/>
      <c r="CQ291" s="37"/>
      <c r="CR291" s="37"/>
      <c r="CS291" s="37"/>
      <c r="CT291" s="34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  <c r="DI291" s="37"/>
      <c r="DJ291" s="37"/>
      <c r="DK291" s="37"/>
      <c r="DL291" s="37"/>
      <c r="DM291" s="37"/>
      <c r="DN291" s="37"/>
      <c r="DO291" s="37"/>
      <c r="DP291" s="37"/>
      <c r="DQ291" s="37"/>
      <c r="DR291" s="37"/>
      <c r="DS291" s="37"/>
      <c r="DT291" s="37"/>
      <c r="DU291" s="37"/>
      <c r="DV291" s="37"/>
      <c r="DW291" s="37"/>
      <c r="DX291" s="37"/>
      <c r="DY291" s="37"/>
      <c r="DZ291" s="37"/>
      <c r="EA291" s="39"/>
      <c r="EB291" s="39"/>
      <c r="EC291" s="40"/>
    </row>
    <row r="292" spans="1:133" hidden="1">
      <c r="A292" s="44" t="s">
        <v>138</v>
      </c>
      <c r="B292" s="22" t="s">
        <v>641</v>
      </c>
      <c r="C292" s="20" t="s">
        <v>642</v>
      </c>
      <c r="D292" s="21" t="s">
        <v>629</v>
      </c>
      <c r="E292" s="21"/>
      <c r="F292" s="39" t="s">
        <v>643</v>
      </c>
      <c r="G292" s="23" t="str" cm="1">
        <f t="array" ref="G292">IFERROR(LOOKUP(2,1/(K292:GC292&lt;&gt;""),K$2:DQL$2),"")</f>
        <v>27-Jul</v>
      </c>
      <c r="H292" s="24" cm="1">
        <f t="array" ref="H292">IFERROR(_xlfn.XLOOKUP(TRUE,P292:ED292&lt;&gt;"",P292:ED292,,,-1)," ")</f>
        <v>22</v>
      </c>
      <c r="I292" s="25">
        <v>22</v>
      </c>
      <c r="J292" s="26"/>
      <c r="K292" s="26">
        <v>11.4</v>
      </c>
      <c r="L292" s="26"/>
      <c r="M292" s="26"/>
      <c r="N292" s="26"/>
      <c r="O292" s="26"/>
      <c r="P292" s="26"/>
      <c r="Q292" s="26">
        <v>15</v>
      </c>
      <c r="R292" s="26"/>
      <c r="S292" s="25"/>
      <c r="T292" s="25"/>
      <c r="U292" s="25"/>
      <c r="V292" s="25"/>
      <c r="W292" s="25">
        <v>15.7</v>
      </c>
      <c r="X292" s="25"/>
      <c r="Y292" s="25"/>
      <c r="Z292" s="25"/>
      <c r="AA292" s="25"/>
      <c r="AB292" s="25"/>
      <c r="AC292" s="25">
        <v>17.8</v>
      </c>
      <c r="AD292" s="25"/>
      <c r="AE292" s="49"/>
      <c r="AF292" s="64"/>
      <c r="AG292" s="49"/>
      <c r="AH292" s="49"/>
      <c r="AI292" s="49"/>
      <c r="AJ292" s="34">
        <v>22</v>
      </c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34"/>
      <c r="AW292" s="49"/>
      <c r="AX292" s="49"/>
      <c r="AY292" s="49"/>
      <c r="AZ292" s="34"/>
      <c r="BA292" s="49"/>
      <c r="BB292" s="49"/>
      <c r="BC292" s="49"/>
      <c r="BD292" s="49"/>
      <c r="BE292" s="39"/>
      <c r="BF292" s="39"/>
      <c r="BG292" s="49"/>
      <c r="BH292" s="50"/>
      <c r="BI292" s="49"/>
      <c r="BJ292" s="39"/>
      <c r="BK292" s="49"/>
      <c r="BL292" s="39"/>
      <c r="BM292" s="39"/>
      <c r="BN292" s="49"/>
      <c r="BO292" s="39"/>
      <c r="BP292" s="49"/>
      <c r="BQ292" s="49"/>
      <c r="BR292" s="49"/>
      <c r="BS292" s="39"/>
      <c r="BT292" s="39"/>
      <c r="BU292" s="49"/>
      <c r="BV292" s="49"/>
      <c r="BW292" s="49"/>
      <c r="BX292" s="39"/>
      <c r="BY292" s="49"/>
      <c r="BZ292" s="49"/>
      <c r="CA292" s="39"/>
      <c r="CB292" s="39"/>
      <c r="CC292" s="49"/>
      <c r="CD292" s="39"/>
      <c r="CE292" s="39"/>
      <c r="CF292" s="39"/>
      <c r="CG292" s="39"/>
      <c r="CH292" s="39"/>
      <c r="CI292" s="39"/>
      <c r="CJ292" s="39"/>
      <c r="CK292" s="39"/>
      <c r="CL292" s="49"/>
      <c r="CM292" s="39"/>
      <c r="CN292" s="39"/>
      <c r="CO292" s="39"/>
      <c r="CP292" s="49"/>
      <c r="CQ292" s="39"/>
      <c r="CR292" s="39"/>
      <c r="CS292" s="39"/>
      <c r="CT292" s="4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  <c r="DH292" s="39"/>
      <c r="DI292" s="39"/>
      <c r="DJ292" s="39"/>
      <c r="DK292" s="39"/>
      <c r="DL292" s="39"/>
      <c r="DM292" s="39"/>
      <c r="DN292" s="39"/>
      <c r="DO292" s="39"/>
      <c r="DP292" s="39"/>
      <c r="DQ292" s="39"/>
      <c r="DR292" s="39"/>
      <c r="DS292" s="39"/>
      <c r="DT292" s="39"/>
      <c r="DU292" s="39"/>
      <c r="DV292" s="39"/>
      <c r="DW292" s="39"/>
      <c r="DX292" s="39"/>
      <c r="DY292" s="39"/>
      <c r="DZ292" s="39"/>
      <c r="EA292" s="39"/>
      <c r="EB292" s="39"/>
      <c r="EC292" s="40"/>
    </row>
    <row r="293" spans="1:133" hidden="1">
      <c r="A293" s="44" t="s">
        <v>138</v>
      </c>
      <c r="B293" s="22" t="s">
        <v>644</v>
      </c>
      <c r="C293" s="20" t="s">
        <v>645</v>
      </c>
      <c r="D293" s="21" t="s">
        <v>646</v>
      </c>
      <c r="E293" s="21"/>
      <c r="F293" s="22"/>
      <c r="G293" s="23" t="str" cm="1">
        <f t="array" ref="G293">IFERROR(LOOKUP(2,1/(K293:GC293&lt;&gt;""),K$2:DQL$2),"")</f>
        <v/>
      </c>
      <c r="H293" s="24" t="str" cm="1">
        <f t="array" ref="H293">IFERROR(_xlfn.XLOOKUP(TRUE,P293:ED293&lt;&gt;"",P293:ED293,,,-1)," ")</f>
        <v xml:space="preserve"> </v>
      </c>
      <c r="I293" s="25">
        <v>25</v>
      </c>
      <c r="J293" s="26"/>
      <c r="K293" s="26"/>
      <c r="L293" s="26"/>
      <c r="M293" s="26"/>
      <c r="N293" s="26"/>
      <c r="O293" s="26"/>
      <c r="P293" s="26"/>
      <c r="Q293" s="26"/>
      <c r="R293" s="26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49"/>
      <c r="AF293" s="64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34"/>
      <c r="BD293" s="49"/>
      <c r="BE293" s="38"/>
      <c r="BF293" s="39"/>
      <c r="BG293" s="49"/>
      <c r="BH293" s="49"/>
      <c r="BI293" s="49"/>
      <c r="BJ293" s="36"/>
      <c r="BK293" s="49"/>
      <c r="BL293" s="49"/>
      <c r="BM293" s="39"/>
      <c r="BN293" s="50"/>
      <c r="BO293" s="49"/>
      <c r="BP293" s="49"/>
      <c r="BQ293" s="50"/>
      <c r="BR293" s="49"/>
      <c r="BS293" s="39"/>
      <c r="BT293" s="39"/>
      <c r="BU293" s="49"/>
      <c r="BV293" s="49"/>
      <c r="BW293" s="49"/>
      <c r="BX293" s="49"/>
      <c r="BY293" s="49"/>
      <c r="BZ293" s="49"/>
      <c r="CA293" s="39"/>
      <c r="CB293" s="49"/>
      <c r="CC293" s="49"/>
      <c r="CD293" s="49"/>
      <c r="CE293" s="49"/>
      <c r="CF293" s="49"/>
      <c r="CG293" s="49"/>
      <c r="CH293" s="49"/>
      <c r="CI293" s="49"/>
      <c r="CJ293" s="49"/>
      <c r="CK293" s="49"/>
      <c r="CL293" s="49"/>
      <c r="CM293" s="22"/>
      <c r="CN293" s="39"/>
      <c r="CO293" s="39"/>
      <c r="CP293" s="49"/>
      <c r="CQ293" s="39"/>
      <c r="CR293" s="49"/>
      <c r="CS293" s="39"/>
      <c r="CT293" s="4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  <c r="DH293" s="39"/>
      <c r="DI293" s="39"/>
      <c r="DJ293" s="39"/>
      <c r="DK293" s="39"/>
      <c r="DL293" s="39"/>
      <c r="DM293" s="39"/>
      <c r="DN293" s="39"/>
      <c r="DO293" s="39"/>
      <c r="DP293" s="39"/>
      <c r="DQ293" s="39"/>
      <c r="DR293" s="39"/>
      <c r="DS293" s="39"/>
      <c r="DT293" s="39"/>
      <c r="DU293" s="39"/>
      <c r="DV293" s="39"/>
      <c r="DW293" s="39"/>
      <c r="DX293" s="39"/>
      <c r="DY293" s="39"/>
      <c r="DZ293" s="39"/>
      <c r="EA293" s="39"/>
      <c r="EB293" s="39"/>
      <c r="EC293" s="40"/>
    </row>
    <row r="294" spans="1:133" hidden="1">
      <c r="A294" s="44" t="s">
        <v>138</v>
      </c>
      <c r="B294" s="22" t="s">
        <v>647</v>
      </c>
      <c r="C294" s="20" t="s">
        <v>648</v>
      </c>
      <c r="D294" s="21" t="s">
        <v>646</v>
      </c>
      <c r="E294" s="21"/>
      <c r="F294" s="22"/>
      <c r="G294" s="23" t="str" cm="1">
        <f t="array" ref="G294">IFERROR(LOOKUP(2,1/(K294:GC294&lt;&gt;""),K$2:DQL$2),"")</f>
        <v/>
      </c>
      <c r="H294" s="24" t="str" cm="1">
        <f t="array" ref="H294">IFERROR(_xlfn.XLOOKUP(TRUE,P294:ED294&lt;&gt;"",P294:ED294,,,-1)," ")</f>
        <v xml:space="preserve"> </v>
      </c>
      <c r="I294" s="25">
        <v>25</v>
      </c>
      <c r="J294" s="26"/>
      <c r="K294" s="26"/>
      <c r="L294" s="26"/>
      <c r="M294" s="26"/>
      <c r="N294" s="26"/>
      <c r="O294" s="26"/>
      <c r="P294" s="26"/>
      <c r="Q294" s="26"/>
      <c r="R294" s="26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49"/>
      <c r="AF294" s="64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39"/>
      <c r="BF294" s="39"/>
      <c r="BG294" s="49"/>
      <c r="BH294" s="49"/>
      <c r="BI294" s="49"/>
      <c r="BJ294" s="49"/>
      <c r="BK294" s="49"/>
      <c r="BL294" s="49"/>
      <c r="BM294" s="39"/>
      <c r="BN294" s="49"/>
      <c r="BO294" s="49"/>
      <c r="BP294" s="49"/>
      <c r="BQ294" s="49"/>
      <c r="BR294" s="49"/>
      <c r="BS294" s="39"/>
      <c r="BT294" s="39"/>
      <c r="BU294" s="49"/>
      <c r="BV294" s="49"/>
      <c r="BW294" s="49"/>
      <c r="BX294" s="49"/>
      <c r="BY294" s="49"/>
      <c r="BZ294" s="49"/>
      <c r="CA294" s="39"/>
      <c r="CB294" s="49"/>
      <c r="CC294" s="49"/>
      <c r="CD294" s="34"/>
      <c r="CE294" s="49"/>
      <c r="CF294" s="49"/>
      <c r="CG294" s="34"/>
      <c r="CH294" s="49"/>
      <c r="CI294" s="49"/>
      <c r="CJ294" s="49"/>
      <c r="CK294" s="49"/>
      <c r="CL294" s="49"/>
      <c r="CM294" s="22"/>
      <c r="CN294" s="22"/>
      <c r="CO294" s="39"/>
      <c r="CP294" s="34"/>
      <c r="CQ294" s="49"/>
      <c r="CR294" s="49"/>
      <c r="CS294" s="49"/>
      <c r="CT294" s="49"/>
      <c r="CU294" s="39"/>
      <c r="CV294" s="39"/>
      <c r="CW294" s="49"/>
      <c r="CX294" s="49"/>
      <c r="CY294" s="49"/>
      <c r="CZ294" s="49"/>
      <c r="DA294" s="49"/>
      <c r="DB294" s="39"/>
      <c r="DC294" s="39"/>
      <c r="DD294" s="49"/>
      <c r="DE294" s="49"/>
      <c r="DF294" s="39"/>
      <c r="DG294" s="39"/>
      <c r="DH294" s="39"/>
      <c r="DI294" s="39"/>
      <c r="DJ294" s="39"/>
      <c r="DK294" s="39"/>
      <c r="DL294" s="39"/>
      <c r="DM294" s="39"/>
      <c r="DN294" s="39"/>
      <c r="DO294" s="39"/>
      <c r="DP294" s="39"/>
      <c r="DQ294" s="39"/>
      <c r="DR294" s="39"/>
      <c r="DS294" s="39"/>
      <c r="DT294" s="39"/>
      <c r="DU294" s="39"/>
      <c r="DV294" s="39"/>
      <c r="DW294" s="39"/>
      <c r="DX294" s="39"/>
      <c r="DY294" s="39"/>
      <c r="DZ294" s="39"/>
      <c r="EA294" s="49"/>
      <c r="EB294" s="49"/>
      <c r="EC294" s="87"/>
    </row>
    <row r="295" spans="1:133">
      <c r="A295" s="44"/>
      <c r="B295" s="22" t="s">
        <v>649</v>
      </c>
      <c r="C295" s="20" t="s">
        <v>650</v>
      </c>
      <c r="D295" s="21" t="s">
        <v>646</v>
      </c>
      <c r="E295" s="21"/>
      <c r="F295" s="22" t="s">
        <v>137</v>
      </c>
      <c r="G295" s="23" t="str" cm="1">
        <f t="array" ref="G295">IFERROR(LOOKUP(2,1/(K295:GC295&lt;&gt;""),K$2:DQL$2),"")</f>
        <v>22-Aug</v>
      </c>
      <c r="H295" s="24" cm="1">
        <f t="array" ref="H295">IFERROR(_xlfn.XLOOKUP(TRUE,P295:ED295&lt;&gt;"",P295:ED295,,,-1)," ")</f>
        <v>23.1</v>
      </c>
      <c r="I295" s="25">
        <v>25</v>
      </c>
      <c r="J295" s="26"/>
      <c r="K295" s="26"/>
      <c r="L295" s="26"/>
      <c r="M295" s="26"/>
      <c r="N295" s="26"/>
      <c r="O295" s="26"/>
      <c r="P295" s="26"/>
      <c r="Q295" s="26"/>
      <c r="R295" s="26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34">
        <v>19</v>
      </c>
      <c r="AF295" s="35"/>
      <c r="AG295" s="34"/>
      <c r="AH295" s="34"/>
      <c r="AI295" s="34"/>
      <c r="AJ295" s="34"/>
      <c r="AK295" s="34"/>
      <c r="AL295" s="34">
        <v>20</v>
      </c>
      <c r="AM295" s="34"/>
      <c r="AN295" s="34"/>
      <c r="AO295" s="34"/>
      <c r="AP295" s="34"/>
      <c r="AQ295" s="34"/>
      <c r="AR295" s="34"/>
      <c r="AS295" s="34">
        <v>23.3</v>
      </c>
      <c r="AT295" s="34"/>
      <c r="AU295" s="34"/>
      <c r="AV295" s="34"/>
      <c r="AW295" s="34"/>
      <c r="AX295" s="34"/>
      <c r="AY295" s="36">
        <v>23.7</v>
      </c>
      <c r="AZ295" s="34"/>
      <c r="BA295" s="34"/>
      <c r="BB295" s="34"/>
      <c r="BC295" s="34"/>
      <c r="BD295" s="34"/>
      <c r="BE295" s="38">
        <v>24.6</v>
      </c>
      <c r="BF295" s="37"/>
      <c r="BG295" s="34"/>
      <c r="BH295" s="34"/>
      <c r="BI295" s="34"/>
      <c r="BJ295" s="36">
        <v>23.1</v>
      </c>
      <c r="BK295" s="36"/>
      <c r="BL295" s="34"/>
      <c r="BM295" s="37"/>
      <c r="BN295" s="34"/>
      <c r="BO295" s="34"/>
      <c r="BP295" s="34"/>
      <c r="BQ295" s="34"/>
      <c r="BR295" s="34"/>
      <c r="BS295" s="37"/>
      <c r="BT295" s="37"/>
      <c r="BU295" s="34"/>
      <c r="BV295" s="34"/>
      <c r="BW295" s="36"/>
      <c r="BX295" s="34"/>
      <c r="BY295" s="34"/>
      <c r="BZ295" s="34"/>
      <c r="CA295" s="38"/>
      <c r="CB295" s="34"/>
      <c r="CC295" s="34"/>
      <c r="CD295" s="34"/>
      <c r="CE295" s="34"/>
      <c r="CF295" s="34"/>
      <c r="CG295" s="34"/>
      <c r="CH295" s="36"/>
      <c r="CI295" s="34"/>
      <c r="CJ295" s="34"/>
      <c r="CK295" s="36"/>
      <c r="CL295" s="34"/>
      <c r="CM295" s="34"/>
      <c r="CN295" s="37"/>
      <c r="CO295" s="37"/>
      <c r="CP295" s="34"/>
      <c r="CQ295" s="34"/>
      <c r="CR295" s="34"/>
      <c r="CS295" s="34"/>
      <c r="CT295" s="34"/>
      <c r="CU295" s="37"/>
      <c r="CV295" s="37"/>
      <c r="CW295" s="34"/>
      <c r="CX295" s="34"/>
      <c r="CY295" s="34"/>
      <c r="CZ295" s="34"/>
      <c r="DA295" s="34"/>
      <c r="DB295" s="37"/>
      <c r="DC295" s="37"/>
      <c r="DD295" s="34"/>
      <c r="DE295" s="34"/>
      <c r="DF295" s="37"/>
      <c r="DG295" s="37"/>
      <c r="DH295" s="37"/>
      <c r="DI295" s="37"/>
      <c r="DJ295" s="37"/>
      <c r="DK295" s="37"/>
      <c r="DL295" s="37"/>
      <c r="DM295" s="37"/>
      <c r="DN295" s="37"/>
      <c r="DO295" s="37"/>
      <c r="DP295" s="37"/>
      <c r="DQ295" s="37"/>
      <c r="DR295" s="37"/>
      <c r="DS295" s="37"/>
      <c r="DT295" s="37"/>
      <c r="DU295" s="37"/>
      <c r="DV295" s="37"/>
      <c r="DW295" s="37"/>
      <c r="DX295" s="37"/>
      <c r="DY295" s="37"/>
      <c r="DZ295" s="37"/>
      <c r="EA295" s="39"/>
      <c r="EB295" s="39"/>
      <c r="EC295" s="40"/>
    </row>
    <row r="296" spans="1:133">
      <c r="A296" s="44"/>
      <c r="B296" s="22" t="s">
        <v>651</v>
      </c>
      <c r="C296" s="20" t="s">
        <v>652</v>
      </c>
      <c r="D296" s="21" t="s">
        <v>646</v>
      </c>
      <c r="E296" s="21"/>
      <c r="F296" s="22" t="s">
        <v>137</v>
      </c>
      <c r="G296" s="23" t="str" cm="1">
        <f t="array" ref="G296">IFERROR(LOOKUP(2,1/(K296:GC296&lt;&gt;""),K$2:DQL$2),"")</f>
        <v>21-Aug</v>
      </c>
      <c r="H296" s="24" cm="1">
        <f t="array" ref="H296">IFERROR(_xlfn.XLOOKUP(TRUE,P296:ED296&lt;&gt;"",P296:ED296,,,-1)," ")</f>
        <v>22.2</v>
      </c>
      <c r="I296" s="25">
        <v>25</v>
      </c>
      <c r="J296" s="26"/>
      <c r="K296" s="26"/>
      <c r="L296" s="26"/>
      <c r="M296" s="26"/>
      <c r="N296" s="26"/>
      <c r="O296" s="26"/>
      <c r="P296" s="26"/>
      <c r="Q296" s="26"/>
      <c r="R296" s="26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49"/>
      <c r="AF296" s="64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>
        <v>20.7</v>
      </c>
      <c r="AV296" s="49"/>
      <c r="AW296" s="49"/>
      <c r="AX296" s="49"/>
      <c r="AY296" s="49"/>
      <c r="AZ296" s="49"/>
      <c r="BA296" s="49">
        <v>22.1</v>
      </c>
      <c r="BB296" s="49"/>
      <c r="BC296" s="49"/>
      <c r="BD296" s="49"/>
      <c r="BE296" s="39"/>
      <c r="BF296" s="39"/>
      <c r="BG296" s="34"/>
      <c r="BH296" s="49"/>
      <c r="BI296" s="49">
        <v>22.2</v>
      </c>
      <c r="BJ296" s="49"/>
      <c r="BK296" s="50"/>
      <c r="BL296" s="49"/>
      <c r="BM296" s="39"/>
      <c r="BN296" s="34"/>
      <c r="BO296" s="49"/>
      <c r="BP296" s="49"/>
      <c r="BQ296" s="49"/>
      <c r="BR296" s="49"/>
      <c r="BS296" s="39"/>
      <c r="BT296" s="39"/>
      <c r="BU296" s="39"/>
      <c r="BV296" s="49"/>
      <c r="BW296" s="49"/>
      <c r="BX296" s="49"/>
      <c r="BY296" s="49"/>
      <c r="BZ296" s="49"/>
      <c r="CA296" s="39"/>
      <c r="CB296" s="49"/>
      <c r="CC296" s="49"/>
      <c r="CD296" s="49"/>
      <c r="CE296" s="34"/>
      <c r="CF296" s="49"/>
      <c r="CG296" s="49"/>
      <c r="CH296" s="49"/>
      <c r="CI296" s="49"/>
      <c r="CJ296" s="49"/>
      <c r="CK296" s="49"/>
      <c r="CL296" s="49"/>
      <c r="CM296" s="43"/>
      <c r="CN296" s="39"/>
      <c r="CO296" s="39"/>
      <c r="CP296" s="34"/>
      <c r="CQ296" s="39"/>
      <c r="CR296" s="49"/>
      <c r="CS296" s="39"/>
      <c r="CT296" s="4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39"/>
      <c r="DR296" s="39"/>
      <c r="DS296" s="39"/>
      <c r="DT296" s="39"/>
      <c r="DU296" s="39"/>
      <c r="DV296" s="39"/>
      <c r="DW296" s="39"/>
      <c r="DX296" s="39"/>
      <c r="DY296" s="39"/>
      <c r="DZ296" s="39"/>
      <c r="EA296" s="39"/>
      <c r="EB296" s="39"/>
      <c r="EC296" s="40"/>
    </row>
    <row r="297" spans="1:133">
      <c r="A297" s="44"/>
      <c r="B297" s="22" t="s">
        <v>653</v>
      </c>
      <c r="C297" s="20" t="s">
        <v>654</v>
      </c>
      <c r="D297" s="21" t="s">
        <v>646</v>
      </c>
      <c r="E297" s="21"/>
      <c r="F297" s="22" t="s">
        <v>137</v>
      </c>
      <c r="G297" s="23" t="str" cm="1">
        <f t="array" ref="G297">IFERROR(LOOKUP(2,1/(K297:GC297&lt;&gt;""),K$2:DQL$2),"")</f>
        <v>21-Aug</v>
      </c>
      <c r="H297" s="24" cm="1">
        <f t="array" ref="H297">IFERROR(_xlfn.XLOOKUP(TRUE,P297:ED297&lt;&gt;"",P297:ED297,,,-1)," ")</f>
        <v>22</v>
      </c>
      <c r="I297" s="25">
        <v>25</v>
      </c>
      <c r="J297" s="26"/>
      <c r="K297" s="26"/>
      <c r="L297" s="26"/>
      <c r="M297" s="26"/>
      <c r="N297" s="26"/>
      <c r="O297" s="26"/>
      <c r="P297" s="26"/>
      <c r="Q297" s="26"/>
      <c r="R297" s="26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34"/>
      <c r="AF297" s="35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>
        <v>21</v>
      </c>
      <c r="AV297" s="34"/>
      <c r="AW297" s="34"/>
      <c r="AX297" s="34"/>
      <c r="AY297" s="34"/>
      <c r="AZ297" s="34"/>
      <c r="BA297" s="34">
        <v>21.2</v>
      </c>
      <c r="BB297" s="34"/>
      <c r="BC297" s="34"/>
      <c r="BD297" s="34"/>
      <c r="BE297" s="37"/>
      <c r="BF297" s="37"/>
      <c r="BG297" s="34"/>
      <c r="BH297" s="34"/>
      <c r="BI297" s="34">
        <v>22</v>
      </c>
      <c r="BJ297" s="34"/>
      <c r="BK297" s="36"/>
      <c r="BL297" s="34"/>
      <c r="BM297" s="37"/>
      <c r="BN297" s="34"/>
      <c r="BO297" s="34"/>
      <c r="BP297" s="34"/>
      <c r="BQ297" s="36"/>
      <c r="BR297" s="34"/>
      <c r="BS297" s="37"/>
      <c r="BT297" s="37"/>
      <c r="BU297" s="37"/>
      <c r="BV297" s="34"/>
      <c r="BW297" s="34"/>
      <c r="BX297" s="34"/>
      <c r="BY297" s="34"/>
      <c r="BZ297" s="34"/>
      <c r="CA297" s="37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43"/>
      <c r="CN297" s="37"/>
      <c r="CO297" s="37"/>
      <c r="CP297" s="34"/>
      <c r="CQ297" s="37"/>
      <c r="CR297" s="34"/>
      <c r="CS297" s="37"/>
      <c r="CT297" s="34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  <c r="DI297" s="37"/>
      <c r="DJ297" s="37"/>
      <c r="DK297" s="37"/>
      <c r="DL297" s="37"/>
      <c r="DM297" s="37"/>
      <c r="DN297" s="37"/>
      <c r="DO297" s="37"/>
      <c r="DP297" s="37"/>
      <c r="DQ297" s="37"/>
      <c r="DR297" s="37"/>
      <c r="DS297" s="37"/>
      <c r="DT297" s="37"/>
      <c r="DU297" s="37"/>
      <c r="DV297" s="37"/>
      <c r="DW297" s="37"/>
      <c r="DX297" s="37"/>
      <c r="DY297" s="37"/>
      <c r="DZ297" s="37"/>
      <c r="EA297" s="39"/>
      <c r="EB297" s="39"/>
      <c r="EC297" s="40"/>
    </row>
    <row r="298" spans="1:133">
      <c r="A298" s="44"/>
      <c r="B298" s="49" t="s">
        <v>655</v>
      </c>
      <c r="C298" s="20" t="s">
        <v>656</v>
      </c>
      <c r="D298" s="21" t="s">
        <v>646</v>
      </c>
      <c r="E298" s="21"/>
      <c r="F298" s="22" t="s">
        <v>137</v>
      </c>
      <c r="G298" s="23" t="str" cm="1">
        <f t="array" ref="G298">IFERROR(LOOKUP(2,1/(K298:GC298&lt;&gt;""),K$2:DQL$2),"")</f>
        <v/>
      </c>
      <c r="H298" s="24" t="str" cm="1">
        <f t="array" ref="H298">IFERROR(_xlfn.XLOOKUP(TRUE,P298:ED298&lt;&gt;"",P298:ED298,,,-1)," ")</f>
        <v xml:space="preserve"> </v>
      </c>
      <c r="I298" s="25">
        <v>24</v>
      </c>
      <c r="J298" s="26"/>
      <c r="K298" s="26"/>
      <c r="L298" s="26"/>
      <c r="M298" s="26"/>
      <c r="N298" s="26"/>
      <c r="O298" s="26"/>
      <c r="P298" s="26"/>
      <c r="Q298" s="26"/>
      <c r="R298" s="26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49"/>
      <c r="AF298" s="64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39"/>
      <c r="BF298" s="39"/>
      <c r="BG298" s="49"/>
      <c r="BH298" s="49"/>
      <c r="BI298" s="49"/>
      <c r="BJ298" s="49"/>
      <c r="BK298" s="50"/>
      <c r="BL298" s="49"/>
      <c r="BM298" s="39"/>
      <c r="BN298" s="49"/>
      <c r="BO298" s="49"/>
      <c r="BP298" s="49"/>
      <c r="BQ298" s="49"/>
      <c r="BR298" s="49"/>
      <c r="BS298" s="39"/>
      <c r="BT298" s="39"/>
      <c r="BU298" s="49"/>
      <c r="BV298" s="34"/>
      <c r="BW298" s="49"/>
      <c r="BX298" s="49"/>
      <c r="BY298" s="49"/>
      <c r="BZ298" s="34"/>
      <c r="CA298" s="39"/>
      <c r="CB298" s="49"/>
      <c r="CC298" s="34"/>
      <c r="CD298" s="34"/>
      <c r="CE298" s="49"/>
      <c r="CF298" s="49"/>
      <c r="CG298" s="49"/>
      <c r="CH298" s="49"/>
      <c r="CI298" s="49"/>
      <c r="CJ298" s="49"/>
      <c r="CK298" s="34"/>
      <c r="CL298" s="49"/>
      <c r="CM298" s="22"/>
      <c r="CN298" s="39"/>
      <c r="CO298" s="37"/>
      <c r="CP298" s="49"/>
      <c r="CQ298" s="52"/>
      <c r="CR298" s="49"/>
      <c r="CS298" s="39"/>
      <c r="CT298" s="34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7"/>
      <c r="DF298" s="39"/>
      <c r="DG298" s="39"/>
      <c r="DH298" s="39"/>
      <c r="DI298" s="39"/>
      <c r="DJ298" s="39"/>
      <c r="DK298" s="39"/>
      <c r="DL298" s="39"/>
      <c r="DM298" s="39"/>
      <c r="DN298" s="39"/>
      <c r="DO298" s="39"/>
      <c r="DP298" s="39"/>
      <c r="DQ298" s="39"/>
      <c r="DR298" s="39"/>
      <c r="DS298" s="39"/>
      <c r="DT298" s="39"/>
      <c r="DU298" s="39"/>
      <c r="DV298" s="39"/>
      <c r="DW298" s="39"/>
      <c r="DX298" s="39"/>
      <c r="DY298" s="39"/>
      <c r="DZ298" s="39"/>
      <c r="EA298" s="39"/>
      <c r="EB298" s="39"/>
      <c r="EC298" s="40"/>
    </row>
    <row r="299" spans="1:133">
      <c r="A299" s="44"/>
      <c r="B299" s="49" t="s">
        <v>655</v>
      </c>
      <c r="C299" s="20" t="s">
        <v>657</v>
      </c>
      <c r="D299" s="21" t="s">
        <v>646</v>
      </c>
      <c r="E299" s="21"/>
      <c r="F299" s="22" t="s">
        <v>137</v>
      </c>
      <c r="G299" s="23" t="str" cm="1">
        <f t="array" ref="G299">IFERROR(LOOKUP(2,1/(K299:GC299&lt;&gt;""),K$2:DQL$2),"")</f>
        <v/>
      </c>
      <c r="H299" s="24" t="str" cm="1">
        <f t="array" ref="H299">IFERROR(_xlfn.XLOOKUP(TRUE,P299:ED299&lt;&gt;"",P299:ED299,,,-1)," ")</f>
        <v xml:space="preserve"> </v>
      </c>
      <c r="I299" s="25">
        <v>24</v>
      </c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49"/>
      <c r="AF299" s="64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39"/>
      <c r="BF299" s="39"/>
      <c r="BG299" s="49"/>
      <c r="BH299" s="49"/>
      <c r="BI299" s="49"/>
      <c r="BJ299" s="49"/>
      <c r="BK299" s="49"/>
      <c r="BL299" s="49"/>
      <c r="BM299" s="39"/>
      <c r="BN299" s="49"/>
      <c r="BO299" s="49"/>
      <c r="BP299" s="49"/>
      <c r="BQ299" s="49"/>
      <c r="BR299" s="49"/>
      <c r="BS299" s="39"/>
      <c r="BT299" s="39"/>
      <c r="BU299" s="49"/>
      <c r="BV299" s="49"/>
      <c r="BW299" s="49"/>
      <c r="BX299" s="49"/>
      <c r="BY299" s="49"/>
      <c r="BZ299" s="49"/>
      <c r="CA299" s="39"/>
      <c r="CB299" s="49"/>
      <c r="CC299" s="34"/>
      <c r="CD299" s="49"/>
      <c r="CE299" s="49"/>
      <c r="CF299" s="49"/>
      <c r="CG299" s="49"/>
      <c r="CH299" s="49"/>
      <c r="CI299" s="49"/>
      <c r="CJ299" s="49"/>
      <c r="CK299" s="49"/>
      <c r="CL299" s="49"/>
      <c r="CM299" s="22"/>
      <c r="CN299" s="39"/>
      <c r="CO299" s="39"/>
      <c r="CP299" s="34"/>
      <c r="CQ299" s="52"/>
      <c r="CR299" s="49"/>
      <c r="CS299" s="39"/>
      <c r="CT299" s="49"/>
      <c r="CU299" s="39"/>
      <c r="CV299" s="39"/>
      <c r="CW299" s="39"/>
      <c r="CX299" s="39"/>
      <c r="CY299" s="39"/>
      <c r="CZ299" s="39"/>
      <c r="DA299" s="52"/>
      <c r="DB299" s="39"/>
      <c r="DC299" s="39"/>
      <c r="DD299" s="39"/>
      <c r="DE299" s="39"/>
      <c r="DF299" s="39"/>
      <c r="DG299" s="39"/>
      <c r="DH299" s="39"/>
      <c r="DI299" s="39"/>
      <c r="DJ299" s="39"/>
      <c r="DK299" s="39"/>
      <c r="DL299" s="39"/>
      <c r="DM299" s="39"/>
      <c r="DN299" s="39"/>
      <c r="DO299" s="39"/>
      <c r="DP299" s="39"/>
      <c r="DQ299" s="39"/>
      <c r="DR299" s="39"/>
      <c r="DS299" s="39"/>
      <c r="DT299" s="39"/>
      <c r="DU299" s="39"/>
      <c r="DV299" s="39"/>
      <c r="DW299" s="39"/>
      <c r="DX299" s="39"/>
      <c r="DY299" s="39"/>
      <c r="DZ299" s="39"/>
      <c r="EA299" s="39"/>
      <c r="EB299" s="39"/>
      <c r="EC299" s="40"/>
    </row>
    <row r="300" spans="1:133">
      <c r="A300" s="64"/>
      <c r="B300" s="49" t="s">
        <v>655</v>
      </c>
      <c r="C300" s="65" t="s">
        <v>658</v>
      </c>
      <c r="D300" s="21" t="s">
        <v>646</v>
      </c>
      <c r="E300" s="21"/>
      <c r="F300" s="22" t="s">
        <v>137</v>
      </c>
      <c r="G300" s="23" t="str" cm="1">
        <f t="array" ref="G300">IFERROR(LOOKUP(2,1/(K300:GC300&lt;&gt;""),K$2:DQL$2),"")</f>
        <v>21-Aug</v>
      </c>
      <c r="H300" s="24" cm="1">
        <f t="array" ref="H300">IFERROR(_xlfn.XLOOKUP(TRUE,P300:ED300&lt;&gt;"",P300:ED300,,,-1)," ")</f>
        <v>23.1</v>
      </c>
      <c r="I300" s="78">
        <v>24</v>
      </c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50"/>
      <c r="AF300" s="67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49">
        <v>18.3</v>
      </c>
      <c r="AU300" s="50"/>
      <c r="AV300" s="50"/>
      <c r="AW300" s="50"/>
      <c r="AX300" s="50"/>
      <c r="AY300" s="50"/>
      <c r="AZ300" s="50"/>
      <c r="BA300" s="49">
        <v>21.2</v>
      </c>
      <c r="BB300" s="50"/>
      <c r="BC300" s="50"/>
      <c r="BD300" s="50"/>
      <c r="BE300" s="50"/>
      <c r="BF300" s="50"/>
      <c r="BG300" s="50"/>
      <c r="BH300" s="50"/>
      <c r="BI300" s="49">
        <v>23.1</v>
      </c>
      <c r="BJ300" s="50"/>
      <c r="BK300" s="50"/>
      <c r="BL300" s="49"/>
      <c r="BM300" s="49"/>
      <c r="BN300" s="50"/>
      <c r="BO300" s="50"/>
      <c r="BP300" s="50"/>
      <c r="BQ300" s="50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  <c r="CB300" s="49"/>
      <c r="CC300" s="34"/>
      <c r="CD300" s="49"/>
      <c r="CE300" s="49"/>
      <c r="CF300" s="49"/>
      <c r="CG300" s="49"/>
      <c r="CH300" s="49"/>
      <c r="CI300" s="49"/>
      <c r="CJ300" s="49"/>
      <c r="CK300" s="49"/>
      <c r="CL300" s="34"/>
      <c r="CM300" s="43"/>
      <c r="CN300" s="49"/>
      <c r="CO300" s="49"/>
      <c r="CP300" s="49"/>
      <c r="CQ300" s="49"/>
      <c r="CR300" s="49"/>
      <c r="CS300" s="49"/>
      <c r="CT300" s="49"/>
      <c r="CU300" s="49"/>
      <c r="CV300" s="49"/>
      <c r="CW300" s="49"/>
      <c r="CX300" s="49"/>
      <c r="CY300" s="49"/>
      <c r="CZ300" s="49"/>
      <c r="DA300" s="52"/>
      <c r="DB300" s="49"/>
      <c r="DC300" s="49"/>
      <c r="DD300" s="50"/>
      <c r="DE300" s="49"/>
      <c r="DF300" s="49"/>
      <c r="DG300" s="49"/>
      <c r="DH300" s="49"/>
      <c r="DI300" s="49"/>
      <c r="DJ300" s="49"/>
      <c r="DK300" s="49"/>
      <c r="DL300" s="49"/>
      <c r="DM300" s="49"/>
      <c r="DN300" s="49"/>
      <c r="DO300" s="49"/>
      <c r="DP300" s="49"/>
      <c r="DQ300" s="49"/>
      <c r="DR300" s="49"/>
      <c r="DS300" s="49"/>
      <c r="DT300" s="49"/>
      <c r="DU300" s="49"/>
      <c r="DV300" s="49"/>
      <c r="DW300" s="49"/>
      <c r="DX300" s="49"/>
      <c r="DY300" s="49"/>
      <c r="DZ300" s="49"/>
      <c r="EA300" s="39"/>
      <c r="EB300" s="39"/>
      <c r="EC300" s="40"/>
    </row>
    <row r="301" spans="1:133">
      <c r="A301" s="44"/>
      <c r="B301" s="22" t="s">
        <v>659</v>
      </c>
      <c r="C301" s="20" t="s">
        <v>660</v>
      </c>
      <c r="D301" s="21" t="s">
        <v>646</v>
      </c>
      <c r="E301" s="21"/>
      <c r="F301" s="22" t="s">
        <v>137</v>
      </c>
      <c r="G301" s="23" t="str" cm="1">
        <f t="array" ref="G301">IFERROR(LOOKUP(2,1/(K301:GC301&lt;&gt;""),K$2:DQL$2),"")</f>
        <v>17-Aug</v>
      </c>
      <c r="H301" s="24" cm="1">
        <f t="array" ref="H301">IFERROR(_xlfn.XLOOKUP(TRUE,P301:ED301&lt;&gt;"",P301:ED301,,,-1)," ")</f>
        <v>21.4</v>
      </c>
      <c r="I301" s="25">
        <v>25</v>
      </c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49"/>
      <c r="AF301" s="64"/>
      <c r="AG301" s="49"/>
      <c r="AH301" s="49"/>
      <c r="AI301" s="49"/>
      <c r="AJ301" s="49"/>
      <c r="AK301" s="49"/>
      <c r="AL301" s="49"/>
      <c r="AM301" s="49"/>
      <c r="AN301" s="49">
        <v>17.8</v>
      </c>
      <c r="AO301" s="49"/>
      <c r="AP301" s="49"/>
      <c r="AQ301" s="49"/>
      <c r="AR301" s="49"/>
      <c r="AS301" s="49"/>
      <c r="AT301" s="49"/>
      <c r="AU301" s="49"/>
      <c r="AV301" s="49"/>
      <c r="AW301" s="49"/>
      <c r="AX301" s="49">
        <v>21.4</v>
      </c>
      <c r="AY301" s="49"/>
      <c r="AZ301" s="49"/>
      <c r="BA301" s="49"/>
      <c r="BB301" s="49"/>
      <c r="BC301" s="49"/>
      <c r="BD301" s="49"/>
      <c r="BE301" s="39">
        <v>21.4</v>
      </c>
      <c r="BF301" s="39"/>
      <c r="BG301" s="49"/>
      <c r="BH301" s="49"/>
      <c r="BI301" s="49"/>
      <c r="BJ301" s="49"/>
      <c r="BK301" s="49"/>
      <c r="BL301" s="49"/>
      <c r="BM301" s="39"/>
      <c r="BN301" s="49"/>
      <c r="BO301" s="49"/>
      <c r="BP301" s="49"/>
      <c r="BQ301" s="50"/>
      <c r="BR301" s="34"/>
      <c r="BS301" s="39"/>
      <c r="BT301" s="39"/>
      <c r="BU301" s="49"/>
      <c r="BV301" s="49"/>
      <c r="BW301" s="49"/>
      <c r="BX301" s="49"/>
      <c r="BY301" s="49"/>
      <c r="BZ301" s="34"/>
      <c r="CA301" s="39"/>
      <c r="CB301" s="49"/>
      <c r="CC301" s="49"/>
      <c r="CD301" s="49"/>
      <c r="CE301" s="49"/>
      <c r="CF301" s="49"/>
      <c r="CG301" s="49"/>
      <c r="CH301" s="49"/>
      <c r="CI301" s="49"/>
      <c r="CJ301" s="49"/>
      <c r="CK301" s="49"/>
      <c r="CL301" s="49"/>
      <c r="CM301" s="39"/>
      <c r="CN301" s="39"/>
      <c r="CO301" s="39"/>
      <c r="CP301" s="49"/>
      <c r="CQ301" s="39"/>
      <c r="CR301" s="49"/>
      <c r="CS301" s="39"/>
      <c r="CT301" s="4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  <c r="DI301" s="39"/>
      <c r="DJ301" s="39"/>
      <c r="DK301" s="39"/>
      <c r="DL301" s="39"/>
      <c r="DM301" s="39"/>
      <c r="DN301" s="39"/>
      <c r="DO301" s="39"/>
      <c r="DP301" s="39"/>
      <c r="DQ301" s="39"/>
      <c r="DR301" s="39"/>
      <c r="DS301" s="39"/>
      <c r="DT301" s="39"/>
      <c r="DU301" s="39"/>
      <c r="DV301" s="39"/>
      <c r="DW301" s="39"/>
      <c r="DX301" s="39"/>
      <c r="DY301" s="39"/>
      <c r="DZ301" s="39"/>
      <c r="EA301" s="39"/>
      <c r="EB301" s="39"/>
      <c r="EC301" s="40"/>
    </row>
    <row r="302" spans="1:133" hidden="1">
      <c r="A302" s="44" t="s">
        <v>138</v>
      </c>
      <c r="B302" s="22" t="s">
        <v>659</v>
      </c>
      <c r="C302" s="20" t="s">
        <v>661</v>
      </c>
      <c r="D302" s="21" t="s">
        <v>646</v>
      </c>
      <c r="E302" s="21"/>
      <c r="F302" s="22" t="s">
        <v>137</v>
      </c>
      <c r="G302" s="23" t="str" cm="1">
        <f t="array" ref="G302">IFERROR(LOOKUP(2,1/(K302:GC302&lt;&gt;""),K$2:DQL$2),"")</f>
        <v>31-Jul</v>
      </c>
      <c r="H302" s="24" cm="1">
        <f t="array" ref="H302">IFERROR(_xlfn.XLOOKUP(TRUE,P302:ED302&lt;&gt;"",P302:ED302,,,-1)," ")</f>
        <v>22.4</v>
      </c>
      <c r="I302" s="25">
        <v>25</v>
      </c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49"/>
      <c r="AF302" s="64"/>
      <c r="AG302" s="49"/>
      <c r="AH302" s="49">
        <v>19.399999999999999</v>
      </c>
      <c r="AI302" s="49"/>
      <c r="AJ302" s="49"/>
      <c r="AK302" s="49"/>
      <c r="AL302" s="49"/>
      <c r="AM302" s="49"/>
      <c r="AN302" s="49">
        <v>22.4</v>
      </c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39"/>
      <c r="BF302" s="39"/>
      <c r="BG302" s="49"/>
      <c r="BH302" s="49"/>
      <c r="BI302" s="49"/>
      <c r="BJ302" s="49"/>
      <c r="BK302" s="49"/>
      <c r="BL302" s="49"/>
      <c r="BM302" s="38"/>
      <c r="BN302" s="49"/>
      <c r="BO302" s="49"/>
      <c r="BP302" s="49"/>
      <c r="BQ302" s="49"/>
      <c r="BR302" s="49"/>
      <c r="BS302" s="39"/>
      <c r="BT302" s="39"/>
      <c r="BU302" s="49"/>
      <c r="BV302" s="49"/>
      <c r="BW302" s="49"/>
      <c r="BX302" s="34"/>
      <c r="BY302" s="34"/>
      <c r="BZ302" s="49"/>
      <c r="CA302" s="39"/>
      <c r="CB302" s="49"/>
      <c r="CC302" s="49"/>
      <c r="CD302" s="49"/>
      <c r="CE302" s="49"/>
      <c r="CF302" s="49"/>
      <c r="CG302" s="49"/>
      <c r="CH302" s="49"/>
      <c r="CI302" s="49"/>
      <c r="CJ302" s="49"/>
      <c r="CK302" s="49"/>
      <c r="CL302" s="49"/>
      <c r="CM302" s="39"/>
      <c r="CN302" s="39"/>
      <c r="CO302" s="39"/>
      <c r="CP302" s="49"/>
      <c r="CQ302" s="39"/>
      <c r="CR302" s="49"/>
      <c r="CS302" s="39"/>
      <c r="CT302" s="4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  <c r="DH302" s="39"/>
      <c r="DI302" s="39"/>
      <c r="DJ302" s="39"/>
      <c r="DK302" s="39"/>
      <c r="DL302" s="39"/>
      <c r="DM302" s="39"/>
      <c r="DN302" s="39"/>
      <c r="DO302" s="39"/>
      <c r="DP302" s="39"/>
      <c r="DQ302" s="39"/>
      <c r="DR302" s="39"/>
      <c r="DS302" s="39"/>
      <c r="DT302" s="39"/>
      <c r="DU302" s="39"/>
      <c r="DV302" s="39"/>
      <c r="DW302" s="39"/>
      <c r="DX302" s="39"/>
      <c r="DY302" s="39"/>
      <c r="DZ302" s="39"/>
      <c r="EA302" s="39"/>
      <c r="EB302" s="39"/>
      <c r="EC302" s="40"/>
    </row>
    <row r="303" spans="1:133">
      <c r="A303" s="44"/>
      <c r="B303" s="22" t="s">
        <v>659</v>
      </c>
      <c r="C303" s="20" t="s">
        <v>662</v>
      </c>
      <c r="D303" s="21" t="s">
        <v>646</v>
      </c>
      <c r="E303" s="21"/>
      <c r="F303" s="22" t="s">
        <v>137</v>
      </c>
      <c r="G303" s="23" t="str" cm="1">
        <f t="array" ref="G303">IFERROR(LOOKUP(2,1/(K303:GC303&lt;&gt;""),K$2:DQL$2),"")</f>
        <v>17-Aug</v>
      </c>
      <c r="H303" s="24" cm="1">
        <f t="array" ref="H303">IFERROR(_xlfn.XLOOKUP(TRUE,P303:ED303&lt;&gt;"",P303:ED303,,,-1)," ")</f>
        <v>21.6</v>
      </c>
      <c r="I303" s="25">
        <v>25</v>
      </c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49"/>
      <c r="AF303" s="64"/>
      <c r="AG303" s="49"/>
      <c r="AH303" s="49">
        <v>16.399999999999999</v>
      </c>
      <c r="AI303" s="49"/>
      <c r="AJ303" s="49"/>
      <c r="AK303" s="49"/>
      <c r="AL303" s="49"/>
      <c r="AM303" s="49"/>
      <c r="AN303" s="49">
        <v>19.399999999999999</v>
      </c>
      <c r="AO303" s="49"/>
      <c r="AP303" s="49"/>
      <c r="AQ303" s="49"/>
      <c r="AR303" s="49"/>
      <c r="AS303" s="49"/>
      <c r="AT303" s="49"/>
      <c r="AU303" s="49"/>
      <c r="AV303" s="49"/>
      <c r="AW303" s="49"/>
      <c r="AX303" s="49">
        <v>21.8</v>
      </c>
      <c r="AY303" s="49"/>
      <c r="AZ303" s="49"/>
      <c r="BA303" s="49"/>
      <c r="BB303" s="49"/>
      <c r="BC303" s="49"/>
      <c r="BD303" s="49"/>
      <c r="BE303" s="39">
        <v>21.6</v>
      </c>
      <c r="BF303" s="39"/>
      <c r="BG303" s="49"/>
      <c r="BH303" s="49"/>
      <c r="BI303" s="49"/>
      <c r="BJ303" s="49"/>
      <c r="BK303" s="49"/>
      <c r="BL303" s="49"/>
      <c r="BM303" s="39"/>
      <c r="BN303" s="49"/>
      <c r="BO303" s="34"/>
      <c r="BP303" s="49"/>
      <c r="BQ303" s="49"/>
      <c r="BR303" s="49"/>
      <c r="BS303" s="39"/>
      <c r="BT303" s="39"/>
      <c r="BU303" s="49"/>
      <c r="BV303" s="49"/>
      <c r="BW303" s="49"/>
      <c r="BX303" s="49"/>
      <c r="BY303" s="34"/>
      <c r="BZ303" s="49"/>
      <c r="CA303" s="39"/>
      <c r="CB303" s="49"/>
      <c r="CC303" s="49"/>
      <c r="CD303" s="49"/>
      <c r="CE303" s="49"/>
      <c r="CF303" s="49"/>
      <c r="CG303" s="49"/>
      <c r="CH303" s="34"/>
      <c r="CI303" s="49"/>
      <c r="CJ303" s="49"/>
      <c r="CK303" s="49"/>
      <c r="CL303" s="49"/>
      <c r="CM303" s="22"/>
      <c r="CN303" s="39"/>
      <c r="CO303" s="39"/>
      <c r="CP303" s="49"/>
      <c r="CQ303" s="39"/>
      <c r="CR303" s="49"/>
      <c r="CS303" s="39"/>
      <c r="CT303" s="4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  <c r="DH303" s="39"/>
      <c r="DI303" s="39"/>
      <c r="DJ303" s="39"/>
      <c r="DK303" s="39"/>
      <c r="DL303" s="39"/>
      <c r="DM303" s="39"/>
      <c r="DN303" s="39"/>
      <c r="DO303" s="39"/>
      <c r="DP303" s="39"/>
      <c r="DQ303" s="39"/>
      <c r="DR303" s="39"/>
      <c r="DS303" s="39"/>
      <c r="DT303" s="39"/>
      <c r="DU303" s="39"/>
      <c r="DV303" s="39"/>
      <c r="DW303" s="39"/>
      <c r="DX303" s="39"/>
      <c r="DY303" s="39"/>
      <c r="DZ303" s="39"/>
      <c r="EA303" s="39"/>
      <c r="EB303" s="39"/>
      <c r="EC303" s="40"/>
    </row>
    <row r="304" spans="1:133">
      <c r="A304" s="44"/>
      <c r="B304" s="22" t="s">
        <v>663</v>
      </c>
      <c r="C304" s="53" t="s">
        <v>664</v>
      </c>
      <c r="D304" s="21" t="s">
        <v>646</v>
      </c>
      <c r="E304" s="21"/>
      <c r="F304" s="22" t="s">
        <v>198</v>
      </c>
      <c r="G304" s="23" t="str" cm="1">
        <f t="array" ref="G304">IFERROR(LOOKUP(2,1/(K304:GC304&lt;&gt;""),K$2:DQL$2),"")</f>
        <v>7-Aug</v>
      </c>
      <c r="H304" s="24" cm="1">
        <f t="array" ref="H304">IFERROR(_xlfn.XLOOKUP(TRUE,P304:ED304&lt;&gt;"",P304:ED304,,,-1)," ")</f>
        <v>19</v>
      </c>
      <c r="I304" s="25">
        <v>24</v>
      </c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34"/>
      <c r="AF304" s="35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248">
        <v>19</v>
      </c>
      <c r="AV304" s="34"/>
      <c r="AW304" s="34"/>
      <c r="AX304" s="34"/>
      <c r="AY304" s="34"/>
      <c r="AZ304" s="34"/>
      <c r="BA304" s="34"/>
      <c r="BB304" s="34"/>
      <c r="BC304" s="34"/>
      <c r="BD304" s="34"/>
      <c r="BE304" s="37"/>
      <c r="BF304" s="37"/>
      <c r="BG304" s="34"/>
      <c r="BH304" s="34"/>
      <c r="BI304" s="34"/>
      <c r="BJ304" s="34"/>
      <c r="BK304" s="34"/>
      <c r="BL304" s="34"/>
      <c r="BM304" s="37"/>
      <c r="BN304" s="34"/>
      <c r="BO304" s="34"/>
      <c r="BP304" s="34"/>
      <c r="BQ304" s="34"/>
      <c r="BR304" s="34"/>
      <c r="BS304" s="37"/>
      <c r="BT304" s="37"/>
      <c r="BU304" s="34"/>
      <c r="BV304" s="34"/>
      <c r="BW304" s="34"/>
      <c r="BX304" s="34"/>
      <c r="BY304" s="34"/>
      <c r="BZ304" s="34"/>
      <c r="CA304" s="37"/>
      <c r="CB304" s="34"/>
      <c r="CC304" s="34"/>
      <c r="CD304" s="34"/>
      <c r="CE304" s="34"/>
      <c r="CF304" s="34"/>
      <c r="CG304" s="34"/>
      <c r="CH304" s="34"/>
      <c r="CI304" s="34"/>
      <c r="CJ304" s="36"/>
      <c r="CK304" s="34"/>
      <c r="CL304" s="34"/>
      <c r="CM304" s="43"/>
      <c r="CN304" s="37"/>
      <c r="CO304" s="37"/>
      <c r="CP304" s="34"/>
      <c r="CQ304" s="37"/>
      <c r="CR304" s="34"/>
      <c r="CS304" s="37"/>
      <c r="CT304" s="34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  <c r="DI304" s="37"/>
      <c r="DJ304" s="37"/>
      <c r="DK304" s="37"/>
      <c r="DL304" s="37"/>
      <c r="DM304" s="37"/>
      <c r="DN304" s="37"/>
      <c r="DO304" s="37"/>
      <c r="DP304" s="37"/>
      <c r="DQ304" s="37"/>
      <c r="DR304" s="37"/>
      <c r="DS304" s="37"/>
      <c r="DT304" s="37"/>
      <c r="DU304" s="37"/>
      <c r="DV304" s="37"/>
      <c r="DW304" s="37"/>
      <c r="DX304" s="37"/>
      <c r="DY304" s="37"/>
      <c r="DZ304" s="37"/>
      <c r="EA304" s="39"/>
      <c r="EB304" s="39"/>
      <c r="EC304" s="40"/>
    </row>
    <row r="305" spans="1:133">
      <c r="A305" s="44"/>
      <c r="B305" s="22"/>
      <c r="C305" s="53" t="s">
        <v>665</v>
      </c>
      <c r="D305" s="21" t="s">
        <v>646</v>
      </c>
      <c r="E305" s="21"/>
      <c r="F305" s="22" t="s">
        <v>198</v>
      </c>
      <c r="G305" s="23" t="str" cm="1">
        <f t="array" ref="G305">IFERROR(LOOKUP(2,1/(K305:GC305&lt;&gt;""),K$2:DQL$2),"")</f>
        <v>20-Aug</v>
      </c>
      <c r="H305" s="24" cm="1">
        <f t="array" ref="H305">IFERROR(_xlfn.XLOOKUP(TRUE,P305:ED305&lt;&gt;"",P305:ED305,,,-1)," ")</f>
        <v>22.6</v>
      </c>
      <c r="I305" s="25">
        <v>24</v>
      </c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7"/>
      <c r="BF305" s="37"/>
      <c r="BG305" s="34"/>
      <c r="BH305" s="34">
        <v>22.6</v>
      </c>
      <c r="BI305" s="34"/>
      <c r="BJ305" s="34"/>
      <c r="BK305" s="34"/>
      <c r="BL305" s="34"/>
      <c r="BM305" s="37"/>
      <c r="BN305" s="34"/>
      <c r="BO305" s="34"/>
      <c r="BP305" s="34"/>
      <c r="BQ305" s="34"/>
      <c r="BR305" s="34"/>
      <c r="BS305" s="37"/>
      <c r="BT305" s="37"/>
      <c r="BU305" s="34"/>
      <c r="BV305" s="34"/>
      <c r="BW305" s="34"/>
      <c r="BX305" s="37"/>
      <c r="BY305" s="34"/>
      <c r="BZ305" s="36"/>
      <c r="CA305" s="37"/>
      <c r="CB305" s="37"/>
      <c r="CC305" s="34"/>
      <c r="CD305" s="37"/>
      <c r="CE305" s="37"/>
      <c r="CF305" s="37"/>
      <c r="CG305" s="37"/>
      <c r="CH305" s="37"/>
      <c r="CI305" s="37"/>
      <c r="CJ305" s="34"/>
      <c r="CK305" s="37"/>
      <c r="CL305" s="34"/>
      <c r="CM305" s="37"/>
      <c r="CN305" s="37"/>
      <c r="CO305" s="37"/>
      <c r="CP305" s="34"/>
      <c r="CQ305" s="37"/>
      <c r="CR305" s="34"/>
      <c r="CS305" s="37"/>
      <c r="CT305" s="34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  <c r="DH305" s="37"/>
      <c r="DI305" s="37"/>
      <c r="DJ305" s="37"/>
      <c r="DK305" s="37"/>
      <c r="DL305" s="37"/>
      <c r="DM305" s="37"/>
      <c r="DN305" s="37"/>
      <c r="DO305" s="37"/>
      <c r="DP305" s="37"/>
      <c r="DQ305" s="37"/>
      <c r="DR305" s="37"/>
      <c r="DS305" s="37"/>
      <c r="DT305" s="37"/>
      <c r="DU305" s="37"/>
      <c r="DV305" s="37"/>
      <c r="DW305" s="37"/>
      <c r="DX305" s="37"/>
      <c r="DY305" s="37"/>
      <c r="DZ305" s="37"/>
      <c r="EA305" s="39"/>
      <c r="EB305" s="39"/>
      <c r="EC305" s="40"/>
    </row>
    <row r="306" spans="1:133">
      <c r="A306" s="44"/>
      <c r="B306" s="22"/>
      <c r="C306" s="53" t="s">
        <v>666</v>
      </c>
      <c r="D306" s="21" t="s">
        <v>646</v>
      </c>
      <c r="E306" s="21"/>
      <c r="F306" s="22" t="s">
        <v>198</v>
      </c>
      <c r="G306" s="23" t="str" cm="1">
        <f t="array" ref="G306">IFERROR(LOOKUP(2,1/(K306:GC306&lt;&gt;""),K$2:DQL$2),"")</f>
        <v>20-Aug</v>
      </c>
      <c r="H306" s="24" cm="1">
        <f t="array" ref="H306">IFERROR(_xlfn.XLOOKUP(TRUE,P306:ED306&lt;&gt;"",P306:ED306,,,-1)," ")</f>
        <v>21.4</v>
      </c>
      <c r="I306" s="25">
        <v>24</v>
      </c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7"/>
      <c r="BF306" s="37"/>
      <c r="BG306" s="34"/>
      <c r="BH306" s="34">
        <v>21.4</v>
      </c>
      <c r="BI306" s="34"/>
      <c r="BJ306" s="34"/>
      <c r="BK306" s="34"/>
      <c r="BL306" s="34"/>
      <c r="BM306" s="37"/>
      <c r="BN306" s="34"/>
      <c r="BO306" s="34"/>
      <c r="BP306" s="34"/>
      <c r="BQ306" s="34"/>
      <c r="BR306" s="34"/>
      <c r="BS306" s="37"/>
      <c r="BT306" s="37"/>
      <c r="BU306" s="34"/>
      <c r="BV306" s="34"/>
      <c r="BW306" s="34"/>
      <c r="BX306" s="37"/>
      <c r="BY306" s="34"/>
      <c r="BZ306" s="36"/>
      <c r="CA306" s="37"/>
      <c r="CB306" s="37"/>
      <c r="CC306" s="34"/>
      <c r="CD306" s="37"/>
      <c r="CE306" s="37"/>
      <c r="CF306" s="37"/>
      <c r="CG306" s="37"/>
      <c r="CH306" s="37"/>
      <c r="CI306" s="37"/>
      <c r="CJ306" s="34"/>
      <c r="CK306" s="37"/>
      <c r="CL306" s="34"/>
      <c r="CM306" s="37"/>
      <c r="CN306" s="37"/>
      <c r="CO306" s="37"/>
      <c r="CP306" s="34"/>
      <c r="CQ306" s="37"/>
      <c r="CR306" s="34"/>
      <c r="CS306" s="37"/>
      <c r="CT306" s="34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  <c r="DH306" s="37"/>
      <c r="DI306" s="37"/>
      <c r="DJ306" s="37"/>
      <c r="DK306" s="37"/>
      <c r="DL306" s="37"/>
      <c r="DM306" s="37"/>
      <c r="DN306" s="37"/>
      <c r="DO306" s="37"/>
      <c r="DP306" s="37"/>
      <c r="DQ306" s="37"/>
      <c r="DR306" s="37"/>
      <c r="DS306" s="37"/>
      <c r="DT306" s="37"/>
      <c r="DU306" s="37"/>
      <c r="DV306" s="37"/>
      <c r="DW306" s="37"/>
      <c r="DX306" s="37"/>
      <c r="DY306" s="37"/>
      <c r="DZ306" s="37"/>
      <c r="EA306" s="39"/>
      <c r="EB306" s="39"/>
      <c r="EC306" s="40"/>
    </row>
    <row r="307" spans="1:133" hidden="1">
      <c r="A307" s="44" t="s">
        <v>138</v>
      </c>
      <c r="B307" s="22" t="s">
        <v>667</v>
      </c>
      <c r="C307" s="20" t="s">
        <v>668</v>
      </c>
      <c r="D307" s="21" t="s">
        <v>646</v>
      </c>
      <c r="E307" s="21"/>
      <c r="F307" s="22" t="s">
        <v>137</v>
      </c>
      <c r="G307" s="23" t="str" cm="1">
        <f t="array" ref="G307">IFERROR(LOOKUP(2,1/(K307:GC307&lt;&gt;""),K$2:DQL$2),"")</f>
        <v>3-Aug</v>
      </c>
      <c r="H307" s="227" cm="1">
        <f t="array" ref="H307">IFERROR(_xlfn.XLOOKUP(TRUE,P307:ED307&lt;&gt;"",P307:ED307,,,-1)," ")</f>
        <v>23.1</v>
      </c>
      <c r="I307" s="25">
        <v>21</v>
      </c>
      <c r="J307" s="25">
        <v>22</v>
      </c>
      <c r="K307" s="25"/>
      <c r="L307" s="25"/>
      <c r="M307" s="25"/>
      <c r="N307" s="25"/>
      <c r="O307" s="25"/>
      <c r="P307" s="25">
        <v>16.3</v>
      </c>
      <c r="Q307" s="25"/>
      <c r="R307" s="25"/>
      <c r="S307" s="25"/>
      <c r="T307" s="25"/>
      <c r="U307" s="25"/>
      <c r="V307" s="25"/>
      <c r="W307" s="25"/>
      <c r="X307" s="25" t="s">
        <v>669</v>
      </c>
      <c r="Y307" s="217">
        <v>20.7</v>
      </c>
      <c r="Z307" s="217">
        <v>21.8</v>
      </c>
      <c r="AA307" s="25"/>
      <c r="AB307" s="25"/>
      <c r="AC307" s="217">
        <v>19.399999999999999</v>
      </c>
      <c r="AD307" s="25"/>
      <c r="AE307" s="49"/>
      <c r="AF307" s="64"/>
      <c r="AG307" s="49"/>
      <c r="AH307" s="49"/>
      <c r="AI307" s="49"/>
      <c r="AJ307" s="248">
        <v>20</v>
      </c>
      <c r="AK307" s="49"/>
      <c r="AL307" s="49"/>
      <c r="AM307" s="49"/>
      <c r="AN307" s="49"/>
      <c r="AO307" s="49">
        <v>22</v>
      </c>
      <c r="AP307" s="49"/>
      <c r="AQ307" s="50">
        <v>23.1</v>
      </c>
      <c r="AR307" s="49"/>
      <c r="AS307" s="49"/>
      <c r="AT307" s="49"/>
      <c r="AU307" s="49"/>
      <c r="AV307" s="50"/>
      <c r="AW307" s="49"/>
      <c r="AX307" s="49"/>
      <c r="AY307" s="49"/>
      <c r="AZ307" s="49"/>
      <c r="BA307" s="49"/>
      <c r="BB307" s="49"/>
      <c r="BC307" s="49"/>
      <c r="BD307" s="49"/>
      <c r="BE307" s="39"/>
      <c r="BF307" s="39"/>
      <c r="BG307" s="49"/>
      <c r="BH307" s="49"/>
      <c r="BI307" s="49"/>
      <c r="BJ307" s="49"/>
      <c r="BK307" s="49"/>
      <c r="BL307" s="49"/>
      <c r="BM307" s="39"/>
      <c r="BN307" s="49"/>
      <c r="BO307" s="49"/>
      <c r="BP307" s="49"/>
      <c r="BQ307" s="49"/>
      <c r="BR307" s="49"/>
      <c r="BS307" s="39"/>
      <c r="BT307" s="39"/>
      <c r="BU307" s="34"/>
      <c r="BV307" s="49"/>
      <c r="BW307" s="49"/>
      <c r="BX307" s="49"/>
      <c r="BY307" s="49"/>
      <c r="BZ307" s="49"/>
      <c r="CA307" s="39"/>
      <c r="CB307" s="49"/>
      <c r="CC307" s="49"/>
      <c r="CD307" s="49"/>
      <c r="CE307" s="49"/>
      <c r="CF307" s="49"/>
      <c r="CG307" s="49"/>
      <c r="CH307" s="49"/>
      <c r="CI307" s="34"/>
      <c r="CJ307" s="49"/>
      <c r="CK307" s="49"/>
      <c r="CL307" s="49"/>
      <c r="CM307" s="22"/>
      <c r="CN307" s="39"/>
      <c r="CO307" s="39"/>
      <c r="CP307" s="49"/>
      <c r="CQ307" s="39"/>
      <c r="CR307" s="49"/>
      <c r="CS307" s="39"/>
      <c r="CT307" s="4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  <c r="DY307" s="39"/>
      <c r="DZ307" s="39"/>
      <c r="EA307" s="39"/>
      <c r="EB307" s="39"/>
      <c r="EC307" s="40"/>
    </row>
    <row r="308" spans="1:133" hidden="1">
      <c r="A308" s="44" t="s">
        <v>138</v>
      </c>
      <c r="B308" s="22" t="s">
        <v>667</v>
      </c>
      <c r="C308" s="20" t="s">
        <v>670</v>
      </c>
      <c r="D308" s="21" t="s">
        <v>646</v>
      </c>
      <c r="E308" s="21"/>
      <c r="F308" s="22" t="s">
        <v>137</v>
      </c>
      <c r="G308" s="23" t="str" cm="1">
        <f t="array" ref="G308">IFERROR(LOOKUP(2,1/(K308:GC308&lt;&gt;""),K$2:DQL$2),"")</f>
        <v/>
      </c>
      <c r="H308" s="24" t="str" cm="1">
        <f t="array" ref="H308">IFERROR(_xlfn.XLOOKUP(TRUE,P308:ED308&lt;&gt;"",P308:ED308,,,-1)," ")</f>
        <v xml:space="preserve"> </v>
      </c>
      <c r="I308" s="25">
        <v>17.5</v>
      </c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49"/>
      <c r="AF308" s="64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50"/>
      <c r="AX308" s="49"/>
      <c r="AY308" s="49"/>
      <c r="AZ308" s="49"/>
      <c r="BA308" s="49"/>
      <c r="BB308" s="49"/>
      <c r="BC308" s="49"/>
      <c r="BD308" s="49"/>
      <c r="BE308" s="39"/>
      <c r="BF308" s="39"/>
      <c r="BG308" s="49"/>
      <c r="BH308" s="49"/>
      <c r="BI308" s="49"/>
      <c r="BJ308" s="49"/>
      <c r="BK308" s="49"/>
      <c r="BL308" s="49"/>
      <c r="BM308" s="39"/>
      <c r="BN308" s="49"/>
      <c r="BO308" s="49"/>
      <c r="BP308" s="49"/>
      <c r="BQ308" s="49"/>
      <c r="BR308" s="49"/>
      <c r="BS308" s="39"/>
      <c r="BT308" s="39"/>
      <c r="BU308" s="49"/>
      <c r="BV308" s="49"/>
      <c r="BW308" s="49"/>
      <c r="BX308" s="49"/>
      <c r="BY308" s="49"/>
      <c r="BZ308" s="49"/>
      <c r="CA308" s="39"/>
      <c r="CB308" s="49"/>
      <c r="CC308" s="49"/>
      <c r="CD308" s="49"/>
      <c r="CE308" s="49"/>
      <c r="CF308" s="49"/>
      <c r="CG308" s="49"/>
      <c r="CH308" s="49"/>
      <c r="CI308" s="49"/>
      <c r="CJ308" s="49"/>
      <c r="CK308" s="49"/>
      <c r="CL308" s="49"/>
      <c r="CM308" s="22"/>
      <c r="CN308" s="39"/>
      <c r="CO308" s="39"/>
      <c r="CP308" s="49"/>
      <c r="CQ308" s="39"/>
      <c r="CR308" s="49"/>
      <c r="CS308" s="39"/>
      <c r="CT308" s="4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  <c r="DY308" s="39"/>
      <c r="DZ308" s="39"/>
      <c r="EA308" s="39"/>
      <c r="EB308" s="39"/>
      <c r="EC308" s="40"/>
    </row>
    <row r="309" spans="1:133" hidden="1">
      <c r="A309" s="44" t="s">
        <v>138</v>
      </c>
      <c r="B309" s="22" t="s">
        <v>667</v>
      </c>
      <c r="C309" s="20" t="s">
        <v>671</v>
      </c>
      <c r="D309" s="21" t="s">
        <v>646</v>
      </c>
      <c r="E309" s="21"/>
      <c r="F309" s="22" t="s">
        <v>137</v>
      </c>
      <c r="G309" s="23" t="str" cm="1">
        <f t="array" ref="G309">IFERROR(LOOKUP(2,1/(K309:GC309&lt;&gt;""),K$2:DQL$2),"")</f>
        <v/>
      </c>
      <c r="H309" s="24" t="str" cm="1">
        <f t="array" ref="H309">IFERROR(_xlfn.XLOOKUP(TRUE,P309:ED309&lt;&gt;"",P309:ED309,,,-1)," ")</f>
        <v xml:space="preserve"> </v>
      </c>
      <c r="I309" s="25">
        <v>17.5</v>
      </c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49"/>
      <c r="AF309" s="64"/>
      <c r="AG309" s="49"/>
      <c r="AH309" s="49"/>
      <c r="AI309" s="49"/>
      <c r="AJ309" s="49"/>
      <c r="AK309" s="49"/>
      <c r="AL309" s="49"/>
      <c r="AM309" s="49"/>
      <c r="AN309" s="49"/>
      <c r="AO309" s="49"/>
      <c r="AP309" s="34"/>
      <c r="AQ309" s="49"/>
      <c r="AR309" s="49"/>
      <c r="AS309" s="49"/>
      <c r="AT309" s="49"/>
      <c r="AU309" s="49"/>
      <c r="AV309" s="49"/>
      <c r="AW309" s="50"/>
      <c r="AX309" s="49"/>
      <c r="AY309" s="49"/>
      <c r="AZ309" s="49"/>
      <c r="BA309" s="34"/>
      <c r="BB309" s="49"/>
      <c r="BC309" s="49"/>
      <c r="BD309" s="49"/>
      <c r="BE309" s="39"/>
      <c r="BF309" s="39"/>
      <c r="BG309" s="49"/>
      <c r="BH309" s="49"/>
      <c r="BI309" s="49"/>
      <c r="BJ309" s="49"/>
      <c r="BK309" s="49"/>
      <c r="BL309" s="49"/>
      <c r="BM309" s="39"/>
      <c r="BN309" s="49"/>
      <c r="BO309" s="49"/>
      <c r="BP309" s="49"/>
      <c r="BQ309" s="49"/>
      <c r="BR309" s="49"/>
      <c r="BS309" s="39"/>
      <c r="BT309" s="39"/>
      <c r="BU309" s="49"/>
      <c r="BV309" s="49"/>
      <c r="BW309" s="49"/>
      <c r="BX309" s="49"/>
      <c r="BY309" s="49"/>
      <c r="BZ309" s="49"/>
      <c r="CA309" s="39"/>
      <c r="CB309" s="49"/>
      <c r="CC309" s="49"/>
      <c r="CD309" s="49"/>
      <c r="CE309" s="49"/>
      <c r="CF309" s="49"/>
      <c r="CG309" s="49"/>
      <c r="CH309" s="49"/>
      <c r="CI309" s="49"/>
      <c r="CJ309" s="49"/>
      <c r="CK309" s="49"/>
      <c r="CL309" s="49"/>
      <c r="CM309" s="22"/>
      <c r="CN309" s="39"/>
      <c r="CO309" s="39"/>
      <c r="CP309" s="49"/>
      <c r="CQ309" s="39"/>
      <c r="CR309" s="49"/>
      <c r="CS309" s="39"/>
      <c r="CT309" s="4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39"/>
      <c r="DR309" s="39"/>
      <c r="DS309" s="39"/>
      <c r="DT309" s="39"/>
      <c r="DU309" s="39"/>
      <c r="DV309" s="39"/>
      <c r="DW309" s="39"/>
      <c r="DX309" s="39"/>
      <c r="DY309" s="39"/>
      <c r="DZ309" s="39"/>
      <c r="EA309" s="39"/>
      <c r="EB309" s="39"/>
      <c r="EC309" s="40"/>
    </row>
    <row r="310" spans="1:133" hidden="1">
      <c r="A310" s="44" t="s">
        <v>138</v>
      </c>
      <c r="B310" s="22" t="s">
        <v>672</v>
      </c>
      <c r="C310" s="20" t="s">
        <v>673</v>
      </c>
      <c r="D310" s="21" t="s">
        <v>646</v>
      </c>
      <c r="E310" s="21"/>
      <c r="F310" s="22"/>
      <c r="G310" s="23" t="str" cm="1">
        <f t="array" ref="G310">IFERROR(LOOKUP(2,1/(K310:GC310&lt;&gt;""),K$2:DQL$2),"")</f>
        <v>19-Aug</v>
      </c>
      <c r="H310" s="24" cm="1">
        <f t="array" ref="H310">IFERROR(_xlfn.XLOOKUP(TRUE,P310:ED310&lt;&gt;"",P310:ED310,,,-1)," ")</f>
        <v>25.5</v>
      </c>
      <c r="I310" s="25">
        <v>25</v>
      </c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49"/>
      <c r="AF310" s="64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34">
        <v>25</v>
      </c>
      <c r="BD310" s="49"/>
      <c r="BE310" s="39"/>
      <c r="BF310" s="39"/>
      <c r="BG310" s="49">
        <v>25.5</v>
      </c>
      <c r="BH310" s="49"/>
      <c r="BI310" s="49"/>
      <c r="BJ310" s="34"/>
      <c r="BK310" s="49"/>
      <c r="BL310" s="49"/>
      <c r="BM310" s="39"/>
      <c r="BN310" s="49"/>
      <c r="BO310" s="50"/>
      <c r="BP310" s="49"/>
      <c r="BQ310" s="49"/>
      <c r="BR310" s="34"/>
      <c r="BS310" s="39"/>
      <c r="BT310" s="39"/>
      <c r="BU310" s="49"/>
      <c r="BV310" s="49"/>
      <c r="BW310" s="49"/>
      <c r="BX310" s="49"/>
      <c r="BY310" s="49"/>
      <c r="BZ310" s="49"/>
      <c r="CA310" s="39"/>
      <c r="CB310" s="37"/>
      <c r="CC310" s="49"/>
      <c r="CD310" s="39"/>
      <c r="CE310" s="39"/>
      <c r="CF310" s="39"/>
      <c r="CG310" s="39"/>
      <c r="CH310" s="39"/>
      <c r="CI310" s="39"/>
      <c r="CJ310" s="39"/>
      <c r="CK310" s="39"/>
      <c r="CL310" s="49"/>
      <c r="CM310" s="39"/>
      <c r="CN310" s="39"/>
      <c r="CO310" s="39"/>
      <c r="CP310" s="49"/>
      <c r="CQ310" s="39"/>
      <c r="CR310" s="49"/>
      <c r="CS310" s="39"/>
      <c r="CT310" s="4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  <c r="DH310" s="39"/>
      <c r="DI310" s="39"/>
      <c r="DJ310" s="39"/>
      <c r="DK310" s="39"/>
      <c r="DL310" s="39"/>
      <c r="DM310" s="39"/>
      <c r="DN310" s="39"/>
      <c r="DO310" s="39"/>
      <c r="DP310" s="39"/>
      <c r="DQ310" s="39"/>
      <c r="DR310" s="39"/>
      <c r="DS310" s="39"/>
      <c r="DT310" s="39"/>
      <c r="DU310" s="39"/>
      <c r="DV310" s="39"/>
      <c r="DW310" s="39"/>
      <c r="DX310" s="39"/>
      <c r="DY310" s="39"/>
      <c r="DZ310" s="39"/>
      <c r="EA310" s="39"/>
      <c r="EB310" s="39"/>
      <c r="EC310" s="40"/>
    </row>
    <row r="311" spans="1:133">
      <c r="A311" s="68"/>
      <c r="B311" s="22" t="s">
        <v>674</v>
      </c>
      <c r="C311" s="20" t="s">
        <v>675</v>
      </c>
      <c r="D311" s="21" t="s">
        <v>646</v>
      </c>
      <c r="E311" s="21"/>
      <c r="F311" s="22" t="s">
        <v>198</v>
      </c>
      <c r="G311" s="23" t="str" cm="1">
        <f t="array" ref="G311">IFERROR(LOOKUP(2,1/(K311:GC311&lt;&gt;""),K$2:DQL$2),"")</f>
        <v>21-Aug</v>
      </c>
      <c r="H311" s="24" cm="1">
        <f t="array" ref="H311">IFERROR(_xlfn.XLOOKUP(TRUE,P311:ED311&lt;&gt;"",P311:ED311,,,-1)," ")</f>
        <v>21.9</v>
      </c>
      <c r="I311" s="25">
        <v>25</v>
      </c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69"/>
      <c r="AF311" s="70"/>
      <c r="AG311" s="69"/>
      <c r="AH311" s="69"/>
      <c r="AI311" s="69"/>
      <c r="AJ311" s="69"/>
      <c r="AK311" s="69"/>
      <c r="AL311" s="69"/>
      <c r="AM311" s="69"/>
      <c r="AN311" s="34">
        <v>19</v>
      </c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34">
        <v>21.5</v>
      </c>
      <c r="BD311" s="69"/>
      <c r="BE311" s="39"/>
      <c r="BF311" s="71"/>
      <c r="BG311" s="69"/>
      <c r="BH311" s="69"/>
      <c r="BI311" s="69">
        <v>21.9</v>
      </c>
      <c r="BJ311" s="69"/>
      <c r="BK311" s="69"/>
      <c r="BL311" s="69"/>
      <c r="BM311" s="71"/>
      <c r="BN311" s="69"/>
      <c r="BO311" s="34"/>
      <c r="BP311" s="69"/>
      <c r="BQ311" s="36"/>
      <c r="BR311" s="34"/>
      <c r="BS311" s="71"/>
      <c r="BT311" s="71"/>
      <c r="BU311" s="34"/>
      <c r="BV311" s="69"/>
      <c r="BW311" s="69"/>
      <c r="BX311" s="34"/>
      <c r="BY311" s="34"/>
      <c r="BZ311" s="69"/>
      <c r="CA311" s="71"/>
      <c r="CB311" s="69"/>
      <c r="CC311" s="34"/>
      <c r="CD311" s="69"/>
      <c r="CE311" s="69"/>
      <c r="CF311" s="34"/>
      <c r="CG311" s="69"/>
      <c r="CH311" s="69"/>
      <c r="CI311" s="69"/>
      <c r="CJ311" s="69"/>
      <c r="CK311" s="69"/>
      <c r="CL311" s="69"/>
      <c r="CM311" s="43"/>
      <c r="CN311" s="71"/>
      <c r="CO311" s="71"/>
      <c r="CP311" s="34"/>
      <c r="CQ311" s="69"/>
      <c r="CR311" s="69"/>
      <c r="CS311" s="69"/>
      <c r="CT311" s="69"/>
      <c r="CU311" s="71"/>
      <c r="CV311" s="71"/>
      <c r="CW311" s="69"/>
      <c r="CX311" s="69"/>
      <c r="CY311" s="69"/>
      <c r="CZ311" s="69"/>
      <c r="DA311" s="71"/>
      <c r="DB311" s="71"/>
      <c r="DC311" s="71"/>
      <c r="DD311" s="71"/>
      <c r="DE311" s="71"/>
      <c r="DF311" s="71"/>
      <c r="DG311" s="71"/>
      <c r="DH311" s="71"/>
      <c r="DI311" s="71"/>
      <c r="DJ311" s="71"/>
      <c r="DK311" s="71"/>
      <c r="DL311" s="71"/>
      <c r="DM311" s="71"/>
      <c r="DN311" s="71"/>
      <c r="DO311" s="71"/>
      <c r="DP311" s="71"/>
      <c r="DQ311" s="71"/>
      <c r="DR311" s="71"/>
      <c r="DS311" s="71"/>
      <c r="DT311" s="71"/>
      <c r="DU311" s="71"/>
      <c r="DV311" s="71"/>
      <c r="DW311" s="71"/>
      <c r="DX311" s="71"/>
      <c r="DY311" s="71"/>
      <c r="DZ311" s="71"/>
      <c r="EA311" s="39"/>
      <c r="EB311" s="39"/>
      <c r="EC311" s="40"/>
    </row>
    <row r="312" spans="1:133">
      <c r="A312" s="68"/>
      <c r="B312" s="22"/>
      <c r="C312" s="20" t="s">
        <v>676</v>
      </c>
      <c r="D312" s="21" t="s">
        <v>646</v>
      </c>
      <c r="E312" s="21"/>
      <c r="F312" s="22"/>
      <c r="G312" s="23" t="str" cm="1">
        <f t="array" ref="G312">IFERROR(LOOKUP(2,1/(K312:GC312&lt;&gt;""),K$2:DQL$2),"")</f>
        <v>21-Aug</v>
      </c>
      <c r="H312" s="24" cm="1">
        <f t="array" ref="H312">IFERROR(_xlfn.XLOOKUP(TRUE,P312:ED312&lt;&gt;"",P312:ED312,,,-1)," ")</f>
        <v>22</v>
      </c>
      <c r="I312" s="25">
        <v>25</v>
      </c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34"/>
      <c r="AF312" s="35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248">
        <v>21.4</v>
      </c>
      <c r="BC312" s="34"/>
      <c r="BD312" s="34"/>
      <c r="BE312" s="37"/>
      <c r="BF312" s="37"/>
      <c r="BG312" s="34"/>
      <c r="BH312" s="34"/>
      <c r="BI312" s="34">
        <v>22</v>
      </c>
      <c r="BJ312" s="34"/>
      <c r="BK312" s="34"/>
      <c r="BL312" s="34"/>
      <c r="BM312" s="37"/>
      <c r="BN312" s="34"/>
      <c r="BO312" s="34"/>
      <c r="BP312" s="34"/>
      <c r="BQ312" s="34"/>
      <c r="BR312" s="34"/>
      <c r="BS312" s="37"/>
      <c r="BT312" s="37"/>
      <c r="BU312" s="34"/>
      <c r="BV312" s="34"/>
      <c r="BW312" s="34"/>
      <c r="BX312" s="37"/>
      <c r="BY312" s="34"/>
      <c r="BZ312" s="36"/>
      <c r="CA312" s="37"/>
      <c r="CB312" s="37"/>
      <c r="CC312" s="34"/>
      <c r="CD312" s="37"/>
      <c r="CE312" s="37"/>
      <c r="CF312" s="37"/>
      <c r="CG312" s="37"/>
      <c r="CH312" s="37"/>
      <c r="CI312" s="37"/>
      <c r="CJ312" s="69"/>
      <c r="CK312" s="37"/>
      <c r="CL312" s="34"/>
      <c r="CM312" s="37"/>
      <c r="CN312" s="37"/>
      <c r="CO312" s="37"/>
      <c r="CP312" s="34"/>
      <c r="CQ312" s="37"/>
      <c r="CR312" s="34"/>
      <c r="CS312" s="37"/>
      <c r="CT312" s="34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  <c r="DI312" s="37"/>
      <c r="DJ312" s="37"/>
      <c r="DK312" s="37"/>
      <c r="DL312" s="37"/>
      <c r="DM312" s="37"/>
      <c r="DN312" s="37"/>
      <c r="DO312" s="37"/>
      <c r="DP312" s="37"/>
      <c r="DQ312" s="37"/>
      <c r="DR312" s="37"/>
      <c r="DS312" s="37"/>
      <c r="DT312" s="37"/>
      <c r="DU312" s="37"/>
      <c r="DV312" s="37"/>
      <c r="DW312" s="37"/>
      <c r="DX312" s="37"/>
      <c r="DY312" s="37"/>
      <c r="DZ312" s="37"/>
      <c r="EA312" s="39"/>
      <c r="EB312" s="39"/>
      <c r="EC312" s="40"/>
    </row>
    <row r="313" spans="1:133">
      <c r="A313" s="68"/>
      <c r="B313" s="22"/>
      <c r="C313" s="20" t="s">
        <v>677</v>
      </c>
      <c r="D313" s="21" t="s">
        <v>646</v>
      </c>
      <c r="E313" s="21"/>
      <c r="F313" s="22"/>
      <c r="G313" s="23" t="str" cm="1">
        <f t="array" ref="G313">IFERROR(LOOKUP(2,1/(K313:GC313&lt;&gt;""),K$2:DQL$2),"")</f>
        <v>21-Aug</v>
      </c>
      <c r="H313" s="24" cm="1">
        <f t="array" ref="H313">IFERROR(_xlfn.XLOOKUP(TRUE,P313:ED313&lt;&gt;"",P313:ED313,,,-1)," ")</f>
        <v>22.2</v>
      </c>
      <c r="I313" s="25">
        <v>25</v>
      </c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34"/>
      <c r="AF313" s="35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248">
        <v>22</v>
      </c>
      <c r="BC313" s="34"/>
      <c r="BD313" s="34"/>
      <c r="BE313" s="37"/>
      <c r="BF313" s="37"/>
      <c r="BG313" s="34"/>
      <c r="BH313" s="34"/>
      <c r="BI313" s="34">
        <v>22.2</v>
      </c>
      <c r="BJ313" s="34"/>
      <c r="BK313" s="34"/>
      <c r="BL313" s="34"/>
      <c r="BM313" s="37"/>
      <c r="BN313" s="34"/>
      <c r="BO313" s="34"/>
      <c r="BP313" s="34"/>
      <c r="BQ313" s="34"/>
      <c r="BR313" s="34"/>
      <c r="BS313" s="37"/>
      <c r="BT313" s="37"/>
      <c r="BU313" s="34"/>
      <c r="BV313" s="34"/>
      <c r="BW313" s="34"/>
      <c r="BX313" s="37"/>
      <c r="BY313" s="34"/>
      <c r="BZ313" s="36"/>
      <c r="CA313" s="37"/>
      <c r="CB313" s="37"/>
      <c r="CC313" s="34"/>
      <c r="CD313" s="37"/>
      <c r="CE313" s="37"/>
      <c r="CF313" s="37"/>
      <c r="CG313" s="37"/>
      <c r="CH313" s="37"/>
      <c r="CI313" s="37"/>
      <c r="CJ313" s="69"/>
      <c r="CK313" s="37"/>
      <c r="CL313" s="34"/>
      <c r="CM313" s="37"/>
      <c r="CN313" s="37"/>
      <c r="CO313" s="37"/>
      <c r="CP313" s="34"/>
      <c r="CQ313" s="37"/>
      <c r="CR313" s="34"/>
      <c r="CS313" s="37"/>
      <c r="CT313" s="34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  <c r="DI313" s="37"/>
      <c r="DJ313" s="37"/>
      <c r="DK313" s="37"/>
      <c r="DL313" s="37"/>
      <c r="DM313" s="37"/>
      <c r="DN313" s="37"/>
      <c r="DO313" s="37"/>
      <c r="DP313" s="37"/>
      <c r="DQ313" s="37"/>
      <c r="DR313" s="37"/>
      <c r="DS313" s="37"/>
      <c r="DT313" s="37"/>
      <c r="DU313" s="37"/>
      <c r="DV313" s="37"/>
      <c r="DW313" s="37"/>
      <c r="DX313" s="37"/>
      <c r="DY313" s="37"/>
      <c r="DZ313" s="37"/>
      <c r="EA313" s="39"/>
      <c r="EB313" s="39"/>
      <c r="EC313" s="40"/>
    </row>
    <row r="314" spans="1:133">
      <c r="A314" s="44"/>
      <c r="B314" s="22" t="s">
        <v>678</v>
      </c>
      <c r="C314" s="20" t="s">
        <v>679</v>
      </c>
      <c r="D314" s="21" t="s">
        <v>646</v>
      </c>
      <c r="E314" s="21"/>
      <c r="F314" s="22" t="s">
        <v>137</v>
      </c>
      <c r="G314" s="23" t="str" cm="1">
        <f t="array" ref="G314">IFERROR(LOOKUP(2,1/(K314:GC314&lt;&gt;""),K$2:DQL$2),"")</f>
        <v>22-Aug</v>
      </c>
      <c r="H314" s="24" cm="1">
        <f t="array" ref="H314">IFERROR(_xlfn.XLOOKUP(TRUE,P314:ED314&lt;&gt;"",P314:ED314,,,-1)," ")</f>
        <v>22.8</v>
      </c>
      <c r="I314" s="25">
        <v>19</v>
      </c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7"/>
      <c r="BF314" s="37"/>
      <c r="BG314" s="36">
        <v>22.2</v>
      </c>
      <c r="BH314" s="34"/>
      <c r="BI314" s="34"/>
      <c r="BJ314" s="34">
        <v>22.8</v>
      </c>
      <c r="BK314" s="34"/>
      <c r="BL314" s="34"/>
      <c r="BM314" s="37"/>
      <c r="BN314" s="34"/>
      <c r="BO314" s="34"/>
      <c r="BP314" s="34"/>
      <c r="BQ314" s="36"/>
      <c r="BR314" s="34"/>
      <c r="BS314" s="37"/>
      <c r="BT314" s="37"/>
      <c r="BU314" s="34"/>
      <c r="BV314" s="34"/>
      <c r="BW314" s="34"/>
      <c r="BX314" s="37"/>
      <c r="BY314" s="34"/>
      <c r="BZ314" s="34"/>
      <c r="CA314" s="37"/>
      <c r="CB314" s="37"/>
      <c r="CC314" s="34"/>
      <c r="CD314" s="37"/>
      <c r="CE314" s="37"/>
      <c r="CF314" s="37"/>
      <c r="CG314" s="37"/>
      <c r="CH314" s="37"/>
      <c r="CI314" s="37"/>
      <c r="CJ314" s="37"/>
      <c r="CK314" s="37"/>
      <c r="CL314" s="34"/>
      <c r="CM314" s="37"/>
      <c r="CN314" s="37"/>
      <c r="CO314" s="37"/>
      <c r="CP314" s="34"/>
      <c r="CQ314" s="37"/>
      <c r="CR314" s="34"/>
      <c r="CS314" s="37"/>
      <c r="CT314" s="34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  <c r="DI314" s="37"/>
      <c r="DJ314" s="37"/>
      <c r="DK314" s="37"/>
      <c r="DL314" s="37"/>
      <c r="DM314" s="37"/>
      <c r="DN314" s="37"/>
      <c r="DO314" s="37"/>
      <c r="DP314" s="37"/>
      <c r="DQ314" s="37"/>
      <c r="DR314" s="37"/>
      <c r="DS314" s="37"/>
      <c r="DT314" s="37"/>
      <c r="DU314" s="37"/>
      <c r="DV314" s="37"/>
      <c r="DW314" s="37"/>
      <c r="DX314" s="37"/>
      <c r="DY314" s="37"/>
      <c r="DZ314" s="37"/>
      <c r="EA314" s="39"/>
      <c r="EB314" s="39"/>
      <c r="EC314" s="40"/>
    </row>
    <row r="315" spans="1:133">
      <c r="A315" s="44"/>
      <c r="B315" s="22" t="s">
        <v>678</v>
      </c>
      <c r="C315" s="20" t="s">
        <v>680</v>
      </c>
      <c r="D315" s="21" t="s">
        <v>646</v>
      </c>
      <c r="E315" s="21"/>
      <c r="F315" s="22" t="s">
        <v>137</v>
      </c>
      <c r="G315" s="23" t="str" cm="1">
        <f t="array" ref="G315">IFERROR(LOOKUP(2,1/(K315:GC315&lt;&gt;""),K$2:DQL$2),"")</f>
        <v>30-Jul</v>
      </c>
      <c r="H315" s="24" cm="1">
        <f t="array" ref="H315">IFERROR(_xlfn.XLOOKUP(TRUE,P315:ED315&lt;&gt;"",P315:ED315,,,-1)," ")</f>
        <v>19</v>
      </c>
      <c r="I315" s="25">
        <v>19</v>
      </c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>
        <v>19.2</v>
      </c>
      <c r="Y315" s="25"/>
      <c r="Z315" s="25"/>
      <c r="AA315" s="25"/>
      <c r="AB315" s="25"/>
      <c r="AC315" s="25"/>
      <c r="AD315" s="25"/>
      <c r="AE315" s="34"/>
      <c r="AF315" s="34"/>
      <c r="AG315" s="34"/>
      <c r="AH315" s="34"/>
      <c r="AI315" s="34"/>
      <c r="AJ315" s="34"/>
      <c r="AK315" s="34"/>
      <c r="AL315" s="34"/>
      <c r="AM315" s="36">
        <v>19</v>
      </c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7"/>
      <c r="BF315" s="37"/>
      <c r="BG315" s="34"/>
      <c r="BH315" s="34"/>
      <c r="BI315" s="34"/>
      <c r="BJ315" s="34"/>
      <c r="BK315" s="34"/>
      <c r="BL315" s="34"/>
      <c r="BM315" s="37"/>
      <c r="BN315" s="34"/>
      <c r="BO315" s="34"/>
      <c r="BP315" s="34"/>
      <c r="BQ315" s="34"/>
      <c r="BR315" s="34"/>
      <c r="BS315" s="37"/>
      <c r="BT315" s="37"/>
      <c r="BU315" s="34"/>
      <c r="BV315" s="34"/>
      <c r="BW315" s="34"/>
      <c r="BX315" s="37"/>
      <c r="BY315" s="34"/>
      <c r="BZ315" s="34"/>
      <c r="CA315" s="37"/>
      <c r="CB315" s="37"/>
      <c r="CC315" s="34"/>
      <c r="CD315" s="37"/>
      <c r="CE315" s="37"/>
      <c r="CF315" s="37"/>
      <c r="CG315" s="37"/>
      <c r="CH315" s="37"/>
      <c r="CI315" s="37"/>
      <c r="CJ315" s="37"/>
      <c r="CK315" s="37"/>
      <c r="CL315" s="34"/>
      <c r="CM315" s="37"/>
      <c r="CN315" s="37"/>
      <c r="CO315" s="37"/>
      <c r="CP315" s="34"/>
      <c r="CQ315" s="37"/>
      <c r="CR315" s="34"/>
      <c r="CS315" s="37"/>
      <c r="CT315" s="34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  <c r="DI315" s="37"/>
      <c r="DJ315" s="37"/>
      <c r="DK315" s="37"/>
      <c r="DL315" s="37"/>
      <c r="DM315" s="37"/>
      <c r="DN315" s="37"/>
      <c r="DO315" s="37"/>
      <c r="DP315" s="37"/>
      <c r="DQ315" s="37"/>
      <c r="DR315" s="37"/>
      <c r="DS315" s="37"/>
      <c r="DT315" s="37"/>
      <c r="DU315" s="37"/>
      <c r="DV315" s="37"/>
      <c r="DW315" s="37"/>
      <c r="DX315" s="37"/>
      <c r="DY315" s="37"/>
      <c r="DZ315" s="37"/>
      <c r="EA315" s="39"/>
      <c r="EB315" s="39"/>
      <c r="EC315" s="40"/>
    </row>
    <row r="316" spans="1:133">
      <c r="A316" s="44"/>
      <c r="B316" s="22" t="s">
        <v>678</v>
      </c>
      <c r="C316" s="20" t="s">
        <v>681</v>
      </c>
      <c r="D316" s="21" t="s">
        <v>646</v>
      </c>
      <c r="E316" s="21"/>
      <c r="F316" s="22" t="s">
        <v>137</v>
      </c>
      <c r="G316" s="23" t="str" cm="1">
        <f t="array" ref="G316">IFERROR(LOOKUP(2,1/(K316:GC316&lt;&gt;""),K$2:DQL$2),"")</f>
        <v>12-Aug</v>
      </c>
      <c r="H316" s="24" cm="1">
        <f t="array" ref="H316">IFERROR(_xlfn.XLOOKUP(TRUE,P316:ED316&lt;&gt;"",P316:ED316,,,-1)," ")</f>
        <v>22.2</v>
      </c>
      <c r="I316" s="25">
        <v>19</v>
      </c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>
        <v>19.3</v>
      </c>
      <c r="Y316" s="25"/>
      <c r="Z316" s="217">
        <v>17.399999999999999</v>
      </c>
      <c r="AA316" s="25"/>
      <c r="AB316" s="25"/>
      <c r="AC316" s="25"/>
      <c r="AD316" s="25">
        <v>18.3</v>
      </c>
      <c r="AE316" s="34"/>
      <c r="AF316" s="35"/>
      <c r="AG316" s="34"/>
      <c r="AH316" s="34"/>
      <c r="AI316" s="34"/>
      <c r="AJ316" s="34"/>
      <c r="AK316" s="36">
        <v>18.100000000000001</v>
      </c>
      <c r="AL316" s="34"/>
      <c r="AM316" s="34"/>
      <c r="AN316" s="34"/>
      <c r="AO316" s="34"/>
      <c r="AP316" s="34"/>
      <c r="AQ316" s="36">
        <v>20.3</v>
      </c>
      <c r="AR316" s="34"/>
      <c r="AS316" s="34"/>
      <c r="AT316" s="34"/>
      <c r="AU316" s="34">
        <v>21.1</v>
      </c>
      <c r="AV316" s="36">
        <v>22.8</v>
      </c>
      <c r="AW316" s="34"/>
      <c r="AX316" s="34"/>
      <c r="AY316" s="34"/>
      <c r="AZ316" s="36">
        <v>22.2</v>
      </c>
      <c r="BA316" s="34"/>
      <c r="BB316" s="34"/>
      <c r="BC316" s="34"/>
      <c r="BD316" s="36"/>
      <c r="BE316" s="37"/>
      <c r="BF316" s="38"/>
      <c r="BG316" s="34"/>
      <c r="BH316" s="34"/>
      <c r="BI316" s="36"/>
      <c r="BJ316" s="36"/>
      <c r="BK316" s="34"/>
      <c r="BL316" s="34"/>
      <c r="BM316" s="37"/>
      <c r="BN316" s="34"/>
      <c r="BO316" s="34"/>
      <c r="BP316" s="34"/>
      <c r="BQ316" s="34"/>
      <c r="BR316" s="34"/>
      <c r="BS316" s="37"/>
      <c r="BT316" s="37"/>
      <c r="BU316" s="34"/>
      <c r="BV316" s="34"/>
      <c r="BW316" s="34"/>
      <c r="BX316" s="37"/>
      <c r="BY316" s="34"/>
      <c r="BZ316" s="34"/>
      <c r="CA316" s="37"/>
      <c r="CB316" s="37"/>
      <c r="CC316" s="34"/>
      <c r="CD316" s="37"/>
      <c r="CE316" s="37"/>
      <c r="CF316" s="37"/>
      <c r="CG316" s="37"/>
      <c r="CH316" s="37"/>
      <c r="CI316" s="37"/>
      <c r="CJ316" s="37"/>
      <c r="CK316" s="37"/>
      <c r="CL316" s="34"/>
      <c r="CM316" s="37"/>
      <c r="CN316" s="37"/>
      <c r="CO316" s="37"/>
      <c r="CP316" s="34"/>
      <c r="CQ316" s="37"/>
      <c r="CR316" s="34"/>
      <c r="CS316" s="37"/>
      <c r="CT316" s="34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  <c r="DI316" s="37"/>
      <c r="DJ316" s="37"/>
      <c r="DK316" s="37"/>
      <c r="DL316" s="37"/>
      <c r="DM316" s="37"/>
      <c r="DN316" s="37"/>
      <c r="DO316" s="37"/>
      <c r="DP316" s="37"/>
      <c r="DQ316" s="37"/>
      <c r="DR316" s="37"/>
      <c r="DS316" s="37"/>
      <c r="DT316" s="37"/>
      <c r="DU316" s="37"/>
      <c r="DV316" s="37"/>
      <c r="DW316" s="37"/>
      <c r="DX316" s="37"/>
      <c r="DY316" s="37"/>
      <c r="DZ316" s="37"/>
      <c r="EA316" s="39"/>
      <c r="EB316" s="39"/>
      <c r="EC316" s="40"/>
    </row>
    <row r="317" spans="1:133">
      <c r="A317" s="44"/>
      <c r="B317" s="22" t="s">
        <v>682</v>
      </c>
      <c r="C317" s="20" t="s">
        <v>683</v>
      </c>
      <c r="D317" s="21" t="s">
        <v>646</v>
      </c>
      <c r="E317" s="21"/>
      <c r="F317" s="22" t="s">
        <v>137</v>
      </c>
      <c r="G317" s="23" t="str" cm="1">
        <f t="array" ref="G317">IFERROR(LOOKUP(2,1/(K317:GC317&lt;&gt;""),K$2:DQL$2),"")</f>
        <v>20-Aug</v>
      </c>
      <c r="H317" s="24" cm="1">
        <f t="array" ref="H317">IFERROR(_xlfn.XLOOKUP(TRUE,P317:ED317&lt;&gt;"",P317:ED317,,,-1)," ")</f>
        <v>21.8</v>
      </c>
      <c r="I317" s="25">
        <v>25</v>
      </c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49"/>
      <c r="AF317" s="64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284">
        <v>20.6</v>
      </c>
      <c r="AU317" s="49"/>
      <c r="AV317" s="49"/>
      <c r="AW317" s="49"/>
      <c r="AX317" s="49"/>
      <c r="AY317" s="49"/>
      <c r="AZ317" s="49"/>
      <c r="BA317" s="49">
        <v>21.8</v>
      </c>
      <c r="BB317" s="49"/>
      <c r="BC317" s="49"/>
      <c r="BD317" s="49"/>
      <c r="BE317" s="39"/>
      <c r="BF317" s="39"/>
      <c r="BG317" s="49"/>
      <c r="BH317" s="49">
        <v>21.8</v>
      </c>
      <c r="BI317" s="49"/>
      <c r="BJ317" s="49"/>
      <c r="BK317" s="49"/>
      <c r="BL317" s="49"/>
      <c r="BM317" s="39"/>
      <c r="BN317" s="49"/>
      <c r="BO317" s="49"/>
      <c r="BP317" s="49"/>
      <c r="BQ317" s="49"/>
      <c r="BR317" s="34"/>
      <c r="BS317" s="39"/>
      <c r="BT317" s="39"/>
      <c r="BU317" s="49"/>
      <c r="BV317" s="49"/>
      <c r="BW317" s="49"/>
      <c r="BX317" s="49"/>
      <c r="BY317" s="49"/>
      <c r="BZ317" s="49"/>
      <c r="CA317" s="37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50"/>
      <c r="CM317" s="22"/>
      <c r="CN317" s="39"/>
      <c r="CO317" s="39"/>
      <c r="CP317" s="49"/>
      <c r="CQ317" s="39"/>
      <c r="CR317" s="49"/>
      <c r="CS317" s="39"/>
      <c r="CT317" s="4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/>
      <c r="DE317" s="39"/>
      <c r="DF317" s="39"/>
      <c r="DG317" s="39"/>
      <c r="DH317" s="39"/>
      <c r="DI317" s="39"/>
      <c r="DJ317" s="39"/>
      <c r="DK317" s="39"/>
      <c r="DL317" s="39"/>
      <c r="DM317" s="39"/>
      <c r="DN317" s="39"/>
      <c r="DO317" s="39"/>
      <c r="DP317" s="39"/>
      <c r="DQ317" s="39"/>
      <c r="DR317" s="39"/>
      <c r="DS317" s="39"/>
      <c r="DT317" s="39"/>
      <c r="DU317" s="39"/>
      <c r="DV317" s="39"/>
      <c r="DW317" s="39"/>
      <c r="DX317" s="39"/>
      <c r="DY317" s="39"/>
      <c r="DZ317" s="39"/>
      <c r="EA317" s="39"/>
      <c r="EB317" s="39"/>
      <c r="EC317" s="40"/>
    </row>
    <row r="318" spans="1:133">
      <c r="A318" s="44"/>
      <c r="B318" s="22" t="s">
        <v>684</v>
      </c>
      <c r="C318" s="20" t="s">
        <v>685</v>
      </c>
      <c r="D318" s="21" t="s">
        <v>646</v>
      </c>
      <c r="E318" s="21"/>
      <c r="F318" s="22" t="s">
        <v>137</v>
      </c>
      <c r="G318" s="23" t="str" cm="1">
        <f t="array" ref="G318">IFERROR(LOOKUP(2,1/(K318:GC318&lt;&gt;""),K$2:DQL$2),"")</f>
        <v>20-Aug</v>
      </c>
      <c r="H318" s="24" cm="1">
        <f t="array" ref="H318">IFERROR(_xlfn.XLOOKUP(TRUE,P318:ED318&lt;&gt;"",P318:ED318,,,-1)," ")</f>
        <v>22</v>
      </c>
      <c r="I318" s="25">
        <v>25</v>
      </c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49"/>
      <c r="AF318" s="64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284">
        <v>21.7</v>
      </c>
      <c r="AU318" s="49"/>
      <c r="AV318" s="49"/>
      <c r="AW318" s="49"/>
      <c r="AX318" s="49"/>
      <c r="AY318" s="49"/>
      <c r="AZ318" s="49"/>
      <c r="BA318" s="284">
        <v>22.4</v>
      </c>
      <c r="BB318" s="49"/>
      <c r="BC318" s="49"/>
      <c r="BD318" s="49"/>
      <c r="BE318" s="39"/>
      <c r="BF318" s="39"/>
      <c r="BG318" s="49"/>
      <c r="BH318" s="49">
        <v>22</v>
      </c>
      <c r="BI318" s="49"/>
      <c r="BJ318" s="49"/>
      <c r="BK318" s="49"/>
      <c r="BL318" s="49"/>
      <c r="BM318" s="39"/>
      <c r="BN318" s="49"/>
      <c r="BO318" s="49"/>
      <c r="BP318" s="49"/>
      <c r="BQ318" s="49"/>
      <c r="BR318" s="36"/>
      <c r="BS318" s="39"/>
      <c r="BT318" s="39"/>
      <c r="BU318" s="34"/>
      <c r="BV318" s="49"/>
      <c r="BW318" s="49"/>
      <c r="BX318" s="49"/>
      <c r="BY318" s="49"/>
      <c r="BZ318" s="49"/>
      <c r="CA318" s="39"/>
      <c r="CB318" s="34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22"/>
      <c r="CN318" s="39"/>
      <c r="CO318" s="39"/>
      <c r="CP318" s="49"/>
      <c r="CQ318" s="39"/>
      <c r="CR318" s="49"/>
      <c r="CS318" s="39"/>
      <c r="CT318" s="4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/>
      <c r="DE318" s="39"/>
      <c r="DF318" s="39"/>
      <c r="DG318" s="39"/>
      <c r="DH318" s="39"/>
      <c r="DI318" s="39"/>
      <c r="DJ318" s="39"/>
      <c r="DK318" s="39"/>
      <c r="DL318" s="39"/>
      <c r="DM318" s="39"/>
      <c r="DN318" s="39"/>
      <c r="DO318" s="39"/>
      <c r="DP318" s="39"/>
      <c r="DQ318" s="39"/>
      <c r="DR318" s="39"/>
      <c r="DS318" s="39"/>
      <c r="DT318" s="39"/>
      <c r="DU318" s="39"/>
      <c r="DV318" s="39"/>
      <c r="DW318" s="39"/>
      <c r="DX318" s="39"/>
      <c r="DY318" s="39"/>
      <c r="DZ318" s="39"/>
      <c r="EA318" s="39"/>
      <c r="EB318" s="39"/>
      <c r="EC318" s="40"/>
    </row>
    <row r="319" spans="1:133"/>
    <row r="320" spans="1:133"/>
    <row r="321"/>
    <row r="322"/>
    <row r="323"/>
    <row r="324"/>
    <row r="325"/>
    <row r="326"/>
    <row r="327"/>
    <row r="328"/>
  </sheetData>
  <phoneticPr fontId="20" type="noConversion"/>
  <conditionalFormatting sqref="A2:BD2 BF2:EC2">
    <cfRule type="timePeriod" dxfId="335" priority="3" timePeriod="today">
      <formula>FLOOR(A2,1)=TODAY()</formula>
    </cfRule>
  </conditionalFormatting>
  <conditionalFormatting sqref="BE2">
    <cfRule type="timePeriod" dxfId="334" priority="1" timePeriod="today">
      <formula>FLOOR(BE2,1)=TODAY()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A13C-9DA8-409F-8A00-381DE553AC69}">
  <dimension ref="A1:EC326"/>
  <sheetViews>
    <sheetView zoomScale="58" workbookViewId="0">
      <pane xSplit="5" ySplit="2" topLeftCell="F73" activePane="bottomRight" state="frozen"/>
      <selection pane="bottomRight" activeCell="A108" sqref="A108"/>
      <selection pane="bottomLeft"/>
      <selection pane="topRight"/>
    </sheetView>
  </sheetViews>
  <sheetFormatPr defaultColWidth="9.140625" defaultRowHeight="13.5" customHeight="1"/>
  <cols>
    <col min="1" max="1" width="8.85546875" style="13" customWidth="1"/>
    <col min="2" max="2" width="27.42578125" style="13" hidden="1" customWidth="1"/>
    <col min="3" max="3" width="53.7109375" style="13" customWidth="1"/>
    <col min="4" max="4" width="19.28515625" style="72" bestFit="1" customWidth="1"/>
    <col min="5" max="5" width="19.28515625" style="72" hidden="1" customWidth="1"/>
    <col min="6" max="6" width="25.7109375" style="13" customWidth="1"/>
    <col min="7" max="7" width="13" style="16" customWidth="1"/>
    <col min="8" max="8" width="14.28515625" style="13" bestFit="1" customWidth="1"/>
    <col min="9" max="9" width="10.5703125" style="13" customWidth="1"/>
    <col min="10" max="18" width="10.28515625" style="13" customWidth="1"/>
    <col min="19" max="30" width="12.85546875" style="13" customWidth="1"/>
    <col min="31" max="40" width="9.5703125" style="13" customWidth="1"/>
    <col min="41" max="44" width="9.140625" style="13" customWidth="1"/>
    <col min="45" max="45" width="9.28515625" style="13" customWidth="1"/>
    <col min="46" max="49" width="9.140625" style="13" customWidth="1"/>
    <col min="50" max="71" width="9.5703125" style="13" customWidth="1"/>
    <col min="72" max="80" width="9.140625" style="13"/>
    <col min="81" max="110" width="9.5703125" style="13" customWidth="1"/>
    <col min="111" max="132" width="10.28515625" style="13" customWidth="1"/>
    <col min="133" max="133" width="9.5703125" style="13" customWidth="1"/>
    <col min="134" max="16384" width="9.140625" style="13"/>
  </cols>
  <sheetData>
    <row r="1" spans="1:133" ht="24.75" customHeight="1">
      <c r="A1" s="99"/>
      <c r="B1" s="10"/>
      <c r="C1" s="11" t="s">
        <v>0</v>
      </c>
      <c r="D1" s="12"/>
      <c r="E1" s="12"/>
      <c r="G1" s="14"/>
      <c r="H1" s="73"/>
      <c r="I1" s="73"/>
      <c r="J1" s="73"/>
      <c r="K1" s="202"/>
      <c r="L1" s="202"/>
      <c r="M1" s="202"/>
      <c r="N1" s="202"/>
      <c r="O1" s="202"/>
      <c r="P1" s="202"/>
      <c r="Q1" s="202"/>
      <c r="R1" s="202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</row>
    <row r="2" spans="1:133" s="96" customFormat="1" ht="45.6" customHeight="1">
      <c r="A2" s="90" t="s">
        <v>1</v>
      </c>
      <c r="B2" s="17" t="s">
        <v>2</v>
      </c>
      <c r="C2" s="91" t="s">
        <v>3</v>
      </c>
      <c r="D2" s="91" t="s">
        <v>4</v>
      </c>
      <c r="E2" s="91" t="s">
        <v>5</v>
      </c>
      <c r="F2" s="91" t="s">
        <v>6</v>
      </c>
      <c r="G2" s="92" t="s">
        <v>7</v>
      </c>
      <c r="H2" s="91" t="s">
        <v>8</v>
      </c>
      <c r="I2" s="93" t="s">
        <v>9</v>
      </c>
      <c r="J2" s="93" t="s">
        <v>10</v>
      </c>
      <c r="K2" s="94" t="s">
        <v>11</v>
      </c>
      <c r="L2" s="94" t="s">
        <v>12</v>
      </c>
      <c r="M2" s="94" t="s">
        <v>13</v>
      </c>
      <c r="N2" s="94" t="s">
        <v>14</v>
      </c>
      <c r="O2" s="94" t="s">
        <v>15</v>
      </c>
      <c r="P2" s="94" t="s">
        <v>16</v>
      </c>
      <c r="Q2" s="94" t="s">
        <v>17</v>
      </c>
      <c r="R2" s="94" t="s">
        <v>18</v>
      </c>
      <c r="S2" s="94" t="s">
        <v>19</v>
      </c>
      <c r="T2" s="94" t="s">
        <v>20</v>
      </c>
      <c r="U2" s="94" t="s">
        <v>21</v>
      </c>
      <c r="V2" s="94" t="s">
        <v>22</v>
      </c>
      <c r="W2" s="94" t="s">
        <v>23</v>
      </c>
      <c r="X2" s="94" t="s">
        <v>24</v>
      </c>
      <c r="Y2" s="94" t="s">
        <v>25</v>
      </c>
      <c r="Z2" s="94" t="s">
        <v>26</v>
      </c>
      <c r="AA2" s="94" t="s">
        <v>27</v>
      </c>
      <c r="AB2" s="94" t="s">
        <v>28</v>
      </c>
      <c r="AC2" s="94" t="s">
        <v>29</v>
      </c>
      <c r="AD2" s="94" t="s">
        <v>30</v>
      </c>
      <c r="AE2" s="94" t="s">
        <v>31</v>
      </c>
      <c r="AF2" s="94" t="s">
        <v>32</v>
      </c>
      <c r="AG2" s="95" t="s">
        <v>33</v>
      </c>
      <c r="AH2" s="95" t="s">
        <v>34</v>
      </c>
      <c r="AI2" s="95" t="s">
        <v>35</v>
      </c>
      <c r="AJ2" s="95" t="s">
        <v>36</v>
      </c>
      <c r="AK2" s="95" t="s">
        <v>37</v>
      </c>
      <c r="AL2" s="95" t="s">
        <v>38</v>
      </c>
      <c r="AM2" s="95" t="s">
        <v>39</v>
      </c>
      <c r="AN2" s="95" t="s">
        <v>40</v>
      </c>
      <c r="AO2" s="95" t="s">
        <v>41</v>
      </c>
      <c r="AP2" s="95" t="s">
        <v>42</v>
      </c>
      <c r="AQ2" s="95" t="s">
        <v>43</v>
      </c>
      <c r="AR2" s="95" t="s">
        <v>44</v>
      </c>
      <c r="AS2" s="95" t="s">
        <v>45</v>
      </c>
      <c r="AT2" s="95" t="s">
        <v>46</v>
      </c>
      <c r="AU2" s="95" t="s">
        <v>47</v>
      </c>
      <c r="AV2" s="95" t="s">
        <v>48</v>
      </c>
      <c r="AW2" s="95" t="s">
        <v>49</v>
      </c>
      <c r="AX2" s="95" t="s">
        <v>50</v>
      </c>
      <c r="AY2" s="95" t="s">
        <v>51</v>
      </c>
      <c r="AZ2" s="95" t="s">
        <v>52</v>
      </c>
      <c r="BA2" s="95" t="s">
        <v>53</v>
      </c>
      <c r="BB2" s="95" t="s">
        <v>54</v>
      </c>
      <c r="BC2" s="95" t="s">
        <v>55</v>
      </c>
      <c r="BD2" s="95" t="s">
        <v>56</v>
      </c>
      <c r="BE2" s="95" t="s">
        <v>57</v>
      </c>
      <c r="BF2" s="95" t="s">
        <v>58</v>
      </c>
      <c r="BG2" s="95" t="s">
        <v>59</v>
      </c>
      <c r="BH2" s="95" t="s">
        <v>60</v>
      </c>
      <c r="BI2" s="95" t="s">
        <v>61</v>
      </c>
      <c r="BJ2" s="95" t="s">
        <v>62</v>
      </c>
      <c r="BK2" s="95" t="s">
        <v>63</v>
      </c>
      <c r="BL2" s="95" t="s">
        <v>64</v>
      </c>
      <c r="BM2" s="95" t="s">
        <v>65</v>
      </c>
      <c r="BN2" s="95" t="s">
        <v>66</v>
      </c>
      <c r="BO2" s="95" t="s">
        <v>67</v>
      </c>
      <c r="BP2" s="95" t="s">
        <v>68</v>
      </c>
      <c r="BQ2" s="95" t="s">
        <v>69</v>
      </c>
      <c r="BR2" s="95" t="s">
        <v>70</v>
      </c>
      <c r="BS2" s="95" t="s">
        <v>71</v>
      </c>
      <c r="BT2" s="95" t="s">
        <v>72</v>
      </c>
      <c r="BU2" s="95" t="s">
        <v>73</v>
      </c>
      <c r="BV2" s="95" t="s">
        <v>74</v>
      </c>
      <c r="BW2" s="95" t="s">
        <v>75</v>
      </c>
      <c r="BX2" s="95" t="s">
        <v>76</v>
      </c>
      <c r="BY2" s="95" t="s">
        <v>77</v>
      </c>
      <c r="BZ2" s="95" t="s">
        <v>78</v>
      </c>
      <c r="CA2" s="95" t="s">
        <v>79</v>
      </c>
      <c r="CB2" s="95" t="s">
        <v>80</v>
      </c>
      <c r="CC2" s="95" t="s">
        <v>81</v>
      </c>
      <c r="CD2" s="95" t="s">
        <v>82</v>
      </c>
      <c r="CE2" s="95" t="s">
        <v>83</v>
      </c>
      <c r="CF2" s="95" t="s">
        <v>84</v>
      </c>
      <c r="CG2" s="95" t="s">
        <v>85</v>
      </c>
      <c r="CH2" s="95" t="s">
        <v>86</v>
      </c>
      <c r="CI2" s="95" t="s">
        <v>87</v>
      </c>
      <c r="CJ2" s="95" t="s">
        <v>88</v>
      </c>
      <c r="CK2" s="95" t="s">
        <v>89</v>
      </c>
      <c r="CL2" s="95" t="s">
        <v>90</v>
      </c>
      <c r="CM2" s="95" t="s">
        <v>91</v>
      </c>
      <c r="CN2" s="95" t="s">
        <v>92</v>
      </c>
      <c r="CO2" s="95" t="s">
        <v>93</v>
      </c>
      <c r="CP2" s="95" t="s">
        <v>94</v>
      </c>
      <c r="CQ2" s="95" t="s">
        <v>95</v>
      </c>
      <c r="CR2" s="95" t="s">
        <v>96</v>
      </c>
      <c r="CS2" s="95" t="s">
        <v>97</v>
      </c>
      <c r="CT2" s="95" t="s">
        <v>98</v>
      </c>
      <c r="CU2" s="95" t="s">
        <v>99</v>
      </c>
      <c r="CV2" s="95" t="s">
        <v>100</v>
      </c>
      <c r="CW2" s="95" t="s">
        <v>101</v>
      </c>
      <c r="CX2" s="95" t="s">
        <v>102</v>
      </c>
      <c r="CY2" s="95" t="s">
        <v>103</v>
      </c>
      <c r="CZ2" s="95" t="s">
        <v>104</v>
      </c>
      <c r="DA2" s="95" t="s">
        <v>105</v>
      </c>
      <c r="DB2" s="95" t="s">
        <v>106</v>
      </c>
      <c r="DC2" s="95" t="s">
        <v>107</v>
      </c>
      <c r="DD2" s="95" t="s">
        <v>108</v>
      </c>
      <c r="DE2" s="95" t="s">
        <v>109</v>
      </c>
      <c r="DF2" s="95" t="s">
        <v>110</v>
      </c>
      <c r="DG2" s="95" t="s">
        <v>111</v>
      </c>
      <c r="DH2" s="95" t="s">
        <v>112</v>
      </c>
      <c r="DI2" s="95" t="s">
        <v>113</v>
      </c>
      <c r="DJ2" s="95" t="s">
        <v>114</v>
      </c>
      <c r="DK2" s="95" t="s">
        <v>115</v>
      </c>
      <c r="DL2" s="95" t="s">
        <v>116</v>
      </c>
      <c r="DM2" s="95" t="s">
        <v>117</v>
      </c>
      <c r="DN2" s="95" t="s">
        <v>118</v>
      </c>
      <c r="DO2" s="95" t="s">
        <v>119</v>
      </c>
      <c r="DP2" s="95" t="s">
        <v>120</v>
      </c>
      <c r="DQ2" s="95" t="s">
        <v>121</v>
      </c>
      <c r="DR2" s="95" t="s">
        <v>122</v>
      </c>
      <c r="DS2" s="95" t="s">
        <v>123</v>
      </c>
      <c r="DT2" s="95" t="s">
        <v>124</v>
      </c>
      <c r="DU2" s="95" t="s">
        <v>125</v>
      </c>
      <c r="DV2" s="95" t="s">
        <v>126</v>
      </c>
      <c r="DW2" s="95" t="s">
        <v>127</v>
      </c>
      <c r="DX2" s="95" t="s">
        <v>128</v>
      </c>
      <c r="DY2" s="95" t="s">
        <v>129</v>
      </c>
      <c r="DZ2" s="95" t="s">
        <v>130</v>
      </c>
      <c r="EA2" s="95" t="s">
        <v>131</v>
      </c>
      <c r="EB2" s="95" t="s">
        <v>132</v>
      </c>
      <c r="EC2" s="95" t="s">
        <v>133</v>
      </c>
    </row>
    <row r="3" spans="1:133">
      <c r="A3" s="18"/>
      <c r="B3" s="19" t="s">
        <v>134</v>
      </c>
      <c r="C3" s="20" t="s">
        <v>135</v>
      </c>
      <c r="D3" s="21" t="s">
        <v>136</v>
      </c>
      <c r="E3" s="21"/>
      <c r="F3" s="22" t="s">
        <v>137</v>
      </c>
      <c r="G3" s="23" t="str" cm="1">
        <f t="array" ref="G3">IFERROR(LOOKUP(2,1/(K3:GC3&lt;&gt;""),K$2:DQL$2),"")</f>
        <v>14-Aug</v>
      </c>
      <c r="H3" s="24" cm="1">
        <f t="array" ref="H3">IFERROR(_xlfn.XLOOKUP(TRUE,P3:ED3&lt;&gt;"",P3:ED3,,,-1)," ")</f>
        <v>19.600000000000001</v>
      </c>
      <c r="I3" s="25">
        <v>24</v>
      </c>
      <c r="J3" s="25">
        <v>25.5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8"/>
      <c r="AF3" s="29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>
        <v>16.399999999999999</v>
      </c>
      <c r="AV3" s="28"/>
      <c r="AW3" s="28"/>
      <c r="AX3" s="28"/>
      <c r="AY3" s="28"/>
      <c r="AZ3" s="28"/>
      <c r="BA3" s="28"/>
      <c r="BB3" s="28">
        <v>19.600000000000001</v>
      </c>
      <c r="BC3" s="28"/>
      <c r="BD3" s="28"/>
      <c r="BE3" s="30"/>
      <c r="BF3" s="30"/>
      <c r="BG3" s="28"/>
      <c r="BH3" s="30"/>
      <c r="BI3" s="30"/>
      <c r="BJ3" s="30"/>
      <c r="BK3" s="28"/>
      <c r="BL3" s="30"/>
      <c r="BM3" s="30"/>
      <c r="BN3" s="30"/>
      <c r="BO3" s="30"/>
      <c r="BP3" s="30"/>
      <c r="BQ3" s="28"/>
      <c r="BR3" s="28"/>
      <c r="BS3" s="30"/>
      <c r="BT3" s="30"/>
      <c r="BU3" s="28"/>
      <c r="BV3" s="28"/>
      <c r="BW3" s="28"/>
      <c r="BX3" s="30"/>
      <c r="BY3" s="28"/>
      <c r="BZ3" s="28"/>
      <c r="CA3" s="30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31"/>
      <c r="CN3" s="30"/>
      <c r="CO3" s="30"/>
      <c r="CP3" s="28"/>
      <c r="CQ3" s="28"/>
      <c r="CR3" s="30"/>
      <c r="CS3" s="28"/>
      <c r="CT3" s="28"/>
      <c r="CU3" s="30"/>
      <c r="CV3" s="30"/>
      <c r="CW3" s="28"/>
      <c r="CX3" s="28"/>
      <c r="CY3" s="28"/>
      <c r="CZ3" s="28"/>
      <c r="DA3" s="30"/>
      <c r="DB3" s="30"/>
      <c r="DC3" s="30"/>
      <c r="DD3" s="98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2"/>
      <c r="EB3" s="32"/>
      <c r="EC3" s="33"/>
    </row>
    <row r="4" spans="1:133" hidden="1">
      <c r="A4" s="22" t="s">
        <v>138</v>
      </c>
      <c r="B4" s="22" t="s">
        <v>139</v>
      </c>
      <c r="C4" s="20" t="s">
        <v>140</v>
      </c>
      <c r="D4" s="21" t="s">
        <v>141</v>
      </c>
      <c r="E4" s="21"/>
      <c r="F4" s="22" t="s">
        <v>142</v>
      </c>
      <c r="G4" s="23" t="str" cm="1">
        <f t="array" ref="G4">IFERROR(LOOKUP(2,1/(K4:GC4&lt;&gt;""),K$2:DQL$2),"")</f>
        <v>10-Aug</v>
      </c>
      <c r="H4" s="24" cm="1">
        <f t="array" ref="H4">IFERROR(_xlfn.XLOOKUP(TRUE,P4:ED4&lt;&gt;"",P4:ED4,,,-1)," ")</f>
        <v>21.5</v>
      </c>
      <c r="I4" s="25">
        <v>21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34"/>
      <c r="AF4" s="35"/>
      <c r="AG4" s="34"/>
      <c r="AH4" s="34"/>
      <c r="AI4" s="34"/>
      <c r="AJ4" s="34"/>
      <c r="AK4" s="34"/>
      <c r="AL4" s="34"/>
      <c r="AM4" s="34"/>
      <c r="AN4" s="34"/>
      <c r="AO4" s="34"/>
      <c r="AP4" s="36"/>
      <c r="AQ4" s="34"/>
      <c r="AR4" s="34"/>
      <c r="AS4" s="34"/>
      <c r="AT4" s="36"/>
      <c r="AU4" s="34"/>
      <c r="AV4" s="34"/>
      <c r="AW4" s="34"/>
      <c r="AX4" s="36">
        <v>21.5</v>
      </c>
      <c r="AY4" s="34"/>
      <c r="AZ4" s="34"/>
      <c r="BA4" s="34"/>
      <c r="BB4" s="34"/>
      <c r="BC4" s="34"/>
      <c r="BD4" s="34"/>
      <c r="BE4" s="37"/>
      <c r="BF4" s="37"/>
      <c r="BG4" s="34"/>
      <c r="BH4" s="37"/>
      <c r="BI4" s="37"/>
      <c r="BJ4" s="37"/>
      <c r="BK4" s="38"/>
      <c r="BL4" s="37"/>
      <c r="BM4" s="37"/>
      <c r="BN4" s="37"/>
      <c r="BO4" s="38"/>
      <c r="BP4" s="37"/>
      <c r="BQ4" s="37"/>
      <c r="BR4" s="34"/>
      <c r="BS4" s="37"/>
      <c r="BT4" s="37"/>
      <c r="BU4" s="34"/>
      <c r="BV4" s="37"/>
      <c r="BW4" s="34"/>
      <c r="BX4" s="37"/>
      <c r="BY4" s="34"/>
      <c r="BZ4" s="34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4"/>
      <c r="CM4" s="37"/>
      <c r="CN4" s="37"/>
      <c r="CO4" s="37"/>
      <c r="CP4" s="34"/>
      <c r="CQ4" s="37"/>
      <c r="CR4" s="37"/>
      <c r="CS4" s="37"/>
      <c r="CT4" s="34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9"/>
      <c r="EB4" s="39"/>
      <c r="EC4" s="40"/>
    </row>
    <row r="5" spans="1:133" hidden="1">
      <c r="A5" s="22" t="s">
        <v>138</v>
      </c>
      <c r="B5" s="22" t="s">
        <v>143</v>
      </c>
      <c r="C5" s="20" t="s">
        <v>144</v>
      </c>
      <c r="D5" s="21" t="s">
        <v>145</v>
      </c>
      <c r="E5" s="21"/>
      <c r="F5" s="22" t="s">
        <v>137</v>
      </c>
      <c r="G5" s="23" t="str" cm="1">
        <f t="array" ref="G5">IFERROR(LOOKUP(2,1/(K5:GC5&lt;&gt;""),K$2:DQL$2),"")</f>
        <v>3-Aug</v>
      </c>
      <c r="H5" s="24" cm="1">
        <f t="array" ref="H5">IFERROR(_xlfn.XLOOKUP(TRUE,P5:ED5&lt;&gt;"",P5:ED5,,,-1)," ")</f>
        <v>23.1</v>
      </c>
      <c r="I5" s="25">
        <v>24</v>
      </c>
      <c r="J5" s="25">
        <v>24.5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34"/>
      <c r="AF5" s="35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>
        <v>23.1</v>
      </c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7"/>
      <c r="BF5" s="37"/>
      <c r="BG5" s="34"/>
      <c r="BH5" s="34"/>
      <c r="BI5" s="37"/>
      <c r="BJ5" s="37"/>
      <c r="BK5" s="37"/>
      <c r="BL5" s="37"/>
      <c r="BM5" s="37"/>
      <c r="BN5" s="37"/>
      <c r="BO5" s="37"/>
      <c r="BP5" s="37"/>
      <c r="BQ5" s="34"/>
      <c r="BR5" s="34"/>
      <c r="BS5" s="41"/>
      <c r="BT5" s="38"/>
      <c r="BU5" s="36"/>
      <c r="BV5" s="36"/>
      <c r="BW5" s="34"/>
      <c r="BX5" s="37"/>
      <c r="BY5" s="34"/>
      <c r="BZ5" s="36"/>
      <c r="CA5" s="37"/>
      <c r="CB5" s="34"/>
      <c r="CC5" s="37"/>
      <c r="CD5" s="37"/>
      <c r="CE5" s="37"/>
      <c r="CF5" s="37"/>
      <c r="CG5" s="37"/>
      <c r="CH5" s="37"/>
      <c r="CI5" s="37"/>
      <c r="CJ5" s="37"/>
      <c r="CK5" s="36"/>
      <c r="CL5" s="42"/>
      <c r="CM5" s="43"/>
      <c r="CN5" s="37"/>
      <c r="CO5" s="37"/>
      <c r="CP5" s="34"/>
      <c r="CQ5" s="37"/>
      <c r="CR5" s="37"/>
      <c r="CS5" s="37"/>
      <c r="CT5" s="34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9"/>
      <c r="EB5" s="39"/>
      <c r="EC5" s="40"/>
    </row>
    <row r="6" spans="1:133" hidden="1">
      <c r="A6" s="22" t="s">
        <v>138</v>
      </c>
      <c r="B6" s="22" t="s">
        <v>146</v>
      </c>
      <c r="C6" s="20" t="s">
        <v>147</v>
      </c>
      <c r="D6" s="21" t="s">
        <v>148</v>
      </c>
      <c r="E6" s="21"/>
      <c r="F6" s="22" t="s">
        <v>137</v>
      </c>
      <c r="G6" s="23" t="str" cm="1">
        <f t="array" ref="G6">IFERROR(LOOKUP(2,1/(K6:GC6&lt;&gt;""),K$2:DQL$2),"")</f>
        <v>6-Aug</v>
      </c>
      <c r="H6" s="24" cm="1">
        <f t="array" ref="H6">IFERROR(_xlfn.XLOOKUP(TRUE,P6:ED6&lt;&gt;"",P6:ED6,,,-1)," ")</f>
        <v>25</v>
      </c>
      <c r="I6" s="25">
        <v>24</v>
      </c>
      <c r="J6" s="25">
        <v>25.5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>
        <v>16.2</v>
      </c>
      <c r="Y6" s="25"/>
      <c r="Z6" s="25"/>
      <c r="AA6" s="25"/>
      <c r="AB6" s="25"/>
      <c r="AC6" s="25"/>
      <c r="AD6" s="25"/>
      <c r="AE6" s="34"/>
      <c r="AF6" s="35"/>
      <c r="AG6" s="34">
        <v>19</v>
      </c>
      <c r="AH6" s="34"/>
      <c r="AI6" s="34"/>
      <c r="AJ6" s="34"/>
      <c r="AK6" s="34"/>
      <c r="AL6" s="34"/>
      <c r="AM6" s="34"/>
      <c r="AN6" s="34">
        <v>22.7</v>
      </c>
      <c r="AO6" s="34"/>
      <c r="AP6" s="34"/>
      <c r="AQ6" s="34"/>
      <c r="AR6" s="34"/>
      <c r="AS6" s="34">
        <v>24.1</v>
      </c>
      <c r="AT6" s="36">
        <v>25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7"/>
      <c r="BF6" s="37"/>
      <c r="BG6" s="34"/>
      <c r="BH6" s="37"/>
      <c r="BI6" s="37"/>
      <c r="BJ6" s="34"/>
      <c r="BK6" s="36"/>
      <c r="BL6" s="37"/>
      <c r="BM6" s="37"/>
      <c r="BN6" s="37"/>
      <c r="BO6" s="36"/>
      <c r="BP6" s="37"/>
      <c r="BQ6" s="36"/>
      <c r="BR6" s="34"/>
      <c r="BS6" s="37"/>
      <c r="BT6" s="38"/>
      <c r="BU6" s="34"/>
      <c r="BV6" s="37"/>
      <c r="BW6" s="34"/>
      <c r="BX6" s="37"/>
      <c r="BY6" s="34"/>
      <c r="BZ6" s="34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4"/>
      <c r="CM6" s="43"/>
      <c r="CN6" s="37"/>
      <c r="CO6" s="37"/>
      <c r="CP6" s="34"/>
      <c r="CQ6" s="37"/>
      <c r="CR6" s="37"/>
      <c r="CS6" s="37"/>
      <c r="CT6" s="34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9"/>
      <c r="EB6" s="39"/>
      <c r="EC6" s="40"/>
    </row>
    <row r="7" spans="1:133" hidden="1">
      <c r="A7" s="22" t="s">
        <v>138</v>
      </c>
      <c r="B7" s="22" t="s">
        <v>146</v>
      </c>
      <c r="C7" s="20" t="s">
        <v>149</v>
      </c>
      <c r="D7" s="21" t="s">
        <v>148</v>
      </c>
      <c r="E7" s="21"/>
      <c r="F7" s="22" t="s">
        <v>137</v>
      </c>
      <c r="G7" s="23" t="str" cm="1">
        <f t="array" ref="G7">IFERROR(LOOKUP(2,1/(K7:GC7&lt;&gt;""),K$2:DQL$2),"")</f>
        <v/>
      </c>
      <c r="H7" s="24" t="str" cm="1">
        <f t="array" ref="H7">IFERROR(_xlfn.XLOOKUP(TRUE,P7:ED7&lt;&gt;"",P7:ED7,,,-1)," ")</f>
        <v xml:space="preserve"> </v>
      </c>
      <c r="I7" s="25">
        <v>24</v>
      </c>
      <c r="J7" s="25">
        <v>25.5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34"/>
      <c r="AF7" s="35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  <c r="BF7" s="37"/>
      <c r="BG7" s="34"/>
      <c r="BH7" s="37"/>
      <c r="BI7" s="37"/>
      <c r="BJ7" s="34"/>
      <c r="BK7" s="36"/>
      <c r="BL7" s="37"/>
      <c r="BM7" s="37"/>
      <c r="BN7" s="37"/>
      <c r="BO7" s="34"/>
      <c r="BP7" s="37"/>
      <c r="BQ7" s="34"/>
      <c r="BR7" s="34"/>
      <c r="BS7" s="37"/>
      <c r="BT7" s="37"/>
      <c r="BU7" s="34"/>
      <c r="BV7" s="37"/>
      <c r="BW7" s="34"/>
      <c r="BX7" s="37"/>
      <c r="BY7" s="34"/>
      <c r="BZ7" s="34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4"/>
      <c r="CM7" s="43"/>
      <c r="CN7" s="37"/>
      <c r="CO7" s="37"/>
      <c r="CP7" s="34"/>
      <c r="CQ7" s="37"/>
      <c r="CR7" s="37"/>
      <c r="CS7" s="37"/>
      <c r="CT7" s="34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9"/>
      <c r="EB7" s="39"/>
      <c r="EC7" s="40"/>
    </row>
    <row r="8" spans="1:133" hidden="1">
      <c r="A8" s="22" t="s">
        <v>138</v>
      </c>
      <c r="B8" s="22" t="s">
        <v>146</v>
      </c>
      <c r="C8" s="20" t="s">
        <v>150</v>
      </c>
      <c r="D8" s="21" t="s">
        <v>148</v>
      </c>
      <c r="E8" s="21"/>
      <c r="F8" s="22" t="s">
        <v>137</v>
      </c>
      <c r="G8" s="23" t="str" cm="1">
        <f t="array" ref="G8">IFERROR(LOOKUP(2,1/(K8:GC8&lt;&gt;""),K$2:DQL$2),"")</f>
        <v/>
      </c>
      <c r="H8" s="24" t="str" cm="1">
        <f t="array" ref="H8">IFERROR(_xlfn.XLOOKUP(TRUE,P8:ED8&lt;&gt;"",P8:ED8,,,-1)," ")</f>
        <v xml:space="preserve"> </v>
      </c>
      <c r="I8" s="25">
        <v>24</v>
      </c>
      <c r="J8" s="25">
        <v>25.5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34"/>
      <c r="AF8" s="35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7"/>
      <c r="BF8" s="37"/>
      <c r="BG8" s="34"/>
      <c r="BH8" s="37"/>
      <c r="BI8" s="37"/>
      <c r="BJ8" s="34"/>
      <c r="BK8" s="36"/>
      <c r="BL8" s="37"/>
      <c r="BM8" s="37"/>
      <c r="BN8" s="37"/>
      <c r="BO8" s="34"/>
      <c r="BP8" s="37"/>
      <c r="BQ8" s="34"/>
      <c r="BR8" s="34"/>
      <c r="BS8" s="37"/>
      <c r="BT8" s="37"/>
      <c r="BU8" s="34"/>
      <c r="BV8" s="37"/>
      <c r="BW8" s="34"/>
      <c r="BX8" s="37"/>
      <c r="BY8" s="34"/>
      <c r="BZ8" s="34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4"/>
      <c r="CM8" s="43"/>
      <c r="CN8" s="37"/>
      <c r="CO8" s="37"/>
      <c r="CP8" s="34"/>
      <c r="CQ8" s="37"/>
      <c r="CR8" s="37"/>
      <c r="CS8" s="37"/>
      <c r="CT8" s="34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9"/>
      <c r="EB8" s="39"/>
      <c r="EC8" s="40"/>
    </row>
    <row r="9" spans="1:133" hidden="1">
      <c r="A9" s="22" t="s">
        <v>138</v>
      </c>
      <c r="B9" s="22" t="s">
        <v>151</v>
      </c>
      <c r="C9" s="20" t="s">
        <v>152</v>
      </c>
      <c r="D9" s="21" t="s">
        <v>148</v>
      </c>
      <c r="E9" s="21"/>
      <c r="F9" s="22" t="s">
        <v>137</v>
      </c>
      <c r="G9" s="23" t="str" cm="1">
        <f t="array" ref="G9">IFERROR(LOOKUP(2,1/(K9:GC9&lt;&gt;""),K$2:DQL$2),"")</f>
        <v>8-Aug</v>
      </c>
      <c r="H9" s="24" cm="1">
        <f t="array" ref="H9">IFERROR(_xlfn.XLOOKUP(TRUE,P9:ED9&lt;&gt;"",P9:ED9,,,-1)," ")</f>
        <v>24.1</v>
      </c>
      <c r="I9" s="25">
        <v>24</v>
      </c>
      <c r="J9" s="25">
        <v>25.5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34"/>
      <c r="AF9" s="35"/>
      <c r="AG9" s="34">
        <v>19</v>
      </c>
      <c r="AH9" s="34"/>
      <c r="AI9" s="34"/>
      <c r="AJ9" s="34"/>
      <c r="AK9" s="34"/>
      <c r="AL9" s="34"/>
      <c r="AM9" s="34"/>
      <c r="AN9" s="34">
        <v>22.1</v>
      </c>
      <c r="AO9" s="34"/>
      <c r="AP9" s="34"/>
      <c r="AQ9" s="34"/>
      <c r="AR9" s="34"/>
      <c r="AS9" s="34">
        <v>23.5</v>
      </c>
      <c r="AT9" s="34"/>
      <c r="AU9" s="34"/>
      <c r="AV9" s="36">
        <v>24.1</v>
      </c>
      <c r="AW9" s="34"/>
      <c r="AX9" s="34"/>
      <c r="AY9" s="34"/>
      <c r="AZ9" s="34"/>
      <c r="BA9" s="34"/>
      <c r="BB9" s="34"/>
      <c r="BC9" s="34"/>
      <c r="BD9" s="34"/>
      <c r="BE9" s="37"/>
      <c r="BF9" s="37"/>
      <c r="BG9" s="34"/>
      <c r="BH9" s="37"/>
      <c r="BI9" s="37"/>
      <c r="BJ9" s="34"/>
      <c r="BK9" s="34"/>
      <c r="BL9" s="37"/>
      <c r="BM9" s="37"/>
      <c r="BN9" s="37"/>
      <c r="BO9" s="37"/>
      <c r="BP9" s="37"/>
      <c r="BQ9" s="34"/>
      <c r="BR9" s="34"/>
      <c r="BS9" s="37"/>
      <c r="BT9" s="38"/>
      <c r="BU9" s="34"/>
      <c r="BV9" s="34"/>
      <c r="BW9" s="34"/>
      <c r="BX9" s="37"/>
      <c r="BY9" s="36"/>
      <c r="BZ9" s="34"/>
      <c r="CA9" s="37"/>
      <c r="CB9" s="34"/>
      <c r="CC9" s="34"/>
      <c r="CD9" s="34"/>
      <c r="CE9" s="36"/>
      <c r="CF9" s="34"/>
      <c r="CG9" s="34"/>
      <c r="CH9" s="34"/>
      <c r="CI9" s="34"/>
      <c r="CJ9" s="36"/>
      <c r="CK9" s="34"/>
      <c r="CL9" s="34"/>
      <c r="CM9" s="43"/>
      <c r="CN9" s="37"/>
      <c r="CO9" s="37"/>
      <c r="CP9" s="34"/>
      <c r="CQ9" s="34"/>
      <c r="CR9" s="37"/>
      <c r="CS9" s="34"/>
      <c r="CT9" s="34"/>
      <c r="CU9" s="37"/>
      <c r="CV9" s="37"/>
      <c r="CW9" s="34"/>
      <c r="CX9" s="34"/>
      <c r="CY9" s="34"/>
      <c r="CZ9" s="34"/>
      <c r="DA9" s="34"/>
      <c r="DB9" s="37"/>
      <c r="DC9" s="37"/>
      <c r="DD9" s="34"/>
      <c r="DE9" s="34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9"/>
      <c r="EB9" s="39"/>
      <c r="EC9" s="40"/>
    </row>
    <row r="10" spans="1:133" hidden="1">
      <c r="A10" s="22" t="s">
        <v>138</v>
      </c>
      <c r="B10" s="22" t="s">
        <v>151</v>
      </c>
      <c r="C10" s="20" t="s">
        <v>153</v>
      </c>
      <c r="D10" s="21" t="s">
        <v>148</v>
      </c>
      <c r="E10" s="21"/>
      <c r="F10" s="22" t="s">
        <v>137</v>
      </c>
      <c r="G10" s="23" t="str" cm="1">
        <f t="array" ref="G10">IFERROR(LOOKUP(2,1/(K10:GC10&lt;&gt;""),K$2:DQL$2),"")</f>
        <v/>
      </c>
      <c r="H10" s="24" t="str" cm="1">
        <f t="array" ref="H10">IFERROR(_xlfn.XLOOKUP(TRUE,P10:ED10&lt;&gt;"",P10:ED10,,,-1)," ")</f>
        <v xml:space="preserve"> </v>
      </c>
      <c r="I10" s="25">
        <v>24</v>
      </c>
      <c r="J10" s="25">
        <v>25.5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34"/>
      <c r="AF10" s="35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7"/>
      <c r="BF10" s="37"/>
      <c r="BG10" s="34"/>
      <c r="BH10" s="37"/>
      <c r="BI10" s="37"/>
      <c r="BJ10" s="34"/>
      <c r="BK10" s="34"/>
      <c r="BL10" s="37"/>
      <c r="BM10" s="37"/>
      <c r="BN10" s="37"/>
      <c r="BO10" s="37"/>
      <c r="BP10" s="37"/>
      <c r="BQ10" s="34"/>
      <c r="BR10" s="34"/>
      <c r="BS10" s="37"/>
      <c r="BT10" s="37"/>
      <c r="BU10" s="34"/>
      <c r="BV10" s="34"/>
      <c r="BW10" s="34"/>
      <c r="BX10" s="37"/>
      <c r="BY10" s="34"/>
      <c r="BZ10" s="34"/>
      <c r="CA10" s="37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43"/>
      <c r="CN10" s="37"/>
      <c r="CO10" s="37"/>
      <c r="CP10" s="34"/>
      <c r="CQ10" s="34"/>
      <c r="CR10" s="37"/>
      <c r="CS10" s="34"/>
      <c r="CT10" s="34"/>
      <c r="CU10" s="37"/>
      <c r="CV10" s="37"/>
      <c r="CW10" s="34"/>
      <c r="CX10" s="34"/>
      <c r="CY10" s="34"/>
      <c r="CZ10" s="34"/>
      <c r="DA10" s="34"/>
      <c r="DB10" s="37"/>
      <c r="DC10" s="37"/>
      <c r="DD10" s="34"/>
      <c r="DE10" s="34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9"/>
      <c r="EB10" s="39"/>
      <c r="EC10" s="40"/>
    </row>
    <row r="11" spans="1:133" hidden="1">
      <c r="A11" s="22" t="s">
        <v>138</v>
      </c>
      <c r="B11" s="22" t="s">
        <v>151</v>
      </c>
      <c r="C11" s="20" t="s">
        <v>154</v>
      </c>
      <c r="D11" s="21" t="s">
        <v>148</v>
      </c>
      <c r="E11" s="21"/>
      <c r="F11" s="22" t="s">
        <v>137</v>
      </c>
      <c r="G11" s="23" t="str" cm="1">
        <f t="array" ref="G11">IFERROR(LOOKUP(2,1/(K11:GC11&lt;&gt;""),K$2:DQL$2),"")</f>
        <v/>
      </c>
      <c r="H11" s="24" t="str" cm="1">
        <f t="array" ref="H11">IFERROR(_xlfn.XLOOKUP(TRUE,P11:ED11&lt;&gt;"",P11:ED11,,,-1)," ")</f>
        <v xml:space="preserve"> </v>
      </c>
      <c r="I11" s="25">
        <v>24</v>
      </c>
      <c r="J11" s="25">
        <v>25.5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34"/>
      <c r="AF11" s="35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7"/>
      <c r="BF11" s="37"/>
      <c r="BG11" s="34"/>
      <c r="BH11" s="37"/>
      <c r="BI11" s="37"/>
      <c r="BJ11" s="34"/>
      <c r="BK11" s="34"/>
      <c r="BL11" s="37"/>
      <c r="BM11" s="37"/>
      <c r="BN11" s="37"/>
      <c r="BO11" s="37"/>
      <c r="BP11" s="37"/>
      <c r="BQ11" s="34"/>
      <c r="BR11" s="34"/>
      <c r="BS11" s="37"/>
      <c r="BT11" s="37"/>
      <c r="BU11" s="34"/>
      <c r="BV11" s="34"/>
      <c r="BW11" s="34"/>
      <c r="BX11" s="37"/>
      <c r="BY11" s="34"/>
      <c r="BZ11" s="34"/>
      <c r="CA11" s="37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43"/>
      <c r="CN11" s="37"/>
      <c r="CO11" s="37"/>
      <c r="CP11" s="34"/>
      <c r="CQ11" s="34"/>
      <c r="CR11" s="37"/>
      <c r="CS11" s="34"/>
      <c r="CT11" s="34"/>
      <c r="CU11" s="37"/>
      <c r="CV11" s="37"/>
      <c r="CW11" s="34"/>
      <c r="CX11" s="34"/>
      <c r="CY11" s="34"/>
      <c r="CZ11" s="34"/>
      <c r="DA11" s="34"/>
      <c r="DB11" s="37"/>
      <c r="DC11" s="37"/>
      <c r="DD11" s="34"/>
      <c r="DE11" s="34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9"/>
      <c r="EB11" s="39"/>
      <c r="EC11" s="40"/>
    </row>
    <row r="12" spans="1:133">
      <c r="A12" s="22"/>
      <c r="B12" s="22" t="s">
        <v>155</v>
      </c>
      <c r="C12" s="20" t="s">
        <v>156</v>
      </c>
      <c r="D12" s="21" t="s">
        <v>157</v>
      </c>
      <c r="E12" s="21"/>
      <c r="F12" s="22" t="s">
        <v>137</v>
      </c>
      <c r="G12" s="23" t="str" cm="1">
        <f t="array" ref="G12">IFERROR(LOOKUP(2,1/(K12:GC12&lt;&gt;""),K$2:DQL$2),"")</f>
        <v/>
      </c>
      <c r="H12" s="24" t="str" cm="1">
        <f t="array" ref="H12">IFERROR(_xlfn.XLOOKUP(TRUE,P12:ED12&lt;&gt;"",P12:ED12,,,-1)," ")</f>
        <v xml:space="preserve"> </v>
      </c>
      <c r="I12" s="25">
        <v>25</v>
      </c>
      <c r="J12" s="25">
        <v>26.5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34"/>
      <c r="AF12" s="35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7"/>
      <c r="BF12" s="37"/>
      <c r="BG12" s="34"/>
      <c r="BH12" s="37"/>
      <c r="BI12" s="37"/>
      <c r="BJ12" s="37"/>
      <c r="BK12" s="37"/>
      <c r="BL12" s="38"/>
      <c r="BM12" s="37"/>
      <c r="BN12" s="37"/>
      <c r="BO12" s="37"/>
      <c r="BP12" s="37"/>
      <c r="BQ12" s="34"/>
      <c r="BR12" s="34"/>
      <c r="BS12" s="37"/>
      <c r="BT12" s="37"/>
      <c r="BU12" s="34"/>
      <c r="BV12" s="36"/>
      <c r="BW12" s="36"/>
      <c r="BX12" s="34"/>
      <c r="BY12" s="34"/>
      <c r="BZ12" s="34"/>
      <c r="CA12" s="38"/>
      <c r="CB12" s="34"/>
      <c r="CC12" s="34"/>
      <c r="CD12" s="34"/>
      <c r="CE12" s="34"/>
      <c r="CF12" s="34"/>
      <c r="CG12" s="34"/>
      <c r="CH12" s="36"/>
      <c r="CI12" s="34"/>
      <c r="CJ12" s="34"/>
      <c r="CK12" s="34"/>
      <c r="CL12" s="34"/>
      <c r="CM12" s="34"/>
      <c r="CN12" s="37"/>
      <c r="CO12" s="37"/>
      <c r="CP12" s="34"/>
      <c r="CQ12" s="37"/>
      <c r="CR12" s="37"/>
      <c r="CS12" s="37"/>
      <c r="CT12" s="34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9"/>
      <c r="EB12" s="39"/>
      <c r="EC12" s="40"/>
    </row>
    <row r="13" spans="1:133">
      <c r="A13" s="22"/>
      <c r="B13" s="22" t="s">
        <v>158</v>
      </c>
      <c r="C13" s="20" t="s">
        <v>159</v>
      </c>
      <c r="D13" s="21" t="s">
        <v>157</v>
      </c>
      <c r="E13" s="21"/>
      <c r="F13" s="22" t="s">
        <v>137</v>
      </c>
      <c r="G13" s="23" t="str" cm="1">
        <f t="array" ref="G13">IFERROR(LOOKUP(2,1/(K13:GC13&lt;&gt;""),K$2:DQL$2),"")</f>
        <v>12-Aug</v>
      </c>
      <c r="H13" s="24" cm="1">
        <f t="array" ref="H13">IFERROR(_xlfn.XLOOKUP(TRUE,P13:ED13&lt;&gt;"",P13:ED13,,,-1)," ")</f>
        <v>20.2</v>
      </c>
      <c r="I13" s="25">
        <v>25</v>
      </c>
      <c r="J13" s="25">
        <v>26.5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34"/>
      <c r="AF13" s="35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>
        <v>20.2</v>
      </c>
      <c r="BA13" s="34"/>
      <c r="BB13" s="34"/>
      <c r="BC13" s="34"/>
      <c r="BD13" s="34"/>
      <c r="BE13" s="37"/>
      <c r="BF13" s="37"/>
      <c r="BG13" s="34"/>
      <c r="BH13" s="37"/>
      <c r="BI13" s="37"/>
      <c r="BJ13" s="37"/>
      <c r="BK13" s="37"/>
      <c r="BL13" s="37"/>
      <c r="BM13" s="37"/>
      <c r="BN13" s="37"/>
      <c r="BO13" s="37"/>
      <c r="BP13" s="37"/>
      <c r="BQ13" s="34"/>
      <c r="BR13" s="34"/>
      <c r="BS13" s="37"/>
      <c r="BT13" s="37"/>
      <c r="BU13" s="34"/>
      <c r="BV13" s="34"/>
      <c r="BW13" s="34"/>
      <c r="BX13" s="34"/>
      <c r="BY13" s="34"/>
      <c r="BZ13" s="34"/>
      <c r="CA13" s="37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43"/>
      <c r="CN13" s="37"/>
      <c r="CO13" s="37"/>
      <c r="CP13" s="36"/>
      <c r="CQ13" s="37"/>
      <c r="CR13" s="37"/>
      <c r="CS13" s="37"/>
      <c r="CT13" s="34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9"/>
      <c r="EB13" s="39"/>
      <c r="EC13" s="40"/>
    </row>
    <row r="14" spans="1:133">
      <c r="A14" s="22"/>
      <c r="B14" s="22" t="s">
        <v>160</v>
      </c>
      <c r="C14" s="20" t="s">
        <v>161</v>
      </c>
      <c r="D14" s="21" t="s">
        <v>162</v>
      </c>
      <c r="E14" s="21"/>
      <c r="F14" s="22" t="s">
        <v>137</v>
      </c>
      <c r="G14" s="23" t="str" cm="1">
        <f t="array" ref="G14">IFERROR(LOOKUP(2,1/(K14:GC14&lt;&gt;""),K$2:DQL$2),"")</f>
        <v>19-Aug</v>
      </c>
      <c r="H14" s="24" cm="1">
        <f t="array" ref="H14">IFERROR(_xlfn.XLOOKUP(TRUE,P14:ED14&lt;&gt;"",P14:ED14,,,-1)," ")</f>
        <v>24</v>
      </c>
      <c r="I14" s="25">
        <v>24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34"/>
      <c r="AF14" s="35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>
        <v>21.8</v>
      </c>
      <c r="BA14" s="34"/>
      <c r="BB14" s="34"/>
      <c r="BC14" s="34"/>
      <c r="BD14" s="34"/>
      <c r="BE14" s="37"/>
      <c r="BF14" s="37"/>
      <c r="BG14" s="34">
        <v>24</v>
      </c>
      <c r="BH14" s="37"/>
      <c r="BI14" s="34"/>
      <c r="BJ14" s="34"/>
      <c r="BK14" s="34"/>
      <c r="BL14" s="37"/>
      <c r="BM14" s="37"/>
      <c r="BN14" s="34"/>
      <c r="BO14" s="34"/>
      <c r="BP14" s="34"/>
      <c r="BQ14" s="34"/>
      <c r="BR14" s="34"/>
      <c r="BS14" s="37"/>
      <c r="BT14" s="37"/>
      <c r="BU14" s="34"/>
      <c r="BV14" s="34"/>
      <c r="BW14" s="34"/>
      <c r="BX14" s="34"/>
      <c r="BY14" s="34"/>
      <c r="BZ14" s="34"/>
      <c r="CA14" s="37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6"/>
      <c r="CM14" s="43"/>
      <c r="CN14" s="37"/>
      <c r="CO14" s="37"/>
      <c r="CP14" s="36"/>
      <c r="CQ14" s="34"/>
      <c r="CR14" s="34"/>
      <c r="CS14" s="34"/>
      <c r="CT14" s="34"/>
      <c r="CU14" s="37"/>
      <c r="CV14" s="37"/>
      <c r="CW14" s="34"/>
      <c r="CX14" s="34"/>
      <c r="CY14" s="34"/>
      <c r="CZ14" s="34"/>
      <c r="DA14" s="56"/>
      <c r="DB14" s="37"/>
      <c r="DC14" s="56"/>
      <c r="DD14" s="34"/>
      <c r="DE14" s="34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9"/>
      <c r="EB14" s="39"/>
      <c r="EC14" s="40"/>
    </row>
    <row r="15" spans="1:133">
      <c r="A15" s="22"/>
      <c r="B15" s="22" t="s">
        <v>163</v>
      </c>
      <c r="C15" s="20" t="s">
        <v>164</v>
      </c>
      <c r="D15" s="21" t="s">
        <v>162</v>
      </c>
      <c r="E15" s="21"/>
      <c r="F15" s="22" t="s">
        <v>137</v>
      </c>
      <c r="G15" s="23" t="str" cm="1">
        <f t="array" ref="G15">IFERROR(LOOKUP(2,1/(K15:GC15&lt;&gt;""),K$2:DQL$2),"")</f>
        <v>19-Aug</v>
      </c>
      <c r="H15" s="24" cm="1">
        <f t="array" ref="H15">IFERROR(_xlfn.XLOOKUP(TRUE,P15:ED15&lt;&gt;"",P15:ED15,,,-1)," ")</f>
        <v>24.2</v>
      </c>
      <c r="I15" s="25">
        <v>24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34"/>
      <c r="AF15" s="35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7"/>
      <c r="BF15" s="37"/>
      <c r="BG15" s="34">
        <v>24.2</v>
      </c>
      <c r="BH15" s="37"/>
      <c r="BI15" s="34"/>
      <c r="BJ15" s="34"/>
      <c r="BK15" s="36"/>
      <c r="BL15" s="37"/>
      <c r="BM15" s="37"/>
      <c r="BN15" s="34"/>
      <c r="BO15" s="34"/>
      <c r="BP15" s="34"/>
      <c r="BQ15" s="34"/>
      <c r="BR15" s="34"/>
      <c r="BS15" s="37"/>
      <c r="BT15" s="37"/>
      <c r="BU15" s="34"/>
      <c r="BV15" s="34"/>
      <c r="BW15" s="34"/>
      <c r="BX15" s="34"/>
      <c r="BY15" s="34"/>
      <c r="BZ15" s="34"/>
      <c r="CA15" s="37"/>
      <c r="CB15" s="34"/>
      <c r="CC15" s="37"/>
      <c r="CD15" s="37"/>
      <c r="CE15" s="37"/>
      <c r="CF15" s="37"/>
      <c r="CG15" s="37"/>
      <c r="CH15" s="37"/>
      <c r="CI15" s="37"/>
      <c r="CJ15" s="37"/>
      <c r="CK15" s="37"/>
      <c r="CL15" s="36"/>
      <c r="CM15" s="43"/>
      <c r="CN15" s="37"/>
      <c r="CO15" s="37"/>
      <c r="CP15" s="36"/>
      <c r="CQ15" s="37"/>
      <c r="CR15" s="34"/>
      <c r="CS15" s="37"/>
      <c r="CT15" s="34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9"/>
      <c r="EB15" s="39"/>
      <c r="EC15" s="40"/>
    </row>
    <row r="16" spans="1:133">
      <c r="A16" s="22"/>
      <c r="B16" s="22" t="s">
        <v>165</v>
      </c>
      <c r="C16" s="20" t="s">
        <v>166</v>
      </c>
      <c r="D16" s="21" t="s">
        <v>162</v>
      </c>
      <c r="E16" s="21"/>
      <c r="F16" s="22" t="s">
        <v>137</v>
      </c>
      <c r="G16" s="23" t="str" cm="1">
        <f t="array" ref="G16">IFERROR(LOOKUP(2,1/(K16:GC16&lt;&gt;""),K$2:DQL$2),"")</f>
        <v/>
      </c>
      <c r="H16" s="24" t="str" cm="1">
        <f t="array" ref="H16">IFERROR(_xlfn.XLOOKUP(TRUE,P16:ED16&lt;&gt;"",P16:ED16,,,-1)," ")</f>
        <v xml:space="preserve"> </v>
      </c>
      <c r="I16" s="25">
        <v>24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34"/>
      <c r="AF16" s="35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7"/>
      <c r="BF16" s="37"/>
      <c r="BG16" s="34"/>
      <c r="BH16" s="37"/>
      <c r="BI16" s="34"/>
      <c r="BJ16" s="34"/>
      <c r="BK16" s="34"/>
      <c r="BL16" s="37"/>
      <c r="BM16" s="37"/>
      <c r="BN16" s="34"/>
      <c r="BO16" s="34"/>
      <c r="BP16" s="34"/>
      <c r="BQ16" s="34"/>
      <c r="BR16" s="34"/>
      <c r="BS16" s="37"/>
      <c r="BT16" s="37"/>
      <c r="BU16" s="34"/>
      <c r="BV16" s="34"/>
      <c r="BW16" s="34"/>
      <c r="BX16" s="34"/>
      <c r="BY16" s="34"/>
      <c r="BZ16" s="34"/>
      <c r="CA16" s="37"/>
      <c r="CB16" s="34"/>
      <c r="CC16" s="37"/>
      <c r="CD16" s="37"/>
      <c r="CE16" s="37"/>
      <c r="CF16" s="37"/>
      <c r="CG16" s="37"/>
      <c r="CH16" s="37"/>
      <c r="CI16" s="37"/>
      <c r="CJ16" s="37"/>
      <c r="CK16" s="34"/>
      <c r="CL16" s="52"/>
      <c r="CM16" s="43"/>
      <c r="CN16" s="37"/>
      <c r="CO16" s="37"/>
      <c r="CP16" s="36"/>
      <c r="CQ16" s="37"/>
      <c r="CR16" s="34"/>
      <c r="CS16" s="37"/>
      <c r="CT16" s="34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8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9"/>
      <c r="EB16" s="39"/>
      <c r="EC16" s="40"/>
    </row>
    <row r="17" spans="1:133">
      <c r="A17" s="44"/>
      <c r="B17" s="45" t="s">
        <v>167</v>
      </c>
      <c r="C17" s="20" t="s">
        <v>168</v>
      </c>
      <c r="D17" s="21" t="s">
        <v>162</v>
      </c>
      <c r="E17" s="21"/>
      <c r="F17" s="22" t="s">
        <v>137</v>
      </c>
      <c r="G17" s="23" t="str" cm="1">
        <f t="array" ref="G17">IFERROR(LOOKUP(2,1/(K17:GC17&lt;&gt;""),K$2:DQL$2),"")</f>
        <v/>
      </c>
      <c r="H17" s="24" t="str" cm="1">
        <f t="array" ref="H17">IFERROR(_xlfn.XLOOKUP(TRUE,P17:ED17&lt;&gt;"",P17:ED17,,,-1)," ")</f>
        <v xml:space="preserve"> </v>
      </c>
      <c r="I17" s="25">
        <v>24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34"/>
      <c r="AF17" s="35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7"/>
      <c r="BF17" s="37"/>
      <c r="BG17" s="34"/>
      <c r="BH17" s="37"/>
      <c r="BI17" s="34"/>
      <c r="BJ17" s="34"/>
      <c r="BK17" s="34"/>
      <c r="BL17" s="37"/>
      <c r="BM17" s="37"/>
      <c r="BN17" s="34"/>
      <c r="BO17" s="34"/>
      <c r="BP17" s="34"/>
      <c r="BQ17" s="34"/>
      <c r="BR17" s="34"/>
      <c r="BS17" s="37"/>
      <c r="BT17" s="37"/>
      <c r="BU17" s="34"/>
      <c r="BV17" s="36"/>
      <c r="BW17" s="34"/>
      <c r="BX17" s="34"/>
      <c r="BY17" s="34"/>
      <c r="BZ17" s="34"/>
      <c r="CA17" s="37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52"/>
      <c r="CM17" s="43"/>
      <c r="CN17" s="37"/>
      <c r="CO17" s="37"/>
      <c r="CP17" s="36"/>
      <c r="CQ17" s="37"/>
      <c r="CR17" s="34"/>
      <c r="CS17" s="37"/>
      <c r="CT17" s="34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8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9"/>
      <c r="EB17" s="39"/>
      <c r="EC17" s="40"/>
    </row>
    <row r="18" spans="1:133">
      <c r="A18" s="44"/>
      <c r="B18" s="45" t="s">
        <v>169</v>
      </c>
      <c r="C18" s="20" t="s">
        <v>170</v>
      </c>
      <c r="D18" s="21" t="s">
        <v>162</v>
      </c>
      <c r="E18" s="21"/>
      <c r="F18" s="22" t="s">
        <v>137</v>
      </c>
      <c r="G18" s="23" t="str" cm="1">
        <f t="array" ref="G18">IFERROR(LOOKUP(2,1/(K18:GC18&lt;&gt;""),K$2:DQL$2),"")</f>
        <v>19-Aug</v>
      </c>
      <c r="H18" s="24" cm="1">
        <f t="array" ref="H18">IFERROR(_xlfn.XLOOKUP(TRUE,P18:ED18&lt;&gt;"",P18:ED18,,,-1)," ")</f>
        <v>21.3</v>
      </c>
      <c r="I18" s="25">
        <v>24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34"/>
      <c r="AF18" s="35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>
        <v>21.4</v>
      </c>
      <c r="BA18" s="34"/>
      <c r="BB18" s="34"/>
      <c r="BC18" s="34"/>
      <c r="BD18" s="34"/>
      <c r="BE18" s="37"/>
      <c r="BF18" s="37"/>
      <c r="BG18" s="34">
        <v>21.3</v>
      </c>
      <c r="BH18" s="37"/>
      <c r="BI18" s="34"/>
      <c r="BJ18" s="34"/>
      <c r="BK18" s="34"/>
      <c r="BL18" s="38"/>
      <c r="BM18" s="37"/>
      <c r="BN18" s="34"/>
      <c r="BO18" s="34"/>
      <c r="BP18" s="34"/>
      <c r="BQ18" s="34"/>
      <c r="BR18" s="34"/>
      <c r="BS18" s="37"/>
      <c r="BT18" s="37"/>
      <c r="BU18" s="34"/>
      <c r="BV18" s="36"/>
      <c r="BW18" s="34"/>
      <c r="BX18" s="34"/>
      <c r="BY18" s="34"/>
      <c r="BZ18" s="34"/>
      <c r="CA18" s="38"/>
      <c r="CB18" s="34"/>
      <c r="CC18" s="34"/>
      <c r="CD18" s="34"/>
      <c r="CE18" s="34"/>
      <c r="CF18" s="34"/>
      <c r="CG18" s="34"/>
      <c r="CH18" s="36"/>
      <c r="CI18" s="34"/>
      <c r="CJ18" s="34"/>
      <c r="CK18" s="34"/>
      <c r="CL18" s="39"/>
      <c r="CM18" s="37"/>
      <c r="CN18" s="37"/>
      <c r="CO18" s="38"/>
      <c r="CP18" s="34"/>
      <c r="CQ18" s="37"/>
      <c r="CR18" s="34"/>
      <c r="CS18" s="37"/>
      <c r="CT18" s="34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9"/>
      <c r="EB18" s="39"/>
      <c r="EC18" s="40"/>
    </row>
    <row r="19" spans="1:133">
      <c r="A19" s="44"/>
      <c r="B19" s="45" t="s">
        <v>171</v>
      </c>
      <c r="C19" s="20" t="s">
        <v>172</v>
      </c>
      <c r="D19" s="21" t="s">
        <v>162</v>
      </c>
      <c r="E19" s="21"/>
      <c r="F19" s="22" t="s">
        <v>137</v>
      </c>
      <c r="G19" s="23" t="str" cm="1">
        <f t="array" ref="G19">IFERROR(LOOKUP(2,1/(K19:GC19&lt;&gt;""),K$2:DQL$2),"")</f>
        <v>19-Aug</v>
      </c>
      <c r="H19" s="24" cm="1">
        <f t="array" ref="H19">IFERROR(_xlfn.XLOOKUP(TRUE,P19:ED19&lt;&gt;"",P19:ED19,,,-1)," ")</f>
        <v>24.2</v>
      </c>
      <c r="I19" s="25">
        <v>24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34"/>
      <c r="AF19" s="35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7"/>
      <c r="BF19" s="37"/>
      <c r="BG19" s="34">
        <v>24.2</v>
      </c>
      <c r="BH19" s="37"/>
      <c r="BI19" s="34"/>
      <c r="BJ19" s="34"/>
      <c r="BK19" s="34"/>
      <c r="BL19" s="37"/>
      <c r="BM19" s="37"/>
      <c r="BN19" s="34"/>
      <c r="BO19" s="34"/>
      <c r="BP19" s="34"/>
      <c r="BQ19" s="34"/>
      <c r="BR19" s="34"/>
      <c r="BS19" s="37"/>
      <c r="BT19" s="37"/>
      <c r="BU19" s="34"/>
      <c r="BV19" s="34"/>
      <c r="BW19" s="34"/>
      <c r="BX19" s="34"/>
      <c r="BY19" s="34"/>
      <c r="BZ19" s="34"/>
      <c r="CA19" s="37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9"/>
      <c r="CM19" s="43"/>
      <c r="CN19" s="37"/>
      <c r="CO19" s="37"/>
      <c r="CP19" s="34"/>
      <c r="CQ19" s="41"/>
      <c r="CR19" s="34"/>
      <c r="CS19" s="37"/>
      <c r="CT19" s="34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9"/>
      <c r="EB19" s="39"/>
      <c r="EC19" s="40"/>
    </row>
    <row r="20" spans="1:133" hidden="1">
      <c r="A20" s="44"/>
      <c r="B20" s="45" t="s">
        <v>173</v>
      </c>
      <c r="C20" s="20" t="s">
        <v>174</v>
      </c>
      <c r="D20" s="21" t="s">
        <v>162</v>
      </c>
      <c r="E20" s="21"/>
      <c r="F20" s="22" t="s">
        <v>175</v>
      </c>
      <c r="G20" s="23" t="str" cm="1">
        <f t="array" ref="G20">IFERROR(LOOKUP(2,1/(K20:GC20&lt;&gt;""),K$2:DQL$2),"")</f>
        <v>17-Aug</v>
      </c>
      <c r="H20" s="24" cm="1">
        <f t="array" ref="H20">IFERROR(_xlfn.XLOOKUP(TRUE,P20:ED20&lt;&gt;"",P20:ED20,,,-1)," ")</f>
        <v>22.2</v>
      </c>
      <c r="I20" s="25">
        <v>24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34"/>
      <c r="AF20" s="35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7">
        <v>22.2</v>
      </c>
      <c r="BF20" s="37"/>
      <c r="BG20" s="34"/>
      <c r="BH20" s="37"/>
      <c r="BI20" s="34"/>
      <c r="BJ20" s="34"/>
      <c r="BK20" s="34"/>
      <c r="BL20" s="37"/>
      <c r="BM20" s="37"/>
      <c r="BN20" s="34"/>
      <c r="BO20" s="34"/>
      <c r="BP20" s="34"/>
      <c r="BQ20" s="34"/>
      <c r="BR20" s="34"/>
      <c r="BS20" s="37"/>
      <c r="BT20" s="37"/>
      <c r="BU20" s="34"/>
      <c r="BV20" s="34"/>
      <c r="BW20" s="34"/>
      <c r="BX20" s="34"/>
      <c r="BY20" s="34"/>
      <c r="BZ20" s="34"/>
      <c r="CA20" s="37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42"/>
      <c r="CM20" s="43"/>
      <c r="CN20" s="37"/>
      <c r="CO20" s="37"/>
      <c r="CP20" s="34"/>
      <c r="CQ20" s="37"/>
      <c r="CR20" s="34"/>
      <c r="CS20" s="37"/>
      <c r="CT20" s="34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9"/>
      <c r="EB20" s="39"/>
      <c r="EC20" s="40"/>
    </row>
    <row r="21" spans="1:133" hidden="1">
      <c r="A21" s="44"/>
      <c r="B21" s="22"/>
      <c r="C21" s="20" t="s">
        <v>176</v>
      </c>
      <c r="D21" s="21" t="s">
        <v>162</v>
      </c>
      <c r="E21" s="21"/>
      <c r="F21" s="22" t="s">
        <v>175</v>
      </c>
      <c r="G21" s="23" t="str" cm="1">
        <f t="array" ref="G21">IFERROR(LOOKUP(2,1/(K21:GC21&lt;&gt;""),K$2:DQL$2),"")</f>
        <v>17-Aug</v>
      </c>
      <c r="H21" s="24" cm="1">
        <f t="array" ref="H21">IFERROR(_xlfn.XLOOKUP(TRUE,P21:ED21&lt;&gt;"",P21:ED21,,,-1)," ")</f>
        <v>22.1</v>
      </c>
      <c r="I21" s="25">
        <v>24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7">
        <v>22.1</v>
      </c>
      <c r="BF21" s="37"/>
      <c r="BG21" s="34"/>
      <c r="BH21" s="34"/>
      <c r="BI21" s="34"/>
      <c r="BJ21" s="34"/>
      <c r="BK21" s="34"/>
      <c r="BL21" s="34"/>
      <c r="BM21" s="37"/>
      <c r="BN21" s="34"/>
      <c r="BO21" s="34"/>
      <c r="BP21" s="34"/>
      <c r="BQ21" s="34"/>
      <c r="BR21" s="34"/>
      <c r="BS21" s="37"/>
      <c r="BT21" s="37"/>
      <c r="BU21" s="34"/>
      <c r="BV21" s="34"/>
      <c r="BW21" s="34"/>
      <c r="BX21" s="37"/>
      <c r="BY21" s="34"/>
      <c r="BZ21" s="36"/>
      <c r="CA21" s="37"/>
      <c r="CB21" s="37"/>
      <c r="CC21" s="34"/>
      <c r="CD21" s="37"/>
      <c r="CE21" s="37"/>
      <c r="CF21" s="37"/>
      <c r="CG21" s="37"/>
      <c r="CH21" s="37"/>
      <c r="CI21" s="37"/>
      <c r="CJ21" s="34"/>
      <c r="CK21" s="37"/>
      <c r="CL21" s="34"/>
      <c r="CM21" s="37"/>
      <c r="CN21" s="37"/>
      <c r="CO21" s="37"/>
      <c r="CP21" s="34"/>
      <c r="CQ21" s="37"/>
      <c r="CR21" s="34"/>
      <c r="CS21" s="37"/>
      <c r="CT21" s="34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9"/>
      <c r="EB21" s="39"/>
      <c r="EC21" s="40"/>
    </row>
    <row r="22" spans="1:133" hidden="1">
      <c r="A22" s="44"/>
      <c r="B22" s="45" t="s">
        <v>177</v>
      </c>
      <c r="C22" s="20" t="s">
        <v>178</v>
      </c>
      <c r="D22" s="21" t="s">
        <v>162</v>
      </c>
      <c r="E22" s="21"/>
      <c r="F22" s="22" t="s">
        <v>179</v>
      </c>
      <c r="G22" s="23" t="str" cm="1">
        <f t="array" ref="G22">IFERROR(LOOKUP(2,1/(K22:GC22&lt;&gt;""),K$2:DQL$2),"")</f>
        <v/>
      </c>
      <c r="H22" s="24" t="str" cm="1">
        <f t="array" ref="H22">IFERROR(_xlfn.XLOOKUP(TRUE,P22:ED22&lt;&gt;"",P22:ED22,,,-1)," ")</f>
        <v xml:space="preserve"> </v>
      </c>
      <c r="I22" s="25">
        <v>22.5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34"/>
      <c r="AF22" s="35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7"/>
      <c r="BF22" s="37"/>
      <c r="BG22" s="34"/>
      <c r="BH22" s="37"/>
      <c r="BI22" s="34"/>
      <c r="BJ22" s="34"/>
      <c r="BK22" s="34"/>
      <c r="BL22" s="37"/>
      <c r="BM22" s="37"/>
      <c r="BN22" s="34"/>
      <c r="BO22" s="34"/>
      <c r="BP22" s="34"/>
      <c r="BQ22" s="34"/>
      <c r="BR22" s="34"/>
      <c r="BS22" s="37"/>
      <c r="BT22" s="37"/>
      <c r="BU22" s="34"/>
      <c r="BV22" s="34"/>
      <c r="BW22" s="34"/>
      <c r="BX22" s="34"/>
      <c r="BY22" s="34"/>
      <c r="BZ22" s="34"/>
      <c r="CA22" s="37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43"/>
      <c r="CN22" s="37"/>
      <c r="CO22" s="37"/>
      <c r="CP22" s="34"/>
      <c r="CQ22" s="34"/>
      <c r="CR22" s="34"/>
      <c r="CS22" s="37"/>
      <c r="CT22" s="34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9"/>
      <c r="EB22" s="39"/>
      <c r="EC22" s="40"/>
    </row>
    <row r="23" spans="1:133" hidden="1">
      <c r="A23" s="44"/>
      <c r="B23" s="45" t="s">
        <v>177</v>
      </c>
      <c r="C23" s="20" t="s">
        <v>180</v>
      </c>
      <c r="D23" s="21" t="s">
        <v>162</v>
      </c>
      <c r="E23" s="21"/>
      <c r="F23" s="22" t="s">
        <v>179</v>
      </c>
      <c r="G23" s="23" t="str" cm="1">
        <f t="array" ref="G23">IFERROR(LOOKUP(2,1/(K23:GC23&lt;&gt;""),K$2:DQL$2),"")</f>
        <v/>
      </c>
      <c r="H23" s="24" t="str" cm="1">
        <f t="array" ref="H23">IFERROR(_xlfn.XLOOKUP(TRUE,P23:ED23&lt;&gt;"",P23:ED23,,,-1)," ")</f>
        <v xml:space="preserve"> </v>
      </c>
      <c r="I23" s="25">
        <v>22.5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34"/>
      <c r="AF23" s="35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7"/>
      <c r="BF23" s="37"/>
      <c r="BG23" s="34"/>
      <c r="BH23" s="37"/>
      <c r="BI23" s="34"/>
      <c r="BJ23" s="34"/>
      <c r="BK23" s="34"/>
      <c r="BL23" s="37"/>
      <c r="BM23" s="37"/>
      <c r="BN23" s="34"/>
      <c r="BO23" s="34"/>
      <c r="BP23" s="34"/>
      <c r="BQ23" s="34"/>
      <c r="BR23" s="34"/>
      <c r="BS23" s="37"/>
      <c r="BT23" s="37"/>
      <c r="BU23" s="34"/>
      <c r="BV23" s="34"/>
      <c r="BW23" s="34"/>
      <c r="BX23" s="34"/>
      <c r="BY23" s="34"/>
      <c r="BZ23" s="34"/>
      <c r="CA23" s="37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43"/>
      <c r="CN23" s="37"/>
      <c r="CO23" s="37"/>
      <c r="CP23" s="34"/>
      <c r="CQ23" s="37"/>
      <c r="CR23" s="34"/>
      <c r="CS23" s="37"/>
      <c r="CT23" s="34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9"/>
      <c r="EB23" s="39"/>
      <c r="EC23" s="40"/>
    </row>
    <row r="24" spans="1:133" hidden="1">
      <c r="A24" s="44"/>
      <c r="B24" s="45" t="s">
        <v>177</v>
      </c>
      <c r="C24" s="20" t="s">
        <v>181</v>
      </c>
      <c r="D24" s="21" t="s">
        <v>162</v>
      </c>
      <c r="E24" s="21"/>
      <c r="F24" s="22" t="s">
        <v>179</v>
      </c>
      <c r="G24" s="23" t="str" cm="1">
        <f t="array" ref="G24">IFERROR(LOOKUP(2,1/(K24:GC24&lt;&gt;""),K$2:DQL$2),"")</f>
        <v/>
      </c>
      <c r="H24" s="24" t="str" cm="1">
        <f t="array" ref="H24">IFERROR(_xlfn.XLOOKUP(TRUE,P24:ED24&lt;&gt;"",P24:ED24,,,-1)," ")</f>
        <v xml:space="preserve"> </v>
      </c>
      <c r="I24" s="25">
        <v>22.5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34"/>
      <c r="AF24" s="35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7"/>
      <c r="BF24" s="37"/>
      <c r="BG24" s="34"/>
      <c r="BH24" s="37"/>
      <c r="BI24" s="34"/>
      <c r="BJ24" s="34"/>
      <c r="BK24" s="34"/>
      <c r="BL24" s="37"/>
      <c r="BM24" s="37"/>
      <c r="BN24" s="34"/>
      <c r="BO24" s="34"/>
      <c r="BP24" s="34"/>
      <c r="BQ24" s="34"/>
      <c r="BR24" s="34"/>
      <c r="BS24" s="37"/>
      <c r="BT24" s="37"/>
      <c r="BU24" s="34"/>
      <c r="BV24" s="34"/>
      <c r="BW24" s="34"/>
      <c r="BX24" s="34"/>
      <c r="BY24" s="34"/>
      <c r="BZ24" s="34"/>
      <c r="CA24" s="37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43"/>
      <c r="CN24" s="37"/>
      <c r="CO24" s="37"/>
      <c r="CP24" s="34"/>
      <c r="CQ24" s="34"/>
      <c r="CR24" s="34"/>
      <c r="CS24" s="37"/>
      <c r="CT24" s="34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9"/>
      <c r="EB24" s="39"/>
      <c r="EC24" s="40"/>
    </row>
    <row r="25" spans="1:133" hidden="1">
      <c r="A25" s="44"/>
      <c r="B25" s="45" t="s">
        <v>177</v>
      </c>
      <c r="C25" s="20" t="s">
        <v>182</v>
      </c>
      <c r="D25" s="21" t="s">
        <v>162</v>
      </c>
      <c r="E25" s="21"/>
      <c r="F25" s="22" t="s">
        <v>179</v>
      </c>
      <c r="G25" s="23" t="str" cm="1">
        <f t="array" ref="G25">IFERROR(LOOKUP(2,1/(K25:GC25&lt;&gt;""),K$2:DQL$2),"")</f>
        <v/>
      </c>
      <c r="H25" s="24" t="str" cm="1">
        <f t="array" ref="H25">IFERROR(_xlfn.XLOOKUP(TRUE,P25:ED25&lt;&gt;"",P25:ED25,,,-1)," ")</f>
        <v xml:space="preserve"> </v>
      </c>
      <c r="I25" s="25">
        <v>22.5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34"/>
      <c r="AF25" s="35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7"/>
      <c r="BF25" s="37"/>
      <c r="BG25" s="34"/>
      <c r="BH25" s="37"/>
      <c r="BI25" s="34"/>
      <c r="BJ25" s="34"/>
      <c r="BK25" s="34"/>
      <c r="BL25" s="37"/>
      <c r="BM25" s="37"/>
      <c r="BN25" s="34"/>
      <c r="BO25" s="34"/>
      <c r="BP25" s="34"/>
      <c r="BQ25" s="34"/>
      <c r="BR25" s="34"/>
      <c r="BS25" s="37"/>
      <c r="BT25" s="37"/>
      <c r="BU25" s="34"/>
      <c r="BV25" s="34"/>
      <c r="BW25" s="34"/>
      <c r="BX25" s="34"/>
      <c r="BY25" s="34"/>
      <c r="BZ25" s="34"/>
      <c r="CA25" s="37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43"/>
      <c r="CN25" s="37"/>
      <c r="CO25" s="37"/>
      <c r="CP25" s="34"/>
      <c r="CQ25" s="34"/>
      <c r="CR25" s="34"/>
      <c r="CS25" s="37"/>
      <c r="CT25" s="34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9"/>
      <c r="EB25" s="39"/>
      <c r="EC25" s="40"/>
    </row>
    <row r="26" spans="1:133" hidden="1">
      <c r="A26" s="44"/>
      <c r="B26" s="45" t="s">
        <v>177</v>
      </c>
      <c r="C26" s="20" t="s">
        <v>183</v>
      </c>
      <c r="D26" s="21" t="s">
        <v>162</v>
      </c>
      <c r="E26" s="21"/>
      <c r="F26" s="22" t="s">
        <v>179</v>
      </c>
      <c r="G26" s="23" t="str" cm="1">
        <f t="array" ref="G26">IFERROR(LOOKUP(2,1/(K26:GC26&lt;&gt;""),K$2:DQL$2),"")</f>
        <v>19-Aug</v>
      </c>
      <c r="H26" s="24" cm="1">
        <f t="array" ref="H26">IFERROR(_xlfn.XLOOKUP(TRUE,P26:ED26&lt;&gt;"",P26:ED26,,,-1)," ")</f>
        <v>23.3</v>
      </c>
      <c r="I26" s="25">
        <v>22.5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34"/>
      <c r="AF26" s="35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7"/>
      <c r="BF26" s="37"/>
      <c r="BG26" s="34">
        <v>23.3</v>
      </c>
      <c r="BH26" s="37"/>
      <c r="BI26" s="34"/>
      <c r="BJ26" s="34"/>
      <c r="BK26" s="34"/>
      <c r="BL26" s="37"/>
      <c r="BM26" s="37"/>
      <c r="BN26" s="34"/>
      <c r="BO26" s="34"/>
      <c r="BP26" s="34"/>
      <c r="BQ26" s="34"/>
      <c r="BR26" s="34"/>
      <c r="BS26" s="37"/>
      <c r="BT26" s="37"/>
      <c r="BU26" s="34"/>
      <c r="BV26" s="34"/>
      <c r="BW26" s="34"/>
      <c r="BX26" s="34"/>
      <c r="BY26" s="34"/>
      <c r="BZ26" s="34"/>
      <c r="CA26" s="37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43"/>
      <c r="CN26" s="37"/>
      <c r="CO26" s="37"/>
      <c r="CP26" s="34"/>
      <c r="CQ26" s="34"/>
      <c r="CR26" s="34"/>
      <c r="CS26" s="37"/>
      <c r="CT26" s="34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9"/>
      <c r="EB26" s="39"/>
      <c r="EC26" s="40"/>
    </row>
    <row r="27" spans="1:133" hidden="1">
      <c r="A27" s="44"/>
      <c r="B27" s="45" t="s">
        <v>177</v>
      </c>
      <c r="C27" s="20" t="s">
        <v>184</v>
      </c>
      <c r="D27" s="21" t="s">
        <v>162</v>
      </c>
      <c r="E27" s="21"/>
      <c r="F27" s="22" t="s">
        <v>179</v>
      </c>
      <c r="G27" s="23" t="str" cm="1">
        <f t="array" ref="G27">IFERROR(LOOKUP(2,1/(K27:GC27&lt;&gt;""),K$2:DQL$2),"")</f>
        <v/>
      </c>
      <c r="H27" s="24" t="str" cm="1">
        <f t="array" ref="H27">IFERROR(_xlfn.XLOOKUP(TRUE,P27:ED27&lt;&gt;"",P27:ED27,,,-1)," ")</f>
        <v xml:space="preserve"> </v>
      </c>
      <c r="I27" s="25">
        <v>22.5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34"/>
      <c r="AF27" s="35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7"/>
      <c r="BF27" s="37"/>
      <c r="BG27" s="34"/>
      <c r="BH27" s="37"/>
      <c r="BI27" s="34"/>
      <c r="BJ27" s="34"/>
      <c r="BK27" s="34"/>
      <c r="BL27" s="37"/>
      <c r="BM27" s="37"/>
      <c r="BN27" s="34"/>
      <c r="BO27" s="34"/>
      <c r="BP27" s="34"/>
      <c r="BQ27" s="34"/>
      <c r="BR27" s="34"/>
      <c r="BS27" s="37"/>
      <c r="BT27" s="37"/>
      <c r="BU27" s="34"/>
      <c r="BV27" s="34"/>
      <c r="BW27" s="34"/>
      <c r="BX27" s="34"/>
      <c r="BY27" s="34"/>
      <c r="BZ27" s="34"/>
      <c r="CA27" s="37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43"/>
      <c r="CN27" s="37"/>
      <c r="CO27" s="37"/>
      <c r="CP27" s="34"/>
      <c r="CQ27" s="34"/>
      <c r="CR27" s="34"/>
      <c r="CS27" s="37"/>
      <c r="CT27" s="34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9"/>
      <c r="EB27" s="39"/>
      <c r="EC27" s="40"/>
    </row>
    <row r="28" spans="1:133" hidden="1">
      <c r="A28" s="44"/>
      <c r="B28" s="45" t="s">
        <v>177</v>
      </c>
      <c r="C28" s="20" t="s">
        <v>185</v>
      </c>
      <c r="D28" s="21" t="s">
        <v>162</v>
      </c>
      <c r="E28" s="21"/>
      <c r="F28" s="22" t="s">
        <v>179</v>
      </c>
      <c r="G28" s="23" t="str" cm="1">
        <f t="array" ref="G28">IFERROR(LOOKUP(2,1/(K28:GC28&lt;&gt;""),K$2:DQL$2),"")</f>
        <v>19-Aug</v>
      </c>
      <c r="H28" s="24" cm="1">
        <f t="array" ref="H28">IFERROR(_xlfn.XLOOKUP(TRUE,P28:ED28&lt;&gt;"",P28:ED28,,,-1)," ")</f>
        <v>22.8</v>
      </c>
      <c r="I28" s="25">
        <v>22.5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34"/>
      <c r="AF28" s="35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7"/>
      <c r="BF28" s="37"/>
      <c r="BG28" s="34">
        <v>22.8</v>
      </c>
      <c r="BH28" s="37"/>
      <c r="BI28" s="34"/>
      <c r="BJ28" s="34"/>
      <c r="BK28" s="34"/>
      <c r="BL28" s="37"/>
      <c r="BM28" s="37"/>
      <c r="BN28" s="34"/>
      <c r="BO28" s="34"/>
      <c r="BP28" s="34"/>
      <c r="BQ28" s="34"/>
      <c r="BR28" s="34"/>
      <c r="BS28" s="37"/>
      <c r="BT28" s="37"/>
      <c r="BU28" s="34"/>
      <c r="BV28" s="34"/>
      <c r="BW28" s="34"/>
      <c r="BX28" s="34"/>
      <c r="BY28" s="34"/>
      <c r="BZ28" s="34"/>
      <c r="CA28" s="37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43"/>
      <c r="CN28" s="37"/>
      <c r="CO28" s="37"/>
      <c r="CP28" s="34"/>
      <c r="CQ28" s="34"/>
      <c r="CR28" s="34"/>
      <c r="CS28" s="37"/>
      <c r="CT28" s="34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9"/>
      <c r="EB28" s="39"/>
      <c r="EC28" s="40"/>
    </row>
    <row r="29" spans="1:133" hidden="1">
      <c r="A29" s="44" t="s">
        <v>138</v>
      </c>
      <c r="B29" s="45" t="s">
        <v>186</v>
      </c>
      <c r="C29" s="20" t="s">
        <v>187</v>
      </c>
      <c r="D29" s="21" t="s">
        <v>162</v>
      </c>
      <c r="E29" s="21"/>
      <c r="F29" s="22" t="s">
        <v>188</v>
      </c>
      <c r="G29" s="23" t="str" cm="1">
        <f t="array" ref="G29">IFERROR(LOOKUP(2,1/(K29:GC29&lt;&gt;""),K$2:DQL$2),"")</f>
        <v/>
      </c>
      <c r="H29" s="24" t="str" cm="1">
        <f t="array" ref="H29">IFERROR(_xlfn.XLOOKUP(TRUE,P29:ED29&lt;&gt;"",P29:ED29,,,-1)," ")</f>
        <v xml:space="preserve"> </v>
      </c>
      <c r="I29" s="25">
        <v>24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34"/>
      <c r="AF29" s="35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7"/>
      <c r="BF29" s="37"/>
      <c r="BG29" s="34"/>
      <c r="BH29" s="37"/>
      <c r="BI29" s="34"/>
      <c r="BJ29" s="34"/>
      <c r="BK29" s="34"/>
      <c r="BL29" s="37"/>
      <c r="BM29" s="37"/>
      <c r="BN29" s="34"/>
      <c r="BO29" s="34"/>
      <c r="BP29" s="34"/>
      <c r="BQ29" s="34"/>
      <c r="BR29" s="34"/>
      <c r="BS29" s="37"/>
      <c r="BT29" s="37"/>
      <c r="BU29" s="34"/>
      <c r="BV29" s="34"/>
      <c r="BW29" s="34"/>
      <c r="BX29" s="34"/>
      <c r="BY29" s="34"/>
      <c r="BZ29" s="34"/>
      <c r="CA29" s="37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43"/>
      <c r="CN29" s="37"/>
      <c r="CO29" s="37"/>
      <c r="CP29" s="34"/>
      <c r="CQ29" s="34"/>
      <c r="CR29" s="34"/>
      <c r="CS29" s="34"/>
      <c r="CT29" s="34"/>
      <c r="CU29" s="37"/>
      <c r="CV29" s="37"/>
      <c r="CW29" s="34"/>
      <c r="CX29" s="34"/>
      <c r="CY29" s="34"/>
      <c r="CZ29" s="34"/>
      <c r="DA29" s="37"/>
      <c r="DB29" s="37"/>
      <c r="DC29" s="37"/>
      <c r="DD29" s="34"/>
      <c r="DE29" s="34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9"/>
      <c r="EB29" s="39"/>
      <c r="EC29" s="40"/>
    </row>
    <row r="30" spans="1:133" hidden="1">
      <c r="A30" s="44"/>
      <c r="B30" s="45" t="s">
        <v>189</v>
      </c>
      <c r="C30" s="20" t="s">
        <v>190</v>
      </c>
      <c r="D30" s="21" t="s">
        <v>162</v>
      </c>
      <c r="E30" s="21"/>
      <c r="F30" s="22"/>
      <c r="G30" s="23" t="str" cm="1">
        <f t="array" ref="G30">IFERROR(LOOKUP(2,1/(K30:GC30&lt;&gt;""),K$2:DQL$2),"")</f>
        <v>15-Aug</v>
      </c>
      <c r="H30" s="24" cm="1">
        <f t="array" ref="H30">IFERROR(_xlfn.XLOOKUP(TRUE,P30:ED30&lt;&gt;"",P30:ED30,,,-1)," ")</f>
        <v>24.6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34"/>
      <c r="AF30" s="35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>
        <v>24.6</v>
      </c>
      <c r="BD30" s="34"/>
      <c r="BE30" s="37"/>
      <c r="BF30" s="37"/>
      <c r="BG30" s="34"/>
      <c r="BH30" s="37"/>
      <c r="BI30" s="34"/>
      <c r="BJ30" s="34"/>
      <c r="BK30" s="34"/>
      <c r="BL30" s="37"/>
      <c r="BM30" s="37"/>
      <c r="BN30" s="34"/>
      <c r="BO30" s="34"/>
      <c r="BP30" s="34"/>
      <c r="BQ30" s="34"/>
      <c r="BR30" s="34"/>
      <c r="BS30" s="37"/>
      <c r="BT30" s="37"/>
      <c r="BU30" s="34"/>
      <c r="BV30" s="34"/>
      <c r="BW30" s="34"/>
      <c r="BX30" s="34"/>
      <c r="BY30" s="34"/>
      <c r="BZ30" s="34"/>
      <c r="CA30" s="37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43"/>
      <c r="CN30" s="37"/>
      <c r="CO30" s="37"/>
      <c r="CP30" s="34"/>
      <c r="CQ30" s="37"/>
      <c r="CR30" s="34"/>
      <c r="CS30" s="37"/>
      <c r="CT30" s="34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9"/>
      <c r="EB30" s="39"/>
      <c r="EC30" s="40"/>
    </row>
    <row r="31" spans="1:133" hidden="1">
      <c r="A31" s="44"/>
      <c r="B31" s="22"/>
      <c r="C31" s="20" t="s">
        <v>191</v>
      </c>
      <c r="D31" s="21" t="s">
        <v>162</v>
      </c>
      <c r="E31" s="21"/>
      <c r="F31" s="22"/>
      <c r="G31" s="23" t="str" cm="1">
        <f t="array" ref="G31">IFERROR(LOOKUP(2,1/(K31:GC31&lt;&gt;""),K$2:DQL$2),"")</f>
        <v>15-Aug</v>
      </c>
      <c r="H31" s="24" cm="1">
        <f t="array" ref="H31">IFERROR(_xlfn.XLOOKUP(TRUE,P31:ED31&lt;&gt;"",P31:ED31,,,-1)," ")</f>
        <v>24.2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>
        <v>24.2</v>
      </c>
      <c r="BD31" s="34"/>
      <c r="BE31" s="37"/>
      <c r="BF31" s="37"/>
      <c r="BG31" s="34"/>
      <c r="BH31" s="34"/>
      <c r="BI31" s="34"/>
      <c r="BJ31" s="34"/>
      <c r="BK31" s="34"/>
      <c r="BL31" s="34"/>
      <c r="BM31" s="37"/>
      <c r="BN31" s="34"/>
      <c r="BO31" s="34"/>
      <c r="BP31" s="34"/>
      <c r="BQ31" s="34"/>
      <c r="BR31" s="34"/>
      <c r="BS31" s="37"/>
      <c r="BT31" s="37"/>
      <c r="BU31" s="34"/>
      <c r="BV31" s="34"/>
      <c r="BW31" s="34"/>
      <c r="BX31" s="37"/>
      <c r="BY31" s="34"/>
      <c r="BZ31" s="36"/>
      <c r="CA31" s="37"/>
      <c r="CB31" s="37"/>
      <c r="CC31" s="34"/>
      <c r="CD31" s="37"/>
      <c r="CE31" s="37"/>
      <c r="CF31" s="37"/>
      <c r="CG31" s="37"/>
      <c r="CH31" s="37"/>
      <c r="CI31" s="37"/>
      <c r="CJ31" s="34"/>
      <c r="CK31" s="37"/>
      <c r="CL31" s="34"/>
      <c r="CM31" s="37"/>
      <c r="CN31" s="37"/>
      <c r="CO31" s="37"/>
      <c r="CP31" s="34"/>
      <c r="CQ31" s="37"/>
      <c r="CR31" s="34"/>
      <c r="CS31" s="37"/>
      <c r="CT31" s="34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9"/>
      <c r="EB31" s="39"/>
      <c r="EC31" s="40"/>
    </row>
    <row r="32" spans="1:133" hidden="1">
      <c r="A32" s="44"/>
      <c r="B32" s="45" t="s">
        <v>192</v>
      </c>
      <c r="C32" s="20" t="s">
        <v>193</v>
      </c>
      <c r="D32" s="21" t="s">
        <v>162</v>
      </c>
      <c r="E32" s="21"/>
      <c r="F32" s="22"/>
      <c r="G32" s="23" t="str" cm="1">
        <f t="array" ref="G32">IFERROR(LOOKUP(2,1/(K32:GC32&lt;&gt;""),K$2:DQL$2),"")</f>
        <v/>
      </c>
      <c r="H32" s="24" t="str" cm="1">
        <f t="array" ref="H32">IFERROR(_xlfn.XLOOKUP(TRUE,P32:ED32&lt;&gt;"",P32:ED32,,,-1)," ")</f>
        <v xml:space="preserve"> </v>
      </c>
      <c r="I32" s="25">
        <v>24.5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34"/>
      <c r="AF32" s="35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7"/>
      <c r="BF32" s="37"/>
      <c r="BG32" s="34"/>
      <c r="BH32" s="37"/>
      <c r="BI32" s="34"/>
      <c r="BJ32" s="34"/>
      <c r="BK32" s="34"/>
      <c r="BL32" s="37"/>
      <c r="BM32" s="37"/>
      <c r="BN32" s="34"/>
      <c r="BO32" s="34"/>
      <c r="BP32" s="34"/>
      <c r="BQ32" s="34"/>
      <c r="BR32" s="34"/>
      <c r="BS32" s="37"/>
      <c r="BT32" s="37"/>
      <c r="BU32" s="34"/>
      <c r="BV32" s="34"/>
      <c r="BW32" s="34"/>
      <c r="BX32" s="34"/>
      <c r="BY32" s="34"/>
      <c r="BZ32" s="34"/>
      <c r="CA32" s="37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43"/>
      <c r="CN32" s="37"/>
      <c r="CO32" s="37"/>
      <c r="CP32" s="34"/>
      <c r="CQ32" s="34"/>
      <c r="CR32" s="34"/>
      <c r="CS32" s="34"/>
      <c r="CT32" s="34"/>
      <c r="CU32" s="37"/>
      <c r="CV32" s="37"/>
      <c r="CW32" s="34"/>
      <c r="CX32" s="34"/>
      <c r="CY32" s="34"/>
      <c r="CZ32" s="34"/>
      <c r="DA32" s="37"/>
      <c r="DB32" s="37"/>
      <c r="DC32" s="37"/>
      <c r="DD32" s="34"/>
      <c r="DE32" s="34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9"/>
      <c r="EB32" s="39"/>
      <c r="EC32" s="40"/>
    </row>
    <row r="33" spans="1:133" hidden="1">
      <c r="A33" s="44"/>
      <c r="B33" s="45" t="s">
        <v>194</v>
      </c>
      <c r="C33" s="20" t="s">
        <v>195</v>
      </c>
      <c r="D33" s="21" t="s">
        <v>162</v>
      </c>
      <c r="E33" s="21"/>
      <c r="F33" s="22" t="s">
        <v>179</v>
      </c>
      <c r="G33" s="23" t="str" cm="1">
        <f t="array" ref="G33">IFERROR(LOOKUP(2,1/(K33:GC33&lt;&gt;""),K$2:DQL$2),"")</f>
        <v>17-Aug</v>
      </c>
      <c r="H33" s="24" cm="1">
        <f t="array" ref="H33">IFERROR(_xlfn.XLOOKUP(TRUE,P33:ED33&lt;&gt;"",P33:ED33,,,-1)," ")</f>
        <v>23.5</v>
      </c>
      <c r="I33" s="25">
        <v>22.5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34"/>
      <c r="AF33" s="35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7">
        <v>23.5</v>
      </c>
      <c r="BF33" s="37"/>
      <c r="BG33" s="34"/>
      <c r="BH33" s="37"/>
      <c r="BI33" s="34"/>
      <c r="BJ33" s="34"/>
      <c r="BK33" s="34"/>
      <c r="BL33" s="37"/>
      <c r="BM33" s="37"/>
      <c r="BN33" s="34"/>
      <c r="BO33" s="34"/>
      <c r="BP33" s="34"/>
      <c r="BQ33" s="34"/>
      <c r="BR33" s="34"/>
      <c r="BS33" s="37"/>
      <c r="BT33" s="37"/>
      <c r="BU33" s="34"/>
      <c r="BV33" s="34"/>
      <c r="BW33" s="34"/>
      <c r="BX33" s="34"/>
      <c r="BY33" s="34"/>
      <c r="BZ33" s="34"/>
      <c r="CA33" s="37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43"/>
      <c r="CN33" s="37"/>
      <c r="CO33" s="37"/>
      <c r="CP33" s="34"/>
      <c r="CQ33" s="34"/>
      <c r="CR33" s="34"/>
      <c r="CS33" s="34"/>
      <c r="CT33" s="34"/>
      <c r="CU33" s="37"/>
      <c r="CV33" s="37"/>
      <c r="CW33" s="34"/>
      <c r="CX33" s="34"/>
      <c r="CY33" s="34"/>
      <c r="CZ33" s="34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9"/>
      <c r="EB33" s="39"/>
      <c r="EC33" s="40"/>
    </row>
    <row r="34" spans="1:133" hidden="1">
      <c r="A34" s="44"/>
      <c r="B34" s="45" t="s">
        <v>196</v>
      </c>
      <c r="C34" s="20" t="s">
        <v>197</v>
      </c>
      <c r="D34" s="21" t="s">
        <v>162</v>
      </c>
      <c r="E34" s="21"/>
      <c r="F34" s="22" t="s">
        <v>198</v>
      </c>
      <c r="G34" s="23" t="str" cm="1">
        <f t="array" ref="G34">IFERROR(LOOKUP(2,1/(K34:GC34&lt;&gt;""),K$2:DQL$2),"")</f>
        <v/>
      </c>
      <c r="H34" s="24" t="str" cm="1">
        <f t="array" ref="H34">IFERROR(_xlfn.XLOOKUP(TRUE,P34:ED34&lt;&gt;"",P34:ED34,,,-1)," ")</f>
        <v xml:space="preserve"> </v>
      </c>
      <c r="I34" s="25">
        <v>24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34"/>
      <c r="AF34" s="35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7"/>
      <c r="BF34" s="37"/>
      <c r="BG34" s="34"/>
      <c r="BH34" s="37"/>
      <c r="BI34" s="34"/>
      <c r="BJ34" s="34"/>
      <c r="BK34" s="34"/>
      <c r="BL34" s="37"/>
      <c r="BM34" s="37"/>
      <c r="BN34" s="34"/>
      <c r="BO34" s="34"/>
      <c r="BP34" s="34"/>
      <c r="BQ34" s="34"/>
      <c r="BR34" s="34"/>
      <c r="BS34" s="37"/>
      <c r="BT34" s="37"/>
      <c r="BU34" s="34"/>
      <c r="BV34" s="34"/>
      <c r="BW34" s="34"/>
      <c r="BX34" s="34"/>
      <c r="BY34" s="34"/>
      <c r="BZ34" s="34"/>
      <c r="CA34" s="37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43"/>
      <c r="CN34" s="37"/>
      <c r="CO34" s="37"/>
      <c r="CP34" s="34"/>
      <c r="CQ34" s="34"/>
      <c r="CR34" s="34"/>
      <c r="CS34" s="34"/>
      <c r="CT34" s="34"/>
      <c r="CU34" s="37"/>
      <c r="CV34" s="37"/>
      <c r="CW34" s="34"/>
      <c r="CX34" s="34"/>
      <c r="CY34" s="34"/>
      <c r="CZ34" s="34"/>
      <c r="DA34" s="37"/>
      <c r="DB34" s="37"/>
      <c r="DC34" s="37"/>
      <c r="DD34" s="34"/>
      <c r="DE34" s="34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9"/>
      <c r="EB34" s="39"/>
      <c r="EC34" s="40"/>
    </row>
    <row r="35" spans="1:133" hidden="1">
      <c r="A35" s="44"/>
      <c r="B35" s="45" t="s">
        <v>196</v>
      </c>
      <c r="C35" s="20" t="s">
        <v>199</v>
      </c>
      <c r="D35" s="21" t="s">
        <v>162</v>
      </c>
      <c r="E35" s="21"/>
      <c r="F35" s="22" t="s">
        <v>198</v>
      </c>
      <c r="G35" s="23" t="str" cm="1">
        <f t="array" ref="G35">IFERROR(LOOKUP(2,1/(K35:GC35&lt;&gt;""),K$2:DQL$2),"")</f>
        <v/>
      </c>
      <c r="H35" s="24" t="str" cm="1">
        <f t="array" ref="H35">IFERROR(_xlfn.XLOOKUP(TRUE,P35:ED35&lt;&gt;"",P35:ED35,,,-1)," ")</f>
        <v xml:space="preserve"> </v>
      </c>
      <c r="I35" s="25">
        <v>24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34"/>
      <c r="AF35" s="35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7"/>
      <c r="BF35" s="37"/>
      <c r="BG35" s="34"/>
      <c r="BH35" s="37"/>
      <c r="BI35" s="34"/>
      <c r="BJ35" s="34"/>
      <c r="BK35" s="34"/>
      <c r="BL35" s="37"/>
      <c r="BM35" s="37"/>
      <c r="BN35" s="34"/>
      <c r="BO35" s="34"/>
      <c r="BP35" s="34"/>
      <c r="BQ35" s="34"/>
      <c r="BR35" s="34"/>
      <c r="BS35" s="37"/>
      <c r="BT35" s="37"/>
      <c r="BU35" s="34"/>
      <c r="BV35" s="34"/>
      <c r="BW35" s="34"/>
      <c r="BX35" s="34"/>
      <c r="BY35" s="34"/>
      <c r="BZ35" s="34"/>
      <c r="CA35" s="37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43"/>
      <c r="CN35" s="37"/>
      <c r="CO35" s="37"/>
      <c r="CP35" s="34"/>
      <c r="CQ35" s="34"/>
      <c r="CR35" s="34"/>
      <c r="CS35" s="34"/>
      <c r="CT35" s="34"/>
      <c r="CU35" s="37"/>
      <c r="CV35" s="37"/>
      <c r="CW35" s="34"/>
      <c r="CX35" s="34"/>
      <c r="CY35" s="34"/>
      <c r="CZ35" s="34"/>
      <c r="DA35" s="37"/>
      <c r="DB35" s="37"/>
      <c r="DC35" s="37"/>
      <c r="DD35" s="34"/>
      <c r="DE35" s="34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9"/>
      <c r="EB35" s="39"/>
      <c r="EC35" s="40"/>
    </row>
    <row r="36" spans="1:133" hidden="1">
      <c r="A36" s="44"/>
      <c r="B36" s="45" t="s">
        <v>196</v>
      </c>
      <c r="C36" s="20" t="s">
        <v>200</v>
      </c>
      <c r="D36" s="21" t="s">
        <v>162</v>
      </c>
      <c r="E36" s="21"/>
      <c r="F36" s="22" t="s">
        <v>198</v>
      </c>
      <c r="G36" s="23" t="str" cm="1">
        <f t="array" ref="G36">IFERROR(LOOKUP(2,1/(K36:GC36&lt;&gt;""),K$2:DQL$2),"")</f>
        <v>15-Aug</v>
      </c>
      <c r="H36" s="24" cm="1">
        <f t="array" ref="H36">IFERROR(_xlfn.XLOOKUP(TRUE,P36:ED36&lt;&gt;"",P36:ED36,,,-1)," ")</f>
        <v>23</v>
      </c>
      <c r="I36" s="25">
        <v>24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34"/>
      <c r="AF36" s="35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>
        <v>23</v>
      </c>
      <c r="BD36" s="34"/>
      <c r="BE36" s="37"/>
      <c r="BF36" s="37"/>
      <c r="BG36" s="34"/>
      <c r="BH36" s="37"/>
      <c r="BI36" s="34"/>
      <c r="BJ36" s="34"/>
      <c r="BK36" s="34"/>
      <c r="BL36" s="37"/>
      <c r="BM36" s="37"/>
      <c r="BN36" s="34"/>
      <c r="BO36" s="34"/>
      <c r="BP36" s="34"/>
      <c r="BQ36" s="34"/>
      <c r="BR36" s="34"/>
      <c r="BS36" s="37"/>
      <c r="BT36" s="37"/>
      <c r="BU36" s="34"/>
      <c r="BV36" s="34"/>
      <c r="BW36" s="34"/>
      <c r="BX36" s="34"/>
      <c r="BY36" s="34"/>
      <c r="BZ36" s="34"/>
      <c r="CA36" s="37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43"/>
      <c r="CN36" s="37"/>
      <c r="CO36" s="37"/>
      <c r="CP36" s="34"/>
      <c r="CQ36" s="34"/>
      <c r="CR36" s="34"/>
      <c r="CS36" s="34"/>
      <c r="CT36" s="34"/>
      <c r="CU36" s="37"/>
      <c r="CV36" s="37"/>
      <c r="CW36" s="34"/>
      <c r="CX36" s="34"/>
      <c r="CY36" s="34"/>
      <c r="CZ36" s="34"/>
      <c r="DA36" s="37"/>
      <c r="DB36" s="37"/>
      <c r="DC36" s="37"/>
      <c r="DD36" s="34"/>
      <c r="DE36" s="34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9"/>
      <c r="EB36" s="39"/>
      <c r="EC36" s="40"/>
    </row>
    <row r="37" spans="1:133" hidden="1">
      <c r="A37" s="44"/>
      <c r="B37" s="45" t="s">
        <v>196</v>
      </c>
      <c r="C37" s="20" t="s">
        <v>201</v>
      </c>
      <c r="D37" s="21" t="s">
        <v>162</v>
      </c>
      <c r="E37" s="21"/>
      <c r="F37" s="22" t="s">
        <v>198</v>
      </c>
      <c r="G37" s="23" t="str" cm="1">
        <f t="array" ref="G37">IFERROR(LOOKUP(2,1/(K37:GC37&lt;&gt;""),K$2:DQL$2),"")</f>
        <v>15-Aug</v>
      </c>
      <c r="H37" s="24" cm="1">
        <f t="array" ref="H37">IFERROR(_xlfn.XLOOKUP(TRUE,P37:ED37&lt;&gt;"",P37:ED37,,,-1)," ")</f>
        <v>23.4</v>
      </c>
      <c r="I37" s="25">
        <v>24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34"/>
      <c r="AF37" s="35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>
        <v>23.4</v>
      </c>
      <c r="BD37" s="34"/>
      <c r="BE37" s="37"/>
      <c r="BF37" s="37"/>
      <c r="BG37" s="34"/>
      <c r="BH37" s="37"/>
      <c r="BI37" s="34"/>
      <c r="BJ37" s="34"/>
      <c r="BK37" s="34"/>
      <c r="BL37" s="37"/>
      <c r="BM37" s="37"/>
      <c r="BN37" s="34"/>
      <c r="BO37" s="34"/>
      <c r="BP37" s="34"/>
      <c r="BQ37" s="34"/>
      <c r="BR37" s="34"/>
      <c r="BS37" s="37"/>
      <c r="BT37" s="37"/>
      <c r="BU37" s="34"/>
      <c r="BV37" s="34"/>
      <c r="BW37" s="34"/>
      <c r="BX37" s="34"/>
      <c r="BY37" s="34"/>
      <c r="BZ37" s="34"/>
      <c r="CA37" s="37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43"/>
      <c r="CN37" s="37"/>
      <c r="CO37" s="37"/>
      <c r="CP37" s="34"/>
      <c r="CQ37" s="34"/>
      <c r="CR37" s="34"/>
      <c r="CS37" s="34"/>
      <c r="CT37" s="34"/>
      <c r="CU37" s="37"/>
      <c r="CV37" s="37"/>
      <c r="CW37" s="34"/>
      <c r="CX37" s="34"/>
      <c r="CY37" s="34"/>
      <c r="CZ37" s="34"/>
      <c r="DA37" s="37"/>
      <c r="DB37" s="37"/>
      <c r="DC37" s="37"/>
      <c r="DD37" s="34"/>
      <c r="DE37" s="34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9"/>
      <c r="EB37" s="39"/>
      <c r="EC37" s="40"/>
    </row>
    <row r="38" spans="1:133" hidden="1">
      <c r="A38" s="44"/>
      <c r="B38" s="45" t="s">
        <v>202</v>
      </c>
      <c r="C38" s="20" t="s">
        <v>203</v>
      </c>
      <c r="D38" s="21" t="s">
        <v>162</v>
      </c>
      <c r="E38" s="21"/>
      <c r="F38" s="22" t="s">
        <v>204</v>
      </c>
      <c r="G38" s="23" t="str" cm="1">
        <f t="array" ref="G38">IFERROR(LOOKUP(2,1/(K38:GC38&lt;&gt;""),K$2:DQL$2),"")</f>
        <v/>
      </c>
      <c r="H38" s="24" t="str" cm="1">
        <f t="array" ref="H38">IFERROR(_xlfn.XLOOKUP(TRUE,P38:ED38&lt;&gt;"",P38:ED38,,,-1)," ")</f>
        <v xml:space="preserve"> </v>
      </c>
      <c r="I38" s="25">
        <v>24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34"/>
      <c r="AF38" s="35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7"/>
      <c r="BF38" s="37"/>
      <c r="BG38" s="34"/>
      <c r="BH38" s="37"/>
      <c r="BI38" s="34"/>
      <c r="BJ38" s="34"/>
      <c r="BK38" s="34"/>
      <c r="BL38" s="37"/>
      <c r="BM38" s="37"/>
      <c r="BN38" s="34"/>
      <c r="BO38" s="34"/>
      <c r="BP38" s="34"/>
      <c r="BQ38" s="34"/>
      <c r="BR38" s="34"/>
      <c r="BS38" s="37"/>
      <c r="BT38" s="37"/>
      <c r="BU38" s="34"/>
      <c r="BV38" s="34"/>
      <c r="BW38" s="34"/>
      <c r="BX38" s="34"/>
      <c r="BY38" s="34"/>
      <c r="BZ38" s="34"/>
      <c r="CA38" s="37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43"/>
      <c r="CN38" s="37"/>
      <c r="CO38" s="37"/>
      <c r="CP38" s="34"/>
      <c r="CQ38" s="37"/>
      <c r="CR38" s="34"/>
      <c r="CS38" s="37"/>
      <c r="CT38" s="34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9"/>
      <c r="EB38" s="39"/>
      <c r="EC38" s="40"/>
    </row>
    <row r="39" spans="1:133" hidden="1">
      <c r="A39" s="44"/>
      <c r="B39" s="45" t="s">
        <v>202</v>
      </c>
      <c r="C39" s="20" t="s">
        <v>205</v>
      </c>
      <c r="D39" s="21" t="s">
        <v>162</v>
      </c>
      <c r="E39" s="21"/>
      <c r="F39" s="22" t="s">
        <v>204</v>
      </c>
      <c r="G39" s="23" t="str" cm="1">
        <f t="array" ref="G39">IFERROR(LOOKUP(2,1/(K39:GC39&lt;&gt;""),K$2:DQL$2),"")</f>
        <v>20-Aug</v>
      </c>
      <c r="H39" s="24" cm="1">
        <f t="array" ref="H39">IFERROR(_xlfn.XLOOKUP(TRUE,P39:ED39&lt;&gt;"",P39:ED39,,,-1)," ")</f>
        <v>24.4</v>
      </c>
      <c r="I39" s="25">
        <v>24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34"/>
      <c r="AF39" s="35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>
        <v>23.4</v>
      </c>
      <c r="BD39" s="34"/>
      <c r="BE39" s="37"/>
      <c r="BF39" s="37"/>
      <c r="BG39" s="34"/>
      <c r="BH39" s="37">
        <v>24.4</v>
      </c>
      <c r="BI39" s="34"/>
      <c r="BJ39" s="34"/>
      <c r="BK39" s="34"/>
      <c r="BL39" s="37"/>
      <c r="BM39" s="37"/>
      <c r="BN39" s="34"/>
      <c r="BO39" s="34"/>
      <c r="BP39" s="34"/>
      <c r="BQ39" s="34"/>
      <c r="BR39" s="34"/>
      <c r="BS39" s="37"/>
      <c r="BT39" s="37"/>
      <c r="BU39" s="34"/>
      <c r="BV39" s="34"/>
      <c r="BW39" s="34"/>
      <c r="BX39" s="34"/>
      <c r="BY39" s="34"/>
      <c r="BZ39" s="34"/>
      <c r="CA39" s="37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43"/>
      <c r="CN39" s="37"/>
      <c r="CO39" s="37"/>
      <c r="CP39" s="34"/>
      <c r="CQ39" s="37"/>
      <c r="CR39" s="34"/>
      <c r="CS39" s="37"/>
      <c r="CT39" s="34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9"/>
      <c r="EB39" s="39"/>
      <c r="EC39" s="40"/>
    </row>
    <row r="40" spans="1:133" hidden="1">
      <c r="A40" s="44"/>
      <c r="B40" s="45" t="s">
        <v>202</v>
      </c>
      <c r="C40" s="20" t="s">
        <v>206</v>
      </c>
      <c r="D40" s="21" t="s">
        <v>162</v>
      </c>
      <c r="E40" s="21"/>
      <c r="F40" s="22" t="s">
        <v>204</v>
      </c>
      <c r="G40" s="23" t="str" cm="1">
        <f t="array" ref="G40">IFERROR(LOOKUP(2,1/(K40:GC40&lt;&gt;""),K$2:DQL$2),"")</f>
        <v>20-Aug</v>
      </c>
      <c r="H40" s="24" cm="1">
        <f t="array" ref="H40">IFERROR(_xlfn.XLOOKUP(TRUE,P40:ED40&lt;&gt;"",P40:ED40,,,-1)," ")</f>
        <v>24</v>
      </c>
      <c r="I40" s="25">
        <v>24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34"/>
      <c r="AF40" s="35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>
        <v>23.1</v>
      </c>
      <c r="BD40" s="34"/>
      <c r="BE40" s="37"/>
      <c r="BF40" s="37"/>
      <c r="BG40" s="34"/>
      <c r="BH40" s="37">
        <v>24</v>
      </c>
      <c r="BI40" s="34"/>
      <c r="BJ40" s="34"/>
      <c r="BK40" s="34"/>
      <c r="BL40" s="37"/>
      <c r="BM40" s="37"/>
      <c r="BN40" s="34"/>
      <c r="BO40" s="34"/>
      <c r="BP40" s="34"/>
      <c r="BQ40" s="34"/>
      <c r="BR40" s="34"/>
      <c r="BS40" s="37"/>
      <c r="BT40" s="37"/>
      <c r="BU40" s="34"/>
      <c r="BV40" s="34"/>
      <c r="BW40" s="34"/>
      <c r="BX40" s="34"/>
      <c r="BY40" s="34"/>
      <c r="BZ40" s="34"/>
      <c r="CA40" s="37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43"/>
      <c r="CN40" s="37"/>
      <c r="CO40" s="37"/>
      <c r="CP40" s="34"/>
      <c r="CQ40" s="37"/>
      <c r="CR40" s="34"/>
      <c r="CS40" s="37"/>
      <c r="CT40" s="34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9"/>
      <c r="EB40" s="39"/>
      <c r="EC40" s="40"/>
    </row>
    <row r="41" spans="1:133" hidden="1">
      <c r="A41" s="44"/>
      <c r="B41" s="45" t="s">
        <v>207</v>
      </c>
      <c r="C41" s="20" t="s">
        <v>208</v>
      </c>
      <c r="D41" s="21" t="s">
        <v>162</v>
      </c>
      <c r="E41" s="21"/>
      <c r="F41" s="22"/>
      <c r="G41" s="23" t="str" cm="1">
        <f t="array" ref="G41">IFERROR(LOOKUP(2,1/(K41:GC41&lt;&gt;""),K$2:DQL$2),"")</f>
        <v/>
      </c>
      <c r="H41" s="24" t="str" cm="1">
        <f t="array" ref="H41">IFERROR(_xlfn.XLOOKUP(TRUE,P41:ED41&lt;&gt;"",P41:ED41,,,-1)," ")</f>
        <v xml:space="preserve"> </v>
      </c>
      <c r="I41" s="25">
        <v>24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34"/>
      <c r="AF41" s="35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7"/>
      <c r="BF41" s="37"/>
      <c r="BG41" s="34"/>
      <c r="BH41" s="37"/>
      <c r="BI41" s="34"/>
      <c r="BJ41" s="34"/>
      <c r="BK41" s="34"/>
      <c r="BL41" s="37"/>
      <c r="BM41" s="37"/>
      <c r="BN41" s="34"/>
      <c r="BO41" s="34"/>
      <c r="BP41" s="34"/>
      <c r="BQ41" s="34"/>
      <c r="BR41" s="34"/>
      <c r="BS41" s="37"/>
      <c r="BT41" s="37"/>
      <c r="BU41" s="34"/>
      <c r="BV41" s="34"/>
      <c r="BW41" s="34"/>
      <c r="BX41" s="34"/>
      <c r="BY41" s="34"/>
      <c r="BZ41" s="34"/>
      <c r="CA41" s="37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43"/>
      <c r="CN41" s="37"/>
      <c r="CO41" s="37"/>
      <c r="CP41" s="34"/>
      <c r="CQ41" s="37"/>
      <c r="CR41" s="34"/>
      <c r="CS41" s="37"/>
      <c r="CT41" s="34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9"/>
      <c r="EB41" s="39"/>
      <c r="EC41" s="40"/>
    </row>
    <row r="42" spans="1:133">
      <c r="A42" s="44"/>
      <c r="B42" s="45" t="s">
        <v>209</v>
      </c>
      <c r="C42" s="20" t="s">
        <v>210</v>
      </c>
      <c r="D42" s="21" t="s">
        <v>162</v>
      </c>
      <c r="E42" s="21"/>
      <c r="F42" s="22" t="s">
        <v>137</v>
      </c>
      <c r="G42" s="23" t="str" cm="1">
        <f t="array" ref="G42">IFERROR(LOOKUP(2,1/(K42:GC42&lt;&gt;""),K$2:DQL$2),"")</f>
        <v>19-Aug</v>
      </c>
      <c r="H42" s="24" cm="1">
        <f t="array" ref="H42">IFERROR(_xlfn.XLOOKUP(TRUE,P42:ED42&lt;&gt;"",P42:ED42,,,-1)," ")</f>
        <v>23.8</v>
      </c>
      <c r="I42" s="25">
        <v>24</v>
      </c>
      <c r="J42" s="25">
        <v>25.5</v>
      </c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34"/>
      <c r="AF42" s="35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7"/>
      <c r="BF42" s="37"/>
      <c r="BG42" s="34">
        <v>23.8</v>
      </c>
      <c r="BH42" s="37"/>
      <c r="BI42" s="34"/>
      <c r="BJ42" s="34"/>
      <c r="BK42" s="34"/>
      <c r="BL42" s="37"/>
      <c r="BM42" s="37"/>
      <c r="BN42" s="34"/>
      <c r="BO42" s="34"/>
      <c r="BP42" s="34"/>
      <c r="BQ42" s="34"/>
      <c r="BR42" s="34"/>
      <c r="BS42" s="37"/>
      <c r="BT42" s="37"/>
      <c r="BU42" s="34"/>
      <c r="BV42" s="34"/>
      <c r="BW42" s="34"/>
      <c r="BX42" s="34"/>
      <c r="BY42" s="34"/>
      <c r="BZ42" s="34"/>
      <c r="CA42" s="37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43"/>
      <c r="CN42" s="37"/>
      <c r="CO42" s="37"/>
      <c r="CP42" s="34"/>
      <c r="CQ42" s="34"/>
      <c r="CR42" s="34"/>
      <c r="CS42" s="36"/>
      <c r="CT42" s="34"/>
      <c r="CU42" s="37"/>
      <c r="CV42" s="37"/>
      <c r="CW42" s="34"/>
      <c r="CX42" s="36"/>
      <c r="CY42" s="34"/>
      <c r="CZ42" s="34"/>
      <c r="DA42" s="37"/>
      <c r="DB42" s="37"/>
      <c r="DC42" s="37"/>
      <c r="DD42" s="36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9"/>
      <c r="EB42" s="39"/>
      <c r="EC42" s="40"/>
    </row>
    <row r="43" spans="1:133" hidden="1">
      <c r="A43" s="44"/>
      <c r="B43" s="45" t="s">
        <v>211</v>
      </c>
      <c r="C43" s="20" t="s">
        <v>212</v>
      </c>
      <c r="D43" s="21" t="s">
        <v>162</v>
      </c>
      <c r="E43" s="21"/>
      <c r="F43" s="22"/>
      <c r="G43" s="23" t="str" cm="1">
        <f t="array" ref="G43">IFERROR(LOOKUP(2,1/(K43:GC43&lt;&gt;""),K$2:DQL$2),"")</f>
        <v/>
      </c>
      <c r="H43" s="24" t="str" cm="1">
        <f t="array" ref="H43">IFERROR(_xlfn.XLOOKUP(TRUE,P43:ED43&lt;&gt;"",P43:ED43,,,-1)," ")</f>
        <v xml:space="preserve"> </v>
      </c>
      <c r="I43" s="25">
        <v>25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34"/>
      <c r="AF43" s="35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7"/>
      <c r="BF43" s="37"/>
      <c r="BG43" s="34"/>
      <c r="BH43" s="37"/>
      <c r="BI43" s="34"/>
      <c r="BJ43" s="34"/>
      <c r="BK43" s="34"/>
      <c r="BL43" s="37"/>
      <c r="BM43" s="37"/>
      <c r="BN43" s="34"/>
      <c r="BO43" s="34"/>
      <c r="BP43" s="34"/>
      <c r="BQ43" s="34"/>
      <c r="BR43" s="34"/>
      <c r="BS43" s="37"/>
      <c r="BT43" s="37"/>
      <c r="BU43" s="34"/>
      <c r="BV43" s="34"/>
      <c r="BW43" s="34"/>
      <c r="BX43" s="34"/>
      <c r="BY43" s="34"/>
      <c r="BZ43" s="34"/>
      <c r="CA43" s="37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43"/>
      <c r="CN43" s="37"/>
      <c r="CO43" s="37"/>
      <c r="CP43" s="34"/>
      <c r="CQ43" s="34"/>
      <c r="CR43" s="34"/>
      <c r="CS43" s="34"/>
      <c r="CT43" s="34"/>
      <c r="CU43" s="37"/>
      <c r="CV43" s="34"/>
      <c r="CW43" s="42"/>
      <c r="CX43" s="34"/>
      <c r="CY43" s="34"/>
      <c r="CZ43" s="34"/>
      <c r="DA43" s="37"/>
      <c r="DB43" s="37"/>
      <c r="DC43" s="37"/>
      <c r="DD43" s="34"/>
      <c r="DE43" s="34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9"/>
      <c r="EB43" s="39"/>
      <c r="EC43" s="40"/>
    </row>
    <row r="44" spans="1:133" hidden="1">
      <c r="A44" s="44"/>
      <c r="B44" s="45" t="s">
        <v>211</v>
      </c>
      <c r="C44" s="20" t="s">
        <v>213</v>
      </c>
      <c r="D44" s="21" t="s">
        <v>162</v>
      </c>
      <c r="E44" s="21"/>
      <c r="F44" s="22"/>
      <c r="G44" s="23" t="str" cm="1">
        <f t="array" ref="G44">IFERROR(LOOKUP(2,1/(K44:GC44&lt;&gt;""),K$2:DQL$2),"")</f>
        <v/>
      </c>
      <c r="H44" s="24" t="str" cm="1">
        <f t="array" ref="H44">IFERROR(_xlfn.XLOOKUP(TRUE,P44:ED44&lt;&gt;"",P44:ED44,,,-1)," ")</f>
        <v xml:space="preserve"> </v>
      </c>
      <c r="I44" s="25">
        <v>25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34"/>
      <c r="AF44" s="35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7"/>
      <c r="BF44" s="37"/>
      <c r="BG44" s="34"/>
      <c r="BH44" s="37"/>
      <c r="BI44" s="34"/>
      <c r="BJ44" s="34"/>
      <c r="BK44" s="34"/>
      <c r="BL44" s="37"/>
      <c r="BM44" s="37"/>
      <c r="BN44" s="34"/>
      <c r="BO44" s="34"/>
      <c r="BP44" s="34"/>
      <c r="BQ44" s="34"/>
      <c r="BR44" s="34"/>
      <c r="BS44" s="37"/>
      <c r="BT44" s="37"/>
      <c r="BU44" s="34"/>
      <c r="BV44" s="34"/>
      <c r="BW44" s="34"/>
      <c r="BX44" s="34"/>
      <c r="BY44" s="34"/>
      <c r="BZ44" s="34"/>
      <c r="CA44" s="37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43"/>
      <c r="CN44" s="37"/>
      <c r="CO44" s="37"/>
      <c r="CP44" s="34"/>
      <c r="CQ44" s="34"/>
      <c r="CR44" s="34"/>
      <c r="CS44" s="34"/>
      <c r="CT44" s="34"/>
      <c r="CU44" s="37"/>
      <c r="CV44" s="37"/>
      <c r="CW44" s="34"/>
      <c r="CX44" s="34"/>
      <c r="CY44" s="34"/>
      <c r="CZ44" s="34"/>
      <c r="DA44" s="37"/>
      <c r="DB44" s="37"/>
      <c r="DC44" s="37"/>
      <c r="DD44" s="34"/>
      <c r="DE44" s="34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9"/>
      <c r="EB44" s="39"/>
      <c r="EC44" s="40"/>
    </row>
    <row r="45" spans="1:133" hidden="1">
      <c r="A45" s="44"/>
      <c r="B45" s="45" t="s">
        <v>211</v>
      </c>
      <c r="C45" s="20" t="s">
        <v>214</v>
      </c>
      <c r="D45" s="21" t="s">
        <v>162</v>
      </c>
      <c r="E45" s="21"/>
      <c r="F45" s="22"/>
      <c r="G45" s="23" t="str" cm="1">
        <f t="array" ref="G45">IFERROR(LOOKUP(2,1/(K45:GC45&lt;&gt;""),K$2:DQL$2),"")</f>
        <v/>
      </c>
      <c r="H45" s="24" t="str" cm="1">
        <f t="array" ref="H45">IFERROR(_xlfn.XLOOKUP(TRUE,P45:ED45&lt;&gt;"",P45:ED45,,,-1)," ")</f>
        <v xml:space="preserve"> </v>
      </c>
      <c r="I45" s="25">
        <v>25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34"/>
      <c r="AF45" s="35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7"/>
      <c r="BF45" s="37"/>
      <c r="BG45" s="34"/>
      <c r="BH45" s="37"/>
      <c r="BI45" s="34"/>
      <c r="BJ45" s="34"/>
      <c r="BK45" s="34"/>
      <c r="BL45" s="37"/>
      <c r="BM45" s="37"/>
      <c r="BN45" s="34"/>
      <c r="BO45" s="34"/>
      <c r="BP45" s="34"/>
      <c r="BQ45" s="34"/>
      <c r="BR45" s="34"/>
      <c r="BS45" s="37"/>
      <c r="BT45" s="37"/>
      <c r="BU45" s="34"/>
      <c r="BV45" s="34"/>
      <c r="BW45" s="34"/>
      <c r="BX45" s="34"/>
      <c r="BY45" s="34"/>
      <c r="BZ45" s="34"/>
      <c r="CA45" s="37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43"/>
      <c r="CN45" s="37"/>
      <c r="CO45" s="37"/>
      <c r="CP45" s="34"/>
      <c r="CQ45" s="34"/>
      <c r="CR45" s="34"/>
      <c r="CS45" s="34"/>
      <c r="CT45" s="34"/>
      <c r="CU45" s="37"/>
      <c r="CV45" s="37"/>
      <c r="CW45" s="34"/>
      <c r="CX45" s="34"/>
      <c r="CY45" s="34"/>
      <c r="CZ45" s="34"/>
      <c r="DA45" s="37"/>
      <c r="DB45" s="37"/>
      <c r="DC45" s="37"/>
      <c r="DD45" s="34"/>
      <c r="DE45" s="34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9"/>
      <c r="EB45" s="39"/>
      <c r="EC45" s="40"/>
    </row>
    <row r="46" spans="1:133" hidden="1">
      <c r="A46" s="44"/>
      <c r="B46" s="45" t="s">
        <v>215</v>
      </c>
      <c r="C46" s="20" t="s">
        <v>216</v>
      </c>
      <c r="D46" s="21" t="s">
        <v>162</v>
      </c>
      <c r="E46" s="21"/>
      <c r="F46" s="22" t="s">
        <v>198</v>
      </c>
      <c r="G46" s="23" t="str" cm="1">
        <f t="array" ref="G46">IFERROR(LOOKUP(2,1/(K46:GC46&lt;&gt;""),K$2:DQL$2),"")</f>
        <v>18-Aug</v>
      </c>
      <c r="H46" s="24" cm="1">
        <f t="array" ref="H46">IFERROR(_xlfn.XLOOKUP(TRUE,P46:ED46&lt;&gt;"",P46:ED46,,,-1)," ")</f>
        <v>21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34"/>
      <c r="AF46" s="35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7"/>
      <c r="BF46" s="37">
        <v>21</v>
      </c>
      <c r="BG46" s="34"/>
      <c r="BH46" s="37"/>
      <c r="BI46" s="34"/>
      <c r="BJ46" s="34"/>
      <c r="BK46" s="34"/>
      <c r="BL46" s="37"/>
      <c r="BM46" s="37"/>
      <c r="BN46" s="34"/>
      <c r="BO46" s="34"/>
      <c r="BP46" s="34"/>
      <c r="BQ46" s="34"/>
      <c r="BR46" s="34"/>
      <c r="BS46" s="37"/>
      <c r="BT46" s="37"/>
      <c r="BU46" s="34"/>
      <c r="BV46" s="34"/>
      <c r="BW46" s="34"/>
      <c r="BX46" s="34"/>
      <c r="BY46" s="34"/>
      <c r="BZ46" s="34"/>
      <c r="CA46" s="37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43"/>
      <c r="CN46" s="37"/>
      <c r="CO46" s="37"/>
      <c r="CP46" s="34"/>
      <c r="CQ46" s="37"/>
      <c r="CR46" s="34"/>
      <c r="CS46" s="37"/>
      <c r="CT46" s="34"/>
      <c r="CU46" s="37"/>
      <c r="CV46" s="38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9"/>
      <c r="EB46" s="39"/>
      <c r="EC46" s="40"/>
    </row>
    <row r="47" spans="1:133" hidden="1">
      <c r="A47" s="44"/>
      <c r="B47" s="45" t="s">
        <v>217</v>
      </c>
      <c r="C47" s="20" t="s">
        <v>218</v>
      </c>
      <c r="D47" s="21" t="s">
        <v>162</v>
      </c>
      <c r="E47" s="21"/>
      <c r="F47" s="22" t="s">
        <v>188</v>
      </c>
      <c r="G47" s="23" t="str" cm="1">
        <f t="array" ref="G47">IFERROR(LOOKUP(2,1/(K47:GC47&lt;&gt;""),K$2:DQL$2),"")</f>
        <v/>
      </c>
      <c r="H47" s="24" t="str" cm="1">
        <f t="array" ref="H47">IFERROR(_xlfn.XLOOKUP(TRUE,P47:ED47&lt;&gt;"",P47:ED47,,,-1)," ")</f>
        <v xml:space="preserve"> </v>
      </c>
      <c r="I47" s="25">
        <v>25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34"/>
      <c r="AF47" s="35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7"/>
      <c r="BF47" s="37"/>
      <c r="BG47" s="34"/>
      <c r="BH47" s="37"/>
      <c r="BI47" s="34"/>
      <c r="BJ47" s="34"/>
      <c r="BK47" s="34"/>
      <c r="BL47" s="37"/>
      <c r="BM47" s="37"/>
      <c r="BN47" s="34"/>
      <c r="BO47" s="34"/>
      <c r="BP47" s="34"/>
      <c r="BQ47" s="34"/>
      <c r="BR47" s="34"/>
      <c r="BS47" s="37"/>
      <c r="BT47" s="37"/>
      <c r="BU47" s="34"/>
      <c r="BV47" s="34"/>
      <c r="BW47" s="34"/>
      <c r="BX47" s="34"/>
      <c r="BY47" s="34"/>
      <c r="BZ47" s="34"/>
      <c r="CA47" s="37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43"/>
      <c r="CN47" s="37"/>
      <c r="CO47" s="37"/>
      <c r="CP47" s="34"/>
      <c r="CQ47" s="97"/>
      <c r="CR47" s="34"/>
      <c r="CS47" s="34"/>
      <c r="CT47" s="34"/>
      <c r="CU47" s="37"/>
      <c r="CV47" s="37"/>
      <c r="CW47" s="34"/>
      <c r="CX47" s="34"/>
      <c r="CY47" s="34"/>
      <c r="CZ47" s="34"/>
      <c r="DA47" s="37"/>
      <c r="DB47" s="37"/>
      <c r="DC47" s="37"/>
      <c r="DD47" s="34"/>
      <c r="DE47" s="34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9"/>
      <c r="EB47" s="39"/>
      <c r="EC47" s="40"/>
    </row>
    <row r="48" spans="1:133" hidden="1">
      <c r="A48" s="44"/>
      <c r="B48" s="45" t="s">
        <v>217</v>
      </c>
      <c r="C48" s="20" t="s">
        <v>219</v>
      </c>
      <c r="D48" s="21" t="s">
        <v>162</v>
      </c>
      <c r="E48" s="21"/>
      <c r="F48" s="22" t="s">
        <v>188</v>
      </c>
      <c r="G48" s="23" t="str" cm="1">
        <f t="array" ref="G48">IFERROR(LOOKUP(2,1/(K48:GC48&lt;&gt;""),K$2:DQL$2),"")</f>
        <v/>
      </c>
      <c r="H48" s="24" t="str" cm="1">
        <f t="array" ref="H48">IFERROR(_xlfn.XLOOKUP(TRUE,P48:ED48&lt;&gt;"",P48:ED48,,,-1)," ")</f>
        <v xml:space="preserve"> </v>
      </c>
      <c r="I48" s="25">
        <v>25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34"/>
      <c r="AF48" s="35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7"/>
      <c r="BF48" s="37"/>
      <c r="BG48" s="34"/>
      <c r="BH48" s="37"/>
      <c r="BI48" s="34"/>
      <c r="BJ48" s="34"/>
      <c r="BK48" s="34"/>
      <c r="BL48" s="37"/>
      <c r="BM48" s="37"/>
      <c r="BN48" s="34"/>
      <c r="BO48" s="34"/>
      <c r="BP48" s="34"/>
      <c r="BQ48" s="34"/>
      <c r="BR48" s="34"/>
      <c r="BS48" s="37"/>
      <c r="BT48" s="37"/>
      <c r="BU48" s="34"/>
      <c r="BV48" s="34"/>
      <c r="BW48" s="34"/>
      <c r="BX48" s="34"/>
      <c r="BY48" s="34"/>
      <c r="BZ48" s="34"/>
      <c r="CA48" s="37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43"/>
      <c r="CN48" s="37"/>
      <c r="CO48" s="37"/>
      <c r="CP48" s="34"/>
      <c r="CQ48" s="34"/>
      <c r="CR48" s="34"/>
      <c r="CS48" s="34"/>
      <c r="CT48" s="34"/>
      <c r="CU48" s="37"/>
      <c r="CV48" s="37"/>
      <c r="CW48" s="34"/>
      <c r="CX48" s="34"/>
      <c r="CY48" s="34"/>
      <c r="CZ48" s="34"/>
      <c r="DA48" s="37"/>
      <c r="DB48" s="37"/>
      <c r="DC48" s="37"/>
      <c r="DD48" s="34"/>
      <c r="DE48" s="34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9"/>
      <c r="EB48" s="39"/>
      <c r="EC48" s="40"/>
    </row>
    <row r="49" spans="1:133" hidden="1">
      <c r="A49" s="44"/>
      <c r="B49" s="45" t="s">
        <v>217</v>
      </c>
      <c r="C49" s="20" t="s">
        <v>220</v>
      </c>
      <c r="D49" s="21" t="s">
        <v>162</v>
      </c>
      <c r="E49" s="21"/>
      <c r="F49" s="22" t="s">
        <v>188</v>
      </c>
      <c r="G49" s="23" t="str" cm="1">
        <f t="array" ref="G49">IFERROR(LOOKUP(2,1/(K49:GC49&lt;&gt;""),K$2:DQL$2),"")</f>
        <v/>
      </c>
      <c r="H49" s="24" t="str" cm="1">
        <f t="array" ref="H49">IFERROR(_xlfn.XLOOKUP(TRUE,P49:ED49&lt;&gt;"",P49:ED49,,,-1)," ")</f>
        <v xml:space="preserve"> </v>
      </c>
      <c r="I49" s="25">
        <v>25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34"/>
      <c r="AF49" s="35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7"/>
      <c r="BF49" s="37"/>
      <c r="BG49" s="34"/>
      <c r="BH49" s="37"/>
      <c r="BI49" s="34"/>
      <c r="BJ49" s="34"/>
      <c r="BK49" s="34"/>
      <c r="BL49" s="37"/>
      <c r="BM49" s="37"/>
      <c r="BN49" s="34"/>
      <c r="BO49" s="34"/>
      <c r="BP49" s="34"/>
      <c r="BQ49" s="34"/>
      <c r="BR49" s="34"/>
      <c r="BS49" s="37"/>
      <c r="BT49" s="37"/>
      <c r="BU49" s="34"/>
      <c r="BV49" s="34"/>
      <c r="BW49" s="34"/>
      <c r="BX49" s="34"/>
      <c r="BY49" s="34"/>
      <c r="BZ49" s="34"/>
      <c r="CA49" s="37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43"/>
      <c r="CN49" s="37"/>
      <c r="CO49" s="37"/>
      <c r="CP49" s="34"/>
      <c r="CQ49" s="34"/>
      <c r="CR49" s="34"/>
      <c r="CS49" s="34"/>
      <c r="CT49" s="34"/>
      <c r="CU49" s="37"/>
      <c r="CV49" s="37"/>
      <c r="CW49" s="34"/>
      <c r="CX49" s="34"/>
      <c r="CY49" s="34"/>
      <c r="CZ49" s="34"/>
      <c r="DA49" s="37"/>
      <c r="DB49" s="37"/>
      <c r="DC49" s="37"/>
      <c r="DD49" s="34"/>
      <c r="DE49" s="34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9"/>
      <c r="EB49" s="39"/>
      <c r="EC49" s="40"/>
    </row>
    <row r="50" spans="1:133" hidden="1">
      <c r="A50" s="44"/>
      <c r="B50" s="45" t="s">
        <v>221</v>
      </c>
      <c r="C50" s="20" t="s">
        <v>222</v>
      </c>
      <c r="D50" s="21" t="s">
        <v>162</v>
      </c>
      <c r="E50" s="21"/>
      <c r="F50" s="22"/>
      <c r="G50" s="23" t="str" cm="1">
        <f t="array" ref="G50">IFERROR(LOOKUP(2,1/(K50:GC50&lt;&gt;""),K$2:DQL$2),"")</f>
        <v/>
      </c>
      <c r="H50" s="24" t="str" cm="1">
        <f t="array" ref="H50">IFERROR(_xlfn.XLOOKUP(TRUE,P50:ED50&lt;&gt;"",P50:ED50,,,-1)," ")</f>
        <v xml:space="preserve"> 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34"/>
      <c r="AF50" s="35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7"/>
      <c r="BF50" s="37"/>
      <c r="BG50" s="34"/>
      <c r="BH50" s="37"/>
      <c r="BI50" s="34"/>
      <c r="BJ50" s="34"/>
      <c r="BK50" s="34"/>
      <c r="BL50" s="37"/>
      <c r="BM50" s="37"/>
      <c r="BN50" s="34"/>
      <c r="BO50" s="34"/>
      <c r="BP50" s="34"/>
      <c r="BQ50" s="34"/>
      <c r="BR50" s="34"/>
      <c r="BS50" s="37"/>
      <c r="BT50" s="37"/>
      <c r="BU50" s="34"/>
      <c r="BV50" s="34"/>
      <c r="BW50" s="34"/>
      <c r="BX50" s="34"/>
      <c r="BY50" s="34"/>
      <c r="BZ50" s="34"/>
      <c r="CA50" s="37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43"/>
      <c r="CN50" s="37"/>
      <c r="CO50" s="37"/>
      <c r="CP50" s="34"/>
      <c r="CQ50" s="34"/>
      <c r="CR50" s="34"/>
      <c r="CS50" s="34"/>
      <c r="CT50" s="34"/>
      <c r="CU50" s="37"/>
      <c r="CV50" s="37"/>
      <c r="CW50" s="34"/>
      <c r="CX50" s="34"/>
      <c r="CY50" s="34"/>
      <c r="CZ50" s="34"/>
      <c r="DA50" s="37"/>
      <c r="DB50" s="37"/>
      <c r="DC50" s="37"/>
      <c r="DD50" s="34"/>
      <c r="DE50" s="34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9"/>
      <c r="EB50" s="39"/>
      <c r="EC50" s="40"/>
    </row>
    <row r="51" spans="1:133" hidden="1">
      <c r="A51" s="44"/>
      <c r="B51" s="45" t="s">
        <v>221</v>
      </c>
      <c r="C51" s="20" t="s">
        <v>223</v>
      </c>
      <c r="D51" s="21" t="s">
        <v>162</v>
      </c>
      <c r="E51" s="21"/>
      <c r="F51" s="22"/>
      <c r="G51" s="23" t="str" cm="1">
        <f t="array" ref="G51">IFERROR(LOOKUP(2,1/(K51:GC51&lt;&gt;""),K$2:DQL$2),"")</f>
        <v/>
      </c>
      <c r="H51" s="24" t="str" cm="1">
        <f t="array" ref="H51">IFERROR(_xlfn.XLOOKUP(TRUE,P51:ED51&lt;&gt;"",P51:ED51,,,-1)," ")</f>
        <v xml:space="preserve"> </v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34"/>
      <c r="AF51" s="35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7"/>
      <c r="BF51" s="37"/>
      <c r="BG51" s="34"/>
      <c r="BH51" s="37"/>
      <c r="BI51" s="34"/>
      <c r="BJ51" s="34"/>
      <c r="BK51" s="34"/>
      <c r="BL51" s="37"/>
      <c r="BM51" s="37"/>
      <c r="BN51" s="34"/>
      <c r="BO51" s="34"/>
      <c r="BP51" s="34"/>
      <c r="BQ51" s="34"/>
      <c r="BR51" s="34"/>
      <c r="BS51" s="37"/>
      <c r="BT51" s="37"/>
      <c r="BU51" s="34"/>
      <c r="BV51" s="34"/>
      <c r="BW51" s="34"/>
      <c r="BX51" s="34"/>
      <c r="BY51" s="34"/>
      <c r="BZ51" s="34"/>
      <c r="CA51" s="37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43"/>
      <c r="CN51" s="37"/>
      <c r="CO51" s="37"/>
      <c r="CP51" s="34"/>
      <c r="CQ51" s="34"/>
      <c r="CR51" s="34"/>
      <c r="CS51" s="34"/>
      <c r="CT51" s="34"/>
      <c r="CU51" s="37"/>
      <c r="CV51" s="37"/>
      <c r="CW51" s="34"/>
      <c r="CX51" s="34"/>
      <c r="CY51" s="34"/>
      <c r="CZ51" s="34"/>
      <c r="DA51" s="37"/>
      <c r="DB51" s="37"/>
      <c r="DC51" s="37"/>
      <c r="DD51" s="34"/>
      <c r="DE51" s="34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9"/>
      <c r="EB51" s="39"/>
      <c r="EC51" s="40"/>
    </row>
    <row r="52" spans="1:133" hidden="1">
      <c r="A52" s="44"/>
      <c r="B52" s="45" t="s">
        <v>221</v>
      </c>
      <c r="C52" s="20" t="s">
        <v>224</v>
      </c>
      <c r="D52" s="21" t="s">
        <v>162</v>
      </c>
      <c r="E52" s="21"/>
      <c r="F52" s="22"/>
      <c r="G52" s="23" t="str" cm="1">
        <f t="array" ref="G52">IFERROR(LOOKUP(2,1/(K52:GC52&lt;&gt;""),K$2:DQL$2),"")</f>
        <v/>
      </c>
      <c r="H52" s="24" t="str" cm="1">
        <f t="array" ref="H52">IFERROR(_xlfn.XLOOKUP(TRUE,P52:ED52&lt;&gt;"",P52:ED52,,,-1)," ")</f>
        <v xml:space="preserve"> 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34"/>
      <c r="AF52" s="35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7"/>
      <c r="BF52" s="37"/>
      <c r="BG52" s="34"/>
      <c r="BH52" s="37"/>
      <c r="BI52" s="34"/>
      <c r="BJ52" s="34"/>
      <c r="BK52" s="34"/>
      <c r="BL52" s="37"/>
      <c r="BM52" s="37"/>
      <c r="BN52" s="34"/>
      <c r="BO52" s="34"/>
      <c r="BP52" s="34"/>
      <c r="BQ52" s="34"/>
      <c r="BR52" s="34"/>
      <c r="BS52" s="37"/>
      <c r="BT52" s="37"/>
      <c r="BU52" s="34"/>
      <c r="BV52" s="34"/>
      <c r="BW52" s="34"/>
      <c r="BX52" s="34"/>
      <c r="BY52" s="34"/>
      <c r="BZ52" s="34"/>
      <c r="CA52" s="37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43"/>
      <c r="CN52" s="37"/>
      <c r="CO52" s="37"/>
      <c r="CP52" s="34"/>
      <c r="CQ52" s="34"/>
      <c r="CR52" s="34"/>
      <c r="CS52" s="34"/>
      <c r="CT52" s="34"/>
      <c r="CU52" s="37"/>
      <c r="CV52" s="37"/>
      <c r="CW52" s="34"/>
      <c r="CX52" s="34"/>
      <c r="CY52" s="34"/>
      <c r="CZ52" s="34"/>
      <c r="DA52" s="37"/>
      <c r="DB52" s="37"/>
      <c r="DC52" s="37"/>
      <c r="DD52" s="34"/>
      <c r="DE52" s="34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9"/>
      <c r="EB52" s="39"/>
      <c r="EC52" s="40"/>
    </row>
    <row r="53" spans="1:133">
      <c r="A53" s="44"/>
      <c r="B53" s="45" t="s">
        <v>225</v>
      </c>
      <c r="C53" s="20" t="s">
        <v>226</v>
      </c>
      <c r="D53" s="21" t="s">
        <v>162</v>
      </c>
      <c r="E53" s="21"/>
      <c r="F53" s="22" t="s">
        <v>137</v>
      </c>
      <c r="G53" s="23" t="str" cm="1">
        <f t="array" ref="G53">IFERROR(LOOKUP(2,1/(K53:GC53&lt;&gt;""),K$2:DQL$2),"")</f>
        <v>12-Aug</v>
      </c>
      <c r="H53" s="24" cm="1">
        <f t="array" ref="H53">IFERROR(_xlfn.XLOOKUP(TRUE,P53:ED53&lt;&gt;"",P53:ED53,,,-1)," ")</f>
        <v>21.4</v>
      </c>
      <c r="I53" s="25">
        <v>24</v>
      </c>
      <c r="J53" s="25">
        <v>25.5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34"/>
      <c r="AF53" s="35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>
        <v>21.4</v>
      </c>
      <c r="BA53" s="34"/>
      <c r="BB53" s="34"/>
      <c r="BC53" s="34"/>
      <c r="BD53" s="34"/>
      <c r="BE53" s="37"/>
      <c r="BF53" s="37"/>
      <c r="BG53" s="34"/>
      <c r="BH53" s="37"/>
      <c r="BI53" s="34"/>
      <c r="BJ53" s="34"/>
      <c r="BK53" s="34"/>
      <c r="BL53" s="37"/>
      <c r="BM53" s="37"/>
      <c r="BN53" s="34"/>
      <c r="BO53" s="34"/>
      <c r="BP53" s="34"/>
      <c r="BQ53" s="34"/>
      <c r="BR53" s="34"/>
      <c r="BS53" s="37"/>
      <c r="BT53" s="37"/>
      <c r="BU53" s="34"/>
      <c r="BV53" s="34"/>
      <c r="BW53" s="34"/>
      <c r="BX53" s="34"/>
      <c r="BY53" s="34"/>
      <c r="BZ53" s="34"/>
      <c r="CA53" s="38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41"/>
      <c r="CN53" s="37"/>
      <c r="CO53" s="37"/>
      <c r="CP53" s="34"/>
      <c r="CQ53" s="37"/>
      <c r="CR53" s="34"/>
      <c r="CS53" s="37"/>
      <c r="CT53" s="34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9"/>
      <c r="EB53" s="39"/>
      <c r="EC53" s="40"/>
    </row>
    <row r="54" spans="1:133">
      <c r="A54" s="44"/>
      <c r="B54" s="45" t="s">
        <v>225</v>
      </c>
      <c r="C54" s="20" t="s">
        <v>227</v>
      </c>
      <c r="D54" s="21" t="s">
        <v>162</v>
      </c>
      <c r="E54" s="21"/>
      <c r="F54" s="22" t="s">
        <v>137</v>
      </c>
      <c r="G54" s="23" t="str" cm="1">
        <f t="array" ref="G54">IFERROR(LOOKUP(2,1/(K54:GC54&lt;&gt;""),K$2:DQL$2),"")</f>
        <v>12-Aug</v>
      </c>
      <c r="H54" s="24" cm="1">
        <f t="array" ref="H54">IFERROR(_xlfn.XLOOKUP(TRUE,P54:ED54&lt;&gt;"",P54:ED54,,,-1)," ")</f>
        <v>21</v>
      </c>
      <c r="I54" s="25">
        <v>24</v>
      </c>
      <c r="J54" s="25">
        <v>25.5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34"/>
      <c r="AF54" s="35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>
        <v>21</v>
      </c>
      <c r="BA54" s="34"/>
      <c r="BB54" s="34"/>
      <c r="BC54" s="34"/>
      <c r="BD54" s="34"/>
      <c r="BE54" s="37"/>
      <c r="BF54" s="37"/>
      <c r="BG54" s="34"/>
      <c r="BH54" s="37"/>
      <c r="BI54" s="34"/>
      <c r="BJ54" s="34"/>
      <c r="BK54" s="34"/>
      <c r="BL54" s="37"/>
      <c r="BM54" s="37"/>
      <c r="BN54" s="34"/>
      <c r="BO54" s="34"/>
      <c r="BP54" s="34"/>
      <c r="BQ54" s="34"/>
      <c r="BR54" s="34"/>
      <c r="BS54" s="37"/>
      <c r="BT54" s="37"/>
      <c r="BU54" s="34"/>
      <c r="BV54" s="34"/>
      <c r="BW54" s="34"/>
      <c r="BX54" s="34"/>
      <c r="BY54" s="34"/>
      <c r="BZ54" s="34"/>
      <c r="CA54" s="37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43"/>
      <c r="CN54" s="37"/>
      <c r="CO54" s="37"/>
      <c r="CP54" s="34"/>
      <c r="CQ54" s="37"/>
      <c r="CR54" s="34"/>
      <c r="CS54" s="37"/>
      <c r="CT54" s="34"/>
      <c r="CU54" s="37"/>
      <c r="CV54" s="37"/>
      <c r="CW54" s="37"/>
      <c r="CX54" s="38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9"/>
      <c r="EB54" s="39"/>
      <c r="EC54" s="40"/>
    </row>
    <row r="55" spans="1:133">
      <c r="A55" s="44"/>
      <c r="B55" s="45" t="s">
        <v>225</v>
      </c>
      <c r="C55" s="20" t="s">
        <v>228</v>
      </c>
      <c r="D55" s="21" t="s">
        <v>162</v>
      </c>
      <c r="E55" s="21"/>
      <c r="F55" s="22" t="s">
        <v>137</v>
      </c>
      <c r="G55" s="23" t="str" cm="1">
        <f t="array" ref="G55">IFERROR(LOOKUP(2,1/(K55:GC55&lt;&gt;""),K$2:DQL$2),"")</f>
        <v/>
      </c>
      <c r="H55" s="24" t="str" cm="1">
        <f t="array" ref="H55">IFERROR(_xlfn.XLOOKUP(TRUE,P55:ED55&lt;&gt;"",P55:ED55,,,-1)," ")</f>
        <v xml:space="preserve"> </v>
      </c>
      <c r="I55" s="25">
        <v>24</v>
      </c>
      <c r="J55" s="25">
        <v>25.5</v>
      </c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34"/>
      <c r="AF55" s="35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7"/>
      <c r="BF55" s="37"/>
      <c r="BG55" s="34"/>
      <c r="BH55" s="37"/>
      <c r="BI55" s="34"/>
      <c r="BJ55" s="34"/>
      <c r="BK55" s="34"/>
      <c r="BL55" s="37"/>
      <c r="BM55" s="37"/>
      <c r="BN55" s="34"/>
      <c r="BO55" s="34"/>
      <c r="BP55" s="34"/>
      <c r="BQ55" s="34"/>
      <c r="BR55" s="34"/>
      <c r="BS55" s="37"/>
      <c r="BT55" s="37"/>
      <c r="BU55" s="34"/>
      <c r="BV55" s="34"/>
      <c r="BW55" s="34"/>
      <c r="BX55" s="34"/>
      <c r="BY55" s="34"/>
      <c r="BZ55" s="34"/>
      <c r="CA55" s="37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43"/>
      <c r="CN55" s="37"/>
      <c r="CO55" s="37"/>
      <c r="CP55" s="34"/>
      <c r="CQ55" s="37"/>
      <c r="CR55" s="34"/>
      <c r="CS55" s="37"/>
      <c r="CT55" s="34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9"/>
      <c r="EB55" s="39"/>
      <c r="EC55" s="40"/>
    </row>
    <row r="56" spans="1:133">
      <c r="A56" s="44"/>
      <c r="B56" s="45" t="s">
        <v>229</v>
      </c>
      <c r="C56" s="20" t="s">
        <v>230</v>
      </c>
      <c r="D56" s="21" t="s">
        <v>162</v>
      </c>
      <c r="E56" s="21"/>
      <c r="F56" s="22" t="s">
        <v>137</v>
      </c>
      <c r="G56" s="23" t="str" cm="1">
        <f t="array" ref="G56">IFERROR(LOOKUP(2,1/(K56:GC56&lt;&gt;""),K$2:DQL$2),"")</f>
        <v/>
      </c>
      <c r="H56" s="24" t="str" cm="1">
        <f t="array" ref="H56">IFERROR(_xlfn.XLOOKUP(TRUE,P56:ED56&lt;&gt;"",P56:ED56,,,-1)," ")</f>
        <v xml:space="preserve"> </v>
      </c>
      <c r="I56" s="25">
        <v>24</v>
      </c>
      <c r="J56" s="25">
        <v>25.5</v>
      </c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34"/>
      <c r="AF56" s="35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7"/>
      <c r="BF56" s="37"/>
      <c r="BG56" s="34"/>
      <c r="BH56" s="37"/>
      <c r="BI56" s="34"/>
      <c r="BJ56" s="34"/>
      <c r="BK56" s="34"/>
      <c r="BL56" s="37"/>
      <c r="BM56" s="37"/>
      <c r="BN56" s="34"/>
      <c r="BO56" s="34"/>
      <c r="BP56" s="34"/>
      <c r="BQ56" s="34"/>
      <c r="BR56" s="34"/>
      <c r="BS56" s="37"/>
      <c r="BT56" s="37"/>
      <c r="BU56" s="34"/>
      <c r="BV56" s="34"/>
      <c r="BW56" s="34"/>
      <c r="BX56" s="34"/>
      <c r="BY56" s="34"/>
      <c r="BZ56" s="34"/>
      <c r="CA56" s="37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43"/>
      <c r="CN56" s="37"/>
      <c r="CO56" s="37"/>
      <c r="CP56" s="34"/>
      <c r="CQ56" s="37"/>
      <c r="CR56" s="34"/>
      <c r="CS56" s="37"/>
      <c r="CT56" s="34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9"/>
      <c r="EB56" s="39"/>
      <c r="EC56" s="40"/>
    </row>
    <row r="57" spans="1:133">
      <c r="A57" s="44"/>
      <c r="B57" s="45" t="s">
        <v>229</v>
      </c>
      <c r="C57" s="20" t="s">
        <v>231</v>
      </c>
      <c r="D57" s="21" t="s">
        <v>162</v>
      </c>
      <c r="E57" s="21"/>
      <c r="F57" s="22" t="s">
        <v>137</v>
      </c>
      <c r="G57" s="23" t="str" cm="1">
        <f t="array" ref="G57">IFERROR(LOOKUP(2,1/(K57:GC57&lt;&gt;""),K$2:DQL$2),"")</f>
        <v>17-Aug</v>
      </c>
      <c r="H57" s="24" cm="1">
        <f t="array" ref="H57">IFERROR(_xlfn.XLOOKUP(TRUE,P57:ED57&lt;&gt;"",P57:ED57,,,-1)," ")</f>
        <v>20.2</v>
      </c>
      <c r="I57" s="25">
        <v>24</v>
      </c>
      <c r="J57" s="25">
        <v>25.5</v>
      </c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34"/>
      <c r="AF57" s="35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7">
        <v>20.2</v>
      </c>
      <c r="BF57" s="37"/>
      <c r="BG57" s="34"/>
      <c r="BH57" s="37"/>
      <c r="BI57" s="34"/>
      <c r="BJ57" s="34"/>
      <c r="BK57" s="34"/>
      <c r="BL57" s="37"/>
      <c r="BM57" s="37"/>
      <c r="BN57" s="34"/>
      <c r="BO57" s="34"/>
      <c r="BP57" s="34"/>
      <c r="BQ57" s="34"/>
      <c r="BR57" s="34"/>
      <c r="BS57" s="37"/>
      <c r="BT57" s="37"/>
      <c r="BU57" s="34"/>
      <c r="BV57" s="34"/>
      <c r="BW57" s="34"/>
      <c r="BX57" s="34"/>
      <c r="BY57" s="34"/>
      <c r="BZ57" s="34"/>
      <c r="CA57" s="37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43"/>
      <c r="CN57" s="37"/>
      <c r="CO57" s="37"/>
      <c r="CP57" s="34"/>
      <c r="CQ57" s="37"/>
      <c r="CR57" s="34"/>
      <c r="CS57" s="37"/>
      <c r="CT57" s="34"/>
      <c r="CU57" s="37"/>
      <c r="CV57" s="37"/>
      <c r="CW57" s="37"/>
      <c r="CX57" s="37"/>
      <c r="CY57" s="37"/>
      <c r="CZ57" s="38"/>
      <c r="DA57" s="37"/>
      <c r="DB57" s="37"/>
      <c r="DC57" s="37"/>
      <c r="DD57" s="38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9"/>
      <c r="EB57" s="39"/>
      <c r="EC57" s="40"/>
    </row>
    <row r="58" spans="1:133">
      <c r="A58" s="44"/>
      <c r="B58" s="45" t="s">
        <v>229</v>
      </c>
      <c r="C58" s="20" t="s">
        <v>232</v>
      </c>
      <c r="D58" s="21" t="s">
        <v>162</v>
      </c>
      <c r="E58" s="21"/>
      <c r="F58" s="22" t="s">
        <v>137</v>
      </c>
      <c r="G58" s="23" t="str" cm="1">
        <f t="array" ref="G58">IFERROR(LOOKUP(2,1/(K58:GC58&lt;&gt;""),K$2:DQL$2),"")</f>
        <v>17-Aug</v>
      </c>
      <c r="H58" s="24" cm="1">
        <f t="array" ref="H58">IFERROR(_xlfn.XLOOKUP(TRUE,P58:ED58&lt;&gt;"",P58:ED58,,,-1)," ")</f>
        <v>21.2</v>
      </c>
      <c r="I58" s="25">
        <v>24</v>
      </c>
      <c r="J58" s="25">
        <v>25.5</v>
      </c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34"/>
      <c r="AF58" s="35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7">
        <v>21.2</v>
      </c>
      <c r="BF58" s="37"/>
      <c r="BG58" s="34"/>
      <c r="BH58" s="37"/>
      <c r="BI58" s="34"/>
      <c r="BJ58" s="34"/>
      <c r="BK58" s="34"/>
      <c r="BL58" s="37"/>
      <c r="BM58" s="37"/>
      <c r="BN58" s="34"/>
      <c r="BO58" s="34"/>
      <c r="BP58" s="34"/>
      <c r="BQ58" s="34"/>
      <c r="BR58" s="34"/>
      <c r="BS58" s="37"/>
      <c r="BT58" s="37"/>
      <c r="BU58" s="34"/>
      <c r="BV58" s="34"/>
      <c r="BW58" s="34"/>
      <c r="BX58" s="34"/>
      <c r="BY58" s="34"/>
      <c r="BZ58" s="34"/>
      <c r="CA58" s="37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43"/>
      <c r="CN58" s="37"/>
      <c r="CO58" s="37"/>
      <c r="CP58" s="34"/>
      <c r="CQ58" s="37"/>
      <c r="CR58" s="34"/>
      <c r="CS58" s="37"/>
      <c r="CT58" s="34"/>
      <c r="CU58" s="37"/>
      <c r="CV58" s="38"/>
      <c r="CW58" s="37"/>
      <c r="CX58" s="37"/>
      <c r="CY58" s="37"/>
      <c r="CZ58" s="38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9"/>
      <c r="EB58" s="39"/>
      <c r="EC58" s="40"/>
    </row>
    <row r="59" spans="1:133" hidden="1">
      <c r="A59" s="44"/>
      <c r="B59" s="45" t="s">
        <v>233</v>
      </c>
      <c r="C59" s="20" t="s">
        <v>234</v>
      </c>
      <c r="D59" s="21" t="s">
        <v>162</v>
      </c>
      <c r="E59" s="21"/>
      <c r="F59" s="22" t="s">
        <v>198</v>
      </c>
      <c r="G59" s="23" t="str" cm="1">
        <f t="array" ref="G59">IFERROR(LOOKUP(2,1/(K59:GC59&lt;&gt;""),K$2:DQL$2),"")</f>
        <v/>
      </c>
      <c r="H59" s="24" t="str" cm="1">
        <f t="array" ref="H59">IFERROR(_xlfn.XLOOKUP(TRUE,P59:ED59&lt;&gt;"",P59:ED59,,,-1)," ")</f>
        <v xml:space="preserve"> </v>
      </c>
      <c r="I59" s="25">
        <v>22.5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34"/>
      <c r="AF59" s="35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7"/>
      <c r="BF59" s="37"/>
      <c r="BG59" s="34"/>
      <c r="BH59" s="37"/>
      <c r="BI59" s="34"/>
      <c r="BJ59" s="34"/>
      <c r="BK59" s="34"/>
      <c r="BL59" s="37"/>
      <c r="BM59" s="37"/>
      <c r="BN59" s="34"/>
      <c r="BO59" s="34"/>
      <c r="BP59" s="34"/>
      <c r="BQ59" s="34"/>
      <c r="BR59" s="34"/>
      <c r="BS59" s="37"/>
      <c r="BT59" s="37"/>
      <c r="BU59" s="34"/>
      <c r="BV59" s="34"/>
      <c r="BW59" s="34"/>
      <c r="BX59" s="34"/>
      <c r="BY59" s="34"/>
      <c r="BZ59" s="34"/>
      <c r="CA59" s="37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43"/>
      <c r="CN59" s="37"/>
      <c r="CO59" s="37"/>
      <c r="CP59" s="34"/>
      <c r="CQ59" s="37"/>
      <c r="CR59" s="34"/>
      <c r="CS59" s="37"/>
      <c r="CT59" s="34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9"/>
      <c r="EB59" s="39"/>
      <c r="EC59" s="40"/>
    </row>
    <row r="60" spans="1:133" hidden="1">
      <c r="A60" s="44"/>
      <c r="B60" s="45" t="s">
        <v>233</v>
      </c>
      <c r="C60" s="20" t="s">
        <v>235</v>
      </c>
      <c r="D60" s="21" t="s">
        <v>162</v>
      </c>
      <c r="E60" s="21"/>
      <c r="F60" s="22" t="s">
        <v>198</v>
      </c>
      <c r="G60" s="23" t="str" cm="1">
        <f t="array" ref="G60">IFERROR(LOOKUP(2,1/(K60:GC60&lt;&gt;""),K$2:DQL$2),"")</f>
        <v/>
      </c>
      <c r="H60" s="24" t="str" cm="1">
        <f t="array" ref="H60">IFERROR(_xlfn.XLOOKUP(TRUE,P60:ED60&lt;&gt;"",P60:ED60,,,-1)," ")</f>
        <v xml:space="preserve"> </v>
      </c>
      <c r="I60" s="25">
        <v>22.5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34"/>
      <c r="AF60" s="35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7"/>
      <c r="BF60" s="37"/>
      <c r="BG60" s="34"/>
      <c r="BH60" s="37"/>
      <c r="BI60" s="34"/>
      <c r="BJ60" s="34"/>
      <c r="BK60" s="34"/>
      <c r="BL60" s="37"/>
      <c r="BM60" s="37"/>
      <c r="BN60" s="34"/>
      <c r="BO60" s="34"/>
      <c r="BP60" s="34"/>
      <c r="BQ60" s="34"/>
      <c r="BR60" s="34"/>
      <c r="BS60" s="37"/>
      <c r="BT60" s="37"/>
      <c r="BU60" s="34"/>
      <c r="BV60" s="34"/>
      <c r="BW60" s="34"/>
      <c r="BX60" s="34"/>
      <c r="BY60" s="34"/>
      <c r="BZ60" s="34"/>
      <c r="CA60" s="37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43"/>
      <c r="CN60" s="37"/>
      <c r="CO60" s="37"/>
      <c r="CP60" s="34"/>
      <c r="CQ60" s="37"/>
      <c r="CR60" s="34"/>
      <c r="CS60" s="37"/>
      <c r="CT60" s="34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9"/>
      <c r="EB60" s="39"/>
      <c r="EC60" s="40"/>
    </row>
    <row r="61" spans="1:133" hidden="1">
      <c r="A61" s="44"/>
      <c r="B61" s="45" t="s">
        <v>233</v>
      </c>
      <c r="C61" s="20" t="s">
        <v>236</v>
      </c>
      <c r="D61" s="21" t="s">
        <v>162</v>
      </c>
      <c r="E61" s="21"/>
      <c r="F61" s="22" t="s">
        <v>198</v>
      </c>
      <c r="G61" s="23" t="str" cm="1">
        <f t="array" ref="G61">IFERROR(LOOKUP(2,1/(K61:GC61&lt;&gt;""),K$2:DQL$2),"")</f>
        <v/>
      </c>
      <c r="H61" s="24" t="str" cm="1">
        <f t="array" ref="H61">IFERROR(_xlfn.XLOOKUP(TRUE,P61:ED61&lt;&gt;"",P61:ED61,,,-1)," ")</f>
        <v xml:space="preserve"> </v>
      </c>
      <c r="I61" s="25">
        <v>22.5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34"/>
      <c r="AF61" s="35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7"/>
      <c r="BF61" s="37"/>
      <c r="BG61" s="34"/>
      <c r="BH61" s="37"/>
      <c r="BI61" s="34"/>
      <c r="BJ61" s="34"/>
      <c r="BK61" s="34"/>
      <c r="BL61" s="37"/>
      <c r="BM61" s="37"/>
      <c r="BN61" s="34"/>
      <c r="BO61" s="34"/>
      <c r="BP61" s="34"/>
      <c r="BQ61" s="34"/>
      <c r="BR61" s="34"/>
      <c r="BS61" s="37"/>
      <c r="BT61" s="37"/>
      <c r="BU61" s="34"/>
      <c r="BV61" s="34"/>
      <c r="BW61" s="34"/>
      <c r="BX61" s="34"/>
      <c r="BY61" s="34"/>
      <c r="BZ61" s="34"/>
      <c r="CA61" s="37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43"/>
      <c r="CN61" s="37"/>
      <c r="CO61" s="37"/>
      <c r="CP61" s="34"/>
      <c r="CQ61" s="37"/>
      <c r="CR61" s="34"/>
      <c r="CS61" s="37"/>
      <c r="CT61" s="34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9"/>
      <c r="EB61" s="39"/>
      <c r="EC61" s="40"/>
    </row>
    <row r="62" spans="1:133">
      <c r="A62" s="44"/>
      <c r="B62" s="45" t="s">
        <v>237</v>
      </c>
      <c r="C62" s="20" t="s">
        <v>238</v>
      </c>
      <c r="D62" s="21" t="s">
        <v>162</v>
      </c>
      <c r="E62" s="21"/>
      <c r="F62" s="22" t="s">
        <v>137</v>
      </c>
      <c r="G62" s="23" t="str" cm="1">
        <f t="array" ref="G62">IFERROR(LOOKUP(2,1/(K62:GC62&lt;&gt;""),K$2:DQL$2),"")</f>
        <v>13-Aug</v>
      </c>
      <c r="H62" s="24" cm="1">
        <f t="array" ref="H62">IFERROR(_xlfn.XLOOKUP(TRUE,P62:ED62&lt;&gt;"",P62:ED62,,,-1)," ")</f>
        <v>20.2</v>
      </c>
      <c r="I62" s="25">
        <v>24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34"/>
      <c r="AF62" s="35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>
        <v>20.2</v>
      </c>
      <c r="BB62" s="34"/>
      <c r="BC62" s="34"/>
      <c r="BD62" s="34"/>
      <c r="BE62" s="37"/>
      <c r="BF62" s="37"/>
      <c r="BG62" s="34"/>
      <c r="BH62" s="37"/>
      <c r="BI62" s="34"/>
      <c r="BJ62" s="34"/>
      <c r="BK62" s="34"/>
      <c r="BL62" s="37"/>
      <c r="BM62" s="37"/>
      <c r="BN62" s="34"/>
      <c r="BO62" s="34"/>
      <c r="BP62" s="34"/>
      <c r="BQ62" s="34"/>
      <c r="BR62" s="34"/>
      <c r="BS62" s="37"/>
      <c r="BT62" s="37"/>
      <c r="BU62" s="34"/>
      <c r="BV62" s="34"/>
      <c r="BW62" s="34"/>
      <c r="BX62" s="34"/>
      <c r="BY62" s="34"/>
      <c r="BZ62" s="34"/>
      <c r="CA62" s="37"/>
      <c r="CB62" s="37"/>
      <c r="CC62" s="34"/>
      <c r="CD62" s="43"/>
      <c r="CE62" s="37"/>
      <c r="CF62" s="37"/>
      <c r="CG62" s="37"/>
      <c r="CH62" s="37"/>
      <c r="CI62" s="37"/>
      <c r="CJ62" s="37"/>
      <c r="CK62" s="37"/>
      <c r="CL62" s="34"/>
      <c r="CM62" s="41"/>
      <c r="CN62" s="37"/>
      <c r="CO62" s="37"/>
      <c r="CP62" s="34"/>
      <c r="CQ62" s="37"/>
      <c r="CR62" s="34"/>
      <c r="CS62" s="37"/>
      <c r="CT62" s="34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9"/>
      <c r="EB62" s="39"/>
      <c r="EC62" s="40"/>
    </row>
    <row r="63" spans="1:133">
      <c r="A63" s="44"/>
      <c r="B63" s="45" t="s">
        <v>237</v>
      </c>
      <c r="C63" s="20" t="s">
        <v>239</v>
      </c>
      <c r="D63" s="21" t="s">
        <v>162</v>
      </c>
      <c r="E63" s="21"/>
      <c r="F63" s="22" t="s">
        <v>137</v>
      </c>
      <c r="G63" s="23" t="str" cm="1">
        <f t="array" ref="G63">IFERROR(LOOKUP(2,1/(K63:GC63&lt;&gt;""),K$2:DQL$2),"")</f>
        <v>19-Aug</v>
      </c>
      <c r="H63" s="24" cm="1">
        <f t="array" ref="H63">IFERROR(_xlfn.XLOOKUP(TRUE,P63:ED63&lt;&gt;"",P63:ED63,,,-1)," ")</f>
        <v>22.4</v>
      </c>
      <c r="I63" s="25">
        <v>24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34"/>
      <c r="AF63" s="35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7"/>
      <c r="BF63" s="37"/>
      <c r="BG63" s="34">
        <v>22.4</v>
      </c>
      <c r="BH63" s="37"/>
      <c r="BI63" s="34"/>
      <c r="BJ63" s="34"/>
      <c r="BK63" s="34"/>
      <c r="BL63" s="37"/>
      <c r="BM63" s="37"/>
      <c r="BN63" s="34"/>
      <c r="BO63" s="34"/>
      <c r="BP63" s="34"/>
      <c r="BQ63" s="34"/>
      <c r="BR63" s="34"/>
      <c r="BS63" s="37"/>
      <c r="BT63" s="37"/>
      <c r="BU63" s="34"/>
      <c r="BV63" s="34"/>
      <c r="BW63" s="34"/>
      <c r="BX63" s="34"/>
      <c r="BY63" s="34"/>
      <c r="BZ63" s="34"/>
      <c r="CA63" s="37"/>
      <c r="CB63" s="37"/>
      <c r="CC63" s="34"/>
      <c r="CD63" s="43"/>
      <c r="CE63" s="37"/>
      <c r="CF63" s="37"/>
      <c r="CG63" s="37"/>
      <c r="CH63" s="37"/>
      <c r="CI63" s="37"/>
      <c r="CJ63" s="37"/>
      <c r="CK63" s="37"/>
      <c r="CL63" s="34"/>
      <c r="CM63" s="43"/>
      <c r="CN63" s="37"/>
      <c r="CO63" s="37"/>
      <c r="CP63" s="34"/>
      <c r="CQ63" s="37"/>
      <c r="CR63" s="34"/>
      <c r="CS63" s="37"/>
      <c r="CT63" s="34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9"/>
      <c r="EB63" s="39"/>
      <c r="EC63" s="40"/>
    </row>
    <row r="64" spans="1:133">
      <c r="A64" s="44"/>
      <c r="B64" s="45" t="s">
        <v>237</v>
      </c>
      <c r="C64" s="20" t="s">
        <v>240</v>
      </c>
      <c r="D64" s="21" t="s">
        <v>162</v>
      </c>
      <c r="E64" s="21"/>
      <c r="F64" s="22" t="s">
        <v>137</v>
      </c>
      <c r="G64" s="23" t="str" cm="1">
        <f t="array" ref="G64">IFERROR(LOOKUP(2,1/(K64:GC64&lt;&gt;""),K$2:DQL$2),"")</f>
        <v>19-Aug</v>
      </c>
      <c r="H64" s="24" cm="1">
        <f t="array" ref="H64">IFERROR(_xlfn.XLOOKUP(TRUE,P64:ED64&lt;&gt;"",P64:ED64,,,-1)," ")</f>
        <v>21.8</v>
      </c>
      <c r="I64" s="25">
        <v>24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34"/>
      <c r="AF64" s="35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7"/>
      <c r="BF64" s="37"/>
      <c r="BG64" s="34">
        <v>21.8</v>
      </c>
      <c r="BH64" s="37"/>
      <c r="BI64" s="34"/>
      <c r="BJ64" s="34"/>
      <c r="BK64" s="34"/>
      <c r="BL64" s="37"/>
      <c r="BM64" s="37"/>
      <c r="BN64" s="34"/>
      <c r="BO64" s="34"/>
      <c r="BP64" s="34"/>
      <c r="BQ64" s="34"/>
      <c r="BR64" s="34"/>
      <c r="BS64" s="37"/>
      <c r="BT64" s="37"/>
      <c r="BU64" s="34"/>
      <c r="BV64" s="34"/>
      <c r="BW64" s="34"/>
      <c r="BX64" s="34"/>
      <c r="BY64" s="34"/>
      <c r="BZ64" s="34"/>
      <c r="CA64" s="37"/>
      <c r="CB64" s="37"/>
      <c r="CC64" s="34"/>
      <c r="CD64" s="43"/>
      <c r="CE64" s="37"/>
      <c r="CF64" s="37"/>
      <c r="CG64" s="37"/>
      <c r="CH64" s="37"/>
      <c r="CI64" s="37"/>
      <c r="CJ64" s="37"/>
      <c r="CK64" s="37"/>
      <c r="CL64" s="34"/>
      <c r="CM64" s="43"/>
      <c r="CN64" s="37"/>
      <c r="CO64" s="37"/>
      <c r="CP64" s="34"/>
      <c r="CQ64" s="37"/>
      <c r="CR64" s="34"/>
      <c r="CS64" s="37"/>
      <c r="CT64" s="34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9"/>
      <c r="EB64" s="39"/>
      <c r="EC64" s="40"/>
    </row>
    <row r="65" spans="1:133">
      <c r="A65" s="44"/>
      <c r="B65" s="45" t="s">
        <v>241</v>
      </c>
      <c r="C65" s="20" t="s">
        <v>242</v>
      </c>
      <c r="D65" s="21" t="s">
        <v>162</v>
      </c>
      <c r="E65" s="21"/>
      <c r="F65" s="22" t="s">
        <v>137</v>
      </c>
      <c r="G65" s="23" t="str" cm="1">
        <f t="array" ref="G65">IFERROR(LOOKUP(2,1/(K65:GC65&lt;&gt;""),K$2:DQL$2),"")</f>
        <v>17-Aug</v>
      </c>
      <c r="H65" s="24" cm="1">
        <f t="array" ref="H65">IFERROR(_xlfn.XLOOKUP(TRUE,P65:ED65&lt;&gt;"",P65:ED65,,,-1)," ")</f>
        <v>20.2</v>
      </c>
      <c r="I65" s="25">
        <v>24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34"/>
      <c r="AF65" s="35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7">
        <v>20.2</v>
      </c>
      <c r="BF65" s="37"/>
      <c r="BG65" s="34"/>
      <c r="BH65" s="37"/>
      <c r="BI65" s="34"/>
      <c r="BJ65" s="34"/>
      <c r="BK65" s="34"/>
      <c r="BL65" s="37"/>
      <c r="BM65" s="37"/>
      <c r="BN65" s="34"/>
      <c r="BO65" s="34"/>
      <c r="BP65" s="34"/>
      <c r="BQ65" s="34"/>
      <c r="BR65" s="34"/>
      <c r="BS65" s="37"/>
      <c r="BT65" s="37"/>
      <c r="BU65" s="34"/>
      <c r="BV65" s="34"/>
      <c r="BW65" s="34"/>
      <c r="BX65" s="34"/>
      <c r="BY65" s="34"/>
      <c r="BZ65" s="34"/>
      <c r="CA65" s="37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43"/>
      <c r="CN65" s="37"/>
      <c r="CO65" s="37"/>
      <c r="CP65" s="34"/>
      <c r="CQ65" s="34"/>
      <c r="CR65" s="34"/>
      <c r="CS65" s="37"/>
      <c r="CT65" s="34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9"/>
      <c r="EB65" s="39"/>
      <c r="EC65" s="40"/>
    </row>
    <row r="66" spans="1:133">
      <c r="A66" s="44"/>
      <c r="B66" s="45" t="s">
        <v>241</v>
      </c>
      <c r="C66" s="20" t="s">
        <v>243</v>
      </c>
      <c r="D66" s="21" t="s">
        <v>162</v>
      </c>
      <c r="E66" s="21"/>
      <c r="F66" s="22" t="s">
        <v>137</v>
      </c>
      <c r="G66" s="23" t="str" cm="1">
        <f t="array" ref="G66">IFERROR(LOOKUP(2,1/(K66:GC66&lt;&gt;""),K$2:DQL$2),"")</f>
        <v/>
      </c>
      <c r="H66" s="24" t="str" cm="1">
        <f t="array" ref="H66">IFERROR(_xlfn.XLOOKUP(TRUE,P66:ED66&lt;&gt;"",P66:ED66,,,-1)," ")</f>
        <v xml:space="preserve"> </v>
      </c>
      <c r="I66" s="25">
        <v>24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34"/>
      <c r="AF66" s="35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7"/>
      <c r="BF66" s="37"/>
      <c r="BG66" s="34"/>
      <c r="BH66" s="37"/>
      <c r="BI66" s="34"/>
      <c r="BJ66" s="34"/>
      <c r="BK66" s="34"/>
      <c r="BL66" s="37"/>
      <c r="BM66" s="37"/>
      <c r="BN66" s="34"/>
      <c r="BO66" s="34"/>
      <c r="BP66" s="34"/>
      <c r="BQ66" s="34"/>
      <c r="BR66" s="34"/>
      <c r="BS66" s="37"/>
      <c r="BT66" s="37"/>
      <c r="BU66" s="34"/>
      <c r="BV66" s="34"/>
      <c r="BW66" s="34"/>
      <c r="BX66" s="34"/>
      <c r="BY66" s="34"/>
      <c r="BZ66" s="34"/>
      <c r="CA66" s="37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43"/>
      <c r="CN66" s="37"/>
      <c r="CO66" s="37"/>
      <c r="CP66" s="34"/>
      <c r="CQ66" s="36"/>
      <c r="CR66" s="34"/>
      <c r="CS66" s="37"/>
      <c r="CT66" s="34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9"/>
      <c r="EB66" s="39"/>
      <c r="EC66" s="40"/>
    </row>
    <row r="67" spans="1:133">
      <c r="A67" s="44"/>
      <c r="B67" s="45" t="s">
        <v>241</v>
      </c>
      <c r="C67" s="20" t="s">
        <v>244</v>
      </c>
      <c r="D67" s="21" t="s">
        <v>162</v>
      </c>
      <c r="E67" s="21"/>
      <c r="F67" s="22" t="s">
        <v>137</v>
      </c>
      <c r="G67" s="23" t="str" cm="1">
        <f t="array" ref="G67">IFERROR(LOOKUP(2,1/(K67:GC67&lt;&gt;""),K$2:DQL$2),"")</f>
        <v/>
      </c>
      <c r="H67" s="24" t="str" cm="1">
        <f t="array" ref="H67">IFERROR(_xlfn.XLOOKUP(TRUE,P67:ED67&lt;&gt;"",P67:ED67,,,-1)," ")</f>
        <v xml:space="preserve"> </v>
      </c>
      <c r="I67" s="25">
        <v>24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34"/>
      <c r="AF67" s="35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7"/>
      <c r="BF67" s="37"/>
      <c r="BG67" s="34"/>
      <c r="BH67" s="37"/>
      <c r="BI67" s="34"/>
      <c r="BJ67" s="34"/>
      <c r="BK67" s="34"/>
      <c r="BL67" s="37"/>
      <c r="BM67" s="37"/>
      <c r="BN67" s="34"/>
      <c r="BO67" s="34"/>
      <c r="BP67" s="34"/>
      <c r="BQ67" s="34"/>
      <c r="BR67" s="34"/>
      <c r="BS67" s="37"/>
      <c r="BT67" s="37"/>
      <c r="BU67" s="34"/>
      <c r="BV67" s="34"/>
      <c r="BW67" s="34"/>
      <c r="BX67" s="34"/>
      <c r="BY67" s="34"/>
      <c r="BZ67" s="34"/>
      <c r="CA67" s="37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43"/>
      <c r="CN67" s="37"/>
      <c r="CO67" s="37"/>
      <c r="CP67" s="34"/>
      <c r="CQ67" s="36"/>
      <c r="CR67" s="34"/>
      <c r="CS67" s="37"/>
      <c r="CT67" s="34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9"/>
      <c r="EB67" s="39"/>
      <c r="EC67" s="40"/>
    </row>
    <row r="68" spans="1:133">
      <c r="A68" s="44"/>
      <c r="B68" s="45" t="s">
        <v>245</v>
      </c>
      <c r="C68" s="20" t="s">
        <v>246</v>
      </c>
      <c r="D68" s="21" t="s">
        <v>162</v>
      </c>
      <c r="E68" s="21"/>
      <c r="F68" s="22" t="s">
        <v>137</v>
      </c>
      <c r="G68" s="23" t="str" cm="1">
        <f t="array" ref="G68">IFERROR(LOOKUP(2,1/(K68:GC68&lt;&gt;""),K$2:DQL$2),"")</f>
        <v/>
      </c>
      <c r="H68" s="24" t="str" cm="1">
        <f t="array" ref="H68">IFERROR(_xlfn.XLOOKUP(TRUE,P68:ED68&lt;&gt;"",P68:ED68,,,-1)," ")</f>
        <v xml:space="preserve"> </v>
      </c>
      <c r="I68" s="25">
        <v>24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34"/>
      <c r="AF68" s="35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7"/>
      <c r="BF68" s="37"/>
      <c r="BG68" s="34"/>
      <c r="BH68" s="37"/>
      <c r="BI68" s="34"/>
      <c r="BJ68" s="34"/>
      <c r="BK68" s="34"/>
      <c r="BL68" s="37"/>
      <c r="BM68" s="37"/>
      <c r="BN68" s="34"/>
      <c r="BO68" s="34"/>
      <c r="BP68" s="34"/>
      <c r="BQ68" s="34"/>
      <c r="BR68" s="34"/>
      <c r="BS68" s="37"/>
      <c r="BT68" s="37"/>
      <c r="BU68" s="34"/>
      <c r="BV68" s="34"/>
      <c r="BW68" s="34"/>
      <c r="BX68" s="34"/>
      <c r="BY68" s="34"/>
      <c r="BZ68" s="34"/>
      <c r="CA68" s="37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43"/>
      <c r="CN68" s="37"/>
      <c r="CO68" s="37"/>
      <c r="CP68" s="34"/>
      <c r="CQ68" s="36"/>
      <c r="CR68" s="34"/>
      <c r="CS68" s="37"/>
      <c r="CT68" s="34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8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9"/>
      <c r="EB68" s="39"/>
      <c r="EC68" s="40"/>
    </row>
    <row r="69" spans="1:133">
      <c r="A69" s="44"/>
      <c r="B69" s="22"/>
      <c r="C69" s="20" t="s">
        <v>247</v>
      </c>
      <c r="D69" s="21" t="s">
        <v>162</v>
      </c>
      <c r="E69" s="21"/>
      <c r="F69" s="22" t="s">
        <v>137</v>
      </c>
      <c r="G69" s="23" t="str" cm="1">
        <f t="array" ref="G69">IFERROR(LOOKUP(2,1/(K69:GC69&lt;&gt;""),K$2:DQL$2),"")</f>
        <v/>
      </c>
      <c r="H69" s="24" t="str" cm="1">
        <f t="array" ref="H69">IFERROR(_xlfn.XLOOKUP(TRUE,P69:ED69&lt;&gt;"",P69:ED69,,,-1)," ")</f>
        <v xml:space="preserve"> </v>
      </c>
      <c r="I69" s="25">
        <v>24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7"/>
      <c r="BF69" s="37"/>
      <c r="BG69" s="34"/>
      <c r="BH69" s="34"/>
      <c r="BI69" s="34"/>
      <c r="BJ69" s="34"/>
      <c r="BK69" s="34"/>
      <c r="BL69" s="34"/>
      <c r="BM69" s="37"/>
      <c r="BN69" s="34"/>
      <c r="BO69" s="34"/>
      <c r="BP69" s="34"/>
      <c r="BQ69" s="34"/>
      <c r="BR69" s="34"/>
      <c r="BS69" s="37"/>
      <c r="BT69" s="37"/>
      <c r="BU69" s="34"/>
      <c r="BV69" s="34"/>
      <c r="BW69" s="34"/>
      <c r="BX69" s="37"/>
      <c r="BY69" s="34"/>
      <c r="BZ69" s="36"/>
      <c r="CA69" s="37"/>
      <c r="CB69" s="37"/>
      <c r="CC69" s="34"/>
      <c r="CD69" s="37"/>
      <c r="CE69" s="37"/>
      <c r="CF69" s="37"/>
      <c r="CG69" s="37"/>
      <c r="CH69" s="37"/>
      <c r="CI69" s="37"/>
      <c r="CJ69" s="34"/>
      <c r="CK69" s="37"/>
      <c r="CL69" s="34"/>
      <c r="CM69" s="37"/>
      <c r="CN69" s="37"/>
      <c r="CO69" s="37"/>
      <c r="CP69" s="34"/>
      <c r="CQ69" s="37"/>
      <c r="CR69" s="34"/>
      <c r="CS69" s="37"/>
      <c r="CT69" s="34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9"/>
      <c r="EB69" s="39"/>
      <c r="EC69" s="40"/>
    </row>
    <row r="70" spans="1:133">
      <c r="A70" s="44"/>
      <c r="B70" s="22"/>
      <c r="C70" s="20" t="s">
        <v>248</v>
      </c>
      <c r="D70" s="21" t="s">
        <v>162</v>
      </c>
      <c r="E70" s="21"/>
      <c r="F70" s="22" t="s">
        <v>137</v>
      </c>
      <c r="G70" s="23" t="str" cm="1">
        <f t="array" ref="G70">IFERROR(LOOKUP(2,1/(K70:GC70&lt;&gt;""),K$2:DQL$2),"")</f>
        <v/>
      </c>
      <c r="H70" s="24" t="str" cm="1">
        <f t="array" ref="H70">IFERROR(_xlfn.XLOOKUP(TRUE,P70:ED70&lt;&gt;"",P70:ED70,,,-1)," ")</f>
        <v xml:space="preserve"> </v>
      </c>
      <c r="I70" s="25">
        <v>24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7"/>
      <c r="BF70" s="37"/>
      <c r="BG70" s="34"/>
      <c r="BH70" s="34"/>
      <c r="BI70" s="34"/>
      <c r="BJ70" s="34"/>
      <c r="BK70" s="34"/>
      <c r="BL70" s="34"/>
      <c r="BM70" s="37"/>
      <c r="BN70" s="34"/>
      <c r="BO70" s="34"/>
      <c r="BP70" s="34"/>
      <c r="BQ70" s="34"/>
      <c r="BR70" s="34"/>
      <c r="BS70" s="37"/>
      <c r="BT70" s="37"/>
      <c r="BU70" s="34"/>
      <c r="BV70" s="34"/>
      <c r="BW70" s="34"/>
      <c r="BX70" s="37"/>
      <c r="BY70" s="34"/>
      <c r="BZ70" s="36"/>
      <c r="CA70" s="37"/>
      <c r="CB70" s="37"/>
      <c r="CC70" s="34"/>
      <c r="CD70" s="37"/>
      <c r="CE70" s="37"/>
      <c r="CF70" s="37"/>
      <c r="CG70" s="37"/>
      <c r="CH70" s="37"/>
      <c r="CI70" s="37"/>
      <c r="CJ70" s="34"/>
      <c r="CK70" s="37"/>
      <c r="CL70" s="34"/>
      <c r="CM70" s="37"/>
      <c r="CN70" s="37"/>
      <c r="CO70" s="37"/>
      <c r="CP70" s="34"/>
      <c r="CQ70" s="37"/>
      <c r="CR70" s="34"/>
      <c r="CS70" s="37"/>
      <c r="CT70" s="34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9"/>
      <c r="EB70" s="39"/>
      <c r="EC70" s="40"/>
    </row>
    <row r="71" spans="1:133">
      <c r="A71" s="44"/>
      <c r="B71" s="45" t="s">
        <v>245</v>
      </c>
      <c r="C71" s="20" t="s">
        <v>249</v>
      </c>
      <c r="D71" s="21" t="s">
        <v>162</v>
      </c>
      <c r="E71" s="21"/>
      <c r="F71" s="22" t="s">
        <v>137</v>
      </c>
      <c r="G71" s="23" t="str" cm="1">
        <f t="array" ref="G71">IFERROR(LOOKUP(2,1/(K71:GC71&lt;&gt;""),K$2:DQL$2),"")</f>
        <v>14-Aug</v>
      </c>
      <c r="H71" s="24" cm="1">
        <f t="array" ref="H71">IFERROR(_xlfn.XLOOKUP(TRUE,P71:ED71&lt;&gt;"",P71:ED71,,,-1)," ")</f>
        <v>21.8</v>
      </c>
      <c r="I71" s="25">
        <v>24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34"/>
      <c r="AF71" s="35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>
        <v>21.8</v>
      </c>
      <c r="BC71" s="34"/>
      <c r="BD71" s="34"/>
      <c r="BE71" s="37"/>
      <c r="BF71" s="37"/>
      <c r="BG71" s="34"/>
      <c r="BH71" s="37"/>
      <c r="BI71" s="34"/>
      <c r="BJ71" s="34"/>
      <c r="BK71" s="34"/>
      <c r="BL71" s="37"/>
      <c r="BM71" s="37"/>
      <c r="BN71" s="34"/>
      <c r="BO71" s="34"/>
      <c r="BP71" s="34"/>
      <c r="BQ71" s="34"/>
      <c r="BR71" s="34"/>
      <c r="BS71" s="37"/>
      <c r="BT71" s="37"/>
      <c r="BU71" s="34"/>
      <c r="BV71" s="34"/>
      <c r="BW71" s="34"/>
      <c r="BX71" s="34"/>
      <c r="BY71" s="34"/>
      <c r="BZ71" s="34"/>
      <c r="CA71" s="37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43"/>
      <c r="CN71" s="37"/>
      <c r="CO71" s="37"/>
      <c r="CP71" s="34"/>
      <c r="CQ71" s="34"/>
      <c r="CR71" s="34"/>
      <c r="CS71" s="37"/>
      <c r="CT71" s="34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7"/>
      <c r="DV71" s="37"/>
      <c r="DW71" s="37"/>
      <c r="DX71" s="37"/>
      <c r="DY71" s="37"/>
      <c r="DZ71" s="37"/>
      <c r="EA71" s="39"/>
      <c r="EB71" s="39"/>
      <c r="EC71" s="40"/>
    </row>
    <row r="72" spans="1:133">
      <c r="A72" s="44"/>
      <c r="B72" s="45" t="s">
        <v>250</v>
      </c>
      <c r="C72" s="20" t="s">
        <v>251</v>
      </c>
      <c r="D72" s="21" t="s">
        <v>162</v>
      </c>
      <c r="E72" s="21"/>
      <c r="F72" s="22" t="s">
        <v>137</v>
      </c>
      <c r="G72" s="23" t="str" cm="1">
        <f t="array" ref="G72">IFERROR(LOOKUP(2,1/(K72:GC72&lt;&gt;""),K$2:DQL$2),"")</f>
        <v/>
      </c>
      <c r="H72" s="24" t="str" cm="1">
        <f t="array" ref="H72">IFERROR(_xlfn.XLOOKUP(TRUE,P72:ED72&lt;&gt;"",P72:ED72,,,-1)," ")</f>
        <v xml:space="preserve"> </v>
      </c>
      <c r="I72" s="25">
        <v>23.5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34"/>
      <c r="AF72" s="35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7"/>
      <c r="BF72" s="37"/>
      <c r="BG72" s="34"/>
      <c r="BH72" s="37"/>
      <c r="BI72" s="34"/>
      <c r="BJ72" s="34"/>
      <c r="BK72" s="34"/>
      <c r="BL72" s="37"/>
      <c r="BM72" s="37"/>
      <c r="BN72" s="34"/>
      <c r="BO72" s="34"/>
      <c r="BP72" s="34"/>
      <c r="BQ72" s="34"/>
      <c r="BR72" s="34"/>
      <c r="BS72" s="37"/>
      <c r="BT72" s="37"/>
      <c r="BU72" s="34"/>
      <c r="BV72" s="34"/>
      <c r="BW72" s="34"/>
      <c r="BX72" s="34"/>
      <c r="BY72" s="34"/>
      <c r="BZ72" s="34"/>
      <c r="CA72" s="37"/>
      <c r="CB72" s="34"/>
      <c r="CC72" s="39"/>
      <c r="CD72" s="34"/>
      <c r="CE72" s="34"/>
      <c r="CF72" s="34"/>
      <c r="CG72" s="34"/>
      <c r="CH72" s="34"/>
      <c r="CI72" s="34"/>
      <c r="CJ72" s="34"/>
      <c r="CK72" s="34"/>
      <c r="CL72" s="34"/>
      <c r="CM72" s="43"/>
      <c r="CN72" s="37"/>
      <c r="CO72" s="37"/>
      <c r="CP72" s="34"/>
      <c r="CQ72" s="34"/>
      <c r="CR72" s="34"/>
      <c r="CS72" s="37"/>
      <c r="CT72" s="34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9"/>
      <c r="EB72" s="39"/>
      <c r="EC72" s="40"/>
    </row>
    <row r="73" spans="1:133">
      <c r="A73" s="44"/>
      <c r="B73" s="45" t="s">
        <v>252</v>
      </c>
      <c r="C73" s="20" t="s">
        <v>253</v>
      </c>
      <c r="D73" s="21" t="s">
        <v>162</v>
      </c>
      <c r="E73" s="21"/>
      <c r="F73" s="22" t="s">
        <v>137</v>
      </c>
      <c r="G73" s="23" t="str" cm="1">
        <f t="array" ref="G73">IFERROR(LOOKUP(2,1/(K73:GC73&lt;&gt;""),K$2:DQL$2),"")</f>
        <v>12-Aug</v>
      </c>
      <c r="H73" s="24" cm="1">
        <f t="array" ref="H73">IFERROR(_xlfn.XLOOKUP(TRUE,P73:ED73&lt;&gt;"",P73:ED73,,,-1)," ")</f>
        <v>21.2</v>
      </c>
      <c r="I73" s="25">
        <v>24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34"/>
      <c r="AF73" s="35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>
        <v>21.2</v>
      </c>
      <c r="BA73" s="34"/>
      <c r="BB73" s="34"/>
      <c r="BC73" s="34"/>
      <c r="BD73" s="34"/>
      <c r="BE73" s="37"/>
      <c r="BF73" s="37"/>
      <c r="BG73" s="34"/>
      <c r="BH73" s="37"/>
      <c r="BI73" s="34"/>
      <c r="BJ73" s="34"/>
      <c r="BK73" s="34"/>
      <c r="BL73" s="37"/>
      <c r="BM73" s="37"/>
      <c r="BN73" s="34"/>
      <c r="BO73" s="34"/>
      <c r="BP73" s="34"/>
      <c r="BQ73" s="34"/>
      <c r="BR73" s="34"/>
      <c r="BS73" s="37"/>
      <c r="BT73" s="37"/>
      <c r="BU73" s="34"/>
      <c r="BV73" s="34"/>
      <c r="BW73" s="34"/>
      <c r="BX73" s="34"/>
      <c r="BY73" s="34"/>
      <c r="BZ73" s="34"/>
      <c r="CA73" s="37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43"/>
      <c r="CN73" s="37"/>
      <c r="CO73" s="37"/>
      <c r="CP73" s="34"/>
      <c r="CQ73" s="34"/>
      <c r="CR73" s="34"/>
      <c r="CS73" s="37"/>
      <c r="CT73" s="34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9"/>
      <c r="EB73" s="39"/>
      <c r="EC73" s="40"/>
    </row>
    <row r="74" spans="1:133">
      <c r="A74" s="44"/>
      <c r="B74" s="45" t="s">
        <v>252</v>
      </c>
      <c r="C74" s="20" t="s">
        <v>254</v>
      </c>
      <c r="D74" s="21" t="s">
        <v>162</v>
      </c>
      <c r="E74" s="21"/>
      <c r="F74" s="22" t="s">
        <v>137</v>
      </c>
      <c r="G74" s="23" t="str" cm="1">
        <f t="array" ref="G74">IFERROR(LOOKUP(2,1/(K74:GC74&lt;&gt;""),K$2:DQL$2),"")</f>
        <v/>
      </c>
      <c r="H74" s="24" t="str" cm="1">
        <f t="array" ref="H74">IFERROR(_xlfn.XLOOKUP(TRUE,P74:ED74&lt;&gt;"",P74:ED74,,,-1)," ")</f>
        <v xml:space="preserve"> </v>
      </c>
      <c r="I74" s="25">
        <v>24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34"/>
      <c r="AF74" s="35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7"/>
      <c r="BF74" s="37"/>
      <c r="BG74" s="34"/>
      <c r="BH74" s="37"/>
      <c r="BI74" s="34"/>
      <c r="BJ74" s="34"/>
      <c r="BK74" s="34"/>
      <c r="BL74" s="37"/>
      <c r="BM74" s="37"/>
      <c r="BN74" s="34"/>
      <c r="BO74" s="34"/>
      <c r="BP74" s="34"/>
      <c r="BQ74" s="34"/>
      <c r="BR74" s="34"/>
      <c r="BS74" s="37"/>
      <c r="BT74" s="37"/>
      <c r="BU74" s="34"/>
      <c r="BV74" s="34"/>
      <c r="BW74" s="34"/>
      <c r="BX74" s="34"/>
      <c r="BY74" s="34"/>
      <c r="BZ74" s="34"/>
      <c r="CA74" s="37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43"/>
      <c r="CN74" s="37"/>
      <c r="CO74" s="37"/>
      <c r="CP74" s="34"/>
      <c r="CQ74" s="34"/>
      <c r="CR74" s="34"/>
      <c r="CS74" s="34"/>
      <c r="CT74" s="34"/>
      <c r="CU74" s="37"/>
      <c r="CV74" s="37"/>
      <c r="CW74" s="34"/>
      <c r="CX74" s="34"/>
      <c r="CY74" s="34"/>
      <c r="CZ74" s="34"/>
      <c r="DA74" s="37"/>
      <c r="DB74" s="37"/>
      <c r="DC74" s="37"/>
      <c r="DD74" s="34"/>
      <c r="DE74" s="36"/>
      <c r="DF74" s="37"/>
      <c r="DG74" s="37"/>
      <c r="DH74" s="37"/>
      <c r="DI74" s="37"/>
      <c r="DJ74" s="37"/>
      <c r="DK74" s="37"/>
      <c r="DL74" s="37"/>
      <c r="DM74" s="37"/>
      <c r="DN74" s="38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9"/>
      <c r="EB74" s="39"/>
      <c r="EC74" s="40"/>
    </row>
    <row r="75" spans="1:133">
      <c r="A75" s="44"/>
      <c r="B75" s="45" t="s">
        <v>252</v>
      </c>
      <c r="C75" s="20" t="s">
        <v>255</v>
      </c>
      <c r="D75" s="21" t="s">
        <v>162</v>
      </c>
      <c r="E75" s="21"/>
      <c r="F75" s="22" t="s">
        <v>137</v>
      </c>
      <c r="G75" s="23" t="str" cm="1">
        <f t="array" ref="G75">IFERROR(LOOKUP(2,1/(K75:GC75&lt;&gt;""),K$2:DQL$2),"")</f>
        <v/>
      </c>
      <c r="H75" s="24" t="str" cm="1">
        <f t="array" ref="H75">IFERROR(_xlfn.XLOOKUP(TRUE,P75:ED75&lt;&gt;"",P75:ED75,,,-1)," ")</f>
        <v xml:space="preserve"> </v>
      </c>
      <c r="I75" s="25">
        <v>24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34"/>
      <c r="AF75" s="35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7"/>
      <c r="BF75" s="37"/>
      <c r="BG75" s="34"/>
      <c r="BH75" s="37"/>
      <c r="BI75" s="34"/>
      <c r="BJ75" s="34"/>
      <c r="BK75" s="34"/>
      <c r="BL75" s="37"/>
      <c r="BM75" s="37"/>
      <c r="BN75" s="34"/>
      <c r="BO75" s="34"/>
      <c r="BP75" s="34"/>
      <c r="BQ75" s="34"/>
      <c r="BR75" s="34"/>
      <c r="BS75" s="37"/>
      <c r="BT75" s="37"/>
      <c r="BU75" s="34"/>
      <c r="BV75" s="34"/>
      <c r="BW75" s="34"/>
      <c r="BX75" s="34"/>
      <c r="BY75" s="34"/>
      <c r="BZ75" s="34"/>
      <c r="CA75" s="37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43"/>
      <c r="CN75" s="37"/>
      <c r="CO75" s="37"/>
      <c r="CP75" s="34"/>
      <c r="CQ75" s="34"/>
      <c r="CR75" s="34"/>
      <c r="CS75" s="34"/>
      <c r="CT75" s="42"/>
      <c r="CU75" s="37"/>
      <c r="CV75" s="37"/>
      <c r="CW75" s="34"/>
      <c r="CX75" s="34"/>
      <c r="CY75" s="34"/>
      <c r="CZ75" s="34"/>
      <c r="DA75" s="37"/>
      <c r="DB75" s="37"/>
      <c r="DC75" s="37"/>
      <c r="DD75" s="34"/>
      <c r="DE75" s="36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9"/>
      <c r="EB75" s="39"/>
      <c r="EC75" s="40"/>
    </row>
    <row r="76" spans="1:133" hidden="1">
      <c r="A76" s="44"/>
      <c r="B76" s="22"/>
      <c r="C76" s="20" t="s">
        <v>256</v>
      </c>
      <c r="D76" s="21" t="s">
        <v>162</v>
      </c>
      <c r="E76" s="21"/>
      <c r="F76" s="22"/>
      <c r="G76" s="23" t="str" cm="1">
        <f t="array" ref="G76">IFERROR(LOOKUP(2,1/(K76:GC76&lt;&gt;""),K$2:DQL$2),"")</f>
        <v/>
      </c>
      <c r="H76" s="24" t="str" cm="1">
        <f t="array" ref="H76">IFERROR(_xlfn.XLOOKUP(TRUE,P76:ED76&lt;&gt;"",P76:ED76,,,-1)," ")</f>
        <v xml:space="preserve"> </v>
      </c>
      <c r="I76" s="25">
        <v>24</v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7"/>
      <c r="BF76" s="37"/>
      <c r="BG76" s="34"/>
      <c r="BH76" s="34"/>
      <c r="BI76" s="34"/>
      <c r="BJ76" s="34"/>
      <c r="BK76" s="34"/>
      <c r="BL76" s="34"/>
      <c r="BM76" s="37"/>
      <c r="BN76" s="34"/>
      <c r="BO76" s="34"/>
      <c r="BP76" s="34"/>
      <c r="BQ76" s="34"/>
      <c r="BR76" s="34"/>
      <c r="BS76" s="37"/>
      <c r="BT76" s="37"/>
      <c r="BU76" s="34"/>
      <c r="BV76" s="34"/>
      <c r="BW76" s="34"/>
      <c r="BX76" s="37"/>
      <c r="BY76" s="34"/>
      <c r="BZ76" s="34"/>
      <c r="CA76" s="37"/>
      <c r="CB76" s="37"/>
      <c r="CC76" s="34"/>
      <c r="CD76" s="37"/>
      <c r="CE76" s="37"/>
      <c r="CF76" s="37"/>
      <c r="CG76" s="37"/>
      <c r="CH76" s="37"/>
      <c r="CI76" s="37"/>
      <c r="CJ76" s="34"/>
      <c r="CK76" s="37"/>
      <c r="CL76" s="34"/>
      <c r="CM76" s="37"/>
      <c r="CN76" s="37"/>
      <c r="CO76" s="37"/>
      <c r="CP76" s="34"/>
      <c r="CQ76" s="37"/>
      <c r="CR76" s="34"/>
      <c r="CS76" s="37"/>
      <c r="CT76" s="34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9"/>
      <c r="EB76" s="39"/>
      <c r="EC76" s="40"/>
    </row>
    <row r="77" spans="1:133" hidden="1">
      <c r="A77" s="44"/>
      <c r="B77" s="45" t="s">
        <v>257</v>
      </c>
      <c r="C77" s="20" t="s">
        <v>258</v>
      </c>
      <c r="D77" s="21" t="s">
        <v>162</v>
      </c>
      <c r="E77" s="21"/>
      <c r="F77" s="22" t="s">
        <v>198</v>
      </c>
      <c r="G77" s="23" t="str" cm="1">
        <f t="array" ref="G77">IFERROR(LOOKUP(2,1/(K77:GC77&lt;&gt;""),K$2:DQL$2),"")</f>
        <v>18-Aug</v>
      </c>
      <c r="H77" s="24" cm="1">
        <f t="array" ref="H77">IFERROR(_xlfn.XLOOKUP(TRUE,P77:ED77&lt;&gt;"",P77:ED77,,,-1)," ")</f>
        <v>20.2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34"/>
      <c r="AF77" s="35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7"/>
      <c r="BF77" s="37">
        <v>20.2</v>
      </c>
      <c r="BG77" s="34"/>
      <c r="BH77" s="37"/>
      <c r="BI77" s="34"/>
      <c r="BJ77" s="34"/>
      <c r="BK77" s="34"/>
      <c r="BL77" s="37"/>
      <c r="BM77" s="37"/>
      <c r="BN77" s="34"/>
      <c r="BO77" s="34"/>
      <c r="BP77" s="34"/>
      <c r="BQ77" s="34"/>
      <c r="BR77" s="34"/>
      <c r="BS77" s="37"/>
      <c r="BT77" s="37"/>
      <c r="BU77" s="34"/>
      <c r="BV77" s="34"/>
      <c r="BW77" s="34"/>
      <c r="BX77" s="34"/>
      <c r="BY77" s="34"/>
      <c r="BZ77" s="34"/>
      <c r="CA77" s="37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43"/>
      <c r="CN77" s="37"/>
      <c r="CO77" s="37"/>
      <c r="CP77" s="34"/>
      <c r="CQ77" s="37"/>
      <c r="CR77" s="34"/>
      <c r="CS77" s="37"/>
      <c r="CT77" s="34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9"/>
      <c r="EB77" s="39"/>
      <c r="EC77" s="40"/>
    </row>
    <row r="78" spans="1:133" hidden="1">
      <c r="A78" s="44"/>
      <c r="B78" s="45" t="s">
        <v>259</v>
      </c>
      <c r="C78" s="20" t="s">
        <v>260</v>
      </c>
      <c r="D78" s="21" t="s">
        <v>162</v>
      </c>
      <c r="E78" s="21"/>
      <c r="F78" s="22" t="s">
        <v>261</v>
      </c>
      <c r="G78" s="23" t="str" cm="1">
        <f t="array" ref="G78">IFERROR(LOOKUP(2,1/(K78:GC78&lt;&gt;""),K$2:DQL$2),"")</f>
        <v>20-Aug</v>
      </c>
      <c r="H78" s="24" cm="1">
        <f t="array" ref="H78">IFERROR(_xlfn.XLOOKUP(TRUE,P78:ED78&lt;&gt;"",P78:ED78,,,-1)," ")</f>
        <v>23</v>
      </c>
      <c r="I78" s="25">
        <v>23.5</v>
      </c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34"/>
      <c r="AF78" s="35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7"/>
      <c r="BF78" s="37"/>
      <c r="BG78" s="34"/>
      <c r="BH78" s="37">
        <v>23</v>
      </c>
      <c r="BI78" s="34"/>
      <c r="BJ78" s="34"/>
      <c r="BK78" s="42"/>
      <c r="BL78" s="37"/>
      <c r="BM78" s="37"/>
      <c r="BN78" s="34"/>
      <c r="BO78" s="34"/>
      <c r="BP78" s="34"/>
      <c r="BQ78" s="34"/>
      <c r="BR78" s="34"/>
      <c r="BS78" s="37"/>
      <c r="BT78" s="42"/>
      <c r="BU78" s="34"/>
      <c r="BV78" s="34"/>
      <c r="BW78" s="34"/>
      <c r="BX78" s="34"/>
      <c r="BY78" s="34"/>
      <c r="BZ78" s="34"/>
      <c r="CA78" s="37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43"/>
      <c r="CN78" s="37"/>
      <c r="CO78" s="37"/>
      <c r="CP78" s="34"/>
      <c r="CQ78" s="34"/>
      <c r="CR78" s="34"/>
      <c r="CS78" s="34"/>
      <c r="CT78" s="34"/>
      <c r="CU78" s="37"/>
      <c r="CV78" s="37"/>
      <c r="CW78" s="34"/>
      <c r="CX78" s="34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9"/>
      <c r="EB78" s="39"/>
      <c r="EC78" s="40"/>
    </row>
    <row r="79" spans="1:133" hidden="1">
      <c r="A79" s="44"/>
      <c r="B79" s="45" t="s">
        <v>262</v>
      </c>
      <c r="C79" s="20" t="s">
        <v>263</v>
      </c>
      <c r="D79" s="21" t="s">
        <v>162</v>
      </c>
      <c r="E79" s="21"/>
      <c r="F79" s="22" t="s">
        <v>261</v>
      </c>
      <c r="G79" s="23" t="str" cm="1">
        <f t="array" ref="G79">IFERROR(LOOKUP(2,1/(K79:GC79&lt;&gt;""),K$2:DQL$2),"")</f>
        <v>20-Aug</v>
      </c>
      <c r="H79" s="24" cm="1">
        <f t="array" ref="H79">IFERROR(_xlfn.XLOOKUP(TRUE,P79:ED79&lt;&gt;"",P79:ED79,,,-1)," ")</f>
        <v>23.1</v>
      </c>
      <c r="I79" s="25">
        <v>23.5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34"/>
      <c r="AF79" s="35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7"/>
      <c r="BF79" s="37"/>
      <c r="BG79" s="34"/>
      <c r="BH79" s="37">
        <v>23.1</v>
      </c>
      <c r="BI79" s="34"/>
      <c r="BJ79" s="34"/>
      <c r="BK79" s="42"/>
      <c r="BL79" s="37"/>
      <c r="BM79" s="37"/>
      <c r="BN79" s="34"/>
      <c r="BO79" s="34"/>
      <c r="BP79" s="34"/>
      <c r="BQ79" s="34"/>
      <c r="BR79" s="34"/>
      <c r="BS79" s="37"/>
      <c r="BT79" s="42"/>
      <c r="BU79" s="34"/>
      <c r="BV79" s="34"/>
      <c r="BW79" s="34"/>
      <c r="BX79" s="34"/>
      <c r="BY79" s="34"/>
      <c r="BZ79" s="34"/>
      <c r="CA79" s="37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43"/>
      <c r="CN79" s="37"/>
      <c r="CO79" s="37"/>
      <c r="CP79" s="34"/>
      <c r="CQ79" s="34"/>
      <c r="CR79" s="34"/>
      <c r="CS79" s="34"/>
      <c r="CT79" s="34"/>
      <c r="CU79" s="37"/>
      <c r="CV79" s="37"/>
      <c r="CW79" s="34"/>
      <c r="CX79" s="34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9"/>
      <c r="EB79" s="39"/>
      <c r="EC79" s="40"/>
    </row>
    <row r="80" spans="1:133" hidden="1">
      <c r="A80" s="44"/>
      <c r="B80" s="45" t="s">
        <v>264</v>
      </c>
      <c r="C80" s="20" t="s">
        <v>265</v>
      </c>
      <c r="D80" s="21" t="s">
        <v>162</v>
      </c>
      <c r="E80" s="21"/>
      <c r="F80" s="22"/>
      <c r="G80" s="23" t="str" cm="1">
        <f t="array" ref="G80">IFERROR(LOOKUP(2,1/(K80:GC80&lt;&gt;""),K$2:DQL$2),"")</f>
        <v/>
      </c>
      <c r="H80" s="24" t="str" cm="1">
        <f t="array" ref="H80">IFERROR(_xlfn.XLOOKUP(TRUE,P80:ED80&lt;&gt;"",P80:ED80,,,-1)," ")</f>
        <v xml:space="preserve"> </v>
      </c>
      <c r="I80" s="25">
        <v>23.5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34"/>
      <c r="AF80" s="35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7"/>
      <c r="BF80" s="37"/>
      <c r="BG80" s="34"/>
      <c r="BH80" s="37"/>
      <c r="BI80" s="34"/>
      <c r="BJ80" s="34"/>
      <c r="BK80" s="42"/>
      <c r="BL80" s="37"/>
      <c r="BM80" s="37"/>
      <c r="BN80" s="34"/>
      <c r="BO80" s="34"/>
      <c r="BP80" s="34"/>
      <c r="BQ80" s="34"/>
      <c r="BR80" s="34"/>
      <c r="BS80" s="37"/>
      <c r="BT80" s="42"/>
      <c r="BU80" s="34"/>
      <c r="BV80" s="34"/>
      <c r="BW80" s="34"/>
      <c r="BX80" s="34"/>
      <c r="BY80" s="34"/>
      <c r="BZ80" s="34"/>
      <c r="CA80" s="37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43"/>
      <c r="CN80" s="37"/>
      <c r="CO80" s="37"/>
      <c r="CP80" s="34"/>
      <c r="CQ80" s="34"/>
      <c r="CR80" s="34"/>
      <c r="CS80" s="34"/>
      <c r="CT80" s="34"/>
      <c r="CU80" s="37"/>
      <c r="CV80" s="37"/>
      <c r="CW80" s="34"/>
      <c r="CX80" s="34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9"/>
      <c r="EB80" s="39"/>
      <c r="EC80" s="40"/>
    </row>
    <row r="81" spans="1:133" hidden="1">
      <c r="A81" s="44"/>
      <c r="B81" s="45" t="s">
        <v>268</v>
      </c>
      <c r="C81" s="20" t="s">
        <v>269</v>
      </c>
      <c r="D81" s="21" t="s">
        <v>162</v>
      </c>
      <c r="E81" s="21"/>
      <c r="F81" s="22" t="s">
        <v>261</v>
      </c>
      <c r="G81" s="23" t="str" cm="1">
        <f t="array" ref="G81">IFERROR(LOOKUP(2,1/(K81:GC81&lt;&gt;""),K$2:DQL$2),"")</f>
        <v>20-Aug</v>
      </c>
      <c r="H81" s="24" cm="1">
        <f t="array" ref="H81">IFERROR(_xlfn.XLOOKUP(TRUE,P81:ED81&lt;&gt;"",P81:ED81,,,-1)," ")</f>
        <v>23.4</v>
      </c>
      <c r="I81" s="25">
        <v>23.5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34"/>
      <c r="AF81" s="35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7"/>
      <c r="BF81" s="37"/>
      <c r="BG81" s="34"/>
      <c r="BH81" s="37">
        <v>23.4</v>
      </c>
      <c r="BI81" s="34"/>
      <c r="BJ81" s="34"/>
      <c r="BK81" s="42"/>
      <c r="BL81" s="37"/>
      <c r="BM81" s="37"/>
      <c r="BN81" s="34"/>
      <c r="BO81" s="34"/>
      <c r="BP81" s="34"/>
      <c r="BQ81" s="34"/>
      <c r="BR81" s="34"/>
      <c r="BS81" s="37"/>
      <c r="BT81" s="42"/>
      <c r="BU81" s="34"/>
      <c r="BV81" s="34"/>
      <c r="BW81" s="34"/>
      <c r="BX81" s="34"/>
      <c r="BY81" s="34"/>
      <c r="BZ81" s="34"/>
      <c r="CA81" s="37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43"/>
      <c r="CN81" s="37"/>
      <c r="CO81" s="37"/>
      <c r="CP81" s="34"/>
      <c r="CQ81" s="34"/>
      <c r="CR81" s="34"/>
      <c r="CS81" s="34"/>
      <c r="CT81" s="34"/>
      <c r="CU81" s="37"/>
      <c r="CV81" s="37"/>
      <c r="CW81" s="34"/>
      <c r="CX81" s="34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9"/>
      <c r="EB81" s="39"/>
      <c r="EC81" s="40"/>
    </row>
    <row r="82" spans="1:133" hidden="1">
      <c r="A82" s="44"/>
      <c r="B82" s="45" t="s">
        <v>270</v>
      </c>
      <c r="C82" s="20" t="s">
        <v>271</v>
      </c>
      <c r="D82" s="21" t="s">
        <v>162</v>
      </c>
      <c r="E82" s="21"/>
      <c r="F82" s="22" t="s">
        <v>261</v>
      </c>
      <c r="G82" s="23" t="str" cm="1">
        <f t="array" ref="G82">IFERROR(LOOKUP(2,1/(K82:GC82&lt;&gt;""),K$2:DQL$2),"")</f>
        <v>20-Aug</v>
      </c>
      <c r="H82" s="24" cm="1">
        <f t="array" ref="H82">IFERROR(_xlfn.XLOOKUP(TRUE,P82:ED82&lt;&gt;"",P82:ED82,,,-1)," ")</f>
        <v>23</v>
      </c>
      <c r="I82" s="25">
        <v>23.5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34"/>
      <c r="AF82" s="35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7"/>
      <c r="BF82" s="37"/>
      <c r="BG82" s="34"/>
      <c r="BH82" s="37">
        <v>23</v>
      </c>
      <c r="BI82" s="34"/>
      <c r="BJ82" s="34"/>
      <c r="BK82" s="42"/>
      <c r="BL82" s="37"/>
      <c r="BM82" s="37"/>
      <c r="BN82" s="34"/>
      <c r="BO82" s="34"/>
      <c r="BP82" s="34"/>
      <c r="BQ82" s="34"/>
      <c r="BR82" s="34"/>
      <c r="BS82" s="37"/>
      <c r="BT82" s="42"/>
      <c r="BU82" s="34"/>
      <c r="BV82" s="34"/>
      <c r="BW82" s="34"/>
      <c r="BX82" s="34"/>
      <c r="BY82" s="34"/>
      <c r="BZ82" s="34"/>
      <c r="CA82" s="37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43"/>
      <c r="CN82" s="37"/>
      <c r="CO82" s="37"/>
      <c r="CP82" s="34"/>
      <c r="CQ82" s="34"/>
      <c r="CR82" s="34"/>
      <c r="CS82" s="34"/>
      <c r="CT82" s="34"/>
      <c r="CU82" s="37"/>
      <c r="CV82" s="37"/>
      <c r="CW82" s="34"/>
      <c r="CX82" s="34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9"/>
      <c r="EB82" s="39"/>
      <c r="EC82" s="40"/>
    </row>
    <row r="83" spans="1:133" hidden="1">
      <c r="A83" s="44"/>
      <c r="B83" s="45" t="s">
        <v>272</v>
      </c>
      <c r="C83" s="20" t="s">
        <v>273</v>
      </c>
      <c r="D83" s="21" t="s">
        <v>162</v>
      </c>
      <c r="E83" s="21"/>
      <c r="F83" s="22"/>
      <c r="G83" s="23" t="str" cm="1">
        <f t="array" ref="G83">IFERROR(LOOKUP(2,1/(K83:GC83&lt;&gt;""),K$2:DQL$2),"")</f>
        <v/>
      </c>
      <c r="H83" s="24" t="str" cm="1">
        <f t="array" ref="H83">IFERROR(_xlfn.XLOOKUP(TRUE,P83:ED83&lt;&gt;"",P83:ED83,,,-1)," ")</f>
        <v xml:space="preserve"> </v>
      </c>
      <c r="I83" s="25">
        <v>23.5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34"/>
      <c r="AF83" s="35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7"/>
      <c r="BF83" s="37"/>
      <c r="BG83" s="34"/>
      <c r="BH83" s="37"/>
      <c r="BI83" s="34"/>
      <c r="BJ83" s="34"/>
      <c r="BK83" s="42"/>
      <c r="BL83" s="37"/>
      <c r="BM83" s="37"/>
      <c r="BN83" s="34"/>
      <c r="BO83" s="34"/>
      <c r="BP83" s="34"/>
      <c r="BQ83" s="34"/>
      <c r="BR83" s="34"/>
      <c r="BS83" s="37"/>
      <c r="BT83" s="42"/>
      <c r="BU83" s="34"/>
      <c r="BV83" s="34"/>
      <c r="BW83" s="34"/>
      <c r="BX83" s="34"/>
      <c r="BY83" s="34"/>
      <c r="BZ83" s="34"/>
      <c r="CA83" s="37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43"/>
      <c r="CN83" s="37"/>
      <c r="CO83" s="37"/>
      <c r="CP83" s="34"/>
      <c r="CQ83" s="34"/>
      <c r="CR83" s="34"/>
      <c r="CS83" s="34"/>
      <c r="CT83" s="34"/>
      <c r="CU83" s="37"/>
      <c r="CV83" s="37"/>
      <c r="CW83" s="34"/>
      <c r="CX83" s="34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9"/>
      <c r="EB83" s="39"/>
      <c r="EC83" s="40"/>
    </row>
    <row r="84" spans="1:133" hidden="1">
      <c r="A84" s="44"/>
      <c r="B84" s="45" t="s">
        <v>274</v>
      </c>
      <c r="C84" s="20" t="s">
        <v>275</v>
      </c>
      <c r="D84" s="21" t="s">
        <v>162</v>
      </c>
      <c r="E84" s="21"/>
      <c r="F84" s="22"/>
      <c r="G84" s="23" t="str" cm="1">
        <f t="array" ref="G84">IFERROR(LOOKUP(2,1/(K84:GC84&lt;&gt;""),K$2:DQL$2),"")</f>
        <v/>
      </c>
      <c r="H84" s="24" t="str" cm="1">
        <f t="array" ref="H84">IFERROR(_xlfn.XLOOKUP(TRUE,P84:ED84&lt;&gt;"",P84:ED84,,,-1)," ")</f>
        <v xml:space="preserve"> </v>
      </c>
      <c r="I84" s="25">
        <v>24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34"/>
      <c r="AF84" s="35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7"/>
      <c r="BF84" s="37"/>
      <c r="BG84" s="34"/>
      <c r="BH84" s="37"/>
      <c r="BI84" s="34"/>
      <c r="BJ84" s="34"/>
      <c r="BK84" s="34"/>
      <c r="BL84" s="37"/>
      <c r="BM84" s="37"/>
      <c r="BN84" s="34"/>
      <c r="BO84" s="34"/>
      <c r="BP84" s="34"/>
      <c r="BQ84" s="34"/>
      <c r="BR84" s="34"/>
      <c r="BS84" s="37"/>
      <c r="BT84" s="37"/>
      <c r="BU84" s="34"/>
      <c r="BV84" s="34"/>
      <c r="BW84" s="34"/>
      <c r="BX84" s="34"/>
      <c r="BY84" s="34"/>
      <c r="BZ84" s="34"/>
      <c r="CA84" s="37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43"/>
      <c r="CN84" s="37"/>
      <c r="CO84" s="37"/>
      <c r="CP84" s="34"/>
      <c r="CQ84" s="37"/>
      <c r="CR84" s="34"/>
      <c r="CS84" s="37"/>
      <c r="CT84" s="34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9"/>
      <c r="EB84" s="39"/>
      <c r="EC84" s="40"/>
    </row>
    <row r="85" spans="1:133" hidden="1">
      <c r="A85" s="44"/>
      <c r="B85" s="45" t="s">
        <v>274</v>
      </c>
      <c r="C85" s="20" t="s">
        <v>276</v>
      </c>
      <c r="D85" s="21" t="s">
        <v>162</v>
      </c>
      <c r="E85" s="21"/>
      <c r="F85" s="22"/>
      <c r="G85" s="23" t="str" cm="1">
        <f t="array" ref="G85">IFERROR(LOOKUP(2,1/(K85:GC85&lt;&gt;""),K$2:DQL$2),"")</f>
        <v/>
      </c>
      <c r="H85" s="24" t="str" cm="1">
        <f t="array" ref="H85">IFERROR(_xlfn.XLOOKUP(TRUE,P85:ED85&lt;&gt;"",P85:ED85,,,-1)," ")</f>
        <v xml:space="preserve"> </v>
      </c>
      <c r="I85" s="25">
        <v>24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34"/>
      <c r="AF85" s="35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7"/>
      <c r="BF85" s="37"/>
      <c r="BG85" s="34"/>
      <c r="BH85" s="37"/>
      <c r="BI85" s="34"/>
      <c r="BJ85" s="34"/>
      <c r="BK85" s="34"/>
      <c r="BL85" s="37"/>
      <c r="BM85" s="37"/>
      <c r="BN85" s="34"/>
      <c r="BO85" s="34"/>
      <c r="BP85" s="34"/>
      <c r="BQ85" s="34"/>
      <c r="BR85" s="34"/>
      <c r="BS85" s="37"/>
      <c r="BT85" s="37"/>
      <c r="BU85" s="34"/>
      <c r="BV85" s="34"/>
      <c r="BW85" s="34"/>
      <c r="BX85" s="34"/>
      <c r="BY85" s="34"/>
      <c r="BZ85" s="34"/>
      <c r="CA85" s="37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43"/>
      <c r="CN85" s="37"/>
      <c r="CO85" s="37"/>
      <c r="CP85" s="34"/>
      <c r="CQ85" s="37"/>
      <c r="CR85" s="34"/>
      <c r="CS85" s="37"/>
      <c r="CT85" s="34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9"/>
      <c r="EB85" s="39"/>
      <c r="EC85" s="40"/>
    </row>
    <row r="86" spans="1:133" hidden="1">
      <c r="A86" s="44"/>
      <c r="B86" s="45" t="s">
        <v>274</v>
      </c>
      <c r="C86" s="20" t="s">
        <v>277</v>
      </c>
      <c r="D86" s="21" t="s">
        <v>162</v>
      </c>
      <c r="E86" s="21"/>
      <c r="F86" s="22"/>
      <c r="G86" s="23" t="str" cm="1">
        <f t="array" ref="G86">IFERROR(LOOKUP(2,1/(K86:GC86&lt;&gt;""),K$2:DQL$2),"")</f>
        <v/>
      </c>
      <c r="H86" s="24" t="str" cm="1">
        <f t="array" ref="H86">IFERROR(_xlfn.XLOOKUP(TRUE,P86:ED86&lt;&gt;"",P86:ED86,,,-1)," ")</f>
        <v xml:space="preserve"> </v>
      </c>
      <c r="I86" s="25">
        <v>24</v>
      </c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34"/>
      <c r="AF86" s="35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7"/>
      <c r="BF86" s="37"/>
      <c r="BG86" s="34"/>
      <c r="BH86" s="37"/>
      <c r="BI86" s="34"/>
      <c r="BJ86" s="34"/>
      <c r="BK86" s="34"/>
      <c r="BL86" s="37"/>
      <c r="BM86" s="37"/>
      <c r="BN86" s="34"/>
      <c r="BO86" s="34"/>
      <c r="BP86" s="34"/>
      <c r="BQ86" s="34"/>
      <c r="BR86" s="34"/>
      <c r="BS86" s="37"/>
      <c r="BT86" s="37"/>
      <c r="BU86" s="34"/>
      <c r="BV86" s="34"/>
      <c r="BW86" s="34"/>
      <c r="BX86" s="34"/>
      <c r="BY86" s="34"/>
      <c r="BZ86" s="34"/>
      <c r="CA86" s="37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43"/>
      <c r="CN86" s="37"/>
      <c r="CO86" s="37"/>
      <c r="CP86" s="34"/>
      <c r="CQ86" s="37"/>
      <c r="CR86" s="34"/>
      <c r="CS86" s="37"/>
      <c r="CT86" s="34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9"/>
      <c r="EB86" s="39"/>
      <c r="EC86" s="40"/>
    </row>
    <row r="87" spans="1:133" hidden="1">
      <c r="A87" s="44"/>
      <c r="B87" s="45" t="s">
        <v>278</v>
      </c>
      <c r="C87" s="20" t="s">
        <v>279</v>
      </c>
      <c r="D87" s="21" t="s">
        <v>162</v>
      </c>
      <c r="E87" s="21"/>
      <c r="F87" s="22"/>
      <c r="G87" s="23" t="str" cm="1">
        <f t="array" ref="G87">IFERROR(LOOKUP(2,1/(K87:GC87&lt;&gt;""),K$2:DQL$2),"")</f>
        <v/>
      </c>
      <c r="H87" s="24" t="str" cm="1">
        <f t="array" ref="H87">IFERROR(_xlfn.XLOOKUP(TRUE,P87:ED87&lt;&gt;"",P87:ED87,,,-1)," ")</f>
        <v xml:space="preserve"> </v>
      </c>
      <c r="I87" s="25">
        <v>22.5</v>
      </c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34"/>
      <c r="AF87" s="35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7"/>
      <c r="BF87" s="37"/>
      <c r="BG87" s="34"/>
      <c r="BH87" s="37"/>
      <c r="BI87" s="34"/>
      <c r="BJ87" s="34"/>
      <c r="BK87" s="34"/>
      <c r="BL87" s="37"/>
      <c r="BM87" s="37"/>
      <c r="BN87" s="34"/>
      <c r="BO87" s="34"/>
      <c r="BP87" s="34"/>
      <c r="BQ87" s="34"/>
      <c r="BR87" s="34"/>
      <c r="BS87" s="37"/>
      <c r="BT87" s="37"/>
      <c r="BU87" s="34"/>
      <c r="BV87" s="34"/>
      <c r="BW87" s="34"/>
      <c r="BX87" s="34"/>
      <c r="BY87" s="34"/>
      <c r="BZ87" s="34"/>
      <c r="CA87" s="37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43"/>
      <c r="CN87" s="37"/>
      <c r="CO87" s="37"/>
      <c r="CP87" s="34"/>
      <c r="CQ87" s="34"/>
      <c r="CR87" s="34"/>
      <c r="CS87" s="37"/>
      <c r="CT87" s="34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9"/>
      <c r="EB87" s="39"/>
      <c r="EC87" s="40"/>
    </row>
    <row r="88" spans="1:133" hidden="1">
      <c r="A88" s="44"/>
      <c r="B88" s="45" t="s">
        <v>278</v>
      </c>
      <c r="C88" s="20" t="s">
        <v>280</v>
      </c>
      <c r="D88" s="21" t="s">
        <v>162</v>
      </c>
      <c r="E88" s="21"/>
      <c r="F88" s="22"/>
      <c r="G88" s="23" t="str" cm="1">
        <f t="array" ref="G88">IFERROR(LOOKUP(2,1/(K88:GC88&lt;&gt;""),K$2:DQL$2),"")</f>
        <v/>
      </c>
      <c r="H88" s="24" t="str" cm="1">
        <f t="array" ref="H88">IFERROR(_xlfn.XLOOKUP(TRUE,P88:ED88&lt;&gt;"",P88:ED88,,,-1)," ")</f>
        <v xml:space="preserve"> </v>
      </c>
      <c r="I88" s="25">
        <v>22.5</v>
      </c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34"/>
      <c r="AF88" s="35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7"/>
      <c r="BF88" s="37"/>
      <c r="BG88" s="34"/>
      <c r="BH88" s="37"/>
      <c r="BI88" s="34"/>
      <c r="BJ88" s="34"/>
      <c r="BK88" s="34"/>
      <c r="BL88" s="37"/>
      <c r="BM88" s="37"/>
      <c r="BN88" s="34"/>
      <c r="BO88" s="34"/>
      <c r="BP88" s="34"/>
      <c r="BQ88" s="34"/>
      <c r="BR88" s="34"/>
      <c r="BS88" s="37"/>
      <c r="BT88" s="37"/>
      <c r="BU88" s="34"/>
      <c r="BV88" s="34"/>
      <c r="BW88" s="34"/>
      <c r="BX88" s="34"/>
      <c r="BY88" s="34"/>
      <c r="BZ88" s="34"/>
      <c r="CA88" s="37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43"/>
      <c r="CN88" s="37"/>
      <c r="CO88" s="37"/>
      <c r="CP88" s="34"/>
      <c r="CQ88" s="34"/>
      <c r="CR88" s="34"/>
      <c r="CS88" s="37"/>
      <c r="CT88" s="34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9"/>
      <c r="EB88" s="39"/>
      <c r="EC88" s="40"/>
    </row>
    <row r="89" spans="1:133" hidden="1">
      <c r="A89" s="44"/>
      <c r="B89" s="45" t="s">
        <v>278</v>
      </c>
      <c r="C89" s="20" t="s">
        <v>281</v>
      </c>
      <c r="D89" s="21" t="s">
        <v>162</v>
      </c>
      <c r="E89" s="21"/>
      <c r="F89" s="22"/>
      <c r="G89" s="23" t="str" cm="1">
        <f t="array" ref="G89">IFERROR(LOOKUP(2,1/(K89:GC89&lt;&gt;""),K$2:DQL$2),"")</f>
        <v/>
      </c>
      <c r="H89" s="24" t="str" cm="1">
        <f t="array" ref="H89">IFERROR(_xlfn.XLOOKUP(TRUE,P89:ED89&lt;&gt;"",P89:ED89,,,-1)," ")</f>
        <v xml:space="preserve"> </v>
      </c>
      <c r="I89" s="25">
        <v>22.5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34"/>
      <c r="AF89" s="35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7"/>
      <c r="BF89" s="37"/>
      <c r="BG89" s="34"/>
      <c r="BH89" s="37"/>
      <c r="BI89" s="34"/>
      <c r="BJ89" s="34"/>
      <c r="BK89" s="34"/>
      <c r="BL89" s="37"/>
      <c r="BM89" s="37"/>
      <c r="BN89" s="34"/>
      <c r="BO89" s="34"/>
      <c r="BP89" s="34"/>
      <c r="BQ89" s="34"/>
      <c r="BR89" s="34"/>
      <c r="BS89" s="37"/>
      <c r="BT89" s="37"/>
      <c r="BU89" s="34"/>
      <c r="BV89" s="34"/>
      <c r="BW89" s="34"/>
      <c r="BX89" s="34"/>
      <c r="BY89" s="34"/>
      <c r="BZ89" s="34"/>
      <c r="CA89" s="37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43"/>
      <c r="CN89" s="37"/>
      <c r="CO89" s="37"/>
      <c r="CP89" s="34"/>
      <c r="CQ89" s="34"/>
      <c r="CR89" s="34"/>
      <c r="CS89" s="37"/>
      <c r="CT89" s="34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9"/>
      <c r="EB89" s="39"/>
      <c r="EC89" s="40"/>
    </row>
    <row r="90" spans="1:133" hidden="1">
      <c r="A90" s="44"/>
      <c r="B90" s="45" t="s">
        <v>282</v>
      </c>
      <c r="C90" s="20" t="s">
        <v>283</v>
      </c>
      <c r="D90" s="21" t="s">
        <v>162</v>
      </c>
      <c r="E90" s="21"/>
      <c r="F90" s="22"/>
      <c r="G90" s="23" t="str" cm="1">
        <f t="array" ref="G90">IFERROR(LOOKUP(2,1/(K90:GC90&lt;&gt;""),K$2:DQL$2),"")</f>
        <v/>
      </c>
      <c r="H90" s="24" t="str" cm="1">
        <f t="array" ref="H90">IFERROR(_xlfn.XLOOKUP(TRUE,P90:ED90&lt;&gt;"",P90:ED90,,,-1)," ")</f>
        <v xml:space="preserve"> </v>
      </c>
      <c r="I90" s="25">
        <v>24</v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34"/>
      <c r="AF90" s="35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7"/>
      <c r="BF90" s="37"/>
      <c r="BG90" s="34"/>
      <c r="BH90" s="37"/>
      <c r="BI90" s="34"/>
      <c r="BJ90" s="34"/>
      <c r="BK90" s="34"/>
      <c r="BL90" s="37"/>
      <c r="BM90" s="37"/>
      <c r="BN90" s="34"/>
      <c r="BO90" s="34"/>
      <c r="BP90" s="34"/>
      <c r="BQ90" s="34"/>
      <c r="BR90" s="34"/>
      <c r="BS90" s="37"/>
      <c r="BT90" s="37"/>
      <c r="BU90" s="34"/>
      <c r="BV90" s="34"/>
      <c r="BW90" s="34"/>
      <c r="BX90" s="34"/>
      <c r="BY90" s="34"/>
      <c r="BZ90" s="34"/>
      <c r="CA90" s="37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43"/>
      <c r="CN90" s="37"/>
      <c r="CO90" s="37"/>
      <c r="CP90" s="34"/>
      <c r="CQ90" s="38"/>
      <c r="CR90" s="34"/>
      <c r="CS90" s="37"/>
      <c r="CT90" s="34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9"/>
      <c r="EB90" s="39"/>
      <c r="EC90" s="40"/>
    </row>
    <row r="91" spans="1:133">
      <c r="A91" s="44"/>
      <c r="B91" s="45" t="s">
        <v>284</v>
      </c>
      <c r="C91" s="20" t="s">
        <v>285</v>
      </c>
      <c r="D91" s="21" t="s">
        <v>162</v>
      </c>
      <c r="E91" s="21"/>
      <c r="F91" s="22" t="s">
        <v>137</v>
      </c>
      <c r="G91" s="23" t="str" cm="1">
        <f t="array" ref="G91">IFERROR(LOOKUP(2,1/(K91:GC91&lt;&gt;""),K$2:DQL$2),"")</f>
        <v>20-Aug</v>
      </c>
      <c r="H91" s="24" cm="1">
        <f t="array" ref="H91">IFERROR(_xlfn.XLOOKUP(TRUE,P91:ED91&lt;&gt;"",P91:ED91,,,-1)," ")</f>
        <v>23.3</v>
      </c>
      <c r="I91" s="25">
        <v>23.5</v>
      </c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34"/>
      <c r="AF91" s="35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7"/>
      <c r="BF91" s="37"/>
      <c r="BG91" s="34"/>
      <c r="BH91" s="298">
        <v>23.3</v>
      </c>
      <c r="BI91" s="34"/>
      <c r="BJ91" s="34"/>
      <c r="BK91" s="34"/>
      <c r="BL91" s="37"/>
      <c r="BM91" s="37"/>
      <c r="BN91" s="34"/>
      <c r="BO91" s="34"/>
      <c r="BP91" s="34"/>
      <c r="BQ91" s="34"/>
      <c r="BR91" s="34"/>
      <c r="BS91" s="37"/>
      <c r="BT91" s="37"/>
      <c r="BU91" s="34"/>
      <c r="BV91" s="34"/>
      <c r="BW91" s="34"/>
      <c r="BX91" s="34"/>
      <c r="BY91" s="34"/>
      <c r="BZ91" s="34"/>
      <c r="CA91" s="37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43"/>
      <c r="CN91" s="37"/>
      <c r="CO91" s="37"/>
      <c r="CP91" s="34"/>
      <c r="CQ91" s="46"/>
      <c r="CR91" s="34"/>
      <c r="CS91" s="37"/>
      <c r="CT91" s="34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9"/>
      <c r="EB91" s="39"/>
      <c r="EC91" s="40"/>
    </row>
    <row r="92" spans="1:133">
      <c r="A92" s="44"/>
      <c r="B92" s="45" t="s">
        <v>284</v>
      </c>
      <c r="C92" s="20" t="s">
        <v>286</v>
      </c>
      <c r="D92" s="21" t="s">
        <v>162</v>
      </c>
      <c r="E92" s="21"/>
      <c r="F92" s="22" t="s">
        <v>137</v>
      </c>
      <c r="G92" s="23" t="str" cm="1">
        <f t="array" ref="G92">IFERROR(LOOKUP(2,1/(K92:GC92&lt;&gt;""),K$2:DQL$2),"")</f>
        <v/>
      </c>
      <c r="H92" s="24" t="str" cm="1">
        <f t="array" ref="H92">IFERROR(_xlfn.XLOOKUP(TRUE,P92:ED92&lt;&gt;"",P92:ED92,,,-1)," ")</f>
        <v xml:space="preserve"> </v>
      </c>
      <c r="I92" s="25">
        <v>23.5</v>
      </c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34"/>
      <c r="AF92" s="35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7"/>
      <c r="BF92" s="37"/>
      <c r="BG92" s="34"/>
      <c r="BH92" s="37"/>
      <c r="BI92" s="34"/>
      <c r="BJ92" s="34"/>
      <c r="BK92" s="34"/>
      <c r="BL92" s="37"/>
      <c r="BM92" s="37"/>
      <c r="BN92" s="34"/>
      <c r="BO92" s="34"/>
      <c r="BP92" s="34"/>
      <c r="BQ92" s="34"/>
      <c r="BR92" s="34"/>
      <c r="BS92" s="37"/>
      <c r="BT92" s="37"/>
      <c r="BU92" s="34"/>
      <c r="BV92" s="34"/>
      <c r="BW92" s="34"/>
      <c r="BX92" s="34"/>
      <c r="BY92" s="34"/>
      <c r="BZ92" s="34"/>
      <c r="CA92" s="37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43"/>
      <c r="CN92" s="37"/>
      <c r="CO92" s="37"/>
      <c r="CP92" s="34"/>
      <c r="CQ92" s="46"/>
      <c r="CR92" s="34"/>
      <c r="CS92" s="38"/>
      <c r="CT92" s="34"/>
      <c r="CU92" s="37"/>
      <c r="CV92" s="37"/>
      <c r="CW92" s="37"/>
      <c r="CX92" s="38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9"/>
      <c r="EB92" s="39"/>
      <c r="EC92" s="40"/>
    </row>
    <row r="93" spans="1:133">
      <c r="A93" s="44"/>
      <c r="B93" s="45" t="s">
        <v>284</v>
      </c>
      <c r="C93" s="20" t="s">
        <v>287</v>
      </c>
      <c r="D93" s="21" t="s">
        <v>162</v>
      </c>
      <c r="E93" s="21"/>
      <c r="F93" s="22" t="s">
        <v>137</v>
      </c>
      <c r="G93" s="23" t="str" cm="1">
        <f t="array" ref="G93">IFERROR(LOOKUP(2,1/(K93:GC93&lt;&gt;""),K$2:DQL$2),"")</f>
        <v/>
      </c>
      <c r="H93" s="24" t="str" cm="1">
        <f t="array" ref="H93">IFERROR(_xlfn.XLOOKUP(TRUE,P93:ED93&lt;&gt;"",P93:ED93,,,-1)," ")</f>
        <v xml:space="preserve"> </v>
      </c>
      <c r="I93" s="25">
        <v>24</v>
      </c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34"/>
      <c r="AF93" s="35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7"/>
      <c r="BF93" s="37"/>
      <c r="BG93" s="34"/>
      <c r="BH93" s="37"/>
      <c r="BI93" s="34"/>
      <c r="BJ93" s="34"/>
      <c r="BK93" s="34"/>
      <c r="BL93" s="37"/>
      <c r="BM93" s="37"/>
      <c r="BN93" s="34"/>
      <c r="BO93" s="34"/>
      <c r="BP93" s="34"/>
      <c r="BQ93" s="34"/>
      <c r="BR93" s="34"/>
      <c r="BS93" s="37"/>
      <c r="BT93" s="37"/>
      <c r="BU93" s="34"/>
      <c r="BV93" s="34"/>
      <c r="BW93" s="34"/>
      <c r="BX93" s="34"/>
      <c r="BY93" s="34"/>
      <c r="BZ93" s="34"/>
      <c r="CA93" s="37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43"/>
      <c r="CN93" s="37"/>
      <c r="CO93" s="37"/>
      <c r="CP93" s="34"/>
      <c r="CQ93" s="37"/>
      <c r="CR93" s="34"/>
      <c r="CS93" s="38"/>
      <c r="CT93" s="34"/>
      <c r="CU93" s="37"/>
      <c r="CV93" s="37"/>
      <c r="CW93" s="37"/>
      <c r="CX93" s="38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9"/>
      <c r="EB93" s="39"/>
      <c r="EC93" s="40"/>
    </row>
    <row r="94" spans="1:133">
      <c r="A94" s="44"/>
      <c r="B94" s="22"/>
      <c r="C94" s="20" t="s">
        <v>288</v>
      </c>
      <c r="D94" s="21" t="s">
        <v>162</v>
      </c>
      <c r="E94" s="21"/>
      <c r="F94" s="22" t="s">
        <v>137</v>
      </c>
      <c r="G94" s="23" t="str" cm="1">
        <f t="array" ref="G94">IFERROR(LOOKUP(2,1/(K94:GC94&lt;&gt;""),K$2:DQL$2),"")</f>
        <v/>
      </c>
      <c r="H94" s="24" t="str" cm="1">
        <f t="array" ref="H94">IFERROR(_xlfn.XLOOKUP(TRUE,P94:ED94&lt;&gt;"",P94:ED94,,,-1)," ")</f>
        <v xml:space="preserve"> </v>
      </c>
      <c r="I94" s="25">
        <v>23.5</v>
      </c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7"/>
      <c r="BF94" s="37"/>
      <c r="BG94" s="34"/>
      <c r="BH94" s="34"/>
      <c r="BI94" s="34"/>
      <c r="BJ94" s="34"/>
      <c r="BK94" s="34"/>
      <c r="BL94" s="34"/>
      <c r="BM94" s="37"/>
      <c r="BN94" s="34"/>
      <c r="BO94" s="34"/>
      <c r="BP94" s="34"/>
      <c r="BQ94" s="34"/>
      <c r="BR94" s="34"/>
      <c r="BS94" s="37"/>
      <c r="BT94" s="37"/>
      <c r="BU94" s="34"/>
      <c r="BV94" s="34"/>
      <c r="BW94" s="34"/>
      <c r="BX94" s="37"/>
      <c r="BY94" s="34"/>
      <c r="BZ94" s="36"/>
      <c r="CA94" s="37"/>
      <c r="CB94" s="37"/>
      <c r="CC94" s="34"/>
      <c r="CD94" s="37"/>
      <c r="CE94" s="37"/>
      <c r="CF94" s="37"/>
      <c r="CG94" s="37"/>
      <c r="CH94" s="37"/>
      <c r="CI94" s="37"/>
      <c r="CJ94" s="34"/>
      <c r="CK94" s="37"/>
      <c r="CL94" s="34"/>
      <c r="CM94" s="37"/>
      <c r="CN94" s="37"/>
      <c r="CO94" s="37"/>
      <c r="CP94" s="34"/>
      <c r="CQ94" s="37"/>
      <c r="CR94" s="34"/>
      <c r="CS94" s="37"/>
      <c r="CT94" s="34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9"/>
      <c r="EB94" s="39"/>
      <c r="EC94" s="40"/>
    </row>
    <row r="95" spans="1:133">
      <c r="A95" s="44"/>
      <c r="B95" s="22"/>
      <c r="C95" s="20" t="s">
        <v>289</v>
      </c>
      <c r="D95" s="21" t="s">
        <v>162</v>
      </c>
      <c r="E95" s="21"/>
      <c r="F95" s="22" t="s">
        <v>137</v>
      </c>
      <c r="G95" s="23" t="str" cm="1">
        <f t="array" ref="G95">IFERROR(LOOKUP(2,1/(K95:GC95&lt;&gt;""),K$2:DQL$2),"")</f>
        <v/>
      </c>
      <c r="H95" s="24" t="str" cm="1">
        <f t="array" ref="H95">IFERROR(_xlfn.XLOOKUP(TRUE,P95:ED95&lt;&gt;"",P95:ED95,,,-1)," ")</f>
        <v xml:space="preserve"> </v>
      </c>
      <c r="I95" s="25">
        <v>24</v>
      </c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7"/>
      <c r="BF95" s="37"/>
      <c r="BG95" s="34"/>
      <c r="BH95" s="34"/>
      <c r="BI95" s="34"/>
      <c r="BJ95" s="34"/>
      <c r="BK95" s="34"/>
      <c r="BL95" s="34"/>
      <c r="BM95" s="37"/>
      <c r="BN95" s="34"/>
      <c r="BO95" s="34"/>
      <c r="BP95" s="34"/>
      <c r="BQ95" s="34"/>
      <c r="BR95" s="34"/>
      <c r="BS95" s="37"/>
      <c r="BT95" s="37"/>
      <c r="BU95" s="34"/>
      <c r="BV95" s="34"/>
      <c r="BW95" s="34"/>
      <c r="BX95" s="37"/>
      <c r="BY95" s="34"/>
      <c r="BZ95" s="36"/>
      <c r="CA95" s="37"/>
      <c r="CB95" s="37"/>
      <c r="CC95" s="34"/>
      <c r="CD95" s="37"/>
      <c r="CE95" s="37"/>
      <c r="CF95" s="37"/>
      <c r="CG95" s="37"/>
      <c r="CH95" s="37"/>
      <c r="CI95" s="37"/>
      <c r="CJ95" s="34"/>
      <c r="CK95" s="37"/>
      <c r="CL95" s="34"/>
      <c r="CM95" s="37"/>
      <c r="CN95" s="37"/>
      <c r="CO95" s="37"/>
      <c r="CP95" s="34"/>
      <c r="CQ95" s="37"/>
      <c r="CR95" s="34"/>
      <c r="CS95" s="37"/>
      <c r="CT95" s="34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9"/>
      <c r="EB95" s="39"/>
      <c r="EC95" s="40"/>
    </row>
    <row r="96" spans="1:133" hidden="1">
      <c r="A96" s="44"/>
      <c r="B96" s="45" t="s">
        <v>290</v>
      </c>
      <c r="C96" s="20" t="s">
        <v>291</v>
      </c>
      <c r="D96" s="21" t="s">
        <v>162</v>
      </c>
      <c r="E96" s="21"/>
      <c r="F96" s="22" t="s">
        <v>198</v>
      </c>
      <c r="G96" s="23" t="str" cm="1">
        <f t="array" ref="G96">IFERROR(LOOKUP(2,1/(K96:GC96&lt;&gt;""),K$2:DQL$2),"")</f>
        <v/>
      </c>
      <c r="H96" s="24" t="str" cm="1">
        <f t="array" ref="H96">IFERROR(_xlfn.XLOOKUP(TRUE,P96:ED96&lt;&gt;"",P96:ED96,,,-1)," ")</f>
        <v xml:space="preserve"> </v>
      </c>
      <c r="I96" s="25">
        <v>24</v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34"/>
      <c r="AF96" s="35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7"/>
      <c r="BF96" s="37"/>
      <c r="BG96" s="34"/>
      <c r="BH96" s="37"/>
      <c r="BI96" s="34"/>
      <c r="BJ96" s="34"/>
      <c r="BK96" s="34"/>
      <c r="BL96" s="37"/>
      <c r="BM96" s="37"/>
      <c r="BN96" s="34"/>
      <c r="BO96" s="34"/>
      <c r="BP96" s="34"/>
      <c r="BQ96" s="34"/>
      <c r="BR96" s="34"/>
      <c r="BS96" s="37"/>
      <c r="BT96" s="37"/>
      <c r="BU96" s="34"/>
      <c r="BV96" s="34"/>
      <c r="BW96" s="34"/>
      <c r="BX96" s="34"/>
      <c r="BY96" s="34"/>
      <c r="BZ96" s="34"/>
      <c r="CA96" s="37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43"/>
      <c r="CN96" s="37"/>
      <c r="CO96" s="37"/>
      <c r="CP96" s="34"/>
      <c r="CQ96" s="34"/>
      <c r="CR96" s="34"/>
      <c r="CS96" s="37"/>
      <c r="CT96" s="34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9"/>
      <c r="EB96" s="39"/>
      <c r="EC96" s="40"/>
    </row>
    <row r="97" spans="1:133" hidden="1">
      <c r="A97" s="44"/>
      <c r="B97" s="45" t="s">
        <v>290</v>
      </c>
      <c r="C97" s="20" t="s">
        <v>292</v>
      </c>
      <c r="D97" s="21" t="s">
        <v>162</v>
      </c>
      <c r="E97" s="21"/>
      <c r="F97" s="22" t="s">
        <v>198</v>
      </c>
      <c r="G97" s="23" t="str" cm="1">
        <f t="array" ref="G97">IFERROR(LOOKUP(2,1/(K97:GC97&lt;&gt;""),K$2:DQL$2),"")</f>
        <v/>
      </c>
      <c r="H97" s="24" t="str" cm="1">
        <f t="array" ref="H97">IFERROR(_xlfn.XLOOKUP(TRUE,P97:ED97&lt;&gt;"",P97:ED97,,,-1)," ")</f>
        <v xml:space="preserve"> </v>
      </c>
      <c r="I97" s="25">
        <v>24</v>
      </c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34"/>
      <c r="AF97" s="35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7"/>
      <c r="BF97" s="37"/>
      <c r="BG97" s="34"/>
      <c r="BH97" s="37"/>
      <c r="BI97" s="34"/>
      <c r="BJ97" s="34"/>
      <c r="BK97" s="34"/>
      <c r="BL97" s="37"/>
      <c r="BM97" s="37"/>
      <c r="BN97" s="34"/>
      <c r="BO97" s="34"/>
      <c r="BP97" s="34"/>
      <c r="BQ97" s="34"/>
      <c r="BR97" s="34"/>
      <c r="BS97" s="37"/>
      <c r="BT97" s="37"/>
      <c r="BU97" s="34"/>
      <c r="BV97" s="34"/>
      <c r="BW97" s="34"/>
      <c r="BX97" s="34"/>
      <c r="BY97" s="34"/>
      <c r="BZ97" s="34"/>
      <c r="CA97" s="37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43"/>
      <c r="CN97" s="37"/>
      <c r="CO97" s="37"/>
      <c r="CP97" s="34"/>
      <c r="CQ97" s="37"/>
      <c r="CR97" s="34"/>
      <c r="CS97" s="37"/>
      <c r="CT97" s="34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9"/>
      <c r="EB97" s="39"/>
      <c r="EC97" s="40"/>
    </row>
    <row r="98" spans="1:133" hidden="1">
      <c r="A98" s="44"/>
      <c r="B98" s="45" t="s">
        <v>290</v>
      </c>
      <c r="C98" s="20" t="s">
        <v>293</v>
      </c>
      <c r="D98" s="21" t="s">
        <v>162</v>
      </c>
      <c r="E98" s="21"/>
      <c r="F98" s="22" t="s">
        <v>198</v>
      </c>
      <c r="G98" s="23" t="str" cm="1">
        <f t="array" ref="G98">IFERROR(LOOKUP(2,1/(K98:GC98&lt;&gt;""),K$2:DQL$2),"")</f>
        <v/>
      </c>
      <c r="H98" s="24" t="str" cm="1">
        <f t="array" ref="H98">IFERROR(_xlfn.XLOOKUP(TRUE,P98:ED98&lt;&gt;"",P98:ED98,,,-1)," ")</f>
        <v xml:space="preserve"> </v>
      </c>
      <c r="I98" s="25">
        <v>24</v>
      </c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34"/>
      <c r="AF98" s="35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7"/>
      <c r="BF98" s="37"/>
      <c r="BG98" s="34"/>
      <c r="BH98" s="37"/>
      <c r="BI98" s="34"/>
      <c r="BJ98" s="34"/>
      <c r="BK98" s="34"/>
      <c r="BL98" s="37"/>
      <c r="BM98" s="37"/>
      <c r="BN98" s="34"/>
      <c r="BO98" s="34"/>
      <c r="BP98" s="34"/>
      <c r="BQ98" s="34"/>
      <c r="BR98" s="34"/>
      <c r="BS98" s="37"/>
      <c r="BT98" s="37"/>
      <c r="BU98" s="34"/>
      <c r="BV98" s="34"/>
      <c r="BW98" s="34"/>
      <c r="BX98" s="34"/>
      <c r="BY98" s="34"/>
      <c r="BZ98" s="34"/>
      <c r="CA98" s="37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43"/>
      <c r="CN98" s="37"/>
      <c r="CO98" s="37"/>
      <c r="CP98" s="34"/>
      <c r="CQ98" s="37"/>
      <c r="CR98" s="34"/>
      <c r="CS98" s="37"/>
      <c r="CT98" s="34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9"/>
      <c r="EB98" s="39"/>
      <c r="EC98" s="40"/>
    </row>
    <row r="99" spans="1:133">
      <c r="A99" s="44"/>
      <c r="B99" s="45" t="s">
        <v>294</v>
      </c>
      <c r="C99" s="289" t="s">
        <v>295</v>
      </c>
      <c r="D99" s="21" t="s">
        <v>296</v>
      </c>
      <c r="E99" s="21"/>
      <c r="F99" s="54" t="s">
        <v>137</v>
      </c>
      <c r="G99" s="23" t="str" cm="1">
        <f t="array" ref="G99">IFERROR(LOOKUP(2,1/(K99:GC99&lt;&gt;""),K$2:DQL$2),"")</f>
        <v>17-Aug</v>
      </c>
      <c r="H99" s="24" cm="1">
        <f t="array" ref="H99">IFERROR(_xlfn.XLOOKUP(TRUE,P99:ED99&lt;&gt;"",P99:ED99,,,-1)," ")</f>
        <v>22.3</v>
      </c>
      <c r="I99" s="25">
        <v>23</v>
      </c>
      <c r="J99" s="55">
        <v>24.5</v>
      </c>
      <c r="K99" s="55"/>
      <c r="L99" s="55"/>
      <c r="M99" s="55"/>
      <c r="N99" s="55"/>
      <c r="O99" s="55"/>
      <c r="P99" s="55"/>
      <c r="Q99" s="55"/>
      <c r="R99" s="55"/>
      <c r="S99" s="55">
        <v>13.7</v>
      </c>
      <c r="T99" s="55"/>
      <c r="U99" s="55"/>
      <c r="V99" s="55"/>
      <c r="W99" s="55"/>
      <c r="X99" s="55"/>
      <c r="Y99" s="55"/>
      <c r="Z99" s="55"/>
      <c r="AA99" s="55"/>
      <c r="AB99" s="55"/>
      <c r="AC99" s="55">
        <v>17.7</v>
      </c>
      <c r="AD99" s="55"/>
      <c r="AE99" s="60"/>
      <c r="AF99" s="35"/>
      <c r="AG99" s="60"/>
      <c r="AH99" s="60"/>
      <c r="AI99" s="60"/>
      <c r="AJ99" s="34">
        <v>19.399999999999999</v>
      </c>
      <c r="AK99" s="34"/>
      <c r="AL99" s="34"/>
      <c r="AM99" s="60"/>
      <c r="AN99" s="60"/>
      <c r="AO99" s="34"/>
      <c r="AP99" s="60"/>
      <c r="AQ99" s="60"/>
      <c r="AR99" s="60"/>
      <c r="AS99" s="36"/>
      <c r="AT99" s="60"/>
      <c r="AU99" s="36">
        <v>20.9</v>
      </c>
      <c r="AV99" s="34"/>
      <c r="AW99" s="34"/>
      <c r="AX99" s="60"/>
      <c r="AY99" s="34"/>
      <c r="AZ99" s="36">
        <v>22</v>
      </c>
      <c r="BA99" s="60"/>
      <c r="BB99" s="34"/>
      <c r="BC99" s="60"/>
      <c r="BD99" s="60"/>
      <c r="BE99" s="292">
        <v>22.3</v>
      </c>
      <c r="BF99" s="37"/>
      <c r="BG99" s="60"/>
      <c r="BH99" s="60"/>
      <c r="BI99" s="60"/>
      <c r="BJ99" s="60"/>
      <c r="BK99" s="60"/>
      <c r="BL99" s="56"/>
      <c r="BM99" s="37"/>
      <c r="BN99" s="56"/>
      <c r="BO99" s="38"/>
      <c r="BP99" s="56"/>
      <c r="BQ99" s="56"/>
      <c r="BR99" s="34"/>
      <c r="BS99" s="37"/>
      <c r="BT99" s="37"/>
      <c r="BU99" s="34"/>
      <c r="BV99" s="37"/>
      <c r="BW99" s="34"/>
      <c r="BX99" s="37"/>
      <c r="BY99" s="34"/>
      <c r="BZ99" s="34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4"/>
      <c r="CM99" s="37"/>
      <c r="CN99" s="37"/>
      <c r="CO99" s="37"/>
      <c r="CP99" s="34"/>
      <c r="CQ99" s="37"/>
      <c r="CR99" s="37"/>
      <c r="CS99" s="37"/>
      <c r="CT99" s="34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9"/>
      <c r="EB99" s="39"/>
      <c r="EC99" s="40"/>
    </row>
    <row r="100" spans="1:133" hidden="1">
      <c r="A100" s="44" t="s">
        <v>138</v>
      </c>
      <c r="B100" s="45" t="s">
        <v>297</v>
      </c>
      <c r="C100" s="53" t="s">
        <v>298</v>
      </c>
      <c r="D100" s="21" t="s">
        <v>296</v>
      </c>
      <c r="E100" s="21"/>
      <c r="F100" s="54" t="s">
        <v>137</v>
      </c>
      <c r="G100" s="23" t="str" cm="1">
        <f t="array" ref="G100">IFERROR(LOOKUP(2,1/(K100:GC100&lt;&gt;""),K$2:DQL$2),"")</f>
        <v>7-Aug</v>
      </c>
      <c r="H100" s="24" cm="1">
        <f t="array" ref="H100">IFERROR(_xlfn.XLOOKUP(TRUE,P100:ED100&lt;&gt;"",P100:ED100,,,-1)," ")</f>
        <v>24.2</v>
      </c>
      <c r="I100" s="25">
        <v>22.5</v>
      </c>
      <c r="J100" s="55">
        <v>23.5</v>
      </c>
      <c r="K100" s="55"/>
      <c r="L100" s="55"/>
      <c r="M100" s="55"/>
      <c r="N100" s="55"/>
      <c r="O100" s="55"/>
      <c r="P100" s="55"/>
      <c r="Q100" s="55"/>
      <c r="R100" s="55">
        <v>14.2</v>
      </c>
      <c r="S100" s="55"/>
      <c r="T100" s="55"/>
      <c r="U100" s="55"/>
      <c r="V100" s="55"/>
      <c r="W100" s="55"/>
      <c r="X100" s="55">
        <v>17.8</v>
      </c>
      <c r="Y100" s="55"/>
      <c r="Z100" s="55"/>
      <c r="AA100" s="55"/>
      <c r="AB100" s="55"/>
      <c r="AC100" s="55" t="s">
        <v>299</v>
      </c>
      <c r="AD100" s="55"/>
      <c r="AE100" s="34"/>
      <c r="AF100" s="35"/>
      <c r="AG100" s="34">
        <v>19.2</v>
      </c>
      <c r="AH100" s="34"/>
      <c r="AI100" s="34"/>
      <c r="AJ100" s="34"/>
      <c r="AK100" s="34"/>
      <c r="AL100" s="34"/>
      <c r="AM100" s="34"/>
      <c r="AN100" s="34"/>
      <c r="AO100" s="34"/>
      <c r="AP100" s="34"/>
      <c r="AQ100" s="36">
        <v>22</v>
      </c>
      <c r="AR100" s="34"/>
      <c r="AS100" s="34"/>
      <c r="AT100" s="34"/>
      <c r="AU100" s="36">
        <v>24.2</v>
      </c>
      <c r="AV100" s="34"/>
      <c r="AW100" s="34"/>
      <c r="AX100" s="34"/>
      <c r="AY100" s="34"/>
      <c r="AZ100" s="34"/>
      <c r="BA100" s="34"/>
      <c r="BB100" s="34"/>
      <c r="BC100" s="36"/>
      <c r="BD100" s="34"/>
      <c r="BE100" s="37"/>
      <c r="BF100" s="37"/>
      <c r="BG100" s="34"/>
      <c r="BH100" s="36"/>
      <c r="BI100" s="34"/>
      <c r="BJ100" s="36"/>
      <c r="BK100" s="34"/>
      <c r="BL100" s="37"/>
      <c r="BM100" s="37"/>
      <c r="BN100" s="37"/>
      <c r="BO100" s="37"/>
      <c r="BP100" s="37"/>
      <c r="BQ100" s="37"/>
      <c r="BR100" s="34"/>
      <c r="BS100" s="37"/>
      <c r="BT100" s="37"/>
      <c r="BU100" s="34"/>
      <c r="BV100" s="37"/>
      <c r="BW100" s="34"/>
      <c r="BX100" s="37"/>
      <c r="BY100" s="34"/>
      <c r="BZ100" s="34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4"/>
      <c r="CM100" s="37"/>
      <c r="CN100" s="37"/>
      <c r="CO100" s="37"/>
      <c r="CP100" s="34"/>
      <c r="CQ100" s="37"/>
      <c r="CR100" s="37"/>
      <c r="CS100" s="37"/>
      <c r="CT100" s="34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9"/>
      <c r="EB100" s="39"/>
      <c r="EC100" s="40"/>
    </row>
    <row r="101" spans="1:133" hidden="1">
      <c r="A101" s="44"/>
      <c r="B101" s="45" t="s">
        <v>300</v>
      </c>
      <c r="C101" s="20" t="s">
        <v>301</v>
      </c>
      <c r="D101" s="21" t="s">
        <v>296</v>
      </c>
      <c r="E101" s="21"/>
      <c r="F101" s="22"/>
      <c r="G101" s="23" t="str" cm="1">
        <f t="array" ref="G101">IFERROR(LOOKUP(2,1/(K101:GC101&lt;&gt;""),K$2:DQL$2),"")</f>
        <v>18-Aug</v>
      </c>
      <c r="H101" s="24" cm="1">
        <f t="array" ref="H101">IFERROR(_xlfn.XLOOKUP(TRUE,P101:ED101&lt;&gt;"",P101:ED101,,,-1)," ")</f>
        <v>24.5</v>
      </c>
      <c r="I101" s="25">
        <v>22.5</v>
      </c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34">
        <v>19.2</v>
      </c>
      <c r="AF101" s="35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>
        <v>24</v>
      </c>
      <c r="AZ101" s="34"/>
      <c r="BA101" s="34"/>
      <c r="BB101" s="34"/>
      <c r="BC101" s="36"/>
      <c r="BD101" s="34"/>
      <c r="BE101" s="37"/>
      <c r="BF101" s="38">
        <v>24.5</v>
      </c>
      <c r="BG101" s="34"/>
      <c r="BH101" s="34"/>
      <c r="BI101" s="34"/>
      <c r="BJ101" s="34"/>
      <c r="BK101" s="34"/>
      <c r="BL101" s="37"/>
      <c r="BM101" s="37"/>
      <c r="BN101" s="37"/>
      <c r="BO101" s="37"/>
      <c r="BP101" s="37"/>
      <c r="BQ101" s="37"/>
      <c r="BR101" s="34"/>
      <c r="BS101" s="37"/>
      <c r="BT101" s="37"/>
      <c r="BU101" s="36"/>
      <c r="BV101" s="37"/>
      <c r="BW101" s="34"/>
      <c r="BX101" s="37"/>
      <c r="BY101" s="34"/>
      <c r="BZ101" s="36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4"/>
      <c r="CM101" s="37"/>
      <c r="CN101" s="37"/>
      <c r="CO101" s="37"/>
      <c r="CP101" s="34"/>
      <c r="CQ101" s="37"/>
      <c r="CR101" s="37"/>
      <c r="CS101" s="37"/>
      <c r="CT101" s="34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9"/>
      <c r="EB101" s="39"/>
      <c r="EC101" s="40"/>
    </row>
    <row r="102" spans="1:133" hidden="1">
      <c r="A102" s="44"/>
      <c r="B102" s="45" t="s">
        <v>302</v>
      </c>
      <c r="C102" s="20" t="s">
        <v>303</v>
      </c>
      <c r="D102" s="21" t="s">
        <v>296</v>
      </c>
      <c r="E102" s="21"/>
      <c r="F102" s="22" t="s">
        <v>198</v>
      </c>
      <c r="G102" s="23" t="str" cm="1">
        <f t="array" ref="G102">IFERROR(LOOKUP(2,1/(K102:GC102&lt;&gt;""),K$2:DQL$2),"")</f>
        <v>20-Aug</v>
      </c>
      <c r="H102" s="24" cm="1">
        <f t="array" ref="H102">IFERROR(_xlfn.XLOOKUP(TRUE,P102:ED102&lt;&gt;"",P102:ED102,,,-1)," ")</f>
        <v>21.4</v>
      </c>
      <c r="I102" s="25">
        <v>23</v>
      </c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34"/>
      <c r="AF102" s="247">
        <v>15</v>
      </c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248">
        <v>17.3</v>
      </c>
      <c r="AR102" s="34"/>
      <c r="AS102" s="34"/>
      <c r="AT102" s="34"/>
      <c r="AU102" s="248">
        <v>20.100000000000001</v>
      </c>
      <c r="AV102" s="34"/>
      <c r="AW102" s="34"/>
      <c r="AX102" s="34"/>
      <c r="AY102" s="34"/>
      <c r="AZ102" s="34">
        <v>21.7</v>
      </c>
      <c r="BA102" s="34"/>
      <c r="BB102" s="34"/>
      <c r="BC102" s="34"/>
      <c r="BD102" s="34"/>
      <c r="BE102" s="37">
        <v>21.7</v>
      </c>
      <c r="BF102" s="37"/>
      <c r="BG102" s="34"/>
      <c r="BH102" s="34">
        <v>21.4</v>
      </c>
      <c r="BI102" s="34"/>
      <c r="BJ102" s="34"/>
      <c r="BK102" s="34"/>
      <c r="BL102" s="37"/>
      <c r="BM102" s="37"/>
      <c r="BN102" s="34"/>
      <c r="BO102" s="34"/>
      <c r="BP102" s="37"/>
      <c r="BQ102" s="34"/>
      <c r="BR102" s="34"/>
      <c r="BS102" s="37"/>
      <c r="BT102" s="37"/>
      <c r="BU102" s="34"/>
      <c r="BV102" s="37"/>
      <c r="BW102" s="34"/>
      <c r="BX102" s="37"/>
      <c r="BY102" s="34"/>
      <c r="BZ102" s="36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4"/>
      <c r="CM102" s="37"/>
      <c r="CN102" s="37"/>
      <c r="CO102" s="37"/>
      <c r="CP102" s="34"/>
      <c r="CQ102" s="37"/>
      <c r="CR102" s="37"/>
      <c r="CS102" s="37"/>
      <c r="CT102" s="34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9"/>
      <c r="EB102" s="39"/>
      <c r="EC102" s="40"/>
    </row>
    <row r="103" spans="1:133" hidden="1">
      <c r="A103" s="44"/>
      <c r="B103" s="45" t="s">
        <v>304</v>
      </c>
      <c r="C103" s="20" t="s">
        <v>305</v>
      </c>
      <c r="D103" s="21" t="s">
        <v>296</v>
      </c>
      <c r="E103" s="21"/>
      <c r="F103" s="22"/>
      <c r="G103" s="23" t="str" cm="1">
        <f t="array" ref="G103">IFERROR(LOOKUP(2,1/(K103:GC103&lt;&gt;""),K$2:DQL$2),"")</f>
        <v>20-Aug</v>
      </c>
      <c r="H103" s="24" cm="1">
        <f t="array" ref="H103">IFERROR(_xlfn.XLOOKUP(TRUE,P103:ED103&lt;&gt;"",P103:ED103,,,-1)," ")</f>
        <v>25.1</v>
      </c>
      <c r="I103" s="25">
        <v>23</v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34"/>
      <c r="AF103" s="35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>
        <v>24.6</v>
      </c>
      <c r="AY103" s="34"/>
      <c r="AZ103" s="34"/>
      <c r="BA103" s="34"/>
      <c r="BB103" s="34"/>
      <c r="BC103" s="34"/>
      <c r="BD103" s="34"/>
      <c r="BE103" s="56"/>
      <c r="BF103" s="37"/>
      <c r="BG103" s="34"/>
      <c r="BH103" s="36">
        <v>25.1</v>
      </c>
      <c r="BI103" s="34"/>
      <c r="BJ103" s="34"/>
      <c r="BK103" s="34"/>
      <c r="BL103" s="37"/>
      <c r="BM103" s="37"/>
      <c r="BN103" s="34"/>
      <c r="BO103" s="34"/>
      <c r="BP103" s="37"/>
      <c r="BQ103" s="34"/>
      <c r="BR103" s="34"/>
      <c r="BS103" s="37"/>
      <c r="BT103" s="37"/>
      <c r="BU103" s="34"/>
      <c r="BV103" s="37"/>
      <c r="BW103" s="34"/>
      <c r="BX103" s="37"/>
      <c r="BY103" s="34"/>
      <c r="BZ103" s="34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4"/>
      <c r="CM103" s="37"/>
      <c r="CN103" s="37"/>
      <c r="CO103" s="37"/>
      <c r="CP103" s="34"/>
      <c r="CQ103" s="37"/>
      <c r="CR103" s="37"/>
      <c r="CS103" s="37"/>
      <c r="CT103" s="34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9"/>
      <c r="EB103" s="39"/>
      <c r="EC103" s="40"/>
    </row>
    <row r="104" spans="1:133" hidden="1">
      <c r="A104" s="44" t="s">
        <v>138</v>
      </c>
      <c r="B104" s="45" t="s">
        <v>306</v>
      </c>
      <c r="C104" s="20" t="s">
        <v>307</v>
      </c>
      <c r="D104" s="21" t="s">
        <v>296</v>
      </c>
      <c r="E104" s="21"/>
      <c r="F104" s="22" t="s">
        <v>137</v>
      </c>
      <c r="G104" s="23" t="str" cm="1">
        <f t="array" ref="G104">IFERROR(LOOKUP(2,1/(K104:GC104&lt;&gt;""),K$2:DQL$2),"")</f>
        <v>17-Aug</v>
      </c>
      <c r="H104" s="24" cm="1">
        <f t="array" ref="H104">IFERROR(_xlfn.XLOOKUP(TRUE,P104:ED104&lt;&gt;"",P104:ED104,,,-1)," ")</f>
        <v>23.2</v>
      </c>
      <c r="I104" s="25">
        <v>24</v>
      </c>
      <c r="J104" s="25">
        <v>25</v>
      </c>
      <c r="K104" s="25"/>
      <c r="L104" s="25"/>
      <c r="M104" s="25"/>
      <c r="N104" s="25"/>
      <c r="O104" s="25"/>
      <c r="P104" s="25"/>
      <c r="Q104" s="25"/>
      <c r="R104" s="25"/>
      <c r="S104" s="25">
        <v>15.5</v>
      </c>
      <c r="T104" s="25"/>
      <c r="U104" s="25"/>
      <c r="V104" s="25"/>
      <c r="W104" s="25">
        <v>16</v>
      </c>
      <c r="X104" s="25"/>
      <c r="Y104" s="25">
        <v>16.600000000000001</v>
      </c>
      <c r="Z104" s="25"/>
      <c r="AA104" s="25"/>
      <c r="AB104" s="25"/>
      <c r="AC104" s="25"/>
      <c r="AD104" s="25">
        <v>18.7</v>
      </c>
      <c r="AE104" s="48"/>
      <c r="AF104" s="47"/>
      <c r="AG104" s="48"/>
      <c r="AH104" s="49"/>
      <c r="AI104" s="48"/>
      <c r="AJ104" s="48"/>
      <c r="AK104" s="48"/>
      <c r="AL104" s="48"/>
      <c r="AM104" s="49"/>
      <c r="AN104" s="49">
        <v>21.1</v>
      </c>
      <c r="AO104" s="49"/>
      <c r="AP104" s="48"/>
      <c r="AQ104" s="48"/>
      <c r="AR104" s="48"/>
      <c r="AS104" s="34"/>
      <c r="AT104" s="48"/>
      <c r="AU104" s="36">
        <v>23.1</v>
      </c>
      <c r="AV104" s="34"/>
      <c r="AW104" s="50"/>
      <c r="AX104" s="48"/>
      <c r="AY104" s="50">
        <v>24</v>
      </c>
      <c r="AZ104" s="36"/>
      <c r="BA104" s="48"/>
      <c r="BB104" s="34"/>
      <c r="BC104" s="50"/>
      <c r="BD104" s="48"/>
      <c r="BE104" s="52">
        <v>23.2</v>
      </c>
      <c r="BF104" s="51"/>
      <c r="BG104" s="48"/>
      <c r="BH104" s="48"/>
      <c r="BI104" s="48"/>
      <c r="BJ104" s="48"/>
      <c r="BK104" s="48"/>
      <c r="BL104" s="51"/>
      <c r="BM104" s="51"/>
      <c r="BN104" s="51"/>
      <c r="BO104" s="39"/>
      <c r="BP104" s="51"/>
      <c r="BQ104" s="51"/>
      <c r="BR104" s="48"/>
      <c r="BS104" s="51"/>
      <c r="BT104" s="51"/>
      <c r="BU104" s="48"/>
      <c r="BV104" s="39"/>
      <c r="BW104" s="48"/>
      <c r="BX104" s="51"/>
      <c r="BY104" s="48"/>
      <c r="BZ104" s="48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48"/>
      <c r="CM104" s="51"/>
      <c r="CN104" s="51"/>
      <c r="CO104" s="51"/>
      <c r="CP104" s="48"/>
      <c r="CQ104" s="51"/>
      <c r="CR104" s="51"/>
      <c r="CS104" s="51"/>
      <c r="CT104" s="48"/>
      <c r="CU104" s="51"/>
      <c r="CV104" s="51"/>
      <c r="CW104" s="51"/>
      <c r="CX104" s="51"/>
      <c r="CY104" s="51"/>
      <c r="CZ104" s="51"/>
      <c r="DA104" s="37"/>
      <c r="DB104" s="51"/>
      <c r="DC104" s="51"/>
      <c r="DD104" s="51"/>
      <c r="DE104" s="51"/>
      <c r="DF104" s="51"/>
      <c r="DG104" s="51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 s="51"/>
      <c r="DT104" s="51"/>
      <c r="DU104" s="51"/>
      <c r="DV104" s="51"/>
      <c r="DW104" s="51"/>
      <c r="DX104" s="51"/>
      <c r="DY104" s="51"/>
      <c r="DZ104" s="51"/>
      <c r="EA104" s="39"/>
      <c r="EB104" s="39"/>
      <c r="EC104" s="40"/>
    </row>
    <row r="105" spans="1:133">
      <c r="A105" s="44"/>
      <c r="B105" s="45" t="s">
        <v>308</v>
      </c>
      <c r="C105" s="20" t="s">
        <v>309</v>
      </c>
      <c r="D105" s="21" t="s">
        <v>296</v>
      </c>
      <c r="E105" s="21"/>
      <c r="F105" s="22" t="s">
        <v>137</v>
      </c>
      <c r="G105" s="23" t="str" cm="1">
        <f t="array" ref="G105">IFERROR(LOOKUP(2,1/(K105:GC105&lt;&gt;""),K$2:DQL$2),"")</f>
        <v>5-Aug</v>
      </c>
      <c r="H105" s="24" cm="1">
        <f t="array" ref="H105">IFERROR(_xlfn.XLOOKUP(TRUE,P105:ED105&lt;&gt;"",P105:ED105,,,-1)," ")</f>
        <v>21</v>
      </c>
      <c r="I105" s="25">
        <v>25</v>
      </c>
      <c r="J105" s="25">
        <v>26.5</v>
      </c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48">
        <v>17.2</v>
      </c>
      <c r="AF105" s="35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>
        <v>21</v>
      </c>
      <c r="AT105" s="34"/>
      <c r="AU105" s="34"/>
      <c r="AV105" s="34"/>
      <c r="AW105" s="34"/>
      <c r="AX105" s="34"/>
      <c r="AY105" s="34"/>
      <c r="AZ105" s="34"/>
      <c r="BA105" s="34"/>
      <c r="BB105" s="49"/>
      <c r="BC105" s="34"/>
      <c r="BD105" s="34"/>
      <c r="BE105" s="37"/>
      <c r="BF105" s="37"/>
      <c r="BG105" s="34"/>
      <c r="BH105" s="34"/>
      <c r="BI105" s="34"/>
      <c r="BJ105" s="34"/>
      <c r="BK105" s="34"/>
      <c r="BL105" s="37"/>
      <c r="BM105" s="37"/>
      <c r="BN105" s="34"/>
      <c r="BO105" s="36"/>
      <c r="BP105" s="37"/>
      <c r="BQ105" s="34"/>
      <c r="BR105" s="34"/>
      <c r="BS105" s="37"/>
      <c r="BT105" s="37"/>
      <c r="BU105" s="34"/>
      <c r="BV105" s="37"/>
      <c r="BW105" s="34"/>
      <c r="BX105" s="37"/>
      <c r="BY105" s="34"/>
      <c r="BZ105" s="34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4"/>
      <c r="CM105" s="37"/>
      <c r="CN105" s="37"/>
      <c r="CO105" s="37"/>
      <c r="CP105" s="34"/>
      <c r="CQ105" s="37"/>
      <c r="CR105" s="37"/>
      <c r="CS105" s="37"/>
      <c r="CT105" s="34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9"/>
      <c r="EB105" s="39"/>
      <c r="EC105" s="40"/>
    </row>
    <row r="106" spans="1:133">
      <c r="A106" s="44"/>
      <c r="B106" s="45" t="s">
        <v>308</v>
      </c>
      <c r="C106" s="20" t="s">
        <v>310</v>
      </c>
      <c r="D106" s="21" t="s">
        <v>296</v>
      </c>
      <c r="E106" s="21"/>
      <c r="F106" s="22" t="s">
        <v>137</v>
      </c>
      <c r="G106" s="23" t="str" cm="1">
        <f t="array" ref="G106">IFERROR(LOOKUP(2,1/(K106:GC106&lt;&gt;""),K$2:DQL$2),"")</f>
        <v>19-Aug</v>
      </c>
      <c r="H106" s="24" cm="1">
        <f t="array" ref="H106">IFERROR(_xlfn.XLOOKUP(TRUE,P106:ED106&lt;&gt;"",P106:ED106,,,-1)," ")</f>
        <v>21.9</v>
      </c>
      <c r="I106" s="25">
        <v>25</v>
      </c>
      <c r="J106" s="25">
        <v>26.5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34"/>
      <c r="AF106" s="35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>
        <v>21.2</v>
      </c>
      <c r="AY106" s="34"/>
      <c r="AZ106" s="34"/>
      <c r="BA106" s="34"/>
      <c r="BB106" s="34"/>
      <c r="BC106" s="34"/>
      <c r="BD106" s="34"/>
      <c r="BE106" s="37"/>
      <c r="BF106" s="37"/>
      <c r="BG106" s="36">
        <v>21.9</v>
      </c>
      <c r="BH106" s="34"/>
      <c r="BI106" s="34"/>
      <c r="BJ106" s="34"/>
      <c r="BK106" s="34"/>
      <c r="BL106" s="37"/>
      <c r="BM106" s="37"/>
      <c r="BN106" s="34"/>
      <c r="BO106" s="34"/>
      <c r="BP106" s="37"/>
      <c r="BQ106" s="34"/>
      <c r="BR106" s="34"/>
      <c r="BS106" s="37"/>
      <c r="BT106" s="37"/>
      <c r="BU106" s="34"/>
      <c r="BV106" s="37"/>
      <c r="BW106" s="34"/>
      <c r="BX106" s="37"/>
      <c r="BY106" s="34"/>
      <c r="BZ106" s="34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4"/>
      <c r="CM106" s="37"/>
      <c r="CN106" s="37"/>
      <c r="CO106" s="37"/>
      <c r="CP106" s="34"/>
      <c r="CQ106" s="37"/>
      <c r="CR106" s="37"/>
      <c r="CS106" s="37"/>
      <c r="CT106" s="34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9"/>
      <c r="EB106" s="39"/>
      <c r="EC106" s="40"/>
    </row>
    <row r="107" spans="1:133">
      <c r="A107" s="44"/>
      <c r="B107" s="45" t="s">
        <v>308</v>
      </c>
      <c r="C107" s="20" t="s">
        <v>311</v>
      </c>
      <c r="D107" s="21" t="s">
        <v>296</v>
      </c>
      <c r="E107" s="21"/>
      <c r="F107" s="22" t="s">
        <v>137</v>
      </c>
      <c r="G107" s="23" t="str" cm="1">
        <f t="array" ref="G107">IFERROR(LOOKUP(2,1/(K107:GC107&lt;&gt;""),K$2:DQL$2),"")</f>
        <v>19-Aug</v>
      </c>
      <c r="H107" s="24" cm="1">
        <f t="array" ref="H107">IFERROR(_xlfn.XLOOKUP(TRUE,P107:ED107&lt;&gt;"",P107:ED107,,,-1)," ")</f>
        <v>22</v>
      </c>
      <c r="I107" s="25">
        <v>25</v>
      </c>
      <c r="J107" s="25">
        <v>26.5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34"/>
      <c r="AF107" s="35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>
        <v>21.9</v>
      </c>
      <c r="AY107" s="34"/>
      <c r="AZ107" s="34"/>
      <c r="BA107" s="34"/>
      <c r="BB107" s="34"/>
      <c r="BC107" s="34"/>
      <c r="BD107" s="34"/>
      <c r="BE107" s="37"/>
      <c r="BF107" s="37"/>
      <c r="BG107" s="34">
        <v>22</v>
      </c>
      <c r="BH107" s="34"/>
      <c r="BI107" s="34"/>
      <c r="BJ107" s="34"/>
      <c r="BK107" s="34"/>
      <c r="BL107" s="37"/>
      <c r="BM107" s="37"/>
      <c r="BN107" s="34"/>
      <c r="BO107" s="36"/>
      <c r="BP107" s="37"/>
      <c r="BQ107" s="34"/>
      <c r="BR107" s="34"/>
      <c r="BS107" s="37"/>
      <c r="BT107" s="37"/>
      <c r="BU107" s="34"/>
      <c r="BV107" s="37"/>
      <c r="BW107" s="34"/>
      <c r="BX107" s="37"/>
      <c r="BY107" s="34"/>
      <c r="BZ107" s="34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4"/>
      <c r="CM107" s="37"/>
      <c r="CN107" s="37"/>
      <c r="CO107" s="37"/>
      <c r="CP107" s="34"/>
      <c r="CQ107" s="37"/>
      <c r="CR107" s="37"/>
      <c r="CS107" s="37"/>
      <c r="CT107" s="34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9"/>
      <c r="EB107" s="39"/>
      <c r="EC107" s="40"/>
    </row>
    <row r="108" spans="1:133" hidden="1">
      <c r="A108" s="44"/>
      <c r="B108" s="45" t="s">
        <v>297</v>
      </c>
      <c r="C108" s="20" t="s">
        <v>312</v>
      </c>
      <c r="D108" s="21" t="s">
        <v>296</v>
      </c>
      <c r="E108" s="21"/>
      <c r="F108" s="22"/>
      <c r="G108" s="23" t="str" cm="1">
        <f t="array" ref="G108">IFERROR(LOOKUP(2,1/(K108:GC108&lt;&gt;""),K$2:DQL$2),"")</f>
        <v>4-Aug</v>
      </c>
      <c r="H108" s="24" cm="1">
        <f t="array" ref="H108">IFERROR(_xlfn.XLOOKUP(TRUE,P108:ED108&lt;&gt;"",P108:ED108,,,-1)," ")</f>
        <v>23.2</v>
      </c>
      <c r="I108" s="25">
        <v>23</v>
      </c>
      <c r="J108" s="25">
        <v>24.5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>
        <v>17.399999999999999</v>
      </c>
      <c r="X108" s="25"/>
      <c r="Y108" s="25"/>
      <c r="Z108" s="25"/>
      <c r="AA108" s="25"/>
      <c r="AB108" s="25"/>
      <c r="AC108" s="25"/>
      <c r="AD108" s="25"/>
      <c r="AE108" s="34">
        <v>20.100000000000001</v>
      </c>
      <c r="AF108" s="35"/>
      <c r="AG108" s="34"/>
      <c r="AH108" s="34"/>
      <c r="AI108" s="34"/>
      <c r="AJ108" s="248">
        <v>21.4</v>
      </c>
      <c r="AK108" s="34"/>
      <c r="AL108" s="34"/>
      <c r="AM108" s="34"/>
      <c r="AN108" s="34"/>
      <c r="AO108" s="34"/>
      <c r="AP108" s="34"/>
      <c r="AQ108" s="34">
        <v>23.2</v>
      </c>
      <c r="AR108" s="36">
        <v>23.2</v>
      </c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6"/>
      <c r="BD108" s="36"/>
      <c r="BE108" s="38"/>
      <c r="BF108" s="37"/>
      <c r="BG108" s="36"/>
      <c r="BH108" s="36"/>
      <c r="BI108" s="34"/>
      <c r="BJ108" s="34"/>
      <c r="BK108" s="34"/>
      <c r="BL108" s="37"/>
      <c r="BM108" s="37"/>
      <c r="BN108" s="37"/>
      <c r="BO108" s="37"/>
      <c r="BP108" s="37"/>
      <c r="BQ108" s="37"/>
      <c r="BR108" s="34"/>
      <c r="BS108" s="37"/>
      <c r="BT108" s="37"/>
      <c r="BU108" s="34"/>
      <c r="BV108" s="37"/>
      <c r="BW108" s="34"/>
      <c r="BX108" s="37"/>
      <c r="BY108" s="34"/>
      <c r="BZ108" s="34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4"/>
      <c r="CM108" s="37"/>
      <c r="CN108" s="37"/>
      <c r="CO108" s="37"/>
      <c r="CP108" s="34"/>
      <c r="CQ108" s="37"/>
      <c r="CR108" s="37"/>
      <c r="CS108" s="37"/>
      <c r="CT108" s="34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9"/>
      <c r="EB108" s="39"/>
      <c r="EC108" s="40"/>
    </row>
    <row r="109" spans="1:133" hidden="1">
      <c r="A109" s="44" t="s">
        <v>138</v>
      </c>
      <c r="B109" s="45" t="s">
        <v>313</v>
      </c>
      <c r="C109" s="20" t="s">
        <v>314</v>
      </c>
      <c r="D109" s="21" t="s">
        <v>296</v>
      </c>
      <c r="E109" s="21"/>
      <c r="F109" s="22" t="s">
        <v>137</v>
      </c>
      <c r="G109" s="23" t="str" cm="1">
        <f t="array" ref="G109">IFERROR(LOOKUP(2,1/(K109:GC109&lt;&gt;""),K$2:DQL$2),"")</f>
        <v>4-Aug</v>
      </c>
      <c r="H109" s="24" cm="1">
        <f t="array" ref="H109">IFERROR(_xlfn.XLOOKUP(TRUE,P109:ED109&lt;&gt;"",P109:ED109,,,-1)," ")</f>
        <v>23</v>
      </c>
      <c r="I109" s="25">
        <v>23</v>
      </c>
      <c r="J109" s="25">
        <v>24.5</v>
      </c>
      <c r="K109" s="25"/>
      <c r="L109" s="25"/>
      <c r="M109" s="25"/>
      <c r="N109" s="25"/>
      <c r="O109" s="25"/>
      <c r="P109" s="25"/>
      <c r="Q109" s="25"/>
      <c r="R109" s="25">
        <v>13.2</v>
      </c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>
        <v>17.3</v>
      </c>
      <c r="AD109" s="25"/>
      <c r="AE109" s="34"/>
      <c r="AF109" s="35">
        <v>18.899999999999999</v>
      </c>
      <c r="AG109" s="34"/>
      <c r="AH109" s="34"/>
      <c r="AI109" s="34"/>
      <c r="AJ109" s="34"/>
      <c r="AK109" s="34"/>
      <c r="AL109" s="34">
        <v>21.2</v>
      </c>
      <c r="AM109" s="34"/>
      <c r="AN109" s="34"/>
      <c r="AO109" s="34"/>
      <c r="AP109" s="36"/>
      <c r="AQ109" s="34"/>
      <c r="AR109" s="36">
        <v>23</v>
      </c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6"/>
      <c r="BD109" s="36"/>
      <c r="BE109" s="37"/>
      <c r="BF109" s="37"/>
      <c r="BG109" s="34"/>
      <c r="BH109" s="36"/>
      <c r="BI109" s="36"/>
      <c r="BJ109" s="34"/>
      <c r="BK109" s="34"/>
      <c r="BL109" s="37"/>
      <c r="BM109" s="37"/>
      <c r="BN109" s="37"/>
      <c r="BO109" s="37"/>
      <c r="BP109" s="37"/>
      <c r="BQ109" s="37"/>
      <c r="BR109" s="34"/>
      <c r="BS109" s="37"/>
      <c r="BT109" s="37"/>
      <c r="BU109" s="34"/>
      <c r="BV109" s="37"/>
      <c r="BW109" s="34"/>
      <c r="BX109" s="37"/>
      <c r="BY109" s="34"/>
      <c r="BZ109" s="34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4"/>
      <c r="CM109" s="37"/>
      <c r="CN109" s="37"/>
      <c r="CO109" s="37"/>
      <c r="CP109" s="34"/>
      <c r="CQ109" s="37"/>
      <c r="CR109" s="37"/>
      <c r="CS109" s="37"/>
      <c r="CT109" s="34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9"/>
      <c r="EB109" s="39"/>
      <c r="EC109" s="40"/>
    </row>
    <row r="110" spans="1:133" hidden="1">
      <c r="A110" s="44" t="s">
        <v>138</v>
      </c>
      <c r="B110" s="22"/>
      <c r="C110" s="20" t="s">
        <v>315</v>
      </c>
      <c r="D110" s="21" t="s">
        <v>296</v>
      </c>
      <c r="E110" s="21"/>
      <c r="F110" s="22"/>
      <c r="G110" s="23" t="str" cm="1">
        <f t="array" ref="G110">IFERROR(LOOKUP(2,1/(K110:GC110&lt;&gt;""),K$2:DQL$2),"")</f>
        <v>12-Aug</v>
      </c>
      <c r="H110" s="24" cm="1">
        <f t="array" ref="H110">IFERROR(_xlfn.XLOOKUP(TRUE,P110:ED110&lt;&gt;"",P110:ED110,,,-1)," ")</f>
        <v>24.5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>
        <v>24.5</v>
      </c>
      <c r="BA110" s="34"/>
      <c r="BB110" s="34"/>
      <c r="BC110" s="34"/>
      <c r="BD110" s="34"/>
      <c r="BE110" s="37"/>
      <c r="BF110" s="37"/>
      <c r="BG110" s="34"/>
      <c r="BH110" s="34"/>
      <c r="BI110" s="34"/>
      <c r="BJ110" s="34"/>
      <c r="BK110" s="34"/>
      <c r="BL110" s="34"/>
      <c r="BM110" s="37"/>
      <c r="BN110" s="34"/>
      <c r="BO110" s="34"/>
      <c r="BP110" s="34"/>
      <c r="BQ110" s="34"/>
      <c r="BR110" s="34"/>
      <c r="BS110" s="37"/>
      <c r="BT110" s="37"/>
      <c r="BU110" s="34"/>
      <c r="BV110" s="34"/>
      <c r="BW110" s="34"/>
      <c r="BX110" s="37"/>
      <c r="BY110" s="34"/>
      <c r="BZ110" s="36"/>
      <c r="CA110" s="37"/>
      <c r="CB110" s="37"/>
      <c r="CC110" s="34"/>
      <c r="CD110" s="37"/>
      <c r="CE110" s="37"/>
      <c r="CF110" s="37"/>
      <c r="CG110" s="37"/>
      <c r="CH110" s="37"/>
      <c r="CI110" s="37"/>
      <c r="CJ110" s="37"/>
      <c r="CK110" s="37"/>
      <c r="CL110" s="34"/>
      <c r="CM110" s="37"/>
      <c r="CN110" s="37"/>
      <c r="CO110" s="37"/>
      <c r="CP110" s="34"/>
      <c r="CQ110" s="37"/>
      <c r="CR110" s="34"/>
      <c r="CS110" s="37"/>
      <c r="CT110" s="34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9"/>
      <c r="EB110" s="39"/>
      <c r="EC110" s="40"/>
    </row>
    <row r="111" spans="1:133" hidden="1">
      <c r="A111" s="44" t="s">
        <v>138</v>
      </c>
      <c r="B111" s="45" t="s">
        <v>316</v>
      </c>
      <c r="C111" s="20" t="s">
        <v>317</v>
      </c>
      <c r="D111" s="21" t="s">
        <v>296</v>
      </c>
      <c r="E111" s="21"/>
      <c r="F111" s="22" t="s">
        <v>318</v>
      </c>
      <c r="G111" s="23" t="str" cm="1">
        <f t="array" ref="G111">IFERROR(LOOKUP(2,1/(K111:GC111&lt;&gt;""),K$2:DQL$2),"")</f>
        <v>5-Aug</v>
      </c>
      <c r="H111" s="24" cm="1">
        <f t="array" ref="H111">IFERROR(_xlfn.XLOOKUP(TRUE,P111:ED111&lt;&gt;"",P111:ED111,,,-1)," ")</f>
        <v>23</v>
      </c>
      <c r="I111" s="25">
        <v>22.5</v>
      </c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42">
        <v>18.7</v>
      </c>
      <c r="AD111" s="25"/>
      <c r="AE111" s="34"/>
      <c r="AF111" s="35">
        <v>19.2</v>
      </c>
      <c r="AG111" s="34"/>
      <c r="AH111" s="34"/>
      <c r="AI111" s="34"/>
      <c r="AJ111" s="34"/>
      <c r="AK111" s="34"/>
      <c r="AL111" s="34"/>
      <c r="AM111" s="34">
        <v>21.4</v>
      </c>
      <c r="AN111" s="34"/>
      <c r="AO111" s="34"/>
      <c r="AP111" s="34"/>
      <c r="AQ111" s="34"/>
      <c r="AR111" s="34"/>
      <c r="AS111" s="34">
        <v>23</v>
      </c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7"/>
      <c r="BF111" s="37"/>
      <c r="BG111" s="34"/>
      <c r="BH111" s="34"/>
      <c r="BI111" s="34"/>
      <c r="BJ111" s="34"/>
      <c r="BK111" s="34"/>
      <c r="BL111" s="37"/>
      <c r="BM111" s="37"/>
      <c r="BN111" s="34"/>
      <c r="BO111" s="34"/>
      <c r="BP111" s="37"/>
      <c r="BQ111" s="34"/>
      <c r="BR111" s="34"/>
      <c r="BS111" s="37"/>
      <c r="BT111" s="37"/>
      <c r="BU111" s="34"/>
      <c r="BV111" s="34"/>
      <c r="BW111" s="34"/>
      <c r="BX111" s="37"/>
      <c r="BY111" s="34"/>
      <c r="BZ111" s="34"/>
      <c r="CA111" s="37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7"/>
      <c r="CN111" s="37"/>
      <c r="CO111" s="37"/>
      <c r="CP111" s="34"/>
      <c r="CQ111" s="37"/>
      <c r="CR111" s="37"/>
      <c r="CS111" s="37"/>
      <c r="CT111" s="34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9"/>
      <c r="EB111" s="39"/>
      <c r="EC111" s="40"/>
    </row>
    <row r="112" spans="1:133" hidden="1">
      <c r="A112" s="44" t="s">
        <v>138</v>
      </c>
      <c r="B112" s="45" t="s">
        <v>319</v>
      </c>
      <c r="C112" s="20" t="s">
        <v>320</v>
      </c>
      <c r="D112" s="21" t="s">
        <v>296</v>
      </c>
      <c r="E112" s="21"/>
      <c r="F112" s="25" t="s">
        <v>318</v>
      </c>
      <c r="G112" s="23" t="str" cm="1">
        <f t="array" ref="G112">IFERROR(LOOKUP(2,1/(K112:GC112&lt;&gt;""),K$2:DQL$2),"")</f>
        <v>5-Aug</v>
      </c>
      <c r="H112" s="24" cm="1">
        <f t="array" ref="H112">IFERROR(_xlfn.XLOOKUP(TRUE,P112:ED112&lt;&gt;"",P112:ED112,,,-1)," ")</f>
        <v>23.2</v>
      </c>
      <c r="I112" s="25">
        <v>22.5</v>
      </c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42">
        <v>19.2</v>
      </c>
      <c r="AD112" s="25"/>
      <c r="AE112" s="34"/>
      <c r="AF112" s="35">
        <v>20.2</v>
      </c>
      <c r="AG112" s="34"/>
      <c r="AH112" s="34"/>
      <c r="AI112" s="34"/>
      <c r="AJ112" s="34"/>
      <c r="AK112" s="34"/>
      <c r="AL112" s="34"/>
      <c r="AM112" s="34">
        <v>22.1</v>
      </c>
      <c r="AN112" s="34"/>
      <c r="AO112" s="34"/>
      <c r="AP112" s="34"/>
      <c r="AQ112" s="34"/>
      <c r="AR112" s="34"/>
      <c r="AS112" s="34">
        <v>23.2</v>
      </c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7"/>
      <c r="BF112" s="37"/>
      <c r="BG112" s="34"/>
      <c r="BH112" s="34"/>
      <c r="BI112" s="34"/>
      <c r="BJ112" s="34"/>
      <c r="BK112" s="34"/>
      <c r="BL112" s="37"/>
      <c r="BM112" s="37"/>
      <c r="BN112" s="34"/>
      <c r="BO112" s="34"/>
      <c r="BP112" s="37"/>
      <c r="BQ112" s="38"/>
      <c r="BR112" s="34"/>
      <c r="BS112" s="37"/>
      <c r="BT112" s="37"/>
      <c r="BU112" s="34"/>
      <c r="BV112" s="37"/>
      <c r="BW112" s="34"/>
      <c r="BX112" s="37"/>
      <c r="BY112" s="34"/>
      <c r="BZ112" s="34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4"/>
      <c r="CM112" s="37"/>
      <c r="CN112" s="37"/>
      <c r="CO112" s="37"/>
      <c r="CP112" s="34"/>
      <c r="CQ112" s="37"/>
      <c r="CR112" s="37"/>
      <c r="CS112" s="37"/>
      <c r="CT112" s="34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9"/>
      <c r="EB112" s="39"/>
      <c r="EC112" s="40"/>
    </row>
    <row r="113" spans="1:133" hidden="1">
      <c r="A113" s="44"/>
      <c r="B113" s="45" t="s">
        <v>321</v>
      </c>
      <c r="C113" s="20" t="s">
        <v>322</v>
      </c>
      <c r="D113" s="21" t="s">
        <v>296</v>
      </c>
      <c r="E113" s="21"/>
      <c r="F113" s="22"/>
      <c r="G113" s="23" t="str" cm="1">
        <f t="array" ref="G113">IFERROR(LOOKUP(2,1/(K113:GC113&lt;&gt;""),K$2:DQL$2),"")</f>
        <v>18-Aug</v>
      </c>
      <c r="H113" s="24" cm="1">
        <f t="array" ref="H113">IFERROR(_xlfn.XLOOKUP(TRUE,P113:ED113&lt;&gt;"",P113:ED113,,,-1)," ")</f>
        <v>21.3</v>
      </c>
      <c r="I113" s="25">
        <v>23</v>
      </c>
      <c r="J113" s="25">
        <v>24.5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34"/>
      <c r="AF113" s="35"/>
      <c r="AG113" s="34"/>
      <c r="AH113" s="34"/>
      <c r="AI113" s="34"/>
      <c r="AJ113" s="34"/>
      <c r="AK113" s="34"/>
      <c r="AL113" s="34"/>
      <c r="AM113" s="34"/>
      <c r="AN113" s="34"/>
      <c r="AO113" s="34"/>
      <c r="AP113" s="36"/>
      <c r="AQ113" s="34"/>
      <c r="AR113" s="34"/>
      <c r="AS113" s="34"/>
      <c r="AT113" s="34"/>
      <c r="AU113" s="34"/>
      <c r="AV113" s="34"/>
      <c r="AW113" s="34"/>
      <c r="AX113" s="34" t="s">
        <v>323</v>
      </c>
      <c r="AY113" s="34"/>
      <c r="AZ113" s="34"/>
      <c r="BA113" s="34"/>
      <c r="BB113" s="34"/>
      <c r="BC113" s="34"/>
      <c r="BD113" s="34"/>
      <c r="BE113" s="37"/>
      <c r="BF113" s="37">
        <v>21.3</v>
      </c>
      <c r="BG113" s="36"/>
      <c r="BH113" s="34"/>
      <c r="BI113" s="34"/>
      <c r="BJ113" s="34"/>
      <c r="BK113" s="34"/>
      <c r="BL113" s="37"/>
      <c r="BM113" s="37"/>
      <c r="BN113" s="37"/>
      <c r="BO113" s="37"/>
      <c r="BP113" s="37"/>
      <c r="BQ113" s="38"/>
      <c r="BR113" s="34"/>
      <c r="BS113" s="37"/>
      <c r="BT113" s="37"/>
      <c r="BU113" s="34"/>
      <c r="BV113" s="37"/>
      <c r="BW113" s="34"/>
      <c r="BX113" s="37"/>
      <c r="BY113" s="34"/>
      <c r="BZ113" s="34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4"/>
      <c r="CM113" s="37"/>
      <c r="CN113" s="37"/>
      <c r="CO113" s="37"/>
      <c r="CP113" s="34"/>
      <c r="CQ113" s="37"/>
      <c r="CR113" s="37"/>
      <c r="CS113" s="37"/>
      <c r="CT113" s="34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9"/>
      <c r="EB113" s="39"/>
      <c r="EC113" s="40"/>
    </row>
    <row r="114" spans="1:133" hidden="1">
      <c r="A114" s="44" t="s">
        <v>138</v>
      </c>
      <c r="B114" s="45" t="s">
        <v>324</v>
      </c>
      <c r="C114" s="20" t="s">
        <v>325</v>
      </c>
      <c r="D114" s="21" t="s">
        <v>296</v>
      </c>
      <c r="E114" s="21"/>
      <c r="F114" s="57" t="s">
        <v>137</v>
      </c>
      <c r="G114" s="23" t="str" cm="1">
        <f t="array" ref="G114">IFERROR(LOOKUP(2,1/(K114:GC114&lt;&gt;""),K$2:DQL$2),"")</f>
        <v>6-Aug</v>
      </c>
      <c r="H114" s="24" cm="1">
        <f t="array" ref="H114">IFERROR(_xlfn.XLOOKUP(TRUE,P114:ED114&lt;&gt;"",P114:ED114,,,-1)," ")</f>
        <v>23.9</v>
      </c>
      <c r="I114" s="25">
        <v>23</v>
      </c>
      <c r="J114" s="25">
        <v>24.5</v>
      </c>
      <c r="K114" s="25"/>
      <c r="L114" s="25"/>
      <c r="M114" s="25"/>
      <c r="N114" s="25"/>
      <c r="O114" s="25"/>
      <c r="P114" s="25">
        <v>16.8</v>
      </c>
      <c r="Q114" s="217">
        <v>15.3</v>
      </c>
      <c r="R114" s="25"/>
      <c r="S114" s="25"/>
      <c r="T114" s="25"/>
      <c r="U114" s="25"/>
      <c r="V114" s="25"/>
      <c r="W114" s="25"/>
      <c r="X114" s="25"/>
      <c r="Y114" s="25"/>
      <c r="Z114" s="25">
        <v>19.3</v>
      </c>
      <c r="AA114" s="25"/>
      <c r="AB114" s="25"/>
      <c r="AC114" s="25"/>
      <c r="AD114" s="25"/>
      <c r="AE114" s="34"/>
      <c r="AF114" s="35"/>
      <c r="AG114" s="34">
        <v>20.399999999999999</v>
      </c>
      <c r="AH114" s="34"/>
      <c r="AI114" s="34"/>
      <c r="AJ114" s="34"/>
      <c r="AK114" s="34"/>
      <c r="AL114" s="34"/>
      <c r="AM114" s="34">
        <v>21.1</v>
      </c>
      <c r="AN114" s="34"/>
      <c r="AO114" s="34"/>
      <c r="AP114" s="34"/>
      <c r="AQ114" s="34"/>
      <c r="AR114" s="34"/>
      <c r="AS114" s="34"/>
      <c r="AT114" s="36">
        <v>23.9</v>
      </c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7"/>
      <c r="BF114" s="38"/>
      <c r="BG114" s="34"/>
      <c r="BH114" s="34"/>
      <c r="BI114" s="34"/>
      <c r="BJ114" s="34"/>
      <c r="BK114" s="34"/>
      <c r="BL114" s="37"/>
      <c r="BM114" s="37"/>
      <c r="BN114" s="37"/>
      <c r="BO114" s="37"/>
      <c r="BP114" s="37"/>
      <c r="BQ114" s="37"/>
      <c r="BR114" s="34"/>
      <c r="BS114" s="37"/>
      <c r="BT114" s="37"/>
      <c r="BU114" s="34"/>
      <c r="BV114" s="37"/>
      <c r="BW114" s="34"/>
      <c r="BX114" s="37"/>
      <c r="BY114" s="34"/>
      <c r="BZ114" s="34"/>
      <c r="CA114" s="37"/>
      <c r="CB114" s="38"/>
      <c r="CC114" s="37"/>
      <c r="CD114" s="37"/>
      <c r="CE114" s="37"/>
      <c r="CF114" s="37"/>
      <c r="CG114" s="37"/>
      <c r="CH114" s="37"/>
      <c r="CI114" s="37"/>
      <c r="CJ114" s="37"/>
      <c r="CK114" s="37"/>
      <c r="CL114" s="34"/>
      <c r="CM114" s="37"/>
      <c r="CN114" s="37"/>
      <c r="CO114" s="37"/>
      <c r="CP114" s="34"/>
      <c r="CQ114" s="37"/>
      <c r="CR114" s="37"/>
      <c r="CS114" s="37"/>
      <c r="CT114" s="34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9"/>
      <c r="EB114" s="39"/>
      <c r="EC114" s="40"/>
    </row>
    <row r="115" spans="1:133" hidden="1">
      <c r="A115" s="44" t="s">
        <v>138</v>
      </c>
      <c r="B115" s="45" t="s">
        <v>326</v>
      </c>
      <c r="C115" s="20" t="s">
        <v>327</v>
      </c>
      <c r="D115" s="21" t="s">
        <v>296</v>
      </c>
      <c r="E115" s="21"/>
      <c r="F115" s="22" t="s">
        <v>137</v>
      </c>
      <c r="G115" s="23" t="str" cm="1">
        <f t="array" ref="G115">IFERROR(LOOKUP(2,1/(K115:GC115&lt;&gt;""),K$2:DQL$2),"")</f>
        <v>14-Jul</v>
      </c>
      <c r="H115" s="24" cm="1">
        <f t="array" ref="H115">IFERROR(_xlfn.XLOOKUP(TRUE,P115:ED115&lt;&gt;"",P115:ED115,,,-1)," ")</f>
        <v>19.5</v>
      </c>
      <c r="I115" s="25">
        <v>17.5</v>
      </c>
      <c r="J115" s="25">
        <v>19</v>
      </c>
      <c r="K115" s="25"/>
      <c r="L115" s="25"/>
      <c r="M115" s="25"/>
      <c r="N115" s="25"/>
      <c r="O115" s="25"/>
      <c r="P115" s="25">
        <v>17.2</v>
      </c>
      <c r="Q115" s="25"/>
      <c r="R115" s="217">
        <v>18.5</v>
      </c>
      <c r="S115" s="25"/>
      <c r="T115" s="25"/>
      <c r="U115" s="25"/>
      <c r="V115" s="217">
        <v>19.5</v>
      </c>
      <c r="W115" s="217">
        <v>19.5</v>
      </c>
      <c r="X115" s="25"/>
      <c r="Y115" s="25"/>
      <c r="Z115" s="25"/>
      <c r="AA115" s="25"/>
      <c r="AB115" s="25"/>
      <c r="AC115" s="25"/>
      <c r="AD115" s="25"/>
      <c r="AE115" s="34"/>
      <c r="AF115" s="35"/>
      <c r="AG115" s="34"/>
      <c r="AH115" s="34"/>
      <c r="AI115" s="34"/>
      <c r="AJ115" s="34"/>
      <c r="AK115" s="34"/>
      <c r="AL115" s="34"/>
      <c r="AM115" s="34"/>
      <c r="AN115" s="34"/>
      <c r="AO115" s="34"/>
      <c r="AP115" s="36"/>
      <c r="AQ115" s="34"/>
      <c r="AR115" s="34"/>
      <c r="AS115" s="36"/>
      <c r="AT115" s="36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7"/>
      <c r="BF115" s="37"/>
      <c r="BG115" s="34"/>
      <c r="BH115" s="34"/>
      <c r="BI115" s="34"/>
      <c r="BJ115" s="34"/>
      <c r="BK115" s="34"/>
      <c r="BL115" s="37"/>
      <c r="BM115" s="37"/>
      <c r="BN115" s="37"/>
      <c r="BO115" s="37"/>
      <c r="BP115" s="38"/>
      <c r="BQ115" s="37"/>
      <c r="BR115" s="34"/>
      <c r="BS115" s="37"/>
      <c r="BT115" s="37"/>
      <c r="BU115" s="34"/>
      <c r="BV115" s="37"/>
      <c r="BW115" s="34"/>
      <c r="BX115" s="37"/>
      <c r="BY115" s="34"/>
      <c r="BZ115" s="34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4"/>
      <c r="CM115" s="37"/>
      <c r="CN115" s="37"/>
      <c r="CO115" s="37"/>
      <c r="CP115" s="34"/>
      <c r="CQ115" s="37"/>
      <c r="CR115" s="37"/>
      <c r="CS115" s="37"/>
      <c r="CT115" s="34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9"/>
      <c r="EB115" s="39"/>
      <c r="EC115" s="40"/>
    </row>
    <row r="116" spans="1:133" hidden="1">
      <c r="A116" s="44" t="s">
        <v>138</v>
      </c>
      <c r="B116" s="22"/>
      <c r="C116" s="20" t="s">
        <v>328</v>
      </c>
      <c r="D116" s="21" t="s">
        <v>296</v>
      </c>
      <c r="E116" s="21"/>
      <c r="F116" s="22" t="s">
        <v>137</v>
      </c>
      <c r="G116" s="23" t="str" cm="1">
        <f t="array" ref="G116">IFERROR(LOOKUP(2,1/(K116:GC116&lt;&gt;""),K$2:DQL$2),"")</f>
        <v>4-Aug</v>
      </c>
      <c r="H116" s="24" cm="1">
        <f t="array" ref="H116">IFERROR(_xlfn.XLOOKUP(TRUE,P116:ED116&lt;&gt;"",P116:ED116,,,-1)," ")</f>
        <v>25.4</v>
      </c>
      <c r="I116" s="25">
        <v>23</v>
      </c>
      <c r="J116" s="25">
        <v>24.5</v>
      </c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65">
        <v>20.5</v>
      </c>
      <c r="AD116" s="25"/>
      <c r="AE116" s="34"/>
      <c r="AF116" s="34"/>
      <c r="AG116" s="34"/>
      <c r="AH116" s="34"/>
      <c r="AI116" s="34"/>
      <c r="AJ116" s="34"/>
      <c r="AK116" s="34">
        <v>21.9</v>
      </c>
      <c r="AL116" s="34"/>
      <c r="AM116" s="34"/>
      <c r="AN116" s="34"/>
      <c r="AO116" s="34"/>
      <c r="AP116" s="34"/>
      <c r="AQ116" s="34">
        <v>24</v>
      </c>
      <c r="AR116" s="36">
        <v>25.4</v>
      </c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7"/>
      <c r="BF116" s="37"/>
      <c r="BG116" s="34"/>
      <c r="BH116" s="34"/>
      <c r="BI116" s="34"/>
      <c r="BJ116" s="34"/>
      <c r="BK116" s="34"/>
      <c r="BL116" s="34"/>
      <c r="BM116" s="37"/>
      <c r="BN116" s="34"/>
      <c r="BO116" s="34"/>
      <c r="BP116" s="34"/>
      <c r="BQ116" s="34"/>
      <c r="BR116" s="34"/>
      <c r="BS116" s="37"/>
      <c r="BT116" s="37"/>
      <c r="BU116" s="34"/>
      <c r="BV116" s="34"/>
      <c r="BW116" s="34"/>
      <c r="BX116" s="37"/>
      <c r="BY116" s="34"/>
      <c r="BZ116" s="36"/>
      <c r="CA116" s="37"/>
      <c r="CB116" s="37"/>
      <c r="CC116" s="34"/>
      <c r="CD116" s="37"/>
      <c r="CE116" s="37"/>
      <c r="CF116" s="37"/>
      <c r="CG116" s="37"/>
      <c r="CH116" s="37"/>
      <c r="CI116" s="37"/>
      <c r="CJ116" s="37"/>
      <c r="CK116" s="37"/>
      <c r="CL116" s="34"/>
      <c r="CM116" s="37"/>
      <c r="CN116" s="37"/>
      <c r="CO116" s="37"/>
      <c r="CP116" s="34"/>
      <c r="CQ116" s="37"/>
      <c r="CR116" s="34"/>
      <c r="CS116" s="37"/>
      <c r="CT116" s="34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9"/>
      <c r="EB116" s="39"/>
      <c r="EC116" s="40"/>
    </row>
    <row r="117" spans="1:133" hidden="1">
      <c r="A117" s="44" t="s">
        <v>138</v>
      </c>
      <c r="B117" s="45" t="s">
        <v>329</v>
      </c>
      <c r="C117" s="20" t="s">
        <v>330</v>
      </c>
      <c r="D117" s="21" t="s">
        <v>296</v>
      </c>
      <c r="E117" s="21"/>
      <c r="F117" s="22" t="s">
        <v>137</v>
      </c>
      <c r="G117" s="23" t="str" cm="1">
        <f t="array" ref="G117">IFERROR(LOOKUP(2,1/(K117:GC117&lt;&gt;""),K$2:DQL$2),"")</f>
        <v>5-Aug</v>
      </c>
      <c r="H117" s="24" cm="1">
        <f t="array" ref="H117">IFERROR(_xlfn.XLOOKUP(TRUE,P117:ED117&lt;&gt;"",P117:ED117,,,-1)," ")</f>
        <v>25.1</v>
      </c>
      <c r="I117" s="25">
        <v>23</v>
      </c>
      <c r="J117" s="25">
        <v>24.5</v>
      </c>
      <c r="K117" s="25"/>
      <c r="L117" s="25"/>
      <c r="M117" s="25"/>
      <c r="N117" s="25"/>
      <c r="O117" s="25"/>
      <c r="P117" s="25"/>
      <c r="Q117" s="25"/>
      <c r="R117" s="25">
        <v>16.3</v>
      </c>
      <c r="S117" s="25"/>
      <c r="T117" s="25"/>
      <c r="U117" s="25"/>
      <c r="V117" s="25"/>
      <c r="W117" s="25"/>
      <c r="X117" s="25"/>
      <c r="Y117" s="25">
        <v>20.3</v>
      </c>
      <c r="Z117" s="25"/>
      <c r="AA117" s="25"/>
      <c r="AB117" s="25"/>
      <c r="AC117" s="25"/>
      <c r="AD117" s="25"/>
      <c r="AE117" s="34"/>
      <c r="AF117" s="35">
        <v>21.3</v>
      </c>
      <c r="AG117" s="34"/>
      <c r="AH117" s="34"/>
      <c r="AI117" s="34"/>
      <c r="AJ117" s="34"/>
      <c r="AK117" s="34"/>
      <c r="AL117" s="34"/>
      <c r="AM117" s="34"/>
      <c r="AN117" s="34"/>
      <c r="AO117" s="34"/>
      <c r="AP117" s="36"/>
      <c r="AQ117" s="34"/>
      <c r="AR117" s="34"/>
      <c r="AS117" s="36">
        <v>25.1</v>
      </c>
      <c r="AT117" s="34"/>
      <c r="AU117" s="34"/>
      <c r="AV117" s="34"/>
      <c r="AW117" s="36"/>
      <c r="AX117" s="34"/>
      <c r="AY117" s="34"/>
      <c r="AZ117" s="34"/>
      <c r="BA117" s="34"/>
      <c r="BB117" s="34"/>
      <c r="BC117" s="58"/>
      <c r="BD117" s="34"/>
      <c r="BE117" s="38"/>
      <c r="BF117" s="37"/>
      <c r="BG117" s="34"/>
      <c r="BH117" s="34"/>
      <c r="BI117" s="34"/>
      <c r="BJ117" s="36"/>
      <c r="BK117" s="34"/>
      <c r="BL117" s="37"/>
      <c r="BM117" s="37"/>
      <c r="BN117" s="34"/>
      <c r="BO117" s="34"/>
      <c r="BP117" s="37"/>
      <c r="BQ117" s="34"/>
      <c r="BR117" s="34"/>
      <c r="BS117" s="37"/>
      <c r="BT117" s="37"/>
      <c r="BU117" s="34"/>
      <c r="BV117" s="37"/>
      <c r="BW117" s="34"/>
      <c r="BX117" s="37"/>
      <c r="BY117" s="34"/>
      <c r="BZ117" s="34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4"/>
      <c r="CM117" s="37"/>
      <c r="CN117" s="37"/>
      <c r="CO117" s="37"/>
      <c r="CP117" s="34"/>
      <c r="CQ117" s="37"/>
      <c r="CR117" s="37"/>
      <c r="CS117" s="37"/>
      <c r="CT117" s="34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9"/>
      <c r="EB117" s="39"/>
      <c r="EC117" s="40"/>
    </row>
    <row r="118" spans="1:133" hidden="1">
      <c r="A118" s="44" t="s">
        <v>138</v>
      </c>
      <c r="B118" s="22"/>
      <c r="C118" s="20" t="s">
        <v>331</v>
      </c>
      <c r="D118" s="21" t="s">
        <v>296</v>
      </c>
      <c r="E118" s="21"/>
      <c r="F118" s="22" t="s">
        <v>137</v>
      </c>
      <c r="G118" s="23" t="str" cm="1">
        <f t="array" ref="G118">IFERROR(LOOKUP(2,1/(K118:GC118&lt;&gt;""),K$2:DQL$2),"")</f>
        <v>29-Jul</v>
      </c>
      <c r="H118" s="24" cm="1">
        <f t="array" ref="H118">IFERROR(_xlfn.XLOOKUP(TRUE,P118:ED118&lt;&gt;"",P118:ED118,,,-1)," ")</f>
        <v>22.4</v>
      </c>
      <c r="I118" s="25">
        <v>23</v>
      </c>
      <c r="J118" s="25">
        <v>24.5</v>
      </c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34"/>
      <c r="AF118" s="34"/>
      <c r="AG118" s="34"/>
      <c r="AH118" s="34"/>
      <c r="AI118" s="34"/>
      <c r="AJ118" s="34"/>
      <c r="AK118" s="34"/>
      <c r="AL118" s="34">
        <v>22.4</v>
      </c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7"/>
      <c r="BF118" s="37"/>
      <c r="BG118" s="34"/>
      <c r="BH118" s="34"/>
      <c r="BI118" s="34"/>
      <c r="BJ118" s="34"/>
      <c r="BK118" s="34"/>
      <c r="BL118" s="34"/>
      <c r="BM118" s="37"/>
      <c r="BN118" s="34"/>
      <c r="BO118" s="34"/>
      <c r="BP118" s="34"/>
      <c r="BQ118" s="34"/>
      <c r="BR118" s="34"/>
      <c r="BS118" s="37"/>
      <c r="BT118" s="37"/>
      <c r="BU118" s="34"/>
      <c r="BV118" s="34"/>
      <c r="BW118" s="34"/>
      <c r="BX118" s="37"/>
      <c r="BY118" s="34"/>
      <c r="BZ118" s="36"/>
      <c r="CA118" s="37"/>
      <c r="CB118" s="37"/>
      <c r="CC118" s="34"/>
      <c r="CD118" s="37"/>
      <c r="CE118" s="37"/>
      <c r="CF118" s="37"/>
      <c r="CG118" s="37"/>
      <c r="CH118" s="37"/>
      <c r="CI118" s="37"/>
      <c r="CJ118" s="37"/>
      <c r="CK118" s="37"/>
      <c r="CL118" s="34"/>
      <c r="CM118" s="37"/>
      <c r="CN118" s="37"/>
      <c r="CO118" s="37"/>
      <c r="CP118" s="34"/>
      <c r="CQ118" s="37"/>
      <c r="CR118" s="34"/>
      <c r="CS118" s="37"/>
      <c r="CT118" s="34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9"/>
      <c r="EB118" s="39"/>
      <c r="EC118" s="40"/>
    </row>
    <row r="119" spans="1:133" hidden="1">
      <c r="A119" s="44" t="s">
        <v>138</v>
      </c>
      <c r="B119" s="22"/>
      <c r="C119" s="20" t="s">
        <v>332</v>
      </c>
      <c r="D119" s="21" t="s">
        <v>296</v>
      </c>
      <c r="E119" s="21"/>
      <c r="F119" s="22" t="s">
        <v>137</v>
      </c>
      <c r="G119" s="23" t="str" cm="1">
        <f t="array" ref="G119">IFERROR(LOOKUP(2,1/(K119:GC119&lt;&gt;""),K$2:DQL$2),"")</f>
        <v>29-Jul</v>
      </c>
      <c r="H119" s="24" cm="1">
        <f t="array" ref="H119">IFERROR(_xlfn.XLOOKUP(TRUE,P119:ED119&lt;&gt;"",P119:ED119,,,-1)," ")</f>
        <v>22.8</v>
      </c>
      <c r="I119" s="25">
        <v>23</v>
      </c>
      <c r="J119" s="25">
        <v>24.5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34"/>
      <c r="AF119" s="34"/>
      <c r="AG119" s="34"/>
      <c r="AH119" s="34"/>
      <c r="AI119" s="34"/>
      <c r="AJ119" s="34"/>
      <c r="AK119" s="34"/>
      <c r="AL119" s="34">
        <v>22.8</v>
      </c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7"/>
      <c r="BF119" s="37"/>
      <c r="BG119" s="34"/>
      <c r="BH119" s="34"/>
      <c r="BI119" s="34"/>
      <c r="BJ119" s="34"/>
      <c r="BK119" s="34"/>
      <c r="BL119" s="34"/>
      <c r="BM119" s="37"/>
      <c r="BN119" s="34"/>
      <c r="BO119" s="34"/>
      <c r="BP119" s="34"/>
      <c r="BQ119" s="34"/>
      <c r="BR119" s="34"/>
      <c r="BS119" s="37"/>
      <c r="BT119" s="37"/>
      <c r="BU119" s="34"/>
      <c r="BV119" s="34"/>
      <c r="BW119" s="34"/>
      <c r="BX119" s="37"/>
      <c r="BY119" s="34"/>
      <c r="BZ119" s="36"/>
      <c r="CA119" s="37"/>
      <c r="CB119" s="37"/>
      <c r="CC119" s="34"/>
      <c r="CD119" s="37"/>
      <c r="CE119" s="37"/>
      <c r="CF119" s="37"/>
      <c r="CG119" s="37"/>
      <c r="CH119" s="37"/>
      <c r="CI119" s="37"/>
      <c r="CJ119" s="37"/>
      <c r="CK119" s="37"/>
      <c r="CL119" s="34"/>
      <c r="CM119" s="37"/>
      <c r="CN119" s="37"/>
      <c r="CO119" s="37"/>
      <c r="CP119" s="34"/>
      <c r="CQ119" s="37"/>
      <c r="CR119" s="34"/>
      <c r="CS119" s="37"/>
      <c r="CT119" s="34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9"/>
      <c r="EB119" s="39"/>
      <c r="EC119" s="40"/>
    </row>
    <row r="120" spans="1:133" hidden="1">
      <c r="A120" s="44" t="s">
        <v>138</v>
      </c>
      <c r="B120" s="45" t="s">
        <v>333</v>
      </c>
      <c r="C120" s="20" t="s">
        <v>334</v>
      </c>
      <c r="D120" s="21" t="s">
        <v>296</v>
      </c>
      <c r="E120" s="21"/>
      <c r="F120" s="22" t="s">
        <v>261</v>
      </c>
      <c r="G120" s="23" t="str" cm="1">
        <f t="array" ref="G120">IFERROR(LOOKUP(2,1/(K120:GC120&lt;&gt;""),K$2:DQL$2),"")</f>
        <v>5-Aug</v>
      </c>
      <c r="H120" s="24" cm="1">
        <f t="array" ref="H120">IFERROR(_xlfn.XLOOKUP(TRUE,P120:ED120&lt;&gt;"",P120:ED120,,,-1)," ")</f>
        <v>24.2</v>
      </c>
      <c r="I120" s="25">
        <v>23.5</v>
      </c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>
        <v>18.600000000000001</v>
      </c>
      <c r="AA120" s="25"/>
      <c r="AB120" s="25"/>
      <c r="AC120" s="25"/>
      <c r="AD120" s="25"/>
      <c r="AE120" s="34"/>
      <c r="AF120" s="35"/>
      <c r="AG120" s="34">
        <v>21</v>
      </c>
      <c r="AH120" s="34"/>
      <c r="AI120" s="34"/>
      <c r="AJ120" s="34"/>
      <c r="AK120" s="34"/>
      <c r="AL120" s="34"/>
      <c r="AM120" s="34"/>
      <c r="AN120" s="34">
        <v>22.2</v>
      </c>
      <c r="AO120" s="34"/>
      <c r="AP120" s="34"/>
      <c r="AQ120" s="34"/>
      <c r="AR120" s="34"/>
      <c r="AS120" s="34">
        <v>24.2</v>
      </c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7"/>
      <c r="BF120" s="37"/>
      <c r="BG120" s="34"/>
      <c r="BH120" s="34"/>
      <c r="BI120" s="34"/>
      <c r="BJ120" s="34"/>
      <c r="BK120" s="34"/>
      <c r="BL120" s="34"/>
      <c r="BM120" s="37"/>
      <c r="BN120" s="34"/>
      <c r="BO120" s="34"/>
      <c r="BP120" s="34"/>
      <c r="BQ120" s="34"/>
      <c r="BR120" s="34"/>
      <c r="BS120" s="37"/>
      <c r="BT120" s="37"/>
      <c r="BU120" s="34"/>
      <c r="BV120" s="34"/>
      <c r="BW120" s="34"/>
      <c r="BX120" s="37"/>
      <c r="BY120" s="34"/>
      <c r="BZ120" s="34"/>
      <c r="CA120" s="37"/>
      <c r="CB120" s="37"/>
      <c r="CC120" s="34"/>
      <c r="CD120" s="37"/>
      <c r="CE120" s="37"/>
      <c r="CF120" s="37"/>
      <c r="CG120" s="37"/>
      <c r="CH120" s="37"/>
      <c r="CI120" s="37"/>
      <c r="CJ120" s="37"/>
      <c r="CK120" s="37"/>
      <c r="CL120" s="34"/>
      <c r="CM120" s="37"/>
      <c r="CN120" s="37"/>
      <c r="CO120" s="37"/>
      <c r="CP120" s="34"/>
      <c r="CQ120" s="37"/>
      <c r="CR120" s="34"/>
      <c r="CS120" s="37"/>
      <c r="CT120" s="34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9"/>
      <c r="EB120" s="39"/>
      <c r="EC120" s="40"/>
    </row>
    <row r="121" spans="1:133" hidden="1">
      <c r="A121" s="44" t="s">
        <v>138</v>
      </c>
      <c r="B121" s="22"/>
      <c r="C121" s="20" t="s">
        <v>335</v>
      </c>
      <c r="D121" s="21" t="s">
        <v>296</v>
      </c>
      <c r="E121" s="21"/>
      <c r="F121" s="22" t="s">
        <v>261</v>
      </c>
      <c r="G121" s="23" t="str" cm="1">
        <f t="array" ref="G121">IFERROR(LOOKUP(2,1/(K121:GC121&lt;&gt;""),K$2:DQL$2),"")</f>
        <v>5-Aug</v>
      </c>
      <c r="H121" s="24" cm="1">
        <f t="array" ref="H121">IFERROR(_xlfn.XLOOKUP(TRUE,P121:ED121&lt;&gt;"",P121:ED121,,,-1)," ")</f>
        <v>24.1</v>
      </c>
      <c r="I121" s="25">
        <v>23.5</v>
      </c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>
        <v>19.2</v>
      </c>
      <c r="AA121" s="25"/>
      <c r="AB121" s="25"/>
      <c r="AC121" s="25"/>
      <c r="AD121" s="25"/>
      <c r="AE121" s="34"/>
      <c r="AF121" s="34"/>
      <c r="AG121" s="34">
        <v>21.2</v>
      </c>
      <c r="AH121" s="34"/>
      <c r="AI121" s="34"/>
      <c r="AJ121" s="34"/>
      <c r="AK121" s="34"/>
      <c r="AL121" s="34"/>
      <c r="AM121" s="34"/>
      <c r="AN121" s="34">
        <v>23</v>
      </c>
      <c r="AO121" s="34"/>
      <c r="AP121" s="34"/>
      <c r="AQ121" s="34"/>
      <c r="AR121" s="34"/>
      <c r="AS121" s="34">
        <v>24.1</v>
      </c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7"/>
      <c r="BF121" s="37"/>
      <c r="BG121" s="34"/>
      <c r="BH121" s="34"/>
      <c r="BI121" s="34"/>
      <c r="BJ121" s="34"/>
      <c r="BK121" s="34"/>
      <c r="BL121" s="34"/>
      <c r="BM121" s="37"/>
      <c r="BN121" s="34"/>
      <c r="BO121" s="34"/>
      <c r="BP121" s="34"/>
      <c r="BQ121" s="34"/>
      <c r="BR121" s="34"/>
      <c r="BS121" s="37"/>
      <c r="BT121" s="37"/>
      <c r="BU121" s="34"/>
      <c r="BV121" s="34"/>
      <c r="BW121" s="34"/>
      <c r="BX121" s="37"/>
      <c r="BY121" s="34"/>
      <c r="BZ121" s="36"/>
      <c r="CA121" s="37"/>
      <c r="CB121" s="37"/>
      <c r="CC121" s="34"/>
      <c r="CD121" s="37"/>
      <c r="CE121" s="37"/>
      <c r="CF121" s="37"/>
      <c r="CG121" s="37"/>
      <c r="CH121" s="37"/>
      <c r="CI121" s="37"/>
      <c r="CJ121" s="37"/>
      <c r="CK121" s="37"/>
      <c r="CL121" s="34"/>
      <c r="CM121" s="37"/>
      <c r="CN121" s="37"/>
      <c r="CO121" s="37"/>
      <c r="CP121" s="34"/>
      <c r="CQ121" s="37"/>
      <c r="CR121" s="34"/>
      <c r="CS121" s="37"/>
      <c r="CT121" s="34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9"/>
      <c r="EB121" s="39"/>
      <c r="EC121" s="40"/>
    </row>
    <row r="122" spans="1:133" hidden="1">
      <c r="A122" s="44" t="s">
        <v>138</v>
      </c>
      <c r="B122" s="45" t="s">
        <v>336</v>
      </c>
      <c r="C122" s="20" t="s">
        <v>337</v>
      </c>
      <c r="D122" s="21" t="s">
        <v>296</v>
      </c>
      <c r="E122" s="21"/>
      <c r="F122" s="22" t="s">
        <v>137</v>
      </c>
      <c r="G122" s="23" t="str" cm="1">
        <f t="array" ref="G122">IFERROR(LOOKUP(2,1/(K122:GC122&lt;&gt;""),K$2:DQL$2),"")</f>
        <v>1-Aug</v>
      </c>
      <c r="H122" s="24" cm="1">
        <f t="array" ref="H122">IFERROR(_xlfn.XLOOKUP(TRUE,P122:ED122&lt;&gt;"",P122:ED122,,,-1)," ")</f>
        <v>23</v>
      </c>
      <c r="I122" s="25">
        <v>24</v>
      </c>
      <c r="J122" s="25">
        <v>25</v>
      </c>
      <c r="K122" s="25"/>
      <c r="L122" s="25"/>
      <c r="M122" s="25"/>
      <c r="N122" s="25"/>
      <c r="O122" s="25"/>
      <c r="P122" s="25"/>
      <c r="Q122" s="25"/>
      <c r="R122" s="25">
        <v>16.600000000000001</v>
      </c>
      <c r="S122" s="25"/>
      <c r="T122" s="25"/>
      <c r="U122" s="25"/>
      <c r="V122" s="25"/>
      <c r="W122" s="25"/>
      <c r="X122" s="25">
        <v>20</v>
      </c>
      <c r="Y122" s="25"/>
      <c r="Z122" s="25"/>
      <c r="AA122" s="25"/>
      <c r="AB122" s="25"/>
      <c r="AC122" s="25"/>
      <c r="AD122" s="25"/>
      <c r="AE122" s="248">
        <v>21.2</v>
      </c>
      <c r="AF122" s="35"/>
      <c r="AG122" s="34"/>
      <c r="AH122" s="34"/>
      <c r="AI122" s="34"/>
      <c r="AJ122" s="34"/>
      <c r="AK122" s="34"/>
      <c r="AL122" s="34"/>
      <c r="AM122" s="34"/>
      <c r="AN122" s="34"/>
      <c r="AO122" s="36">
        <v>23</v>
      </c>
      <c r="AP122" s="34"/>
      <c r="AQ122" s="36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6"/>
      <c r="BD122" s="34"/>
      <c r="BE122" s="37"/>
      <c r="BF122" s="37"/>
      <c r="BG122" s="34"/>
      <c r="BH122" s="34"/>
      <c r="BI122" s="34"/>
      <c r="BJ122" s="34"/>
      <c r="BK122" s="34"/>
      <c r="BL122" s="37"/>
      <c r="BM122" s="37"/>
      <c r="BN122" s="37"/>
      <c r="BO122" s="37"/>
      <c r="BP122" s="37"/>
      <c r="BQ122" s="38"/>
      <c r="BR122" s="34"/>
      <c r="BS122" s="37"/>
      <c r="BT122" s="37"/>
      <c r="BU122" s="34"/>
      <c r="BV122" s="37"/>
      <c r="BW122" s="34"/>
      <c r="BX122" s="37"/>
      <c r="BY122" s="34"/>
      <c r="BZ122" s="34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4"/>
      <c r="CM122" s="37"/>
      <c r="CN122" s="37"/>
      <c r="CO122" s="37"/>
      <c r="CP122" s="34"/>
      <c r="CQ122" s="37"/>
      <c r="CR122" s="37"/>
      <c r="CS122" s="37"/>
      <c r="CT122" s="34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  <c r="DZ122" s="37"/>
      <c r="EA122" s="39"/>
      <c r="EB122" s="39"/>
      <c r="EC122" s="40"/>
    </row>
    <row r="123" spans="1:133" hidden="1">
      <c r="A123" s="44" t="s">
        <v>138</v>
      </c>
      <c r="B123" s="45" t="s">
        <v>338</v>
      </c>
      <c r="C123" s="20" t="s">
        <v>339</v>
      </c>
      <c r="D123" s="21" t="s">
        <v>296</v>
      </c>
      <c r="E123" s="21"/>
      <c r="F123" s="22" t="s">
        <v>340</v>
      </c>
      <c r="G123" s="23" t="str" cm="1">
        <f t="array" ref="G123">IFERROR(LOOKUP(2,1/(K123:GC123&lt;&gt;""),K$2:DQL$2),"")</f>
        <v>4-Aug</v>
      </c>
      <c r="H123" s="24" cm="1">
        <f t="array" ref="H123">IFERROR(_xlfn.XLOOKUP(TRUE,P123:ED123&lt;&gt;"",P123:ED123,,,-1)," ")</f>
        <v>22.1</v>
      </c>
      <c r="I123" s="25">
        <v>23.5</v>
      </c>
      <c r="J123" s="25">
        <v>24.5</v>
      </c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>
        <v>15.9</v>
      </c>
      <c r="X123" s="25"/>
      <c r="Y123" s="25"/>
      <c r="Z123" s="25"/>
      <c r="AA123" s="25"/>
      <c r="AB123" s="25"/>
      <c r="AC123" s="25"/>
      <c r="AD123" s="25">
        <v>17.100000000000001</v>
      </c>
      <c r="AE123" s="34"/>
      <c r="AF123" s="35"/>
      <c r="AG123" s="34"/>
      <c r="AH123" s="34"/>
      <c r="AI123" s="34"/>
      <c r="AJ123" s="34"/>
      <c r="AK123" s="34">
        <v>19.100000000000001</v>
      </c>
      <c r="AL123" s="34"/>
      <c r="AM123" s="34"/>
      <c r="AN123" s="34"/>
      <c r="AO123" s="34"/>
      <c r="AP123" s="34"/>
      <c r="AQ123" s="34"/>
      <c r="AR123" s="34">
        <v>22.1</v>
      </c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7"/>
      <c r="BF123" s="37"/>
      <c r="BG123" s="34"/>
      <c r="BH123" s="34"/>
      <c r="BI123" s="36"/>
      <c r="BJ123" s="34"/>
      <c r="BK123" s="34"/>
      <c r="BL123" s="37"/>
      <c r="BM123" s="37"/>
      <c r="BN123" s="36"/>
      <c r="BO123" s="34"/>
      <c r="BP123" s="37"/>
      <c r="BQ123" s="37"/>
      <c r="BR123" s="34"/>
      <c r="BS123" s="37"/>
      <c r="BT123" s="37"/>
      <c r="BU123" s="34"/>
      <c r="BV123" s="37"/>
      <c r="BW123" s="34"/>
      <c r="BX123" s="37"/>
      <c r="BY123" s="34"/>
      <c r="BZ123" s="34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4"/>
      <c r="CM123" s="43"/>
      <c r="CN123" s="37"/>
      <c r="CO123" s="37"/>
      <c r="CP123" s="34"/>
      <c r="CQ123" s="37"/>
      <c r="CR123" s="37"/>
      <c r="CS123" s="37"/>
      <c r="CT123" s="34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9"/>
      <c r="EB123" s="39"/>
      <c r="EC123" s="40"/>
    </row>
    <row r="124" spans="1:133" hidden="1">
      <c r="A124" s="44" t="s">
        <v>138</v>
      </c>
      <c r="B124" s="45" t="s">
        <v>341</v>
      </c>
      <c r="C124" s="21" t="s">
        <v>342</v>
      </c>
      <c r="D124" s="21" t="s">
        <v>296</v>
      </c>
      <c r="E124" s="21"/>
      <c r="F124" s="59" t="s">
        <v>340</v>
      </c>
      <c r="G124" s="23" t="str" cm="1">
        <f t="array" ref="G124">IFERROR(LOOKUP(2,1/(K124:GC124&lt;&gt;""),K$2:DQL$2),"")</f>
        <v>4-Aug</v>
      </c>
      <c r="H124" s="24" cm="1">
        <f t="array" ref="H124">IFERROR(_xlfn.XLOOKUP(TRUE,P124:ED124&lt;&gt;"",P124:ED124,,,-1)," ")</f>
        <v>24</v>
      </c>
      <c r="I124" s="25">
        <v>23.5</v>
      </c>
      <c r="J124" s="25">
        <v>24.5</v>
      </c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>
        <v>17.7</v>
      </c>
      <c r="X124" s="25"/>
      <c r="Y124" s="25"/>
      <c r="Z124" s="25"/>
      <c r="AA124" s="25"/>
      <c r="AB124" s="25"/>
      <c r="AC124" s="25"/>
      <c r="AD124" s="25">
        <v>21.1</v>
      </c>
      <c r="AE124" s="34"/>
      <c r="AF124" s="35"/>
      <c r="AG124" s="34"/>
      <c r="AH124" s="34"/>
      <c r="AI124" s="34"/>
      <c r="AJ124" s="34"/>
      <c r="AK124" s="34">
        <v>23</v>
      </c>
      <c r="AL124" s="34"/>
      <c r="AM124" s="34"/>
      <c r="AN124" s="34"/>
      <c r="AO124" s="34"/>
      <c r="AP124" s="34"/>
      <c r="AQ124" s="34"/>
      <c r="AR124" s="34">
        <v>24</v>
      </c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7"/>
      <c r="BF124" s="37"/>
      <c r="BG124" s="34"/>
      <c r="BH124" s="34"/>
      <c r="BI124" s="34"/>
      <c r="BJ124" s="36"/>
      <c r="BK124" s="34"/>
      <c r="BL124" s="37"/>
      <c r="BM124" s="37"/>
      <c r="BN124" s="36"/>
      <c r="BO124" s="34"/>
      <c r="BP124" s="37"/>
      <c r="BQ124" s="37"/>
      <c r="BR124" s="34"/>
      <c r="BS124" s="37"/>
      <c r="BT124" s="37"/>
      <c r="BU124" s="34"/>
      <c r="BV124" s="37"/>
      <c r="BW124" s="34"/>
      <c r="BX124" s="37"/>
      <c r="BY124" s="34"/>
      <c r="BZ124" s="34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4"/>
      <c r="CM124" s="43"/>
      <c r="CN124" s="37"/>
      <c r="CO124" s="37"/>
      <c r="CP124" s="34"/>
      <c r="CQ124" s="37"/>
      <c r="CR124" s="37"/>
      <c r="CS124" s="37"/>
      <c r="CT124" s="34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9"/>
      <c r="EB124" s="39"/>
      <c r="EC124" s="40"/>
    </row>
    <row r="125" spans="1:133" hidden="1">
      <c r="A125" s="44" t="s">
        <v>138</v>
      </c>
      <c r="B125" s="45" t="s">
        <v>343</v>
      </c>
      <c r="C125" s="20" t="s">
        <v>344</v>
      </c>
      <c r="D125" s="21" t="s">
        <v>296</v>
      </c>
      <c r="E125" s="21"/>
      <c r="F125" s="22" t="s">
        <v>345</v>
      </c>
      <c r="G125" s="23" t="str" cm="1">
        <f t="array" ref="G125">IFERROR(LOOKUP(2,1/(K125:GC125&lt;&gt;""),K$2:DQL$2),"")</f>
        <v>14-Aug</v>
      </c>
      <c r="H125" s="24" cm="1">
        <f t="array" ref="H125">IFERROR(_xlfn.XLOOKUP(TRUE,P125:ED125&lt;&gt;"",P125:ED125,,,-1)," ")</f>
        <v>22.4</v>
      </c>
      <c r="I125" s="25">
        <v>21.5</v>
      </c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>
        <v>15.2</v>
      </c>
      <c r="Y125" s="25"/>
      <c r="Z125" s="25"/>
      <c r="AA125" s="25"/>
      <c r="AB125" s="25"/>
      <c r="AC125" s="25"/>
      <c r="AD125" s="25"/>
      <c r="AE125" s="34"/>
      <c r="AF125" s="35"/>
      <c r="AG125" s="34"/>
      <c r="AH125" s="34"/>
      <c r="AI125" s="34"/>
      <c r="AJ125" s="34">
        <v>20.3</v>
      </c>
      <c r="AK125" s="34"/>
      <c r="AL125" s="34"/>
      <c r="AM125" s="34"/>
      <c r="AN125" s="34"/>
      <c r="AO125" s="34"/>
      <c r="AP125" s="34"/>
      <c r="AQ125" s="34">
        <v>21.5</v>
      </c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>
        <v>22.4</v>
      </c>
      <c r="BC125" s="34"/>
      <c r="BD125" s="34"/>
      <c r="BE125" s="37"/>
      <c r="BF125" s="37"/>
      <c r="BG125" s="34"/>
      <c r="BH125" s="34"/>
      <c r="BI125" s="34"/>
      <c r="BJ125" s="34"/>
      <c r="BK125" s="34"/>
      <c r="BL125" s="37"/>
      <c r="BM125" s="37"/>
      <c r="BN125" s="34"/>
      <c r="BO125" s="34"/>
      <c r="BP125" s="37"/>
      <c r="BQ125" s="37"/>
      <c r="BR125" s="34"/>
      <c r="BS125" s="37"/>
      <c r="BT125" s="37"/>
      <c r="BU125" s="34"/>
      <c r="BV125" s="37"/>
      <c r="BW125" s="34"/>
      <c r="BX125" s="37"/>
      <c r="BY125" s="34"/>
      <c r="BZ125" s="34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4"/>
      <c r="CM125" s="43"/>
      <c r="CN125" s="37"/>
      <c r="CO125" s="37"/>
      <c r="CP125" s="34"/>
      <c r="CQ125" s="37"/>
      <c r="CR125" s="37"/>
      <c r="CS125" s="37"/>
      <c r="CT125" s="34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9"/>
      <c r="EB125" s="39"/>
      <c r="EC125" s="40"/>
    </row>
    <row r="126" spans="1:133" hidden="1">
      <c r="A126" s="44" t="s">
        <v>138</v>
      </c>
      <c r="B126" s="45" t="s">
        <v>343</v>
      </c>
      <c r="C126" s="20" t="s">
        <v>346</v>
      </c>
      <c r="D126" s="21" t="s">
        <v>296</v>
      </c>
      <c r="E126" s="21"/>
      <c r="F126" s="22" t="s">
        <v>345</v>
      </c>
      <c r="G126" s="23" t="str" cm="1">
        <f t="array" ref="G126">IFERROR(LOOKUP(2,1/(K126:GC126&lt;&gt;""),K$2:DQL$2),"")</f>
        <v>15-Aug</v>
      </c>
      <c r="H126" s="24" cm="1">
        <f t="array" ref="H126">IFERROR(_xlfn.XLOOKUP(TRUE,P126:ED126&lt;&gt;"",P126:ED126,,,-1)," ")</f>
        <v>23.4</v>
      </c>
      <c r="I126" s="25">
        <v>21.5</v>
      </c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34"/>
      <c r="AF126" s="35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>
        <v>23.4</v>
      </c>
      <c r="BD126" s="34"/>
      <c r="BE126" s="37"/>
      <c r="BF126" s="37"/>
      <c r="BG126" s="34"/>
      <c r="BH126" s="34"/>
      <c r="BI126" s="34"/>
      <c r="BJ126" s="34"/>
      <c r="BK126" s="34"/>
      <c r="BL126" s="37"/>
      <c r="BM126" s="37"/>
      <c r="BN126" s="34"/>
      <c r="BO126" s="34"/>
      <c r="BP126" s="37"/>
      <c r="BQ126" s="37"/>
      <c r="BR126" s="34"/>
      <c r="BS126" s="37"/>
      <c r="BT126" s="37"/>
      <c r="BU126" s="34"/>
      <c r="BV126" s="37"/>
      <c r="BW126" s="34"/>
      <c r="BX126" s="37"/>
      <c r="BY126" s="34"/>
      <c r="BZ126" s="34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4"/>
      <c r="CM126" s="43"/>
      <c r="CN126" s="37"/>
      <c r="CO126" s="37"/>
      <c r="CP126" s="34"/>
      <c r="CQ126" s="37"/>
      <c r="CR126" s="37"/>
      <c r="CS126" s="37"/>
      <c r="CT126" s="34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9"/>
      <c r="EB126" s="39"/>
      <c r="EC126" s="40"/>
    </row>
    <row r="127" spans="1:133" hidden="1">
      <c r="A127" s="44" t="s">
        <v>138</v>
      </c>
      <c r="B127" s="45" t="s">
        <v>343</v>
      </c>
      <c r="C127" s="20" t="s">
        <v>347</v>
      </c>
      <c r="D127" s="21" t="s">
        <v>296</v>
      </c>
      <c r="E127" s="21"/>
      <c r="F127" s="22" t="s">
        <v>345</v>
      </c>
      <c r="G127" s="23" t="str" cm="1">
        <f t="array" ref="G127">IFERROR(LOOKUP(2,1/(K127:GC127&lt;&gt;""),K$2:DQL$2),"")</f>
        <v>15-Aug</v>
      </c>
      <c r="H127" s="24" cm="1">
        <f t="array" ref="H127">IFERROR(_xlfn.XLOOKUP(TRUE,P127:ED127&lt;&gt;"",P127:ED127,,,-1)," ")</f>
        <v>23</v>
      </c>
      <c r="I127" s="25">
        <v>21.5</v>
      </c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34"/>
      <c r="AF127" s="35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>
        <v>23</v>
      </c>
      <c r="BD127" s="34"/>
      <c r="BE127" s="37"/>
      <c r="BF127" s="37"/>
      <c r="BG127" s="34"/>
      <c r="BH127" s="34"/>
      <c r="BI127" s="34"/>
      <c r="BJ127" s="34"/>
      <c r="BK127" s="34"/>
      <c r="BL127" s="37"/>
      <c r="BM127" s="37"/>
      <c r="BN127" s="34"/>
      <c r="BO127" s="34"/>
      <c r="BP127" s="37"/>
      <c r="BQ127" s="37"/>
      <c r="BR127" s="34"/>
      <c r="BS127" s="37"/>
      <c r="BT127" s="37"/>
      <c r="BU127" s="34"/>
      <c r="BV127" s="37"/>
      <c r="BW127" s="34"/>
      <c r="BX127" s="37"/>
      <c r="BY127" s="34"/>
      <c r="BZ127" s="34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4"/>
      <c r="CM127" s="43"/>
      <c r="CN127" s="37"/>
      <c r="CO127" s="37"/>
      <c r="CP127" s="34"/>
      <c r="CQ127" s="37"/>
      <c r="CR127" s="37"/>
      <c r="CS127" s="37"/>
      <c r="CT127" s="34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9"/>
      <c r="EB127" s="39"/>
      <c r="EC127" s="40"/>
    </row>
    <row r="128" spans="1:133" hidden="1">
      <c r="A128" s="44" t="s">
        <v>138</v>
      </c>
      <c r="B128" s="45" t="s">
        <v>343</v>
      </c>
      <c r="C128" s="20" t="s">
        <v>348</v>
      </c>
      <c r="D128" s="21" t="s">
        <v>296</v>
      </c>
      <c r="E128" s="21"/>
      <c r="F128" s="22" t="s">
        <v>345</v>
      </c>
      <c r="G128" s="23" t="str" cm="1">
        <f t="array" ref="G128">IFERROR(LOOKUP(2,1/(K128:GC128&lt;&gt;""),K$2:DQL$2),"")</f>
        <v>15-Aug</v>
      </c>
      <c r="H128" s="24" cm="1">
        <f t="array" ref="H128">IFERROR(_xlfn.XLOOKUP(TRUE,P128:ED128&lt;&gt;"",P128:ED128,,,-1)," ")</f>
        <v>24.2</v>
      </c>
      <c r="I128" s="25">
        <v>21.5</v>
      </c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34"/>
      <c r="AF128" s="35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>
        <v>24.2</v>
      </c>
      <c r="BD128" s="34"/>
      <c r="BE128" s="37"/>
      <c r="BF128" s="37"/>
      <c r="BG128" s="34"/>
      <c r="BH128" s="34"/>
      <c r="BI128" s="34"/>
      <c r="BJ128" s="34"/>
      <c r="BK128" s="34"/>
      <c r="BL128" s="37"/>
      <c r="BM128" s="37"/>
      <c r="BN128" s="34"/>
      <c r="BO128" s="34"/>
      <c r="BP128" s="37"/>
      <c r="BQ128" s="37"/>
      <c r="BR128" s="34"/>
      <c r="BS128" s="37"/>
      <c r="BT128" s="37"/>
      <c r="BU128" s="34"/>
      <c r="BV128" s="37"/>
      <c r="BW128" s="34"/>
      <c r="BX128" s="37"/>
      <c r="BY128" s="34"/>
      <c r="BZ128" s="34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4"/>
      <c r="CM128" s="43"/>
      <c r="CN128" s="37"/>
      <c r="CO128" s="37"/>
      <c r="CP128" s="34"/>
      <c r="CQ128" s="37"/>
      <c r="CR128" s="37"/>
      <c r="CS128" s="37"/>
      <c r="CT128" s="34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9"/>
      <c r="EB128" s="39"/>
      <c r="EC128" s="40"/>
    </row>
    <row r="129" spans="1:133" hidden="1">
      <c r="A129" s="44" t="s">
        <v>138</v>
      </c>
      <c r="B129" s="45" t="s">
        <v>349</v>
      </c>
      <c r="C129" s="20" t="s">
        <v>350</v>
      </c>
      <c r="D129" s="21" t="s">
        <v>296</v>
      </c>
      <c r="E129" s="21"/>
      <c r="F129" s="22" t="s">
        <v>345</v>
      </c>
      <c r="G129" s="23" t="str" cm="1">
        <f t="array" ref="G129">IFERROR(LOOKUP(2,1/(K129:GC129&lt;&gt;""),K$2:DQL$2),"")</f>
        <v>14-Aug</v>
      </c>
      <c r="H129" s="24" cm="1">
        <f t="array" ref="H129">IFERROR(_xlfn.XLOOKUP(TRUE,P129:ED129&lt;&gt;"",P129:ED129,,,-1)," ")</f>
        <v>23.3</v>
      </c>
      <c r="I129" s="25">
        <v>22</v>
      </c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34"/>
      <c r="AF129" s="35"/>
      <c r="AG129" s="34"/>
      <c r="AH129" s="34"/>
      <c r="AI129" s="34"/>
      <c r="AJ129" s="34">
        <v>20.100000000000001</v>
      </c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>
        <v>23.3</v>
      </c>
      <c r="BC129" s="34"/>
      <c r="BD129" s="34"/>
      <c r="BE129" s="37"/>
      <c r="BF129" s="37"/>
      <c r="BG129" s="34"/>
      <c r="BH129" s="34"/>
      <c r="BI129" s="34"/>
      <c r="BJ129" s="34"/>
      <c r="BK129" s="34"/>
      <c r="BL129" s="37"/>
      <c r="BM129" s="37"/>
      <c r="BN129" s="34"/>
      <c r="BO129" s="34"/>
      <c r="BP129" s="34"/>
      <c r="BQ129" s="34"/>
      <c r="BR129" s="34"/>
      <c r="BS129" s="37"/>
      <c r="BT129" s="37"/>
      <c r="BU129" s="34"/>
      <c r="BV129" s="37"/>
      <c r="BW129" s="34"/>
      <c r="BX129" s="37"/>
      <c r="BY129" s="34"/>
      <c r="BZ129" s="34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4"/>
      <c r="CM129" s="37"/>
      <c r="CN129" s="37"/>
      <c r="CO129" s="37"/>
      <c r="CP129" s="34"/>
      <c r="CQ129" s="37"/>
      <c r="CR129" s="37"/>
      <c r="CS129" s="37"/>
      <c r="CT129" s="34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9"/>
      <c r="EB129" s="39"/>
      <c r="EC129" s="40"/>
    </row>
    <row r="130" spans="1:133" hidden="1">
      <c r="A130" s="44"/>
      <c r="B130" s="45" t="s">
        <v>351</v>
      </c>
      <c r="C130" s="20" t="s">
        <v>352</v>
      </c>
      <c r="D130" s="21" t="s">
        <v>296</v>
      </c>
      <c r="E130" s="21"/>
      <c r="F130" s="22"/>
      <c r="G130" s="23" t="str" cm="1">
        <f t="array" ref="G130">IFERROR(LOOKUP(2,1/(K130:GC130&lt;&gt;""),K$2:DQL$2),"")</f>
        <v/>
      </c>
      <c r="H130" s="24" t="str" cm="1">
        <f t="array" ref="H130">IFERROR(_xlfn.XLOOKUP(TRUE,P130:ED130&lt;&gt;"",P130:ED130,,,-1)," ")</f>
        <v xml:space="preserve"> </v>
      </c>
      <c r="I130" s="25">
        <v>23</v>
      </c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34"/>
      <c r="AF130" s="35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7"/>
      <c r="BF130" s="37"/>
      <c r="BG130" s="34"/>
      <c r="BH130" s="34"/>
      <c r="BI130" s="34"/>
      <c r="BJ130" s="34"/>
      <c r="BK130" s="34"/>
      <c r="BL130" s="37"/>
      <c r="BM130" s="37"/>
      <c r="BN130" s="38"/>
      <c r="BO130" s="37"/>
      <c r="BP130" s="37"/>
      <c r="BQ130" s="37"/>
      <c r="BR130" s="34"/>
      <c r="BS130" s="37"/>
      <c r="BT130" s="37"/>
      <c r="BU130" s="34"/>
      <c r="BV130" s="37"/>
      <c r="BW130" s="34"/>
      <c r="BX130" s="37"/>
      <c r="BY130" s="34"/>
      <c r="BZ130" s="34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4"/>
      <c r="CM130" s="37"/>
      <c r="CN130" s="37"/>
      <c r="CO130" s="37"/>
      <c r="CP130" s="34"/>
      <c r="CQ130" s="37"/>
      <c r="CR130" s="37"/>
      <c r="CS130" s="37"/>
      <c r="CT130" s="34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9"/>
      <c r="EB130" s="39"/>
      <c r="EC130" s="40"/>
    </row>
    <row r="131" spans="1:133" hidden="1">
      <c r="A131" s="44"/>
      <c r="B131" s="45" t="s">
        <v>353</v>
      </c>
      <c r="C131" s="20" t="s">
        <v>354</v>
      </c>
      <c r="D131" s="21" t="s">
        <v>296</v>
      </c>
      <c r="E131" s="21"/>
      <c r="F131" s="22"/>
      <c r="G131" s="23" t="str" cm="1">
        <f t="array" ref="G131">IFERROR(LOOKUP(2,1/(K131:GC131&lt;&gt;""),K$2:DQL$2),"")</f>
        <v>20-Aug</v>
      </c>
      <c r="H131" s="24" cm="1">
        <f t="array" ref="H131">IFERROR(_xlfn.XLOOKUP(TRUE,P131:ED131&lt;&gt;"",P131:ED131,,,-1)," ")</f>
        <v>23.2</v>
      </c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>
        <v>16.8</v>
      </c>
      <c r="Z131" s="25"/>
      <c r="AA131" s="25"/>
      <c r="AB131" s="25"/>
      <c r="AC131" s="25"/>
      <c r="AD131" s="25"/>
      <c r="AE131" s="34"/>
      <c r="AF131" s="61"/>
      <c r="AG131" s="34"/>
      <c r="AH131" s="34"/>
      <c r="AI131" s="36"/>
      <c r="AJ131" s="34">
        <v>19.2</v>
      </c>
      <c r="AK131" s="34"/>
      <c r="AL131" s="34"/>
      <c r="AM131" s="36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>
        <v>23</v>
      </c>
      <c r="AZ131" s="34"/>
      <c r="BA131" s="34"/>
      <c r="BB131" s="34"/>
      <c r="BC131" s="34"/>
      <c r="BD131" s="34"/>
      <c r="BE131" s="37"/>
      <c r="BF131" s="37"/>
      <c r="BG131" s="34">
        <v>23.4</v>
      </c>
      <c r="BH131" s="36">
        <v>23.2</v>
      </c>
      <c r="BI131" s="34"/>
      <c r="BJ131" s="34"/>
      <c r="BK131" s="34"/>
      <c r="BL131" s="37"/>
      <c r="BM131" s="37"/>
      <c r="BN131" s="37"/>
      <c r="BO131" s="37"/>
      <c r="BP131" s="37"/>
      <c r="BQ131" s="37"/>
      <c r="BR131" s="34"/>
      <c r="BS131" s="37"/>
      <c r="BT131" s="37"/>
      <c r="BU131" s="34"/>
      <c r="BV131" s="37"/>
      <c r="BW131" s="34"/>
      <c r="BX131" s="37"/>
      <c r="BY131" s="34"/>
      <c r="BZ131" s="34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4"/>
      <c r="CM131" s="37"/>
      <c r="CN131" s="37"/>
      <c r="CO131" s="37"/>
      <c r="CP131" s="34"/>
      <c r="CQ131" s="37"/>
      <c r="CR131" s="37"/>
      <c r="CS131" s="37"/>
      <c r="CT131" s="34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9"/>
      <c r="EB131" s="39"/>
      <c r="EC131" s="40"/>
    </row>
    <row r="132" spans="1:133" hidden="1">
      <c r="A132" s="44" t="s">
        <v>138</v>
      </c>
      <c r="B132" s="45" t="s">
        <v>355</v>
      </c>
      <c r="C132" s="20" t="s">
        <v>356</v>
      </c>
      <c r="D132" s="21" t="s">
        <v>357</v>
      </c>
      <c r="E132" s="21"/>
      <c r="F132" s="22" t="s">
        <v>137</v>
      </c>
      <c r="G132" s="23" t="str" cm="1">
        <f t="array" ref="G132">IFERROR(LOOKUP(2,1/(K132:GC132&lt;&gt;""),K$2:DQL$2),"")</f>
        <v>10-Aug</v>
      </c>
      <c r="H132" s="24" cm="1">
        <f t="array" ref="H132">IFERROR(_xlfn.XLOOKUP(TRUE,P132:ED132&lt;&gt;"",P132:ED132,,,-1)," ")</f>
        <v>21.5</v>
      </c>
      <c r="I132" s="25">
        <v>20.5</v>
      </c>
      <c r="J132" s="25">
        <v>22</v>
      </c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34">
        <v>16.3</v>
      </c>
      <c r="AF132" s="35"/>
      <c r="AG132" s="34"/>
      <c r="AH132" s="34"/>
      <c r="AI132" s="34"/>
      <c r="AJ132" s="34"/>
      <c r="AK132" s="34"/>
      <c r="AL132" s="34"/>
      <c r="AM132" s="34">
        <v>18.399999999999999</v>
      </c>
      <c r="AN132" s="34"/>
      <c r="AO132" s="34"/>
      <c r="AP132" s="34"/>
      <c r="AQ132" s="34"/>
      <c r="AR132" s="34"/>
      <c r="AS132" s="36">
        <v>19.8</v>
      </c>
      <c r="AT132" s="34"/>
      <c r="AU132" s="34"/>
      <c r="AV132" s="34"/>
      <c r="AW132" s="34"/>
      <c r="AX132" s="36">
        <v>21.5</v>
      </c>
      <c r="AY132" s="34"/>
      <c r="AZ132" s="34"/>
      <c r="BA132" s="34"/>
      <c r="BB132" s="34"/>
      <c r="BC132" s="34"/>
      <c r="BD132" s="34"/>
      <c r="BE132" s="37"/>
      <c r="BF132" s="37"/>
      <c r="BG132" s="34"/>
      <c r="BH132" s="37"/>
      <c r="BI132" s="37"/>
      <c r="BJ132" s="34"/>
      <c r="BK132" s="37"/>
      <c r="BL132" s="37"/>
      <c r="BM132" s="37"/>
      <c r="BN132" s="38"/>
      <c r="BO132" s="34"/>
      <c r="BP132" s="37"/>
      <c r="BQ132" s="37"/>
      <c r="BR132" s="34"/>
      <c r="BS132" s="37"/>
      <c r="BT132" s="37"/>
      <c r="BU132" s="34"/>
      <c r="BV132" s="37"/>
      <c r="BW132" s="34"/>
      <c r="BX132" s="37"/>
      <c r="BY132" s="34"/>
      <c r="BZ132" s="34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4"/>
      <c r="CM132" s="37"/>
      <c r="CN132" s="37"/>
      <c r="CO132" s="37"/>
      <c r="CP132" s="34"/>
      <c r="CQ132" s="37"/>
      <c r="CR132" s="37"/>
      <c r="CS132" s="37"/>
      <c r="CT132" s="34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9"/>
      <c r="EB132" s="39"/>
      <c r="EC132" s="40"/>
    </row>
    <row r="133" spans="1:133" hidden="1">
      <c r="A133" s="44"/>
      <c r="B133" s="45" t="s">
        <v>358</v>
      </c>
      <c r="C133" s="53" t="s">
        <v>359</v>
      </c>
      <c r="D133" s="21" t="s">
        <v>357</v>
      </c>
      <c r="E133" s="21"/>
      <c r="F133" s="54" t="s">
        <v>360</v>
      </c>
      <c r="G133" s="23" t="str" cm="1">
        <f t="array" ref="G133">IFERROR(LOOKUP(2,1/(K133:GC133&lt;&gt;""),K$2:DQL$2),"")</f>
        <v>10-Aug</v>
      </c>
      <c r="H133" s="24" cm="1">
        <f t="array" ref="H133">IFERROR(_xlfn.XLOOKUP(TRUE,P133:ED133&lt;&gt;"",P133:ED133,,,-1)," ")</f>
        <v>21.3</v>
      </c>
      <c r="I133" s="55">
        <v>19</v>
      </c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34">
        <v>17.100000000000001</v>
      </c>
      <c r="AF133" s="35"/>
      <c r="AG133" s="34"/>
      <c r="AH133" s="34"/>
      <c r="AI133" s="34"/>
      <c r="AJ133" s="34"/>
      <c r="AK133" s="34"/>
      <c r="AL133" s="34"/>
      <c r="AM133" s="34">
        <v>18.2</v>
      </c>
      <c r="AN133" s="34"/>
      <c r="AO133" s="34"/>
      <c r="AP133" s="34"/>
      <c r="AQ133" s="34"/>
      <c r="AR133" s="34"/>
      <c r="AS133" s="34">
        <v>20.3</v>
      </c>
      <c r="AT133" s="34"/>
      <c r="AU133" s="34"/>
      <c r="AV133" s="34"/>
      <c r="AW133" s="34"/>
      <c r="AX133" s="34">
        <v>21.3</v>
      </c>
      <c r="AY133" s="34"/>
      <c r="AZ133" s="34"/>
      <c r="BA133" s="34"/>
      <c r="BB133" s="34"/>
      <c r="BC133" s="34"/>
      <c r="BD133" s="34"/>
      <c r="BE133" s="37"/>
      <c r="BF133" s="37"/>
      <c r="BG133" s="34"/>
      <c r="BH133" s="37"/>
      <c r="BI133" s="37"/>
      <c r="BJ133" s="34"/>
      <c r="BK133" s="37"/>
      <c r="BL133" s="37"/>
      <c r="BM133" s="37"/>
      <c r="BN133" s="38"/>
      <c r="BO133" s="34"/>
      <c r="BP133" s="38"/>
      <c r="BQ133" s="37"/>
      <c r="BR133" s="36"/>
      <c r="BS133" s="37"/>
      <c r="BT133" s="37"/>
      <c r="BU133" s="34"/>
      <c r="BV133" s="37"/>
      <c r="BW133" s="36"/>
      <c r="BX133" s="37"/>
      <c r="BY133" s="34"/>
      <c r="BZ133" s="34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4"/>
      <c r="CM133" s="37"/>
      <c r="CN133" s="37"/>
      <c r="CO133" s="37"/>
      <c r="CP133" s="34"/>
      <c r="CQ133" s="37"/>
      <c r="CR133" s="37"/>
      <c r="CS133" s="37"/>
      <c r="CT133" s="34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9"/>
      <c r="EB133" s="39"/>
      <c r="EC133" s="40"/>
    </row>
    <row r="134" spans="1:133" hidden="1">
      <c r="A134" s="44"/>
      <c r="B134" s="22"/>
      <c r="C134" s="53" t="s">
        <v>361</v>
      </c>
      <c r="D134" s="21" t="s">
        <v>357</v>
      </c>
      <c r="E134" s="21"/>
      <c r="F134" s="22"/>
      <c r="G134" s="23" t="str" cm="1">
        <f t="array" ref="G134">IFERROR(LOOKUP(2,1/(K134:GC134&lt;&gt;""),K$2:DQL$2),"")</f>
        <v>12-Aug</v>
      </c>
      <c r="H134" s="24" cm="1">
        <f t="array" ref="H134">IFERROR(_xlfn.XLOOKUP(TRUE,P134:ED134&lt;&gt;"",P134:ED134,,,-1)," ")</f>
        <v>23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6">
        <v>23</v>
      </c>
      <c r="BA134" s="34"/>
      <c r="BB134" s="34"/>
      <c r="BC134" s="34"/>
      <c r="BD134" s="34"/>
      <c r="BE134" s="37"/>
      <c r="BF134" s="37"/>
      <c r="BG134" s="34"/>
      <c r="BH134" s="34"/>
      <c r="BI134" s="34"/>
      <c r="BJ134" s="34"/>
      <c r="BK134" s="34"/>
      <c r="BL134" s="34"/>
      <c r="BM134" s="37"/>
      <c r="BN134" s="34"/>
      <c r="BO134" s="34"/>
      <c r="BP134" s="34"/>
      <c r="BQ134" s="34"/>
      <c r="BR134" s="34"/>
      <c r="BS134" s="37"/>
      <c r="BT134" s="37"/>
      <c r="BU134" s="34"/>
      <c r="BV134" s="34"/>
      <c r="BW134" s="34"/>
      <c r="BX134" s="37"/>
      <c r="BY134" s="34"/>
      <c r="BZ134" s="36"/>
      <c r="CA134" s="37"/>
      <c r="CB134" s="37"/>
      <c r="CC134" s="34"/>
      <c r="CD134" s="37"/>
      <c r="CE134" s="37"/>
      <c r="CF134" s="37"/>
      <c r="CG134" s="37"/>
      <c r="CH134" s="37"/>
      <c r="CI134" s="37"/>
      <c r="CJ134" s="37"/>
      <c r="CK134" s="37"/>
      <c r="CL134" s="34"/>
      <c r="CM134" s="37"/>
      <c r="CN134" s="37"/>
      <c r="CO134" s="37"/>
      <c r="CP134" s="34"/>
      <c r="CQ134" s="37"/>
      <c r="CR134" s="34"/>
      <c r="CS134" s="37"/>
      <c r="CT134" s="34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9"/>
      <c r="EB134" s="39"/>
      <c r="EC134" s="40"/>
    </row>
    <row r="135" spans="1:133" hidden="1">
      <c r="A135" s="44"/>
      <c r="B135" s="45" t="s">
        <v>362</v>
      </c>
      <c r="C135" s="20" t="s">
        <v>363</v>
      </c>
      <c r="D135" s="21" t="s">
        <v>357</v>
      </c>
      <c r="E135" s="21"/>
      <c r="F135" s="22" t="s">
        <v>340</v>
      </c>
      <c r="G135" s="23" t="str" cm="1">
        <f t="array" ref="G135">IFERROR(LOOKUP(2,1/(K135:GC135&lt;&gt;""),K$2:DQL$2),"")</f>
        <v>6-Aug</v>
      </c>
      <c r="H135" s="24" cm="1">
        <f t="array" ref="H135">IFERROR(_xlfn.XLOOKUP(TRUE,P135:ED135&lt;&gt;"",P135:ED135,,,-1)," ")</f>
        <v>19.2</v>
      </c>
      <c r="I135" s="25">
        <v>20</v>
      </c>
      <c r="J135" s="25">
        <v>22</v>
      </c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34"/>
      <c r="AF135" s="35"/>
      <c r="AG135" s="34"/>
      <c r="AH135" s="34"/>
      <c r="AI135" s="34"/>
      <c r="AJ135" s="34"/>
      <c r="AK135" s="34"/>
      <c r="AL135" s="34">
        <v>16.899999999999999</v>
      </c>
      <c r="AM135" s="34"/>
      <c r="AN135" s="34"/>
      <c r="AO135" s="34"/>
      <c r="AP135" s="34"/>
      <c r="AQ135" s="34"/>
      <c r="AR135" s="34">
        <v>18.600000000000001</v>
      </c>
      <c r="AS135" s="34"/>
      <c r="AT135" s="36">
        <v>19.2</v>
      </c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7"/>
      <c r="BF135" s="37"/>
      <c r="BG135" s="34"/>
      <c r="BH135" s="37"/>
      <c r="BI135" s="37"/>
      <c r="BJ135" s="34"/>
      <c r="BK135" s="37"/>
      <c r="BL135" s="37"/>
      <c r="BM135" s="37"/>
      <c r="BN135" s="38"/>
      <c r="BO135" s="34"/>
      <c r="BP135" s="34"/>
      <c r="BQ135" s="34"/>
      <c r="BR135" s="34"/>
      <c r="BS135" s="37"/>
      <c r="BT135" s="37"/>
      <c r="BU135" s="34"/>
      <c r="BV135" s="34"/>
      <c r="BW135" s="34"/>
      <c r="BX135" s="37"/>
      <c r="BY135" s="34"/>
      <c r="BZ135" s="34"/>
      <c r="CA135" s="37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6"/>
      <c r="CM135" s="43"/>
      <c r="CN135" s="37"/>
      <c r="CO135" s="37"/>
      <c r="CP135" s="34"/>
      <c r="CQ135" s="34"/>
      <c r="CR135" s="37"/>
      <c r="CS135" s="37"/>
      <c r="CT135" s="34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9"/>
      <c r="EB135" s="39"/>
      <c r="EC135" s="40"/>
    </row>
    <row r="136" spans="1:133" hidden="1">
      <c r="A136" s="44" t="s">
        <v>138</v>
      </c>
      <c r="B136" s="45" t="s">
        <v>364</v>
      </c>
      <c r="C136" s="20" t="s">
        <v>365</v>
      </c>
      <c r="D136" s="21" t="s">
        <v>357</v>
      </c>
      <c r="E136" s="21"/>
      <c r="F136" s="22" t="s">
        <v>340</v>
      </c>
      <c r="G136" s="23" t="str" cm="1">
        <f t="array" ref="G136">IFERROR(LOOKUP(2,1/(K136:GC136&lt;&gt;""),K$2:DQL$2),"")</f>
        <v>4-Aug</v>
      </c>
      <c r="H136" s="24" cm="1">
        <f t="array" ref="H136">IFERROR(_xlfn.XLOOKUP(TRUE,P136:ED136&lt;&gt;"",P136:ED136,,,-1)," ")</f>
        <v>19</v>
      </c>
      <c r="I136" s="25">
        <v>20</v>
      </c>
      <c r="J136" s="25">
        <v>22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34"/>
      <c r="AF136" s="35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>
        <v>19</v>
      </c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7"/>
      <c r="BF136" s="37"/>
      <c r="BG136" s="34"/>
      <c r="BH136" s="37"/>
      <c r="BI136" s="37"/>
      <c r="BJ136" s="34"/>
      <c r="BK136" s="37"/>
      <c r="BL136" s="37"/>
      <c r="BM136" s="37"/>
      <c r="BN136" s="38"/>
      <c r="BO136" s="34"/>
      <c r="BP136" s="34"/>
      <c r="BQ136" s="34"/>
      <c r="BR136" s="34"/>
      <c r="BS136" s="37"/>
      <c r="BT136" s="37"/>
      <c r="BU136" s="34"/>
      <c r="BV136" s="34"/>
      <c r="BW136" s="34"/>
      <c r="BX136" s="37"/>
      <c r="BY136" s="34"/>
      <c r="BZ136" s="34"/>
      <c r="CA136" s="37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43"/>
      <c r="CN136" s="37"/>
      <c r="CO136" s="37"/>
      <c r="CP136" s="34"/>
      <c r="CQ136" s="37"/>
      <c r="CR136" s="37"/>
      <c r="CS136" s="37"/>
      <c r="CT136" s="34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9"/>
      <c r="EB136" s="39"/>
      <c r="EC136" s="40"/>
    </row>
    <row r="137" spans="1:133" hidden="1">
      <c r="A137" s="44" t="s">
        <v>138</v>
      </c>
      <c r="B137" s="45" t="s">
        <v>366</v>
      </c>
      <c r="C137" s="20" t="s">
        <v>367</v>
      </c>
      <c r="D137" s="21" t="s">
        <v>357</v>
      </c>
      <c r="E137" s="21"/>
      <c r="F137" s="22" t="s">
        <v>340</v>
      </c>
      <c r="G137" s="23" t="str" cm="1">
        <f t="array" ref="G137">IFERROR(LOOKUP(2,1/(K137:GC137&lt;&gt;""),K$2:DQL$2),"")</f>
        <v>4-Aug</v>
      </c>
      <c r="H137" s="24" cm="1">
        <f t="array" ref="H137">IFERROR(_xlfn.XLOOKUP(TRUE,P137:ED137&lt;&gt;"",P137:ED137,,,-1)," ")</f>
        <v>20.5</v>
      </c>
      <c r="I137" s="25">
        <v>20</v>
      </c>
      <c r="J137" s="25">
        <v>22</v>
      </c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34"/>
      <c r="AF137" s="35"/>
      <c r="AG137" s="34"/>
      <c r="AH137" s="34"/>
      <c r="AI137" s="34"/>
      <c r="AJ137" s="34"/>
      <c r="AK137" s="34"/>
      <c r="AL137" s="34">
        <v>19.7</v>
      </c>
      <c r="AM137" s="34"/>
      <c r="AN137" s="34"/>
      <c r="AO137" s="34"/>
      <c r="AP137" s="34"/>
      <c r="AQ137" s="34"/>
      <c r="AR137" s="34">
        <v>20.5</v>
      </c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7"/>
      <c r="BF137" s="37"/>
      <c r="BG137" s="34"/>
      <c r="BH137" s="37"/>
      <c r="BI137" s="37"/>
      <c r="BJ137" s="34"/>
      <c r="BK137" s="37"/>
      <c r="BL137" s="37"/>
      <c r="BM137" s="37"/>
      <c r="BN137" s="38"/>
      <c r="BO137" s="34"/>
      <c r="BP137" s="34"/>
      <c r="BQ137" s="34"/>
      <c r="BR137" s="34"/>
      <c r="BS137" s="37"/>
      <c r="BT137" s="37"/>
      <c r="BU137" s="34"/>
      <c r="BV137" s="34"/>
      <c r="BW137" s="34"/>
      <c r="BX137" s="37"/>
      <c r="BY137" s="34"/>
      <c r="BZ137" s="34"/>
      <c r="CA137" s="37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43"/>
      <c r="CN137" s="37"/>
      <c r="CO137" s="37"/>
      <c r="CP137" s="34"/>
      <c r="CQ137" s="34"/>
      <c r="CR137" s="37"/>
      <c r="CS137" s="37"/>
      <c r="CT137" s="34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9"/>
      <c r="EB137" s="39"/>
      <c r="EC137" s="40"/>
    </row>
    <row r="138" spans="1:133" hidden="1">
      <c r="A138" s="44" t="s">
        <v>138</v>
      </c>
      <c r="B138" s="45" t="s">
        <v>368</v>
      </c>
      <c r="C138" s="20" t="s">
        <v>369</v>
      </c>
      <c r="D138" s="21" t="s">
        <v>357</v>
      </c>
      <c r="E138" s="21"/>
      <c r="F138" s="22" t="s">
        <v>340</v>
      </c>
      <c r="G138" s="23" t="str" cm="1">
        <f t="array" ref="G138">IFERROR(LOOKUP(2,1/(K138:GC138&lt;&gt;""),K$2:DQL$2),"")</f>
        <v>4-Aug</v>
      </c>
      <c r="H138" s="24" cm="1">
        <f t="array" ref="H138">IFERROR(_xlfn.XLOOKUP(TRUE,P138:ED138&lt;&gt;"",P138:ED138,,,-1)," ")</f>
        <v>21.3</v>
      </c>
      <c r="I138" s="25">
        <v>20</v>
      </c>
      <c r="J138" s="25">
        <v>22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34"/>
      <c r="AF138" s="35"/>
      <c r="AG138" s="34"/>
      <c r="AH138" s="34"/>
      <c r="AI138" s="34"/>
      <c r="AJ138" s="34"/>
      <c r="AK138" s="34"/>
      <c r="AL138" s="34">
        <v>19.7</v>
      </c>
      <c r="AM138" s="34"/>
      <c r="AN138" s="34"/>
      <c r="AO138" s="34"/>
      <c r="AP138" s="34"/>
      <c r="AQ138" s="34"/>
      <c r="AR138" s="248">
        <v>21.3</v>
      </c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7"/>
      <c r="BF138" s="37"/>
      <c r="BG138" s="34"/>
      <c r="BH138" s="37"/>
      <c r="BI138" s="37"/>
      <c r="BJ138" s="34"/>
      <c r="BK138" s="38"/>
      <c r="BL138" s="37"/>
      <c r="BM138" s="37"/>
      <c r="BN138" s="38"/>
      <c r="BO138" s="34"/>
      <c r="BP138" s="34"/>
      <c r="BQ138" s="34"/>
      <c r="BR138" s="34"/>
      <c r="BS138" s="37"/>
      <c r="BT138" s="37"/>
      <c r="BU138" s="34"/>
      <c r="BV138" s="34"/>
      <c r="BW138" s="34"/>
      <c r="BX138" s="37"/>
      <c r="BY138" s="34"/>
      <c r="BZ138" s="34"/>
      <c r="CA138" s="37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43"/>
      <c r="CN138" s="37"/>
      <c r="CO138" s="37"/>
      <c r="CP138" s="34"/>
      <c r="CQ138" s="37"/>
      <c r="CR138" s="37"/>
      <c r="CS138" s="37"/>
      <c r="CT138" s="34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9"/>
      <c r="EB138" s="39"/>
      <c r="EC138" s="40"/>
    </row>
    <row r="139" spans="1:133" hidden="1">
      <c r="A139" s="44"/>
      <c r="B139" s="45" t="s">
        <v>368</v>
      </c>
      <c r="C139" s="20" t="s">
        <v>370</v>
      </c>
      <c r="D139" s="21" t="s">
        <v>357</v>
      </c>
      <c r="E139" s="21"/>
      <c r="F139" s="22" t="s">
        <v>340</v>
      </c>
      <c r="G139" s="23" t="str" cm="1">
        <f t="array" ref="G139">IFERROR(LOOKUP(2,1/(K139:GC139&lt;&gt;""),K$2:DQL$2),"")</f>
        <v>18-Aug</v>
      </c>
      <c r="H139" s="24" cm="1">
        <f t="array" ref="H139">IFERROR(_xlfn.XLOOKUP(TRUE,P139:ED139&lt;&gt;"",P139:ED139,,,-1)," ")</f>
        <v>24</v>
      </c>
      <c r="I139" s="25">
        <v>20</v>
      </c>
      <c r="J139" s="25">
        <v>22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34"/>
      <c r="AF139" s="35"/>
      <c r="AG139" s="34"/>
      <c r="AH139" s="34"/>
      <c r="AI139" s="34"/>
      <c r="AJ139" s="34"/>
      <c r="AK139" s="34"/>
      <c r="AL139" s="34">
        <v>19.7</v>
      </c>
      <c r="AM139" s="34"/>
      <c r="AN139" s="34"/>
      <c r="AO139" s="34"/>
      <c r="AP139" s="34"/>
      <c r="AQ139" s="34"/>
      <c r="AR139" s="248">
        <v>21.3</v>
      </c>
      <c r="AS139" s="34"/>
      <c r="AT139" s="34"/>
      <c r="AU139" s="34"/>
      <c r="AV139" s="34"/>
      <c r="AW139" s="34"/>
      <c r="AX139" s="34"/>
      <c r="AY139" s="34">
        <v>22.4</v>
      </c>
      <c r="AZ139" s="34"/>
      <c r="BA139" s="34"/>
      <c r="BB139" s="34"/>
      <c r="BC139" s="34"/>
      <c r="BD139" s="34"/>
      <c r="BE139" s="37"/>
      <c r="BF139" s="37">
        <v>24</v>
      </c>
      <c r="BG139" s="34"/>
      <c r="BH139" s="37"/>
      <c r="BI139" s="37"/>
      <c r="BJ139" s="34"/>
      <c r="BK139" s="38"/>
      <c r="BL139" s="37"/>
      <c r="BM139" s="37"/>
      <c r="BN139" s="38"/>
      <c r="BO139" s="34"/>
      <c r="BP139" s="34"/>
      <c r="BQ139" s="34"/>
      <c r="BR139" s="34"/>
      <c r="BS139" s="37"/>
      <c r="BT139" s="37"/>
      <c r="BU139" s="34"/>
      <c r="BV139" s="34"/>
      <c r="BW139" s="34"/>
      <c r="BX139" s="37"/>
      <c r="BY139" s="34"/>
      <c r="BZ139" s="34"/>
      <c r="CA139" s="37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43"/>
      <c r="CN139" s="37"/>
      <c r="CO139" s="37"/>
      <c r="CP139" s="34"/>
      <c r="CQ139" s="37"/>
      <c r="CR139" s="37"/>
      <c r="CS139" s="37"/>
      <c r="CT139" s="34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9"/>
      <c r="EB139" s="39"/>
      <c r="EC139" s="40"/>
    </row>
    <row r="140" spans="1:133" hidden="1">
      <c r="A140" s="44" t="s">
        <v>138</v>
      </c>
      <c r="B140" s="45" t="s">
        <v>371</v>
      </c>
      <c r="C140" s="20" t="s">
        <v>372</v>
      </c>
      <c r="D140" s="21" t="s">
        <v>357</v>
      </c>
      <c r="E140" s="21"/>
      <c r="F140" s="22" t="s">
        <v>340</v>
      </c>
      <c r="G140" s="23" t="str" cm="1">
        <f t="array" ref="G140">IFERROR(LOOKUP(2,1/(K140:GC140&lt;&gt;""),K$2:DQL$2),"")</f>
        <v>4-Aug</v>
      </c>
      <c r="H140" s="24" cm="1">
        <f t="array" ref="H140">IFERROR(_xlfn.XLOOKUP(TRUE,P140:ED140&lt;&gt;"",P140:ED140,,,-1)," ")</f>
        <v>20.2</v>
      </c>
      <c r="I140" s="25">
        <v>20</v>
      </c>
      <c r="J140" s="25">
        <v>22</v>
      </c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34"/>
      <c r="AF140" s="35"/>
      <c r="AG140" s="34"/>
      <c r="AH140" s="34"/>
      <c r="AI140" s="34"/>
      <c r="AJ140" s="34"/>
      <c r="AK140" s="34"/>
      <c r="AL140" s="34">
        <v>19.899999999999999</v>
      </c>
      <c r="AM140" s="34"/>
      <c r="AN140" s="34"/>
      <c r="AO140" s="34"/>
      <c r="AP140" s="34"/>
      <c r="AQ140" s="34"/>
      <c r="AR140" s="34">
        <v>20.2</v>
      </c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7"/>
      <c r="BF140" s="37"/>
      <c r="BG140" s="34"/>
      <c r="BH140" s="37"/>
      <c r="BI140" s="37"/>
      <c r="BJ140" s="34"/>
      <c r="BK140" s="37"/>
      <c r="BL140" s="37"/>
      <c r="BM140" s="37"/>
      <c r="BN140" s="38"/>
      <c r="BO140" s="34"/>
      <c r="BP140" s="34"/>
      <c r="BQ140" s="34"/>
      <c r="BR140" s="34"/>
      <c r="BS140" s="37"/>
      <c r="BT140" s="37"/>
      <c r="BU140" s="34"/>
      <c r="BV140" s="34"/>
      <c r="BW140" s="34"/>
      <c r="BX140" s="37"/>
      <c r="BY140" s="34"/>
      <c r="BZ140" s="34"/>
      <c r="CA140" s="37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43"/>
      <c r="CN140" s="37"/>
      <c r="CO140" s="37"/>
      <c r="CP140" s="34"/>
      <c r="CQ140" s="37"/>
      <c r="CR140" s="37"/>
      <c r="CS140" s="37"/>
      <c r="CT140" s="34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9"/>
      <c r="EB140" s="39"/>
      <c r="EC140" s="40"/>
    </row>
    <row r="141" spans="1:133" hidden="1">
      <c r="A141" s="44" t="s">
        <v>138</v>
      </c>
      <c r="B141" s="45" t="s">
        <v>373</v>
      </c>
      <c r="C141" s="20" t="s">
        <v>374</v>
      </c>
      <c r="D141" s="21" t="s">
        <v>357</v>
      </c>
      <c r="E141" s="21"/>
      <c r="F141" s="22" t="s">
        <v>340</v>
      </c>
      <c r="G141" s="23" t="str" cm="1">
        <f t="array" ref="G141">IFERROR(LOOKUP(2,1/(K141:GC141&lt;&gt;""),K$2:DQL$2),"")</f>
        <v>11-Aug</v>
      </c>
      <c r="H141" s="24" cm="1">
        <f t="array" ref="H141">IFERROR(_xlfn.XLOOKUP(TRUE,P141:ED141&lt;&gt;"",P141:ED141,,,-1)," ")</f>
        <v>22.5</v>
      </c>
      <c r="I141" s="25">
        <v>20</v>
      </c>
      <c r="J141" s="25">
        <v>22</v>
      </c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34"/>
      <c r="AF141" s="35"/>
      <c r="AG141" s="34"/>
      <c r="AH141" s="34"/>
      <c r="AI141" s="34"/>
      <c r="AJ141" s="34"/>
      <c r="AK141" s="34"/>
      <c r="AL141" s="34"/>
      <c r="AM141" s="34"/>
      <c r="AN141" s="34">
        <v>20.100000000000001</v>
      </c>
      <c r="AO141" s="34"/>
      <c r="AP141" s="34"/>
      <c r="AQ141" s="34"/>
      <c r="AR141" s="34">
        <v>21</v>
      </c>
      <c r="AS141" s="34"/>
      <c r="AT141" s="34"/>
      <c r="AU141" s="34"/>
      <c r="AV141" s="34"/>
      <c r="AW141" s="34"/>
      <c r="AX141" s="34"/>
      <c r="AY141" s="34">
        <v>22.5</v>
      </c>
      <c r="AZ141" s="34"/>
      <c r="BA141" s="34"/>
      <c r="BB141" s="34"/>
      <c r="BC141" s="34"/>
      <c r="BD141" s="34"/>
      <c r="BE141" s="37"/>
      <c r="BF141" s="37"/>
      <c r="BG141" s="34"/>
      <c r="BH141" s="37"/>
      <c r="BI141" s="37"/>
      <c r="BJ141" s="34"/>
      <c r="BK141" s="37"/>
      <c r="BL141" s="37"/>
      <c r="BM141" s="37"/>
      <c r="BN141" s="38"/>
      <c r="BO141" s="34"/>
      <c r="BP141" s="34"/>
      <c r="BQ141" s="34"/>
      <c r="BR141" s="34"/>
      <c r="BS141" s="37"/>
      <c r="BT141" s="37"/>
      <c r="BU141" s="34"/>
      <c r="BV141" s="34"/>
      <c r="BW141" s="34"/>
      <c r="BX141" s="37"/>
      <c r="BY141" s="34"/>
      <c r="BZ141" s="34"/>
      <c r="CA141" s="37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7"/>
      <c r="CN141" s="37"/>
      <c r="CO141" s="37"/>
      <c r="CP141" s="34"/>
      <c r="CQ141" s="37"/>
      <c r="CR141" s="37"/>
      <c r="CS141" s="37"/>
      <c r="CT141" s="34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9"/>
      <c r="EB141" s="39"/>
      <c r="EC141" s="40"/>
    </row>
    <row r="142" spans="1:133" hidden="1">
      <c r="A142" s="44" t="s">
        <v>138</v>
      </c>
      <c r="B142" s="45" t="s">
        <v>375</v>
      </c>
      <c r="C142" s="20" t="s">
        <v>376</v>
      </c>
      <c r="D142" s="21" t="s">
        <v>357</v>
      </c>
      <c r="E142" s="21"/>
      <c r="F142" s="22" t="s">
        <v>340</v>
      </c>
      <c r="G142" s="23" t="str" cm="1">
        <f t="array" ref="G142">IFERROR(LOOKUP(2,1/(K142:GC142&lt;&gt;""),K$2:DQL$2),"")</f>
        <v/>
      </c>
      <c r="H142" s="24" t="str" cm="1">
        <f t="array" ref="H142">IFERROR(_xlfn.XLOOKUP(TRUE,P142:ED142&lt;&gt;"",P142:ED142,,,-1)," ")</f>
        <v xml:space="preserve"> </v>
      </c>
      <c r="I142" s="25">
        <v>20</v>
      </c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34"/>
      <c r="AF142" s="35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7"/>
      <c r="BF142" s="37"/>
      <c r="BG142" s="34"/>
      <c r="BH142" s="37"/>
      <c r="BI142" s="37"/>
      <c r="BJ142" s="34"/>
      <c r="BK142" s="37"/>
      <c r="BL142" s="37"/>
      <c r="BM142" s="37"/>
      <c r="BN142" s="37"/>
      <c r="BO142" s="34"/>
      <c r="BP142" s="34"/>
      <c r="BQ142" s="34"/>
      <c r="BR142" s="34"/>
      <c r="BS142" s="37"/>
      <c r="BT142" s="37"/>
      <c r="BU142" s="34"/>
      <c r="BV142" s="34"/>
      <c r="BW142" s="34"/>
      <c r="BX142" s="37"/>
      <c r="BY142" s="34"/>
      <c r="BZ142" s="34"/>
      <c r="CA142" s="37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43"/>
      <c r="CN142" s="37"/>
      <c r="CO142" s="37"/>
      <c r="CP142" s="34"/>
      <c r="CQ142" s="37"/>
      <c r="CR142" s="37"/>
      <c r="CS142" s="37"/>
      <c r="CT142" s="34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9"/>
      <c r="EB142" s="39"/>
      <c r="EC142" s="40"/>
    </row>
    <row r="143" spans="1:133" hidden="1">
      <c r="A143" s="44" t="s">
        <v>138</v>
      </c>
      <c r="B143" s="45" t="s">
        <v>377</v>
      </c>
      <c r="C143" s="20" t="s">
        <v>378</v>
      </c>
      <c r="D143" s="21" t="s">
        <v>379</v>
      </c>
      <c r="E143" s="21"/>
      <c r="F143" s="22" t="s">
        <v>380</v>
      </c>
      <c r="G143" s="23" t="str" cm="1">
        <f t="array" ref="G143">IFERROR(LOOKUP(2,1/(K143:GC143&lt;&gt;""),K$2:DQL$2),"")</f>
        <v>20-Jul</v>
      </c>
      <c r="H143" s="24" cm="1">
        <f t="array" ref="H143">IFERROR(_xlfn.XLOOKUP(TRUE,P143:ED143&lt;&gt;"",P143:ED143,,,-1)," ")</f>
        <v>19.8</v>
      </c>
      <c r="I143" s="25">
        <v>22</v>
      </c>
      <c r="J143" s="25">
        <v>23</v>
      </c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>
        <v>19.8</v>
      </c>
      <c r="AD143" s="25"/>
      <c r="AE143" s="34"/>
      <c r="AF143" s="35"/>
      <c r="AG143" s="34"/>
      <c r="AH143" s="34"/>
      <c r="AI143" s="34"/>
      <c r="AJ143" s="34"/>
      <c r="AK143" s="34"/>
      <c r="AL143" s="34"/>
      <c r="AM143" s="34"/>
      <c r="AN143" s="36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6"/>
      <c r="BE143" s="37"/>
      <c r="BF143" s="37"/>
      <c r="BG143" s="34"/>
      <c r="BH143" s="37"/>
      <c r="BI143" s="37"/>
      <c r="BJ143" s="37"/>
      <c r="BK143" s="38"/>
      <c r="BL143" s="37"/>
      <c r="BM143" s="37"/>
      <c r="BN143" s="37"/>
      <c r="BO143" s="37"/>
      <c r="BP143" s="37"/>
      <c r="BQ143" s="38"/>
      <c r="BR143" s="34"/>
      <c r="BS143" s="37"/>
      <c r="BT143" s="37"/>
      <c r="BU143" s="34"/>
      <c r="BV143" s="37"/>
      <c r="BW143" s="34"/>
      <c r="BX143" s="37"/>
      <c r="BY143" s="34"/>
      <c r="BZ143" s="34"/>
      <c r="CA143" s="37"/>
      <c r="CB143" s="37"/>
      <c r="CC143" s="34"/>
      <c r="CD143" s="37"/>
      <c r="CE143" s="37"/>
      <c r="CF143" s="37"/>
      <c r="CG143" s="37"/>
      <c r="CH143" s="37"/>
      <c r="CI143" s="37"/>
      <c r="CJ143" s="37"/>
      <c r="CK143" s="37"/>
      <c r="CL143" s="34"/>
      <c r="CM143" s="37"/>
      <c r="CN143" s="37"/>
      <c r="CO143" s="37"/>
      <c r="CP143" s="34"/>
      <c r="CQ143" s="37"/>
      <c r="CR143" s="37"/>
      <c r="CS143" s="37"/>
      <c r="CT143" s="34"/>
      <c r="CU143" s="37"/>
      <c r="CV143" s="37"/>
      <c r="CW143" s="37"/>
      <c r="CX143" s="37"/>
      <c r="CY143" s="37"/>
      <c r="CZ143" s="37"/>
      <c r="DA143" s="39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9"/>
      <c r="EB143" s="39"/>
      <c r="EC143" s="40"/>
    </row>
    <row r="144" spans="1:133" hidden="1">
      <c r="A144" s="44" t="s">
        <v>138</v>
      </c>
      <c r="B144" s="45" t="s">
        <v>377</v>
      </c>
      <c r="C144" s="20" t="s">
        <v>381</v>
      </c>
      <c r="D144" s="21" t="s">
        <v>379</v>
      </c>
      <c r="E144" s="21"/>
      <c r="F144" s="22" t="s">
        <v>380</v>
      </c>
      <c r="G144" s="23" t="str" cm="1">
        <f t="array" ref="G144">IFERROR(LOOKUP(2,1/(K144:GC144&lt;&gt;""),K$2:DQL$2),"")</f>
        <v>27-Jul</v>
      </c>
      <c r="H144" s="24" cm="1">
        <f t="array" ref="H144">IFERROR(_xlfn.XLOOKUP(TRUE,P144:ED144&lt;&gt;"",P144:ED144,,,-1)," ")</f>
        <v>21.3</v>
      </c>
      <c r="I144" s="25">
        <v>22</v>
      </c>
      <c r="J144" s="25">
        <v>23</v>
      </c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36">
        <v>21</v>
      </c>
      <c r="AF144" s="35"/>
      <c r="AG144" s="34"/>
      <c r="AH144" s="34"/>
      <c r="AI144" s="34"/>
      <c r="AJ144" s="36">
        <v>21.3</v>
      </c>
      <c r="AK144" s="34"/>
      <c r="AL144" s="34"/>
      <c r="AM144" s="34"/>
      <c r="AN144" s="34"/>
      <c r="AO144" s="34"/>
      <c r="AP144" s="34"/>
      <c r="AQ144" s="34"/>
      <c r="AR144" s="34"/>
      <c r="AS144" s="34"/>
      <c r="AT144" s="36"/>
      <c r="AU144" s="34"/>
      <c r="AV144" s="34"/>
      <c r="AW144" s="34"/>
      <c r="AX144" s="34"/>
      <c r="AY144" s="34"/>
      <c r="AZ144" s="36"/>
      <c r="BA144" s="34"/>
      <c r="BB144" s="34"/>
      <c r="BC144" s="34"/>
      <c r="BD144" s="36"/>
      <c r="BE144" s="37"/>
      <c r="BF144" s="37"/>
      <c r="BG144" s="34"/>
      <c r="BH144" s="38"/>
      <c r="BI144" s="37"/>
      <c r="BJ144" s="37"/>
      <c r="BK144" s="37"/>
      <c r="BL144" s="37"/>
      <c r="BM144" s="38"/>
      <c r="BN144" s="37"/>
      <c r="BO144" s="37"/>
      <c r="BP144" s="37"/>
      <c r="BQ144" s="37"/>
      <c r="BR144" s="34"/>
      <c r="BS144" s="37"/>
      <c r="BT144" s="37"/>
      <c r="BU144" s="34"/>
      <c r="BV144" s="37"/>
      <c r="BW144" s="34"/>
      <c r="BX144" s="37"/>
      <c r="BY144" s="34"/>
      <c r="BZ144" s="34"/>
      <c r="CA144" s="37"/>
      <c r="CB144" s="37"/>
      <c r="CC144" s="34"/>
      <c r="CD144" s="37"/>
      <c r="CE144" s="37"/>
      <c r="CF144" s="37"/>
      <c r="CG144" s="37"/>
      <c r="CH144" s="37"/>
      <c r="CI144" s="37"/>
      <c r="CJ144" s="37"/>
      <c r="CK144" s="37"/>
      <c r="CL144" s="34"/>
      <c r="CM144" s="37"/>
      <c r="CN144" s="37"/>
      <c r="CO144" s="37"/>
      <c r="CP144" s="34"/>
      <c r="CQ144" s="37"/>
      <c r="CR144" s="37"/>
      <c r="CS144" s="37"/>
      <c r="CT144" s="34"/>
      <c r="CU144" s="37"/>
      <c r="CV144" s="37"/>
      <c r="CW144" s="37"/>
      <c r="CX144" s="37"/>
      <c r="CY144" s="37"/>
      <c r="CZ144" s="37"/>
      <c r="DA144" s="39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9"/>
      <c r="EB144" s="39"/>
      <c r="EC144" s="40"/>
    </row>
    <row r="145" spans="1:133" hidden="1">
      <c r="A145" s="44" t="s">
        <v>138</v>
      </c>
      <c r="B145" s="45" t="s">
        <v>377</v>
      </c>
      <c r="C145" s="20" t="s">
        <v>382</v>
      </c>
      <c r="D145" s="21" t="s">
        <v>379</v>
      </c>
      <c r="E145" s="21"/>
      <c r="F145" s="22" t="s">
        <v>380</v>
      </c>
      <c r="G145" s="23" t="str" cm="1">
        <f t="array" ref="G145">IFERROR(LOOKUP(2,1/(K145:GC145&lt;&gt;""),K$2:DQL$2),"")</f>
        <v>27-Jul</v>
      </c>
      <c r="H145" s="24" cm="1">
        <f t="array" ref="H145">IFERROR(_xlfn.XLOOKUP(TRUE,P145:ED145&lt;&gt;"",P145:ED145,,,-1)," ")</f>
        <v>21.5</v>
      </c>
      <c r="I145" s="25">
        <v>22</v>
      </c>
      <c r="J145" s="25">
        <v>23</v>
      </c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34"/>
      <c r="AF145" s="35"/>
      <c r="AG145" s="34"/>
      <c r="AH145" s="34"/>
      <c r="AI145" s="34"/>
      <c r="AJ145" s="36">
        <v>21.5</v>
      </c>
      <c r="AK145" s="34"/>
      <c r="AL145" s="34"/>
      <c r="AM145" s="34"/>
      <c r="AN145" s="34"/>
      <c r="AO145" s="34"/>
      <c r="AP145" s="34"/>
      <c r="AQ145" s="34"/>
      <c r="AR145" s="34"/>
      <c r="AS145" s="34"/>
      <c r="AT145" s="36"/>
      <c r="AU145" s="34"/>
      <c r="AV145" s="34"/>
      <c r="AW145" s="34"/>
      <c r="AX145" s="34"/>
      <c r="AY145" s="34"/>
      <c r="AZ145" s="34"/>
      <c r="BA145" s="34"/>
      <c r="BB145" s="34"/>
      <c r="BC145" s="34"/>
      <c r="BD145" s="36"/>
      <c r="BE145" s="37"/>
      <c r="BF145" s="37"/>
      <c r="BG145" s="34"/>
      <c r="BH145" s="38"/>
      <c r="BI145" s="37"/>
      <c r="BJ145" s="37"/>
      <c r="BK145" s="38"/>
      <c r="BL145" s="37"/>
      <c r="BM145" s="38"/>
      <c r="BN145" s="37"/>
      <c r="BO145" s="37"/>
      <c r="BP145" s="37"/>
      <c r="BQ145" s="38"/>
      <c r="BR145" s="34"/>
      <c r="BS145" s="37"/>
      <c r="BT145" s="37"/>
      <c r="BU145" s="34"/>
      <c r="BV145" s="37"/>
      <c r="BW145" s="34"/>
      <c r="BX145" s="37"/>
      <c r="BY145" s="34"/>
      <c r="BZ145" s="34"/>
      <c r="CA145" s="37"/>
      <c r="CB145" s="37"/>
      <c r="CC145" s="34"/>
      <c r="CD145" s="37"/>
      <c r="CE145" s="37"/>
      <c r="CF145" s="37"/>
      <c r="CG145" s="37"/>
      <c r="CH145" s="37"/>
      <c r="CI145" s="37"/>
      <c r="CJ145" s="37"/>
      <c r="CK145" s="37"/>
      <c r="CL145" s="34"/>
      <c r="CM145" s="37"/>
      <c r="CN145" s="37"/>
      <c r="CO145" s="37"/>
      <c r="CP145" s="34"/>
      <c r="CQ145" s="37"/>
      <c r="CR145" s="37"/>
      <c r="CS145" s="37"/>
      <c r="CT145" s="34"/>
      <c r="CU145" s="37"/>
      <c r="CV145" s="37"/>
      <c r="CW145" s="37"/>
      <c r="CX145" s="37"/>
      <c r="CY145" s="37"/>
      <c r="CZ145" s="37"/>
      <c r="DA145" s="49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  <c r="DZ145" s="37"/>
      <c r="EA145" s="39"/>
      <c r="EB145" s="39"/>
      <c r="EC145" s="40"/>
    </row>
    <row r="146" spans="1:133" hidden="1">
      <c r="A146" s="44" t="s">
        <v>138</v>
      </c>
      <c r="B146" s="45" t="s">
        <v>383</v>
      </c>
      <c r="C146" s="20" t="s">
        <v>384</v>
      </c>
      <c r="D146" s="21" t="s">
        <v>385</v>
      </c>
      <c r="E146" s="21"/>
      <c r="F146" s="22" t="s">
        <v>137</v>
      </c>
      <c r="G146" s="23" t="str" cm="1">
        <f t="array" ref="G146">IFERROR(LOOKUP(2,1/(K146:GC146&lt;&gt;""),K$2:DQL$2),"")</f>
        <v>11-Aug</v>
      </c>
      <c r="H146" s="24" cm="1">
        <f t="array" ref="H146">IFERROR(_xlfn.XLOOKUP(TRUE,P146:ED146&lt;&gt;"",P146:ED146,,,-1)," ")</f>
        <v>21.1</v>
      </c>
      <c r="I146" s="25">
        <v>22</v>
      </c>
      <c r="J146" s="25">
        <v>23</v>
      </c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34"/>
      <c r="AF146" s="35">
        <v>15</v>
      </c>
      <c r="AG146" s="34"/>
      <c r="AH146" s="34"/>
      <c r="AI146" s="34"/>
      <c r="AJ146" s="34"/>
      <c r="AK146" s="34"/>
      <c r="AL146" s="34"/>
      <c r="AM146" s="34"/>
      <c r="AN146" s="34">
        <v>16.899999999999999</v>
      </c>
      <c r="AO146" s="34"/>
      <c r="AP146" s="34"/>
      <c r="AQ146" s="34"/>
      <c r="AR146" s="34"/>
      <c r="AS146" s="34">
        <v>19.399999999999999</v>
      </c>
      <c r="AT146" s="36">
        <v>20</v>
      </c>
      <c r="AU146" s="34"/>
      <c r="AV146" s="34"/>
      <c r="AW146" s="34"/>
      <c r="AX146" s="34"/>
      <c r="AY146" s="36">
        <v>21.1</v>
      </c>
      <c r="AZ146" s="34"/>
      <c r="BA146" s="34"/>
      <c r="BB146" s="34"/>
      <c r="BC146" s="34"/>
      <c r="BD146" s="34"/>
      <c r="BE146" s="38"/>
      <c r="BF146" s="37"/>
      <c r="BG146" s="34"/>
      <c r="BH146" s="62"/>
      <c r="BI146" s="37"/>
      <c r="BJ146" s="37"/>
      <c r="BK146" s="37"/>
      <c r="BL146" s="37"/>
      <c r="BM146" s="37"/>
      <c r="BN146" s="37"/>
      <c r="BO146" s="38"/>
      <c r="BP146" s="37"/>
      <c r="BQ146" s="37"/>
      <c r="BR146" s="36"/>
      <c r="BS146" s="37"/>
      <c r="BT146" s="37"/>
      <c r="BU146" s="34"/>
      <c r="BV146" s="37"/>
      <c r="BW146" s="34"/>
      <c r="BX146" s="37"/>
      <c r="BY146" s="34"/>
      <c r="BZ146" s="34"/>
      <c r="CA146" s="37"/>
      <c r="CB146" s="37"/>
      <c r="CC146" s="34"/>
      <c r="CD146" s="37"/>
      <c r="CE146" s="37"/>
      <c r="CF146" s="37"/>
      <c r="CG146" s="37"/>
      <c r="CH146" s="37"/>
      <c r="CI146" s="37"/>
      <c r="CJ146" s="37"/>
      <c r="CK146" s="37"/>
      <c r="CL146" s="34"/>
      <c r="CM146" s="37"/>
      <c r="CN146" s="37"/>
      <c r="CO146" s="37"/>
      <c r="CP146" s="34"/>
      <c r="CQ146" s="37"/>
      <c r="CR146" s="37"/>
      <c r="CS146" s="37"/>
      <c r="CT146" s="34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9"/>
      <c r="EB146" s="39"/>
      <c r="EC146" s="40"/>
    </row>
    <row r="147" spans="1:133" hidden="1">
      <c r="A147" s="44" t="s">
        <v>138</v>
      </c>
      <c r="B147" s="45" t="s">
        <v>386</v>
      </c>
      <c r="C147" s="20" t="s">
        <v>387</v>
      </c>
      <c r="D147" s="21" t="s">
        <v>388</v>
      </c>
      <c r="E147" s="21"/>
      <c r="F147" s="22"/>
      <c r="G147" s="23" t="str" cm="1">
        <f t="array" ref="G147">IFERROR(LOOKUP(2,1/(K147:GC147&lt;&gt;""),K$2:DQL$2),"")</f>
        <v>11-Aug</v>
      </c>
      <c r="H147" s="24" cm="1">
        <f t="array" ref="H147">IFERROR(_xlfn.XLOOKUP(TRUE,P147:ED147&lt;&gt;"",P147:ED147,,,-1)," ")</f>
        <v>21.9</v>
      </c>
      <c r="I147" s="25">
        <v>21.5</v>
      </c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34">
        <v>15.7</v>
      </c>
      <c r="AF147" s="35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6">
        <v>21.9</v>
      </c>
      <c r="AZ147" s="34"/>
      <c r="BA147" s="34"/>
      <c r="BB147" s="34"/>
      <c r="BC147" s="34"/>
      <c r="BD147" s="34"/>
      <c r="BE147" s="37"/>
      <c r="BF147" s="37"/>
      <c r="BG147" s="34"/>
      <c r="BH147" s="37"/>
      <c r="BI147" s="37"/>
      <c r="BJ147" s="37"/>
      <c r="BK147" s="37"/>
      <c r="BL147" s="37"/>
      <c r="BM147" s="37"/>
      <c r="BN147" s="38"/>
      <c r="BO147" s="37"/>
      <c r="BP147" s="37"/>
      <c r="BQ147" s="37"/>
      <c r="BR147" s="34"/>
      <c r="BS147" s="37"/>
      <c r="BT147" s="37"/>
      <c r="BU147" s="34"/>
      <c r="BV147" s="37"/>
      <c r="BW147" s="34"/>
      <c r="BX147" s="37"/>
      <c r="BY147" s="34"/>
      <c r="BZ147" s="36"/>
      <c r="CA147" s="37"/>
      <c r="CB147" s="37"/>
      <c r="CC147" s="34"/>
      <c r="CD147" s="37"/>
      <c r="CE147" s="37"/>
      <c r="CF147" s="37"/>
      <c r="CG147" s="37"/>
      <c r="CH147" s="37"/>
      <c r="CI147" s="37"/>
      <c r="CJ147" s="37"/>
      <c r="CK147" s="37"/>
      <c r="CL147" s="34"/>
      <c r="CM147" s="37"/>
      <c r="CN147" s="37"/>
      <c r="CO147" s="37"/>
      <c r="CP147" s="34"/>
      <c r="CQ147" s="37"/>
      <c r="CR147" s="37"/>
      <c r="CS147" s="37"/>
      <c r="CT147" s="34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9"/>
      <c r="EB147" s="39"/>
      <c r="EC147" s="40"/>
    </row>
    <row r="148" spans="1:133" hidden="1">
      <c r="A148" s="44" t="s">
        <v>138</v>
      </c>
      <c r="B148" s="45" t="s">
        <v>389</v>
      </c>
      <c r="C148" s="20" t="s">
        <v>390</v>
      </c>
      <c r="D148" s="21" t="s">
        <v>391</v>
      </c>
      <c r="E148" s="21"/>
      <c r="F148" s="22" t="s">
        <v>137</v>
      </c>
      <c r="G148" s="23" t="str" cm="1">
        <f t="array" ref="G148">IFERROR(LOOKUP(2,1/(K148:GC148&lt;&gt;""),K$2:DQL$2),"")</f>
        <v>31-Jul</v>
      </c>
      <c r="H148" s="24" cm="1">
        <f t="array" ref="H148">IFERROR(_xlfn.XLOOKUP(TRUE,P148:ED148&lt;&gt;"",P148:ED148,,,-1)," ")</f>
        <v>23.5</v>
      </c>
      <c r="I148" s="25">
        <v>22</v>
      </c>
      <c r="J148" s="25">
        <v>23</v>
      </c>
      <c r="K148" s="25"/>
      <c r="L148" s="25"/>
      <c r="M148" s="25"/>
      <c r="N148" s="25"/>
      <c r="O148" s="25"/>
      <c r="P148" s="25"/>
      <c r="Q148" s="25"/>
      <c r="R148" s="25">
        <v>15.4</v>
      </c>
      <c r="S148" s="25"/>
      <c r="T148" s="25"/>
      <c r="U148" s="25"/>
      <c r="V148" s="25"/>
      <c r="W148" s="25"/>
      <c r="X148" s="25">
        <v>18.399999999999999</v>
      </c>
      <c r="Y148" s="25"/>
      <c r="Z148" s="25"/>
      <c r="AA148" s="25"/>
      <c r="AB148" s="25"/>
      <c r="AC148" s="25"/>
      <c r="AD148" s="25"/>
      <c r="AE148" s="248">
        <v>22.3</v>
      </c>
      <c r="AF148" s="61">
        <v>20.100000000000001</v>
      </c>
      <c r="AG148" s="34"/>
      <c r="AH148" s="34"/>
      <c r="AI148" s="34"/>
      <c r="AJ148" s="34"/>
      <c r="AK148" s="34">
        <v>21.4</v>
      </c>
      <c r="AL148" s="34"/>
      <c r="AM148" s="34"/>
      <c r="AN148" s="36">
        <v>23.5</v>
      </c>
      <c r="AO148" s="34"/>
      <c r="AP148" s="34"/>
      <c r="AQ148" s="34"/>
      <c r="AR148" s="34"/>
      <c r="AS148" s="36"/>
      <c r="AT148" s="36"/>
      <c r="AU148" s="34"/>
      <c r="AV148" s="34"/>
      <c r="AW148" s="34"/>
      <c r="AX148" s="34"/>
      <c r="AY148" s="34"/>
      <c r="AZ148" s="34"/>
      <c r="BA148" s="34"/>
      <c r="BB148" s="34"/>
      <c r="BC148" s="34"/>
      <c r="BD148" s="36"/>
      <c r="BE148" s="37"/>
      <c r="BF148" s="37"/>
      <c r="BG148" s="34"/>
      <c r="BH148" s="37"/>
      <c r="BI148" s="37"/>
      <c r="BJ148" s="37"/>
      <c r="BK148" s="37"/>
      <c r="BL148" s="37"/>
      <c r="BM148" s="37"/>
      <c r="BN148" s="38"/>
      <c r="BO148" s="37"/>
      <c r="BP148" s="37"/>
      <c r="BQ148" s="37"/>
      <c r="BR148" s="34"/>
      <c r="BS148" s="37"/>
      <c r="BT148" s="37"/>
      <c r="BU148" s="34"/>
      <c r="BV148" s="37"/>
      <c r="BW148" s="34"/>
      <c r="BX148" s="37"/>
      <c r="BY148" s="34"/>
      <c r="BZ148" s="36"/>
      <c r="CA148" s="37"/>
      <c r="CB148" s="37"/>
      <c r="CC148" s="34"/>
      <c r="CD148" s="37"/>
      <c r="CE148" s="37"/>
      <c r="CF148" s="37"/>
      <c r="CG148" s="37"/>
      <c r="CH148" s="37"/>
      <c r="CI148" s="37"/>
      <c r="CJ148" s="37"/>
      <c r="CK148" s="37"/>
      <c r="CL148" s="34"/>
      <c r="CM148" s="37"/>
      <c r="CN148" s="37"/>
      <c r="CO148" s="37"/>
      <c r="CP148" s="34"/>
      <c r="CQ148" s="37"/>
      <c r="CR148" s="37"/>
      <c r="CS148" s="37"/>
      <c r="CT148" s="34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9"/>
      <c r="EB148" s="39"/>
      <c r="EC148" s="40"/>
    </row>
    <row r="149" spans="1:133" hidden="1">
      <c r="A149" s="44"/>
      <c r="B149" s="22"/>
      <c r="C149" s="20" t="s">
        <v>392</v>
      </c>
      <c r="D149" s="21" t="s">
        <v>393</v>
      </c>
      <c r="E149" s="21"/>
      <c r="F149" s="22"/>
      <c r="G149" s="23" t="str" cm="1">
        <f t="array" ref="G149">IFERROR(LOOKUP(2,1/(K149:GC149&lt;&gt;""),K$2:DQL$2),"")</f>
        <v>12-Aug</v>
      </c>
      <c r="H149" s="24" cm="1">
        <f t="array" ref="H149">IFERROR(_xlfn.XLOOKUP(TRUE,P149:ED149&lt;&gt;"",P149:ED149,,,-1)," ")</f>
        <v>16.3</v>
      </c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>
        <v>16.3</v>
      </c>
      <c r="BA149" s="34"/>
      <c r="BB149" s="34"/>
      <c r="BC149" s="34"/>
      <c r="BD149" s="34"/>
      <c r="BE149" s="37"/>
      <c r="BF149" s="37"/>
      <c r="BG149" s="34"/>
      <c r="BH149" s="34"/>
      <c r="BI149" s="34"/>
      <c r="BJ149" s="34"/>
      <c r="BK149" s="34"/>
      <c r="BL149" s="34"/>
      <c r="BM149" s="37"/>
      <c r="BN149" s="34"/>
      <c r="BO149" s="34"/>
      <c r="BP149" s="34"/>
      <c r="BQ149" s="34"/>
      <c r="BR149" s="34"/>
      <c r="BS149" s="37"/>
      <c r="BT149" s="37"/>
      <c r="BU149" s="34"/>
      <c r="BV149" s="34"/>
      <c r="BW149" s="34"/>
      <c r="BX149" s="37"/>
      <c r="BY149" s="34"/>
      <c r="BZ149" s="36"/>
      <c r="CA149" s="37"/>
      <c r="CB149" s="37"/>
      <c r="CC149" s="34"/>
      <c r="CD149" s="37"/>
      <c r="CE149" s="37"/>
      <c r="CF149" s="37"/>
      <c r="CG149" s="37"/>
      <c r="CH149" s="37"/>
      <c r="CI149" s="37"/>
      <c r="CJ149" s="37"/>
      <c r="CK149" s="37"/>
      <c r="CL149" s="34"/>
      <c r="CM149" s="37"/>
      <c r="CN149" s="37"/>
      <c r="CO149" s="37"/>
      <c r="CP149" s="34"/>
      <c r="CQ149" s="37"/>
      <c r="CR149" s="34"/>
      <c r="CS149" s="37"/>
      <c r="CT149" s="34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9"/>
      <c r="EB149" s="39"/>
      <c r="EC149" s="40"/>
    </row>
    <row r="150" spans="1:133">
      <c r="A150" s="44"/>
      <c r="B150" s="45" t="s">
        <v>394</v>
      </c>
      <c r="C150" s="20" t="s">
        <v>395</v>
      </c>
      <c r="D150" s="21" t="s">
        <v>396</v>
      </c>
      <c r="E150" s="21"/>
      <c r="F150" s="22" t="s">
        <v>137</v>
      </c>
      <c r="G150" s="23" t="str" cm="1">
        <f t="array" ref="G150">IFERROR(LOOKUP(2,1/(K150:GC150&lt;&gt;""),K$2:DQL$2),"")</f>
        <v>19-Aug</v>
      </c>
      <c r="H150" s="24" cm="1">
        <f t="array" ref="H150">IFERROR(_xlfn.XLOOKUP(TRUE,P150:ED150&lt;&gt;"",P150:ED150,,,-1)," ")</f>
        <v>22.6</v>
      </c>
      <c r="I150" s="25">
        <v>24</v>
      </c>
      <c r="J150" s="25">
        <v>26</v>
      </c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48"/>
      <c r="AF150" s="35"/>
      <c r="AG150" s="34">
        <v>16.2</v>
      </c>
      <c r="AH150" s="34"/>
      <c r="AI150" s="34"/>
      <c r="AJ150" s="34"/>
      <c r="AK150" s="34"/>
      <c r="AL150" s="34">
        <v>17.100000000000001</v>
      </c>
      <c r="AM150" s="34"/>
      <c r="AN150" s="34"/>
      <c r="AO150" s="34"/>
      <c r="AP150" s="34"/>
      <c r="AQ150" s="34"/>
      <c r="AR150" s="34"/>
      <c r="AS150" s="34">
        <v>20.399999999999999</v>
      </c>
      <c r="AT150" s="34"/>
      <c r="AU150" s="34"/>
      <c r="AV150" s="34"/>
      <c r="AW150" s="34"/>
      <c r="AX150" s="34"/>
      <c r="AY150" s="34"/>
      <c r="AZ150" s="34">
        <v>22.4</v>
      </c>
      <c r="BA150" s="34"/>
      <c r="BB150" s="34"/>
      <c r="BC150" s="34"/>
      <c r="BD150" s="34"/>
      <c r="BE150" s="38"/>
      <c r="BF150" s="37"/>
      <c r="BG150" s="34">
        <v>22.6</v>
      </c>
      <c r="BH150" s="37"/>
      <c r="BI150" s="37"/>
      <c r="BJ150" s="34"/>
      <c r="BK150" s="36"/>
      <c r="BL150" s="37"/>
      <c r="BM150" s="37"/>
      <c r="BN150" s="37"/>
      <c r="BO150" s="38"/>
      <c r="BP150" s="34"/>
      <c r="BQ150" s="34"/>
      <c r="BR150" s="34"/>
      <c r="BS150" s="37"/>
      <c r="BT150" s="37"/>
      <c r="BU150" s="34"/>
      <c r="BV150" s="34"/>
      <c r="BW150" s="34"/>
      <c r="BX150" s="37"/>
      <c r="BY150" s="34"/>
      <c r="BZ150" s="34"/>
      <c r="CA150" s="38"/>
      <c r="CB150" s="37"/>
      <c r="CC150" s="34"/>
      <c r="CD150" s="37"/>
      <c r="CE150" s="37"/>
      <c r="CF150" s="37"/>
      <c r="CG150" s="37"/>
      <c r="CH150" s="56"/>
      <c r="CI150" s="37"/>
      <c r="CJ150" s="37"/>
      <c r="CK150" s="38"/>
      <c r="CL150" s="34"/>
      <c r="CM150" s="43"/>
      <c r="CN150" s="37"/>
      <c r="CO150" s="38"/>
      <c r="CP150" s="34"/>
      <c r="CQ150" s="37"/>
      <c r="CR150" s="37"/>
      <c r="CS150" s="37"/>
      <c r="CT150" s="34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9"/>
      <c r="EB150" s="39"/>
      <c r="EC150" s="40"/>
    </row>
    <row r="151" spans="1:133">
      <c r="A151" s="44"/>
      <c r="B151" s="45" t="s">
        <v>397</v>
      </c>
      <c r="C151" s="20" t="s">
        <v>398</v>
      </c>
      <c r="D151" s="21" t="s">
        <v>396</v>
      </c>
      <c r="E151" s="21"/>
      <c r="F151" s="22" t="s">
        <v>137</v>
      </c>
      <c r="G151" s="23" t="str" cm="1">
        <f t="array" ref="G151">IFERROR(LOOKUP(2,1/(K151:GC151&lt;&gt;""),K$2:DQL$2),"")</f>
        <v>18-Aug</v>
      </c>
      <c r="H151" s="24" cm="1">
        <f t="array" ref="H151">IFERROR(_xlfn.XLOOKUP(TRUE,P151:ED151&lt;&gt;"",P151:ED151,,,-1)," ")</f>
        <v>22.9</v>
      </c>
      <c r="I151" s="25">
        <v>24</v>
      </c>
      <c r="J151" s="25">
        <v>26</v>
      </c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48">
        <v>17.3</v>
      </c>
      <c r="AF151" s="35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248">
        <v>22.7</v>
      </c>
      <c r="AR151" s="34"/>
      <c r="AS151" s="34"/>
      <c r="AT151" s="34"/>
      <c r="AU151" s="34"/>
      <c r="AV151" s="34"/>
      <c r="AW151" s="34"/>
      <c r="AX151" s="36">
        <v>22.9</v>
      </c>
      <c r="AY151" s="34"/>
      <c r="AZ151" s="34"/>
      <c r="BA151" s="36">
        <v>23.3</v>
      </c>
      <c r="BB151" s="34"/>
      <c r="BC151" s="34"/>
      <c r="BD151" s="34"/>
      <c r="BE151" s="37"/>
      <c r="BF151" s="38">
        <v>22.9</v>
      </c>
      <c r="BG151" s="34"/>
      <c r="BH151" s="37"/>
      <c r="BI151" s="37"/>
      <c r="BJ151" s="34"/>
      <c r="BK151" s="34"/>
      <c r="BL151" s="37"/>
      <c r="BM151" s="37"/>
      <c r="BN151" s="37"/>
      <c r="BO151" s="34"/>
      <c r="BP151" s="37"/>
      <c r="BQ151" s="34"/>
      <c r="BR151" s="34"/>
      <c r="BS151" s="37"/>
      <c r="BT151" s="37"/>
      <c r="BU151" s="34"/>
      <c r="BV151" s="34"/>
      <c r="BW151" s="34"/>
      <c r="BX151" s="37"/>
      <c r="BY151" s="34"/>
      <c r="BZ151" s="34"/>
      <c r="CA151" s="37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43"/>
      <c r="CN151" s="37"/>
      <c r="CO151" s="37"/>
      <c r="CP151" s="34"/>
      <c r="CQ151" s="37"/>
      <c r="CR151" s="37"/>
      <c r="CS151" s="37"/>
      <c r="CT151" s="34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  <c r="DZ151" s="37"/>
      <c r="EA151" s="39"/>
      <c r="EB151" s="39"/>
      <c r="EC151" s="40"/>
    </row>
    <row r="152" spans="1:133">
      <c r="A152" s="44"/>
      <c r="B152" s="45" t="s">
        <v>397</v>
      </c>
      <c r="C152" s="20" t="s">
        <v>399</v>
      </c>
      <c r="D152" s="21" t="s">
        <v>396</v>
      </c>
      <c r="E152" s="21"/>
      <c r="F152" s="22" t="s">
        <v>137</v>
      </c>
      <c r="G152" s="23" t="str" cm="1">
        <f t="array" ref="G152">IFERROR(LOOKUP(2,1/(K152:GC152&lt;&gt;""),K$2:DQL$2),"")</f>
        <v/>
      </c>
      <c r="H152" s="24" t="str" cm="1">
        <f t="array" ref="H152">IFERROR(_xlfn.XLOOKUP(TRUE,P152:ED152&lt;&gt;"",P152:ED152,,,-1)," ")</f>
        <v xml:space="preserve"> </v>
      </c>
      <c r="I152" s="25">
        <v>24</v>
      </c>
      <c r="J152" s="25">
        <v>26</v>
      </c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34"/>
      <c r="AF152" s="35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7"/>
      <c r="BF152" s="37"/>
      <c r="BG152" s="34"/>
      <c r="BH152" s="37"/>
      <c r="BI152" s="37"/>
      <c r="BJ152" s="34"/>
      <c r="BK152" s="34"/>
      <c r="BL152" s="37"/>
      <c r="BM152" s="37"/>
      <c r="BN152" s="37"/>
      <c r="BO152" s="37"/>
      <c r="BP152" s="37"/>
      <c r="BQ152" s="34"/>
      <c r="BR152" s="34"/>
      <c r="BS152" s="37"/>
      <c r="BT152" s="37"/>
      <c r="BU152" s="34"/>
      <c r="BV152" s="34"/>
      <c r="BW152" s="34"/>
      <c r="BX152" s="38"/>
      <c r="BY152" s="34"/>
      <c r="BZ152" s="34"/>
      <c r="CA152" s="37"/>
      <c r="CB152" s="36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43"/>
      <c r="CN152" s="37"/>
      <c r="CO152" s="37"/>
      <c r="CP152" s="34"/>
      <c r="CQ152" s="37"/>
      <c r="CR152" s="37"/>
      <c r="CS152" s="37"/>
      <c r="CT152" s="34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9"/>
      <c r="EB152" s="39"/>
      <c r="EC152" s="40"/>
    </row>
    <row r="153" spans="1:133">
      <c r="A153" s="44"/>
      <c r="B153" s="45" t="s">
        <v>397</v>
      </c>
      <c r="C153" s="20" t="s">
        <v>400</v>
      </c>
      <c r="D153" s="21" t="s">
        <v>396</v>
      </c>
      <c r="E153" s="21"/>
      <c r="F153" s="22" t="s">
        <v>137</v>
      </c>
      <c r="G153" s="23" t="str" cm="1">
        <f t="array" ref="G153">IFERROR(LOOKUP(2,1/(K153:GC153&lt;&gt;""),K$2:DQL$2),"")</f>
        <v/>
      </c>
      <c r="H153" s="24" t="str" cm="1">
        <f t="array" ref="H153">IFERROR(_xlfn.XLOOKUP(TRUE,P153:ED153&lt;&gt;"",P153:ED153,,,-1)," ")</f>
        <v xml:space="preserve"> </v>
      </c>
      <c r="I153" s="25">
        <v>24</v>
      </c>
      <c r="J153" s="25">
        <v>26</v>
      </c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34"/>
      <c r="AF153" s="35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7"/>
      <c r="BF153" s="37"/>
      <c r="BG153" s="34"/>
      <c r="BH153" s="37"/>
      <c r="BI153" s="37"/>
      <c r="BJ153" s="34"/>
      <c r="BK153" s="34"/>
      <c r="BL153" s="37"/>
      <c r="BM153" s="37"/>
      <c r="BN153" s="37"/>
      <c r="BO153" s="37"/>
      <c r="BP153" s="37"/>
      <c r="BQ153" s="34"/>
      <c r="BR153" s="34"/>
      <c r="BS153" s="37"/>
      <c r="BT153" s="37"/>
      <c r="BU153" s="34"/>
      <c r="BV153" s="34"/>
      <c r="BW153" s="34"/>
      <c r="BX153" s="38"/>
      <c r="BY153" s="34"/>
      <c r="BZ153" s="34"/>
      <c r="CA153" s="37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43"/>
      <c r="CN153" s="37"/>
      <c r="CO153" s="37"/>
      <c r="CP153" s="34"/>
      <c r="CQ153" s="37"/>
      <c r="CR153" s="37"/>
      <c r="CS153" s="37"/>
      <c r="CT153" s="34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9"/>
      <c r="EB153" s="39"/>
      <c r="EC153" s="40"/>
    </row>
    <row r="154" spans="1:133" hidden="1">
      <c r="A154" s="44"/>
      <c r="B154" s="45" t="s">
        <v>401</v>
      </c>
      <c r="C154" s="20" t="s">
        <v>402</v>
      </c>
      <c r="D154" s="21" t="s">
        <v>396</v>
      </c>
      <c r="E154" s="21"/>
      <c r="F154" s="22"/>
      <c r="G154" s="23" t="str" cm="1">
        <f t="array" ref="G154">IFERROR(LOOKUP(2,1/(K154:GC154&lt;&gt;""),K$2:DQL$2),"")</f>
        <v>20-Aug</v>
      </c>
      <c r="H154" s="24" cm="1">
        <f t="array" ref="H154">IFERROR(_xlfn.XLOOKUP(TRUE,P154:ED154&lt;&gt;"",P154:ED154,,,-1)," ")</f>
        <v>23.6</v>
      </c>
      <c r="I154" s="25">
        <v>24.5</v>
      </c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34"/>
      <c r="AF154" s="35"/>
      <c r="AG154" s="34">
        <v>16.399999999999999</v>
      </c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>
        <v>22.5</v>
      </c>
      <c r="AU154" s="34"/>
      <c r="AV154" s="34"/>
      <c r="AW154" s="34"/>
      <c r="AX154" s="34"/>
      <c r="AY154" s="34"/>
      <c r="AZ154" s="34"/>
      <c r="BA154" s="34">
        <v>23.4</v>
      </c>
      <c r="BB154" s="34"/>
      <c r="BC154" s="34"/>
      <c r="BD154" s="34"/>
      <c r="BE154" s="37"/>
      <c r="BF154" s="37"/>
      <c r="BG154" s="34"/>
      <c r="BH154" s="37">
        <v>23.6</v>
      </c>
      <c r="BI154" s="37"/>
      <c r="BJ154" s="34"/>
      <c r="BK154" s="34"/>
      <c r="BL154" s="37"/>
      <c r="BM154" s="37"/>
      <c r="BN154" s="37"/>
      <c r="BO154" s="37"/>
      <c r="BP154" s="37"/>
      <c r="BQ154" s="34"/>
      <c r="BR154" s="34"/>
      <c r="BS154" s="37"/>
      <c r="BT154" s="37"/>
      <c r="BU154" s="34"/>
      <c r="BV154" s="34"/>
      <c r="BW154" s="34"/>
      <c r="BX154" s="37"/>
      <c r="BY154" s="34"/>
      <c r="BZ154" s="34"/>
      <c r="CA154" s="37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43"/>
      <c r="CN154" s="37"/>
      <c r="CO154" s="37"/>
      <c r="CP154" s="34"/>
      <c r="CQ154" s="36"/>
      <c r="CR154" s="37"/>
      <c r="CS154" s="34"/>
      <c r="CT154" s="34"/>
      <c r="CU154" s="37"/>
      <c r="CV154" s="37"/>
      <c r="CW154" s="34"/>
      <c r="CX154" s="37"/>
      <c r="CY154" s="37"/>
      <c r="CZ154" s="38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9"/>
      <c r="EB154" s="39"/>
      <c r="EC154" s="40"/>
    </row>
    <row r="155" spans="1:133">
      <c r="A155" s="44"/>
      <c r="B155" s="45" t="s">
        <v>401</v>
      </c>
      <c r="C155" s="20" t="s">
        <v>403</v>
      </c>
      <c r="D155" s="21" t="s">
        <v>396</v>
      </c>
      <c r="E155" s="21"/>
      <c r="F155" s="22" t="s">
        <v>137</v>
      </c>
      <c r="G155" s="23" t="str" cm="1">
        <f t="array" ref="G155">IFERROR(LOOKUP(2,1/(K155:GC155&lt;&gt;""),K$2:DQL$2),"")</f>
        <v>20-Aug</v>
      </c>
      <c r="H155" s="24" cm="1">
        <f t="array" ref="H155">IFERROR(_xlfn.XLOOKUP(TRUE,P155:ED155&lt;&gt;"",P155:ED155,,,-1)," ")</f>
        <v>22</v>
      </c>
      <c r="I155" s="25">
        <v>24</v>
      </c>
      <c r="J155" s="25">
        <v>26</v>
      </c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34"/>
      <c r="AF155" s="35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>
        <v>20.100000000000001</v>
      </c>
      <c r="AU155" s="34"/>
      <c r="AV155" s="34"/>
      <c r="AW155" s="34"/>
      <c r="AX155" s="34"/>
      <c r="AY155" s="34"/>
      <c r="AZ155" s="34"/>
      <c r="BA155" s="34">
        <v>21.5</v>
      </c>
      <c r="BB155" s="34"/>
      <c r="BC155" s="34"/>
      <c r="BD155" s="34"/>
      <c r="BE155" s="37"/>
      <c r="BF155" s="37"/>
      <c r="BG155" s="34"/>
      <c r="BH155" s="37">
        <v>22</v>
      </c>
      <c r="BI155" s="37"/>
      <c r="BJ155" s="34"/>
      <c r="BK155" s="34"/>
      <c r="BL155" s="37"/>
      <c r="BM155" s="37"/>
      <c r="BN155" s="37"/>
      <c r="BO155" s="37"/>
      <c r="BP155" s="37"/>
      <c r="BQ155" s="34"/>
      <c r="BR155" s="34"/>
      <c r="BS155" s="37"/>
      <c r="BT155" s="37"/>
      <c r="BU155" s="34"/>
      <c r="BV155" s="34"/>
      <c r="BW155" s="34"/>
      <c r="BX155" s="37"/>
      <c r="BY155" s="34"/>
      <c r="BZ155" s="34"/>
      <c r="CA155" s="37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43"/>
      <c r="CN155" s="37"/>
      <c r="CO155" s="37"/>
      <c r="CP155" s="34"/>
      <c r="CQ155" s="36"/>
      <c r="CR155" s="37"/>
      <c r="CS155" s="34"/>
      <c r="CT155" s="34"/>
      <c r="CU155" s="37"/>
      <c r="CV155" s="37"/>
      <c r="CW155" s="34"/>
      <c r="CX155" s="37"/>
      <c r="CY155" s="37"/>
      <c r="CZ155" s="38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9"/>
      <c r="EB155" s="39"/>
      <c r="EC155" s="40"/>
    </row>
    <row r="156" spans="1:133" hidden="1">
      <c r="A156" s="44"/>
      <c r="B156" s="45" t="s">
        <v>404</v>
      </c>
      <c r="C156" s="20" t="s">
        <v>405</v>
      </c>
      <c r="D156" s="21" t="s">
        <v>396</v>
      </c>
      <c r="E156" s="21"/>
      <c r="F156" s="22" t="s">
        <v>340</v>
      </c>
      <c r="G156" s="23" t="str" cm="1">
        <f t="array" ref="G156">IFERROR(LOOKUP(2,1/(K156:GC156&lt;&gt;""),K$2:DQL$2),"")</f>
        <v>18-Aug</v>
      </c>
      <c r="H156" s="24" cm="1">
        <f t="array" ref="H156">IFERROR(_xlfn.XLOOKUP(TRUE,P156:ED156&lt;&gt;"",P156:ED156,,,-1)," ")</f>
        <v>21.6</v>
      </c>
      <c r="I156" s="25">
        <v>25</v>
      </c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34"/>
      <c r="AF156" s="35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7"/>
      <c r="BF156" s="298">
        <v>21.6</v>
      </c>
      <c r="BG156" s="34"/>
      <c r="BH156" s="37"/>
      <c r="BI156" s="37"/>
      <c r="BJ156" s="34"/>
      <c r="BK156" s="34"/>
      <c r="BL156" s="37"/>
      <c r="BM156" s="37"/>
      <c r="BN156" s="37"/>
      <c r="BO156" s="37"/>
      <c r="BP156" s="37"/>
      <c r="BQ156" s="34"/>
      <c r="BR156" s="34"/>
      <c r="BS156" s="37"/>
      <c r="BT156" s="37"/>
      <c r="BU156" s="34"/>
      <c r="BV156" s="34"/>
      <c r="BW156" s="34"/>
      <c r="BX156" s="37"/>
      <c r="BY156" s="34"/>
      <c r="BZ156" s="34"/>
      <c r="CA156" s="37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43"/>
      <c r="CN156" s="37"/>
      <c r="CO156" s="37"/>
      <c r="CP156" s="34"/>
      <c r="CQ156" s="37"/>
      <c r="CR156" s="37"/>
      <c r="CS156" s="37"/>
      <c r="CT156" s="34"/>
      <c r="CU156" s="37"/>
      <c r="CV156" s="37"/>
      <c r="CW156" s="37"/>
      <c r="CX156" s="37"/>
      <c r="CY156" s="37"/>
      <c r="CZ156" s="37"/>
      <c r="DA156" s="39"/>
      <c r="DB156" s="37"/>
      <c r="DC156" s="37"/>
      <c r="DD156" s="38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9"/>
      <c r="EB156" s="39"/>
      <c r="EC156" s="40"/>
    </row>
    <row r="157" spans="1:133" hidden="1">
      <c r="A157" s="44"/>
      <c r="B157" s="45" t="s">
        <v>404</v>
      </c>
      <c r="C157" s="20" t="s">
        <v>406</v>
      </c>
      <c r="D157" s="21" t="s">
        <v>396</v>
      </c>
      <c r="E157" s="21"/>
      <c r="F157" s="22" t="s">
        <v>340</v>
      </c>
      <c r="G157" s="23" t="str" cm="1">
        <f t="array" ref="G157">IFERROR(LOOKUP(2,1/(K157:GC157&lt;&gt;""),K$2:DQL$2),"")</f>
        <v>18-Aug</v>
      </c>
      <c r="H157" s="24" cm="1">
        <f t="array" ref="H157">IFERROR(_xlfn.XLOOKUP(TRUE,P157:ED157&lt;&gt;"",P157:ED157,,,-1)," ")</f>
        <v>21.9</v>
      </c>
      <c r="I157" s="25">
        <v>25</v>
      </c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34"/>
      <c r="AF157" s="35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>
        <v>20.3</v>
      </c>
      <c r="AZ157" s="34"/>
      <c r="BA157" s="34"/>
      <c r="BB157" s="34"/>
      <c r="BC157" s="34"/>
      <c r="BD157" s="34"/>
      <c r="BE157" s="37"/>
      <c r="BF157" s="298">
        <v>21.9</v>
      </c>
      <c r="BG157" s="34"/>
      <c r="BH157" s="37"/>
      <c r="BI157" s="37"/>
      <c r="BJ157" s="34"/>
      <c r="BK157" s="34"/>
      <c r="BL157" s="37"/>
      <c r="BM157" s="37"/>
      <c r="BN157" s="37"/>
      <c r="BO157" s="37"/>
      <c r="BP157" s="37"/>
      <c r="BQ157" s="34"/>
      <c r="BR157" s="34"/>
      <c r="BS157" s="37"/>
      <c r="BT157" s="37"/>
      <c r="BU157" s="34"/>
      <c r="BV157" s="34"/>
      <c r="BW157" s="34"/>
      <c r="BX157" s="37"/>
      <c r="BY157" s="34"/>
      <c r="BZ157" s="34"/>
      <c r="CA157" s="37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43"/>
      <c r="CN157" s="37"/>
      <c r="CO157" s="37"/>
      <c r="CP157" s="34"/>
      <c r="CQ157" s="37"/>
      <c r="CR157" s="37"/>
      <c r="CS157" s="37"/>
      <c r="CT157" s="34"/>
      <c r="CU157" s="37"/>
      <c r="CV157" s="37"/>
      <c r="CW157" s="37"/>
      <c r="CX157" s="37"/>
      <c r="CY157" s="37"/>
      <c r="CZ157" s="37"/>
      <c r="DA157" s="39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9"/>
      <c r="EB157" s="39"/>
      <c r="EC157" s="40"/>
    </row>
    <row r="158" spans="1:133" ht="15">
      <c r="A158" s="44"/>
      <c r="B158" s="45" t="s">
        <v>407</v>
      </c>
      <c r="C158" t="s">
        <v>408</v>
      </c>
      <c r="D158" s="21" t="s">
        <v>409</v>
      </c>
      <c r="E158" s="21"/>
      <c r="F158" s="22" t="s">
        <v>137</v>
      </c>
      <c r="G158" s="23" t="str" cm="1">
        <f t="array" ref="G158">IFERROR(LOOKUP(2,1/(K158:GC158&lt;&gt;""),K$2:DQL$2),"")</f>
        <v>20-Jul</v>
      </c>
      <c r="H158" s="24" cm="1">
        <f t="array" ref="H158">IFERROR(_xlfn.XLOOKUP(TRUE,P158:ED158&lt;&gt;"",P158:ED158,,,-1)," ")</f>
        <v>19</v>
      </c>
      <c r="I158" s="25">
        <v>24</v>
      </c>
      <c r="J158" s="25">
        <v>26</v>
      </c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>
        <v>19</v>
      </c>
      <c r="AD158" s="25"/>
      <c r="AE158" s="34"/>
      <c r="AF158" s="35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8"/>
      <c r="BF158" s="38"/>
      <c r="BG158" s="34"/>
      <c r="BH158" s="36"/>
      <c r="BI158" s="34"/>
      <c r="BJ158" s="38"/>
      <c r="BK158" s="34"/>
      <c r="BL158" s="36"/>
      <c r="BM158" s="37"/>
      <c r="BN158" s="37"/>
      <c r="BO158" s="34"/>
      <c r="BP158" s="34"/>
      <c r="BQ158" s="36"/>
      <c r="BR158" s="36"/>
      <c r="BS158" s="37"/>
      <c r="BT158" s="37"/>
      <c r="BU158" s="34"/>
      <c r="BV158" s="36"/>
      <c r="BW158" s="34"/>
      <c r="BX158" s="37"/>
      <c r="BY158" s="34"/>
      <c r="BZ158" s="36"/>
      <c r="CA158" s="37"/>
      <c r="CB158" s="37"/>
      <c r="CC158" s="34"/>
      <c r="CD158" s="37"/>
      <c r="CE158" s="37"/>
      <c r="CF158" s="37"/>
      <c r="CG158" s="37"/>
      <c r="CH158" s="37"/>
      <c r="CI158" s="37"/>
      <c r="CJ158" s="37"/>
      <c r="CK158" s="37"/>
      <c r="CL158" s="34"/>
      <c r="CM158" s="37"/>
      <c r="CN158" s="37"/>
      <c r="CO158" s="37"/>
      <c r="CP158" s="34"/>
      <c r="CQ158" s="37"/>
      <c r="CR158" s="37"/>
      <c r="CS158" s="37"/>
      <c r="CT158" s="34"/>
      <c r="CU158" s="37"/>
      <c r="CV158" s="37"/>
      <c r="CW158" s="37"/>
      <c r="CX158" s="37"/>
      <c r="CY158" s="37"/>
      <c r="CZ158" s="37"/>
      <c r="DA158" s="39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  <c r="DZ158" s="37"/>
      <c r="EA158" s="39"/>
      <c r="EB158" s="39"/>
      <c r="EC158" s="40"/>
    </row>
    <row r="159" spans="1:133">
      <c r="A159" s="44"/>
      <c r="B159" s="45" t="s">
        <v>407</v>
      </c>
      <c r="C159" s="20" t="s">
        <v>410</v>
      </c>
      <c r="D159" s="21" t="s">
        <v>409</v>
      </c>
      <c r="E159" s="21"/>
      <c r="F159" s="22" t="s">
        <v>137</v>
      </c>
      <c r="G159" s="23" t="str" cm="1">
        <f t="array" ref="G159">IFERROR(LOOKUP(2,1/(K159:GC159&lt;&gt;""),K$2:DQL$2),"")</f>
        <v>12-Aug</v>
      </c>
      <c r="H159" s="24" cm="1">
        <f t="array" ref="H159">IFERROR(_xlfn.XLOOKUP(TRUE,P159:ED159&lt;&gt;"",P159:ED159,,,-1)," ")</f>
        <v>25.6</v>
      </c>
      <c r="I159" s="25">
        <v>24</v>
      </c>
      <c r="J159" s="25">
        <v>26</v>
      </c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>
        <v>19</v>
      </c>
      <c r="AD159" s="25"/>
      <c r="AE159" s="34">
        <v>18.399999999999999</v>
      </c>
      <c r="AF159" s="35"/>
      <c r="AG159" s="34"/>
      <c r="AH159" s="34"/>
      <c r="AI159" s="34"/>
      <c r="AJ159" s="34"/>
      <c r="AK159" s="34"/>
      <c r="AL159" s="34">
        <v>20.100000000000001</v>
      </c>
      <c r="AM159" s="34"/>
      <c r="AN159" s="34"/>
      <c r="AO159" s="34"/>
      <c r="AP159" s="34"/>
      <c r="AQ159" s="34"/>
      <c r="AR159" s="34"/>
      <c r="AS159" s="248">
        <v>23.4</v>
      </c>
      <c r="AT159" s="34">
        <v>22</v>
      </c>
      <c r="AU159" s="34"/>
      <c r="AV159" s="34"/>
      <c r="AW159" s="34"/>
      <c r="AX159" s="34"/>
      <c r="AY159" s="34"/>
      <c r="AZ159" s="34">
        <v>25.6</v>
      </c>
      <c r="BA159" s="34"/>
      <c r="BB159" s="34"/>
      <c r="BC159" s="34"/>
      <c r="BD159" s="34"/>
      <c r="BE159" s="38"/>
      <c r="BF159" s="38"/>
      <c r="BG159" s="34"/>
      <c r="BH159" s="36"/>
      <c r="BI159" s="34"/>
      <c r="BJ159" s="38"/>
      <c r="BK159" s="34"/>
      <c r="BL159" s="36"/>
      <c r="BM159" s="37"/>
      <c r="BN159" s="37"/>
      <c r="BO159" s="34"/>
      <c r="BP159" s="34"/>
      <c r="BQ159" s="36"/>
      <c r="BR159" s="36"/>
      <c r="BS159" s="37"/>
      <c r="BT159" s="37"/>
      <c r="BU159" s="34"/>
      <c r="BV159" s="36"/>
      <c r="BW159" s="34"/>
      <c r="BX159" s="37"/>
      <c r="BY159" s="34"/>
      <c r="BZ159" s="36"/>
      <c r="CA159" s="37"/>
      <c r="CB159" s="37"/>
      <c r="CC159" s="34"/>
      <c r="CD159" s="37"/>
      <c r="CE159" s="37"/>
      <c r="CF159" s="37"/>
      <c r="CG159" s="37"/>
      <c r="CH159" s="37"/>
      <c r="CI159" s="37"/>
      <c r="CJ159" s="37"/>
      <c r="CK159" s="37"/>
      <c r="CL159" s="34"/>
      <c r="CM159" s="37"/>
      <c r="CN159" s="37"/>
      <c r="CO159" s="37"/>
      <c r="CP159" s="34"/>
      <c r="CQ159" s="37"/>
      <c r="CR159" s="37"/>
      <c r="CS159" s="37"/>
      <c r="CT159" s="34"/>
      <c r="CU159" s="37"/>
      <c r="CV159" s="37"/>
      <c r="CW159" s="37"/>
      <c r="CX159" s="37"/>
      <c r="CY159" s="37"/>
      <c r="CZ159" s="37"/>
      <c r="DA159" s="39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9"/>
      <c r="EB159" s="39"/>
      <c r="EC159" s="40"/>
    </row>
    <row r="160" spans="1:133">
      <c r="A160" s="44"/>
      <c r="B160" s="45" t="s">
        <v>407</v>
      </c>
      <c r="C160" s="289" t="s">
        <v>411</v>
      </c>
      <c r="D160" s="21" t="s">
        <v>409</v>
      </c>
      <c r="E160" s="21"/>
      <c r="F160" s="22" t="s">
        <v>137</v>
      </c>
      <c r="G160" s="23" t="str" cm="1">
        <f t="array" ref="G160">IFERROR(LOOKUP(2,1/(K160:GC160&lt;&gt;""),K$2:DQL$2),"")</f>
        <v>11-Aug</v>
      </c>
      <c r="H160" s="24" cm="1">
        <f t="array" ref="H160">IFERROR(_xlfn.XLOOKUP(TRUE,P160:ED160&lt;&gt;"",P160:ED160,,,-1)," ")</f>
        <v>25.7</v>
      </c>
      <c r="I160" s="25">
        <v>24</v>
      </c>
      <c r="J160" s="25">
        <v>26</v>
      </c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>
        <v>19</v>
      </c>
      <c r="AD160" s="25"/>
      <c r="AE160" s="34">
        <v>19.3</v>
      </c>
      <c r="AF160" s="35"/>
      <c r="AG160" s="34"/>
      <c r="AH160" s="34"/>
      <c r="AI160" s="34"/>
      <c r="AJ160" s="34"/>
      <c r="AK160" s="34"/>
      <c r="AL160" s="34">
        <v>21.4</v>
      </c>
      <c r="AM160" s="34"/>
      <c r="AN160" s="34"/>
      <c r="AO160" s="34"/>
      <c r="AP160" s="34"/>
      <c r="AQ160" s="34"/>
      <c r="AR160" s="34"/>
      <c r="AS160" s="248">
        <v>23.8</v>
      </c>
      <c r="AT160" s="36">
        <v>25</v>
      </c>
      <c r="AU160" s="34"/>
      <c r="AV160" s="34"/>
      <c r="AW160" s="34"/>
      <c r="AX160" s="34"/>
      <c r="AY160" s="36">
        <v>25.7</v>
      </c>
      <c r="AZ160" s="34"/>
      <c r="BA160" s="34"/>
      <c r="BB160" s="34"/>
      <c r="BC160" s="34"/>
      <c r="BD160" s="34"/>
      <c r="BE160" s="38"/>
      <c r="BF160" s="38"/>
      <c r="BG160" s="34"/>
      <c r="BH160" s="36"/>
      <c r="BI160" s="34"/>
      <c r="BJ160" s="38"/>
      <c r="BK160" s="34"/>
      <c r="BL160" s="36"/>
      <c r="BM160" s="37"/>
      <c r="BN160" s="37"/>
      <c r="BO160" s="34"/>
      <c r="BP160" s="34"/>
      <c r="BQ160" s="36"/>
      <c r="BR160" s="36"/>
      <c r="BS160" s="37"/>
      <c r="BT160" s="37"/>
      <c r="BU160" s="34"/>
      <c r="BV160" s="36"/>
      <c r="BW160" s="34"/>
      <c r="BX160" s="37"/>
      <c r="BY160" s="34"/>
      <c r="BZ160" s="36"/>
      <c r="CA160" s="37"/>
      <c r="CB160" s="37"/>
      <c r="CC160" s="34"/>
      <c r="CD160" s="37"/>
      <c r="CE160" s="37"/>
      <c r="CF160" s="37"/>
      <c r="CG160" s="37"/>
      <c r="CH160" s="37"/>
      <c r="CI160" s="37"/>
      <c r="CJ160" s="37"/>
      <c r="CK160" s="37"/>
      <c r="CL160" s="34"/>
      <c r="CM160" s="37"/>
      <c r="CN160" s="37"/>
      <c r="CO160" s="37"/>
      <c r="CP160" s="34"/>
      <c r="CQ160" s="37"/>
      <c r="CR160" s="37"/>
      <c r="CS160" s="37"/>
      <c r="CT160" s="34"/>
      <c r="CU160" s="37"/>
      <c r="CV160" s="37"/>
      <c r="CW160" s="37"/>
      <c r="CX160" s="37"/>
      <c r="CY160" s="37"/>
      <c r="CZ160" s="37"/>
      <c r="DA160" s="39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9"/>
      <c r="EB160" s="39"/>
      <c r="EC160" s="40"/>
    </row>
    <row r="161" spans="1:133" hidden="1">
      <c r="A161" s="44"/>
      <c r="B161" s="22" t="s">
        <v>412</v>
      </c>
      <c r="C161" s="20" t="s">
        <v>413</v>
      </c>
      <c r="D161" s="21" t="s">
        <v>409</v>
      </c>
      <c r="E161" s="21"/>
      <c r="F161" s="22" t="s">
        <v>198</v>
      </c>
      <c r="G161" s="23" t="str" cm="1">
        <f t="array" ref="G161">IFERROR(LOOKUP(2,1/(K161:GC161&lt;&gt;""),K$2:DQL$2),"")</f>
        <v>1-Aug</v>
      </c>
      <c r="H161" s="24" cm="1">
        <f t="array" ref="H161">IFERROR(_xlfn.XLOOKUP(TRUE,P161:ED161&lt;&gt;"",P161:ED161,,,-1)," ")</f>
        <v>23.8</v>
      </c>
      <c r="I161" s="25">
        <v>22.5</v>
      </c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248">
        <v>23.8</v>
      </c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7"/>
      <c r="BF161" s="37"/>
      <c r="BG161" s="83"/>
      <c r="BH161" s="34"/>
      <c r="BI161" s="34"/>
      <c r="BJ161" s="37"/>
      <c r="BK161" s="34"/>
      <c r="BL161" s="34"/>
      <c r="BM161" s="37"/>
      <c r="BN161" s="37"/>
      <c r="BO161" s="85"/>
      <c r="BP161" s="34"/>
      <c r="BQ161" s="34"/>
      <c r="BR161" s="34"/>
      <c r="BS161" s="37"/>
      <c r="BT161" s="37"/>
      <c r="BU161" s="34"/>
      <c r="BV161" s="34"/>
      <c r="BW161" s="34"/>
      <c r="BX161" s="37"/>
      <c r="BY161" s="34"/>
      <c r="BZ161" s="34"/>
      <c r="CA161" s="37"/>
      <c r="CB161" s="37"/>
      <c r="CC161" s="34"/>
      <c r="CD161" s="37"/>
      <c r="CE161" s="37"/>
      <c r="CF161" s="37"/>
      <c r="CG161" s="37"/>
      <c r="CH161" s="37"/>
      <c r="CI161" s="37"/>
      <c r="CJ161" s="37"/>
      <c r="CK161" s="37"/>
      <c r="CL161" s="34"/>
      <c r="CM161" s="37"/>
      <c r="CN161" s="37"/>
      <c r="CO161" s="37"/>
      <c r="CP161" s="34"/>
      <c r="CQ161" s="37"/>
      <c r="CR161" s="37"/>
      <c r="CS161" s="37"/>
      <c r="CT161" s="34"/>
      <c r="CU161" s="37"/>
      <c r="CV161" s="37"/>
      <c r="CW161" s="37"/>
      <c r="CX161" s="37"/>
      <c r="CY161" s="37"/>
      <c r="CZ161" s="37"/>
      <c r="DA161" s="39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9"/>
      <c r="EB161" s="39"/>
      <c r="EC161" s="40"/>
    </row>
    <row r="162" spans="1:133" hidden="1">
      <c r="A162" s="44"/>
      <c r="B162" s="22" t="s">
        <v>414</v>
      </c>
      <c r="C162" s="20" t="s">
        <v>415</v>
      </c>
      <c r="D162" s="21" t="s">
        <v>409</v>
      </c>
      <c r="E162" s="21"/>
      <c r="F162" s="22"/>
      <c r="G162" s="23" t="str" cm="1">
        <f t="array" ref="G162">IFERROR(LOOKUP(2,1/(K162:GC162&lt;&gt;""),K$2:DQL$2),"")</f>
        <v/>
      </c>
      <c r="H162" s="24" t="str" cm="1">
        <f t="array" ref="H162">IFERROR(_xlfn.XLOOKUP(TRUE,P162:ED162&lt;&gt;"",P162:ED162,,,-1)," ")</f>
        <v xml:space="preserve"> </v>
      </c>
      <c r="I162" s="25">
        <v>24</v>
      </c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7"/>
      <c r="BF162" s="37"/>
      <c r="BG162" s="34"/>
      <c r="BH162" s="34"/>
      <c r="BI162" s="34"/>
      <c r="BJ162" s="34"/>
      <c r="BK162" s="34"/>
      <c r="BL162" s="34"/>
      <c r="BM162" s="37"/>
      <c r="BN162" s="37"/>
      <c r="BO162" s="37"/>
      <c r="BP162" s="34"/>
      <c r="BQ162" s="34"/>
      <c r="BR162" s="34"/>
      <c r="BS162" s="37"/>
      <c r="BT162" s="37"/>
      <c r="BU162" s="34"/>
      <c r="BV162" s="34"/>
      <c r="BW162" s="34"/>
      <c r="BX162" s="37"/>
      <c r="BY162" s="34"/>
      <c r="BZ162" s="34"/>
      <c r="CA162" s="38"/>
      <c r="CB162" s="34"/>
      <c r="CC162" s="36"/>
      <c r="CD162" s="34"/>
      <c r="CE162" s="34"/>
      <c r="CF162" s="34"/>
      <c r="CG162" s="34"/>
      <c r="CH162" s="34"/>
      <c r="CI162" s="34"/>
      <c r="CJ162" s="34"/>
      <c r="CK162" s="34"/>
      <c r="CL162" s="34"/>
      <c r="CM162" s="43"/>
      <c r="CN162" s="37"/>
      <c r="CO162" s="37"/>
      <c r="CP162" s="34"/>
      <c r="CQ162" s="37"/>
      <c r="CR162" s="37"/>
      <c r="CS162" s="37"/>
      <c r="CT162" s="34"/>
      <c r="CU162" s="37"/>
      <c r="CV162" s="37"/>
      <c r="CW162" s="37"/>
      <c r="CX162" s="37"/>
      <c r="CY162" s="37"/>
      <c r="CZ162" s="37"/>
      <c r="DA162" s="71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9"/>
      <c r="EB162" s="39"/>
      <c r="EC162" s="40"/>
    </row>
    <row r="163" spans="1:133" hidden="1">
      <c r="A163" s="44"/>
      <c r="B163" s="45" t="s">
        <v>414</v>
      </c>
      <c r="C163" s="20" t="s">
        <v>416</v>
      </c>
      <c r="D163" s="21" t="s">
        <v>409</v>
      </c>
      <c r="E163" s="21"/>
      <c r="F163" s="22"/>
      <c r="G163" s="23" t="str" cm="1">
        <f t="array" ref="G163">IFERROR(LOOKUP(2,1/(K163:GC163&lt;&gt;""),K$2:DQL$2),"")</f>
        <v/>
      </c>
      <c r="H163" s="24" t="str" cm="1">
        <f t="array" ref="H163">IFERROR(_xlfn.XLOOKUP(TRUE,P163:ED163&lt;&gt;"",P163:ED163,,,-1)," ")</f>
        <v xml:space="preserve"> </v>
      </c>
      <c r="I163" s="25">
        <v>24</v>
      </c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34"/>
      <c r="AF163" s="35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7"/>
      <c r="BF163" s="37"/>
      <c r="BG163" s="34"/>
      <c r="BH163" s="34"/>
      <c r="BI163" s="34"/>
      <c r="BJ163" s="37"/>
      <c r="BK163" s="34"/>
      <c r="BL163" s="34"/>
      <c r="BM163" s="37"/>
      <c r="BN163" s="37"/>
      <c r="BO163" s="37"/>
      <c r="BP163" s="34"/>
      <c r="BQ163" s="34"/>
      <c r="BR163" s="34"/>
      <c r="BS163" s="37"/>
      <c r="BT163" s="37"/>
      <c r="BU163" s="34"/>
      <c r="BV163" s="34"/>
      <c r="BW163" s="34"/>
      <c r="BX163" s="37"/>
      <c r="BY163" s="34"/>
      <c r="BZ163" s="34"/>
      <c r="CA163" s="37"/>
      <c r="CB163" s="37"/>
      <c r="CC163" s="34"/>
      <c r="CD163" s="37"/>
      <c r="CE163" s="37"/>
      <c r="CF163" s="37"/>
      <c r="CG163" s="37"/>
      <c r="CH163" s="37"/>
      <c r="CI163" s="37"/>
      <c r="CJ163" s="37"/>
      <c r="CK163" s="37"/>
      <c r="CL163" s="34"/>
      <c r="CM163" s="43"/>
      <c r="CN163" s="37"/>
      <c r="CO163" s="37"/>
      <c r="CP163" s="34"/>
      <c r="CQ163" s="37"/>
      <c r="CR163" s="37"/>
      <c r="CS163" s="37"/>
      <c r="CT163" s="34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9"/>
      <c r="EB163" s="39"/>
      <c r="EC163" s="40"/>
    </row>
    <row r="164" spans="1:133" hidden="1">
      <c r="A164" s="44"/>
      <c r="B164" s="45" t="s">
        <v>414</v>
      </c>
      <c r="C164" s="20" t="s">
        <v>417</v>
      </c>
      <c r="D164" s="21" t="s">
        <v>409</v>
      </c>
      <c r="E164" s="21"/>
      <c r="F164" s="22"/>
      <c r="G164" s="23" t="str" cm="1">
        <f t="array" ref="G164">IFERROR(LOOKUP(2,1/(K164:GC164&lt;&gt;""),K$2:DQL$2),"")</f>
        <v/>
      </c>
      <c r="H164" s="24" t="str" cm="1">
        <f t="array" ref="H164">IFERROR(_xlfn.XLOOKUP(TRUE,P164:ED164&lt;&gt;"",P164:ED164,,,-1)," ")</f>
        <v xml:space="preserve"> </v>
      </c>
      <c r="I164" s="25">
        <v>24</v>
      </c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34"/>
      <c r="AF164" s="35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7"/>
      <c r="BF164" s="37"/>
      <c r="BG164" s="34"/>
      <c r="BH164" s="34"/>
      <c r="BI164" s="34"/>
      <c r="BJ164" s="37"/>
      <c r="BK164" s="34"/>
      <c r="BL164" s="34"/>
      <c r="BM164" s="37"/>
      <c r="BN164" s="37"/>
      <c r="BO164" s="37"/>
      <c r="BP164" s="34"/>
      <c r="BQ164" s="34"/>
      <c r="BR164" s="34"/>
      <c r="BS164" s="37"/>
      <c r="BT164" s="37"/>
      <c r="BU164" s="34"/>
      <c r="BV164" s="34"/>
      <c r="BW164" s="34"/>
      <c r="BX164" s="37"/>
      <c r="BY164" s="34"/>
      <c r="BZ164" s="34"/>
      <c r="CA164" s="37"/>
      <c r="CB164" s="37"/>
      <c r="CC164" s="34"/>
      <c r="CD164" s="37"/>
      <c r="CE164" s="37"/>
      <c r="CF164" s="37"/>
      <c r="CG164" s="37"/>
      <c r="CH164" s="37"/>
      <c r="CI164" s="37"/>
      <c r="CJ164" s="37"/>
      <c r="CK164" s="37"/>
      <c r="CL164" s="34"/>
      <c r="CM164" s="43"/>
      <c r="CN164" s="37"/>
      <c r="CO164" s="37"/>
      <c r="CP164" s="34"/>
      <c r="CQ164" s="37"/>
      <c r="CR164" s="37"/>
      <c r="CS164" s="37"/>
      <c r="CT164" s="34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  <c r="DZ164" s="37"/>
      <c r="EA164" s="39"/>
      <c r="EB164" s="39"/>
      <c r="EC164" s="40"/>
    </row>
    <row r="165" spans="1:133" hidden="1">
      <c r="A165" s="44"/>
      <c r="B165" s="45" t="s">
        <v>414</v>
      </c>
      <c r="C165" s="20" t="s">
        <v>418</v>
      </c>
      <c r="D165" s="21" t="s">
        <v>409</v>
      </c>
      <c r="E165" s="21"/>
      <c r="F165" s="22"/>
      <c r="G165" s="23" t="str" cm="1">
        <f t="array" ref="G165">IFERROR(LOOKUP(2,1/(K165:GC165&lt;&gt;""),K$2:DQL$2),"")</f>
        <v/>
      </c>
      <c r="H165" s="24" t="str" cm="1">
        <f t="array" ref="H165">IFERROR(_xlfn.XLOOKUP(TRUE,P165:ED165&lt;&gt;"",P165:ED165,,,-1)," ")</f>
        <v xml:space="preserve"> </v>
      </c>
      <c r="I165" s="25">
        <v>24</v>
      </c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34"/>
      <c r="AF165" s="35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7"/>
      <c r="BF165" s="37"/>
      <c r="BG165" s="34"/>
      <c r="BH165" s="34"/>
      <c r="BI165" s="34"/>
      <c r="BJ165" s="37"/>
      <c r="BK165" s="34"/>
      <c r="BL165" s="34"/>
      <c r="BM165" s="37"/>
      <c r="BN165" s="37"/>
      <c r="BO165" s="37"/>
      <c r="BP165" s="34"/>
      <c r="BQ165" s="34"/>
      <c r="BR165" s="34"/>
      <c r="BS165" s="37"/>
      <c r="BT165" s="37"/>
      <c r="BU165" s="34"/>
      <c r="BV165" s="34"/>
      <c r="BW165" s="34"/>
      <c r="BX165" s="37"/>
      <c r="BY165" s="34"/>
      <c r="BZ165" s="34"/>
      <c r="CA165" s="37"/>
      <c r="CB165" s="37"/>
      <c r="CC165" s="34"/>
      <c r="CD165" s="37"/>
      <c r="CE165" s="37"/>
      <c r="CF165" s="37"/>
      <c r="CG165" s="37"/>
      <c r="CH165" s="37"/>
      <c r="CI165" s="37"/>
      <c r="CJ165" s="37"/>
      <c r="CK165" s="37"/>
      <c r="CL165" s="34"/>
      <c r="CM165" s="43"/>
      <c r="CN165" s="37"/>
      <c r="CO165" s="37"/>
      <c r="CP165" s="34"/>
      <c r="CQ165" s="37"/>
      <c r="CR165" s="37"/>
      <c r="CS165" s="37"/>
      <c r="CT165" s="34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9"/>
      <c r="EB165" s="39"/>
      <c r="EC165" s="40"/>
    </row>
    <row r="166" spans="1:133">
      <c r="A166" s="44"/>
      <c r="B166" s="45" t="s">
        <v>419</v>
      </c>
      <c r="C166" s="20" t="s">
        <v>420</v>
      </c>
      <c r="D166" s="21" t="s">
        <v>409</v>
      </c>
      <c r="E166" s="21"/>
      <c r="F166" s="22" t="s">
        <v>137</v>
      </c>
      <c r="G166" s="23" t="str" cm="1">
        <f t="array" ref="G166">IFERROR(LOOKUP(2,1/(K166:GC166&lt;&gt;""),K$2:DQL$2),"")</f>
        <v>19-Aug</v>
      </c>
      <c r="H166" s="24" cm="1">
        <f t="array" ref="H166">IFERROR(_xlfn.XLOOKUP(TRUE,P166:ED166&lt;&gt;"",P166:ED166,,,-1)," ")</f>
        <v>23.1</v>
      </c>
      <c r="I166" s="25">
        <v>24</v>
      </c>
      <c r="J166" s="25">
        <v>26</v>
      </c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34"/>
      <c r="AF166" s="35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>
        <v>20.100000000000001</v>
      </c>
      <c r="AU166" s="34"/>
      <c r="AV166" s="34"/>
      <c r="AW166" s="34"/>
      <c r="AX166" s="34"/>
      <c r="AY166" s="34"/>
      <c r="AZ166" s="34"/>
      <c r="BA166" s="34">
        <v>22.2</v>
      </c>
      <c r="BB166" s="34"/>
      <c r="BC166" s="34"/>
      <c r="BD166" s="34"/>
      <c r="BE166" s="37"/>
      <c r="BF166" s="37"/>
      <c r="BG166" s="36">
        <v>23.1</v>
      </c>
      <c r="BH166" s="34"/>
      <c r="BI166" s="34"/>
      <c r="BJ166" s="37"/>
      <c r="BK166" s="34"/>
      <c r="BL166" s="34"/>
      <c r="BM166" s="37"/>
      <c r="BN166" s="37"/>
      <c r="BO166" s="37"/>
      <c r="BP166" s="34"/>
      <c r="BQ166" s="34"/>
      <c r="BR166" s="34"/>
      <c r="BS166" s="37"/>
      <c r="BT166" s="38"/>
      <c r="BU166" s="34"/>
      <c r="BV166" s="34"/>
      <c r="BW166" s="34"/>
      <c r="BX166" s="37"/>
      <c r="BY166" s="34"/>
      <c r="BZ166" s="34"/>
      <c r="CA166" s="37"/>
      <c r="CB166" s="37"/>
      <c r="CC166" s="34"/>
      <c r="CD166" s="37"/>
      <c r="CE166" s="37"/>
      <c r="CF166" s="37"/>
      <c r="CG166" s="37"/>
      <c r="CH166" s="37"/>
      <c r="CI166" s="37"/>
      <c r="CJ166" s="37"/>
      <c r="CK166" s="37"/>
      <c r="CL166" s="34"/>
      <c r="CM166" s="43"/>
      <c r="CN166" s="37"/>
      <c r="CO166" s="37"/>
      <c r="CP166" s="34"/>
      <c r="CQ166" s="37"/>
      <c r="CR166" s="37"/>
      <c r="CS166" s="37"/>
      <c r="CT166" s="34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9"/>
      <c r="EB166" s="39"/>
      <c r="EC166" s="40"/>
    </row>
    <row r="167" spans="1:133">
      <c r="A167" s="44"/>
      <c r="B167" s="45"/>
      <c r="C167" s="20" t="s">
        <v>421</v>
      </c>
      <c r="D167" s="21" t="s">
        <v>409</v>
      </c>
      <c r="E167" s="21"/>
      <c r="F167" s="22" t="s">
        <v>137</v>
      </c>
      <c r="G167" s="23" t="str" cm="1">
        <f t="array" ref="G167">IFERROR(LOOKUP(2,1/(K167:GC167&lt;&gt;""),K$2:DQL$2),"")</f>
        <v/>
      </c>
      <c r="H167" s="24" t="str" cm="1">
        <f t="array" ref="H167">IFERROR(_xlfn.XLOOKUP(TRUE,P167:ED167&lt;&gt;"",P167:ED167,,,-1)," ")</f>
        <v xml:space="preserve"> </v>
      </c>
      <c r="I167" s="25">
        <v>24</v>
      </c>
      <c r="J167" s="25">
        <v>26</v>
      </c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34"/>
      <c r="AF167" s="35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7"/>
      <c r="BF167" s="37"/>
      <c r="BG167" s="34"/>
      <c r="BH167" s="34"/>
      <c r="BI167" s="34"/>
      <c r="BJ167" s="34"/>
      <c r="BK167" s="34"/>
      <c r="BL167" s="34"/>
      <c r="BM167" s="37"/>
      <c r="BN167" s="34"/>
      <c r="BO167" s="34"/>
      <c r="BP167" s="34"/>
      <c r="BQ167" s="34"/>
      <c r="BR167" s="34"/>
      <c r="BS167" s="37"/>
      <c r="BT167" s="37"/>
      <c r="BU167" s="34"/>
      <c r="BV167" s="34"/>
      <c r="BW167" s="34"/>
      <c r="BX167" s="37"/>
      <c r="BY167" s="34"/>
      <c r="BZ167" s="36"/>
      <c r="CA167" s="37"/>
      <c r="CB167" s="37"/>
      <c r="CC167" s="36"/>
      <c r="CD167" s="37"/>
      <c r="CE167" s="37"/>
      <c r="CF167" s="37"/>
      <c r="CG167" s="37"/>
      <c r="CH167" s="37"/>
      <c r="CI167" s="37"/>
      <c r="CJ167" s="37"/>
      <c r="CK167" s="37"/>
      <c r="CL167" s="34"/>
      <c r="CM167" s="37"/>
      <c r="CN167" s="37"/>
      <c r="CO167" s="37"/>
      <c r="CP167" s="34"/>
      <c r="CQ167" s="37"/>
      <c r="CR167" s="34"/>
      <c r="CS167" s="37"/>
      <c r="CT167" s="34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9"/>
      <c r="EB167" s="39"/>
      <c r="EC167" s="40"/>
    </row>
    <row r="168" spans="1:133">
      <c r="A168" s="44"/>
      <c r="B168" s="45" t="s">
        <v>419</v>
      </c>
      <c r="C168" s="20" t="s">
        <v>422</v>
      </c>
      <c r="D168" s="21" t="s">
        <v>409</v>
      </c>
      <c r="E168" s="21"/>
      <c r="F168" s="22" t="s">
        <v>137</v>
      </c>
      <c r="G168" s="23" t="str" cm="1">
        <f t="array" ref="G168">IFERROR(LOOKUP(2,1/(K168:GC168&lt;&gt;""),K$2:DQL$2),"")</f>
        <v/>
      </c>
      <c r="H168" s="24" t="str" cm="1">
        <f t="array" ref="H168">IFERROR(_xlfn.XLOOKUP(TRUE,P168:ED168&lt;&gt;"",P168:ED168,,,-1)," ")</f>
        <v xml:space="preserve"> </v>
      </c>
      <c r="I168" s="25">
        <v>24</v>
      </c>
      <c r="J168" s="25">
        <v>26</v>
      </c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34"/>
      <c r="AF168" s="35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7"/>
      <c r="BF168" s="37"/>
      <c r="BG168" s="34"/>
      <c r="BH168" s="34"/>
      <c r="BI168" s="34"/>
      <c r="BJ168" s="37"/>
      <c r="BK168" s="34"/>
      <c r="BL168" s="34"/>
      <c r="BM168" s="37"/>
      <c r="BN168" s="37"/>
      <c r="BO168" s="37"/>
      <c r="BP168" s="34"/>
      <c r="BQ168" s="34"/>
      <c r="BR168" s="34"/>
      <c r="BS168" s="37"/>
      <c r="BT168" s="37"/>
      <c r="BU168" s="34"/>
      <c r="BV168" s="34"/>
      <c r="BW168" s="34"/>
      <c r="BX168" s="37"/>
      <c r="BY168" s="34"/>
      <c r="BZ168" s="34"/>
      <c r="CA168" s="37"/>
      <c r="CB168" s="37"/>
      <c r="CC168" s="34"/>
      <c r="CD168" s="37"/>
      <c r="CE168" s="37"/>
      <c r="CF168" s="37"/>
      <c r="CG168" s="37"/>
      <c r="CH168" s="37"/>
      <c r="CI168" s="37"/>
      <c r="CJ168" s="37"/>
      <c r="CK168" s="37"/>
      <c r="CL168" s="34"/>
      <c r="CM168" s="43"/>
      <c r="CN168" s="37"/>
      <c r="CO168" s="37"/>
      <c r="CP168" s="34"/>
      <c r="CQ168" s="37"/>
      <c r="CR168" s="37"/>
      <c r="CS168" s="37"/>
      <c r="CT168" s="34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9"/>
      <c r="EB168" s="39"/>
      <c r="EC168" s="40"/>
    </row>
    <row r="169" spans="1:133" hidden="1">
      <c r="A169" s="44"/>
      <c r="B169" s="22" t="s">
        <v>423</v>
      </c>
      <c r="C169" s="20" t="s">
        <v>424</v>
      </c>
      <c r="D169" s="21" t="s">
        <v>409</v>
      </c>
      <c r="E169" s="21"/>
      <c r="F169" s="22"/>
      <c r="G169" s="23" t="str" cm="1">
        <f t="array" ref="G169">IFERROR(LOOKUP(2,1/(K169:GC169&lt;&gt;""),K$2:DQL$2),"")</f>
        <v/>
      </c>
      <c r="H169" s="24" t="str" cm="1">
        <f t="array" ref="H169">IFERROR(_xlfn.XLOOKUP(TRUE,P169:ED169&lt;&gt;"",P169:ED169,,,-1)," ")</f>
        <v xml:space="preserve"> </v>
      </c>
      <c r="I169" s="25">
        <v>24</v>
      </c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7"/>
      <c r="BF169" s="37"/>
      <c r="BG169" s="34"/>
      <c r="BH169" s="34"/>
      <c r="BI169" s="34"/>
      <c r="BJ169" s="37"/>
      <c r="BK169" s="34"/>
      <c r="BL169" s="34"/>
      <c r="BM169" s="37"/>
      <c r="BN169" s="37"/>
      <c r="BO169" s="37"/>
      <c r="BP169" s="34"/>
      <c r="BQ169" s="34"/>
      <c r="BR169" s="34"/>
      <c r="BS169" s="37"/>
      <c r="BT169" s="37"/>
      <c r="BU169" s="34"/>
      <c r="BV169" s="34"/>
      <c r="BW169" s="34"/>
      <c r="BX169" s="37"/>
      <c r="BY169" s="34"/>
      <c r="BZ169" s="34"/>
      <c r="CA169" s="37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43"/>
      <c r="CN169" s="37"/>
      <c r="CO169" s="37"/>
      <c r="CP169" s="34"/>
      <c r="CQ169" s="34"/>
      <c r="CR169" s="37"/>
      <c r="CS169" s="37"/>
      <c r="CT169" s="34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  <c r="DN169" s="37"/>
      <c r="DO169" s="37"/>
      <c r="DP169" s="37"/>
      <c r="DQ169" s="37"/>
      <c r="DR169" s="37"/>
      <c r="DS169" s="37"/>
      <c r="DT169" s="37"/>
      <c r="DU169" s="37"/>
      <c r="DV169" s="37"/>
      <c r="DW169" s="37"/>
      <c r="DX169" s="37"/>
      <c r="DY169" s="37"/>
      <c r="DZ169" s="37"/>
      <c r="EA169" s="39"/>
      <c r="EB169" s="39"/>
      <c r="EC169" s="40"/>
    </row>
    <row r="170" spans="1:133" hidden="1">
      <c r="A170" s="44"/>
      <c r="B170" s="45" t="s">
        <v>425</v>
      </c>
      <c r="C170" s="20" t="s">
        <v>426</v>
      </c>
      <c r="D170" s="21" t="s">
        <v>409</v>
      </c>
      <c r="E170" s="21"/>
      <c r="F170" s="22"/>
      <c r="G170" s="23" t="str" cm="1">
        <f t="array" ref="G170">IFERROR(LOOKUP(2,1/(K170:GC170&lt;&gt;""),K$2:DQL$2),"")</f>
        <v/>
      </c>
      <c r="H170" s="24" t="str" cm="1">
        <f t="array" ref="H170">IFERROR(_xlfn.XLOOKUP(TRUE,P170:ED170&lt;&gt;"",P170:ED170,,,-1)," ")</f>
        <v xml:space="preserve"> </v>
      </c>
      <c r="I170" s="25">
        <v>24.5</v>
      </c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34"/>
      <c r="AF170" s="35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7"/>
      <c r="BF170" s="37"/>
      <c r="BG170" s="34"/>
      <c r="BH170" s="34"/>
      <c r="BI170" s="34"/>
      <c r="BJ170" s="37"/>
      <c r="BK170" s="34"/>
      <c r="BL170" s="34"/>
      <c r="BM170" s="37"/>
      <c r="BN170" s="37"/>
      <c r="BO170" s="37"/>
      <c r="BP170" s="34"/>
      <c r="BQ170" s="34"/>
      <c r="BR170" s="34"/>
      <c r="BS170" s="37"/>
      <c r="BT170" s="37"/>
      <c r="BU170" s="34"/>
      <c r="BV170" s="34"/>
      <c r="BW170" s="34"/>
      <c r="BX170" s="37"/>
      <c r="BY170" s="34"/>
      <c r="BZ170" s="34"/>
      <c r="CA170" s="37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43"/>
      <c r="CN170" s="37"/>
      <c r="CO170" s="37"/>
      <c r="CP170" s="34"/>
      <c r="CQ170" s="37"/>
      <c r="CR170" s="37"/>
      <c r="CS170" s="37"/>
      <c r="CT170" s="34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  <c r="DN170" s="37"/>
      <c r="DO170" s="37"/>
      <c r="DP170" s="37"/>
      <c r="DQ170" s="37"/>
      <c r="DR170" s="37"/>
      <c r="DS170" s="37"/>
      <c r="DT170" s="37"/>
      <c r="DU170" s="37"/>
      <c r="DV170" s="37"/>
      <c r="DW170" s="37"/>
      <c r="DX170" s="37"/>
      <c r="DY170" s="37"/>
      <c r="DZ170" s="37"/>
      <c r="EA170" s="39"/>
      <c r="EB170" s="39"/>
      <c r="EC170" s="40"/>
    </row>
    <row r="171" spans="1:133" hidden="1">
      <c r="A171" s="44"/>
      <c r="B171" s="45" t="s">
        <v>425</v>
      </c>
      <c r="C171" s="20" t="s">
        <v>427</v>
      </c>
      <c r="D171" s="21" t="s">
        <v>409</v>
      </c>
      <c r="E171" s="21"/>
      <c r="F171" s="22"/>
      <c r="G171" s="23" t="str" cm="1">
        <f t="array" ref="G171">IFERROR(LOOKUP(2,1/(K171:GC171&lt;&gt;""),K$2:DQL$2),"")</f>
        <v/>
      </c>
      <c r="H171" s="24" t="str" cm="1">
        <f t="array" ref="H171">IFERROR(_xlfn.XLOOKUP(TRUE,P171:ED171&lt;&gt;"",P171:ED171,,,-1)," ")</f>
        <v xml:space="preserve"> </v>
      </c>
      <c r="I171" s="25">
        <v>24.5</v>
      </c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34"/>
      <c r="AF171" s="35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7"/>
      <c r="BF171" s="37"/>
      <c r="BG171" s="34"/>
      <c r="BH171" s="34"/>
      <c r="BI171" s="34"/>
      <c r="BJ171" s="37"/>
      <c r="BK171" s="34"/>
      <c r="BL171" s="34"/>
      <c r="BM171" s="37"/>
      <c r="BN171" s="37"/>
      <c r="BO171" s="37"/>
      <c r="BP171" s="34"/>
      <c r="BQ171" s="34"/>
      <c r="BR171" s="34"/>
      <c r="BS171" s="37"/>
      <c r="BT171" s="37"/>
      <c r="BU171" s="34"/>
      <c r="BV171" s="34"/>
      <c r="BW171" s="34"/>
      <c r="BX171" s="37"/>
      <c r="BY171" s="34"/>
      <c r="BZ171" s="34"/>
      <c r="CA171" s="37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43"/>
      <c r="CN171" s="37"/>
      <c r="CO171" s="37"/>
      <c r="CP171" s="34"/>
      <c r="CQ171" s="37"/>
      <c r="CR171" s="37"/>
      <c r="CS171" s="37"/>
      <c r="CT171" s="34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37"/>
      <c r="DU171" s="37"/>
      <c r="DV171" s="37"/>
      <c r="DW171" s="37"/>
      <c r="DX171" s="37"/>
      <c r="DY171" s="37"/>
      <c r="DZ171" s="37"/>
      <c r="EA171" s="39"/>
      <c r="EB171" s="39"/>
      <c r="EC171" s="40"/>
    </row>
    <row r="172" spans="1:133" hidden="1">
      <c r="A172" s="44"/>
      <c r="B172" s="45" t="s">
        <v>425</v>
      </c>
      <c r="C172" s="20" t="s">
        <v>428</v>
      </c>
      <c r="D172" s="21" t="s">
        <v>409</v>
      </c>
      <c r="E172" s="21"/>
      <c r="F172" s="22"/>
      <c r="G172" s="23" t="str" cm="1">
        <f t="array" ref="G172">IFERROR(LOOKUP(2,1/(K172:GC172&lt;&gt;""),K$2:DQL$2),"")</f>
        <v/>
      </c>
      <c r="H172" s="24" t="str" cm="1">
        <f t="array" ref="H172">IFERROR(_xlfn.XLOOKUP(TRUE,P172:ED172&lt;&gt;"",P172:ED172,,,-1)," ")</f>
        <v xml:space="preserve"> </v>
      </c>
      <c r="I172" s="25">
        <v>24.5</v>
      </c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34"/>
      <c r="AF172" s="35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7"/>
      <c r="BF172" s="37"/>
      <c r="BG172" s="34"/>
      <c r="BH172" s="34"/>
      <c r="BI172" s="34"/>
      <c r="BJ172" s="37"/>
      <c r="BK172" s="34"/>
      <c r="BL172" s="34"/>
      <c r="BM172" s="37"/>
      <c r="BN172" s="37"/>
      <c r="BO172" s="37"/>
      <c r="BP172" s="34"/>
      <c r="BQ172" s="34"/>
      <c r="BR172" s="34"/>
      <c r="BS172" s="37"/>
      <c r="BT172" s="37"/>
      <c r="BU172" s="34"/>
      <c r="BV172" s="34"/>
      <c r="BW172" s="34"/>
      <c r="BX172" s="37"/>
      <c r="BY172" s="34"/>
      <c r="BZ172" s="34"/>
      <c r="CA172" s="37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43"/>
      <c r="CN172" s="37"/>
      <c r="CO172" s="37"/>
      <c r="CP172" s="34"/>
      <c r="CQ172" s="37"/>
      <c r="CR172" s="37"/>
      <c r="CS172" s="37"/>
      <c r="CT172" s="34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37"/>
      <c r="DU172" s="37"/>
      <c r="DV172" s="37"/>
      <c r="DW172" s="37"/>
      <c r="DX172" s="37"/>
      <c r="DY172" s="37"/>
      <c r="DZ172" s="37"/>
      <c r="EA172" s="39"/>
      <c r="EB172" s="39"/>
      <c r="EC172" s="40"/>
    </row>
    <row r="173" spans="1:133" hidden="1">
      <c r="A173" s="44"/>
      <c r="B173" s="45" t="s">
        <v>425</v>
      </c>
      <c r="C173" s="20" t="s">
        <v>429</v>
      </c>
      <c r="D173" s="21" t="s">
        <v>409</v>
      </c>
      <c r="E173" s="21"/>
      <c r="F173" s="22"/>
      <c r="G173" s="23" t="str" cm="1">
        <f t="array" ref="G173">IFERROR(LOOKUP(2,1/(K173:GC173&lt;&gt;""),K$2:DQL$2),"")</f>
        <v/>
      </c>
      <c r="H173" s="24" t="str" cm="1">
        <f t="array" ref="H173">IFERROR(_xlfn.XLOOKUP(TRUE,P173:ED173&lt;&gt;"",P173:ED173,,,-1)," ")</f>
        <v xml:space="preserve"> </v>
      </c>
      <c r="I173" s="25">
        <v>24.5</v>
      </c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34"/>
      <c r="AF173" s="35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7"/>
      <c r="BF173" s="37"/>
      <c r="BG173" s="34"/>
      <c r="BH173" s="34"/>
      <c r="BI173" s="34"/>
      <c r="BJ173" s="34"/>
      <c r="BK173" s="34"/>
      <c r="BL173" s="34"/>
      <c r="BM173" s="37"/>
      <c r="BN173" s="37"/>
      <c r="BO173" s="37"/>
      <c r="BP173" s="34"/>
      <c r="BQ173" s="34"/>
      <c r="BR173" s="34"/>
      <c r="BS173" s="37"/>
      <c r="BT173" s="37"/>
      <c r="BU173" s="34"/>
      <c r="BV173" s="34"/>
      <c r="BW173" s="34"/>
      <c r="BX173" s="37"/>
      <c r="BY173" s="34"/>
      <c r="BZ173" s="34"/>
      <c r="CA173" s="37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43"/>
      <c r="CN173" s="37"/>
      <c r="CO173" s="37"/>
      <c r="CP173" s="34"/>
      <c r="CQ173" s="37"/>
      <c r="CR173" s="37"/>
      <c r="CS173" s="37"/>
      <c r="CT173" s="34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7"/>
      <c r="DR173" s="37"/>
      <c r="DS173" s="37"/>
      <c r="DT173" s="37"/>
      <c r="DU173" s="37"/>
      <c r="DV173" s="37"/>
      <c r="DW173" s="37"/>
      <c r="DX173" s="37"/>
      <c r="DY173" s="37"/>
      <c r="DZ173" s="37"/>
      <c r="EA173" s="39"/>
      <c r="EB173" s="39"/>
      <c r="EC173" s="40"/>
    </row>
    <row r="174" spans="1:133" hidden="1">
      <c r="A174" s="44"/>
      <c r="B174" s="45" t="s">
        <v>430</v>
      </c>
      <c r="C174" s="20" t="s">
        <v>431</v>
      </c>
      <c r="D174" s="21" t="s">
        <v>409</v>
      </c>
      <c r="E174" s="21"/>
      <c r="F174" s="22" t="s">
        <v>432</v>
      </c>
      <c r="G174" s="23" t="str" cm="1">
        <f t="array" ref="G174">IFERROR(LOOKUP(2,1/(K174:GC174&lt;&gt;""),K$2:DQL$2),"")</f>
        <v>19-Aug</v>
      </c>
      <c r="H174" s="24" cm="1">
        <f t="array" ref="H174">IFERROR(_xlfn.XLOOKUP(TRUE,P174:ED174&lt;&gt;"",P174:ED174,,,-1)," ")</f>
        <v>23.1</v>
      </c>
      <c r="I174" s="25">
        <v>24</v>
      </c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34"/>
      <c r="AF174" s="35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>
        <v>22.2</v>
      </c>
      <c r="BC174" s="34"/>
      <c r="BD174" s="34"/>
      <c r="BE174" s="37"/>
      <c r="BF174" s="37"/>
      <c r="BG174" s="34">
        <v>23.1</v>
      </c>
      <c r="BH174" s="34"/>
      <c r="BI174" s="34"/>
      <c r="BJ174" s="37"/>
      <c r="BK174" s="34"/>
      <c r="BL174" s="34"/>
      <c r="BM174" s="37"/>
      <c r="BN174" s="37"/>
      <c r="BO174" s="37"/>
      <c r="BP174" s="34"/>
      <c r="BQ174" s="34"/>
      <c r="BR174" s="34"/>
      <c r="BS174" s="37"/>
      <c r="BT174" s="37"/>
      <c r="BU174" s="34"/>
      <c r="BV174" s="34"/>
      <c r="BW174" s="34"/>
      <c r="BX174" s="37"/>
      <c r="BY174" s="34"/>
      <c r="BZ174" s="34"/>
      <c r="CA174" s="37"/>
      <c r="CB174" s="37"/>
      <c r="CC174" s="34"/>
      <c r="CD174" s="37"/>
      <c r="CE174" s="37"/>
      <c r="CF174" s="37"/>
      <c r="CG174" s="37"/>
      <c r="CH174" s="37"/>
      <c r="CI174" s="37"/>
      <c r="CJ174" s="37"/>
      <c r="CK174" s="37"/>
      <c r="CL174" s="34"/>
      <c r="CM174" s="43"/>
      <c r="CN174" s="37"/>
      <c r="CO174" s="37"/>
      <c r="CP174" s="34"/>
      <c r="CQ174" s="37"/>
      <c r="CR174" s="37"/>
      <c r="CS174" s="37"/>
      <c r="CT174" s="34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7"/>
      <c r="DR174" s="37"/>
      <c r="DS174" s="37"/>
      <c r="DT174" s="37"/>
      <c r="DU174" s="37"/>
      <c r="DV174" s="37"/>
      <c r="DW174" s="37"/>
      <c r="DX174" s="37"/>
      <c r="DY174" s="37"/>
      <c r="DZ174" s="37"/>
      <c r="EA174" s="39"/>
      <c r="EB174" s="39"/>
      <c r="EC174" s="40"/>
    </row>
    <row r="175" spans="1:133" hidden="1">
      <c r="A175" s="44"/>
      <c r="B175" s="45" t="s">
        <v>430</v>
      </c>
      <c r="C175" s="20" t="s">
        <v>433</v>
      </c>
      <c r="D175" s="21" t="s">
        <v>409</v>
      </c>
      <c r="E175" s="21"/>
      <c r="F175" s="22" t="s">
        <v>432</v>
      </c>
      <c r="G175" s="23" t="str" cm="1">
        <f t="array" ref="G175">IFERROR(LOOKUP(2,1/(K175:GC175&lt;&gt;""),K$2:DQL$2),"")</f>
        <v/>
      </c>
      <c r="H175" s="24" t="str" cm="1">
        <f t="array" ref="H175">IFERROR(_xlfn.XLOOKUP(TRUE,P175:ED175&lt;&gt;"",P175:ED175,,,-1)," ")</f>
        <v xml:space="preserve"> </v>
      </c>
      <c r="I175" s="25">
        <v>24</v>
      </c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34"/>
      <c r="AF175" s="35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7"/>
      <c r="BF175" s="37"/>
      <c r="BG175" s="34"/>
      <c r="BH175" s="34"/>
      <c r="BI175" s="34"/>
      <c r="BJ175" s="37"/>
      <c r="BK175" s="34"/>
      <c r="BL175" s="34"/>
      <c r="BM175" s="37"/>
      <c r="BN175" s="37"/>
      <c r="BO175" s="37"/>
      <c r="BP175" s="34"/>
      <c r="BQ175" s="34"/>
      <c r="BR175" s="34"/>
      <c r="BS175" s="37"/>
      <c r="BT175" s="37"/>
      <c r="BU175" s="34"/>
      <c r="BV175" s="34"/>
      <c r="BW175" s="34"/>
      <c r="BX175" s="37"/>
      <c r="BY175" s="34"/>
      <c r="BZ175" s="34"/>
      <c r="CA175" s="37"/>
      <c r="CB175" s="37"/>
      <c r="CC175" s="34"/>
      <c r="CD175" s="37"/>
      <c r="CE175" s="37"/>
      <c r="CF175" s="37"/>
      <c r="CG175" s="37"/>
      <c r="CH175" s="37"/>
      <c r="CI175" s="37"/>
      <c r="CJ175" s="37"/>
      <c r="CK175" s="37"/>
      <c r="CL175" s="34"/>
      <c r="CM175" s="43"/>
      <c r="CN175" s="37"/>
      <c r="CO175" s="37"/>
      <c r="CP175" s="34"/>
      <c r="CQ175" s="37"/>
      <c r="CR175" s="37"/>
      <c r="CS175" s="37"/>
      <c r="CT175" s="34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7"/>
      <c r="DR175" s="37"/>
      <c r="DS175" s="37"/>
      <c r="DT175" s="37"/>
      <c r="DU175" s="37"/>
      <c r="DV175" s="37"/>
      <c r="DW175" s="37"/>
      <c r="DX175" s="37"/>
      <c r="DY175" s="37"/>
      <c r="DZ175" s="37"/>
      <c r="EA175" s="39"/>
      <c r="EB175" s="39"/>
      <c r="EC175" s="40"/>
    </row>
    <row r="176" spans="1:133" hidden="1">
      <c r="A176" s="44"/>
      <c r="B176" s="45" t="s">
        <v>430</v>
      </c>
      <c r="C176" s="20" t="s">
        <v>434</v>
      </c>
      <c r="D176" s="21" t="s">
        <v>409</v>
      </c>
      <c r="E176" s="21"/>
      <c r="F176" s="22" t="s">
        <v>432</v>
      </c>
      <c r="G176" s="23" t="str" cm="1">
        <f t="array" ref="G176">IFERROR(LOOKUP(2,1/(K176:GC176&lt;&gt;""),K$2:DQL$2),"")</f>
        <v/>
      </c>
      <c r="H176" s="24" t="str" cm="1">
        <f t="array" ref="H176">IFERROR(_xlfn.XLOOKUP(TRUE,P176:ED176&lt;&gt;"",P176:ED176,,,-1)," ")</f>
        <v xml:space="preserve"> </v>
      </c>
      <c r="I176" s="25">
        <v>24</v>
      </c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34"/>
      <c r="AF176" s="35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7"/>
      <c r="BF176" s="37"/>
      <c r="BG176" s="34"/>
      <c r="BH176" s="34"/>
      <c r="BI176" s="34"/>
      <c r="BJ176" s="37"/>
      <c r="BK176" s="34"/>
      <c r="BL176" s="34"/>
      <c r="BM176" s="37"/>
      <c r="BN176" s="37"/>
      <c r="BO176" s="37"/>
      <c r="BP176" s="34"/>
      <c r="BQ176" s="34"/>
      <c r="BR176" s="34"/>
      <c r="BS176" s="37"/>
      <c r="BT176" s="37"/>
      <c r="BU176" s="34"/>
      <c r="BV176" s="34"/>
      <c r="BW176" s="34"/>
      <c r="BX176" s="37"/>
      <c r="BY176" s="34"/>
      <c r="BZ176" s="34"/>
      <c r="CA176" s="37"/>
      <c r="CB176" s="37"/>
      <c r="CC176" s="34"/>
      <c r="CD176" s="37"/>
      <c r="CE176" s="37"/>
      <c r="CF176" s="37"/>
      <c r="CG176" s="37"/>
      <c r="CH176" s="37"/>
      <c r="CI176" s="37"/>
      <c r="CJ176" s="37"/>
      <c r="CK176" s="37"/>
      <c r="CL176" s="34"/>
      <c r="CM176" s="43"/>
      <c r="CN176" s="37"/>
      <c r="CO176" s="37"/>
      <c r="CP176" s="34"/>
      <c r="CQ176" s="37"/>
      <c r="CR176" s="37"/>
      <c r="CS176" s="37"/>
      <c r="CT176" s="34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7"/>
      <c r="DR176" s="37"/>
      <c r="DS176" s="37"/>
      <c r="DT176" s="37"/>
      <c r="DU176" s="37"/>
      <c r="DV176" s="37"/>
      <c r="DW176" s="37"/>
      <c r="DX176" s="37"/>
      <c r="DY176" s="37"/>
      <c r="DZ176" s="37"/>
      <c r="EA176" s="39"/>
      <c r="EB176" s="39"/>
      <c r="EC176" s="40"/>
    </row>
    <row r="177" spans="1:133" hidden="1">
      <c r="A177" s="44"/>
      <c r="B177" s="45" t="s">
        <v>430</v>
      </c>
      <c r="C177" s="20" t="s">
        <v>435</v>
      </c>
      <c r="D177" s="21" t="s">
        <v>409</v>
      </c>
      <c r="E177" s="21"/>
      <c r="F177" s="22" t="s">
        <v>432</v>
      </c>
      <c r="G177" s="23" t="str" cm="1">
        <f t="array" ref="G177">IFERROR(LOOKUP(2,1/(K177:GC177&lt;&gt;""),K$2:DQL$2),"")</f>
        <v/>
      </c>
      <c r="H177" s="24" t="str" cm="1">
        <f t="array" ref="H177">IFERROR(_xlfn.XLOOKUP(TRUE,P177:ED177&lt;&gt;"",P177:ED177,,,-1)," ")</f>
        <v xml:space="preserve"> </v>
      </c>
      <c r="I177" s="25">
        <v>24</v>
      </c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34"/>
      <c r="AF177" s="35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7"/>
      <c r="BF177" s="37"/>
      <c r="BG177" s="34"/>
      <c r="BH177" s="34"/>
      <c r="BI177" s="34"/>
      <c r="BJ177" s="37"/>
      <c r="BK177" s="34"/>
      <c r="BL177" s="34"/>
      <c r="BM177" s="37"/>
      <c r="BN177" s="37"/>
      <c r="BO177" s="37"/>
      <c r="BP177" s="34"/>
      <c r="BQ177" s="34"/>
      <c r="BR177" s="34"/>
      <c r="BS177" s="37"/>
      <c r="BT177" s="37"/>
      <c r="BU177" s="34"/>
      <c r="BV177" s="34"/>
      <c r="BW177" s="34"/>
      <c r="BX177" s="37"/>
      <c r="BY177" s="34"/>
      <c r="BZ177" s="34"/>
      <c r="CA177" s="37"/>
      <c r="CB177" s="37"/>
      <c r="CC177" s="34"/>
      <c r="CD177" s="37"/>
      <c r="CE177" s="37"/>
      <c r="CF177" s="37"/>
      <c r="CG177" s="37"/>
      <c r="CH177" s="37"/>
      <c r="CI177" s="37"/>
      <c r="CJ177" s="37"/>
      <c r="CK177" s="37"/>
      <c r="CL177" s="34"/>
      <c r="CM177" s="43"/>
      <c r="CN177" s="37"/>
      <c r="CO177" s="37"/>
      <c r="CP177" s="34"/>
      <c r="CQ177" s="37"/>
      <c r="CR177" s="37"/>
      <c r="CS177" s="37"/>
      <c r="CT177" s="34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37"/>
      <c r="DU177" s="37"/>
      <c r="DV177" s="37"/>
      <c r="DW177" s="37"/>
      <c r="DX177" s="37"/>
      <c r="DY177" s="37"/>
      <c r="DZ177" s="37"/>
      <c r="EA177" s="39"/>
      <c r="EB177" s="39"/>
      <c r="EC177" s="40"/>
    </row>
    <row r="178" spans="1:133" hidden="1">
      <c r="A178" s="44"/>
      <c r="B178" s="45" t="s">
        <v>430</v>
      </c>
      <c r="C178" s="20" t="s">
        <v>436</v>
      </c>
      <c r="D178" s="21" t="s">
        <v>409</v>
      </c>
      <c r="E178" s="21"/>
      <c r="F178" s="22" t="s">
        <v>432</v>
      </c>
      <c r="G178" s="23" t="str" cm="1">
        <f t="array" ref="G178">IFERROR(LOOKUP(2,1/(K178:GC178&lt;&gt;""),K$2:DQL$2),"")</f>
        <v/>
      </c>
      <c r="H178" s="24" t="str" cm="1">
        <f t="array" ref="H178">IFERROR(_xlfn.XLOOKUP(TRUE,P178:ED178&lt;&gt;"",P178:ED178,,,-1)," ")</f>
        <v xml:space="preserve"> </v>
      </c>
      <c r="I178" s="25">
        <v>24</v>
      </c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34"/>
      <c r="AF178" s="35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7"/>
      <c r="BF178" s="37"/>
      <c r="BG178" s="34"/>
      <c r="BH178" s="34"/>
      <c r="BI178" s="34"/>
      <c r="BJ178" s="37"/>
      <c r="BK178" s="34"/>
      <c r="BL178" s="34"/>
      <c r="BM178" s="37"/>
      <c r="BN178" s="37"/>
      <c r="BO178" s="37"/>
      <c r="BP178" s="34"/>
      <c r="BQ178" s="34"/>
      <c r="BR178" s="34"/>
      <c r="BS178" s="37"/>
      <c r="BT178" s="37"/>
      <c r="BU178" s="34"/>
      <c r="BV178" s="34"/>
      <c r="BW178" s="34"/>
      <c r="BX178" s="37"/>
      <c r="BY178" s="34"/>
      <c r="BZ178" s="34"/>
      <c r="CA178" s="37"/>
      <c r="CB178" s="37"/>
      <c r="CC178" s="34"/>
      <c r="CD178" s="37"/>
      <c r="CE178" s="37"/>
      <c r="CF178" s="37"/>
      <c r="CG178" s="37"/>
      <c r="CH178" s="37"/>
      <c r="CI178" s="37"/>
      <c r="CJ178" s="37"/>
      <c r="CK178" s="37"/>
      <c r="CL178" s="34"/>
      <c r="CM178" s="43"/>
      <c r="CN178" s="37"/>
      <c r="CO178" s="37"/>
      <c r="CP178" s="34"/>
      <c r="CQ178" s="37"/>
      <c r="CR178" s="37"/>
      <c r="CS178" s="37"/>
      <c r="CT178" s="34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37"/>
      <c r="DU178" s="37"/>
      <c r="DV178" s="37"/>
      <c r="DW178" s="37"/>
      <c r="DX178" s="37"/>
      <c r="DY178" s="37"/>
      <c r="DZ178" s="37"/>
      <c r="EA178" s="39"/>
      <c r="EB178" s="39"/>
      <c r="EC178" s="40"/>
    </row>
    <row r="179" spans="1:133" hidden="1">
      <c r="A179" s="44"/>
      <c r="B179" s="45" t="s">
        <v>430</v>
      </c>
      <c r="C179" s="20" t="s">
        <v>437</v>
      </c>
      <c r="D179" s="21" t="s">
        <v>409</v>
      </c>
      <c r="E179" s="21"/>
      <c r="F179" s="22" t="s">
        <v>432</v>
      </c>
      <c r="G179" s="23" t="str" cm="1">
        <f t="array" ref="G179">IFERROR(LOOKUP(2,1/(K179:GC179&lt;&gt;""),K$2:DQL$2),"")</f>
        <v/>
      </c>
      <c r="H179" s="24" t="str" cm="1">
        <f t="array" ref="H179">IFERROR(_xlfn.XLOOKUP(TRUE,P179:ED179&lt;&gt;"",P179:ED179,,,-1)," ")</f>
        <v xml:space="preserve"> </v>
      </c>
      <c r="I179" s="25">
        <v>24</v>
      </c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34"/>
      <c r="AF179" s="35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7"/>
      <c r="BF179" s="37"/>
      <c r="BG179" s="34"/>
      <c r="BH179" s="34"/>
      <c r="BI179" s="34"/>
      <c r="BJ179" s="37"/>
      <c r="BK179" s="34"/>
      <c r="BL179" s="34"/>
      <c r="BM179" s="37"/>
      <c r="BN179" s="37"/>
      <c r="BO179" s="37"/>
      <c r="BP179" s="34"/>
      <c r="BQ179" s="34"/>
      <c r="BR179" s="34"/>
      <c r="BS179" s="37"/>
      <c r="BT179" s="37"/>
      <c r="BU179" s="34"/>
      <c r="BV179" s="34"/>
      <c r="BW179" s="34"/>
      <c r="BX179" s="37"/>
      <c r="BY179" s="34"/>
      <c r="BZ179" s="34"/>
      <c r="CA179" s="37"/>
      <c r="CB179" s="37"/>
      <c r="CC179" s="34"/>
      <c r="CD179" s="37"/>
      <c r="CE179" s="37"/>
      <c r="CF179" s="37"/>
      <c r="CG179" s="37"/>
      <c r="CH179" s="37"/>
      <c r="CI179" s="37"/>
      <c r="CJ179" s="37"/>
      <c r="CK179" s="37"/>
      <c r="CL179" s="34"/>
      <c r="CM179" s="43"/>
      <c r="CN179" s="37"/>
      <c r="CO179" s="37"/>
      <c r="CP179" s="34"/>
      <c r="CQ179" s="37"/>
      <c r="CR179" s="37"/>
      <c r="CS179" s="37"/>
      <c r="CT179" s="34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9"/>
      <c r="EB179" s="39"/>
      <c r="EC179" s="40"/>
    </row>
    <row r="180" spans="1:133" hidden="1">
      <c r="A180" s="44"/>
      <c r="B180" s="45" t="s">
        <v>438</v>
      </c>
      <c r="C180" s="20" t="s">
        <v>439</v>
      </c>
      <c r="D180" s="21" t="s">
        <v>409</v>
      </c>
      <c r="E180" s="21"/>
      <c r="F180" s="22"/>
      <c r="G180" s="23" t="str" cm="1">
        <f t="array" ref="G180">IFERROR(LOOKUP(2,1/(K180:GC180&lt;&gt;""),K$2:DQL$2),"")</f>
        <v>19-Aug</v>
      </c>
      <c r="H180" s="24" cm="1">
        <f t="array" ref="H180">IFERROR(_xlfn.XLOOKUP(TRUE,P180:ED180&lt;&gt;"",P180:ED180,,,-1)," ")</f>
        <v>22.8</v>
      </c>
      <c r="I180" s="25">
        <v>24.5</v>
      </c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34"/>
      <c r="AF180" s="35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>
        <v>22.4</v>
      </c>
      <c r="BC180" s="34"/>
      <c r="BD180" s="34"/>
      <c r="BE180" s="37"/>
      <c r="BF180" s="37"/>
      <c r="BG180" s="34">
        <v>22.8</v>
      </c>
      <c r="BH180" s="34"/>
      <c r="BI180" s="34"/>
      <c r="BJ180" s="37"/>
      <c r="BK180" s="34"/>
      <c r="BL180" s="34"/>
      <c r="BM180" s="37"/>
      <c r="BN180" s="37"/>
      <c r="BO180" s="37"/>
      <c r="BP180" s="34"/>
      <c r="BQ180" s="34"/>
      <c r="BR180" s="34"/>
      <c r="BS180" s="37"/>
      <c r="BT180" s="37"/>
      <c r="BU180" s="34"/>
      <c r="BV180" s="37"/>
      <c r="BW180" s="34"/>
      <c r="BX180" s="38"/>
      <c r="BY180" s="34"/>
      <c r="BZ180" s="34"/>
      <c r="CA180" s="37"/>
      <c r="CB180" s="37"/>
      <c r="CC180" s="34"/>
      <c r="CD180" s="37"/>
      <c r="CE180" s="37"/>
      <c r="CF180" s="37"/>
      <c r="CG180" s="37"/>
      <c r="CH180" s="37"/>
      <c r="CI180" s="37"/>
      <c r="CJ180" s="37"/>
      <c r="CK180" s="37"/>
      <c r="CL180" s="34"/>
      <c r="CM180" s="43"/>
      <c r="CN180" s="37"/>
      <c r="CO180" s="37"/>
      <c r="CP180" s="34"/>
      <c r="CQ180" s="37"/>
      <c r="CR180" s="37"/>
      <c r="CS180" s="37"/>
      <c r="CT180" s="34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9"/>
      <c r="EB180" s="39"/>
      <c r="EC180" s="40"/>
    </row>
    <row r="181" spans="1:133" hidden="1">
      <c r="A181" s="44"/>
      <c r="B181" s="45" t="s">
        <v>438</v>
      </c>
      <c r="C181" s="20" t="s">
        <v>440</v>
      </c>
      <c r="D181" s="21" t="s">
        <v>409</v>
      </c>
      <c r="E181" s="21"/>
      <c r="F181" s="22"/>
      <c r="G181" s="23" t="str" cm="1">
        <f t="array" ref="G181">IFERROR(LOOKUP(2,1/(K181:GC181&lt;&gt;""),K$2:DQL$2),"")</f>
        <v>18-Aug</v>
      </c>
      <c r="H181" s="24" cm="1">
        <f t="array" ref="H181">IFERROR(_xlfn.XLOOKUP(TRUE,P181:ED181&lt;&gt;"",P181:ED181,,,-1)," ")</f>
        <v>22.1</v>
      </c>
      <c r="I181" s="25">
        <v>24.5</v>
      </c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34"/>
      <c r="AF181" s="35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>
        <v>22</v>
      </c>
      <c r="AZ181" s="34"/>
      <c r="BA181" s="34"/>
      <c r="BB181" s="34"/>
      <c r="BC181" s="34"/>
      <c r="BD181" s="34"/>
      <c r="BE181" s="37"/>
      <c r="BF181" s="37">
        <v>22.1</v>
      </c>
      <c r="BG181" s="34"/>
      <c r="BH181" s="34"/>
      <c r="BI181" s="34"/>
      <c r="BJ181" s="37"/>
      <c r="BK181" s="34"/>
      <c r="BL181" s="34"/>
      <c r="BM181" s="37"/>
      <c r="BN181" s="37"/>
      <c r="BO181" s="37"/>
      <c r="BP181" s="34"/>
      <c r="BQ181" s="34"/>
      <c r="BR181" s="34"/>
      <c r="BS181" s="37"/>
      <c r="BT181" s="37"/>
      <c r="BU181" s="34"/>
      <c r="BV181" s="37"/>
      <c r="BW181" s="34"/>
      <c r="BX181" s="37"/>
      <c r="BY181" s="34"/>
      <c r="BZ181" s="34"/>
      <c r="CA181" s="37"/>
      <c r="CB181" s="37"/>
      <c r="CC181" s="34"/>
      <c r="CD181" s="37"/>
      <c r="CE181" s="38"/>
      <c r="CF181" s="37"/>
      <c r="CG181" s="37"/>
      <c r="CH181" s="37"/>
      <c r="CI181" s="37"/>
      <c r="CJ181" s="37"/>
      <c r="CK181" s="37"/>
      <c r="CL181" s="34"/>
      <c r="CM181" s="43"/>
      <c r="CN181" s="37"/>
      <c r="CO181" s="37"/>
      <c r="CP181" s="34"/>
      <c r="CQ181" s="37"/>
      <c r="CR181" s="37"/>
      <c r="CS181" s="37"/>
      <c r="CT181" s="34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37"/>
      <c r="DU181" s="37"/>
      <c r="DV181" s="37"/>
      <c r="DW181" s="37"/>
      <c r="DX181" s="37"/>
      <c r="DY181" s="37"/>
      <c r="DZ181" s="37"/>
      <c r="EA181" s="39"/>
      <c r="EB181" s="39"/>
      <c r="EC181" s="40"/>
    </row>
    <row r="182" spans="1:133" hidden="1">
      <c r="A182" s="44"/>
      <c r="B182" s="45" t="s">
        <v>441</v>
      </c>
      <c r="C182" s="20" t="s">
        <v>442</v>
      </c>
      <c r="D182" s="21" t="s">
        <v>409</v>
      </c>
      <c r="E182" s="21"/>
      <c r="F182" s="22" t="s">
        <v>188</v>
      </c>
      <c r="G182" s="23" t="str" cm="1">
        <f t="array" ref="G182">IFERROR(LOOKUP(2,1/(K182:GC182&lt;&gt;""),K$2:DQL$2),"")</f>
        <v/>
      </c>
      <c r="H182" s="24" t="str" cm="1">
        <f t="array" ref="H182">IFERROR(_xlfn.XLOOKUP(TRUE,P182:ED182&lt;&gt;"",P182:ED182,,,-1)," ")</f>
        <v xml:space="preserve"> </v>
      </c>
      <c r="I182" s="25">
        <v>24</v>
      </c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34"/>
      <c r="AF182" s="35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7"/>
      <c r="BF182" s="37"/>
      <c r="BG182" s="34"/>
      <c r="BH182" s="34"/>
      <c r="BI182" s="34"/>
      <c r="BJ182" s="37"/>
      <c r="BK182" s="34"/>
      <c r="BL182" s="34"/>
      <c r="BM182" s="37"/>
      <c r="BN182" s="37"/>
      <c r="BO182" s="37"/>
      <c r="BP182" s="34"/>
      <c r="BQ182" s="34"/>
      <c r="BR182" s="34"/>
      <c r="BS182" s="37"/>
      <c r="BT182" s="37"/>
      <c r="BU182" s="34"/>
      <c r="BV182" s="34"/>
      <c r="BW182" s="34"/>
      <c r="BX182" s="37"/>
      <c r="BY182" s="34"/>
      <c r="BZ182" s="34"/>
      <c r="CA182" s="37"/>
      <c r="CB182" s="37"/>
      <c r="CC182" s="34"/>
      <c r="CD182" s="37"/>
      <c r="CE182" s="37"/>
      <c r="CF182" s="37"/>
      <c r="CG182" s="37"/>
      <c r="CH182" s="37"/>
      <c r="CI182" s="37"/>
      <c r="CJ182" s="37"/>
      <c r="CK182" s="37"/>
      <c r="CL182" s="34"/>
      <c r="CM182" s="43"/>
      <c r="CN182" s="37"/>
      <c r="CO182" s="37"/>
      <c r="CP182" s="34"/>
      <c r="CQ182" s="37"/>
      <c r="CR182" s="37"/>
      <c r="CS182" s="37"/>
      <c r="CT182" s="34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37"/>
      <c r="DU182" s="37"/>
      <c r="DV182" s="37"/>
      <c r="DW182" s="37"/>
      <c r="DX182" s="37"/>
      <c r="DY182" s="37"/>
      <c r="DZ182" s="37"/>
      <c r="EA182" s="39"/>
      <c r="EB182" s="39"/>
      <c r="EC182" s="40"/>
    </row>
    <row r="183" spans="1:133" hidden="1">
      <c r="A183" s="44"/>
      <c r="B183" s="45" t="s">
        <v>441</v>
      </c>
      <c r="C183" s="20" t="s">
        <v>443</v>
      </c>
      <c r="D183" s="21" t="s">
        <v>409</v>
      </c>
      <c r="E183" s="21"/>
      <c r="F183" s="22" t="s">
        <v>188</v>
      </c>
      <c r="G183" s="23" t="str" cm="1">
        <f t="array" ref="G183">IFERROR(LOOKUP(2,1/(K183:GC183&lt;&gt;""),K$2:DQL$2),"")</f>
        <v/>
      </c>
      <c r="H183" s="24" t="str" cm="1">
        <f t="array" ref="H183">IFERROR(_xlfn.XLOOKUP(TRUE,P183:ED183&lt;&gt;"",P183:ED183,,,-1)," ")</f>
        <v xml:space="preserve"> </v>
      </c>
      <c r="I183" s="25">
        <v>24</v>
      </c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34"/>
      <c r="AF183" s="35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7"/>
      <c r="BF183" s="37"/>
      <c r="BG183" s="34"/>
      <c r="BH183" s="34"/>
      <c r="BI183" s="34"/>
      <c r="BJ183" s="37"/>
      <c r="BK183" s="34"/>
      <c r="BL183" s="34"/>
      <c r="BM183" s="37"/>
      <c r="BN183" s="37"/>
      <c r="BO183" s="37"/>
      <c r="BP183" s="34"/>
      <c r="BQ183" s="34"/>
      <c r="BR183" s="34"/>
      <c r="BS183" s="37"/>
      <c r="BT183" s="37"/>
      <c r="BU183" s="34"/>
      <c r="BV183" s="34"/>
      <c r="BW183" s="34"/>
      <c r="BX183" s="37"/>
      <c r="BY183" s="34"/>
      <c r="BZ183" s="34"/>
      <c r="CA183" s="37"/>
      <c r="CB183" s="37"/>
      <c r="CC183" s="34"/>
      <c r="CD183" s="37"/>
      <c r="CE183" s="37"/>
      <c r="CF183" s="37"/>
      <c r="CG183" s="37"/>
      <c r="CH183" s="37"/>
      <c r="CI183" s="37"/>
      <c r="CJ183" s="37"/>
      <c r="CK183" s="37"/>
      <c r="CL183" s="34"/>
      <c r="CM183" s="43"/>
      <c r="CN183" s="37"/>
      <c r="CO183" s="37"/>
      <c r="CP183" s="34"/>
      <c r="CQ183" s="37"/>
      <c r="CR183" s="37"/>
      <c r="CS183" s="37"/>
      <c r="CT183" s="34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9"/>
      <c r="EB183" s="39"/>
      <c r="EC183" s="40"/>
    </row>
    <row r="184" spans="1:133" hidden="1">
      <c r="A184" s="44"/>
      <c r="B184" s="45" t="s">
        <v>441</v>
      </c>
      <c r="C184" s="20" t="s">
        <v>444</v>
      </c>
      <c r="D184" s="21" t="s">
        <v>409</v>
      </c>
      <c r="E184" s="21"/>
      <c r="F184" s="22" t="s">
        <v>188</v>
      </c>
      <c r="G184" s="23" t="str" cm="1">
        <f t="array" ref="G184">IFERROR(LOOKUP(2,1/(K184:GC184&lt;&gt;""),K$2:DQL$2),"")</f>
        <v/>
      </c>
      <c r="H184" s="24" t="str" cm="1">
        <f t="array" ref="H184">IFERROR(_xlfn.XLOOKUP(TRUE,P184:ED184&lt;&gt;"",P184:ED184,,,-1)," ")</f>
        <v xml:space="preserve"> </v>
      </c>
      <c r="I184" s="25">
        <v>24</v>
      </c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34"/>
      <c r="AF184" s="35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7"/>
      <c r="BF184" s="37"/>
      <c r="BG184" s="34"/>
      <c r="BH184" s="34"/>
      <c r="BI184" s="34"/>
      <c r="BJ184" s="37"/>
      <c r="BK184" s="34"/>
      <c r="BL184" s="34"/>
      <c r="BM184" s="37"/>
      <c r="BN184" s="37"/>
      <c r="BO184" s="37"/>
      <c r="BP184" s="34"/>
      <c r="BQ184" s="34"/>
      <c r="BR184" s="34"/>
      <c r="BS184" s="37"/>
      <c r="BT184" s="37"/>
      <c r="BU184" s="34"/>
      <c r="BV184" s="34"/>
      <c r="BW184" s="34"/>
      <c r="BX184" s="37"/>
      <c r="BY184" s="34"/>
      <c r="BZ184" s="34"/>
      <c r="CA184" s="37"/>
      <c r="CB184" s="37"/>
      <c r="CC184" s="34"/>
      <c r="CD184" s="37"/>
      <c r="CE184" s="37"/>
      <c r="CF184" s="37"/>
      <c r="CG184" s="37"/>
      <c r="CH184" s="37"/>
      <c r="CI184" s="37"/>
      <c r="CJ184" s="37"/>
      <c r="CK184" s="37"/>
      <c r="CL184" s="34"/>
      <c r="CM184" s="43"/>
      <c r="CN184" s="37"/>
      <c r="CO184" s="37"/>
      <c r="CP184" s="34"/>
      <c r="CQ184" s="37"/>
      <c r="CR184" s="37"/>
      <c r="CS184" s="37"/>
      <c r="CT184" s="34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9"/>
      <c r="EB184" s="39"/>
      <c r="EC184" s="40"/>
    </row>
    <row r="185" spans="1:133" hidden="1">
      <c r="A185" s="44"/>
      <c r="B185" s="45" t="s">
        <v>441</v>
      </c>
      <c r="C185" s="20" t="s">
        <v>445</v>
      </c>
      <c r="D185" s="21" t="s">
        <v>409</v>
      </c>
      <c r="E185" s="21"/>
      <c r="F185" s="22" t="s">
        <v>188</v>
      </c>
      <c r="G185" s="23" t="str" cm="1">
        <f t="array" ref="G185">IFERROR(LOOKUP(2,1/(K185:GC185&lt;&gt;""),K$2:DQL$2),"")</f>
        <v>18-Aug</v>
      </c>
      <c r="H185" s="24" cm="1">
        <f t="array" ref="H185">IFERROR(_xlfn.XLOOKUP(TRUE,P185:ED185&lt;&gt;"",P185:ED185,,,-1)," ")</f>
        <v>22.2</v>
      </c>
      <c r="I185" s="25">
        <v>24</v>
      </c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34"/>
      <c r="AF185" s="35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>
        <v>22.1</v>
      </c>
      <c r="AZ185" s="34"/>
      <c r="BA185" s="80">
        <v>22.7</v>
      </c>
      <c r="BB185" s="34"/>
      <c r="BC185" s="34"/>
      <c r="BD185" s="34"/>
      <c r="BE185" s="37"/>
      <c r="BF185" s="37">
        <v>22.2</v>
      </c>
      <c r="BG185" s="34"/>
      <c r="BH185" s="34"/>
      <c r="BI185" s="34"/>
      <c r="BJ185" s="37"/>
      <c r="BK185" s="34"/>
      <c r="BL185" s="34"/>
      <c r="BM185" s="37"/>
      <c r="BN185" s="37"/>
      <c r="BO185" s="37"/>
      <c r="BP185" s="34"/>
      <c r="BQ185" s="34"/>
      <c r="BR185" s="34"/>
      <c r="BS185" s="37"/>
      <c r="BT185" s="37"/>
      <c r="BU185" s="34"/>
      <c r="BV185" s="34"/>
      <c r="BW185" s="34"/>
      <c r="BX185" s="37"/>
      <c r="BY185" s="34"/>
      <c r="BZ185" s="34"/>
      <c r="CA185" s="37"/>
      <c r="CB185" s="37"/>
      <c r="CC185" s="34"/>
      <c r="CD185" s="37"/>
      <c r="CE185" s="38"/>
      <c r="CF185" s="37"/>
      <c r="CG185" s="37"/>
      <c r="CH185" s="37"/>
      <c r="CI185" s="37"/>
      <c r="CJ185" s="37"/>
      <c r="CK185" s="37"/>
      <c r="CL185" s="34"/>
      <c r="CM185" s="43"/>
      <c r="CN185" s="37"/>
      <c r="CO185" s="37"/>
      <c r="CP185" s="34"/>
      <c r="CQ185" s="37"/>
      <c r="CR185" s="37"/>
      <c r="CS185" s="38"/>
      <c r="CT185" s="34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9"/>
      <c r="EB185" s="39"/>
      <c r="EC185" s="40"/>
    </row>
    <row r="186" spans="1:133" hidden="1">
      <c r="A186" s="44"/>
      <c r="B186" s="45" t="s">
        <v>446</v>
      </c>
      <c r="C186" s="20" t="s">
        <v>447</v>
      </c>
      <c r="D186" s="21" t="s">
        <v>409</v>
      </c>
      <c r="E186" s="21"/>
      <c r="F186" s="22" t="s">
        <v>261</v>
      </c>
      <c r="G186" s="23" t="str" cm="1">
        <f t="array" ref="G186">IFERROR(LOOKUP(2,1/(K186:GC186&lt;&gt;""),K$2:DQL$2),"")</f>
        <v>7-Aug</v>
      </c>
      <c r="H186" s="24" cm="1">
        <f t="array" ref="H186">IFERROR(_xlfn.XLOOKUP(TRUE,P186:ED186&lt;&gt;"",P186:ED186,,,-1)," ")</f>
        <v>23.2</v>
      </c>
      <c r="I186" s="25">
        <v>23.5</v>
      </c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34"/>
      <c r="AF186" s="35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>
        <v>23.2</v>
      </c>
      <c r="AV186" s="34"/>
      <c r="AW186" s="34"/>
      <c r="AX186" s="34"/>
      <c r="AY186" s="34"/>
      <c r="AZ186" s="34"/>
      <c r="BA186" s="34"/>
      <c r="BB186" s="34"/>
      <c r="BC186" s="34"/>
      <c r="BD186" s="34"/>
      <c r="BE186" s="37"/>
      <c r="BF186" s="37"/>
      <c r="BG186" s="34"/>
      <c r="BH186" s="34"/>
      <c r="BI186" s="34"/>
      <c r="BJ186" s="34"/>
      <c r="BK186" s="34"/>
      <c r="BL186" s="34"/>
      <c r="BM186" s="37"/>
      <c r="BN186" s="34"/>
      <c r="BO186" s="34"/>
      <c r="BP186" s="34"/>
      <c r="BQ186" s="34"/>
      <c r="BR186" s="34"/>
      <c r="BS186" s="37"/>
      <c r="BT186" s="37"/>
      <c r="BU186" s="34"/>
      <c r="BV186" s="34"/>
      <c r="BW186" s="34"/>
      <c r="BX186" s="37"/>
      <c r="BY186" s="34"/>
      <c r="BZ186" s="34"/>
      <c r="CA186" s="37"/>
      <c r="CB186" s="37"/>
      <c r="CC186" s="34"/>
      <c r="CD186" s="37"/>
      <c r="CE186" s="37"/>
      <c r="CF186" s="37"/>
      <c r="CG186" s="37"/>
      <c r="CH186" s="37"/>
      <c r="CI186" s="37"/>
      <c r="CJ186" s="37"/>
      <c r="CK186" s="37"/>
      <c r="CL186" s="34"/>
      <c r="CM186" s="37"/>
      <c r="CN186" s="37"/>
      <c r="CO186" s="37"/>
      <c r="CP186" s="34"/>
      <c r="CQ186" s="37"/>
      <c r="CR186" s="34"/>
      <c r="CS186" s="37"/>
      <c r="CT186" s="34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9"/>
      <c r="EB186" s="39"/>
      <c r="EC186" s="40"/>
    </row>
    <row r="187" spans="1:133" hidden="1">
      <c r="A187" s="44"/>
      <c r="B187" s="45" t="s">
        <v>448</v>
      </c>
      <c r="C187" s="20" t="s">
        <v>449</v>
      </c>
      <c r="D187" s="21" t="s">
        <v>409</v>
      </c>
      <c r="E187" s="21"/>
      <c r="F187" s="22" t="s">
        <v>261</v>
      </c>
      <c r="G187" s="23" t="str" cm="1">
        <f t="array" ref="G187">IFERROR(LOOKUP(2,1/(K187:GC187&lt;&gt;""),K$2:DQL$2),"")</f>
        <v>7-Aug</v>
      </c>
      <c r="H187" s="24" cm="1">
        <f t="array" ref="H187">IFERROR(_xlfn.XLOOKUP(TRUE,P187:ED187&lt;&gt;"",P187:ED187,,,-1)," ")</f>
        <v>23.4</v>
      </c>
      <c r="I187" s="25">
        <v>23.5</v>
      </c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34"/>
      <c r="AF187" s="35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>
        <v>23.4</v>
      </c>
      <c r="AV187" s="34"/>
      <c r="AW187" s="34"/>
      <c r="AX187" s="34"/>
      <c r="AY187" s="34"/>
      <c r="AZ187" s="34"/>
      <c r="BA187" s="34"/>
      <c r="BB187" s="34"/>
      <c r="BC187" s="34"/>
      <c r="BD187" s="34"/>
      <c r="BE187" s="37"/>
      <c r="BF187" s="37"/>
      <c r="BG187" s="34"/>
      <c r="BH187" s="34"/>
      <c r="BI187" s="34"/>
      <c r="BJ187" s="34"/>
      <c r="BK187" s="34"/>
      <c r="BL187" s="34"/>
      <c r="BM187" s="37"/>
      <c r="BN187" s="34"/>
      <c r="BO187" s="34"/>
      <c r="BP187" s="34"/>
      <c r="BQ187" s="34"/>
      <c r="BR187" s="34"/>
      <c r="BS187" s="37"/>
      <c r="BT187" s="37"/>
      <c r="BU187" s="34"/>
      <c r="BV187" s="34"/>
      <c r="BW187" s="34"/>
      <c r="BX187" s="37"/>
      <c r="BY187" s="34"/>
      <c r="BZ187" s="34"/>
      <c r="CA187" s="37"/>
      <c r="CB187" s="37"/>
      <c r="CC187" s="34"/>
      <c r="CD187" s="37"/>
      <c r="CE187" s="37"/>
      <c r="CF187" s="37"/>
      <c r="CG187" s="37"/>
      <c r="CH187" s="37"/>
      <c r="CI187" s="37"/>
      <c r="CJ187" s="37"/>
      <c r="CK187" s="37"/>
      <c r="CL187" s="34"/>
      <c r="CM187" s="37"/>
      <c r="CN187" s="37"/>
      <c r="CO187" s="37"/>
      <c r="CP187" s="34"/>
      <c r="CQ187" s="37"/>
      <c r="CR187" s="34"/>
      <c r="CS187" s="37"/>
      <c r="CT187" s="34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9"/>
      <c r="EB187" s="39"/>
      <c r="EC187" s="40"/>
    </row>
    <row r="188" spans="1:133">
      <c r="A188" s="44"/>
      <c r="B188" s="45" t="s">
        <v>450</v>
      </c>
      <c r="C188" s="20" t="s">
        <v>451</v>
      </c>
      <c r="D188" s="21" t="s">
        <v>409</v>
      </c>
      <c r="E188" s="21"/>
      <c r="F188" s="22" t="s">
        <v>137</v>
      </c>
      <c r="G188" s="23" t="str" cm="1">
        <f t="array" ref="G188">IFERROR(LOOKUP(2,1/(K188:GC188&lt;&gt;""),K$2:DQL$2),"")</f>
        <v>19-Aug</v>
      </c>
      <c r="H188" s="24" cm="1">
        <f t="array" ref="H188">IFERROR(_xlfn.XLOOKUP(TRUE,P188:ED188&lt;&gt;"",P188:ED188,,,-1)," ")</f>
        <v>23.9</v>
      </c>
      <c r="I188" s="25">
        <v>24</v>
      </c>
      <c r="J188" s="25">
        <v>26</v>
      </c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34"/>
      <c r="AF188" s="35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>
        <v>22.4</v>
      </c>
      <c r="AU188" s="34"/>
      <c r="AV188" s="34"/>
      <c r="AW188" s="34"/>
      <c r="AX188" s="34"/>
      <c r="AY188" s="34"/>
      <c r="AZ188" s="34"/>
      <c r="BA188" s="34">
        <v>23.3</v>
      </c>
      <c r="BB188" s="34"/>
      <c r="BC188" s="34"/>
      <c r="BD188" s="34"/>
      <c r="BE188" s="37"/>
      <c r="BF188" s="37"/>
      <c r="BG188" s="36">
        <v>23.9</v>
      </c>
      <c r="BH188" s="34"/>
      <c r="BI188" s="34"/>
      <c r="BJ188" s="37"/>
      <c r="BK188" s="34"/>
      <c r="BL188" s="34"/>
      <c r="BM188" s="37"/>
      <c r="BN188" s="37"/>
      <c r="BO188" s="38"/>
      <c r="BP188" s="34"/>
      <c r="BQ188" s="34"/>
      <c r="BR188" s="36"/>
      <c r="BS188" s="37"/>
      <c r="BT188" s="37"/>
      <c r="BU188" s="34"/>
      <c r="BV188" s="37"/>
      <c r="BW188" s="34"/>
      <c r="BX188" s="37"/>
      <c r="BY188" s="34"/>
      <c r="BZ188" s="34"/>
      <c r="CA188" s="37"/>
      <c r="CB188" s="37"/>
      <c r="CC188" s="34"/>
      <c r="CD188" s="37"/>
      <c r="CE188" s="37"/>
      <c r="CF188" s="37"/>
      <c r="CG188" s="37"/>
      <c r="CH188" s="37"/>
      <c r="CI188" s="37"/>
      <c r="CJ188" s="37"/>
      <c r="CK188" s="37"/>
      <c r="CL188" s="34"/>
      <c r="CM188" s="37"/>
      <c r="CN188" s="37"/>
      <c r="CO188" s="37"/>
      <c r="CP188" s="34"/>
      <c r="CQ188" s="37"/>
      <c r="CR188" s="37"/>
      <c r="CS188" s="37"/>
      <c r="CT188" s="34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9"/>
      <c r="EB188" s="39"/>
      <c r="EC188" s="40"/>
    </row>
    <row r="189" spans="1:133">
      <c r="A189" s="44"/>
      <c r="B189" s="45" t="s">
        <v>452</v>
      </c>
      <c r="C189" s="20" t="s">
        <v>453</v>
      </c>
      <c r="D189" s="21" t="s">
        <v>454</v>
      </c>
      <c r="E189" s="21"/>
      <c r="F189" s="22" t="s">
        <v>137</v>
      </c>
      <c r="G189" s="23" t="str" cm="1">
        <f t="array" ref="G189">IFERROR(LOOKUP(2,1/(K189:GC189&lt;&gt;""),K$2:DQL$2),"")</f>
        <v/>
      </c>
      <c r="H189" s="24" t="str" cm="1">
        <f t="array" ref="H189">IFERROR(_xlfn.XLOOKUP(TRUE,P189:ED189&lt;&gt;"",P189:ED189,,,-1)," ")</f>
        <v xml:space="preserve"> </v>
      </c>
      <c r="I189" s="25">
        <v>22</v>
      </c>
      <c r="J189" s="25">
        <v>23.5</v>
      </c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34"/>
      <c r="AF189" s="35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7"/>
      <c r="BF189" s="37"/>
      <c r="BG189" s="34"/>
      <c r="BH189" s="37"/>
      <c r="BI189" s="37"/>
      <c r="BJ189" s="37"/>
      <c r="BK189" s="34"/>
      <c r="BL189" s="37"/>
      <c r="BM189" s="37"/>
      <c r="BN189" s="37"/>
      <c r="BO189" s="37"/>
      <c r="BP189" s="37"/>
      <c r="BQ189" s="34"/>
      <c r="BR189" s="34"/>
      <c r="BS189" s="37"/>
      <c r="BT189" s="37"/>
      <c r="BU189" s="34"/>
      <c r="BV189" s="34"/>
      <c r="BW189" s="36"/>
      <c r="BX189" s="37"/>
      <c r="BY189" s="34"/>
      <c r="BZ189" s="34"/>
      <c r="CA189" s="37"/>
      <c r="CB189" s="34"/>
      <c r="CC189" s="36"/>
      <c r="CD189" s="34"/>
      <c r="CE189" s="34"/>
      <c r="CF189" s="34"/>
      <c r="CG189" s="34"/>
      <c r="CH189" s="34"/>
      <c r="CI189" s="34"/>
      <c r="CJ189" s="34"/>
      <c r="CK189" s="34"/>
      <c r="CL189" s="34"/>
      <c r="CM189" s="43"/>
      <c r="CN189" s="37"/>
      <c r="CO189" s="37"/>
      <c r="CP189" s="34"/>
      <c r="CQ189" s="34"/>
      <c r="CR189" s="37"/>
      <c r="CS189" s="34"/>
      <c r="CT189" s="34"/>
      <c r="CU189" s="37"/>
      <c r="CV189" s="37"/>
      <c r="CW189" s="34"/>
      <c r="CX189" s="34"/>
      <c r="CY189" s="34"/>
      <c r="CZ189" s="34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9"/>
      <c r="EB189" s="39"/>
      <c r="EC189" s="40"/>
    </row>
    <row r="190" spans="1:133">
      <c r="A190" s="44"/>
      <c r="B190" s="45"/>
      <c r="C190" s="20" t="s">
        <v>455</v>
      </c>
      <c r="D190" s="21" t="s">
        <v>454</v>
      </c>
      <c r="E190" s="21"/>
      <c r="F190" s="22" t="s">
        <v>137</v>
      </c>
      <c r="G190" s="23" t="str" cm="1">
        <f t="array" ref="G190">IFERROR(LOOKUP(2,1/(K190:GC190&lt;&gt;""),K$2:DQL$2),"")</f>
        <v>14-Aug</v>
      </c>
      <c r="H190" s="24" cm="1">
        <f t="array" ref="H190">IFERROR(_xlfn.XLOOKUP(TRUE,P190:ED190&lt;&gt;"",P190:ED190,,,-1)," ")</f>
        <v>20.2</v>
      </c>
      <c r="I190" s="25">
        <v>23</v>
      </c>
      <c r="J190" s="25">
        <v>25</v>
      </c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34"/>
      <c r="AF190" s="35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>
        <v>20.2</v>
      </c>
      <c r="BC190" s="34"/>
      <c r="BD190" s="34"/>
      <c r="BE190" s="37"/>
      <c r="BF190" s="37"/>
      <c r="BG190" s="34"/>
      <c r="BH190" s="34"/>
      <c r="BI190" s="34"/>
      <c r="BJ190" s="34"/>
      <c r="BK190" s="34"/>
      <c r="BL190" s="34"/>
      <c r="BM190" s="37"/>
      <c r="BN190" s="34"/>
      <c r="BO190" s="34"/>
      <c r="BP190" s="34"/>
      <c r="BQ190" s="34"/>
      <c r="BR190" s="34"/>
      <c r="BS190" s="37"/>
      <c r="BT190" s="37"/>
      <c r="BU190" s="34"/>
      <c r="BV190" s="34"/>
      <c r="BW190" s="34"/>
      <c r="BX190" s="37"/>
      <c r="BY190" s="34"/>
      <c r="BZ190" s="36"/>
      <c r="CA190" s="37"/>
      <c r="CB190" s="37"/>
      <c r="CC190" s="34"/>
      <c r="CD190" s="37"/>
      <c r="CE190" s="37"/>
      <c r="CF190" s="37"/>
      <c r="CG190" s="37"/>
      <c r="CH190" s="37"/>
      <c r="CI190" s="37"/>
      <c r="CJ190" s="34"/>
      <c r="CK190" s="37"/>
      <c r="CL190" s="34"/>
      <c r="CM190" s="37"/>
      <c r="CN190" s="37"/>
      <c r="CO190" s="37"/>
      <c r="CP190" s="34"/>
      <c r="CQ190" s="37"/>
      <c r="CR190" s="34"/>
      <c r="CS190" s="37"/>
      <c r="CT190" s="34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9"/>
      <c r="EB190" s="39"/>
      <c r="EC190" s="40"/>
    </row>
    <row r="191" spans="1:133">
      <c r="A191" s="44"/>
      <c r="B191" s="45"/>
      <c r="C191" s="20" t="s">
        <v>456</v>
      </c>
      <c r="D191" s="21" t="s">
        <v>454</v>
      </c>
      <c r="E191" s="21"/>
      <c r="F191" s="22" t="s">
        <v>137</v>
      </c>
      <c r="G191" s="23" t="str" cm="1">
        <f t="array" ref="G191">IFERROR(LOOKUP(2,1/(K191:GC191&lt;&gt;""),K$2:DQL$2),"")</f>
        <v>14-Aug</v>
      </c>
      <c r="H191" s="24" cm="1">
        <f t="array" ref="H191">IFERROR(_xlfn.XLOOKUP(TRUE,P191:ED191&lt;&gt;"",P191:ED191,,,-1)," ")</f>
        <v>21</v>
      </c>
      <c r="I191" s="25">
        <v>23</v>
      </c>
      <c r="J191" s="25">
        <v>25</v>
      </c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34"/>
      <c r="AF191" s="35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>
        <v>17.399999999999999</v>
      </c>
      <c r="AV191" s="34"/>
      <c r="AW191" s="34"/>
      <c r="AX191" s="34"/>
      <c r="AY191" s="34"/>
      <c r="AZ191" s="34"/>
      <c r="BA191" s="34"/>
      <c r="BB191" s="34">
        <v>21</v>
      </c>
      <c r="BC191" s="34"/>
      <c r="BD191" s="34"/>
      <c r="BE191" s="37"/>
      <c r="BF191" s="37"/>
      <c r="BG191" s="34"/>
      <c r="BH191" s="34"/>
      <c r="BI191" s="34"/>
      <c r="BJ191" s="34"/>
      <c r="BK191" s="34"/>
      <c r="BL191" s="34"/>
      <c r="BM191" s="37"/>
      <c r="BN191" s="34"/>
      <c r="BO191" s="34"/>
      <c r="BP191" s="34"/>
      <c r="BQ191" s="34"/>
      <c r="BR191" s="34"/>
      <c r="BS191" s="37"/>
      <c r="BT191" s="37"/>
      <c r="BU191" s="34"/>
      <c r="BV191" s="34"/>
      <c r="BW191" s="34"/>
      <c r="BX191" s="37"/>
      <c r="BY191" s="34"/>
      <c r="BZ191" s="36"/>
      <c r="CA191" s="37"/>
      <c r="CB191" s="37"/>
      <c r="CC191" s="34"/>
      <c r="CD191" s="37"/>
      <c r="CE191" s="37"/>
      <c r="CF191" s="37"/>
      <c r="CG191" s="37"/>
      <c r="CH191" s="37"/>
      <c r="CI191" s="38"/>
      <c r="CJ191" s="34"/>
      <c r="CK191" s="37"/>
      <c r="CL191" s="34"/>
      <c r="CM191" s="37"/>
      <c r="CN191" s="37"/>
      <c r="CO191" s="38"/>
      <c r="CP191" s="34"/>
      <c r="CQ191" s="37"/>
      <c r="CR191" s="34"/>
      <c r="CS191" s="37"/>
      <c r="CT191" s="34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9"/>
      <c r="EB191" s="39"/>
      <c r="EC191" s="40"/>
    </row>
    <row r="192" spans="1:133">
      <c r="A192" s="44"/>
      <c r="B192" s="22"/>
      <c r="C192" s="20" t="s">
        <v>457</v>
      </c>
      <c r="D192" s="21" t="s">
        <v>454</v>
      </c>
      <c r="E192" s="21"/>
      <c r="F192" s="22" t="s">
        <v>137</v>
      </c>
      <c r="G192" s="23" t="str" cm="1">
        <f t="array" ref="G192">IFERROR(LOOKUP(2,1/(K192:GC192&lt;&gt;""),K$2:DQL$2),"")</f>
        <v/>
      </c>
      <c r="H192" s="24" t="str" cm="1">
        <f t="array" ref="H192">IFERROR(_xlfn.XLOOKUP(TRUE,P192:ED192&lt;&gt;"",P192:ED192,,,-1)," ")</f>
        <v xml:space="preserve"> </v>
      </c>
      <c r="I192" s="25">
        <v>23</v>
      </c>
      <c r="J192" s="25">
        <v>25</v>
      </c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7"/>
      <c r="BF192" s="37"/>
      <c r="BG192" s="34"/>
      <c r="BH192" s="34"/>
      <c r="BI192" s="34"/>
      <c r="BJ192" s="34"/>
      <c r="BK192" s="34"/>
      <c r="BL192" s="34"/>
      <c r="BM192" s="37"/>
      <c r="BN192" s="34"/>
      <c r="BO192" s="34"/>
      <c r="BP192" s="34"/>
      <c r="BQ192" s="34"/>
      <c r="BR192" s="34"/>
      <c r="BS192" s="37"/>
      <c r="BT192" s="37"/>
      <c r="BU192" s="34"/>
      <c r="BV192" s="34"/>
      <c r="BW192" s="34"/>
      <c r="BX192" s="37"/>
      <c r="BY192" s="34"/>
      <c r="BZ192" s="36"/>
      <c r="CA192" s="37"/>
      <c r="CB192" s="37"/>
      <c r="CC192" s="34"/>
      <c r="CD192" s="37"/>
      <c r="CE192" s="37"/>
      <c r="CF192" s="37"/>
      <c r="CG192" s="37"/>
      <c r="CH192" s="37"/>
      <c r="CI192" s="37"/>
      <c r="CJ192" s="34"/>
      <c r="CK192" s="37"/>
      <c r="CL192" s="34"/>
      <c r="CM192" s="37"/>
      <c r="CN192" s="37"/>
      <c r="CO192" s="38"/>
      <c r="CP192" s="34"/>
      <c r="CQ192" s="37"/>
      <c r="CR192" s="34"/>
      <c r="CS192" s="37"/>
      <c r="CT192" s="34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9"/>
      <c r="EB192" s="39"/>
      <c r="EC192" s="40"/>
    </row>
    <row r="193" spans="1:133" hidden="1">
      <c r="A193" s="44" t="s">
        <v>138</v>
      </c>
      <c r="B193" s="22" t="s">
        <v>458</v>
      </c>
      <c r="C193" s="20" t="s">
        <v>459</v>
      </c>
      <c r="D193" s="21" t="s">
        <v>460</v>
      </c>
      <c r="E193" s="21"/>
      <c r="F193" s="22" t="s">
        <v>137</v>
      </c>
      <c r="G193" s="23" t="str" cm="1">
        <f t="array" ref="G193">IFERROR(LOOKUP(2,1/(K193:GC193&lt;&gt;""),K$2:DQL$2),"")</f>
        <v>3-Aug</v>
      </c>
      <c r="H193" s="24" cm="1">
        <f t="array" ref="H193">IFERROR(_xlfn.XLOOKUP(TRUE,P193:ED193&lt;&gt;"",P193:ED193,,,-1)," ")</f>
        <v>21.9</v>
      </c>
      <c r="I193" s="25">
        <v>22</v>
      </c>
      <c r="J193" s="25">
        <v>23.5</v>
      </c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6">
        <v>21.9</v>
      </c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7"/>
      <c r="BF193" s="37"/>
      <c r="BG193" s="36"/>
      <c r="BH193" s="37"/>
      <c r="BI193" s="37"/>
      <c r="BJ193" s="38"/>
      <c r="BK193" s="37"/>
      <c r="BL193" s="37"/>
      <c r="BM193" s="37"/>
      <c r="BN193" s="37"/>
      <c r="BO193" s="38"/>
      <c r="BP193" s="38"/>
      <c r="BQ193" s="37"/>
      <c r="BR193" s="34"/>
      <c r="BS193" s="37"/>
      <c r="BT193" s="37"/>
      <c r="BU193" s="34"/>
      <c r="BV193" s="37"/>
      <c r="BW193" s="34"/>
      <c r="BX193" s="37"/>
      <c r="BY193" s="34"/>
      <c r="BZ193" s="34"/>
      <c r="CA193" s="37"/>
      <c r="CB193" s="37"/>
      <c r="CC193" s="34"/>
      <c r="CD193" s="37"/>
      <c r="CE193" s="37"/>
      <c r="CF193" s="37"/>
      <c r="CG193" s="37"/>
      <c r="CH193" s="37"/>
      <c r="CI193" s="37"/>
      <c r="CJ193" s="37"/>
      <c r="CK193" s="37"/>
      <c r="CL193" s="34"/>
      <c r="CM193" s="37"/>
      <c r="CN193" s="37"/>
      <c r="CO193" s="37"/>
      <c r="CP193" s="34"/>
      <c r="CQ193" s="37"/>
      <c r="CR193" s="37"/>
      <c r="CS193" s="37"/>
      <c r="CT193" s="34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9"/>
      <c r="EB193" s="39"/>
      <c r="EC193" s="40"/>
    </row>
    <row r="194" spans="1:133" hidden="1">
      <c r="A194" s="44" t="s">
        <v>138</v>
      </c>
      <c r="B194" s="22" t="s">
        <v>458</v>
      </c>
      <c r="C194" s="20" t="s">
        <v>459</v>
      </c>
      <c r="D194" s="21" t="s">
        <v>460</v>
      </c>
      <c r="E194" s="21"/>
      <c r="F194" s="22" t="s">
        <v>137</v>
      </c>
      <c r="G194" s="23" t="str" cm="1">
        <f t="array" ref="G194">IFERROR(LOOKUP(2,1/(K194:GC194&lt;&gt;""),K$2:DQL$2),"")</f>
        <v>29-Jul</v>
      </c>
      <c r="H194" s="24" cm="1">
        <f t="array" ref="H194">IFERROR(_xlfn.XLOOKUP(TRUE,P194:ED194&lt;&gt;"",P194:ED194,,,-1)," ")</f>
        <v>20.8</v>
      </c>
      <c r="I194" s="25">
        <v>22</v>
      </c>
      <c r="J194" s="25">
        <v>23.5</v>
      </c>
      <c r="K194" s="25"/>
      <c r="L194" s="25"/>
      <c r="M194" s="25"/>
      <c r="N194" s="25"/>
      <c r="O194" s="25"/>
      <c r="P194" s="25"/>
      <c r="Q194" s="25"/>
      <c r="R194" s="25">
        <v>15</v>
      </c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>
        <v>18.3</v>
      </c>
      <c r="AD194" s="25"/>
      <c r="AE194" s="34"/>
      <c r="AF194" s="34"/>
      <c r="AG194" s="34"/>
      <c r="AH194" s="34"/>
      <c r="AI194" s="34"/>
      <c r="AJ194" s="34"/>
      <c r="AK194" s="34"/>
      <c r="AL194" s="34">
        <v>20.8</v>
      </c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7"/>
      <c r="BF194" s="37"/>
      <c r="BG194" s="36"/>
      <c r="BH194" s="37"/>
      <c r="BI194" s="37"/>
      <c r="BJ194" s="38"/>
      <c r="BK194" s="37"/>
      <c r="BL194" s="37"/>
      <c r="BM194" s="37"/>
      <c r="BN194" s="37"/>
      <c r="BO194" s="38"/>
      <c r="BP194" s="38"/>
      <c r="BQ194" s="37"/>
      <c r="BR194" s="34"/>
      <c r="BS194" s="37"/>
      <c r="BT194" s="37"/>
      <c r="BU194" s="34"/>
      <c r="BV194" s="37"/>
      <c r="BW194" s="34"/>
      <c r="BX194" s="37"/>
      <c r="BY194" s="34"/>
      <c r="BZ194" s="34"/>
      <c r="CA194" s="37"/>
      <c r="CB194" s="37"/>
      <c r="CC194" s="34"/>
      <c r="CD194" s="37"/>
      <c r="CE194" s="37"/>
      <c r="CF194" s="37"/>
      <c r="CG194" s="37"/>
      <c r="CH194" s="37"/>
      <c r="CI194" s="37"/>
      <c r="CJ194" s="37"/>
      <c r="CK194" s="37"/>
      <c r="CL194" s="34"/>
      <c r="CM194" s="37"/>
      <c r="CN194" s="37"/>
      <c r="CO194" s="37"/>
      <c r="CP194" s="34"/>
      <c r="CQ194" s="37"/>
      <c r="CR194" s="37"/>
      <c r="CS194" s="37"/>
      <c r="CT194" s="34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9"/>
      <c r="EB194" s="39"/>
      <c r="EC194" s="40"/>
    </row>
    <row r="195" spans="1:133" hidden="1">
      <c r="A195" s="44" t="s">
        <v>138</v>
      </c>
      <c r="B195" s="22" t="s">
        <v>458</v>
      </c>
      <c r="C195" s="20" t="s">
        <v>461</v>
      </c>
      <c r="D195" s="21" t="s">
        <v>460</v>
      </c>
      <c r="E195" s="21"/>
      <c r="F195" s="22" t="s">
        <v>137</v>
      </c>
      <c r="G195" s="23" t="str" cm="1">
        <f t="array" ref="G195">IFERROR(LOOKUP(2,1/(K195:GC195&lt;&gt;""),K$2:DQL$2),"")</f>
        <v>29-Jul</v>
      </c>
      <c r="H195" s="24" cm="1">
        <f t="array" ref="H195">IFERROR(_xlfn.XLOOKUP(TRUE,P195:ED195&lt;&gt;"",P195:ED195,,,-1)," ")</f>
        <v>21.6</v>
      </c>
      <c r="I195" s="25">
        <v>22</v>
      </c>
      <c r="J195" s="25">
        <v>23.5</v>
      </c>
      <c r="K195" s="25"/>
      <c r="L195" s="25"/>
      <c r="M195" s="25"/>
      <c r="N195" s="25"/>
      <c r="O195" s="25"/>
      <c r="P195" s="25"/>
      <c r="Q195" s="25"/>
      <c r="R195" s="25">
        <v>15.2</v>
      </c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>
        <v>18.8</v>
      </c>
      <c r="AD195" s="25"/>
      <c r="AE195" s="34"/>
      <c r="AF195" s="34"/>
      <c r="AG195" s="34"/>
      <c r="AH195" s="34"/>
      <c r="AI195" s="34"/>
      <c r="AJ195" s="34"/>
      <c r="AK195" s="34"/>
      <c r="AL195" s="34">
        <v>21.6</v>
      </c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7"/>
      <c r="BF195" s="37"/>
      <c r="BG195" s="43"/>
      <c r="BH195" s="37"/>
      <c r="BI195" s="37"/>
      <c r="BJ195" s="38"/>
      <c r="BK195" s="37"/>
      <c r="BL195" s="37"/>
      <c r="BM195" s="37"/>
      <c r="BN195" s="37"/>
      <c r="BO195" s="37"/>
      <c r="BP195" s="38"/>
      <c r="BQ195" s="37"/>
      <c r="BR195" s="34"/>
      <c r="BS195" s="37"/>
      <c r="BT195" s="37"/>
      <c r="BU195" s="34"/>
      <c r="BV195" s="37"/>
      <c r="BW195" s="34"/>
      <c r="BX195" s="37"/>
      <c r="BY195" s="34"/>
      <c r="BZ195" s="34"/>
      <c r="CA195" s="37"/>
      <c r="CB195" s="37"/>
      <c r="CC195" s="34"/>
      <c r="CD195" s="37"/>
      <c r="CE195" s="37"/>
      <c r="CF195" s="37"/>
      <c r="CG195" s="37"/>
      <c r="CH195" s="37"/>
      <c r="CI195" s="37"/>
      <c r="CJ195" s="37"/>
      <c r="CK195" s="37"/>
      <c r="CL195" s="34"/>
      <c r="CM195" s="37"/>
      <c r="CN195" s="37"/>
      <c r="CO195" s="37"/>
      <c r="CP195" s="34"/>
      <c r="CQ195" s="37"/>
      <c r="CR195" s="37"/>
      <c r="CS195" s="37"/>
      <c r="CT195" s="34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9"/>
      <c r="EB195" s="39"/>
      <c r="EC195" s="40"/>
    </row>
    <row r="196" spans="1:133" hidden="1">
      <c r="A196" s="44" t="s">
        <v>138</v>
      </c>
      <c r="B196" s="45" t="s">
        <v>462</v>
      </c>
      <c r="C196" s="20" t="s">
        <v>463</v>
      </c>
      <c r="D196" s="21" t="s">
        <v>464</v>
      </c>
      <c r="E196" s="21"/>
      <c r="F196" s="22" t="s">
        <v>465</v>
      </c>
      <c r="G196" s="23" t="str" cm="1">
        <f t="array" ref="G196">IFERROR(LOOKUP(2,1/(K196:GC196&lt;&gt;""),K$2:DQL$2),"")</f>
        <v>6-Aug</v>
      </c>
      <c r="H196" s="227" cm="1">
        <f t="array" ref="H196">IFERROR(_xlfn.XLOOKUP(TRUE,P196:ED196&lt;&gt;"",P196:ED196,,,-1)," ")</f>
        <v>24.9</v>
      </c>
      <c r="I196" s="25">
        <v>23</v>
      </c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34"/>
      <c r="AF196" s="35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>
        <v>24</v>
      </c>
      <c r="AT196" s="36">
        <v>24.9</v>
      </c>
      <c r="AU196" s="34"/>
      <c r="AV196" s="34"/>
      <c r="AW196" s="36"/>
      <c r="AX196" s="34"/>
      <c r="AY196" s="34"/>
      <c r="AZ196" s="34"/>
      <c r="BA196" s="34"/>
      <c r="BB196" s="34"/>
      <c r="BC196" s="34"/>
      <c r="BD196" s="34"/>
      <c r="BE196" s="37"/>
      <c r="BF196" s="37"/>
      <c r="BG196" s="34"/>
      <c r="BH196" s="38"/>
      <c r="BI196" s="34"/>
      <c r="BJ196" s="37"/>
      <c r="BK196" s="37"/>
      <c r="BL196" s="37"/>
      <c r="BM196" s="37"/>
      <c r="BN196" s="34"/>
      <c r="BO196" s="37"/>
      <c r="BP196" s="37"/>
      <c r="BQ196" s="37"/>
      <c r="BR196" s="34"/>
      <c r="BS196" s="37"/>
      <c r="BT196" s="37"/>
      <c r="BU196" s="34"/>
      <c r="BV196" s="37"/>
      <c r="BW196" s="34"/>
      <c r="BX196" s="37"/>
      <c r="BY196" s="34"/>
      <c r="BZ196" s="34"/>
      <c r="CA196" s="37"/>
      <c r="CB196" s="37"/>
      <c r="CC196" s="34"/>
      <c r="CD196" s="37"/>
      <c r="CE196" s="37"/>
      <c r="CF196" s="37"/>
      <c r="CG196" s="37"/>
      <c r="CH196" s="37"/>
      <c r="CI196" s="37"/>
      <c r="CJ196" s="37"/>
      <c r="CK196" s="37"/>
      <c r="CL196" s="34"/>
      <c r="CM196" s="37"/>
      <c r="CN196" s="37"/>
      <c r="CO196" s="37"/>
      <c r="CP196" s="34"/>
      <c r="CQ196" s="37"/>
      <c r="CR196" s="37"/>
      <c r="CS196" s="37"/>
      <c r="CT196" s="34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9"/>
      <c r="EB196" s="39"/>
      <c r="EC196" s="40"/>
    </row>
    <row r="197" spans="1:133" hidden="1">
      <c r="A197" s="44" t="s">
        <v>138</v>
      </c>
      <c r="B197" s="45" t="s">
        <v>466</v>
      </c>
      <c r="C197" s="20" t="s">
        <v>467</v>
      </c>
      <c r="D197" s="21" t="s">
        <v>464</v>
      </c>
      <c r="E197" s="21"/>
      <c r="F197" s="22" t="s">
        <v>137</v>
      </c>
      <c r="G197" s="23" t="str" cm="1">
        <f t="array" ref="G197">IFERROR(LOOKUP(2,1/(K197:GC197&lt;&gt;""),K$2:DQL$2),"")</f>
        <v/>
      </c>
      <c r="H197" s="24" t="str" cm="1">
        <f t="array" ref="H197">IFERROR(_xlfn.XLOOKUP(TRUE,P197:ED197&lt;&gt;"",P197:ED197,,,-1)," ")</f>
        <v xml:space="preserve"> </v>
      </c>
      <c r="I197" s="25">
        <v>23</v>
      </c>
      <c r="J197" s="25">
        <v>24</v>
      </c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34"/>
      <c r="AF197" s="35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7"/>
      <c r="BF197" s="37"/>
      <c r="BG197" s="36"/>
      <c r="BH197" s="37"/>
      <c r="BI197" s="34"/>
      <c r="BJ197" s="37"/>
      <c r="BK197" s="37"/>
      <c r="BL197" s="37"/>
      <c r="BM197" s="37"/>
      <c r="BN197" s="37"/>
      <c r="BO197" s="38"/>
      <c r="BP197" s="37"/>
      <c r="BQ197" s="38"/>
      <c r="BR197" s="34"/>
      <c r="BS197" s="37"/>
      <c r="BT197" s="37"/>
      <c r="BU197" s="34"/>
      <c r="BV197" s="38"/>
      <c r="BW197" s="34"/>
      <c r="BX197" s="37"/>
      <c r="BY197" s="34"/>
      <c r="BZ197" s="34"/>
      <c r="CA197" s="37"/>
      <c r="CB197" s="37"/>
      <c r="CC197" s="34"/>
      <c r="CD197" s="37"/>
      <c r="CE197" s="37"/>
      <c r="CF197" s="37"/>
      <c r="CG197" s="37"/>
      <c r="CH197" s="37"/>
      <c r="CI197" s="37"/>
      <c r="CJ197" s="37"/>
      <c r="CK197" s="37"/>
      <c r="CL197" s="34"/>
      <c r="CM197" s="43"/>
      <c r="CN197" s="37"/>
      <c r="CO197" s="37"/>
      <c r="CP197" s="34"/>
      <c r="CQ197" s="37"/>
      <c r="CR197" s="37"/>
      <c r="CS197" s="37"/>
      <c r="CT197" s="34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9"/>
      <c r="EB197" s="39"/>
      <c r="EC197" s="40"/>
    </row>
    <row r="198" spans="1:133">
      <c r="A198" s="44"/>
      <c r="B198" s="45" t="s">
        <v>468</v>
      </c>
      <c r="C198" s="20" t="s">
        <v>469</v>
      </c>
      <c r="D198" s="21" t="s">
        <v>470</v>
      </c>
      <c r="E198" s="21"/>
      <c r="F198" s="22" t="s">
        <v>137</v>
      </c>
      <c r="G198" s="23" t="str" cm="1">
        <f t="array" ref="G198">IFERROR(LOOKUP(2,1/(K198:GC198&lt;&gt;""),K$2:DQL$2),"")</f>
        <v>19-Aug</v>
      </c>
      <c r="H198" s="24" cm="1">
        <f t="array" ref="H198">IFERROR(_xlfn.XLOOKUP(TRUE,P198:ED198&lt;&gt;"",P198:ED198,,,-1)," ")</f>
        <v>22.3</v>
      </c>
      <c r="I198" s="25">
        <v>24.5</v>
      </c>
      <c r="J198" s="25">
        <v>26</v>
      </c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34"/>
      <c r="AF198" s="35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>
        <v>20</v>
      </c>
      <c r="BA198" s="34"/>
      <c r="BB198" s="34"/>
      <c r="BC198" s="34"/>
      <c r="BD198" s="34"/>
      <c r="BE198" s="37"/>
      <c r="BF198" s="37"/>
      <c r="BG198" s="34">
        <v>22.3</v>
      </c>
      <c r="BH198" s="37"/>
      <c r="BI198" s="34"/>
      <c r="BJ198" s="37"/>
      <c r="BK198" s="37"/>
      <c r="BL198" s="34"/>
      <c r="BM198" s="37"/>
      <c r="BN198" s="37"/>
      <c r="BO198" s="37"/>
      <c r="BP198" s="34"/>
      <c r="BQ198" s="34"/>
      <c r="BR198" s="34"/>
      <c r="BS198" s="37"/>
      <c r="BT198" s="37"/>
      <c r="BU198" s="34"/>
      <c r="BV198" s="34"/>
      <c r="BW198" s="36"/>
      <c r="BX198" s="37"/>
      <c r="BY198" s="34"/>
      <c r="BZ198" s="34"/>
      <c r="CA198" s="38"/>
      <c r="CB198" s="86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7"/>
      <c r="CO198" s="37"/>
      <c r="CP198" s="34"/>
      <c r="CQ198" s="34"/>
      <c r="CR198" s="37"/>
      <c r="CS198" s="34"/>
      <c r="CT198" s="34"/>
      <c r="CU198" s="37"/>
      <c r="CV198" s="37"/>
      <c r="CW198" s="34"/>
      <c r="CX198" s="34"/>
      <c r="CY198" s="34"/>
      <c r="CZ198" s="34"/>
      <c r="DA198" s="34"/>
      <c r="DB198" s="37"/>
      <c r="DC198" s="37"/>
      <c r="DD198" s="34"/>
      <c r="DE198" s="34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9"/>
      <c r="EB198" s="39"/>
      <c r="EC198" s="40"/>
    </row>
    <row r="199" spans="1:133">
      <c r="A199" s="44"/>
      <c r="B199" s="45" t="s">
        <v>471</v>
      </c>
      <c r="C199" s="20" t="s">
        <v>472</v>
      </c>
      <c r="D199" s="21" t="s">
        <v>470</v>
      </c>
      <c r="E199" s="21"/>
      <c r="F199" s="22" t="s">
        <v>137</v>
      </c>
      <c r="G199" s="23" t="str" cm="1">
        <f t="array" ref="G199">IFERROR(LOOKUP(2,1/(K199:GC199&lt;&gt;""),K$2:DQL$2),"")</f>
        <v/>
      </c>
      <c r="H199" s="24" t="str" cm="1">
        <f t="array" ref="H199">IFERROR(_xlfn.XLOOKUP(TRUE,P199:ED199&lt;&gt;"",P199:ED199,,,-1)," ")</f>
        <v xml:space="preserve"> </v>
      </c>
      <c r="I199" s="25">
        <v>24.5</v>
      </c>
      <c r="J199" s="25">
        <v>26</v>
      </c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34"/>
      <c r="AF199" s="35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7"/>
      <c r="BF199" s="37"/>
      <c r="BG199" s="34"/>
      <c r="BH199" s="37"/>
      <c r="BI199" s="34"/>
      <c r="BJ199" s="37"/>
      <c r="BK199" s="37"/>
      <c r="BL199" s="34"/>
      <c r="BM199" s="37"/>
      <c r="BN199" s="37"/>
      <c r="BO199" s="37"/>
      <c r="BP199" s="34"/>
      <c r="BQ199" s="34"/>
      <c r="BR199" s="34"/>
      <c r="BS199" s="37"/>
      <c r="BT199" s="37"/>
      <c r="BU199" s="34"/>
      <c r="BV199" s="34"/>
      <c r="BW199" s="34"/>
      <c r="BX199" s="37"/>
      <c r="BY199" s="34"/>
      <c r="BZ199" s="34"/>
      <c r="CA199" s="37"/>
      <c r="CB199" s="36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7"/>
      <c r="CN199" s="37"/>
      <c r="CO199" s="37"/>
      <c r="CP199" s="34"/>
      <c r="CQ199" s="37"/>
      <c r="CR199" s="37"/>
      <c r="CS199" s="37"/>
      <c r="CT199" s="34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9"/>
      <c r="EB199" s="39"/>
      <c r="EC199" s="40"/>
    </row>
    <row r="200" spans="1:133">
      <c r="A200" s="44"/>
      <c r="B200" s="45" t="s">
        <v>473</v>
      </c>
      <c r="C200" s="20" t="s">
        <v>474</v>
      </c>
      <c r="D200" s="21" t="s">
        <v>470</v>
      </c>
      <c r="E200" s="21"/>
      <c r="F200" s="22" t="s">
        <v>137</v>
      </c>
      <c r="G200" s="23" t="str" cm="1">
        <f t="array" ref="G200">IFERROR(LOOKUP(2,1/(K200:GC200&lt;&gt;""),K$2:DQL$2),"")</f>
        <v>20-Aug</v>
      </c>
      <c r="H200" s="24" cm="1">
        <f t="array" ref="H200">IFERROR(_xlfn.XLOOKUP(TRUE,P200:ED200&lt;&gt;"",P200:ED200,,,-1)," ")</f>
        <v>21.1</v>
      </c>
      <c r="I200" s="25">
        <v>24.5</v>
      </c>
      <c r="J200" s="25">
        <v>26</v>
      </c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34"/>
      <c r="AF200" s="35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7"/>
      <c r="BF200" s="37"/>
      <c r="BG200" s="34"/>
      <c r="BH200" s="37">
        <v>21.1</v>
      </c>
      <c r="BI200" s="34"/>
      <c r="BJ200" s="37"/>
      <c r="BK200" s="37"/>
      <c r="BL200" s="34"/>
      <c r="BM200" s="37"/>
      <c r="BN200" s="37"/>
      <c r="BO200" s="37"/>
      <c r="BP200" s="34"/>
      <c r="BQ200" s="34"/>
      <c r="BR200" s="34"/>
      <c r="BS200" s="37"/>
      <c r="BT200" s="37"/>
      <c r="BU200" s="34"/>
      <c r="BV200" s="34"/>
      <c r="BW200" s="34"/>
      <c r="BX200" s="37"/>
      <c r="BY200" s="34"/>
      <c r="BZ200" s="34"/>
      <c r="CA200" s="37"/>
      <c r="CB200" s="34"/>
      <c r="CC200" s="34"/>
      <c r="CD200" s="34"/>
      <c r="CE200" s="34"/>
      <c r="CF200" s="34"/>
      <c r="CG200" s="34"/>
      <c r="CH200" s="34"/>
      <c r="CI200" s="36"/>
      <c r="CJ200" s="34"/>
      <c r="CK200" s="34"/>
      <c r="CL200" s="34"/>
      <c r="CM200" s="37"/>
      <c r="CN200" s="37"/>
      <c r="CO200" s="37"/>
      <c r="CP200" s="34"/>
      <c r="CQ200" s="37"/>
      <c r="CR200" s="37"/>
      <c r="CS200" s="37"/>
      <c r="CT200" s="34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9"/>
      <c r="EB200" s="39"/>
      <c r="EC200" s="40"/>
    </row>
    <row r="201" spans="1:133">
      <c r="A201" s="44"/>
      <c r="B201" s="45" t="s">
        <v>475</v>
      </c>
      <c r="C201" s="20" t="s">
        <v>476</v>
      </c>
      <c r="D201" s="21" t="s">
        <v>470</v>
      </c>
      <c r="E201" s="21"/>
      <c r="F201" s="22" t="s">
        <v>137</v>
      </c>
      <c r="G201" s="23" t="str" cm="1">
        <f t="array" ref="G201">IFERROR(LOOKUP(2,1/(K201:GC201&lt;&gt;""),K$2:DQL$2),"")</f>
        <v>20-Aug</v>
      </c>
      <c r="H201" s="24" cm="1">
        <f t="array" ref="H201">IFERROR(_xlfn.XLOOKUP(TRUE,P201:ED201&lt;&gt;"",P201:ED201,,,-1)," ")</f>
        <v>21.4</v>
      </c>
      <c r="I201" s="25">
        <v>24.5</v>
      </c>
      <c r="J201" s="25">
        <v>26</v>
      </c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34"/>
      <c r="AF201" s="35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7"/>
      <c r="BF201" s="37"/>
      <c r="BG201" s="34"/>
      <c r="BH201" s="37">
        <v>21.4</v>
      </c>
      <c r="BI201" s="34"/>
      <c r="BJ201" s="37"/>
      <c r="BK201" s="34"/>
      <c r="BL201" s="34"/>
      <c r="BM201" s="37"/>
      <c r="BN201" s="37"/>
      <c r="BO201" s="37"/>
      <c r="BP201" s="34"/>
      <c r="BQ201" s="34"/>
      <c r="BR201" s="34"/>
      <c r="BS201" s="37"/>
      <c r="BT201" s="37"/>
      <c r="BU201" s="34"/>
      <c r="BV201" s="34"/>
      <c r="BW201" s="34"/>
      <c r="BX201" s="37"/>
      <c r="BY201" s="34"/>
      <c r="BZ201" s="34"/>
      <c r="CA201" s="37"/>
      <c r="CB201" s="34"/>
      <c r="CC201" s="34"/>
      <c r="CD201" s="34"/>
      <c r="CE201" s="34"/>
      <c r="CF201" s="34"/>
      <c r="CG201" s="34"/>
      <c r="CH201" s="34"/>
      <c r="CI201" s="36"/>
      <c r="CJ201" s="34"/>
      <c r="CK201" s="34"/>
      <c r="CL201" s="34"/>
      <c r="CM201" s="37"/>
      <c r="CN201" s="37"/>
      <c r="CO201" s="37"/>
      <c r="CP201" s="34"/>
      <c r="CQ201" s="37"/>
      <c r="CR201" s="37"/>
      <c r="CS201" s="37"/>
      <c r="CT201" s="34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9"/>
      <c r="EB201" s="39"/>
      <c r="EC201" s="40"/>
    </row>
    <row r="202" spans="1:133" hidden="1">
      <c r="A202" s="44"/>
      <c r="B202" s="45" t="s">
        <v>211</v>
      </c>
      <c r="C202" s="20" t="s">
        <v>477</v>
      </c>
      <c r="D202" s="21" t="s">
        <v>470</v>
      </c>
      <c r="E202" s="21"/>
      <c r="F202" s="22"/>
      <c r="G202" s="23" t="str" cm="1">
        <f t="array" ref="G202">IFERROR(LOOKUP(2,1/(K202:GC202&lt;&gt;""),K$2:DQL$2),"")</f>
        <v/>
      </c>
      <c r="H202" s="24" t="str" cm="1">
        <f t="array" ref="H202">IFERROR(_xlfn.XLOOKUP(TRUE,P202:ED202&lt;&gt;"",P202:ED202,,,-1)," ")</f>
        <v xml:space="preserve"> </v>
      </c>
      <c r="I202" s="25">
        <v>25</v>
      </c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34"/>
      <c r="AF202" s="35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7"/>
      <c r="BF202" s="37"/>
      <c r="BG202" s="34"/>
      <c r="BH202" s="37"/>
      <c r="BI202" s="34"/>
      <c r="BJ202" s="37"/>
      <c r="BK202" s="37"/>
      <c r="BL202" s="34"/>
      <c r="BM202" s="37"/>
      <c r="BN202" s="37"/>
      <c r="BO202" s="37"/>
      <c r="BP202" s="34"/>
      <c r="BQ202" s="34"/>
      <c r="BR202" s="34"/>
      <c r="BS202" s="37"/>
      <c r="BT202" s="37"/>
      <c r="BU202" s="34"/>
      <c r="BV202" s="34"/>
      <c r="BW202" s="34"/>
      <c r="BX202" s="37"/>
      <c r="BY202" s="34"/>
      <c r="BZ202" s="34"/>
      <c r="CA202" s="37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43"/>
      <c r="CN202" s="37"/>
      <c r="CO202" s="37"/>
      <c r="CP202" s="34"/>
      <c r="CQ202" s="34"/>
      <c r="CR202" s="37"/>
      <c r="CS202" s="34"/>
      <c r="CT202" s="34"/>
      <c r="CU202" s="37"/>
      <c r="CV202" s="37"/>
      <c r="CW202" s="34"/>
      <c r="CX202" s="34"/>
      <c r="CY202" s="34"/>
      <c r="CZ202" s="34"/>
      <c r="DA202" s="34"/>
      <c r="DB202" s="37"/>
      <c r="DC202" s="37"/>
      <c r="DD202" s="34"/>
      <c r="DE202" s="34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9"/>
      <c r="EB202" s="39"/>
      <c r="EC202" s="40"/>
    </row>
    <row r="203" spans="1:133" hidden="1">
      <c r="A203" s="44"/>
      <c r="B203" s="45" t="s">
        <v>478</v>
      </c>
      <c r="C203" s="20" t="s">
        <v>479</v>
      </c>
      <c r="D203" s="21" t="s">
        <v>470</v>
      </c>
      <c r="E203" s="21"/>
      <c r="F203" s="22" t="s">
        <v>188</v>
      </c>
      <c r="G203" s="23" t="str" cm="1">
        <f t="array" ref="G203">IFERROR(LOOKUP(2,1/(K203:GC203&lt;&gt;""),K$2:DQL$2),"")</f>
        <v>18-Aug</v>
      </c>
      <c r="H203" s="24" cm="1">
        <f t="array" ref="H203">IFERROR(_xlfn.XLOOKUP(TRUE,P203:ED203&lt;&gt;"",P203:ED203,,,-1)," ")</f>
        <v>22.9</v>
      </c>
      <c r="I203" s="25">
        <v>25</v>
      </c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>
        <v>15</v>
      </c>
      <c r="AE203" s="34"/>
      <c r="AF203" s="35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>
        <v>21.8</v>
      </c>
      <c r="AW203" s="34"/>
      <c r="AX203" s="34"/>
      <c r="AY203" s="34"/>
      <c r="AZ203" s="34"/>
      <c r="BA203" s="34"/>
      <c r="BB203" s="248">
        <v>21.7</v>
      </c>
      <c r="BC203" s="34"/>
      <c r="BD203" s="34"/>
      <c r="BE203" s="37"/>
      <c r="BF203" s="37">
        <v>22.9</v>
      </c>
      <c r="BG203" s="34"/>
      <c r="BH203" s="37"/>
      <c r="BI203" s="34"/>
      <c r="BJ203" s="37"/>
      <c r="BK203" s="37"/>
      <c r="BL203" s="34"/>
      <c r="BM203" s="37"/>
      <c r="BN203" s="37"/>
      <c r="BO203" s="37"/>
      <c r="BP203" s="34"/>
      <c r="BQ203" s="34"/>
      <c r="BR203" s="34"/>
      <c r="BS203" s="37"/>
      <c r="BT203" s="37"/>
      <c r="BU203" s="34"/>
      <c r="BV203" s="34"/>
      <c r="BW203" s="34"/>
      <c r="BX203" s="34"/>
      <c r="BY203" s="34"/>
      <c r="BZ203" s="34"/>
      <c r="CA203" s="37"/>
      <c r="CB203" s="34"/>
      <c r="CC203" s="34"/>
      <c r="CD203" s="34"/>
      <c r="CE203" s="34"/>
      <c r="CF203" s="34"/>
      <c r="CG203" s="34"/>
      <c r="CH203" s="42"/>
      <c r="CI203" s="34"/>
      <c r="CJ203" s="34"/>
      <c r="CK203" s="34"/>
      <c r="CL203" s="34"/>
      <c r="CM203" s="43"/>
      <c r="CN203" s="37"/>
      <c r="CO203" s="37"/>
      <c r="CP203" s="34"/>
      <c r="CQ203" s="34"/>
      <c r="CR203" s="37"/>
      <c r="CS203" s="34"/>
      <c r="CT203" s="34"/>
      <c r="CU203" s="37"/>
      <c r="CV203" s="37"/>
      <c r="CW203" s="34"/>
      <c r="CX203" s="34"/>
      <c r="CY203" s="34"/>
      <c r="CZ203" s="34"/>
      <c r="DA203" s="34"/>
      <c r="DB203" s="37"/>
      <c r="DC203" s="37"/>
      <c r="DD203" s="34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9"/>
      <c r="EB203" s="39"/>
      <c r="EC203" s="40"/>
    </row>
    <row r="204" spans="1:133" hidden="1">
      <c r="A204" s="44"/>
      <c r="B204" s="45" t="s">
        <v>478</v>
      </c>
      <c r="C204" s="20" t="s">
        <v>480</v>
      </c>
      <c r="D204" s="21" t="s">
        <v>470</v>
      </c>
      <c r="E204" s="21"/>
      <c r="F204" s="22" t="s">
        <v>188</v>
      </c>
      <c r="G204" s="23" t="str" cm="1">
        <f t="array" ref="G204">IFERROR(LOOKUP(2,1/(K204:GC204&lt;&gt;""),K$2:DQL$2),"")</f>
        <v/>
      </c>
      <c r="H204" s="24" t="str" cm="1">
        <f t="array" ref="H204">IFERROR(_xlfn.XLOOKUP(TRUE,P204:ED204&lt;&gt;"",P204:ED204,,,-1)," ")</f>
        <v xml:space="preserve"> </v>
      </c>
      <c r="I204" s="25">
        <v>25</v>
      </c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34"/>
      <c r="AF204" s="35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7"/>
      <c r="BF204" s="37"/>
      <c r="BG204" s="34"/>
      <c r="BH204" s="37"/>
      <c r="BI204" s="34"/>
      <c r="BJ204" s="37"/>
      <c r="BK204" s="37"/>
      <c r="BL204" s="34"/>
      <c r="BM204" s="37"/>
      <c r="BN204" s="37"/>
      <c r="BO204" s="37"/>
      <c r="BP204" s="34"/>
      <c r="BQ204" s="34"/>
      <c r="BR204" s="34"/>
      <c r="BS204" s="37"/>
      <c r="BT204" s="37"/>
      <c r="BU204" s="34"/>
      <c r="BV204" s="34"/>
      <c r="BW204" s="34"/>
      <c r="BX204" s="37"/>
      <c r="BY204" s="34"/>
      <c r="BZ204" s="34"/>
      <c r="CA204" s="37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43"/>
      <c r="CN204" s="37"/>
      <c r="CO204" s="37"/>
      <c r="CP204" s="34"/>
      <c r="CQ204" s="34"/>
      <c r="CR204" s="37"/>
      <c r="CS204" s="34"/>
      <c r="CT204" s="34"/>
      <c r="CU204" s="37"/>
      <c r="CV204" s="37"/>
      <c r="CW204" s="34"/>
      <c r="CX204" s="34"/>
      <c r="CY204" s="34"/>
      <c r="CZ204" s="34"/>
      <c r="DA204" s="34"/>
      <c r="DB204" s="37"/>
      <c r="DC204" s="37"/>
      <c r="DD204" s="34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9"/>
      <c r="EB204" s="39"/>
      <c r="EC204" s="40"/>
    </row>
    <row r="205" spans="1:133" hidden="1">
      <c r="A205" s="44"/>
      <c r="B205" s="45" t="s">
        <v>478</v>
      </c>
      <c r="C205" s="20" t="s">
        <v>481</v>
      </c>
      <c r="D205" s="21" t="s">
        <v>470</v>
      </c>
      <c r="E205" s="21"/>
      <c r="F205" s="22" t="s">
        <v>188</v>
      </c>
      <c r="G205" s="23" t="str" cm="1">
        <f t="array" ref="G205">IFERROR(LOOKUP(2,1/(K205:GC205&lt;&gt;""),K$2:DQL$2),"")</f>
        <v/>
      </c>
      <c r="H205" s="24" t="str" cm="1">
        <f t="array" ref="H205">IFERROR(_xlfn.XLOOKUP(TRUE,P205:ED205&lt;&gt;"",P205:ED205,,,-1)," ")</f>
        <v xml:space="preserve"> </v>
      </c>
      <c r="I205" s="25">
        <v>25</v>
      </c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34"/>
      <c r="AF205" s="35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7"/>
      <c r="BF205" s="37"/>
      <c r="BG205" s="34"/>
      <c r="BH205" s="37"/>
      <c r="BI205" s="34"/>
      <c r="BJ205" s="37"/>
      <c r="BK205" s="37"/>
      <c r="BL205" s="34"/>
      <c r="BM205" s="37"/>
      <c r="BN205" s="37"/>
      <c r="BO205" s="37"/>
      <c r="BP205" s="34"/>
      <c r="BQ205" s="34"/>
      <c r="BR205" s="34"/>
      <c r="BS205" s="37"/>
      <c r="BT205" s="37"/>
      <c r="BU205" s="34"/>
      <c r="BV205" s="34"/>
      <c r="BW205" s="34"/>
      <c r="BX205" s="37"/>
      <c r="BY205" s="34"/>
      <c r="BZ205" s="34"/>
      <c r="CA205" s="37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43"/>
      <c r="CN205" s="37"/>
      <c r="CO205" s="37"/>
      <c r="CP205" s="34"/>
      <c r="CQ205" s="34"/>
      <c r="CR205" s="37"/>
      <c r="CS205" s="34"/>
      <c r="CT205" s="34"/>
      <c r="CU205" s="37"/>
      <c r="CV205" s="37"/>
      <c r="CW205" s="34"/>
      <c r="CX205" s="34"/>
      <c r="CY205" s="34"/>
      <c r="CZ205" s="34"/>
      <c r="DA205" s="34"/>
      <c r="DB205" s="37"/>
      <c r="DC205" s="37"/>
      <c r="DD205" s="34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7"/>
      <c r="DR205" s="37"/>
      <c r="DS205" s="37"/>
      <c r="DT205" s="37"/>
      <c r="DU205" s="37"/>
      <c r="DV205" s="37"/>
      <c r="DW205" s="37"/>
      <c r="DX205" s="37"/>
      <c r="DY205" s="37"/>
      <c r="DZ205" s="37"/>
      <c r="EA205" s="39"/>
      <c r="EB205" s="39"/>
      <c r="EC205" s="40"/>
    </row>
    <row r="206" spans="1:133">
      <c r="A206" s="44"/>
      <c r="B206" s="45" t="s">
        <v>221</v>
      </c>
      <c r="C206" s="21" t="s">
        <v>482</v>
      </c>
      <c r="D206" s="21" t="s">
        <v>470</v>
      </c>
      <c r="E206" s="21"/>
      <c r="F206" s="22" t="s">
        <v>137</v>
      </c>
      <c r="G206" s="23" t="str" cm="1">
        <f t="array" ref="G206">IFERROR(LOOKUP(2,1/(K206:GC206&lt;&gt;""),K$2:DQL$2),"")</f>
        <v/>
      </c>
      <c r="H206" s="24" t="str" cm="1">
        <f t="array" ref="H206">IFERROR(_xlfn.XLOOKUP(TRUE,P206:ED206&lt;&gt;"",P206:ED206,,,-1)," ")</f>
        <v xml:space="preserve"> </v>
      </c>
      <c r="I206" s="25">
        <v>25</v>
      </c>
      <c r="J206" s="25">
        <v>26</v>
      </c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34"/>
      <c r="AF206" s="35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43"/>
      <c r="BF206" s="43"/>
      <c r="BG206" s="34"/>
      <c r="BH206" s="43"/>
      <c r="BI206" s="34"/>
      <c r="BJ206" s="43"/>
      <c r="BK206" s="43"/>
      <c r="BL206" s="34"/>
      <c r="BM206" s="43"/>
      <c r="BN206" s="43"/>
      <c r="BO206" s="43"/>
      <c r="BP206" s="34"/>
      <c r="BQ206" s="34"/>
      <c r="BR206" s="34"/>
      <c r="BS206" s="43"/>
      <c r="BT206" s="43"/>
      <c r="BU206" s="34"/>
      <c r="BV206" s="34"/>
      <c r="BW206" s="34"/>
      <c r="BX206" s="43"/>
      <c r="BY206" s="34"/>
      <c r="BZ206" s="34"/>
      <c r="CA206" s="43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43"/>
      <c r="CN206" s="43"/>
      <c r="CO206" s="43"/>
      <c r="CP206" s="34"/>
      <c r="CQ206" s="34"/>
      <c r="CR206" s="43"/>
      <c r="CS206" s="43"/>
      <c r="CT206" s="34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3"/>
      <c r="DQ206" s="43"/>
      <c r="DR206" s="43"/>
      <c r="DS206" s="43"/>
      <c r="DT206" s="43"/>
      <c r="DU206" s="43"/>
      <c r="DV206" s="43"/>
      <c r="DW206" s="43"/>
      <c r="DX206" s="43"/>
      <c r="DY206" s="43"/>
      <c r="DZ206" s="43"/>
      <c r="EA206" s="22"/>
      <c r="EB206" s="22"/>
      <c r="EC206" s="45"/>
    </row>
    <row r="207" spans="1:133">
      <c r="A207" s="44"/>
      <c r="B207" s="45" t="s">
        <v>221</v>
      </c>
      <c r="C207" s="21" t="s">
        <v>483</v>
      </c>
      <c r="D207" s="21" t="s">
        <v>470</v>
      </c>
      <c r="E207" s="21"/>
      <c r="F207" s="22" t="s">
        <v>137</v>
      </c>
      <c r="G207" s="23" t="str" cm="1">
        <f t="array" ref="G207">IFERROR(LOOKUP(2,1/(K207:GC207&lt;&gt;""),K$2:DQL$2),"")</f>
        <v>18-Aug</v>
      </c>
      <c r="H207" s="24" cm="1">
        <f t="array" ref="H207">IFERROR(_xlfn.XLOOKUP(TRUE,P207:ED207&lt;&gt;"",P207:ED207,,,-1)," ")</f>
        <v>23.2</v>
      </c>
      <c r="I207" s="25">
        <v>25</v>
      </c>
      <c r="J207" s="25">
        <v>26</v>
      </c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34"/>
      <c r="AF207" s="35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43"/>
      <c r="BF207" s="41">
        <v>23.2</v>
      </c>
      <c r="BG207" s="34"/>
      <c r="BH207" s="43"/>
      <c r="BI207" s="34"/>
      <c r="BJ207" s="43"/>
      <c r="BK207" s="43"/>
      <c r="BL207" s="34"/>
      <c r="BM207" s="43"/>
      <c r="BN207" s="43"/>
      <c r="BO207" s="43"/>
      <c r="BP207" s="34"/>
      <c r="BQ207" s="34"/>
      <c r="BR207" s="34"/>
      <c r="BS207" s="43"/>
      <c r="BT207" s="43"/>
      <c r="BU207" s="34"/>
      <c r="BV207" s="34"/>
      <c r="BW207" s="34"/>
      <c r="BX207" s="43"/>
      <c r="BY207" s="34"/>
      <c r="BZ207" s="34"/>
      <c r="CA207" s="43"/>
      <c r="CB207" s="36"/>
      <c r="CC207" s="34"/>
      <c r="CD207" s="34"/>
      <c r="CE207" s="34"/>
      <c r="CF207" s="34"/>
      <c r="CG207" s="34"/>
      <c r="CH207" s="34"/>
      <c r="CI207" s="34"/>
      <c r="CJ207" s="34"/>
      <c r="CK207" s="36"/>
      <c r="CL207" s="34"/>
      <c r="CM207" s="43"/>
      <c r="CN207" s="43"/>
      <c r="CO207" s="43"/>
      <c r="CP207" s="34"/>
      <c r="CQ207" s="34"/>
      <c r="CR207" s="43"/>
      <c r="CS207" s="43"/>
      <c r="CT207" s="34"/>
      <c r="CU207" s="43"/>
      <c r="CV207" s="43"/>
      <c r="CW207" s="21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3"/>
      <c r="DQ207" s="43"/>
      <c r="DR207" s="43"/>
      <c r="DS207" s="43"/>
      <c r="DT207" s="43"/>
      <c r="DU207" s="43"/>
      <c r="DV207" s="43"/>
      <c r="DW207" s="43"/>
      <c r="DX207" s="43"/>
      <c r="DY207" s="43"/>
      <c r="DZ207" s="43"/>
      <c r="EA207" s="22"/>
      <c r="EB207" s="22"/>
      <c r="EC207" s="45"/>
    </row>
    <row r="208" spans="1:133">
      <c r="A208" s="44"/>
      <c r="B208" s="45" t="s">
        <v>221</v>
      </c>
      <c r="C208" s="21" t="s">
        <v>484</v>
      </c>
      <c r="D208" s="21" t="s">
        <v>470</v>
      </c>
      <c r="E208" s="21"/>
      <c r="F208" s="22" t="s">
        <v>137</v>
      </c>
      <c r="G208" s="23" t="str" cm="1">
        <f t="array" ref="G208">IFERROR(LOOKUP(2,1/(K208:GC208&lt;&gt;""),K$2:DQL$2),"")</f>
        <v>18-Aug</v>
      </c>
      <c r="H208" s="24" cm="1">
        <f t="array" ref="H208">IFERROR(_xlfn.XLOOKUP(TRUE,P208:ED208&lt;&gt;"",P208:ED208,,,-1)," ")</f>
        <v>21.8</v>
      </c>
      <c r="I208" s="25">
        <v>25</v>
      </c>
      <c r="J208" s="25">
        <v>26</v>
      </c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34"/>
      <c r="AF208" s="35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43"/>
      <c r="BF208" s="41">
        <v>21.8</v>
      </c>
      <c r="BG208" s="34"/>
      <c r="BH208" s="43"/>
      <c r="BI208" s="34"/>
      <c r="BJ208" s="43"/>
      <c r="BK208" s="43"/>
      <c r="BL208" s="34"/>
      <c r="BM208" s="43"/>
      <c r="BN208" s="43"/>
      <c r="BO208" s="43"/>
      <c r="BP208" s="34"/>
      <c r="BQ208" s="34"/>
      <c r="BR208" s="34"/>
      <c r="BS208" s="43"/>
      <c r="BT208" s="43"/>
      <c r="BU208" s="34"/>
      <c r="BV208" s="34"/>
      <c r="BW208" s="34"/>
      <c r="BX208" s="43"/>
      <c r="BY208" s="34"/>
      <c r="BZ208" s="34"/>
      <c r="CA208" s="43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43"/>
      <c r="CN208" s="43"/>
      <c r="CO208" s="43"/>
      <c r="CP208" s="34"/>
      <c r="CQ208" s="34"/>
      <c r="CR208" s="43"/>
      <c r="CS208" s="43"/>
      <c r="CT208" s="34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22"/>
      <c r="EB208" s="22"/>
      <c r="EC208" s="45"/>
    </row>
    <row r="209" spans="1:133">
      <c r="A209" s="44"/>
      <c r="B209" s="45" t="s">
        <v>221</v>
      </c>
      <c r="C209" s="21" t="s">
        <v>485</v>
      </c>
      <c r="D209" s="21" t="s">
        <v>470</v>
      </c>
      <c r="E209" s="21"/>
      <c r="F209" s="22" t="s">
        <v>137</v>
      </c>
      <c r="G209" s="23" t="str" cm="1">
        <f t="array" ref="G209">IFERROR(LOOKUP(2,1/(K209:GC209&lt;&gt;""),K$2:DQL$2),"")</f>
        <v/>
      </c>
      <c r="H209" s="24" t="str" cm="1">
        <f t="array" ref="H209">IFERROR(_xlfn.XLOOKUP(TRUE,P209:ED209&lt;&gt;"",P209:ED209,,,-1)," ")</f>
        <v xml:space="preserve"> </v>
      </c>
      <c r="I209" s="25">
        <v>25</v>
      </c>
      <c r="J209" s="25">
        <v>26</v>
      </c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34"/>
      <c r="AF209" s="35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43"/>
      <c r="BF209" s="43"/>
      <c r="BG209" s="34"/>
      <c r="BH209" s="43"/>
      <c r="BI209" s="34"/>
      <c r="BJ209" s="43"/>
      <c r="BK209" s="43"/>
      <c r="BL209" s="34"/>
      <c r="BM209" s="43"/>
      <c r="BN209" s="43"/>
      <c r="BO209" s="43"/>
      <c r="BP209" s="34"/>
      <c r="BQ209" s="34"/>
      <c r="BR209" s="34"/>
      <c r="BS209" s="43"/>
      <c r="BT209" s="43"/>
      <c r="BU209" s="34"/>
      <c r="BV209" s="34"/>
      <c r="BW209" s="34"/>
      <c r="BX209" s="43"/>
      <c r="BY209" s="34"/>
      <c r="BZ209" s="34"/>
      <c r="CA209" s="43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43"/>
      <c r="CN209" s="43"/>
      <c r="CO209" s="43"/>
      <c r="CP209" s="34"/>
      <c r="CQ209" s="34"/>
      <c r="CR209" s="43"/>
      <c r="CS209" s="43"/>
      <c r="CT209" s="34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22"/>
      <c r="EB209" s="22"/>
      <c r="EC209" s="45"/>
    </row>
    <row r="210" spans="1:133">
      <c r="A210" s="44"/>
      <c r="B210" s="45" t="s">
        <v>221</v>
      </c>
      <c r="C210" s="21" t="s">
        <v>486</v>
      </c>
      <c r="D210" s="21" t="s">
        <v>470</v>
      </c>
      <c r="E210" s="21"/>
      <c r="F210" s="22" t="s">
        <v>137</v>
      </c>
      <c r="G210" s="23" t="str" cm="1">
        <f t="array" ref="G210">IFERROR(LOOKUP(2,1/(K210:GC210&lt;&gt;""),K$2:DQL$2),"")</f>
        <v>14-Aug</v>
      </c>
      <c r="H210" s="24" cm="1">
        <f t="array" ref="H210">IFERROR(_xlfn.XLOOKUP(TRUE,P210:ED210&lt;&gt;"",P210:ED210,,,-1)," ")</f>
        <v>25.1</v>
      </c>
      <c r="I210" s="25">
        <v>25</v>
      </c>
      <c r="J210" s="25">
        <v>26</v>
      </c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34"/>
      <c r="AF210" s="35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>
        <v>23.7</v>
      </c>
      <c r="AW210" s="34"/>
      <c r="AX210" s="34"/>
      <c r="AY210" s="34"/>
      <c r="AZ210" s="34"/>
      <c r="BA210" s="34"/>
      <c r="BB210" s="34">
        <v>25.1</v>
      </c>
      <c r="BC210" s="34"/>
      <c r="BD210" s="34"/>
      <c r="BE210" s="43"/>
      <c r="BF210" s="43"/>
      <c r="BG210" s="34"/>
      <c r="BH210" s="43"/>
      <c r="BI210" s="34"/>
      <c r="BJ210" s="43"/>
      <c r="BK210" s="43"/>
      <c r="BL210" s="34"/>
      <c r="BM210" s="43"/>
      <c r="BN210" s="43"/>
      <c r="BO210" s="43"/>
      <c r="BP210" s="34"/>
      <c r="BQ210" s="34"/>
      <c r="BR210" s="34"/>
      <c r="BS210" s="43"/>
      <c r="BT210" s="43"/>
      <c r="BU210" s="34"/>
      <c r="BV210" s="34"/>
      <c r="BW210" s="34"/>
      <c r="BX210" s="43"/>
      <c r="BY210" s="34"/>
      <c r="BZ210" s="34"/>
      <c r="CA210" s="43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43"/>
      <c r="CN210" s="43"/>
      <c r="CO210" s="43"/>
      <c r="CP210" s="34"/>
      <c r="CQ210" s="34"/>
      <c r="CR210" s="43"/>
      <c r="CS210" s="43"/>
      <c r="CT210" s="34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39"/>
      <c r="EB210" s="39"/>
      <c r="EC210" s="40"/>
    </row>
    <row r="211" spans="1:133" hidden="1">
      <c r="A211" s="44"/>
      <c r="B211" s="45" t="s">
        <v>487</v>
      </c>
      <c r="C211" s="20" t="s">
        <v>488</v>
      </c>
      <c r="D211" s="21" t="s">
        <v>470</v>
      </c>
      <c r="E211" s="21"/>
      <c r="F211" s="22" t="s">
        <v>340</v>
      </c>
      <c r="G211" s="23" t="str" cm="1">
        <f t="array" ref="G211">IFERROR(LOOKUP(2,1/(K211:GC211&lt;&gt;""),K$2:DQL$2),"")</f>
        <v>18-Aug</v>
      </c>
      <c r="H211" s="24" cm="1">
        <f t="array" ref="H211">IFERROR(_xlfn.XLOOKUP(TRUE,P211:ED211&lt;&gt;"",P211:ED211,,,-1)," ")</f>
        <v>22.2</v>
      </c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34"/>
      <c r="AF211" s="35"/>
      <c r="AG211" s="34"/>
      <c r="AH211" s="34"/>
      <c r="AI211" s="34"/>
      <c r="AJ211" s="34"/>
      <c r="AK211" s="34"/>
      <c r="AL211" s="248">
        <v>17.399999999999999</v>
      </c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>
        <v>21.1</v>
      </c>
      <c r="AZ211" s="34"/>
      <c r="BA211" s="34"/>
      <c r="BB211" s="34"/>
      <c r="BC211" s="34"/>
      <c r="BD211" s="34"/>
      <c r="BE211" s="37"/>
      <c r="BF211" s="37">
        <v>22.2</v>
      </c>
      <c r="BG211" s="34"/>
      <c r="BH211" s="37"/>
      <c r="BI211" s="34"/>
      <c r="BJ211" s="37"/>
      <c r="BK211" s="37"/>
      <c r="BL211" s="34"/>
      <c r="BM211" s="37"/>
      <c r="BN211" s="37"/>
      <c r="BO211" s="37"/>
      <c r="BP211" s="34"/>
      <c r="BQ211" s="34"/>
      <c r="BR211" s="34"/>
      <c r="BS211" s="37"/>
      <c r="BT211" s="37"/>
      <c r="BU211" s="34"/>
      <c r="BV211" s="34"/>
      <c r="BW211" s="34"/>
      <c r="BX211" s="37"/>
      <c r="BY211" s="34"/>
      <c r="BZ211" s="34"/>
      <c r="CA211" s="37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43"/>
      <c r="CN211" s="37"/>
      <c r="CO211" s="37"/>
      <c r="CP211" s="34"/>
      <c r="CQ211" s="34"/>
      <c r="CR211" s="37"/>
      <c r="CS211" s="37"/>
      <c r="CT211" s="34"/>
      <c r="CU211" s="37"/>
      <c r="CV211" s="37"/>
      <c r="CW211" s="37"/>
      <c r="CX211" s="37"/>
      <c r="CY211" s="37"/>
      <c r="CZ211" s="37"/>
      <c r="DA211" s="37"/>
      <c r="DB211" s="37"/>
      <c r="DC211" s="37"/>
      <c r="DD211" s="38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7"/>
      <c r="DR211" s="37"/>
      <c r="DS211" s="37"/>
      <c r="DT211" s="37"/>
      <c r="DU211" s="37"/>
      <c r="DV211" s="37"/>
      <c r="DW211" s="37"/>
      <c r="DX211" s="37"/>
      <c r="DY211" s="37"/>
      <c r="DZ211" s="37"/>
      <c r="EA211" s="39"/>
      <c r="EB211" s="39"/>
      <c r="EC211" s="40"/>
    </row>
    <row r="212" spans="1:133" hidden="1">
      <c r="A212" s="44"/>
      <c r="B212" s="22" t="s">
        <v>489</v>
      </c>
      <c r="C212" s="20" t="s">
        <v>490</v>
      </c>
      <c r="D212" s="21" t="s">
        <v>491</v>
      </c>
      <c r="E212" s="21"/>
      <c r="F212" s="22" t="s">
        <v>492</v>
      </c>
      <c r="G212" s="23" t="str" cm="1">
        <f t="array" ref="G212">IFERROR(LOOKUP(2,1/(K212:GC212&lt;&gt;""),K$2:DQL$2),"")</f>
        <v/>
      </c>
      <c r="H212" s="24" t="str" cm="1">
        <f t="array" ref="H212">IFERROR(_xlfn.XLOOKUP(TRUE,P212:ED212&lt;&gt;"",P212:ED212,,,-1)," ")</f>
        <v xml:space="preserve"> </v>
      </c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7"/>
      <c r="BF212" s="37"/>
      <c r="BG212" s="34"/>
      <c r="BH212" s="37"/>
      <c r="BI212" s="37"/>
      <c r="BJ212" s="37"/>
      <c r="BK212" s="37"/>
      <c r="BL212" s="37"/>
      <c r="BM212" s="37"/>
      <c r="BN212" s="37"/>
      <c r="BO212" s="37"/>
      <c r="BP212" s="37"/>
      <c r="BQ212" s="34"/>
      <c r="BR212" s="34"/>
      <c r="BS212" s="37"/>
      <c r="BT212" s="37"/>
      <c r="BU212" s="34"/>
      <c r="BV212" s="34"/>
      <c r="BW212" s="34"/>
      <c r="BX212" s="34"/>
      <c r="BY212" s="34"/>
      <c r="BZ212" s="34"/>
      <c r="CA212" s="37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43"/>
      <c r="CN212" s="37"/>
      <c r="CO212" s="37"/>
      <c r="CP212" s="34"/>
      <c r="CQ212" s="34"/>
      <c r="CR212" s="34"/>
      <c r="CS212" s="34"/>
      <c r="CT212" s="34"/>
      <c r="CU212" s="37"/>
      <c r="CV212" s="37"/>
      <c r="CW212" s="34"/>
      <c r="CX212" s="34"/>
      <c r="CY212" s="34"/>
      <c r="CZ212" s="34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7"/>
      <c r="DR212" s="37"/>
      <c r="DS212" s="37"/>
      <c r="DT212" s="37"/>
      <c r="DU212" s="37"/>
      <c r="DV212" s="37"/>
      <c r="DW212" s="37"/>
      <c r="DX212" s="37"/>
      <c r="DY212" s="37"/>
      <c r="DZ212" s="37"/>
      <c r="EA212" s="39"/>
      <c r="EB212" s="39"/>
      <c r="EC212" s="40"/>
    </row>
    <row r="213" spans="1:133" hidden="1">
      <c r="A213" s="44"/>
      <c r="B213" s="22"/>
      <c r="C213" s="20" t="s">
        <v>493</v>
      </c>
      <c r="D213" s="21" t="s">
        <v>491</v>
      </c>
      <c r="E213" s="21"/>
      <c r="F213" s="22" t="s">
        <v>492</v>
      </c>
      <c r="G213" s="23" t="str" cm="1">
        <f t="array" ref="G213">IFERROR(LOOKUP(2,1/(K213:GC213&lt;&gt;""),K$2:DQL$2),"")</f>
        <v/>
      </c>
      <c r="H213" s="24" t="str" cm="1">
        <f t="array" ref="H213">IFERROR(_xlfn.XLOOKUP(TRUE,P213:ED213&lt;&gt;"",P213:ED213,,,-1)," ")</f>
        <v xml:space="preserve"> </v>
      </c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7"/>
      <c r="BF213" s="37"/>
      <c r="BG213" s="34"/>
      <c r="BH213" s="34"/>
      <c r="BI213" s="34"/>
      <c r="BJ213" s="34"/>
      <c r="BK213" s="34"/>
      <c r="BL213" s="34"/>
      <c r="BM213" s="37"/>
      <c r="BN213" s="34"/>
      <c r="BO213" s="34"/>
      <c r="BP213" s="34"/>
      <c r="BQ213" s="34"/>
      <c r="BR213" s="34"/>
      <c r="BS213" s="37"/>
      <c r="BT213" s="37"/>
      <c r="BU213" s="34"/>
      <c r="BV213" s="34"/>
      <c r="BW213" s="34"/>
      <c r="BX213" s="37"/>
      <c r="BY213" s="34"/>
      <c r="BZ213" s="36"/>
      <c r="CA213" s="37"/>
      <c r="CB213" s="37"/>
      <c r="CC213" s="34"/>
      <c r="CD213" s="37"/>
      <c r="CE213" s="37"/>
      <c r="CF213" s="37"/>
      <c r="CG213" s="37"/>
      <c r="CH213" s="37"/>
      <c r="CI213" s="37"/>
      <c r="CJ213" s="34"/>
      <c r="CK213" s="37"/>
      <c r="CL213" s="34"/>
      <c r="CM213" s="37"/>
      <c r="CN213" s="37"/>
      <c r="CO213" s="37"/>
      <c r="CP213" s="34"/>
      <c r="CQ213" s="37"/>
      <c r="CR213" s="34"/>
      <c r="CS213" s="37"/>
      <c r="CT213" s="34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9"/>
      <c r="EB213" s="39"/>
      <c r="EC213" s="40"/>
    </row>
    <row r="214" spans="1:133" hidden="1">
      <c r="A214" s="44"/>
      <c r="B214" s="45"/>
      <c r="C214" s="20" t="s">
        <v>494</v>
      </c>
      <c r="D214" s="21" t="s">
        <v>491</v>
      </c>
      <c r="E214" s="21"/>
      <c r="F214" s="22" t="s">
        <v>492</v>
      </c>
      <c r="G214" s="23" t="str" cm="1">
        <f t="array" ref="G214">IFERROR(LOOKUP(2,1/(K214:GC214&lt;&gt;""),K$2:DQL$2),"")</f>
        <v/>
      </c>
      <c r="H214" s="24" t="str" cm="1">
        <f t="array" ref="H214">IFERROR(_xlfn.XLOOKUP(TRUE,P214:ED214&lt;&gt;"",P214:ED214,,,-1)," ")</f>
        <v xml:space="preserve"> </v>
      </c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34"/>
      <c r="AF214" s="35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7"/>
      <c r="BF214" s="37"/>
      <c r="BG214" s="34"/>
      <c r="BH214" s="34"/>
      <c r="BI214" s="34"/>
      <c r="BJ214" s="34"/>
      <c r="BK214" s="34"/>
      <c r="BL214" s="34"/>
      <c r="BM214" s="37"/>
      <c r="BN214" s="34"/>
      <c r="BO214" s="34"/>
      <c r="BP214" s="34"/>
      <c r="BQ214" s="34"/>
      <c r="BR214" s="34"/>
      <c r="BS214" s="37"/>
      <c r="BT214" s="37"/>
      <c r="BU214" s="34"/>
      <c r="BV214" s="34"/>
      <c r="BW214" s="34"/>
      <c r="BX214" s="37"/>
      <c r="BY214" s="34"/>
      <c r="BZ214" s="36"/>
      <c r="CA214" s="37"/>
      <c r="CB214" s="37"/>
      <c r="CC214" s="34"/>
      <c r="CD214" s="37"/>
      <c r="CE214" s="37"/>
      <c r="CF214" s="37"/>
      <c r="CG214" s="37"/>
      <c r="CH214" s="37"/>
      <c r="CI214" s="37"/>
      <c r="CJ214" s="34"/>
      <c r="CK214" s="37"/>
      <c r="CL214" s="34"/>
      <c r="CM214" s="37"/>
      <c r="CN214" s="37"/>
      <c r="CO214" s="37"/>
      <c r="CP214" s="34"/>
      <c r="CQ214" s="37"/>
      <c r="CR214" s="34"/>
      <c r="CS214" s="37"/>
      <c r="CT214" s="34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9"/>
      <c r="EB214" s="39"/>
      <c r="EC214" s="40"/>
    </row>
    <row r="215" spans="1:133">
      <c r="A215" s="44"/>
      <c r="B215" s="22"/>
      <c r="C215" s="20" t="s">
        <v>495</v>
      </c>
      <c r="D215" s="21" t="s">
        <v>491</v>
      </c>
      <c r="E215" s="21"/>
      <c r="F215" s="22" t="s">
        <v>496</v>
      </c>
      <c r="G215" s="23" t="str" cm="1">
        <f t="array" ref="G215">IFERROR(LOOKUP(2,1/(K215:GC215&lt;&gt;""),K$2:DQL$2),"")</f>
        <v>19-Aug</v>
      </c>
      <c r="H215" s="24" cm="1">
        <f t="array" ref="H215">IFERROR(_xlfn.XLOOKUP(TRUE,P215:ED215&lt;&gt;"",P215:ED215,,,-1)," ")</f>
        <v>22.2</v>
      </c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7"/>
      <c r="BF215" s="37"/>
      <c r="BG215" s="34">
        <v>22.2</v>
      </c>
      <c r="BH215" s="34"/>
      <c r="BI215" s="34"/>
      <c r="BJ215" s="34"/>
      <c r="BK215" s="34"/>
      <c r="BL215" s="34"/>
      <c r="BM215" s="37"/>
      <c r="BN215" s="34"/>
      <c r="BO215" s="34"/>
      <c r="BP215" s="34"/>
      <c r="BQ215" s="34"/>
      <c r="BR215" s="34"/>
      <c r="BS215" s="37"/>
      <c r="BT215" s="37"/>
      <c r="BU215" s="34"/>
      <c r="BV215" s="34"/>
      <c r="BW215" s="34"/>
      <c r="BX215" s="37"/>
      <c r="BY215" s="34"/>
      <c r="BZ215" s="36"/>
      <c r="CA215" s="37"/>
      <c r="CB215" s="37"/>
      <c r="CC215" s="34"/>
      <c r="CD215" s="37"/>
      <c r="CE215" s="37"/>
      <c r="CF215" s="37"/>
      <c r="CG215" s="37"/>
      <c r="CH215" s="37"/>
      <c r="CI215" s="37"/>
      <c r="CJ215" s="34"/>
      <c r="CK215" s="37"/>
      <c r="CL215" s="34"/>
      <c r="CM215" s="37"/>
      <c r="CN215" s="37"/>
      <c r="CO215" s="37"/>
      <c r="CP215" s="34"/>
      <c r="CQ215" s="37"/>
      <c r="CR215" s="34"/>
      <c r="CS215" s="37"/>
      <c r="CT215" s="34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9"/>
      <c r="EB215" s="39"/>
      <c r="EC215" s="40"/>
    </row>
    <row r="216" spans="1:133">
      <c r="A216" s="44"/>
      <c r="B216" s="22" t="s">
        <v>497</v>
      </c>
      <c r="C216" s="20" t="s">
        <v>498</v>
      </c>
      <c r="D216" s="21" t="s">
        <v>499</v>
      </c>
      <c r="E216" s="21"/>
      <c r="F216" s="22" t="s">
        <v>137</v>
      </c>
      <c r="G216" s="23" t="str" cm="1">
        <f t="array" ref="G216">IFERROR(LOOKUP(2,1/(K216:GC216&lt;&gt;""),K$2:DQL$2),"")</f>
        <v>17-Aug</v>
      </c>
      <c r="H216" s="24" cm="1">
        <f t="array" ref="H216">IFERROR(_xlfn.XLOOKUP(TRUE,P216:ED216&lt;&gt;"",P216:ED216,,,-1)," ")</f>
        <v>19.3</v>
      </c>
      <c r="I216" s="25">
        <v>22</v>
      </c>
      <c r="J216" s="25">
        <v>23</v>
      </c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34"/>
      <c r="AF216" s="34">
        <v>13.1</v>
      </c>
      <c r="AG216" s="34"/>
      <c r="AH216" s="34"/>
      <c r="AI216" s="34"/>
      <c r="AJ216" s="34"/>
      <c r="AK216" s="34"/>
      <c r="AL216" s="34"/>
      <c r="AM216" s="34"/>
      <c r="AN216" s="34">
        <v>15</v>
      </c>
      <c r="AO216" s="34"/>
      <c r="AP216" s="34"/>
      <c r="AQ216" s="34"/>
      <c r="AR216" s="34"/>
      <c r="AS216" s="34">
        <v>15.3</v>
      </c>
      <c r="AT216" s="34"/>
      <c r="AU216" s="34"/>
      <c r="AV216" s="34"/>
      <c r="AW216" s="34"/>
      <c r="AX216" s="34"/>
      <c r="AY216" s="34">
        <v>18.2</v>
      </c>
      <c r="AZ216" s="34"/>
      <c r="BA216" s="34"/>
      <c r="BB216" s="34"/>
      <c r="BC216" s="34"/>
      <c r="BD216" s="34"/>
      <c r="BE216" s="38">
        <v>19.3</v>
      </c>
      <c r="BF216" s="37"/>
      <c r="BG216" s="36"/>
      <c r="BH216" s="37"/>
      <c r="BI216" s="34"/>
      <c r="BJ216" s="37"/>
      <c r="BK216" s="37"/>
      <c r="BL216" s="37"/>
      <c r="BM216" s="37"/>
      <c r="BN216" s="37"/>
      <c r="BO216" s="38"/>
      <c r="BP216" s="37"/>
      <c r="BQ216" s="38"/>
      <c r="BR216" s="34"/>
      <c r="BS216" s="37"/>
      <c r="BT216" s="37"/>
      <c r="BU216" s="34"/>
      <c r="BV216" s="37"/>
      <c r="BW216" s="34"/>
      <c r="BX216" s="37"/>
      <c r="BY216" s="34"/>
      <c r="BZ216" s="34"/>
      <c r="CA216" s="37"/>
      <c r="CB216" s="37"/>
      <c r="CC216" s="34"/>
      <c r="CD216" s="37"/>
      <c r="CE216" s="37"/>
      <c r="CF216" s="37"/>
      <c r="CG216" s="37"/>
      <c r="CH216" s="37"/>
      <c r="CI216" s="37"/>
      <c r="CJ216" s="37"/>
      <c r="CK216" s="37"/>
      <c r="CL216" s="34"/>
      <c r="CM216" s="37"/>
      <c r="CN216" s="37"/>
      <c r="CO216" s="37"/>
      <c r="CP216" s="34"/>
      <c r="CQ216" s="37"/>
      <c r="CR216" s="37"/>
      <c r="CS216" s="37"/>
      <c r="CT216" s="34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9"/>
      <c r="EB216" s="39"/>
      <c r="EC216" s="40"/>
    </row>
    <row r="217" spans="1:133" hidden="1">
      <c r="A217" s="44" t="s">
        <v>138</v>
      </c>
      <c r="B217" s="22" t="s">
        <v>500</v>
      </c>
      <c r="C217" s="20" t="s">
        <v>501</v>
      </c>
      <c r="D217" s="21" t="s">
        <v>502</v>
      </c>
      <c r="E217" s="21"/>
      <c r="F217" s="22" t="s">
        <v>261</v>
      </c>
      <c r="G217" s="23" t="str" cm="1">
        <f t="array" ref="G217">IFERROR(LOOKUP(2,1/(K217:GC217&lt;&gt;""),K$2:DQL$2),"")</f>
        <v>20-Jul</v>
      </c>
      <c r="H217" s="24" cm="1">
        <f t="array" ref="H217">IFERROR(_xlfn.XLOOKUP(TRUE,P217:ED217&lt;&gt;"",P217:ED217,,,-1)," ")</f>
        <v>21</v>
      </c>
      <c r="I217" s="25">
        <v>19</v>
      </c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>
        <v>19</v>
      </c>
      <c r="Y217" s="25"/>
      <c r="Z217" s="242">
        <v>18.899999999999999</v>
      </c>
      <c r="AA217" s="25"/>
      <c r="AB217" s="25"/>
      <c r="AC217" s="25">
        <v>21</v>
      </c>
      <c r="AD217" s="25"/>
      <c r="AE217" s="49"/>
      <c r="AF217" s="34"/>
      <c r="AG217" s="49"/>
      <c r="AH217" s="49"/>
      <c r="AI217" s="34"/>
      <c r="AJ217" s="49"/>
      <c r="AK217" s="34"/>
      <c r="AL217" s="49"/>
      <c r="AM217" s="49"/>
      <c r="AN217" s="49"/>
      <c r="AO217" s="34"/>
      <c r="AP217" s="49"/>
      <c r="AQ217" s="49"/>
      <c r="AR217" s="49"/>
      <c r="AS217" s="34"/>
      <c r="AT217" s="49"/>
      <c r="AU217" s="34"/>
      <c r="AV217" s="34"/>
      <c r="AW217" s="49"/>
      <c r="AX217" s="49"/>
      <c r="AY217" s="34"/>
      <c r="AZ217" s="49"/>
      <c r="BA217" s="49"/>
      <c r="BB217" s="49"/>
      <c r="BC217" s="49"/>
      <c r="BD217" s="49"/>
      <c r="BE217" s="39"/>
      <c r="BF217" s="39"/>
      <c r="BG217" s="4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49"/>
      <c r="BS217" s="39"/>
      <c r="BT217" s="39"/>
      <c r="BU217" s="49"/>
      <c r="BV217" s="39"/>
      <c r="BW217" s="49"/>
      <c r="BX217" s="39"/>
      <c r="BY217" s="49"/>
      <c r="BZ217" s="49"/>
      <c r="CA217" s="39"/>
      <c r="CB217" s="39"/>
      <c r="CC217" s="49"/>
      <c r="CD217" s="39"/>
      <c r="CE217" s="39"/>
      <c r="CF217" s="39"/>
      <c r="CG217" s="39"/>
      <c r="CH217" s="39"/>
      <c r="CI217" s="39"/>
      <c r="CJ217" s="39"/>
      <c r="CK217" s="39"/>
      <c r="CL217" s="49"/>
      <c r="CM217" s="39"/>
      <c r="CN217" s="39"/>
      <c r="CO217" s="39"/>
      <c r="CP217" s="49"/>
      <c r="CQ217" s="39"/>
      <c r="CR217" s="39"/>
      <c r="CS217" s="39"/>
      <c r="CT217" s="4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  <c r="DH217" s="39"/>
      <c r="DI217" s="39"/>
      <c r="DJ217" s="39"/>
      <c r="DK217" s="39"/>
      <c r="DL217" s="39"/>
      <c r="DM217" s="39"/>
      <c r="DN217" s="39"/>
      <c r="DO217" s="39"/>
      <c r="DP217" s="39"/>
      <c r="DQ217" s="39"/>
      <c r="DR217" s="39"/>
      <c r="DS217" s="39"/>
      <c r="DT217" s="39"/>
      <c r="DU217" s="39"/>
      <c r="DV217" s="39"/>
      <c r="DW217" s="39"/>
      <c r="DX217" s="39"/>
      <c r="DY217" s="39"/>
      <c r="DZ217" s="39"/>
      <c r="EA217" s="39"/>
      <c r="EB217" s="39"/>
      <c r="EC217" s="40"/>
    </row>
    <row r="218" spans="1:133" hidden="1">
      <c r="A218" s="44" t="s">
        <v>138</v>
      </c>
      <c r="B218" s="45" t="s">
        <v>503</v>
      </c>
      <c r="C218" s="20" t="s">
        <v>504</v>
      </c>
      <c r="D218" s="21" t="s">
        <v>502</v>
      </c>
      <c r="E218" s="21"/>
      <c r="F218" s="22" t="s">
        <v>505</v>
      </c>
      <c r="G218" s="23" t="str" cm="1">
        <f t="array" ref="G218">IFERROR(LOOKUP(2,1/(K218:GC218&lt;&gt;""),K$2:DQL$2),"")</f>
        <v>9-Jul</v>
      </c>
      <c r="H218" s="24" cm="1">
        <f t="array" ref="H218">IFERROR(_xlfn.XLOOKUP(TRUE,P218:ED218&lt;&gt;"",P218:ED218,,,-1)," ")</f>
        <v>16.3</v>
      </c>
      <c r="I218" s="25">
        <v>19</v>
      </c>
      <c r="J218" s="25"/>
      <c r="K218" s="25"/>
      <c r="L218" s="25"/>
      <c r="M218" s="25"/>
      <c r="N218" s="25"/>
      <c r="O218" s="25"/>
      <c r="P218" s="25"/>
      <c r="Q218" s="25"/>
      <c r="R218" s="25">
        <v>16.3</v>
      </c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34"/>
      <c r="AF218" s="35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7"/>
      <c r="BF218" s="37"/>
      <c r="BG218" s="34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4"/>
      <c r="BS218" s="37"/>
      <c r="BT218" s="37"/>
      <c r="BU218" s="34"/>
      <c r="BV218" s="37"/>
      <c r="BW218" s="34"/>
      <c r="BX218" s="37"/>
      <c r="BY218" s="34"/>
      <c r="BZ218" s="34"/>
      <c r="CA218" s="37"/>
      <c r="CB218" s="37"/>
      <c r="CC218" s="34"/>
      <c r="CD218" s="37"/>
      <c r="CE218" s="37"/>
      <c r="CF218" s="37"/>
      <c r="CG218" s="37"/>
      <c r="CH218" s="37"/>
      <c r="CI218" s="37"/>
      <c r="CJ218" s="37"/>
      <c r="CK218" s="37"/>
      <c r="CL218" s="34"/>
      <c r="CM218" s="37"/>
      <c r="CN218" s="37"/>
      <c r="CO218" s="37"/>
      <c r="CP218" s="34"/>
      <c r="CQ218" s="37"/>
      <c r="CR218" s="37"/>
      <c r="CS218" s="37"/>
      <c r="CT218" s="34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  <c r="DN218" s="37"/>
      <c r="DO218" s="37"/>
      <c r="DP218" s="37"/>
      <c r="DQ218" s="37"/>
      <c r="DR218" s="37"/>
      <c r="DS218" s="37"/>
      <c r="DT218" s="37"/>
      <c r="DU218" s="37"/>
      <c r="DV218" s="37"/>
      <c r="DW218" s="37"/>
      <c r="DX218" s="37"/>
      <c r="DY218" s="37"/>
      <c r="DZ218" s="37"/>
      <c r="EA218" s="39"/>
      <c r="EB218" s="39"/>
      <c r="EC218" s="40"/>
    </row>
    <row r="219" spans="1:133" hidden="1">
      <c r="A219" s="44" t="s">
        <v>138</v>
      </c>
      <c r="B219" s="45" t="s">
        <v>503</v>
      </c>
      <c r="C219" s="20" t="s">
        <v>506</v>
      </c>
      <c r="D219" s="21" t="s">
        <v>502</v>
      </c>
      <c r="E219" s="21"/>
      <c r="F219" s="22" t="s">
        <v>505</v>
      </c>
      <c r="G219" s="23" t="str" cm="1">
        <f t="array" ref="G219">IFERROR(LOOKUP(2,1/(K219:GC219&lt;&gt;""),K$2:DQL$2),"")</f>
        <v>23-Jul</v>
      </c>
      <c r="H219" s="24" cm="1">
        <f t="array" ref="H219">IFERROR(_xlfn.XLOOKUP(TRUE,P219:ED219&lt;&gt;"",P219:ED219,,,-1)," ")</f>
        <v>21.3</v>
      </c>
      <c r="I219" s="25">
        <v>19</v>
      </c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>
        <v>20</v>
      </c>
      <c r="AE219" s="34"/>
      <c r="AF219" s="36">
        <v>21.3</v>
      </c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7"/>
      <c r="BF219" s="37"/>
      <c r="BG219" s="34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4"/>
      <c r="BS219" s="37"/>
      <c r="BT219" s="37"/>
      <c r="BU219" s="34"/>
      <c r="BV219" s="37"/>
      <c r="BW219" s="34"/>
      <c r="BX219" s="37"/>
      <c r="BY219" s="34"/>
      <c r="BZ219" s="36"/>
      <c r="CA219" s="37"/>
      <c r="CB219" s="37"/>
      <c r="CC219" s="34"/>
      <c r="CD219" s="37"/>
      <c r="CE219" s="37"/>
      <c r="CF219" s="37"/>
      <c r="CG219" s="37"/>
      <c r="CH219" s="37"/>
      <c r="CI219" s="37"/>
      <c r="CJ219" s="37"/>
      <c r="CK219" s="37"/>
      <c r="CL219" s="34"/>
      <c r="CM219" s="37"/>
      <c r="CN219" s="37"/>
      <c r="CO219" s="37"/>
      <c r="CP219" s="34"/>
      <c r="CQ219" s="37"/>
      <c r="CR219" s="37"/>
      <c r="CS219" s="37"/>
      <c r="CT219" s="34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  <c r="DN219" s="37"/>
      <c r="DO219" s="37"/>
      <c r="DP219" s="37"/>
      <c r="DQ219" s="37"/>
      <c r="DR219" s="37"/>
      <c r="DS219" s="37"/>
      <c r="DT219" s="37"/>
      <c r="DU219" s="37"/>
      <c r="DV219" s="37"/>
      <c r="DW219" s="37"/>
      <c r="DX219" s="37"/>
      <c r="DY219" s="37"/>
      <c r="DZ219" s="37"/>
      <c r="EA219" s="39"/>
      <c r="EB219" s="39"/>
      <c r="EC219" s="40"/>
    </row>
    <row r="220" spans="1:133" hidden="1">
      <c r="A220" s="44" t="s">
        <v>138</v>
      </c>
      <c r="B220" s="45" t="s">
        <v>503</v>
      </c>
      <c r="C220" s="20" t="s">
        <v>507</v>
      </c>
      <c r="D220" s="21" t="s">
        <v>502</v>
      </c>
      <c r="E220" s="21"/>
      <c r="F220" s="22" t="s">
        <v>505</v>
      </c>
      <c r="G220" s="23" t="str" cm="1">
        <f t="array" ref="G220">IFERROR(LOOKUP(2,1/(K220:GC220&lt;&gt;""),K$2:DQL$2),"")</f>
        <v>23-Jul</v>
      </c>
      <c r="H220" s="24" cm="1">
        <f t="array" ref="H220">IFERROR(_xlfn.XLOOKUP(TRUE,P220:ED220&lt;&gt;"",P220:ED220,,,-1)," ")</f>
        <v>20.8</v>
      </c>
      <c r="I220" s="25">
        <v>19</v>
      </c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>
        <v>18.2</v>
      </c>
      <c r="X220" s="25"/>
      <c r="Y220" s="25"/>
      <c r="Z220" s="25"/>
      <c r="AA220" s="25"/>
      <c r="AB220" s="25"/>
      <c r="AC220" s="25"/>
      <c r="AD220" s="25">
        <v>20</v>
      </c>
      <c r="AE220" s="34"/>
      <c r="AF220" s="36">
        <v>20.8</v>
      </c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7"/>
      <c r="BF220" s="37"/>
      <c r="BG220" s="34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4"/>
      <c r="BS220" s="37"/>
      <c r="BT220" s="37"/>
      <c r="BU220" s="34"/>
      <c r="BV220" s="37"/>
      <c r="BW220" s="34"/>
      <c r="BX220" s="37"/>
      <c r="BY220" s="34"/>
      <c r="BZ220" s="36"/>
      <c r="CA220" s="37"/>
      <c r="CB220" s="37"/>
      <c r="CC220" s="34"/>
      <c r="CD220" s="37"/>
      <c r="CE220" s="37"/>
      <c r="CF220" s="37"/>
      <c r="CG220" s="37"/>
      <c r="CH220" s="37"/>
      <c r="CI220" s="37"/>
      <c r="CJ220" s="37"/>
      <c r="CK220" s="37"/>
      <c r="CL220" s="34"/>
      <c r="CM220" s="37"/>
      <c r="CN220" s="37"/>
      <c r="CO220" s="37"/>
      <c r="CP220" s="34"/>
      <c r="CQ220" s="37"/>
      <c r="CR220" s="37"/>
      <c r="CS220" s="37"/>
      <c r="CT220" s="34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9"/>
      <c r="EB220" s="39"/>
      <c r="EC220" s="40"/>
    </row>
    <row r="221" spans="1:133" hidden="1">
      <c r="A221" s="44" t="s">
        <v>138</v>
      </c>
      <c r="B221" s="45" t="s">
        <v>503</v>
      </c>
      <c r="C221" s="20" t="s">
        <v>508</v>
      </c>
      <c r="D221" s="21" t="s">
        <v>502</v>
      </c>
      <c r="E221" s="21"/>
      <c r="F221" s="22" t="s">
        <v>505</v>
      </c>
      <c r="G221" s="23" t="str" cm="1">
        <f t="array" ref="G221">IFERROR(LOOKUP(2,1/(K221:GC221&lt;&gt;""),K$2:DQL$2),"")</f>
        <v>23-Jul</v>
      </c>
      <c r="H221" s="24" cm="1">
        <f t="array" ref="H221">IFERROR(_xlfn.XLOOKUP(TRUE,P221:ED221&lt;&gt;"",P221:ED221,,,-1)," ")</f>
        <v>20.2</v>
      </c>
      <c r="I221" s="25">
        <v>19</v>
      </c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>
        <v>18</v>
      </c>
      <c r="X221" s="25"/>
      <c r="Y221" s="25"/>
      <c r="Z221" s="25"/>
      <c r="AA221" s="25"/>
      <c r="AB221" s="25"/>
      <c r="AC221" s="25"/>
      <c r="AD221" s="25">
        <v>19.3</v>
      </c>
      <c r="AE221" s="34"/>
      <c r="AF221" s="36">
        <v>20.2</v>
      </c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7"/>
      <c r="BF221" s="37"/>
      <c r="BG221" s="34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4"/>
      <c r="BS221" s="37"/>
      <c r="BT221" s="37"/>
      <c r="BU221" s="34"/>
      <c r="BV221" s="37"/>
      <c r="BW221" s="34"/>
      <c r="BX221" s="37"/>
      <c r="BY221" s="34"/>
      <c r="BZ221" s="36"/>
      <c r="CA221" s="37"/>
      <c r="CB221" s="37"/>
      <c r="CC221" s="34"/>
      <c r="CD221" s="37"/>
      <c r="CE221" s="37"/>
      <c r="CF221" s="37"/>
      <c r="CG221" s="37"/>
      <c r="CH221" s="37"/>
      <c r="CI221" s="37"/>
      <c r="CJ221" s="37"/>
      <c r="CK221" s="37"/>
      <c r="CL221" s="34"/>
      <c r="CM221" s="37"/>
      <c r="CN221" s="37"/>
      <c r="CO221" s="37"/>
      <c r="CP221" s="34"/>
      <c r="CQ221" s="37"/>
      <c r="CR221" s="37"/>
      <c r="CS221" s="37"/>
      <c r="CT221" s="34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9"/>
      <c r="EB221" s="39"/>
      <c r="EC221" s="40"/>
    </row>
    <row r="222" spans="1:133" hidden="1">
      <c r="A222" s="44" t="s">
        <v>138</v>
      </c>
      <c r="B222" s="45" t="s">
        <v>509</v>
      </c>
      <c r="C222" s="20" t="s">
        <v>510</v>
      </c>
      <c r="D222" s="21" t="s">
        <v>502</v>
      </c>
      <c r="E222" s="21"/>
      <c r="F222" s="22" t="s">
        <v>137</v>
      </c>
      <c r="G222" s="23" t="str" cm="1">
        <f t="array" ref="G222">IFERROR(LOOKUP(2,1/(K222:GC222&lt;&gt;""),K$2:DQL$2),"")</f>
        <v>29-Jul</v>
      </c>
      <c r="H222" s="24" cm="1">
        <f t="array" ref="H222">IFERROR(_xlfn.XLOOKUP(TRUE,P222:ED222&lt;&gt;"",P222:ED222,,,-1)," ")</f>
        <v>20.5</v>
      </c>
      <c r="I222" s="25">
        <v>20</v>
      </c>
      <c r="J222" s="25">
        <v>21</v>
      </c>
      <c r="K222" s="25"/>
      <c r="L222" s="25"/>
      <c r="M222" s="25"/>
      <c r="N222" s="25"/>
      <c r="O222" s="25"/>
      <c r="P222" s="25"/>
      <c r="Q222" s="25"/>
      <c r="R222" s="25"/>
      <c r="S222" s="25">
        <v>15.4</v>
      </c>
      <c r="T222" s="25"/>
      <c r="U222" s="25"/>
      <c r="V222" s="25"/>
      <c r="W222" s="25"/>
      <c r="X222" s="25"/>
      <c r="Y222" s="25">
        <v>18</v>
      </c>
      <c r="Z222" s="25"/>
      <c r="AA222" s="25"/>
      <c r="AB222" s="25"/>
      <c r="AC222" s="25"/>
      <c r="AD222" s="25" t="s">
        <v>511</v>
      </c>
      <c r="AE222" s="34"/>
      <c r="AF222" s="35"/>
      <c r="AG222" s="34"/>
      <c r="AH222" s="36">
        <v>19.600000000000001</v>
      </c>
      <c r="AI222" s="34"/>
      <c r="AJ222" s="34"/>
      <c r="AK222" s="34"/>
      <c r="AL222" s="34">
        <v>20.5</v>
      </c>
      <c r="AM222" s="34"/>
      <c r="AN222" s="34"/>
      <c r="AO222" s="34"/>
      <c r="AP222" s="34"/>
      <c r="AQ222" s="34"/>
      <c r="AR222" s="34"/>
      <c r="AS222" s="36"/>
      <c r="AT222" s="34"/>
      <c r="AU222" s="34"/>
      <c r="AV222" s="34"/>
      <c r="AW222" s="34"/>
      <c r="AX222" s="34"/>
      <c r="AY222" s="36"/>
      <c r="AZ222" s="34"/>
      <c r="BA222" s="34"/>
      <c r="BB222" s="34"/>
      <c r="BC222" s="36"/>
      <c r="BD222" s="36"/>
      <c r="BE222" s="37"/>
      <c r="BF222" s="37"/>
      <c r="BG222" s="34"/>
      <c r="BH222" s="38"/>
      <c r="BI222" s="37"/>
      <c r="BJ222" s="37"/>
      <c r="BK222" s="37"/>
      <c r="BL222" s="37"/>
      <c r="BM222" s="37"/>
      <c r="BN222" s="37"/>
      <c r="BO222" s="37"/>
      <c r="BP222" s="37"/>
      <c r="BQ222" s="37"/>
      <c r="BR222" s="34"/>
      <c r="BS222" s="37"/>
      <c r="BT222" s="37"/>
      <c r="BU222" s="34"/>
      <c r="BV222" s="37"/>
      <c r="BW222" s="34"/>
      <c r="BX222" s="37"/>
      <c r="BY222" s="34"/>
      <c r="BZ222" s="36"/>
      <c r="CA222" s="37"/>
      <c r="CB222" s="37"/>
      <c r="CC222" s="34"/>
      <c r="CD222" s="37"/>
      <c r="CE222" s="37"/>
      <c r="CF222" s="37"/>
      <c r="CG222" s="37"/>
      <c r="CH222" s="37"/>
      <c r="CI222" s="37"/>
      <c r="CJ222" s="37"/>
      <c r="CK222" s="37"/>
      <c r="CL222" s="34"/>
      <c r="CM222" s="37"/>
      <c r="CN222" s="37"/>
      <c r="CO222" s="37"/>
      <c r="CP222" s="34"/>
      <c r="CQ222" s="37"/>
      <c r="CR222" s="37"/>
      <c r="CS222" s="37"/>
      <c r="CT222" s="34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9"/>
      <c r="EB222" s="39"/>
      <c r="EC222" s="40"/>
    </row>
    <row r="223" spans="1:133" hidden="1">
      <c r="A223" s="44" t="s">
        <v>138</v>
      </c>
      <c r="B223" s="45" t="s">
        <v>512</v>
      </c>
      <c r="C223" s="20" t="s">
        <v>513</v>
      </c>
      <c r="D223" s="21" t="s">
        <v>502</v>
      </c>
      <c r="E223" s="21"/>
      <c r="F223" s="22" t="s">
        <v>514</v>
      </c>
      <c r="G223" s="23" t="str" cm="1">
        <f t="array" ref="G223">IFERROR(LOOKUP(2,1/(K223:GC223&lt;&gt;""),K$2:DQL$2),"")</f>
        <v>29-Jul</v>
      </c>
      <c r="H223" s="24" t="str" cm="1">
        <f t="array" ref="H223">IFERROR(_xlfn.XLOOKUP(TRUE,P223:ED223&lt;&gt;"",P223:ED223,,,-1)," ")</f>
        <v>G-20.0</v>
      </c>
      <c r="I223" s="25">
        <v>21.5</v>
      </c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34"/>
      <c r="AF223" s="254">
        <v>19.899999999999999</v>
      </c>
      <c r="AG223" s="34"/>
      <c r="AH223" s="97">
        <v>18</v>
      </c>
      <c r="AI223" s="34"/>
      <c r="AJ223" s="34">
        <v>19.899999999999999</v>
      </c>
      <c r="AK223" s="257">
        <v>21.5</v>
      </c>
      <c r="AL223" s="257" t="s">
        <v>515</v>
      </c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7"/>
      <c r="BF223" s="37"/>
      <c r="BG223" s="34"/>
      <c r="BH223" s="37"/>
      <c r="BI223" s="37"/>
      <c r="BJ223" s="38"/>
      <c r="BK223" s="37"/>
      <c r="BL223" s="37"/>
      <c r="BM223" s="37"/>
      <c r="BN223" s="37"/>
      <c r="BO223" s="37"/>
      <c r="BP223" s="37"/>
      <c r="BQ223" s="37"/>
      <c r="BR223" s="34"/>
      <c r="BS223" s="37"/>
      <c r="BT223" s="37"/>
      <c r="BU223" s="34"/>
      <c r="BV223" s="37"/>
      <c r="BW223" s="34"/>
      <c r="BX223" s="37"/>
      <c r="BY223" s="34"/>
      <c r="BZ223" s="34"/>
      <c r="CA223" s="37"/>
      <c r="CB223" s="37"/>
      <c r="CC223" s="34"/>
      <c r="CD223" s="37"/>
      <c r="CE223" s="37"/>
      <c r="CF223" s="37"/>
      <c r="CG223" s="37"/>
      <c r="CH223" s="37"/>
      <c r="CI223" s="37"/>
      <c r="CJ223" s="37"/>
      <c r="CK223" s="37"/>
      <c r="CL223" s="34"/>
      <c r="CM223" s="37"/>
      <c r="CN223" s="37"/>
      <c r="CO223" s="37"/>
      <c r="CP223" s="34"/>
      <c r="CQ223" s="37"/>
      <c r="CR223" s="37"/>
      <c r="CS223" s="37"/>
      <c r="CT223" s="34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/>
      <c r="DX223" s="37"/>
      <c r="DY223" s="37"/>
      <c r="DZ223" s="37"/>
      <c r="EA223" s="39"/>
      <c r="EB223" s="39"/>
      <c r="EC223" s="40"/>
    </row>
    <row r="224" spans="1:133" hidden="1">
      <c r="A224" s="44" t="s">
        <v>138</v>
      </c>
      <c r="B224" s="45" t="s">
        <v>516</v>
      </c>
      <c r="C224" s="20" t="s">
        <v>517</v>
      </c>
      <c r="D224" s="21" t="s">
        <v>502</v>
      </c>
      <c r="E224" s="21"/>
      <c r="F224" s="22" t="s">
        <v>137</v>
      </c>
      <c r="G224" s="23" t="str" cm="1">
        <f t="array" ref="G224">IFERROR(LOOKUP(2,1/(K224:GC224&lt;&gt;""),K$2:DQL$2),"")</f>
        <v>4-Aug</v>
      </c>
      <c r="H224" s="227" cm="1">
        <f t="array" ref="H224">IFERROR(_xlfn.XLOOKUP(TRUE,P224:ED224&lt;&gt;"",P224:ED224,,,-1)," ")</f>
        <v>22.6</v>
      </c>
      <c r="I224" s="25">
        <v>20</v>
      </c>
      <c r="J224" s="25">
        <v>21</v>
      </c>
      <c r="K224" s="25"/>
      <c r="L224" s="25"/>
      <c r="M224" s="25"/>
      <c r="N224" s="25"/>
      <c r="O224" s="25"/>
      <c r="P224" s="25"/>
      <c r="Q224" s="25"/>
      <c r="R224" s="25"/>
      <c r="S224" s="25">
        <v>15.7</v>
      </c>
      <c r="T224" s="25"/>
      <c r="U224" s="25"/>
      <c r="V224" s="25"/>
      <c r="W224" s="25"/>
      <c r="X224" s="25"/>
      <c r="Y224" s="25"/>
      <c r="Z224" s="25">
        <v>19</v>
      </c>
      <c r="AA224" s="25"/>
      <c r="AB224" s="25"/>
      <c r="AC224" s="25"/>
      <c r="AD224" s="217">
        <v>19.5</v>
      </c>
      <c r="AE224" s="34"/>
      <c r="AF224" s="35"/>
      <c r="AG224" s="34"/>
      <c r="AH224" s="36">
        <v>20.2</v>
      </c>
      <c r="AI224" s="34"/>
      <c r="AJ224" s="34"/>
      <c r="AK224" s="36">
        <v>21.1</v>
      </c>
      <c r="AL224" s="34"/>
      <c r="AM224" s="36">
        <v>20.2</v>
      </c>
      <c r="AN224" s="34"/>
      <c r="AO224" s="34"/>
      <c r="AP224" s="34"/>
      <c r="AQ224" s="34"/>
      <c r="AR224" s="36">
        <v>22.6</v>
      </c>
      <c r="AS224" s="34"/>
      <c r="AT224" s="34"/>
      <c r="AU224" s="34"/>
      <c r="AV224" s="34"/>
      <c r="AW224" s="36"/>
      <c r="AX224" s="34"/>
      <c r="AY224" s="34"/>
      <c r="AZ224" s="34"/>
      <c r="BA224" s="36"/>
      <c r="BB224" s="34"/>
      <c r="BC224" s="34"/>
      <c r="BD224" s="34"/>
      <c r="BE224" s="37"/>
      <c r="BF224" s="38"/>
      <c r="BG224" s="34"/>
      <c r="BH224" s="37"/>
      <c r="BI224" s="37"/>
      <c r="BJ224" s="37"/>
      <c r="BK224" s="37"/>
      <c r="BL224" s="37"/>
      <c r="BM224" s="38"/>
      <c r="BN224" s="37"/>
      <c r="BO224" s="37"/>
      <c r="BP224" s="37"/>
      <c r="BQ224" s="37"/>
      <c r="BR224" s="34"/>
      <c r="BS224" s="37"/>
      <c r="BT224" s="37"/>
      <c r="BU224" s="34"/>
      <c r="BV224" s="37"/>
      <c r="BW224" s="34"/>
      <c r="BX224" s="37"/>
      <c r="BY224" s="34"/>
      <c r="BZ224" s="36"/>
      <c r="CA224" s="37"/>
      <c r="CB224" s="37"/>
      <c r="CC224" s="34"/>
      <c r="CD224" s="37"/>
      <c r="CE224" s="37"/>
      <c r="CF224" s="37"/>
      <c r="CG224" s="37"/>
      <c r="CH224" s="37"/>
      <c r="CI224" s="37"/>
      <c r="CJ224" s="37"/>
      <c r="CK224" s="37"/>
      <c r="CL224" s="34"/>
      <c r="CM224" s="37"/>
      <c r="CN224" s="37"/>
      <c r="CO224" s="37"/>
      <c r="CP224" s="34"/>
      <c r="CQ224" s="37"/>
      <c r="CR224" s="37"/>
      <c r="CS224" s="37"/>
      <c r="CT224" s="34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9"/>
      <c r="EB224" s="39"/>
      <c r="EC224" s="40"/>
    </row>
    <row r="225" spans="1:133" hidden="1">
      <c r="A225" s="44" t="s">
        <v>138</v>
      </c>
      <c r="B225" s="45" t="s">
        <v>516</v>
      </c>
      <c r="C225" s="20" t="s">
        <v>518</v>
      </c>
      <c r="D225" s="21" t="s">
        <v>502</v>
      </c>
      <c r="E225" s="21"/>
      <c r="F225" s="22" t="s">
        <v>137</v>
      </c>
      <c r="G225" s="23" t="str" cm="1">
        <f t="array" ref="G225">IFERROR(LOOKUP(2,1/(K225:GC225&lt;&gt;""),K$2:DQL$2),"")</f>
        <v>4-Aug</v>
      </c>
      <c r="H225" s="227" cm="1">
        <f t="array" ref="H225">IFERROR(_xlfn.XLOOKUP(TRUE,P225:ED225&lt;&gt;"",P225:ED225,,,-1)," ")</f>
        <v>22.8</v>
      </c>
      <c r="I225" s="25">
        <v>20</v>
      </c>
      <c r="J225" s="25">
        <v>21</v>
      </c>
      <c r="K225" s="25"/>
      <c r="L225" s="25"/>
      <c r="M225" s="25"/>
      <c r="N225" s="25"/>
      <c r="O225" s="25"/>
      <c r="P225" s="25"/>
      <c r="Q225" s="25"/>
      <c r="R225" s="25"/>
      <c r="S225" s="25">
        <v>16.7</v>
      </c>
      <c r="T225" s="25"/>
      <c r="U225" s="25"/>
      <c r="V225" s="25"/>
      <c r="W225" s="25"/>
      <c r="X225" s="25"/>
      <c r="Y225" s="25"/>
      <c r="Z225" s="25">
        <v>19.100000000000001</v>
      </c>
      <c r="AA225" s="25"/>
      <c r="AB225" s="25"/>
      <c r="AC225" s="25"/>
      <c r="AD225" s="217">
        <v>18.7</v>
      </c>
      <c r="AE225" s="34"/>
      <c r="AF225" s="35"/>
      <c r="AG225" s="34"/>
      <c r="AH225" s="36">
        <v>20.2</v>
      </c>
      <c r="AI225" s="34"/>
      <c r="AJ225" s="34"/>
      <c r="AK225" s="36">
        <v>20.2</v>
      </c>
      <c r="AL225" s="34"/>
      <c r="AM225" s="36">
        <v>19.600000000000001</v>
      </c>
      <c r="AN225" s="34"/>
      <c r="AO225" s="34"/>
      <c r="AP225" s="34"/>
      <c r="AQ225" s="34"/>
      <c r="AR225" s="36">
        <v>22.8</v>
      </c>
      <c r="AS225" s="34"/>
      <c r="AT225" s="63"/>
      <c r="AU225" s="36"/>
      <c r="AV225" s="34"/>
      <c r="AW225" s="36"/>
      <c r="AX225" s="34"/>
      <c r="AY225" s="34"/>
      <c r="AZ225" s="34"/>
      <c r="BA225" s="34"/>
      <c r="BB225" s="34"/>
      <c r="BC225" s="34"/>
      <c r="BD225" s="34"/>
      <c r="BE225" s="37"/>
      <c r="BF225" s="37"/>
      <c r="BG225" s="34"/>
      <c r="BH225" s="37"/>
      <c r="BI225" s="37"/>
      <c r="BJ225" s="37"/>
      <c r="BK225" s="37"/>
      <c r="BL225" s="37"/>
      <c r="BM225" s="38"/>
      <c r="BN225" s="37"/>
      <c r="BO225" s="37"/>
      <c r="BP225" s="37"/>
      <c r="BQ225" s="37"/>
      <c r="BR225" s="34"/>
      <c r="BS225" s="37"/>
      <c r="BT225" s="37"/>
      <c r="BU225" s="34"/>
      <c r="BV225" s="37"/>
      <c r="BW225" s="34"/>
      <c r="BX225" s="37"/>
      <c r="BY225" s="34"/>
      <c r="BZ225" s="34"/>
      <c r="CA225" s="37"/>
      <c r="CB225" s="37"/>
      <c r="CC225" s="34"/>
      <c r="CD225" s="37"/>
      <c r="CE225" s="37"/>
      <c r="CF225" s="37"/>
      <c r="CG225" s="37"/>
      <c r="CH225" s="37"/>
      <c r="CI225" s="37"/>
      <c r="CJ225" s="37"/>
      <c r="CK225" s="37"/>
      <c r="CL225" s="34"/>
      <c r="CM225" s="37"/>
      <c r="CN225" s="37"/>
      <c r="CO225" s="37"/>
      <c r="CP225" s="34"/>
      <c r="CQ225" s="37"/>
      <c r="CR225" s="37"/>
      <c r="CS225" s="37"/>
      <c r="CT225" s="34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7"/>
      <c r="DR225" s="37"/>
      <c r="DS225" s="37"/>
      <c r="DT225" s="37"/>
      <c r="DU225" s="37"/>
      <c r="DV225" s="37"/>
      <c r="DW225" s="37"/>
      <c r="DX225" s="37"/>
      <c r="DY225" s="37"/>
      <c r="DZ225" s="37"/>
      <c r="EA225" s="39"/>
      <c r="EB225" s="39"/>
      <c r="EC225" s="40"/>
    </row>
    <row r="226" spans="1:133" hidden="1">
      <c r="A226" s="44" t="s">
        <v>138</v>
      </c>
      <c r="B226" s="45" t="s">
        <v>519</v>
      </c>
      <c r="C226" s="20" t="s">
        <v>520</v>
      </c>
      <c r="D226" s="21" t="s">
        <v>502</v>
      </c>
      <c r="E226" s="21"/>
      <c r="F226" s="22" t="s">
        <v>521</v>
      </c>
      <c r="G226" s="23" t="str" cm="1">
        <f t="array" ref="G226">IFERROR(LOOKUP(2,1/(K226:GC226&lt;&gt;""),K$2:DQL$2),"")</f>
        <v>22-Jul</v>
      </c>
      <c r="H226" s="24" cm="1">
        <f t="array" ref="H226">IFERROR(_xlfn.XLOOKUP(TRUE,P226:ED226&lt;&gt;"",P226:ED226,,,-1)," ")</f>
        <v>22.1</v>
      </c>
      <c r="I226" s="25">
        <v>20</v>
      </c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>
        <v>19</v>
      </c>
      <c r="Y226" s="25"/>
      <c r="Z226" s="25"/>
      <c r="AA226" s="25"/>
      <c r="AB226" s="25"/>
      <c r="AC226" s="25"/>
      <c r="AD226" s="25"/>
      <c r="AE226" s="34">
        <v>22.1</v>
      </c>
      <c r="AF226" s="35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7"/>
      <c r="BF226" s="37"/>
      <c r="BG226" s="34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4"/>
      <c r="BS226" s="37"/>
      <c r="BT226" s="37"/>
      <c r="BU226" s="34"/>
      <c r="BV226" s="37"/>
      <c r="BW226" s="34"/>
      <c r="BX226" s="37"/>
      <c r="BY226" s="34"/>
      <c r="BZ226" s="36"/>
      <c r="CA226" s="37"/>
      <c r="CB226" s="37"/>
      <c r="CC226" s="34"/>
      <c r="CD226" s="37"/>
      <c r="CE226" s="37"/>
      <c r="CF226" s="37"/>
      <c r="CG226" s="37"/>
      <c r="CH226" s="37"/>
      <c r="CI226" s="37"/>
      <c r="CJ226" s="37"/>
      <c r="CK226" s="37"/>
      <c r="CL226" s="34"/>
      <c r="CM226" s="37"/>
      <c r="CN226" s="37"/>
      <c r="CO226" s="37"/>
      <c r="CP226" s="34"/>
      <c r="CQ226" s="37"/>
      <c r="CR226" s="37"/>
      <c r="CS226" s="37"/>
      <c r="CT226" s="34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7"/>
      <c r="DR226" s="37"/>
      <c r="DS226" s="37"/>
      <c r="DT226" s="37"/>
      <c r="DU226" s="37"/>
      <c r="DV226" s="37"/>
      <c r="DW226" s="37"/>
      <c r="DX226" s="37"/>
      <c r="DY226" s="37"/>
      <c r="DZ226" s="37"/>
      <c r="EA226" s="39"/>
      <c r="EB226" s="39"/>
      <c r="EC226" s="40"/>
    </row>
    <row r="227" spans="1:133" hidden="1">
      <c r="A227" s="44" t="s">
        <v>138</v>
      </c>
      <c r="B227" s="45" t="s">
        <v>522</v>
      </c>
      <c r="C227" s="20" t="s">
        <v>523</v>
      </c>
      <c r="D227" s="21" t="s">
        <v>502</v>
      </c>
      <c r="E227" s="21"/>
      <c r="F227" s="22" t="s">
        <v>198</v>
      </c>
      <c r="G227" s="23" t="str" cm="1">
        <f t="array" ref="G227">IFERROR(LOOKUP(2,1/(K227:GC227&lt;&gt;""),K$2:DQL$2),"")</f>
        <v>31-Jul</v>
      </c>
      <c r="H227" s="24" cm="1">
        <f t="array" ref="H227">IFERROR(_xlfn.XLOOKUP(TRUE,P227:ED227&lt;&gt;"",P227:ED227,,,-1)," ")</f>
        <v>21</v>
      </c>
      <c r="I227" s="25">
        <v>22</v>
      </c>
      <c r="J227" s="25">
        <v>21</v>
      </c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>
        <v>17.899999999999999</v>
      </c>
      <c r="AA227" s="25"/>
      <c r="AB227" s="25"/>
      <c r="AC227" s="25"/>
      <c r="AD227" s="25"/>
      <c r="AE227" s="34"/>
      <c r="AF227" s="35"/>
      <c r="AG227" s="34">
        <v>19.600000000000001</v>
      </c>
      <c r="AH227" s="34"/>
      <c r="AI227" s="34"/>
      <c r="AJ227" s="34"/>
      <c r="AK227" s="34"/>
      <c r="AL227" s="34"/>
      <c r="AM227" s="34"/>
      <c r="AN227" s="34">
        <v>21</v>
      </c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7"/>
      <c r="BF227" s="37"/>
      <c r="BG227" s="34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4"/>
      <c r="BS227" s="37"/>
      <c r="BT227" s="37"/>
      <c r="BU227" s="34"/>
      <c r="BV227" s="37"/>
      <c r="BW227" s="34"/>
      <c r="BX227" s="37"/>
      <c r="BY227" s="34"/>
      <c r="BZ227" s="34"/>
      <c r="CA227" s="37"/>
      <c r="CB227" s="37"/>
      <c r="CC227" s="34"/>
      <c r="CD227" s="37"/>
      <c r="CE227" s="37"/>
      <c r="CF227" s="37"/>
      <c r="CG227" s="37"/>
      <c r="CH227" s="37"/>
      <c r="CI227" s="37"/>
      <c r="CJ227" s="37"/>
      <c r="CK227" s="37"/>
      <c r="CL227" s="34"/>
      <c r="CM227" s="37"/>
      <c r="CN227" s="37"/>
      <c r="CO227" s="37"/>
      <c r="CP227" s="34"/>
      <c r="CQ227" s="37"/>
      <c r="CR227" s="37"/>
      <c r="CS227" s="37"/>
      <c r="CT227" s="34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37"/>
      <c r="DK227" s="37"/>
      <c r="DL227" s="37"/>
      <c r="DM227" s="37"/>
      <c r="DN227" s="37"/>
      <c r="DO227" s="37"/>
      <c r="DP227" s="37"/>
      <c r="DQ227" s="37"/>
      <c r="DR227" s="37"/>
      <c r="DS227" s="37"/>
      <c r="DT227" s="37"/>
      <c r="DU227" s="37"/>
      <c r="DV227" s="37"/>
      <c r="DW227" s="37"/>
      <c r="DX227" s="37"/>
      <c r="DY227" s="37"/>
      <c r="DZ227" s="37"/>
      <c r="EA227" s="39"/>
      <c r="EB227" s="39"/>
      <c r="EC227" s="40"/>
    </row>
    <row r="228" spans="1:133" hidden="1">
      <c r="A228" s="44" t="s">
        <v>138</v>
      </c>
      <c r="B228" s="45" t="s">
        <v>524</v>
      </c>
      <c r="C228" s="20" t="s">
        <v>525</v>
      </c>
      <c r="D228" s="21" t="s">
        <v>502</v>
      </c>
      <c r="E228" s="21"/>
      <c r="F228" s="22" t="s">
        <v>526</v>
      </c>
      <c r="G228" s="23" t="str" cm="1">
        <f t="array" ref="G228">IFERROR(LOOKUP(2,1/(K228:GC228&lt;&gt;""),K$2:DQL$2),"")</f>
        <v>20-Jul</v>
      </c>
      <c r="H228" s="24" cm="1">
        <f t="array" ref="H228">IFERROR(_xlfn.XLOOKUP(TRUE,P228:ED228&lt;&gt;"",P228:ED228,,,-1)," ")</f>
        <v>18.399999999999999</v>
      </c>
      <c r="I228" s="25">
        <v>20</v>
      </c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>
        <v>18.399999999999999</v>
      </c>
      <c r="AD228" s="25"/>
      <c r="AE228" s="34"/>
      <c r="AF228" s="35"/>
      <c r="AG228" s="34"/>
      <c r="AH228" s="34"/>
      <c r="AI228" s="34"/>
      <c r="AJ228" s="34"/>
      <c r="AK228" s="34"/>
      <c r="AL228" s="34"/>
      <c r="AM228" s="34"/>
      <c r="AN228" s="34"/>
      <c r="AO228" s="34"/>
      <c r="AP228" s="36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7"/>
      <c r="BF228" s="37"/>
      <c r="BG228" s="34"/>
      <c r="BH228" s="37"/>
      <c r="BI228" s="37"/>
      <c r="BJ228" s="37"/>
      <c r="BK228" s="37"/>
      <c r="BL228" s="37"/>
      <c r="BM228" s="38"/>
      <c r="BN228" s="37"/>
      <c r="BO228" s="37"/>
      <c r="BP228" s="37"/>
      <c r="BQ228" s="37"/>
      <c r="BR228" s="34"/>
      <c r="BS228" s="37"/>
      <c r="BT228" s="37"/>
      <c r="BU228" s="34"/>
      <c r="BV228" s="37"/>
      <c r="BW228" s="34"/>
      <c r="BX228" s="37"/>
      <c r="BY228" s="34"/>
      <c r="BZ228" s="34"/>
      <c r="CA228" s="37"/>
      <c r="CB228" s="37"/>
      <c r="CC228" s="34"/>
      <c r="CD228" s="37"/>
      <c r="CE228" s="37"/>
      <c r="CF228" s="37"/>
      <c r="CG228" s="37"/>
      <c r="CH228" s="37"/>
      <c r="CI228" s="37"/>
      <c r="CJ228" s="37"/>
      <c r="CK228" s="37"/>
      <c r="CL228" s="34"/>
      <c r="CM228" s="37"/>
      <c r="CN228" s="37"/>
      <c r="CO228" s="37"/>
      <c r="CP228" s="34"/>
      <c r="CQ228" s="37"/>
      <c r="CR228" s="37"/>
      <c r="CS228" s="37"/>
      <c r="CT228" s="34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7"/>
      <c r="DR228" s="37"/>
      <c r="DS228" s="37"/>
      <c r="DT228" s="37"/>
      <c r="DU228" s="37"/>
      <c r="DV228" s="37"/>
      <c r="DW228" s="37"/>
      <c r="DX228" s="37"/>
      <c r="DY228" s="37"/>
      <c r="DZ228" s="37"/>
      <c r="EA228" s="39"/>
      <c r="EB228" s="39"/>
      <c r="EC228" s="40"/>
    </row>
    <row r="229" spans="1:133" hidden="1">
      <c r="A229" s="44" t="s">
        <v>138</v>
      </c>
      <c r="B229" s="22" t="s">
        <v>527</v>
      </c>
      <c r="C229" s="20" t="s">
        <v>528</v>
      </c>
      <c r="D229" s="21" t="s">
        <v>529</v>
      </c>
      <c r="E229" s="21"/>
      <c r="F229" s="22" t="s">
        <v>137</v>
      </c>
      <c r="G229" s="23" t="str" cm="1">
        <f t="array" ref="G229">IFERROR(LOOKUP(2,1/(K229:GC229&lt;&gt;""),K$2:DQL$2),"")</f>
        <v>28-Jul</v>
      </c>
      <c r="H229" s="24" cm="1">
        <f t="array" ref="H229">IFERROR(_xlfn.XLOOKUP(TRUE,P229:ED229&lt;&gt;"",P229:ED229,,,-1)," ")</f>
        <v>23</v>
      </c>
      <c r="I229" s="25">
        <v>19</v>
      </c>
      <c r="J229" s="26">
        <v>21</v>
      </c>
      <c r="K229" s="26"/>
      <c r="L229" s="26"/>
      <c r="M229" s="26"/>
      <c r="N229" s="26"/>
      <c r="O229" s="26"/>
      <c r="P229" s="26"/>
      <c r="Q229" s="26"/>
      <c r="R229" s="26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34"/>
      <c r="AF229" s="35"/>
      <c r="AG229" s="34"/>
      <c r="AH229" s="34"/>
      <c r="AI229" s="34"/>
      <c r="AJ229" s="34"/>
      <c r="AK229" s="34">
        <v>23</v>
      </c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6"/>
      <c r="AX229" s="34"/>
      <c r="AY229" s="34"/>
      <c r="AZ229" s="36"/>
      <c r="BA229" s="34"/>
      <c r="BB229" s="34"/>
      <c r="BC229" s="34"/>
      <c r="BD229" s="34"/>
      <c r="BE229" s="37"/>
      <c r="BF229" s="37"/>
      <c r="BG229" s="34"/>
      <c r="BH229" s="37"/>
      <c r="BI229" s="34"/>
      <c r="BJ229" s="34"/>
      <c r="BK229" s="38"/>
      <c r="BL229" s="37"/>
      <c r="BM229" s="37"/>
      <c r="BN229" s="37"/>
      <c r="BO229" s="37"/>
      <c r="BP229" s="37"/>
      <c r="BQ229" s="37"/>
      <c r="BR229" s="34"/>
      <c r="BS229" s="37"/>
      <c r="BT229" s="37"/>
      <c r="BU229" s="34"/>
      <c r="BV229" s="37"/>
      <c r="BW229" s="34"/>
      <c r="BX229" s="37"/>
      <c r="BY229" s="34"/>
      <c r="BZ229" s="36"/>
      <c r="CA229" s="37"/>
      <c r="CB229" s="37"/>
      <c r="CC229" s="34"/>
      <c r="CD229" s="37"/>
      <c r="CE229" s="37"/>
      <c r="CF229" s="37"/>
      <c r="CG229" s="37"/>
      <c r="CH229" s="37"/>
      <c r="CI229" s="37"/>
      <c r="CJ229" s="37"/>
      <c r="CK229" s="37"/>
      <c r="CL229" s="34"/>
      <c r="CM229" s="37"/>
      <c r="CN229" s="37"/>
      <c r="CO229" s="37"/>
      <c r="CP229" s="34"/>
      <c r="CQ229" s="37"/>
      <c r="CR229" s="37"/>
      <c r="CS229" s="37"/>
      <c r="CT229" s="34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  <c r="DM229" s="37"/>
      <c r="DN229" s="37"/>
      <c r="DO229" s="37"/>
      <c r="DP229" s="37"/>
      <c r="DQ229" s="37"/>
      <c r="DR229" s="37"/>
      <c r="DS229" s="37"/>
      <c r="DT229" s="37"/>
      <c r="DU229" s="37"/>
      <c r="DV229" s="37"/>
      <c r="DW229" s="37"/>
      <c r="DX229" s="37"/>
      <c r="DY229" s="37"/>
      <c r="DZ229" s="37"/>
      <c r="EA229" s="39"/>
      <c r="EB229" s="39"/>
      <c r="EC229" s="40"/>
    </row>
    <row r="230" spans="1:133" hidden="1">
      <c r="A230" s="44" t="s">
        <v>138</v>
      </c>
      <c r="B230" s="22" t="s">
        <v>530</v>
      </c>
      <c r="C230" s="20" t="s">
        <v>531</v>
      </c>
      <c r="D230" s="21" t="s">
        <v>529</v>
      </c>
      <c r="E230" s="21"/>
      <c r="F230" s="22" t="s">
        <v>137</v>
      </c>
      <c r="G230" s="23" t="str" cm="1">
        <f t="array" ref="G230">IFERROR(LOOKUP(2,1/(K230:GC230&lt;&gt;""),K$2:DQL$2),"")</f>
        <v>1-Aug</v>
      </c>
      <c r="H230" s="24" cm="1">
        <f t="array" ref="H230">IFERROR(_xlfn.XLOOKUP(TRUE,P230:ED230&lt;&gt;"",P230:ED230,,,-1)," ")</f>
        <v>22.5</v>
      </c>
      <c r="I230" s="25">
        <v>21</v>
      </c>
      <c r="J230" s="25">
        <v>22</v>
      </c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>
        <v>15.4</v>
      </c>
      <c r="X230" s="25"/>
      <c r="Y230" s="25"/>
      <c r="Z230" s="25"/>
      <c r="AA230" s="25"/>
      <c r="AB230" s="25"/>
      <c r="AC230" s="25">
        <v>18.2</v>
      </c>
      <c r="AD230" s="25"/>
      <c r="AE230" s="34"/>
      <c r="AF230" s="36">
        <v>19</v>
      </c>
      <c r="AG230" s="34"/>
      <c r="AH230" s="34"/>
      <c r="AI230" s="34"/>
      <c r="AJ230" s="34"/>
      <c r="AK230" s="36">
        <v>20.3</v>
      </c>
      <c r="AL230" s="34"/>
      <c r="AM230" s="34"/>
      <c r="AN230" s="34"/>
      <c r="AO230" s="36">
        <v>22.5</v>
      </c>
      <c r="AP230" s="34"/>
      <c r="AQ230" s="34"/>
      <c r="AR230" s="34"/>
      <c r="AS230" s="34"/>
      <c r="AT230" s="34"/>
      <c r="AU230" s="34"/>
      <c r="AV230" s="34"/>
      <c r="AW230" s="34"/>
      <c r="AX230" s="34"/>
      <c r="AY230" s="36"/>
      <c r="AZ230" s="34"/>
      <c r="BA230" s="36"/>
      <c r="BB230" s="34"/>
      <c r="BC230" s="34"/>
      <c r="BD230" s="34"/>
      <c r="BE230" s="37"/>
      <c r="BF230" s="37"/>
      <c r="BG230" s="34"/>
      <c r="BH230" s="38"/>
      <c r="BI230" s="34"/>
      <c r="BJ230" s="34"/>
      <c r="BK230" s="37"/>
      <c r="BL230" s="38"/>
      <c r="BM230" s="37"/>
      <c r="BN230" s="37"/>
      <c r="BO230" s="37"/>
      <c r="BP230" s="37"/>
      <c r="BQ230" s="37"/>
      <c r="BR230" s="34"/>
      <c r="BS230" s="37"/>
      <c r="BT230" s="37"/>
      <c r="BU230" s="34"/>
      <c r="BV230" s="37"/>
      <c r="BW230" s="34"/>
      <c r="BX230" s="37"/>
      <c r="BY230" s="34"/>
      <c r="BZ230" s="36"/>
      <c r="CA230" s="37"/>
      <c r="CB230" s="37"/>
      <c r="CC230" s="34"/>
      <c r="CD230" s="37"/>
      <c r="CE230" s="37"/>
      <c r="CF230" s="37"/>
      <c r="CG230" s="37"/>
      <c r="CH230" s="37"/>
      <c r="CI230" s="37"/>
      <c r="CJ230" s="37"/>
      <c r="CK230" s="37"/>
      <c r="CL230" s="34"/>
      <c r="CM230" s="37"/>
      <c r="CN230" s="37"/>
      <c r="CO230" s="37"/>
      <c r="CP230" s="34"/>
      <c r="CQ230" s="37"/>
      <c r="CR230" s="37"/>
      <c r="CS230" s="37"/>
      <c r="CT230" s="34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  <c r="DM230" s="37"/>
      <c r="DN230" s="37"/>
      <c r="DO230" s="37"/>
      <c r="DP230" s="37"/>
      <c r="DQ230" s="37"/>
      <c r="DR230" s="37"/>
      <c r="DS230" s="37"/>
      <c r="DT230" s="37"/>
      <c r="DU230" s="37"/>
      <c r="DV230" s="37"/>
      <c r="DW230" s="37"/>
      <c r="DX230" s="37"/>
      <c r="DY230" s="37"/>
      <c r="DZ230" s="37"/>
      <c r="EA230" s="39"/>
      <c r="EB230" s="39"/>
      <c r="EC230" s="40"/>
    </row>
    <row r="231" spans="1:133" hidden="1">
      <c r="A231" s="44" t="s">
        <v>138</v>
      </c>
      <c r="B231" s="22" t="s">
        <v>530</v>
      </c>
      <c r="C231" s="20" t="s">
        <v>532</v>
      </c>
      <c r="D231" s="21" t="s">
        <v>529</v>
      </c>
      <c r="E231" s="21"/>
      <c r="F231" s="22" t="s">
        <v>137</v>
      </c>
      <c r="G231" s="23" t="str" cm="1">
        <f t="array" ref="G231">IFERROR(LOOKUP(2,1/(K231:GC231&lt;&gt;""),K$2:DQL$2),"")</f>
        <v>3-Aug</v>
      </c>
      <c r="H231" s="24" cm="1">
        <f t="array" ref="H231">IFERROR(_xlfn.XLOOKUP(TRUE,P231:ED231&lt;&gt;"",P231:ED231,,,-1)," ")</f>
        <v>24.4</v>
      </c>
      <c r="I231" s="25">
        <v>19</v>
      </c>
      <c r="J231" s="26">
        <v>21</v>
      </c>
      <c r="K231" s="26"/>
      <c r="L231" s="26"/>
      <c r="M231" s="26"/>
      <c r="N231" s="26"/>
      <c r="O231" s="26"/>
      <c r="P231" s="26"/>
      <c r="Q231" s="26"/>
      <c r="R231" s="26">
        <v>15</v>
      </c>
      <c r="S231" s="25"/>
      <c r="T231" s="25"/>
      <c r="U231" s="25"/>
      <c r="V231" s="25"/>
      <c r="W231" s="25">
        <v>16.3</v>
      </c>
      <c r="X231" s="25"/>
      <c r="Y231" s="25"/>
      <c r="Z231" s="25"/>
      <c r="AA231" s="25"/>
      <c r="AB231" s="25"/>
      <c r="AC231" s="25">
        <v>19.3</v>
      </c>
      <c r="AD231" s="25"/>
      <c r="AE231" s="34"/>
      <c r="AF231" s="35"/>
      <c r="AG231" s="34"/>
      <c r="AH231" s="34"/>
      <c r="AI231" s="34"/>
      <c r="AJ231" s="34"/>
      <c r="AK231" s="34">
        <v>21.4</v>
      </c>
      <c r="AL231" s="34"/>
      <c r="AM231" s="34"/>
      <c r="AN231" s="34"/>
      <c r="AO231" s="34"/>
      <c r="AP231" s="34"/>
      <c r="AQ231" s="34">
        <v>24.4</v>
      </c>
      <c r="AR231" s="34"/>
      <c r="AS231" s="34"/>
      <c r="AT231" s="34"/>
      <c r="AU231" s="34"/>
      <c r="AV231" s="34"/>
      <c r="AW231" s="34"/>
      <c r="AX231" s="34"/>
      <c r="AY231" s="36"/>
      <c r="AZ231" s="34"/>
      <c r="BA231" s="36"/>
      <c r="BB231" s="34"/>
      <c r="BC231" s="34"/>
      <c r="BD231" s="34"/>
      <c r="BE231" s="37"/>
      <c r="BF231" s="37"/>
      <c r="BG231" s="34"/>
      <c r="BH231" s="37"/>
      <c r="BI231" s="34"/>
      <c r="BJ231" s="34"/>
      <c r="BK231" s="37"/>
      <c r="BL231" s="38"/>
      <c r="BM231" s="37"/>
      <c r="BN231" s="37"/>
      <c r="BO231" s="37"/>
      <c r="BP231" s="37"/>
      <c r="BQ231" s="37"/>
      <c r="BR231" s="34"/>
      <c r="BS231" s="37"/>
      <c r="BT231" s="37"/>
      <c r="BU231" s="34"/>
      <c r="BV231" s="37"/>
      <c r="BW231" s="34"/>
      <c r="BX231" s="37"/>
      <c r="BY231" s="34"/>
      <c r="BZ231" s="36"/>
      <c r="CA231" s="37"/>
      <c r="CB231" s="37"/>
      <c r="CC231" s="34"/>
      <c r="CD231" s="37"/>
      <c r="CE231" s="37"/>
      <c r="CF231" s="37"/>
      <c r="CG231" s="37"/>
      <c r="CH231" s="37"/>
      <c r="CI231" s="37"/>
      <c r="CJ231" s="37"/>
      <c r="CK231" s="37"/>
      <c r="CL231" s="34"/>
      <c r="CM231" s="37"/>
      <c r="CN231" s="37"/>
      <c r="CO231" s="37"/>
      <c r="CP231" s="34"/>
      <c r="CQ231" s="37"/>
      <c r="CR231" s="37"/>
      <c r="CS231" s="37"/>
      <c r="CT231" s="34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  <c r="DM231" s="37"/>
      <c r="DN231" s="37"/>
      <c r="DO231" s="37"/>
      <c r="DP231" s="37"/>
      <c r="DQ231" s="37"/>
      <c r="DR231" s="37"/>
      <c r="DS231" s="37"/>
      <c r="DT231" s="37"/>
      <c r="DU231" s="37"/>
      <c r="DV231" s="37"/>
      <c r="DW231" s="37"/>
      <c r="DX231" s="37"/>
      <c r="DY231" s="37"/>
      <c r="DZ231" s="37"/>
      <c r="EA231" s="39"/>
      <c r="EB231" s="39"/>
      <c r="EC231" s="40"/>
    </row>
    <row r="232" spans="1:133" hidden="1">
      <c r="A232" s="44" t="s">
        <v>138</v>
      </c>
      <c r="B232" s="22" t="s">
        <v>533</v>
      </c>
      <c r="C232" s="20" t="s">
        <v>534</v>
      </c>
      <c r="D232" s="21" t="s">
        <v>529</v>
      </c>
      <c r="E232" s="21"/>
      <c r="F232" s="22" t="s">
        <v>137</v>
      </c>
      <c r="G232" s="23" t="str" cm="1">
        <f t="array" ref="G232">IFERROR(LOOKUP(2,1/(K232:GC232&lt;&gt;""),K$2:DQL$2),"")</f>
        <v>28-Jul</v>
      </c>
      <c r="H232" s="24" cm="1">
        <f t="array" ref="H232">IFERROR(_xlfn.XLOOKUP(TRUE,P232:ED232&lt;&gt;"",P232:ED232,,,-1)," ")</f>
        <v>22.1</v>
      </c>
      <c r="I232" s="25">
        <v>19</v>
      </c>
      <c r="J232" s="26">
        <v>21</v>
      </c>
      <c r="K232" s="26"/>
      <c r="L232" s="26"/>
      <c r="M232" s="26"/>
      <c r="N232" s="26"/>
      <c r="O232" s="26"/>
      <c r="P232" s="26"/>
      <c r="Q232" s="26"/>
      <c r="R232" s="26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34"/>
      <c r="AF232" s="35"/>
      <c r="AG232" s="34"/>
      <c r="AH232" s="34"/>
      <c r="AI232" s="34"/>
      <c r="AJ232" s="34"/>
      <c r="AK232" s="34">
        <v>22.1</v>
      </c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6"/>
      <c r="AX232" s="34"/>
      <c r="AY232" s="34"/>
      <c r="AZ232" s="36"/>
      <c r="BA232" s="34"/>
      <c r="BB232" s="34"/>
      <c r="BC232" s="34"/>
      <c r="BD232" s="34"/>
      <c r="BE232" s="37"/>
      <c r="BF232" s="37"/>
      <c r="BG232" s="34"/>
      <c r="BH232" s="37"/>
      <c r="BI232" s="34"/>
      <c r="BJ232" s="34"/>
      <c r="BK232" s="38"/>
      <c r="BL232" s="37"/>
      <c r="BM232" s="37"/>
      <c r="BN232" s="37"/>
      <c r="BO232" s="37"/>
      <c r="BP232" s="37"/>
      <c r="BQ232" s="37"/>
      <c r="BR232" s="34"/>
      <c r="BS232" s="37"/>
      <c r="BT232" s="37"/>
      <c r="BU232" s="34"/>
      <c r="BV232" s="37"/>
      <c r="BW232" s="34"/>
      <c r="BX232" s="37"/>
      <c r="BY232" s="34"/>
      <c r="BZ232" s="36"/>
      <c r="CA232" s="37"/>
      <c r="CB232" s="37"/>
      <c r="CC232" s="34"/>
      <c r="CD232" s="37"/>
      <c r="CE232" s="37"/>
      <c r="CF232" s="37"/>
      <c r="CG232" s="37"/>
      <c r="CH232" s="37"/>
      <c r="CI232" s="37"/>
      <c r="CJ232" s="37"/>
      <c r="CK232" s="37"/>
      <c r="CL232" s="34"/>
      <c r="CM232" s="37"/>
      <c r="CN232" s="37"/>
      <c r="CO232" s="37"/>
      <c r="CP232" s="34"/>
      <c r="CQ232" s="37"/>
      <c r="CR232" s="37"/>
      <c r="CS232" s="37"/>
      <c r="CT232" s="34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  <c r="DM232" s="37"/>
      <c r="DN232" s="37"/>
      <c r="DO232" s="37"/>
      <c r="DP232" s="37"/>
      <c r="DQ232" s="37"/>
      <c r="DR232" s="37"/>
      <c r="DS232" s="37"/>
      <c r="DT232" s="37"/>
      <c r="DU232" s="37"/>
      <c r="DV232" s="37"/>
      <c r="DW232" s="37"/>
      <c r="DX232" s="37"/>
      <c r="DY232" s="37"/>
      <c r="DZ232" s="37"/>
      <c r="EA232" s="39"/>
      <c r="EB232" s="39"/>
      <c r="EC232" s="40"/>
    </row>
    <row r="233" spans="1:133" hidden="1">
      <c r="A233" s="44" t="s">
        <v>138</v>
      </c>
      <c r="B233" s="22" t="s">
        <v>535</v>
      </c>
      <c r="C233" s="20" t="s">
        <v>536</v>
      </c>
      <c r="D233" s="21" t="s">
        <v>529</v>
      </c>
      <c r="E233" s="21"/>
      <c r="F233" s="22" t="s">
        <v>137</v>
      </c>
      <c r="G233" s="23" t="str" cm="1">
        <f t="array" ref="G233">IFERROR(LOOKUP(2,1/(K233:GC233&lt;&gt;""),K$2:DQL$2),"")</f>
        <v/>
      </c>
      <c r="H233" s="24" t="str" cm="1">
        <f t="array" ref="H233">IFERROR(_xlfn.XLOOKUP(TRUE,P233:ED233&lt;&gt;"",P233:ED233,,,-1)," ")</f>
        <v xml:space="preserve"> </v>
      </c>
      <c r="I233" s="25">
        <v>19</v>
      </c>
      <c r="J233" s="26">
        <v>21</v>
      </c>
      <c r="K233" s="26"/>
      <c r="L233" s="26"/>
      <c r="M233" s="26"/>
      <c r="N233" s="26"/>
      <c r="O233" s="26"/>
      <c r="P233" s="26"/>
      <c r="Q233" s="26"/>
      <c r="R233" s="26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34"/>
      <c r="AF233" s="35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6"/>
      <c r="BA233" s="34"/>
      <c r="BB233" s="34"/>
      <c r="BC233" s="34"/>
      <c r="BD233" s="34"/>
      <c r="BE233" s="37"/>
      <c r="BF233" s="37"/>
      <c r="BG233" s="34"/>
      <c r="BH233" s="37"/>
      <c r="BI233" s="34"/>
      <c r="BJ233" s="34"/>
      <c r="BK233" s="37"/>
      <c r="BL233" s="37"/>
      <c r="BM233" s="37"/>
      <c r="BN233" s="37"/>
      <c r="BO233" s="37"/>
      <c r="BP233" s="37"/>
      <c r="BQ233" s="37"/>
      <c r="BR233" s="34"/>
      <c r="BS233" s="37"/>
      <c r="BT233" s="37"/>
      <c r="BU233" s="34"/>
      <c r="BV233" s="37"/>
      <c r="BW233" s="34"/>
      <c r="BX233" s="37"/>
      <c r="BY233" s="34"/>
      <c r="BZ233" s="36"/>
      <c r="CA233" s="37"/>
      <c r="CB233" s="37"/>
      <c r="CC233" s="34"/>
      <c r="CD233" s="37"/>
      <c r="CE233" s="37"/>
      <c r="CF233" s="37"/>
      <c r="CG233" s="37"/>
      <c r="CH233" s="37"/>
      <c r="CI233" s="37"/>
      <c r="CJ233" s="37"/>
      <c r="CK233" s="37"/>
      <c r="CL233" s="34"/>
      <c r="CM233" s="37"/>
      <c r="CN233" s="37"/>
      <c r="CO233" s="37"/>
      <c r="CP233" s="34"/>
      <c r="CQ233" s="37"/>
      <c r="CR233" s="37"/>
      <c r="CS233" s="37"/>
      <c r="CT233" s="34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  <c r="DP233" s="37"/>
      <c r="DQ233" s="37"/>
      <c r="DR233" s="37"/>
      <c r="DS233" s="37"/>
      <c r="DT233" s="37"/>
      <c r="DU233" s="37"/>
      <c r="DV233" s="37"/>
      <c r="DW233" s="37"/>
      <c r="DX233" s="37"/>
      <c r="DY233" s="37"/>
      <c r="DZ233" s="37"/>
      <c r="EA233" s="39"/>
      <c r="EB233" s="39"/>
      <c r="EC233" s="40"/>
    </row>
    <row r="234" spans="1:133" hidden="1">
      <c r="A234" s="44" t="s">
        <v>138</v>
      </c>
      <c r="B234" s="22" t="s">
        <v>537</v>
      </c>
      <c r="C234" s="20" t="s">
        <v>538</v>
      </c>
      <c r="D234" s="21" t="s">
        <v>529</v>
      </c>
      <c r="E234" s="21"/>
      <c r="F234" s="22" t="s">
        <v>137</v>
      </c>
      <c r="G234" s="23" t="str" cm="1">
        <f t="array" ref="G234">IFERROR(LOOKUP(2,1/(K234:GC234&lt;&gt;""),K$2:DQL$2),"")</f>
        <v>3-Aug</v>
      </c>
      <c r="H234" s="24" cm="1">
        <f t="array" ref="H234">IFERROR(_xlfn.XLOOKUP(TRUE,P234:ED234&lt;&gt;"",P234:ED234,,,-1)," ")</f>
        <v>25.1</v>
      </c>
      <c r="I234" s="25">
        <v>19</v>
      </c>
      <c r="J234" s="26">
        <v>21</v>
      </c>
      <c r="K234" s="26"/>
      <c r="L234" s="26"/>
      <c r="M234" s="26"/>
      <c r="N234" s="26"/>
      <c r="O234" s="26"/>
      <c r="P234" s="26"/>
      <c r="Q234" s="26"/>
      <c r="R234" s="26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34"/>
      <c r="AF234" s="35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6">
        <v>25.1</v>
      </c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7"/>
      <c r="BF234" s="37"/>
      <c r="BG234" s="34"/>
      <c r="BH234" s="38"/>
      <c r="BI234" s="34"/>
      <c r="BJ234" s="34"/>
      <c r="BK234" s="37"/>
      <c r="BL234" s="38"/>
      <c r="BM234" s="37"/>
      <c r="BN234" s="37"/>
      <c r="BO234" s="37"/>
      <c r="BP234" s="37"/>
      <c r="BQ234" s="37"/>
      <c r="BR234" s="34"/>
      <c r="BS234" s="37"/>
      <c r="BT234" s="37"/>
      <c r="BU234" s="34"/>
      <c r="BV234" s="37"/>
      <c r="BW234" s="34"/>
      <c r="BX234" s="37"/>
      <c r="BY234" s="34"/>
      <c r="BZ234" s="36"/>
      <c r="CA234" s="37"/>
      <c r="CB234" s="37"/>
      <c r="CC234" s="34"/>
      <c r="CD234" s="37"/>
      <c r="CE234" s="37"/>
      <c r="CF234" s="37"/>
      <c r="CG234" s="37"/>
      <c r="CH234" s="37"/>
      <c r="CI234" s="37"/>
      <c r="CJ234" s="37"/>
      <c r="CK234" s="37"/>
      <c r="CL234" s="34"/>
      <c r="CM234" s="37"/>
      <c r="CN234" s="37"/>
      <c r="CO234" s="37"/>
      <c r="CP234" s="34"/>
      <c r="CQ234" s="37"/>
      <c r="CR234" s="37"/>
      <c r="CS234" s="37"/>
      <c r="CT234" s="34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  <c r="DM234" s="37"/>
      <c r="DN234" s="37"/>
      <c r="DO234" s="37"/>
      <c r="DP234" s="37"/>
      <c r="DQ234" s="37"/>
      <c r="DR234" s="37"/>
      <c r="DS234" s="37"/>
      <c r="DT234" s="37"/>
      <c r="DU234" s="37"/>
      <c r="DV234" s="37"/>
      <c r="DW234" s="37"/>
      <c r="DX234" s="37"/>
      <c r="DY234" s="37"/>
      <c r="DZ234" s="37"/>
      <c r="EA234" s="39"/>
      <c r="EB234" s="39"/>
      <c r="EC234" s="40"/>
    </row>
    <row r="235" spans="1:133" hidden="1">
      <c r="A235" s="44"/>
      <c r="B235" s="22" t="s">
        <v>539</v>
      </c>
      <c r="C235" s="20" t="s">
        <v>540</v>
      </c>
      <c r="D235" s="21" t="s">
        <v>529</v>
      </c>
      <c r="E235" s="21"/>
      <c r="F235" s="22" t="s">
        <v>318</v>
      </c>
      <c r="G235" s="23" t="str" cm="1">
        <f t="array" ref="G235">IFERROR(LOOKUP(2,1/(K235:GC235&lt;&gt;""),K$2:DQL$2),"")</f>
        <v>5-Aug</v>
      </c>
      <c r="H235" s="24" cm="1">
        <f t="array" ref="H235">IFERROR(_xlfn.XLOOKUP(TRUE,P235:ED235&lt;&gt;"",P235:ED235,,,-1)," ")</f>
        <v>22.4</v>
      </c>
      <c r="I235" s="25">
        <v>23.5</v>
      </c>
      <c r="J235" s="26"/>
      <c r="K235" s="26"/>
      <c r="L235" s="26"/>
      <c r="M235" s="26"/>
      <c r="N235" s="26"/>
      <c r="O235" s="26"/>
      <c r="P235" s="26"/>
      <c r="Q235" s="26"/>
      <c r="R235" s="26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34"/>
      <c r="AF235" s="248">
        <v>18.899999999999999</v>
      </c>
      <c r="AG235" s="34"/>
      <c r="AH235" s="34"/>
      <c r="AI235" s="34"/>
      <c r="AJ235" s="34"/>
      <c r="AK235" s="34"/>
      <c r="AL235" s="34"/>
      <c r="AM235" s="34">
        <v>20.6</v>
      </c>
      <c r="AN235" s="34"/>
      <c r="AO235" s="34"/>
      <c r="AP235" s="34"/>
      <c r="AQ235" s="34"/>
      <c r="AR235" s="34"/>
      <c r="AS235" s="34">
        <v>22.4</v>
      </c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7"/>
      <c r="BF235" s="37"/>
      <c r="BG235" s="34"/>
      <c r="BH235" s="37"/>
      <c r="BI235" s="34"/>
      <c r="BJ235" s="34"/>
      <c r="BK235" s="37"/>
      <c r="BL235" s="37"/>
      <c r="BM235" s="37"/>
      <c r="BN235" s="37"/>
      <c r="BO235" s="37"/>
      <c r="BP235" s="37"/>
      <c r="BQ235" s="37"/>
      <c r="BR235" s="34"/>
      <c r="BS235" s="37"/>
      <c r="BT235" s="37"/>
      <c r="BU235" s="34"/>
      <c r="BV235" s="37"/>
      <c r="BW235" s="34"/>
      <c r="BX235" s="37"/>
      <c r="BY235" s="34"/>
      <c r="BZ235" s="34"/>
      <c r="CA235" s="37"/>
      <c r="CB235" s="37"/>
      <c r="CC235" s="34"/>
      <c r="CD235" s="37"/>
      <c r="CE235" s="37"/>
      <c r="CF235" s="37"/>
      <c r="CG235" s="37"/>
      <c r="CH235" s="37"/>
      <c r="CI235" s="37"/>
      <c r="CJ235" s="37"/>
      <c r="CK235" s="37"/>
      <c r="CL235" s="34"/>
      <c r="CM235" s="43"/>
      <c r="CN235" s="37"/>
      <c r="CO235" s="37"/>
      <c r="CP235" s="34"/>
      <c r="CQ235" s="37"/>
      <c r="CR235" s="37"/>
      <c r="CS235" s="37"/>
      <c r="CT235" s="34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  <c r="DJ235" s="37"/>
      <c r="DK235" s="37"/>
      <c r="DL235" s="37"/>
      <c r="DM235" s="37"/>
      <c r="DN235" s="37"/>
      <c r="DO235" s="37"/>
      <c r="DP235" s="37"/>
      <c r="DQ235" s="37"/>
      <c r="DR235" s="37"/>
      <c r="DS235" s="37"/>
      <c r="DT235" s="37"/>
      <c r="DU235" s="37"/>
      <c r="DV235" s="37"/>
      <c r="DW235" s="37"/>
      <c r="DX235" s="37"/>
      <c r="DY235" s="37"/>
      <c r="DZ235" s="37"/>
      <c r="EA235" s="39"/>
      <c r="EB235" s="39"/>
      <c r="EC235" s="40"/>
    </row>
    <row r="236" spans="1:133" hidden="1">
      <c r="A236" s="44"/>
      <c r="B236" s="22" t="s">
        <v>539</v>
      </c>
      <c r="C236" s="20" t="s">
        <v>541</v>
      </c>
      <c r="D236" s="21" t="s">
        <v>529</v>
      </c>
      <c r="E236" s="21"/>
      <c r="F236" s="22" t="s">
        <v>318</v>
      </c>
      <c r="G236" s="23" t="str" cm="1">
        <f t="array" ref="G236">IFERROR(LOOKUP(2,1/(K236:GC236&lt;&gt;""),K$2:DQL$2),"")</f>
        <v>5-Aug</v>
      </c>
      <c r="H236" s="24" cm="1">
        <f t="array" ref="H236">IFERROR(_xlfn.XLOOKUP(TRUE,P236:ED236&lt;&gt;"",P236:ED236,,,-1)," ")</f>
        <v>23.2</v>
      </c>
      <c r="I236" s="25">
        <v>23.5</v>
      </c>
      <c r="J236" s="26"/>
      <c r="K236" s="26"/>
      <c r="L236" s="26"/>
      <c r="M236" s="26"/>
      <c r="N236" s="26"/>
      <c r="O236" s="26"/>
      <c r="P236" s="26"/>
      <c r="Q236" s="26"/>
      <c r="R236" s="26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34"/>
      <c r="AF236" s="35"/>
      <c r="AG236" s="34"/>
      <c r="AH236" s="34"/>
      <c r="AI236" s="34"/>
      <c r="AJ236" s="34"/>
      <c r="AK236" s="34"/>
      <c r="AL236" s="34"/>
      <c r="AM236" s="34">
        <v>21.5</v>
      </c>
      <c r="AN236" s="34"/>
      <c r="AO236" s="34"/>
      <c r="AP236" s="34"/>
      <c r="AQ236" s="34"/>
      <c r="AR236" s="34"/>
      <c r="AS236" s="34">
        <v>23.2</v>
      </c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7"/>
      <c r="BF236" s="37"/>
      <c r="BG236" s="34"/>
      <c r="BH236" s="37"/>
      <c r="BI236" s="34"/>
      <c r="BJ236" s="34"/>
      <c r="BK236" s="37"/>
      <c r="BL236" s="37"/>
      <c r="BM236" s="37"/>
      <c r="BN236" s="37"/>
      <c r="BO236" s="37"/>
      <c r="BP236" s="37"/>
      <c r="BQ236" s="37"/>
      <c r="BR236" s="34"/>
      <c r="BS236" s="37"/>
      <c r="BT236" s="37"/>
      <c r="BU236" s="34"/>
      <c r="BV236" s="37"/>
      <c r="BW236" s="34"/>
      <c r="BX236" s="37"/>
      <c r="BY236" s="34"/>
      <c r="BZ236" s="34"/>
      <c r="CA236" s="37"/>
      <c r="CB236" s="37"/>
      <c r="CC236" s="34"/>
      <c r="CD236" s="37"/>
      <c r="CE236" s="37"/>
      <c r="CF236" s="37"/>
      <c r="CG236" s="37"/>
      <c r="CH236" s="37"/>
      <c r="CI236" s="37"/>
      <c r="CJ236" s="37"/>
      <c r="CK236" s="37"/>
      <c r="CL236" s="34"/>
      <c r="CM236" s="43"/>
      <c r="CN236" s="37"/>
      <c r="CO236" s="37"/>
      <c r="CP236" s="34"/>
      <c r="CQ236" s="37"/>
      <c r="CR236" s="37"/>
      <c r="CS236" s="37"/>
      <c r="CT236" s="34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  <c r="DJ236" s="37"/>
      <c r="DK236" s="37"/>
      <c r="DL236" s="37"/>
      <c r="DM236" s="37"/>
      <c r="DN236" s="37"/>
      <c r="DO236" s="37"/>
      <c r="DP236" s="37"/>
      <c r="DQ236" s="37"/>
      <c r="DR236" s="37"/>
      <c r="DS236" s="37"/>
      <c r="DT236" s="37"/>
      <c r="DU236" s="37"/>
      <c r="DV236" s="37"/>
      <c r="DW236" s="37"/>
      <c r="DX236" s="37"/>
      <c r="DY236" s="37"/>
      <c r="DZ236" s="37"/>
      <c r="EA236" s="39"/>
      <c r="EB236" s="39"/>
      <c r="EC236" s="40"/>
    </row>
    <row r="237" spans="1:133" hidden="1">
      <c r="A237" s="44"/>
      <c r="B237" s="22" t="s">
        <v>542</v>
      </c>
      <c r="C237" s="20" t="s">
        <v>543</v>
      </c>
      <c r="D237" s="21" t="s">
        <v>529</v>
      </c>
      <c r="E237" s="21"/>
      <c r="F237" s="22" t="s">
        <v>318</v>
      </c>
      <c r="G237" s="23" t="str" cm="1">
        <f t="array" ref="G237">IFERROR(LOOKUP(2,1/(K237:GC237&lt;&gt;""),K$2:DQL$2),"")</f>
        <v/>
      </c>
      <c r="H237" s="24" t="str" cm="1">
        <f t="array" ref="H237">IFERROR(_xlfn.XLOOKUP(TRUE,P237:ED237&lt;&gt;"",P237:ED237,,,-1)," ")</f>
        <v xml:space="preserve"> </v>
      </c>
      <c r="I237" s="25">
        <v>23.5</v>
      </c>
      <c r="J237" s="26"/>
      <c r="K237" s="26"/>
      <c r="L237" s="26"/>
      <c r="M237" s="26"/>
      <c r="N237" s="26"/>
      <c r="O237" s="26"/>
      <c r="P237" s="26"/>
      <c r="Q237" s="26"/>
      <c r="R237" s="26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34"/>
      <c r="AF237" s="35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7"/>
      <c r="BF237" s="37"/>
      <c r="BG237" s="34"/>
      <c r="BH237" s="37"/>
      <c r="BI237" s="34"/>
      <c r="BJ237" s="34"/>
      <c r="BK237" s="37"/>
      <c r="BL237" s="37"/>
      <c r="BM237" s="37"/>
      <c r="BN237" s="37"/>
      <c r="BO237" s="37"/>
      <c r="BP237" s="37"/>
      <c r="BQ237" s="37"/>
      <c r="BR237" s="34"/>
      <c r="BS237" s="37"/>
      <c r="BT237" s="37"/>
      <c r="BU237" s="34"/>
      <c r="BV237" s="37"/>
      <c r="BW237" s="34"/>
      <c r="BX237" s="37"/>
      <c r="BY237" s="34"/>
      <c r="BZ237" s="34"/>
      <c r="CA237" s="37"/>
      <c r="CB237" s="37"/>
      <c r="CC237" s="34"/>
      <c r="CD237" s="37"/>
      <c r="CE237" s="37"/>
      <c r="CF237" s="37"/>
      <c r="CG237" s="37"/>
      <c r="CH237" s="37"/>
      <c r="CI237" s="37"/>
      <c r="CJ237" s="37"/>
      <c r="CK237" s="37"/>
      <c r="CL237" s="34"/>
      <c r="CM237" s="43"/>
      <c r="CN237" s="37"/>
      <c r="CO237" s="37"/>
      <c r="CP237" s="34"/>
      <c r="CQ237" s="37"/>
      <c r="CR237" s="37"/>
      <c r="CS237" s="37"/>
      <c r="CT237" s="34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  <c r="DJ237" s="37"/>
      <c r="DK237" s="37"/>
      <c r="DL237" s="37"/>
      <c r="DM237" s="37"/>
      <c r="DN237" s="37"/>
      <c r="DO237" s="37"/>
      <c r="DP237" s="37"/>
      <c r="DQ237" s="37"/>
      <c r="DR237" s="37"/>
      <c r="DS237" s="37"/>
      <c r="DT237" s="37"/>
      <c r="DU237" s="37"/>
      <c r="DV237" s="37"/>
      <c r="DW237" s="37"/>
      <c r="DX237" s="37"/>
      <c r="DY237" s="37"/>
      <c r="DZ237" s="37"/>
      <c r="EA237" s="39"/>
      <c r="EB237" s="39"/>
      <c r="EC237" s="40"/>
    </row>
    <row r="238" spans="1:133" hidden="1">
      <c r="A238" s="44"/>
      <c r="B238" s="22" t="s">
        <v>544</v>
      </c>
      <c r="C238" s="20" t="s">
        <v>545</v>
      </c>
      <c r="D238" s="21" t="s">
        <v>529</v>
      </c>
      <c r="E238" s="21"/>
      <c r="F238" s="22" t="s">
        <v>318</v>
      </c>
      <c r="G238" s="23" t="str" cm="1">
        <f t="array" ref="G238">IFERROR(LOOKUP(2,1/(K238:GC238&lt;&gt;""),K$2:DQL$2),"")</f>
        <v/>
      </c>
      <c r="H238" s="24" t="str" cm="1">
        <f t="array" ref="H238">IFERROR(_xlfn.XLOOKUP(TRUE,P238:ED238&lt;&gt;"",P238:ED238,,,-1)," ")</f>
        <v xml:space="preserve"> </v>
      </c>
      <c r="I238" s="25">
        <v>23.5</v>
      </c>
      <c r="J238" s="26"/>
      <c r="K238" s="26"/>
      <c r="L238" s="26"/>
      <c r="M238" s="26"/>
      <c r="N238" s="26"/>
      <c r="O238" s="26"/>
      <c r="P238" s="26"/>
      <c r="Q238" s="26"/>
      <c r="R238" s="26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34"/>
      <c r="AF238" s="35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7"/>
      <c r="BF238" s="37"/>
      <c r="BG238" s="34"/>
      <c r="BH238" s="37"/>
      <c r="BI238" s="34"/>
      <c r="BJ238" s="34"/>
      <c r="BK238" s="37"/>
      <c r="BL238" s="37"/>
      <c r="BM238" s="37"/>
      <c r="BN238" s="34"/>
      <c r="BO238" s="34"/>
      <c r="BP238" s="34"/>
      <c r="BQ238" s="34"/>
      <c r="BR238" s="34"/>
      <c r="BS238" s="37"/>
      <c r="BT238" s="37"/>
      <c r="BU238" s="34"/>
      <c r="BV238" s="34"/>
      <c r="BW238" s="34"/>
      <c r="BX238" s="37"/>
      <c r="BY238" s="34"/>
      <c r="BZ238" s="34"/>
      <c r="CA238" s="37"/>
      <c r="CB238" s="37"/>
      <c r="CC238" s="34"/>
      <c r="CD238" s="37"/>
      <c r="CE238" s="37"/>
      <c r="CF238" s="37"/>
      <c r="CG238" s="34"/>
      <c r="CH238" s="37"/>
      <c r="CI238" s="37"/>
      <c r="CJ238" s="37"/>
      <c r="CK238" s="37"/>
      <c r="CL238" s="34"/>
      <c r="CM238" s="43"/>
      <c r="CN238" s="37"/>
      <c r="CO238" s="37"/>
      <c r="CP238" s="34"/>
      <c r="CQ238" s="37"/>
      <c r="CR238" s="37"/>
      <c r="CS238" s="37"/>
      <c r="CT238" s="34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  <c r="DM238" s="37"/>
      <c r="DN238" s="37"/>
      <c r="DO238" s="37"/>
      <c r="DP238" s="37"/>
      <c r="DQ238" s="37"/>
      <c r="DR238" s="37"/>
      <c r="DS238" s="37"/>
      <c r="DT238" s="37"/>
      <c r="DU238" s="37"/>
      <c r="DV238" s="37"/>
      <c r="DW238" s="37"/>
      <c r="DX238" s="37"/>
      <c r="DY238" s="37"/>
      <c r="DZ238" s="37"/>
      <c r="EA238" s="39"/>
      <c r="EB238" s="39"/>
      <c r="EC238" s="40"/>
    </row>
    <row r="239" spans="1:133" hidden="1">
      <c r="A239" s="44"/>
      <c r="B239" s="22" t="s">
        <v>546</v>
      </c>
      <c r="C239" s="20" t="s">
        <v>547</v>
      </c>
      <c r="D239" s="21" t="s">
        <v>529</v>
      </c>
      <c r="E239" s="21"/>
      <c r="F239" s="22" t="s">
        <v>318</v>
      </c>
      <c r="G239" s="23" t="str" cm="1">
        <f t="array" ref="G239">IFERROR(LOOKUP(2,1/(K239:GC239&lt;&gt;""),K$2:DQL$2),"")</f>
        <v/>
      </c>
      <c r="H239" s="24" t="str" cm="1">
        <f t="array" ref="H239">IFERROR(_xlfn.XLOOKUP(TRUE,P239:ED239&lt;&gt;"",P239:ED239,,,-1)," ")</f>
        <v xml:space="preserve"> </v>
      </c>
      <c r="I239" s="25">
        <v>23.5</v>
      </c>
      <c r="J239" s="26"/>
      <c r="K239" s="26"/>
      <c r="L239" s="26"/>
      <c r="M239" s="26"/>
      <c r="N239" s="26"/>
      <c r="O239" s="26"/>
      <c r="P239" s="26"/>
      <c r="Q239" s="26"/>
      <c r="R239" s="26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34"/>
      <c r="AF239" s="35"/>
      <c r="AG239" s="34"/>
      <c r="AH239" s="34"/>
      <c r="AI239" s="36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7"/>
      <c r="BF239" s="37"/>
      <c r="BG239" s="34"/>
      <c r="BH239" s="37"/>
      <c r="BI239" s="34"/>
      <c r="BJ239" s="34"/>
      <c r="BK239" s="37"/>
      <c r="BL239" s="37"/>
      <c r="BM239" s="37"/>
      <c r="BN239" s="34"/>
      <c r="BO239" s="34"/>
      <c r="BP239" s="37"/>
      <c r="BQ239" s="37"/>
      <c r="BR239" s="34"/>
      <c r="BS239" s="37"/>
      <c r="BT239" s="37"/>
      <c r="BU239" s="34"/>
      <c r="BV239" s="37"/>
      <c r="BW239" s="34"/>
      <c r="BX239" s="37"/>
      <c r="BY239" s="34"/>
      <c r="BZ239" s="34"/>
      <c r="CA239" s="37"/>
      <c r="CB239" s="37"/>
      <c r="CC239" s="34"/>
      <c r="CD239" s="37"/>
      <c r="CE239" s="37"/>
      <c r="CF239" s="37"/>
      <c r="CG239" s="37"/>
      <c r="CH239" s="37"/>
      <c r="CI239" s="37"/>
      <c r="CJ239" s="37"/>
      <c r="CK239" s="37"/>
      <c r="CL239" s="34"/>
      <c r="CM239" s="43"/>
      <c r="CN239" s="37"/>
      <c r="CO239" s="37"/>
      <c r="CP239" s="34"/>
      <c r="CQ239" s="37"/>
      <c r="CR239" s="37"/>
      <c r="CS239" s="37"/>
      <c r="CT239" s="34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  <c r="DI239" s="37"/>
      <c r="DJ239" s="37"/>
      <c r="DK239" s="37"/>
      <c r="DL239" s="37"/>
      <c r="DM239" s="37"/>
      <c r="DN239" s="37"/>
      <c r="DO239" s="37"/>
      <c r="DP239" s="37"/>
      <c r="DQ239" s="37"/>
      <c r="DR239" s="37"/>
      <c r="DS239" s="37"/>
      <c r="DT239" s="37"/>
      <c r="DU239" s="37"/>
      <c r="DV239" s="37"/>
      <c r="DW239" s="37"/>
      <c r="DX239" s="37"/>
      <c r="DY239" s="37"/>
      <c r="DZ239" s="37"/>
      <c r="EA239" s="39"/>
      <c r="EB239" s="39"/>
      <c r="EC239" s="40"/>
    </row>
    <row r="240" spans="1:133" hidden="1">
      <c r="A240" s="44"/>
      <c r="B240" s="22" t="s">
        <v>546</v>
      </c>
      <c r="C240" s="20" t="s">
        <v>548</v>
      </c>
      <c r="D240" s="21" t="s">
        <v>529</v>
      </c>
      <c r="E240" s="21"/>
      <c r="F240" s="22" t="s">
        <v>318</v>
      </c>
      <c r="G240" s="23" t="str" cm="1">
        <f t="array" ref="G240">IFERROR(LOOKUP(2,1/(K240:GC240&lt;&gt;""),K$2:DQL$2),"")</f>
        <v/>
      </c>
      <c r="H240" s="24" t="str" cm="1">
        <f t="array" ref="H240">IFERROR(_xlfn.XLOOKUP(TRUE,P240:ED240&lt;&gt;"",P240:ED240,,,-1)," ")</f>
        <v xml:space="preserve"> </v>
      </c>
      <c r="I240" s="25">
        <v>23.5</v>
      </c>
      <c r="J240" s="26"/>
      <c r="K240" s="26"/>
      <c r="L240" s="26"/>
      <c r="M240" s="26"/>
      <c r="N240" s="26"/>
      <c r="O240" s="26"/>
      <c r="P240" s="26"/>
      <c r="Q240" s="26"/>
      <c r="R240" s="26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34"/>
      <c r="AF240" s="35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7"/>
      <c r="BF240" s="37"/>
      <c r="BG240" s="34"/>
      <c r="BH240" s="37"/>
      <c r="BI240" s="34"/>
      <c r="BJ240" s="34"/>
      <c r="BK240" s="37"/>
      <c r="BL240" s="37"/>
      <c r="BM240" s="37"/>
      <c r="BN240" s="34"/>
      <c r="BO240" s="34"/>
      <c r="BP240" s="37"/>
      <c r="BQ240" s="37"/>
      <c r="BR240" s="34"/>
      <c r="BS240" s="37"/>
      <c r="BT240" s="37"/>
      <c r="BU240" s="34"/>
      <c r="BV240" s="37"/>
      <c r="BW240" s="34"/>
      <c r="BX240" s="37"/>
      <c r="BY240" s="34"/>
      <c r="BZ240" s="34"/>
      <c r="CA240" s="37"/>
      <c r="CB240" s="37"/>
      <c r="CC240" s="34"/>
      <c r="CD240" s="37"/>
      <c r="CE240" s="37"/>
      <c r="CF240" s="37"/>
      <c r="CG240" s="37"/>
      <c r="CH240" s="37"/>
      <c r="CI240" s="37"/>
      <c r="CJ240" s="37"/>
      <c r="CK240" s="37"/>
      <c r="CL240" s="34"/>
      <c r="CM240" s="43"/>
      <c r="CN240" s="37"/>
      <c r="CO240" s="37"/>
      <c r="CP240" s="34"/>
      <c r="CQ240" s="37"/>
      <c r="CR240" s="37"/>
      <c r="CS240" s="37"/>
      <c r="CT240" s="34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  <c r="DJ240" s="37"/>
      <c r="DK240" s="37"/>
      <c r="DL240" s="37"/>
      <c r="DM240" s="37"/>
      <c r="DN240" s="37"/>
      <c r="DO240" s="37"/>
      <c r="DP240" s="37"/>
      <c r="DQ240" s="37"/>
      <c r="DR240" s="37"/>
      <c r="DS240" s="37"/>
      <c r="DT240" s="37"/>
      <c r="DU240" s="37"/>
      <c r="DV240" s="37"/>
      <c r="DW240" s="37"/>
      <c r="DX240" s="37"/>
      <c r="DY240" s="37"/>
      <c r="DZ240" s="37"/>
      <c r="EA240" s="39"/>
      <c r="EB240" s="39"/>
      <c r="EC240" s="40"/>
    </row>
    <row r="241" spans="1:133" hidden="1">
      <c r="A241" s="44"/>
      <c r="B241" s="22" t="s">
        <v>546</v>
      </c>
      <c r="C241" s="20" t="s">
        <v>549</v>
      </c>
      <c r="D241" s="21" t="s">
        <v>529</v>
      </c>
      <c r="E241" s="21"/>
      <c r="F241" s="22" t="s">
        <v>318</v>
      </c>
      <c r="G241" s="23" t="str" cm="1">
        <f t="array" ref="G241">IFERROR(LOOKUP(2,1/(K241:GC241&lt;&gt;""),K$2:DQL$2),"")</f>
        <v/>
      </c>
      <c r="H241" s="24" t="str" cm="1">
        <f t="array" ref="H241">IFERROR(_xlfn.XLOOKUP(TRUE,P241:ED241&lt;&gt;"",P241:ED241,,,-1)," ")</f>
        <v xml:space="preserve"> </v>
      </c>
      <c r="I241" s="25">
        <v>23.5</v>
      </c>
      <c r="J241" s="26"/>
      <c r="K241" s="26"/>
      <c r="L241" s="26"/>
      <c r="M241" s="26"/>
      <c r="N241" s="26"/>
      <c r="O241" s="26"/>
      <c r="P241" s="26"/>
      <c r="Q241" s="26"/>
      <c r="R241" s="26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34"/>
      <c r="AF241" s="35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7"/>
      <c r="BF241" s="37"/>
      <c r="BG241" s="34"/>
      <c r="BH241" s="37"/>
      <c r="BI241" s="34"/>
      <c r="BJ241" s="34"/>
      <c r="BK241" s="37"/>
      <c r="BL241" s="37"/>
      <c r="BM241" s="37"/>
      <c r="BN241" s="34"/>
      <c r="BO241" s="34"/>
      <c r="BP241" s="37"/>
      <c r="BQ241" s="37"/>
      <c r="BR241" s="34"/>
      <c r="BS241" s="37"/>
      <c r="BT241" s="37"/>
      <c r="BU241" s="34"/>
      <c r="BV241" s="37"/>
      <c r="BW241" s="34"/>
      <c r="BX241" s="37"/>
      <c r="BY241" s="34"/>
      <c r="BZ241" s="34"/>
      <c r="CA241" s="37"/>
      <c r="CB241" s="37"/>
      <c r="CC241" s="34"/>
      <c r="CD241" s="37"/>
      <c r="CE241" s="37"/>
      <c r="CF241" s="37"/>
      <c r="CG241" s="37"/>
      <c r="CH241" s="37"/>
      <c r="CI241" s="37"/>
      <c r="CJ241" s="37"/>
      <c r="CK241" s="37"/>
      <c r="CL241" s="34"/>
      <c r="CM241" s="43"/>
      <c r="CN241" s="37"/>
      <c r="CO241" s="37"/>
      <c r="CP241" s="34"/>
      <c r="CQ241" s="37"/>
      <c r="CR241" s="37"/>
      <c r="CS241" s="37"/>
      <c r="CT241" s="34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  <c r="DI241" s="37"/>
      <c r="DJ241" s="37"/>
      <c r="DK241" s="37"/>
      <c r="DL241" s="37"/>
      <c r="DM241" s="37"/>
      <c r="DN241" s="37"/>
      <c r="DO241" s="37"/>
      <c r="DP241" s="37"/>
      <c r="DQ241" s="37"/>
      <c r="DR241" s="37"/>
      <c r="DS241" s="37"/>
      <c r="DT241" s="37"/>
      <c r="DU241" s="37"/>
      <c r="DV241" s="37"/>
      <c r="DW241" s="37"/>
      <c r="DX241" s="37"/>
      <c r="DY241" s="37"/>
      <c r="DZ241" s="37"/>
      <c r="EA241" s="39"/>
      <c r="EB241" s="39"/>
      <c r="EC241" s="40"/>
    </row>
    <row r="242" spans="1:133" hidden="1">
      <c r="A242" s="44"/>
      <c r="B242" s="22" t="s">
        <v>550</v>
      </c>
      <c r="C242" s="20" t="s">
        <v>551</v>
      </c>
      <c r="D242" s="21" t="s">
        <v>529</v>
      </c>
      <c r="E242" s="21"/>
      <c r="F242" s="22" t="s">
        <v>318</v>
      </c>
      <c r="G242" s="23" t="str" cm="1">
        <f t="array" ref="G242">IFERROR(LOOKUP(2,1/(K242:GC242&lt;&gt;""),K$2:DQL$2),"")</f>
        <v/>
      </c>
      <c r="H242" s="24" t="str" cm="1">
        <f t="array" ref="H242">IFERROR(_xlfn.XLOOKUP(TRUE,P242:ED242&lt;&gt;"",P242:ED242,,,-1)," ")</f>
        <v xml:space="preserve"> </v>
      </c>
      <c r="I242" s="25">
        <v>23.5</v>
      </c>
      <c r="J242" s="26"/>
      <c r="K242" s="26"/>
      <c r="L242" s="26"/>
      <c r="M242" s="26"/>
      <c r="N242" s="26"/>
      <c r="O242" s="26"/>
      <c r="P242" s="26"/>
      <c r="Q242" s="26"/>
      <c r="R242" s="26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34"/>
      <c r="AF242" s="35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7"/>
      <c r="BF242" s="37"/>
      <c r="BG242" s="34"/>
      <c r="BH242" s="38"/>
      <c r="BI242" s="34"/>
      <c r="BJ242" s="34"/>
      <c r="BK242" s="37"/>
      <c r="BL242" s="37"/>
      <c r="BM242" s="37"/>
      <c r="BN242" s="37"/>
      <c r="BO242" s="37"/>
      <c r="BP242" s="37"/>
      <c r="BQ242" s="37"/>
      <c r="BR242" s="34"/>
      <c r="BS242" s="37"/>
      <c r="BT242" s="37"/>
      <c r="BU242" s="34"/>
      <c r="BV242" s="37"/>
      <c r="BW242" s="34"/>
      <c r="BX242" s="37"/>
      <c r="BY242" s="34"/>
      <c r="BZ242" s="34"/>
      <c r="CA242" s="37"/>
      <c r="CB242" s="37"/>
      <c r="CC242" s="34"/>
      <c r="CD242" s="37"/>
      <c r="CE242" s="37"/>
      <c r="CF242" s="37"/>
      <c r="CG242" s="37"/>
      <c r="CH242" s="37"/>
      <c r="CI242" s="37"/>
      <c r="CJ242" s="37"/>
      <c r="CK242" s="37"/>
      <c r="CL242" s="34"/>
      <c r="CM242" s="43"/>
      <c r="CN242" s="37"/>
      <c r="CO242" s="37"/>
      <c r="CP242" s="34"/>
      <c r="CQ242" s="37"/>
      <c r="CR242" s="37"/>
      <c r="CS242" s="37"/>
      <c r="CT242" s="34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  <c r="DI242" s="37"/>
      <c r="DJ242" s="37"/>
      <c r="DK242" s="37"/>
      <c r="DL242" s="37"/>
      <c r="DM242" s="37"/>
      <c r="DN242" s="37"/>
      <c r="DO242" s="37"/>
      <c r="DP242" s="37"/>
      <c r="DQ242" s="37"/>
      <c r="DR242" s="37"/>
      <c r="DS242" s="37"/>
      <c r="DT242" s="37"/>
      <c r="DU242" s="37"/>
      <c r="DV242" s="37"/>
      <c r="DW242" s="37"/>
      <c r="DX242" s="37"/>
      <c r="DY242" s="37"/>
      <c r="DZ242" s="37"/>
      <c r="EA242" s="39"/>
      <c r="EB242" s="39"/>
      <c r="EC242" s="40"/>
    </row>
    <row r="243" spans="1:133" hidden="1">
      <c r="A243" s="44" t="s">
        <v>138</v>
      </c>
      <c r="B243" s="22" t="s">
        <v>552</v>
      </c>
      <c r="C243" s="53" t="s">
        <v>553</v>
      </c>
      <c r="D243" s="21" t="s">
        <v>529</v>
      </c>
      <c r="E243" s="21"/>
      <c r="F243" s="22" t="s">
        <v>340</v>
      </c>
      <c r="G243" s="23" t="str" cm="1">
        <f t="array" ref="G243">IFERROR(LOOKUP(2,1/(K243:GC243&lt;&gt;""),K$2:DQL$2),"")</f>
        <v>31-Jul</v>
      </c>
      <c r="H243" s="24" cm="1">
        <f t="array" ref="H243">IFERROR(_xlfn.XLOOKUP(TRUE,P243:ED243&lt;&gt;"",P243:ED243,,,-1)," ")</f>
        <v>24.6</v>
      </c>
      <c r="I243" s="25">
        <v>22.5</v>
      </c>
      <c r="J243" s="26">
        <v>25</v>
      </c>
      <c r="K243" s="26"/>
      <c r="L243" s="26"/>
      <c r="M243" s="26"/>
      <c r="N243" s="26"/>
      <c r="O243" s="26"/>
      <c r="P243" s="26"/>
      <c r="Q243" s="26"/>
      <c r="R243" s="26"/>
      <c r="S243" s="25"/>
      <c r="T243" s="25"/>
      <c r="U243" s="25"/>
      <c r="V243" s="25"/>
      <c r="W243" s="25">
        <v>19.600000000000001</v>
      </c>
      <c r="X243" s="25"/>
      <c r="Y243" s="25"/>
      <c r="Z243" s="217">
        <v>21.1</v>
      </c>
      <c r="AA243" s="25"/>
      <c r="AB243" s="25"/>
      <c r="AC243" s="25"/>
      <c r="AD243" s="217">
        <v>21.9</v>
      </c>
      <c r="AE243" s="34"/>
      <c r="AF243" s="35"/>
      <c r="AG243" s="34"/>
      <c r="AH243" s="34"/>
      <c r="AI243" s="34"/>
      <c r="AJ243" s="34"/>
      <c r="AK243" s="34">
        <v>23</v>
      </c>
      <c r="AL243" s="34"/>
      <c r="AM243" s="34"/>
      <c r="AN243" s="36">
        <v>24.6</v>
      </c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6"/>
      <c r="BD243" s="34"/>
      <c r="BE243" s="37"/>
      <c r="BF243" s="37"/>
      <c r="BG243" s="36"/>
      <c r="BH243" s="38"/>
      <c r="BI243" s="36"/>
      <c r="BJ243" s="36"/>
      <c r="BK243" s="37"/>
      <c r="BL243" s="37"/>
      <c r="BM243" s="37"/>
      <c r="BN243" s="34"/>
      <c r="BO243" s="34"/>
      <c r="BP243" s="34"/>
      <c r="BQ243" s="34"/>
      <c r="BR243" s="34"/>
      <c r="BS243" s="37"/>
      <c r="BT243" s="37"/>
      <c r="BU243" s="34"/>
      <c r="BV243" s="34"/>
      <c r="BW243" s="34"/>
      <c r="BX243" s="37"/>
      <c r="BY243" s="34"/>
      <c r="BZ243" s="34"/>
      <c r="CA243" s="37"/>
      <c r="CB243" s="37"/>
      <c r="CC243" s="34"/>
      <c r="CD243" s="37"/>
      <c r="CE243" s="37"/>
      <c r="CF243" s="37"/>
      <c r="CG243" s="37"/>
      <c r="CH243" s="37"/>
      <c r="CI243" s="37"/>
      <c r="CJ243" s="37"/>
      <c r="CK243" s="37"/>
      <c r="CL243" s="34"/>
      <c r="CM243" s="37"/>
      <c r="CN243" s="37"/>
      <c r="CO243" s="37"/>
      <c r="CP243" s="34"/>
      <c r="CQ243" s="37"/>
      <c r="CR243" s="37"/>
      <c r="CS243" s="37"/>
      <c r="CT243" s="34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  <c r="DM243" s="37"/>
      <c r="DN243" s="37"/>
      <c r="DO243" s="37"/>
      <c r="DP243" s="37"/>
      <c r="DQ243" s="37"/>
      <c r="DR243" s="37"/>
      <c r="DS243" s="37"/>
      <c r="DT243" s="37"/>
      <c r="DU243" s="37"/>
      <c r="DV243" s="37"/>
      <c r="DW243" s="37"/>
      <c r="DX243" s="37"/>
      <c r="DY243" s="37"/>
      <c r="DZ243" s="37"/>
      <c r="EA243" s="39"/>
      <c r="EB243" s="39"/>
      <c r="EC243" s="40"/>
    </row>
    <row r="244" spans="1:133" hidden="1">
      <c r="A244" s="44" t="s">
        <v>138</v>
      </c>
      <c r="B244" s="22" t="s">
        <v>552</v>
      </c>
      <c r="C244" s="53" t="s">
        <v>554</v>
      </c>
      <c r="D244" s="21" t="s">
        <v>529</v>
      </c>
      <c r="E244" s="21"/>
      <c r="F244" s="22" t="s">
        <v>340</v>
      </c>
      <c r="G244" s="23" t="str" cm="1">
        <f t="array" ref="G244">IFERROR(LOOKUP(2,1/(K244:GC244&lt;&gt;""),K$2:DQL$2),"")</f>
        <v>3-Aug</v>
      </c>
      <c r="H244" s="24" cm="1">
        <f t="array" ref="H244">IFERROR(_xlfn.XLOOKUP(TRUE,P244:ED244&lt;&gt;"",P244:ED244,,,-1)," ")</f>
        <v>25.7</v>
      </c>
      <c r="I244" s="25">
        <v>22.5</v>
      </c>
      <c r="J244" s="26">
        <v>25</v>
      </c>
      <c r="K244" s="26"/>
      <c r="L244" s="26"/>
      <c r="M244" s="26"/>
      <c r="N244" s="26"/>
      <c r="O244" s="26"/>
      <c r="P244" s="26"/>
      <c r="Q244" s="26"/>
      <c r="R244" s="26"/>
      <c r="S244" s="25"/>
      <c r="T244" s="25"/>
      <c r="U244" s="25"/>
      <c r="V244" s="25"/>
      <c r="W244" s="265">
        <v>20</v>
      </c>
      <c r="X244" s="25"/>
      <c r="Y244" s="25"/>
      <c r="Z244" s="25"/>
      <c r="AA244" s="25"/>
      <c r="AB244" s="25"/>
      <c r="AC244" s="25"/>
      <c r="AD244" s="25"/>
      <c r="AE244" s="34"/>
      <c r="AF244" s="35"/>
      <c r="AG244" s="34"/>
      <c r="AH244" s="34"/>
      <c r="AI244" s="34"/>
      <c r="AJ244" s="34"/>
      <c r="AK244" s="34">
        <v>23.3</v>
      </c>
      <c r="AL244" s="34"/>
      <c r="AM244" s="34"/>
      <c r="AN244" s="34">
        <v>24</v>
      </c>
      <c r="AO244" s="34"/>
      <c r="AP244" s="34"/>
      <c r="AQ244" s="36">
        <v>25.7</v>
      </c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7"/>
      <c r="BF244" s="37"/>
      <c r="BG244" s="36"/>
      <c r="BH244" s="37"/>
      <c r="BI244" s="34"/>
      <c r="BJ244" s="34"/>
      <c r="BK244" s="37"/>
      <c r="BL244" s="37"/>
      <c r="BM244" s="37"/>
      <c r="BN244" s="34"/>
      <c r="BO244" s="34"/>
      <c r="BP244" s="34"/>
      <c r="BQ244" s="34"/>
      <c r="BR244" s="34"/>
      <c r="BS244" s="37"/>
      <c r="BT244" s="37"/>
      <c r="BU244" s="34"/>
      <c r="BV244" s="34"/>
      <c r="BW244" s="34"/>
      <c r="BX244" s="37"/>
      <c r="BY244" s="34"/>
      <c r="BZ244" s="34"/>
      <c r="CA244" s="37"/>
      <c r="CB244" s="37"/>
      <c r="CC244" s="34"/>
      <c r="CD244" s="37"/>
      <c r="CE244" s="37"/>
      <c r="CF244" s="37"/>
      <c r="CG244" s="37"/>
      <c r="CH244" s="37"/>
      <c r="CI244" s="37"/>
      <c r="CJ244" s="37"/>
      <c r="CK244" s="37"/>
      <c r="CL244" s="34"/>
      <c r="CM244" s="37"/>
      <c r="CN244" s="37"/>
      <c r="CO244" s="37"/>
      <c r="CP244" s="34"/>
      <c r="CQ244" s="37"/>
      <c r="CR244" s="37"/>
      <c r="CS244" s="37"/>
      <c r="CT244" s="34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  <c r="DJ244" s="37"/>
      <c r="DK244" s="37"/>
      <c r="DL244" s="37"/>
      <c r="DM244" s="37"/>
      <c r="DN244" s="37"/>
      <c r="DO244" s="37"/>
      <c r="DP244" s="37"/>
      <c r="DQ244" s="37"/>
      <c r="DR244" s="37"/>
      <c r="DS244" s="37"/>
      <c r="DT244" s="37"/>
      <c r="DU244" s="37"/>
      <c r="DV244" s="37"/>
      <c r="DW244" s="37"/>
      <c r="DX244" s="37"/>
      <c r="DY244" s="37"/>
      <c r="DZ244" s="37"/>
      <c r="EA244" s="39"/>
      <c r="EB244" s="39"/>
      <c r="EC244" s="40"/>
    </row>
    <row r="245" spans="1:133" hidden="1">
      <c r="A245" s="44"/>
      <c r="B245" s="22" t="s">
        <v>555</v>
      </c>
      <c r="C245" s="20" t="s">
        <v>556</v>
      </c>
      <c r="D245" s="21" t="s">
        <v>529</v>
      </c>
      <c r="E245" s="21"/>
      <c r="F245" s="22"/>
      <c r="G245" s="23" t="str" cm="1">
        <f t="array" ref="G245">IFERROR(LOOKUP(2,1/(K245:GC245&lt;&gt;""),K$2:DQL$2),"")</f>
        <v/>
      </c>
      <c r="H245" s="24" t="str" cm="1">
        <f t="array" ref="H245">IFERROR(_xlfn.XLOOKUP(TRUE,P245:ED245&lt;&gt;"",P245:ED245,,,-1)," ")</f>
        <v xml:space="preserve"> </v>
      </c>
      <c r="I245" s="25"/>
      <c r="J245" s="26"/>
      <c r="K245" s="26"/>
      <c r="L245" s="26"/>
      <c r="M245" s="26"/>
      <c r="N245" s="26"/>
      <c r="O245" s="26"/>
      <c r="P245" s="26"/>
      <c r="Q245" s="26"/>
      <c r="R245" s="26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34"/>
      <c r="AF245" s="35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7"/>
      <c r="BF245" s="37"/>
      <c r="BG245" s="34"/>
      <c r="BH245" s="37"/>
      <c r="BI245" s="34"/>
      <c r="BJ245" s="34"/>
      <c r="BK245" s="37"/>
      <c r="BL245" s="37"/>
      <c r="BM245" s="37"/>
      <c r="BN245" s="34"/>
      <c r="BO245" s="34"/>
      <c r="BP245" s="34"/>
      <c r="BQ245" s="34"/>
      <c r="BR245" s="34"/>
      <c r="BS245" s="37"/>
      <c r="BT245" s="37"/>
      <c r="BU245" s="34"/>
      <c r="BV245" s="34"/>
      <c r="BW245" s="34"/>
      <c r="BX245" s="37"/>
      <c r="BY245" s="34"/>
      <c r="BZ245" s="34"/>
      <c r="CA245" s="37"/>
      <c r="CB245" s="37"/>
      <c r="CC245" s="34"/>
      <c r="CD245" s="37"/>
      <c r="CE245" s="37"/>
      <c r="CF245" s="37"/>
      <c r="CG245" s="37"/>
      <c r="CH245" s="37"/>
      <c r="CI245" s="37"/>
      <c r="CJ245" s="37"/>
      <c r="CK245" s="37"/>
      <c r="CL245" s="34"/>
      <c r="CM245" s="37"/>
      <c r="CN245" s="37"/>
      <c r="CO245" s="37"/>
      <c r="CP245" s="34"/>
      <c r="CQ245" s="37"/>
      <c r="CR245" s="37"/>
      <c r="CS245" s="37"/>
      <c r="CT245" s="34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  <c r="DJ245" s="37"/>
      <c r="DK245" s="37"/>
      <c r="DL245" s="37"/>
      <c r="DM245" s="37"/>
      <c r="DN245" s="37"/>
      <c r="DO245" s="37"/>
      <c r="DP245" s="37"/>
      <c r="DQ245" s="37"/>
      <c r="DR245" s="37"/>
      <c r="DS245" s="37"/>
      <c r="DT245" s="37"/>
      <c r="DU245" s="37"/>
      <c r="DV245" s="37"/>
      <c r="DW245" s="37"/>
      <c r="DX245" s="37"/>
      <c r="DY245" s="37"/>
      <c r="DZ245" s="37"/>
      <c r="EA245" s="39"/>
      <c r="EB245" s="39"/>
      <c r="EC245" s="40"/>
    </row>
    <row r="246" spans="1:133" hidden="1">
      <c r="A246" s="44" t="s">
        <v>138</v>
      </c>
      <c r="B246" s="22" t="s">
        <v>557</v>
      </c>
      <c r="C246" s="20" t="s">
        <v>558</v>
      </c>
      <c r="D246" s="21" t="s">
        <v>529</v>
      </c>
      <c r="E246" s="21"/>
      <c r="F246" s="22" t="s">
        <v>137</v>
      </c>
      <c r="G246" s="23" t="str" cm="1">
        <f t="array" ref="G246">IFERROR(LOOKUP(2,1/(K246:GC246&lt;&gt;""),K$2:DQL$2),"")</f>
        <v>1-Aug</v>
      </c>
      <c r="H246" s="24" cm="1">
        <f t="array" ref="H246">IFERROR(_xlfn.XLOOKUP(TRUE,P246:ED246&lt;&gt;"",P246:ED246,,,-1)," ")</f>
        <v>23.4</v>
      </c>
      <c r="I246" s="25">
        <v>23.8</v>
      </c>
      <c r="J246" s="26">
        <v>25</v>
      </c>
      <c r="K246" s="26"/>
      <c r="L246" s="26"/>
      <c r="M246" s="26"/>
      <c r="N246" s="26"/>
      <c r="O246" s="26"/>
      <c r="P246" s="26"/>
      <c r="Q246" s="26"/>
      <c r="R246" s="26"/>
      <c r="S246" s="25"/>
      <c r="T246" s="25"/>
      <c r="U246" s="25"/>
      <c r="V246" s="25"/>
      <c r="W246" s="25"/>
      <c r="X246" s="25"/>
      <c r="Y246" s="25"/>
      <c r="Z246" s="25">
        <v>19.7</v>
      </c>
      <c r="AA246" s="25"/>
      <c r="AB246" s="25"/>
      <c r="AC246" s="25"/>
      <c r="AD246" s="25"/>
      <c r="AE246" s="34"/>
      <c r="AF246" s="35"/>
      <c r="AG246" s="34">
        <v>21.8</v>
      </c>
      <c r="AH246" s="34"/>
      <c r="AI246" s="34"/>
      <c r="AJ246" s="34"/>
      <c r="AK246" s="34"/>
      <c r="AL246" s="34">
        <v>22.4</v>
      </c>
      <c r="AM246" s="34"/>
      <c r="AN246" s="34"/>
      <c r="AO246" s="36">
        <v>23.4</v>
      </c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80"/>
      <c r="BB246" s="34"/>
      <c r="BC246" s="34"/>
      <c r="BD246" s="34"/>
      <c r="BE246" s="37"/>
      <c r="BF246" s="37"/>
      <c r="BG246" s="34"/>
      <c r="BH246" s="37"/>
      <c r="BI246" s="36"/>
      <c r="BJ246" s="34"/>
      <c r="BK246" s="37"/>
      <c r="BL246" s="37"/>
      <c r="BM246" s="37"/>
      <c r="BN246" s="34"/>
      <c r="BO246" s="34"/>
      <c r="BP246" s="34"/>
      <c r="BQ246" s="34"/>
      <c r="BR246" s="34"/>
      <c r="BS246" s="37"/>
      <c r="BT246" s="37"/>
      <c r="BU246" s="34"/>
      <c r="BV246" s="34"/>
      <c r="BW246" s="34"/>
      <c r="BX246" s="37"/>
      <c r="BY246" s="34"/>
      <c r="BZ246" s="34"/>
      <c r="CA246" s="37"/>
      <c r="CB246" s="37"/>
      <c r="CC246" s="34"/>
      <c r="CD246" s="37"/>
      <c r="CE246" s="37"/>
      <c r="CF246" s="37"/>
      <c r="CG246" s="37"/>
      <c r="CH246" s="37"/>
      <c r="CI246" s="37"/>
      <c r="CJ246" s="37"/>
      <c r="CK246" s="37"/>
      <c r="CL246" s="34"/>
      <c r="CM246" s="37"/>
      <c r="CN246" s="37"/>
      <c r="CO246" s="37"/>
      <c r="CP246" s="34"/>
      <c r="CQ246" s="37"/>
      <c r="CR246" s="37"/>
      <c r="CS246" s="37"/>
      <c r="CT246" s="34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  <c r="DM246" s="37"/>
      <c r="DN246" s="37"/>
      <c r="DO246" s="37"/>
      <c r="DP246" s="37"/>
      <c r="DQ246" s="37"/>
      <c r="DR246" s="37"/>
      <c r="DS246" s="37"/>
      <c r="DT246" s="37"/>
      <c r="DU246" s="37"/>
      <c r="DV246" s="37"/>
      <c r="DW246" s="37"/>
      <c r="DX246" s="37"/>
      <c r="DY246" s="37"/>
      <c r="DZ246" s="37"/>
      <c r="EA246" s="39"/>
      <c r="EB246" s="39"/>
      <c r="EC246" s="40"/>
    </row>
    <row r="247" spans="1:133" hidden="1">
      <c r="A247" s="44" t="s">
        <v>138</v>
      </c>
      <c r="B247" s="22" t="s">
        <v>559</v>
      </c>
      <c r="C247" s="20" t="s">
        <v>560</v>
      </c>
      <c r="D247" s="21" t="s">
        <v>529</v>
      </c>
      <c r="E247" s="21"/>
      <c r="F247" s="22" t="s">
        <v>137</v>
      </c>
      <c r="G247" s="23" t="str" cm="1">
        <f t="array" ref="G247">IFERROR(LOOKUP(2,1/(K247:GC247&lt;&gt;""),K$2:DQL$2),"")</f>
        <v>3-Aug</v>
      </c>
      <c r="H247" s="24" cm="1">
        <f t="array" ref="H247">IFERROR(_xlfn.XLOOKUP(TRUE,P247:ED247&lt;&gt;"",P247:ED247,,,-1)," ")</f>
        <v>24.4</v>
      </c>
      <c r="I247" s="25">
        <v>23</v>
      </c>
      <c r="J247" s="26">
        <v>24</v>
      </c>
      <c r="K247" s="26"/>
      <c r="L247" s="26"/>
      <c r="M247" s="26"/>
      <c r="N247" s="26"/>
      <c r="O247" s="26"/>
      <c r="P247" s="26"/>
      <c r="Q247" s="26"/>
      <c r="R247" s="26"/>
      <c r="S247" s="25"/>
      <c r="T247" s="25"/>
      <c r="U247" s="25"/>
      <c r="V247" s="25">
        <v>18</v>
      </c>
      <c r="W247" s="25"/>
      <c r="X247" s="25"/>
      <c r="Y247" s="25"/>
      <c r="Z247" s="25"/>
      <c r="AA247" s="25"/>
      <c r="AB247" s="25"/>
      <c r="AC247" s="25"/>
      <c r="AD247" s="25"/>
      <c r="AE247" s="34"/>
      <c r="AF247" s="61"/>
      <c r="AG247" s="34"/>
      <c r="AH247" s="34"/>
      <c r="AI247" s="36"/>
      <c r="AJ247" s="34">
        <v>22.4</v>
      </c>
      <c r="AK247" s="34"/>
      <c r="AL247" s="36"/>
      <c r="AM247" s="36">
        <v>22.8</v>
      </c>
      <c r="AN247" s="34"/>
      <c r="AO247" s="34"/>
      <c r="AP247" s="34"/>
      <c r="AQ247" s="36">
        <v>24.4</v>
      </c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6"/>
      <c r="BE247" s="37"/>
      <c r="BF247" s="37"/>
      <c r="BG247" s="34"/>
      <c r="BH247" s="37"/>
      <c r="BI247" s="34"/>
      <c r="BJ247" s="34"/>
      <c r="BK247" s="37"/>
      <c r="BL247" s="37"/>
      <c r="BM247" s="37"/>
      <c r="BN247" s="34"/>
      <c r="BO247" s="34"/>
      <c r="BP247" s="37"/>
      <c r="BQ247" s="37"/>
      <c r="BR247" s="34"/>
      <c r="BS247" s="37"/>
      <c r="BT247" s="37"/>
      <c r="BU247" s="34"/>
      <c r="BV247" s="37"/>
      <c r="BW247" s="34"/>
      <c r="BX247" s="37"/>
      <c r="BY247" s="34"/>
      <c r="BZ247" s="36"/>
      <c r="CA247" s="37"/>
      <c r="CB247" s="37"/>
      <c r="CC247" s="34"/>
      <c r="CD247" s="37"/>
      <c r="CE247" s="37"/>
      <c r="CF247" s="37"/>
      <c r="CG247" s="37"/>
      <c r="CH247" s="37"/>
      <c r="CI247" s="37"/>
      <c r="CJ247" s="37"/>
      <c r="CK247" s="37"/>
      <c r="CL247" s="34"/>
      <c r="CM247" s="37"/>
      <c r="CN247" s="37"/>
      <c r="CO247" s="37"/>
      <c r="CP247" s="34"/>
      <c r="CQ247" s="37"/>
      <c r="CR247" s="37"/>
      <c r="CS247" s="37"/>
      <c r="CT247" s="34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  <c r="DM247" s="37"/>
      <c r="DN247" s="37"/>
      <c r="DO247" s="37"/>
      <c r="DP247" s="37"/>
      <c r="DQ247" s="37"/>
      <c r="DR247" s="37"/>
      <c r="DS247" s="37"/>
      <c r="DT247" s="37"/>
      <c r="DU247" s="37"/>
      <c r="DV247" s="37"/>
      <c r="DW247" s="37"/>
      <c r="DX247" s="37"/>
      <c r="DY247" s="37"/>
      <c r="DZ247" s="37"/>
      <c r="EA247" s="39"/>
      <c r="EB247" s="39"/>
      <c r="EC247" s="40"/>
    </row>
    <row r="248" spans="1:133" hidden="1">
      <c r="A248" s="44"/>
      <c r="B248" s="22" t="s">
        <v>561</v>
      </c>
      <c r="C248" s="20" t="s">
        <v>562</v>
      </c>
      <c r="D248" s="21" t="s">
        <v>529</v>
      </c>
      <c r="E248" s="21"/>
      <c r="F248" s="22" t="s">
        <v>198</v>
      </c>
      <c r="G248" s="23" t="str" cm="1">
        <f t="array" ref="G248">IFERROR(LOOKUP(2,1/(K248:GC248&lt;&gt;""),K$2:DQL$2),"")</f>
        <v>10-Aug</v>
      </c>
      <c r="H248" s="24" cm="1">
        <f t="array" ref="H248">IFERROR(_xlfn.XLOOKUP(TRUE,P248:ED248&lt;&gt;"",P248:ED248,,,-1)," ")</f>
        <v>24.8</v>
      </c>
      <c r="I248" s="25">
        <v>23.5</v>
      </c>
      <c r="J248" s="26"/>
      <c r="K248" s="26"/>
      <c r="L248" s="26"/>
      <c r="M248" s="26"/>
      <c r="N248" s="26"/>
      <c r="O248" s="26"/>
      <c r="P248" s="26"/>
      <c r="Q248" s="26"/>
      <c r="R248" s="26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34"/>
      <c r="AF248" s="35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248">
        <v>24.8</v>
      </c>
      <c r="AY248" s="34"/>
      <c r="AZ248" s="34"/>
      <c r="BA248" s="34"/>
      <c r="BB248" s="34"/>
      <c r="BC248" s="34"/>
      <c r="BD248" s="34"/>
      <c r="BE248" s="37"/>
      <c r="BF248" s="37"/>
      <c r="BG248" s="34"/>
      <c r="BH248" s="37"/>
      <c r="BI248" s="34"/>
      <c r="BJ248" s="34"/>
      <c r="BK248" s="37"/>
      <c r="BL248" s="37"/>
      <c r="BM248" s="37"/>
      <c r="BN248" s="34"/>
      <c r="BO248" s="34"/>
      <c r="BP248" s="34"/>
      <c r="BQ248" s="34"/>
      <c r="BR248" s="34"/>
      <c r="BS248" s="37"/>
      <c r="BT248" s="37"/>
      <c r="BU248" s="34"/>
      <c r="BV248" s="34"/>
      <c r="BW248" s="34"/>
      <c r="BX248" s="37"/>
      <c r="BY248" s="34"/>
      <c r="BZ248" s="34"/>
      <c r="CA248" s="37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7"/>
      <c r="CN248" s="37"/>
      <c r="CO248" s="37"/>
      <c r="CP248" s="34"/>
      <c r="CQ248" s="37"/>
      <c r="CR248" s="37"/>
      <c r="CS248" s="37"/>
      <c r="CT248" s="34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  <c r="DJ248" s="37"/>
      <c r="DK248" s="37"/>
      <c r="DL248" s="37"/>
      <c r="DM248" s="37"/>
      <c r="DN248" s="37"/>
      <c r="DO248" s="37"/>
      <c r="DP248" s="37"/>
      <c r="DQ248" s="37"/>
      <c r="DR248" s="37"/>
      <c r="DS248" s="37"/>
      <c r="DT248" s="37"/>
      <c r="DU248" s="37"/>
      <c r="DV248" s="37"/>
      <c r="DW248" s="37"/>
      <c r="DX248" s="37"/>
      <c r="DY248" s="37"/>
      <c r="DZ248" s="37"/>
      <c r="EA248" s="39"/>
      <c r="EB248" s="39"/>
      <c r="EC248" s="40"/>
    </row>
    <row r="249" spans="1:133" hidden="1">
      <c r="A249" s="44"/>
      <c r="B249" s="22" t="s">
        <v>561</v>
      </c>
      <c r="C249" s="20" t="s">
        <v>563</v>
      </c>
      <c r="D249" s="21" t="s">
        <v>529</v>
      </c>
      <c r="E249" s="21"/>
      <c r="F249" s="22" t="s">
        <v>198</v>
      </c>
      <c r="G249" s="23" t="str" cm="1">
        <f t="array" ref="G249">IFERROR(LOOKUP(2,1/(K249:GC249&lt;&gt;""),K$2:DQL$2),"")</f>
        <v>15-Aug</v>
      </c>
      <c r="H249" s="24" cm="1">
        <f t="array" ref="H249">IFERROR(_xlfn.XLOOKUP(TRUE,P249:ED249&lt;&gt;"",P249:ED249,,,-1)," ")</f>
        <v>24.8</v>
      </c>
      <c r="I249" s="25">
        <v>23.5</v>
      </c>
      <c r="J249" s="26"/>
      <c r="K249" s="26"/>
      <c r="L249" s="26"/>
      <c r="M249" s="26"/>
      <c r="N249" s="26"/>
      <c r="O249" s="26"/>
      <c r="P249" s="26"/>
      <c r="Q249" s="26"/>
      <c r="R249" s="26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34"/>
      <c r="AF249" s="35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>
        <v>25</v>
      </c>
      <c r="BC249" s="34">
        <v>24.8</v>
      </c>
      <c r="BD249" s="34"/>
      <c r="BE249" s="37"/>
      <c r="BF249" s="37"/>
      <c r="BG249" s="34"/>
      <c r="BH249" s="37"/>
      <c r="BI249" s="34"/>
      <c r="BJ249" s="34"/>
      <c r="BK249" s="37"/>
      <c r="BL249" s="37"/>
      <c r="BM249" s="37"/>
      <c r="BN249" s="34"/>
      <c r="BO249" s="34"/>
      <c r="BP249" s="34"/>
      <c r="BQ249" s="34"/>
      <c r="BR249" s="34"/>
      <c r="BS249" s="37"/>
      <c r="BT249" s="37"/>
      <c r="BU249" s="34"/>
      <c r="BV249" s="34"/>
      <c r="BW249" s="34"/>
      <c r="BX249" s="37"/>
      <c r="BY249" s="34"/>
      <c r="BZ249" s="34"/>
      <c r="CA249" s="37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7"/>
      <c r="CN249" s="37"/>
      <c r="CO249" s="37"/>
      <c r="CP249" s="34"/>
      <c r="CQ249" s="37"/>
      <c r="CR249" s="37"/>
      <c r="CS249" s="37"/>
      <c r="CT249" s="34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  <c r="DJ249" s="37"/>
      <c r="DK249" s="37"/>
      <c r="DL249" s="37"/>
      <c r="DM249" s="37"/>
      <c r="DN249" s="37"/>
      <c r="DO249" s="37"/>
      <c r="DP249" s="37"/>
      <c r="DQ249" s="37"/>
      <c r="DR249" s="37"/>
      <c r="DS249" s="37"/>
      <c r="DT249" s="37"/>
      <c r="DU249" s="37"/>
      <c r="DV249" s="37"/>
      <c r="DW249" s="37"/>
      <c r="DX249" s="37"/>
      <c r="DY249" s="37"/>
      <c r="DZ249" s="37"/>
      <c r="EA249" s="39"/>
      <c r="EB249" s="39"/>
      <c r="EC249" s="40"/>
    </row>
    <row r="250" spans="1:133" hidden="1">
      <c r="A250" s="44"/>
      <c r="B250" s="22" t="s">
        <v>561</v>
      </c>
      <c r="C250" s="20" t="s">
        <v>564</v>
      </c>
      <c r="D250" s="21" t="s">
        <v>529</v>
      </c>
      <c r="E250" s="21"/>
      <c r="F250" s="22" t="s">
        <v>198</v>
      </c>
      <c r="G250" s="23" t="str" cm="1">
        <f t="array" ref="G250">IFERROR(LOOKUP(2,1/(K250:GC250&lt;&gt;""),K$2:DQL$2),"")</f>
        <v>15-Aug</v>
      </c>
      <c r="H250" s="24" cm="1">
        <f t="array" ref="H250">IFERROR(_xlfn.XLOOKUP(TRUE,P250:ED250&lt;&gt;"",P250:ED250,,,-1)," ")</f>
        <v>24.1</v>
      </c>
      <c r="I250" s="25">
        <v>23.5</v>
      </c>
      <c r="J250" s="26"/>
      <c r="K250" s="26"/>
      <c r="L250" s="26"/>
      <c r="M250" s="26"/>
      <c r="N250" s="26"/>
      <c r="O250" s="26"/>
      <c r="P250" s="26"/>
      <c r="Q250" s="26"/>
      <c r="R250" s="26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34"/>
      <c r="AF250" s="35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>
        <v>24</v>
      </c>
      <c r="BC250" s="34">
        <v>24.1</v>
      </c>
      <c r="BD250" s="34"/>
      <c r="BE250" s="37"/>
      <c r="BF250" s="37"/>
      <c r="BG250" s="34"/>
      <c r="BH250" s="37"/>
      <c r="BI250" s="34"/>
      <c r="BJ250" s="34"/>
      <c r="BK250" s="37"/>
      <c r="BL250" s="37"/>
      <c r="BM250" s="37"/>
      <c r="BN250" s="34"/>
      <c r="BO250" s="34"/>
      <c r="BP250" s="34"/>
      <c r="BQ250" s="34"/>
      <c r="BR250" s="34"/>
      <c r="BS250" s="37"/>
      <c r="BT250" s="37"/>
      <c r="BU250" s="34"/>
      <c r="BV250" s="34"/>
      <c r="BW250" s="34"/>
      <c r="BX250" s="37"/>
      <c r="BY250" s="34"/>
      <c r="BZ250" s="34"/>
      <c r="CA250" s="37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7"/>
      <c r="CN250" s="37"/>
      <c r="CO250" s="37"/>
      <c r="CP250" s="34"/>
      <c r="CQ250" s="37"/>
      <c r="CR250" s="37"/>
      <c r="CS250" s="37"/>
      <c r="CT250" s="34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  <c r="DJ250" s="37"/>
      <c r="DK250" s="37"/>
      <c r="DL250" s="37"/>
      <c r="DM250" s="37"/>
      <c r="DN250" s="37"/>
      <c r="DO250" s="37"/>
      <c r="DP250" s="37"/>
      <c r="DQ250" s="37"/>
      <c r="DR250" s="37"/>
      <c r="DS250" s="37"/>
      <c r="DT250" s="37"/>
      <c r="DU250" s="37"/>
      <c r="DV250" s="37"/>
      <c r="DW250" s="37"/>
      <c r="DX250" s="37"/>
      <c r="DY250" s="37"/>
      <c r="DZ250" s="37"/>
      <c r="EA250" s="39"/>
      <c r="EB250" s="39"/>
      <c r="EC250" s="40"/>
    </row>
    <row r="251" spans="1:133" hidden="1">
      <c r="A251" s="44"/>
      <c r="B251" s="22" t="s">
        <v>561</v>
      </c>
      <c r="C251" s="20" t="s">
        <v>565</v>
      </c>
      <c r="D251" s="21" t="s">
        <v>529</v>
      </c>
      <c r="E251" s="21"/>
      <c r="F251" s="22" t="s">
        <v>198</v>
      </c>
      <c r="G251" s="23" t="str" cm="1">
        <f t="array" ref="G251">IFERROR(LOOKUP(2,1/(K251:GC251&lt;&gt;""),K$2:DQL$2),"")</f>
        <v>15-Aug</v>
      </c>
      <c r="H251" s="24" cm="1">
        <f t="array" ref="H251">IFERROR(_xlfn.XLOOKUP(TRUE,P251:ED251&lt;&gt;"",P251:ED251,,,-1)," ")</f>
        <v>23.6</v>
      </c>
      <c r="I251" s="25">
        <v>23.5</v>
      </c>
      <c r="J251" s="26"/>
      <c r="K251" s="26"/>
      <c r="L251" s="26"/>
      <c r="M251" s="26"/>
      <c r="N251" s="26"/>
      <c r="O251" s="26"/>
      <c r="P251" s="26"/>
      <c r="Q251" s="26"/>
      <c r="R251" s="26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34"/>
      <c r="AF251" s="35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>
        <v>23.2</v>
      </c>
      <c r="BC251" s="34">
        <v>23.6</v>
      </c>
      <c r="BD251" s="34"/>
      <c r="BE251" s="37"/>
      <c r="BF251" s="37"/>
      <c r="BG251" s="34"/>
      <c r="BH251" s="37"/>
      <c r="BI251" s="34"/>
      <c r="BJ251" s="34"/>
      <c r="BK251" s="37"/>
      <c r="BL251" s="37"/>
      <c r="BM251" s="37"/>
      <c r="BN251" s="34"/>
      <c r="BO251" s="34"/>
      <c r="BP251" s="34"/>
      <c r="BQ251" s="34"/>
      <c r="BR251" s="34"/>
      <c r="BS251" s="37"/>
      <c r="BT251" s="37"/>
      <c r="BU251" s="34"/>
      <c r="BV251" s="34"/>
      <c r="BW251" s="34"/>
      <c r="BX251" s="37"/>
      <c r="BY251" s="34"/>
      <c r="BZ251" s="34"/>
      <c r="CA251" s="37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7"/>
      <c r="CN251" s="37"/>
      <c r="CO251" s="37"/>
      <c r="CP251" s="34"/>
      <c r="CQ251" s="37"/>
      <c r="CR251" s="37"/>
      <c r="CS251" s="37"/>
      <c r="CT251" s="34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  <c r="DI251" s="37"/>
      <c r="DJ251" s="37"/>
      <c r="DK251" s="37"/>
      <c r="DL251" s="37"/>
      <c r="DM251" s="37"/>
      <c r="DN251" s="37"/>
      <c r="DO251" s="37"/>
      <c r="DP251" s="37"/>
      <c r="DQ251" s="37"/>
      <c r="DR251" s="37"/>
      <c r="DS251" s="37"/>
      <c r="DT251" s="37"/>
      <c r="DU251" s="37"/>
      <c r="DV251" s="37"/>
      <c r="DW251" s="37"/>
      <c r="DX251" s="37"/>
      <c r="DY251" s="37"/>
      <c r="DZ251" s="37"/>
      <c r="EA251" s="39"/>
      <c r="EB251" s="39"/>
      <c r="EC251" s="40"/>
    </row>
    <row r="252" spans="1:133">
      <c r="A252" s="44"/>
      <c r="B252" s="22" t="s">
        <v>566</v>
      </c>
      <c r="C252" s="20" t="s">
        <v>567</v>
      </c>
      <c r="D252" s="21" t="s">
        <v>568</v>
      </c>
      <c r="E252" s="21"/>
      <c r="F252" s="22" t="s">
        <v>137</v>
      </c>
      <c r="G252" s="23" t="str" cm="1">
        <f t="array" ref="G252">IFERROR(LOOKUP(2,1/(K252:GC252&lt;&gt;""),K$2:DQL$2),"")</f>
        <v>23-Jul</v>
      </c>
      <c r="H252" s="24" cm="1">
        <f t="array" ref="H252">IFERROR(_xlfn.XLOOKUP(TRUE,P252:ED252&lt;&gt;"",P252:ED252,,,-1)," ")</f>
        <v>21</v>
      </c>
      <c r="I252" s="25">
        <v>17.5</v>
      </c>
      <c r="J252" s="26">
        <v>19.5</v>
      </c>
      <c r="K252" s="26"/>
      <c r="L252" s="26"/>
      <c r="M252" s="26"/>
      <c r="N252" s="26"/>
      <c r="O252" s="26"/>
      <c r="P252" s="26"/>
      <c r="Q252" s="26"/>
      <c r="R252" s="26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34"/>
      <c r="AF252" s="35">
        <v>21</v>
      </c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8"/>
      <c r="BF252" s="37"/>
      <c r="BG252" s="36"/>
      <c r="BH252" s="37"/>
      <c r="BI252" s="37"/>
      <c r="BJ252" s="37"/>
      <c r="BK252" s="38"/>
      <c r="BL252" s="37"/>
      <c r="BM252" s="37"/>
      <c r="BN252" s="38"/>
      <c r="BO252" s="37"/>
      <c r="BP252" s="37"/>
      <c r="BQ252" s="34"/>
      <c r="BR252" s="34"/>
      <c r="BS252" s="38"/>
      <c r="BT252" s="37"/>
      <c r="BU252" s="34"/>
      <c r="BV252" s="34"/>
      <c r="BW252" s="34"/>
      <c r="BX252" s="37"/>
      <c r="BY252" s="34"/>
      <c r="BZ252" s="36"/>
      <c r="CA252" s="37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43"/>
      <c r="CN252" s="37"/>
      <c r="CO252" s="37"/>
      <c r="CP252" s="34"/>
      <c r="CQ252" s="37"/>
      <c r="CR252" s="37"/>
      <c r="CS252" s="37"/>
      <c r="CT252" s="34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  <c r="DI252" s="37"/>
      <c r="DJ252" s="37"/>
      <c r="DK252" s="37"/>
      <c r="DL252" s="37"/>
      <c r="DM252" s="37"/>
      <c r="DN252" s="37"/>
      <c r="DO252" s="37"/>
      <c r="DP252" s="37"/>
      <c r="DQ252" s="37"/>
      <c r="DR252" s="37"/>
      <c r="DS252" s="37"/>
      <c r="DT252" s="37"/>
      <c r="DU252" s="37"/>
      <c r="DV252" s="37"/>
      <c r="DW252" s="37"/>
      <c r="DX252" s="37"/>
      <c r="DY252" s="37"/>
      <c r="DZ252" s="37"/>
      <c r="EA252" s="39"/>
      <c r="EB252" s="39"/>
      <c r="EC252" s="40"/>
    </row>
    <row r="253" spans="1:133" hidden="1">
      <c r="A253" s="44"/>
      <c r="B253" s="22" t="s">
        <v>569</v>
      </c>
      <c r="C253" s="20" t="s">
        <v>570</v>
      </c>
      <c r="D253" s="21" t="s">
        <v>568</v>
      </c>
      <c r="E253" s="21"/>
      <c r="F253" s="22" t="s">
        <v>465</v>
      </c>
      <c r="G253" s="23" t="str" cm="1">
        <f t="array" ref="G253">IFERROR(LOOKUP(2,1/(K253:GC253&lt;&gt;""),K$2:DQL$2),"")</f>
        <v>13-Aug</v>
      </c>
      <c r="H253" s="24" cm="1">
        <f t="array" ref="H253">IFERROR(_xlfn.XLOOKUP(TRUE,P253:ED253&lt;&gt;"",P253:ED253,,,-1)," ")</f>
        <v>22.3</v>
      </c>
      <c r="I253" s="25">
        <v>17.5</v>
      </c>
      <c r="J253" s="26"/>
      <c r="K253" s="26"/>
      <c r="L253" s="26"/>
      <c r="M253" s="26"/>
      <c r="N253" s="26"/>
      <c r="O253" s="26"/>
      <c r="P253" s="26">
        <v>14.4</v>
      </c>
      <c r="Q253" s="26"/>
      <c r="R253" s="26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34"/>
      <c r="AF253" s="35"/>
      <c r="AG253" s="34"/>
      <c r="AH253" s="34"/>
      <c r="AI253" s="36"/>
      <c r="AJ253" s="34"/>
      <c r="AK253" s="34"/>
      <c r="AL253" s="34"/>
      <c r="AM253" s="34"/>
      <c r="AN253" s="34"/>
      <c r="AO253" s="34"/>
      <c r="AP253" s="36"/>
      <c r="AQ253" s="34"/>
      <c r="AR253" s="34"/>
      <c r="AS253" s="60"/>
      <c r="AT253" s="36"/>
      <c r="AU253" s="34"/>
      <c r="AV253" s="36"/>
      <c r="AW253" s="34"/>
      <c r="AX253" s="34"/>
      <c r="AY253" s="34"/>
      <c r="AZ253" s="34"/>
      <c r="BA253" s="34">
        <v>22.3</v>
      </c>
      <c r="BB253" s="34"/>
      <c r="BC253" s="34"/>
      <c r="BD253" s="36"/>
      <c r="BE253" s="37"/>
      <c r="BF253" s="37"/>
      <c r="BG253" s="34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4"/>
      <c r="BS253" s="37"/>
      <c r="BT253" s="37"/>
      <c r="BU253" s="34"/>
      <c r="BV253" s="37"/>
      <c r="BW253" s="34"/>
      <c r="BX253" s="37"/>
      <c r="BY253" s="34"/>
      <c r="BZ253" s="34"/>
      <c r="CA253" s="37"/>
      <c r="CB253" s="37"/>
      <c r="CC253" s="34"/>
      <c r="CD253" s="37"/>
      <c r="CE253" s="37"/>
      <c r="CF253" s="37"/>
      <c r="CG253" s="37"/>
      <c r="CH253" s="37"/>
      <c r="CI253" s="37"/>
      <c r="CJ253" s="37"/>
      <c r="CK253" s="37"/>
      <c r="CL253" s="34"/>
      <c r="CM253" s="37"/>
      <c r="CN253" s="37"/>
      <c r="CO253" s="37"/>
      <c r="CP253" s="34"/>
      <c r="CQ253" s="37"/>
      <c r="CR253" s="37"/>
      <c r="CS253" s="37"/>
      <c r="CT253" s="34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  <c r="DI253" s="37"/>
      <c r="DJ253" s="37"/>
      <c r="DK253" s="37"/>
      <c r="DL253" s="37"/>
      <c r="DM253" s="37"/>
      <c r="DN253" s="37"/>
      <c r="DO253" s="37"/>
      <c r="DP253" s="37"/>
      <c r="DQ253" s="37"/>
      <c r="DR253" s="37"/>
      <c r="DS253" s="37"/>
      <c r="DT253" s="37"/>
      <c r="DU253" s="37"/>
      <c r="DV253" s="37"/>
      <c r="DW253" s="37"/>
      <c r="DX253" s="37"/>
      <c r="DY253" s="37"/>
      <c r="DZ253" s="37"/>
      <c r="EA253" s="39"/>
      <c r="EB253" s="39"/>
      <c r="EC253" s="40"/>
    </row>
    <row r="254" spans="1:133" hidden="1">
      <c r="A254" s="44" t="s">
        <v>138</v>
      </c>
      <c r="B254" s="22"/>
      <c r="C254" s="20" t="s">
        <v>567</v>
      </c>
      <c r="D254" s="21" t="s">
        <v>568</v>
      </c>
      <c r="E254" s="21"/>
      <c r="F254" s="22" t="s">
        <v>137</v>
      </c>
      <c r="G254" s="23" t="str" cm="1">
        <f t="array" ref="G254">IFERROR(LOOKUP(2,1/(K254:GC254&lt;&gt;""),K$2:DQL$2),"")</f>
        <v>13-Jul</v>
      </c>
      <c r="H254" s="24" cm="1">
        <f t="array" ref="H254">IFERROR(_xlfn.XLOOKUP(TRUE,P254:ED254&lt;&gt;"",P254:ED254,,,-1)," ")</f>
        <v>18.3</v>
      </c>
      <c r="I254" s="25">
        <v>17.5</v>
      </c>
      <c r="J254" s="26">
        <v>19.5</v>
      </c>
      <c r="K254" s="26"/>
      <c r="L254" s="26"/>
      <c r="M254" s="26"/>
      <c r="N254" s="26"/>
      <c r="O254" s="26"/>
      <c r="P254" s="245" t="s">
        <v>571</v>
      </c>
      <c r="Q254" s="26"/>
      <c r="R254" s="26"/>
      <c r="S254" s="25"/>
      <c r="T254" s="25"/>
      <c r="U254" s="25"/>
      <c r="V254" s="217">
        <v>18.3</v>
      </c>
      <c r="W254" s="25"/>
      <c r="X254" s="25"/>
      <c r="Y254" s="25"/>
      <c r="Z254" s="25"/>
      <c r="AA254" s="25"/>
      <c r="AB254" s="25"/>
      <c r="AC254" s="25"/>
      <c r="AD254" s="25"/>
      <c r="AE254" s="34"/>
      <c r="AF254" s="35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7"/>
      <c r="BF254" s="37"/>
      <c r="BG254" s="34"/>
      <c r="BH254" s="34"/>
      <c r="BI254" s="34"/>
      <c r="BJ254" s="34"/>
      <c r="BK254" s="34"/>
      <c r="BL254" s="34"/>
      <c r="BM254" s="37"/>
      <c r="BN254" s="34"/>
      <c r="BO254" s="34"/>
      <c r="BP254" s="34"/>
      <c r="BQ254" s="34"/>
      <c r="BR254" s="34"/>
      <c r="BS254" s="37"/>
      <c r="BT254" s="37"/>
      <c r="BU254" s="34"/>
      <c r="BV254" s="34"/>
      <c r="BW254" s="34"/>
      <c r="BX254" s="37"/>
      <c r="BY254" s="34"/>
      <c r="BZ254" s="36"/>
      <c r="CA254" s="37"/>
      <c r="CB254" s="37"/>
      <c r="CC254" s="34"/>
      <c r="CD254" s="37"/>
      <c r="CE254" s="37"/>
      <c r="CF254" s="37"/>
      <c r="CG254" s="37"/>
      <c r="CH254" s="37"/>
      <c r="CI254" s="37"/>
      <c r="CJ254" s="37"/>
      <c r="CK254" s="37"/>
      <c r="CL254" s="34"/>
      <c r="CM254" s="37"/>
      <c r="CN254" s="37"/>
      <c r="CO254" s="37"/>
      <c r="CP254" s="34"/>
      <c r="CQ254" s="37"/>
      <c r="CR254" s="34"/>
      <c r="CS254" s="37"/>
      <c r="CT254" s="34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  <c r="DI254" s="37"/>
      <c r="DJ254" s="37"/>
      <c r="DK254" s="37"/>
      <c r="DL254" s="37"/>
      <c r="DM254" s="37"/>
      <c r="DN254" s="37"/>
      <c r="DO254" s="37"/>
      <c r="DP254" s="37"/>
      <c r="DQ254" s="37"/>
      <c r="DR254" s="37"/>
      <c r="DS254" s="37"/>
      <c r="DT254" s="37"/>
      <c r="DU254" s="37"/>
      <c r="DV254" s="37"/>
      <c r="DW254" s="37"/>
      <c r="DX254" s="37"/>
      <c r="DY254" s="37"/>
      <c r="DZ254" s="37"/>
      <c r="EA254" s="39"/>
      <c r="EB254" s="39"/>
      <c r="EC254" s="40"/>
    </row>
    <row r="255" spans="1:133" hidden="1">
      <c r="A255" s="44"/>
      <c r="B255" s="22"/>
      <c r="C255" s="20" t="s">
        <v>572</v>
      </c>
      <c r="D255" s="21" t="s">
        <v>568</v>
      </c>
      <c r="E255" s="21"/>
      <c r="F255" s="22" t="s">
        <v>465</v>
      </c>
      <c r="G255" s="23" t="str" cm="1">
        <f t="array" ref="G255">IFERROR(LOOKUP(2,1/(K255:GC255&lt;&gt;""),K$2:DQL$2),"")</f>
        <v>11-Aug</v>
      </c>
      <c r="H255" s="24" cm="1">
        <f t="array" ref="H255">IFERROR(_xlfn.XLOOKUP(TRUE,P255:ED255&lt;&gt;"",P255:ED255,,,-1)," ")</f>
        <v>22.9</v>
      </c>
      <c r="I255" s="25"/>
      <c r="J255" s="26"/>
      <c r="K255" s="26"/>
      <c r="L255" s="26"/>
      <c r="M255" s="26"/>
      <c r="N255" s="26"/>
      <c r="O255" s="26"/>
      <c r="P255" s="245" t="s">
        <v>571</v>
      </c>
      <c r="Q255" s="26"/>
      <c r="R255" s="26"/>
      <c r="S255" s="25"/>
      <c r="T255" s="25"/>
      <c r="U255" s="25"/>
      <c r="V255" s="217">
        <v>18.3</v>
      </c>
      <c r="W255" s="25"/>
      <c r="X255" s="25"/>
      <c r="Y255" s="25"/>
      <c r="Z255" s="25"/>
      <c r="AA255" s="25"/>
      <c r="AB255" s="25"/>
      <c r="AC255" s="25"/>
      <c r="AD255" s="25"/>
      <c r="AE255" s="34"/>
      <c r="AF255" s="35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>
        <v>22.9</v>
      </c>
      <c r="AZ255" s="34"/>
      <c r="BA255" s="34"/>
      <c r="BB255" s="34"/>
      <c r="BC255" s="34"/>
      <c r="BD255" s="34"/>
      <c r="BE255" s="37"/>
      <c r="BF255" s="37"/>
      <c r="BG255" s="34"/>
      <c r="BH255" s="34"/>
      <c r="BI255" s="34"/>
      <c r="BJ255" s="34"/>
      <c r="BK255" s="34"/>
      <c r="BL255" s="34"/>
      <c r="BM255" s="37"/>
      <c r="BN255" s="34"/>
      <c r="BO255" s="34"/>
      <c r="BP255" s="34"/>
      <c r="BQ255" s="34"/>
      <c r="BR255" s="34"/>
      <c r="BS255" s="37"/>
      <c r="BT255" s="37"/>
      <c r="BU255" s="34"/>
      <c r="BV255" s="34"/>
      <c r="BW255" s="34"/>
      <c r="BX255" s="37"/>
      <c r="BY255" s="34"/>
      <c r="BZ255" s="36"/>
      <c r="CA255" s="37"/>
      <c r="CB255" s="37"/>
      <c r="CC255" s="34"/>
      <c r="CD255" s="37"/>
      <c r="CE255" s="37"/>
      <c r="CF255" s="37"/>
      <c r="CG255" s="37"/>
      <c r="CH255" s="37"/>
      <c r="CI255" s="37"/>
      <c r="CJ255" s="37"/>
      <c r="CK255" s="37"/>
      <c r="CL255" s="34"/>
      <c r="CM255" s="37"/>
      <c r="CN255" s="37"/>
      <c r="CO255" s="37"/>
      <c r="CP255" s="34"/>
      <c r="CQ255" s="37"/>
      <c r="CR255" s="34"/>
      <c r="CS255" s="37"/>
      <c r="CT255" s="34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  <c r="DI255" s="37"/>
      <c r="DJ255" s="37"/>
      <c r="DK255" s="37"/>
      <c r="DL255" s="37"/>
      <c r="DM255" s="37"/>
      <c r="DN255" s="37"/>
      <c r="DO255" s="37"/>
      <c r="DP255" s="37"/>
      <c r="DQ255" s="37"/>
      <c r="DR255" s="37"/>
      <c r="DS255" s="37"/>
      <c r="DT255" s="37"/>
      <c r="DU255" s="37"/>
      <c r="DV255" s="37"/>
      <c r="DW255" s="37"/>
      <c r="DX255" s="37"/>
      <c r="DY255" s="37"/>
      <c r="DZ255" s="37"/>
      <c r="EA255" s="39"/>
      <c r="EB255" s="39"/>
      <c r="EC255" s="40"/>
    </row>
    <row r="256" spans="1:133" hidden="1">
      <c r="A256" s="44" t="s">
        <v>138</v>
      </c>
      <c r="B256" s="22" t="s">
        <v>566</v>
      </c>
      <c r="C256" s="20" t="s">
        <v>573</v>
      </c>
      <c r="D256" s="21" t="s">
        <v>568</v>
      </c>
      <c r="E256" s="21"/>
      <c r="F256" s="22" t="s">
        <v>137</v>
      </c>
      <c r="G256" s="23" t="str" cm="1">
        <f t="array" ref="G256">IFERROR(LOOKUP(2,1/(K256:GC256&lt;&gt;""),K$2:DQL$2),"")</f>
        <v>15-Jul</v>
      </c>
      <c r="H256" s="24" cm="1">
        <f t="array" ref="H256">IFERROR(_xlfn.XLOOKUP(TRUE,P256:ED256&lt;&gt;"",P256:ED256,,,-1)," ")</f>
        <v>19.399999999999999</v>
      </c>
      <c r="I256" s="25">
        <v>17.5</v>
      </c>
      <c r="J256" s="26">
        <v>19.5</v>
      </c>
      <c r="K256" s="26">
        <v>15</v>
      </c>
      <c r="L256" s="26"/>
      <c r="M256" s="26"/>
      <c r="N256" s="26"/>
      <c r="O256" s="26"/>
      <c r="P256" s="26"/>
      <c r="Q256" s="26"/>
      <c r="R256" s="26">
        <v>17.399999999999999</v>
      </c>
      <c r="S256" s="25"/>
      <c r="T256" s="25"/>
      <c r="U256" s="25"/>
      <c r="V256" s="25"/>
      <c r="W256" s="25"/>
      <c r="X256" s="217">
        <v>19.399999999999999</v>
      </c>
      <c r="Y256" s="25"/>
      <c r="Z256" s="25"/>
      <c r="AA256" s="25"/>
      <c r="AB256" s="25"/>
      <c r="AC256" s="25"/>
      <c r="AD256" s="25"/>
      <c r="AE256" s="34"/>
      <c r="AF256" s="35"/>
      <c r="AG256" s="34"/>
      <c r="AH256" s="34"/>
      <c r="AI256" s="36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6"/>
      <c r="AW256" s="34"/>
      <c r="AX256" s="34"/>
      <c r="AY256" s="34"/>
      <c r="AZ256" s="34"/>
      <c r="BA256" s="34"/>
      <c r="BB256" s="34"/>
      <c r="BC256" s="34"/>
      <c r="BD256" s="34"/>
      <c r="BE256" s="37"/>
      <c r="BF256" s="37"/>
      <c r="BG256" s="34"/>
      <c r="BH256" s="37"/>
      <c r="BI256" s="37"/>
      <c r="BJ256" s="37"/>
      <c r="BK256" s="37"/>
      <c r="BL256" s="37"/>
      <c r="BM256" s="37"/>
      <c r="BN256" s="38"/>
      <c r="BO256" s="37"/>
      <c r="BP256" s="37"/>
      <c r="BQ256" s="34"/>
      <c r="BR256" s="34"/>
      <c r="BS256" s="37"/>
      <c r="BT256" s="37"/>
      <c r="BU256" s="34"/>
      <c r="BV256" s="34"/>
      <c r="BW256" s="34"/>
      <c r="BX256" s="37"/>
      <c r="BY256" s="34"/>
      <c r="BZ256" s="36"/>
      <c r="CA256" s="37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43"/>
      <c r="CN256" s="37"/>
      <c r="CO256" s="37"/>
      <c r="CP256" s="34"/>
      <c r="CQ256" s="37"/>
      <c r="CR256" s="37"/>
      <c r="CS256" s="37"/>
      <c r="CT256" s="34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  <c r="DI256" s="37"/>
      <c r="DJ256" s="37"/>
      <c r="DK256" s="37"/>
      <c r="DL256" s="37"/>
      <c r="DM256" s="37"/>
      <c r="DN256" s="37"/>
      <c r="DO256" s="37"/>
      <c r="DP256" s="37"/>
      <c r="DQ256" s="37"/>
      <c r="DR256" s="37"/>
      <c r="DS256" s="37"/>
      <c r="DT256" s="37"/>
      <c r="DU256" s="37"/>
      <c r="DV256" s="37"/>
      <c r="DW256" s="37"/>
      <c r="DX256" s="37"/>
      <c r="DY256" s="37"/>
      <c r="DZ256" s="37"/>
      <c r="EA256" s="39"/>
      <c r="EB256" s="39"/>
      <c r="EC256" s="40"/>
    </row>
    <row r="257" spans="1:133" hidden="1">
      <c r="A257" s="44" t="s">
        <v>138</v>
      </c>
      <c r="B257" s="22" t="s">
        <v>566</v>
      </c>
      <c r="C257" s="20" t="s">
        <v>574</v>
      </c>
      <c r="D257" s="21" t="s">
        <v>568</v>
      </c>
      <c r="E257" s="21"/>
      <c r="F257" s="22" t="s">
        <v>137</v>
      </c>
      <c r="G257" s="23" t="str" cm="1">
        <f t="array" ref="G257">IFERROR(LOOKUP(2,1/(K257:GC257&lt;&gt;""),K$2:DQL$2),"")</f>
        <v>15-Jul</v>
      </c>
      <c r="H257" s="24" cm="1">
        <f t="array" ref="H257">IFERROR(_xlfn.XLOOKUP(TRUE,P257:ED257&lt;&gt;"",P257:ED257,,,-1)," ")</f>
        <v>18.2</v>
      </c>
      <c r="I257" s="25">
        <v>17.5</v>
      </c>
      <c r="J257" s="25">
        <v>19.5</v>
      </c>
      <c r="K257" s="25">
        <v>14.4</v>
      </c>
      <c r="L257" s="25"/>
      <c r="M257" s="25"/>
      <c r="N257" s="25"/>
      <c r="O257" s="25"/>
      <c r="P257" s="25"/>
      <c r="Q257" s="25"/>
      <c r="R257" s="25">
        <v>16.7</v>
      </c>
      <c r="S257" s="25"/>
      <c r="T257" s="25"/>
      <c r="U257" s="25"/>
      <c r="V257" s="25"/>
      <c r="W257" s="25"/>
      <c r="X257" s="25">
        <v>18.2</v>
      </c>
      <c r="Y257" s="25"/>
      <c r="Z257" s="25"/>
      <c r="AA257" s="25"/>
      <c r="AB257" s="25"/>
      <c r="AC257" s="25"/>
      <c r="AD257" s="25"/>
      <c r="AE257" s="34"/>
      <c r="AF257" s="34"/>
      <c r="AG257" s="34"/>
      <c r="AH257" s="34"/>
      <c r="AI257" s="34"/>
      <c r="AJ257" s="34"/>
      <c r="AK257" s="34"/>
      <c r="AL257" s="36"/>
      <c r="AM257" s="34"/>
      <c r="AN257" s="34"/>
      <c r="AO257" s="34"/>
      <c r="AP257" s="34"/>
      <c r="AQ257" s="34"/>
      <c r="AR257" s="34"/>
      <c r="AS257" s="34"/>
      <c r="AT257" s="36"/>
      <c r="AU257" s="34"/>
      <c r="AV257" s="34"/>
      <c r="AW257" s="34"/>
      <c r="AX257" s="34"/>
      <c r="AY257" s="34"/>
      <c r="AZ257" s="34"/>
      <c r="BA257" s="34"/>
      <c r="BB257" s="34"/>
      <c r="BC257" s="34"/>
      <c r="BD257" s="36"/>
      <c r="BE257" s="37"/>
      <c r="BF257" s="37"/>
      <c r="BG257" s="36"/>
      <c r="BH257" s="37"/>
      <c r="BI257" s="37"/>
      <c r="BJ257" s="37"/>
      <c r="BK257" s="38"/>
      <c r="BL257" s="37"/>
      <c r="BM257" s="37"/>
      <c r="BN257" s="37"/>
      <c r="BO257" s="37"/>
      <c r="BP257" s="37"/>
      <c r="BQ257" s="34"/>
      <c r="BR257" s="34"/>
      <c r="BS257" s="37"/>
      <c r="BT257" s="37"/>
      <c r="BU257" s="34"/>
      <c r="BV257" s="34"/>
      <c r="BW257" s="34"/>
      <c r="BX257" s="37"/>
      <c r="BY257" s="34"/>
      <c r="BZ257" s="36"/>
      <c r="CA257" s="37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43"/>
      <c r="CN257" s="37"/>
      <c r="CO257" s="37"/>
      <c r="CP257" s="34"/>
      <c r="CQ257" s="37"/>
      <c r="CR257" s="37"/>
      <c r="CS257" s="37"/>
      <c r="CT257" s="34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  <c r="DI257" s="37"/>
      <c r="DJ257" s="37"/>
      <c r="DK257" s="37"/>
      <c r="DL257" s="37"/>
      <c r="DM257" s="37"/>
      <c r="DN257" s="37"/>
      <c r="DO257" s="37"/>
      <c r="DP257" s="37"/>
      <c r="DQ257" s="37"/>
      <c r="DR257" s="37"/>
      <c r="DS257" s="37"/>
      <c r="DT257" s="37"/>
      <c r="DU257" s="37"/>
      <c r="DV257" s="37"/>
      <c r="DW257" s="37"/>
      <c r="DX257" s="37"/>
      <c r="DY257" s="37"/>
      <c r="DZ257" s="37"/>
      <c r="EA257" s="39"/>
      <c r="EB257" s="39"/>
      <c r="EC257" s="40"/>
    </row>
    <row r="258" spans="1:133" hidden="1">
      <c r="A258" s="44" t="s">
        <v>138</v>
      </c>
      <c r="B258" s="22" t="s">
        <v>575</v>
      </c>
      <c r="C258" s="20" t="s">
        <v>576</v>
      </c>
      <c r="D258" s="21" t="s">
        <v>577</v>
      </c>
      <c r="E258" s="21"/>
      <c r="F258" s="22" t="s">
        <v>137</v>
      </c>
      <c r="G258" s="23" t="str" cm="1">
        <f t="array" ref="G258">IFERROR(LOOKUP(2,1/(K258:GC258&lt;&gt;""),K$2:DQL$2),"")</f>
        <v>1-Aug</v>
      </c>
      <c r="H258" s="24" cm="1">
        <f t="array" ref="H258">IFERROR(_xlfn.XLOOKUP(TRUE,P258:ED258&lt;&gt;"",P258:ED258,,,-1)," ")</f>
        <v>20.5</v>
      </c>
      <c r="I258" s="25">
        <v>20</v>
      </c>
      <c r="J258" s="26">
        <v>21</v>
      </c>
      <c r="K258" s="26"/>
      <c r="L258" s="26"/>
      <c r="M258" s="26"/>
      <c r="N258" s="26"/>
      <c r="O258" s="26"/>
      <c r="P258" s="26"/>
      <c r="Q258" s="26"/>
      <c r="R258" s="26"/>
      <c r="S258" s="25"/>
      <c r="T258" s="25"/>
      <c r="U258" s="25"/>
      <c r="V258" s="25"/>
      <c r="W258" s="25"/>
      <c r="X258" s="25"/>
      <c r="Y258" s="25">
        <v>16.8</v>
      </c>
      <c r="Z258" s="25"/>
      <c r="AA258" s="25"/>
      <c r="AB258" s="25"/>
      <c r="AC258" s="25"/>
      <c r="AD258" s="25"/>
      <c r="AE258" s="34"/>
      <c r="AF258" s="35">
        <v>17.399999999999999</v>
      </c>
      <c r="AG258" s="34"/>
      <c r="AH258" s="34"/>
      <c r="AI258" s="34"/>
      <c r="AJ258" s="34"/>
      <c r="AK258" s="34"/>
      <c r="AL258" s="34">
        <v>19.100000000000001</v>
      </c>
      <c r="AM258" s="34"/>
      <c r="AN258" s="34"/>
      <c r="AO258" s="36">
        <v>20.5</v>
      </c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6"/>
      <c r="BE258" s="37"/>
      <c r="BF258" s="37"/>
      <c r="BG258" s="36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4"/>
      <c r="BS258" s="37"/>
      <c r="BT258" s="37"/>
      <c r="BU258" s="34"/>
      <c r="BV258" s="37"/>
      <c r="BW258" s="34"/>
      <c r="BX258" s="37"/>
      <c r="BY258" s="34"/>
      <c r="BZ258" s="34"/>
      <c r="CA258" s="37"/>
      <c r="CB258" s="37"/>
      <c r="CC258" s="34"/>
      <c r="CD258" s="37"/>
      <c r="CE258" s="37"/>
      <c r="CF258" s="37"/>
      <c r="CG258" s="37"/>
      <c r="CH258" s="37"/>
      <c r="CI258" s="37"/>
      <c r="CJ258" s="37"/>
      <c r="CK258" s="37"/>
      <c r="CL258" s="34"/>
      <c r="CM258" s="37"/>
      <c r="CN258" s="37"/>
      <c r="CO258" s="37"/>
      <c r="CP258" s="34"/>
      <c r="CQ258" s="37"/>
      <c r="CR258" s="37"/>
      <c r="CS258" s="37"/>
      <c r="CT258" s="34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  <c r="DJ258" s="37"/>
      <c r="DK258" s="37"/>
      <c r="DL258" s="37"/>
      <c r="DM258" s="37"/>
      <c r="DN258" s="37"/>
      <c r="DO258" s="37"/>
      <c r="DP258" s="37"/>
      <c r="DQ258" s="37"/>
      <c r="DR258" s="37"/>
      <c r="DS258" s="37"/>
      <c r="DT258" s="37"/>
      <c r="DU258" s="37"/>
      <c r="DV258" s="37"/>
      <c r="DW258" s="37"/>
      <c r="DX258" s="37"/>
      <c r="DY258" s="37"/>
      <c r="DZ258" s="37"/>
      <c r="EA258" s="39"/>
      <c r="EB258" s="39"/>
      <c r="EC258" s="40"/>
    </row>
    <row r="259" spans="1:133" hidden="1">
      <c r="A259" s="44" t="s">
        <v>138</v>
      </c>
      <c r="B259" s="22" t="s">
        <v>578</v>
      </c>
      <c r="C259" s="20" t="s">
        <v>579</v>
      </c>
      <c r="D259" s="21" t="s">
        <v>577</v>
      </c>
      <c r="E259" s="21"/>
      <c r="F259" s="22" t="s">
        <v>345</v>
      </c>
      <c r="G259" s="23" t="str" cm="1">
        <f t="array" ref="G259">IFERROR(LOOKUP(2,1/(K259:GC259&lt;&gt;""),K$2:DQL$2),"")</f>
        <v>7-Aug</v>
      </c>
      <c r="H259" s="24" cm="1">
        <f t="array" ref="H259">IFERROR(_xlfn.XLOOKUP(TRUE,P259:ED259&lt;&gt;"",P259:ED259,,,-1)," ")</f>
        <v>22.5</v>
      </c>
      <c r="I259" s="25">
        <v>20</v>
      </c>
      <c r="J259" s="26"/>
      <c r="K259" s="26"/>
      <c r="L259" s="26"/>
      <c r="M259" s="26"/>
      <c r="N259" s="26"/>
      <c r="O259" s="26"/>
      <c r="P259" s="26"/>
      <c r="Q259" s="26"/>
      <c r="R259" s="26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34"/>
      <c r="AF259" s="35"/>
      <c r="AG259" s="34"/>
      <c r="AH259" s="34"/>
      <c r="AI259" s="34"/>
      <c r="AJ259" s="34"/>
      <c r="AK259" s="34"/>
      <c r="AL259" s="34">
        <v>18.2</v>
      </c>
      <c r="AM259" s="34"/>
      <c r="AN259" s="34"/>
      <c r="AO259" s="34"/>
      <c r="AP259" s="34"/>
      <c r="AQ259" s="34"/>
      <c r="AR259" s="34"/>
      <c r="AS259" s="34"/>
      <c r="AT259" s="34"/>
      <c r="AU259" s="34">
        <v>22.5</v>
      </c>
      <c r="AV259" s="34"/>
      <c r="AW259" s="34"/>
      <c r="AX259" s="34"/>
      <c r="AY259" s="34"/>
      <c r="AZ259" s="34"/>
      <c r="BA259" s="34"/>
      <c r="BB259" s="34"/>
      <c r="BC259" s="34"/>
      <c r="BD259" s="34"/>
      <c r="BE259" s="37"/>
      <c r="BF259" s="37"/>
      <c r="BG259" s="34"/>
      <c r="BH259" s="37"/>
      <c r="BI259" s="37"/>
      <c r="BJ259" s="37"/>
      <c r="BK259" s="34"/>
      <c r="BL259" s="38"/>
      <c r="BM259" s="37"/>
      <c r="BN259" s="37"/>
      <c r="BO259" s="37"/>
      <c r="BP259" s="37"/>
      <c r="BQ259" s="37"/>
      <c r="BR259" s="34"/>
      <c r="BS259" s="37"/>
      <c r="BT259" s="37"/>
      <c r="BU259" s="34"/>
      <c r="BV259" s="37"/>
      <c r="BW259" s="34"/>
      <c r="BX259" s="37"/>
      <c r="BY259" s="34"/>
      <c r="BZ259" s="34"/>
      <c r="CA259" s="37"/>
      <c r="CB259" s="37"/>
      <c r="CC259" s="34"/>
      <c r="CD259" s="37"/>
      <c r="CE259" s="37"/>
      <c r="CF259" s="37"/>
      <c r="CG259" s="37"/>
      <c r="CH259" s="37"/>
      <c r="CI259" s="37"/>
      <c r="CJ259" s="37"/>
      <c r="CK259" s="37"/>
      <c r="CL259" s="34"/>
      <c r="CM259" s="37"/>
      <c r="CN259" s="37"/>
      <c r="CO259" s="37"/>
      <c r="CP259" s="34"/>
      <c r="CQ259" s="37"/>
      <c r="CR259" s="37"/>
      <c r="CS259" s="37"/>
      <c r="CT259" s="34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  <c r="DI259" s="37"/>
      <c r="DJ259" s="37"/>
      <c r="DK259" s="37"/>
      <c r="DL259" s="37"/>
      <c r="DM259" s="37"/>
      <c r="DN259" s="37"/>
      <c r="DO259" s="37"/>
      <c r="DP259" s="37"/>
      <c r="DQ259" s="37"/>
      <c r="DR259" s="37"/>
      <c r="DS259" s="37"/>
      <c r="DT259" s="37"/>
      <c r="DU259" s="37"/>
      <c r="DV259" s="37"/>
      <c r="DW259" s="37"/>
      <c r="DX259" s="37"/>
      <c r="DY259" s="37"/>
      <c r="DZ259" s="37"/>
      <c r="EA259" s="39"/>
      <c r="EB259" s="39"/>
      <c r="EC259" s="40"/>
    </row>
    <row r="260" spans="1:133" hidden="1">
      <c r="A260" s="44" t="s">
        <v>138</v>
      </c>
      <c r="B260" s="22" t="s">
        <v>580</v>
      </c>
      <c r="C260" s="20" t="s">
        <v>581</v>
      </c>
      <c r="D260" s="21" t="s">
        <v>577</v>
      </c>
      <c r="E260" s="21"/>
      <c r="F260" s="22" t="s">
        <v>198</v>
      </c>
      <c r="G260" s="23" t="str" cm="1">
        <f t="array" ref="G260">IFERROR(LOOKUP(2,1/(K260:GC260&lt;&gt;""),K$2:DQL$2),"")</f>
        <v/>
      </c>
      <c r="H260" s="24" t="str" cm="1">
        <f t="array" ref="H260">IFERROR(_xlfn.XLOOKUP(TRUE,P260:ED260&lt;&gt;"",P260:ED260,,,-1)," ")</f>
        <v xml:space="preserve"> </v>
      </c>
      <c r="I260" s="25">
        <v>20</v>
      </c>
      <c r="J260" s="26"/>
      <c r="K260" s="26"/>
      <c r="L260" s="26"/>
      <c r="M260" s="26"/>
      <c r="N260" s="26"/>
      <c r="O260" s="26"/>
      <c r="P260" s="26"/>
      <c r="Q260" s="26"/>
      <c r="R260" s="26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34"/>
      <c r="AF260" s="35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7"/>
      <c r="BF260" s="37"/>
      <c r="BG260" s="34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4"/>
      <c r="BS260" s="37"/>
      <c r="BT260" s="37"/>
      <c r="BU260" s="34"/>
      <c r="BV260" s="37"/>
      <c r="BW260" s="34"/>
      <c r="BX260" s="37"/>
      <c r="BY260" s="34"/>
      <c r="BZ260" s="36"/>
      <c r="CA260" s="37"/>
      <c r="CB260" s="37"/>
      <c r="CC260" s="34"/>
      <c r="CD260" s="37"/>
      <c r="CE260" s="37"/>
      <c r="CF260" s="37"/>
      <c r="CG260" s="37"/>
      <c r="CH260" s="37"/>
      <c r="CI260" s="37"/>
      <c r="CJ260" s="37"/>
      <c r="CK260" s="37"/>
      <c r="CL260" s="34"/>
      <c r="CM260" s="37"/>
      <c r="CN260" s="37"/>
      <c r="CO260" s="37"/>
      <c r="CP260" s="34"/>
      <c r="CQ260" s="37"/>
      <c r="CR260" s="37"/>
      <c r="CS260" s="37"/>
      <c r="CT260" s="34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  <c r="DI260" s="37"/>
      <c r="DJ260" s="37"/>
      <c r="DK260" s="37"/>
      <c r="DL260" s="37"/>
      <c r="DM260" s="37"/>
      <c r="DN260" s="37"/>
      <c r="DO260" s="37"/>
      <c r="DP260" s="37"/>
      <c r="DQ260" s="37"/>
      <c r="DR260" s="37"/>
      <c r="DS260" s="37"/>
      <c r="DT260" s="37"/>
      <c r="DU260" s="37"/>
      <c r="DV260" s="37"/>
      <c r="DW260" s="37"/>
      <c r="DX260" s="37"/>
      <c r="DY260" s="37"/>
      <c r="DZ260" s="37"/>
      <c r="EA260" s="39"/>
      <c r="EB260" s="39"/>
      <c r="EC260" s="40"/>
    </row>
    <row r="261" spans="1:133" hidden="1">
      <c r="A261" s="44" t="s">
        <v>138</v>
      </c>
      <c r="B261" s="22" t="s">
        <v>582</v>
      </c>
      <c r="C261" s="20" t="s">
        <v>583</v>
      </c>
      <c r="D261" s="21" t="s">
        <v>577</v>
      </c>
      <c r="E261" s="21"/>
      <c r="F261" s="22" t="s">
        <v>198</v>
      </c>
      <c r="G261" s="23" t="str" cm="1">
        <f t="array" ref="G261">IFERROR(LOOKUP(2,1/(K261:GC261&lt;&gt;""),K$2:DQL$2),"")</f>
        <v>8-Jul</v>
      </c>
      <c r="H261" s="24" cm="1">
        <f t="array" ref="H261">IFERROR(_xlfn.XLOOKUP(TRUE,P261:ED261&lt;&gt;"",P261:ED261,,,-1)," ")</f>
        <v>14.7</v>
      </c>
      <c r="I261" s="25">
        <v>20</v>
      </c>
      <c r="J261" s="26"/>
      <c r="K261" s="26"/>
      <c r="L261" s="26"/>
      <c r="M261" s="26"/>
      <c r="N261" s="26"/>
      <c r="O261" s="26"/>
      <c r="P261" s="26"/>
      <c r="Q261" s="218">
        <v>14.7</v>
      </c>
      <c r="R261" s="26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34"/>
      <c r="AF261" s="35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7"/>
      <c r="BF261" s="37"/>
      <c r="BG261" s="34"/>
      <c r="BH261" s="37"/>
      <c r="BI261" s="37"/>
      <c r="BJ261" s="37"/>
      <c r="BK261" s="34"/>
      <c r="BL261" s="37"/>
      <c r="BM261" s="37"/>
      <c r="BN261" s="37"/>
      <c r="BO261" s="37"/>
      <c r="BP261" s="37"/>
      <c r="BQ261" s="37"/>
      <c r="BR261" s="34"/>
      <c r="BS261" s="37"/>
      <c r="BT261" s="37"/>
      <c r="BU261" s="34"/>
      <c r="BV261" s="37"/>
      <c r="BW261" s="34"/>
      <c r="BX261" s="37"/>
      <c r="BY261" s="34"/>
      <c r="BZ261" s="36"/>
      <c r="CA261" s="37"/>
      <c r="CB261" s="37"/>
      <c r="CC261" s="34"/>
      <c r="CD261" s="37"/>
      <c r="CE261" s="37"/>
      <c r="CF261" s="37"/>
      <c r="CG261" s="37"/>
      <c r="CH261" s="37"/>
      <c r="CI261" s="37"/>
      <c r="CJ261" s="37"/>
      <c r="CK261" s="37"/>
      <c r="CL261" s="34"/>
      <c r="CM261" s="37"/>
      <c r="CN261" s="37"/>
      <c r="CO261" s="37"/>
      <c r="CP261" s="34"/>
      <c r="CQ261" s="37"/>
      <c r="CR261" s="37"/>
      <c r="CS261" s="37"/>
      <c r="CT261" s="34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  <c r="DI261" s="37"/>
      <c r="DJ261" s="37"/>
      <c r="DK261" s="37"/>
      <c r="DL261" s="37"/>
      <c r="DM261" s="37"/>
      <c r="DN261" s="37"/>
      <c r="DO261" s="37"/>
      <c r="DP261" s="37"/>
      <c r="DQ261" s="37"/>
      <c r="DR261" s="37"/>
      <c r="DS261" s="37"/>
      <c r="DT261" s="37"/>
      <c r="DU261" s="37"/>
      <c r="DV261" s="37"/>
      <c r="DW261" s="37"/>
      <c r="DX261" s="37"/>
      <c r="DY261" s="37"/>
      <c r="DZ261" s="37"/>
      <c r="EA261" s="39"/>
      <c r="EB261" s="39"/>
      <c r="EC261" s="40"/>
    </row>
    <row r="262" spans="1:133" hidden="1">
      <c r="A262" s="44" t="s">
        <v>138</v>
      </c>
      <c r="B262" s="22" t="s">
        <v>584</v>
      </c>
      <c r="C262" s="20" t="s">
        <v>585</v>
      </c>
      <c r="D262" s="21" t="s">
        <v>577</v>
      </c>
      <c r="E262" s="21"/>
      <c r="F262" s="22" t="s">
        <v>261</v>
      </c>
      <c r="G262" s="23" t="str" cm="1">
        <f t="array" ref="G262">IFERROR(LOOKUP(2,1/(K262:GC262&lt;&gt;""),K$2:DQL$2),"")</f>
        <v>5-Aug</v>
      </c>
      <c r="H262" s="24" cm="1">
        <f t="array" ref="H262">IFERROR(_xlfn.XLOOKUP(TRUE,P262:ED262&lt;&gt;"",P262:ED262,,,-1)," ")</f>
        <v>24</v>
      </c>
      <c r="I262" s="25">
        <v>21</v>
      </c>
      <c r="J262" s="26"/>
      <c r="K262" s="26"/>
      <c r="L262" s="26"/>
      <c r="M262" s="26"/>
      <c r="N262" s="26"/>
      <c r="O262" s="26"/>
      <c r="P262" s="26"/>
      <c r="Q262" s="26"/>
      <c r="R262" s="26">
        <v>16</v>
      </c>
      <c r="S262" s="25"/>
      <c r="T262" s="25"/>
      <c r="U262" s="25"/>
      <c r="V262" s="25"/>
      <c r="W262" s="25"/>
      <c r="X262" s="25"/>
      <c r="Y262" s="25">
        <v>18.100000000000001</v>
      </c>
      <c r="Z262" s="25"/>
      <c r="AA262" s="25"/>
      <c r="AB262" s="25"/>
      <c r="AC262" s="25"/>
      <c r="AD262" s="25"/>
      <c r="AE262" s="36"/>
      <c r="AF262" s="35"/>
      <c r="AG262" s="34"/>
      <c r="AH262" s="34"/>
      <c r="AI262" s="34"/>
      <c r="AJ262" s="34">
        <v>21.2</v>
      </c>
      <c r="AK262" s="34"/>
      <c r="AL262" s="34"/>
      <c r="AM262" s="257">
        <v>21.1</v>
      </c>
      <c r="AN262" s="34">
        <v>21.5</v>
      </c>
      <c r="AO262" s="34"/>
      <c r="AP262" s="36"/>
      <c r="AQ262" s="34"/>
      <c r="AR262" s="34"/>
      <c r="AS262" s="80">
        <v>24</v>
      </c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7"/>
      <c r="BF262" s="37"/>
      <c r="BG262" s="36"/>
      <c r="BH262" s="37"/>
      <c r="BI262" s="37"/>
      <c r="BJ262" s="37"/>
      <c r="BK262" s="37"/>
      <c r="BL262" s="37"/>
      <c r="BM262" s="37"/>
      <c r="BN262" s="37"/>
      <c r="BO262" s="38"/>
      <c r="BP262" s="37"/>
      <c r="BQ262" s="37"/>
      <c r="BR262" s="34"/>
      <c r="BS262" s="37"/>
      <c r="BT262" s="37"/>
      <c r="BU262" s="34"/>
      <c r="BV262" s="37"/>
      <c r="BW262" s="34"/>
      <c r="BX262" s="37"/>
      <c r="BY262" s="34"/>
      <c r="BZ262" s="34"/>
      <c r="CA262" s="37"/>
      <c r="CB262" s="37"/>
      <c r="CC262" s="34"/>
      <c r="CD262" s="37"/>
      <c r="CE262" s="37"/>
      <c r="CF262" s="37"/>
      <c r="CG262" s="37"/>
      <c r="CH262" s="37"/>
      <c r="CI262" s="37"/>
      <c r="CJ262" s="37"/>
      <c r="CK262" s="37"/>
      <c r="CL262" s="34"/>
      <c r="CM262" s="37"/>
      <c r="CN262" s="37"/>
      <c r="CO262" s="37"/>
      <c r="CP262" s="34"/>
      <c r="CQ262" s="37"/>
      <c r="CR262" s="37"/>
      <c r="CS262" s="37"/>
      <c r="CT262" s="34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  <c r="DI262" s="37"/>
      <c r="DJ262" s="37"/>
      <c r="DK262" s="37"/>
      <c r="DL262" s="37"/>
      <c r="DM262" s="37"/>
      <c r="DN262" s="37"/>
      <c r="DO262" s="37"/>
      <c r="DP262" s="37"/>
      <c r="DQ262" s="37"/>
      <c r="DR262" s="37"/>
      <c r="DS262" s="37"/>
      <c r="DT262" s="37"/>
      <c r="DU262" s="37"/>
      <c r="DV262" s="37"/>
      <c r="DW262" s="37"/>
      <c r="DX262" s="37"/>
      <c r="DY262" s="37"/>
      <c r="DZ262" s="37"/>
      <c r="EA262" s="39"/>
      <c r="EB262" s="39"/>
      <c r="EC262" s="40"/>
    </row>
    <row r="263" spans="1:133" hidden="1">
      <c r="A263" s="44" t="s">
        <v>138</v>
      </c>
      <c r="B263" s="22" t="s">
        <v>584</v>
      </c>
      <c r="C263" s="20" t="s">
        <v>586</v>
      </c>
      <c r="D263" s="21" t="s">
        <v>577</v>
      </c>
      <c r="E263" s="21"/>
      <c r="F263" s="22" t="s">
        <v>261</v>
      </c>
      <c r="G263" s="23" t="str" cm="1">
        <f t="array" ref="G263">IFERROR(LOOKUP(2,1/(K263:GC263&lt;&gt;""),K$2:DQL$2),"")</f>
        <v/>
      </c>
      <c r="H263" s="24" t="str" cm="1">
        <f t="array" ref="H263">IFERROR(_xlfn.XLOOKUP(TRUE,P263:ED263&lt;&gt;"",P263:ED263,,,-1)," ")</f>
        <v xml:space="preserve"> </v>
      </c>
      <c r="I263" s="25">
        <v>21</v>
      </c>
      <c r="J263" s="26"/>
      <c r="K263" s="26"/>
      <c r="L263" s="26"/>
      <c r="M263" s="26"/>
      <c r="N263" s="26"/>
      <c r="O263" s="26"/>
      <c r="P263" s="26"/>
      <c r="Q263" s="26"/>
      <c r="R263" s="26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36"/>
      <c r="AF263" s="35"/>
      <c r="AG263" s="34"/>
      <c r="AH263" s="34"/>
      <c r="AI263" s="34"/>
      <c r="AJ263" s="34"/>
      <c r="AK263" s="34"/>
      <c r="AL263" s="34"/>
      <c r="AM263" s="34"/>
      <c r="AN263" s="34"/>
      <c r="AO263" s="34"/>
      <c r="AP263" s="36"/>
      <c r="AQ263" s="34"/>
      <c r="AR263" s="34"/>
      <c r="AS263" s="34"/>
      <c r="AT263" s="34"/>
      <c r="AU263" s="36"/>
      <c r="AV263" s="34"/>
      <c r="AW263" s="34"/>
      <c r="AX263" s="34"/>
      <c r="AY263" s="34"/>
      <c r="AZ263" s="34"/>
      <c r="BA263" s="34"/>
      <c r="BB263" s="34"/>
      <c r="BC263" s="34"/>
      <c r="BD263" s="34"/>
      <c r="BE263" s="37"/>
      <c r="BF263" s="37"/>
      <c r="BG263" s="36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4"/>
      <c r="BS263" s="37"/>
      <c r="BT263" s="37"/>
      <c r="BU263" s="34"/>
      <c r="BV263" s="37"/>
      <c r="BW263" s="34"/>
      <c r="BX263" s="37"/>
      <c r="BY263" s="34"/>
      <c r="BZ263" s="34"/>
      <c r="CA263" s="37"/>
      <c r="CB263" s="37"/>
      <c r="CC263" s="34"/>
      <c r="CD263" s="37"/>
      <c r="CE263" s="37"/>
      <c r="CF263" s="37"/>
      <c r="CG263" s="37"/>
      <c r="CH263" s="37"/>
      <c r="CI263" s="37"/>
      <c r="CJ263" s="37"/>
      <c r="CK263" s="37"/>
      <c r="CL263" s="34"/>
      <c r="CM263" s="37"/>
      <c r="CN263" s="37"/>
      <c r="CO263" s="37"/>
      <c r="CP263" s="34"/>
      <c r="CQ263" s="37"/>
      <c r="CR263" s="37"/>
      <c r="CS263" s="37"/>
      <c r="CT263" s="34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  <c r="DI263" s="37"/>
      <c r="DJ263" s="37"/>
      <c r="DK263" s="37"/>
      <c r="DL263" s="37"/>
      <c r="DM263" s="37"/>
      <c r="DN263" s="37"/>
      <c r="DO263" s="37"/>
      <c r="DP263" s="37"/>
      <c r="DQ263" s="37"/>
      <c r="DR263" s="37"/>
      <c r="DS263" s="37"/>
      <c r="DT263" s="37"/>
      <c r="DU263" s="37"/>
      <c r="DV263" s="37"/>
      <c r="DW263" s="37"/>
      <c r="DX263" s="37"/>
      <c r="DY263" s="37"/>
      <c r="DZ263" s="37"/>
      <c r="EA263" s="39"/>
      <c r="EB263" s="39"/>
      <c r="EC263" s="40"/>
    </row>
    <row r="264" spans="1:133" hidden="1">
      <c r="A264" s="44" t="s">
        <v>138</v>
      </c>
      <c r="B264" s="22" t="s">
        <v>587</v>
      </c>
      <c r="C264" s="20" t="s">
        <v>588</v>
      </c>
      <c r="D264" s="21" t="s">
        <v>577</v>
      </c>
      <c r="E264" s="21"/>
      <c r="F264" s="22" t="s">
        <v>521</v>
      </c>
      <c r="G264" s="23" t="str" cm="1">
        <f t="array" ref="G264">IFERROR(LOOKUP(2,1/(K264:GC264&lt;&gt;""),K$2:DQL$2),"")</f>
        <v>28-Jul</v>
      </c>
      <c r="H264" s="24" cm="1">
        <f t="array" ref="H264">IFERROR(_xlfn.XLOOKUP(TRUE,P264:ED264&lt;&gt;"",P264:ED264,,,-1)," ")</f>
        <v>22</v>
      </c>
      <c r="I264" s="25">
        <v>20</v>
      </c>
      <c r="J264" s="26"/>
      <c r="K264" s="26"/>
      <c r="L264" s="26"/>
      <c r="M264" s="26"/>
      <c r="N264" s="26"/>
      <c r="O264" s="26"/>
      <c r="P264" s="26"/>
      <c r="Q264" s="26"/>
      <c r="R264" s="26"/>
      <c r="S264" s="25"/>
      <c r="T264" s="25"/>
      <c r="U264" s="25"/>
      <c r="V264" s="25"/>
      <c r="W264" s="25"/>
      <c r="X264" s="25">
        <v>18</v>
      </c>
      <c r="Y264" s="25"/>
      <c r="Z264" s="25"/>
      <c r="AA264" s="25"/>
      <c r="AB264" s="25"/>
      <c r="AC264" s="25"/>
      <c r="AD264" s="25"/>
      <c r="AE264" s="34">
        <v>20.2</v>
      </c>
      <c r="AF264" s="35"/>
      <c r="AG264" s="34"/>
      <c r="AH264" s="34"/>
      <c r="AI264" s="34"/>
      <c r="AJ264" s="34"/>
      <c r="AK264" s="248">
        <v>22</v>
      </c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7"/>
      <c r="BF264" s="37"/>
      <c r="BG264" s="34"/>
      <c r="BH264" s="37"/>
      <c r="BI264" s="37"/>
      <c r="BJ264" s="37"/>
      <c r="BK264" s="37"/>
      <c r="BL264" s="38"/>
      <c r="BM264" s="37"/>
      <c r="BN264" s="37"/>
      <c r="BO264" s="37"/>
      <c r="BP264" s="37"/>
      <c r="BQ264" s="37"/>
      <c r="BR264" s="34"/>
      <c r="BS264" s="37"/>
      <c r="BT264" s="37"/>
      <c r="BU264" s="34"/>
      <c r="BV264" s="37"/>
      <c r="BW264" s="34"/>
      <c r="BX264" s="37"/>
      <c r="BY264" s="34"/>
      <c r="BZ264" s="36"/>
      <c r="CA264" s="37"/>
      <c r="CB264" s="37"/>
      <c r="CC264" s="34"/>
      <c r="CD264" s="37"/>
      <c r="CE264" s="37"/>
      <c r="CF264" s="37"/>
      <c r="CG264" s="37"/>
      <c r="CH264" s="37"/>
      <c r="CI264" s="37"/>
      <c r="CJ264" s="37"/>
      <c r="CK264" s="37"/>
      <c r="CL264" s="34"/>
      <c r="CM264" s="37"/>
      <c r="CN264" s="37"/>
      <c r="CO264" s="37"/>
      <c r="CP264" s="34"/>
      <c r="CQ264" s="37"/>
      <c r="CR264" s="37"/>
      <c r="CS264" s="37"/>
      <c r="CT264" s="34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  <c r="DI264" s="37"/>
      <c r="DJ264" s="37"/>
      <c r="DK264" s="37"/>
      <c r="DL264" s="37"/>
      <c r="DM264" s="37"/>
      <c r="DN264" s="37"/>
      <c r="DO264" s="37"/>
      <c r="DP264" s="37"/>
      <c r="DQ264" s="37"/>
      <c r="DR264" s="37"/>
      <c r="DS264" s="37"/>
      <c r="DT264" s="37"/>
      <c r="DU264" s="37"/>
      <c r="DV264" s="37"/>
      <c r="DW264" s="37"/>
      <c r="DX264" s="37"/>
      <c r="DY264" s="37"/>
      <c r="DZ264" s="37"/>
      <c r="EA264" s="39"/>
      <c r="EB264" s="39"/>
      <c r="EC264" s="40"/>
    </row>
    <row r="265" spans="1:133" hidden="1">
      <c r="A265" s="44" t="s">
        <v>138</v>
      </c>
      <c r="B265" s="22" t="s">
        <v>589</v>
      </c>
      <c r="C265" s="20" t="s">
        <v>590</v>
      </c>
      <c r="D265" s="21" t="s">
        <v>577</v>
      </c>
      <c r="E265" s="21"/>
      <c r="F265" s="22"/>
      <c r="G265" s="23" t="str" cm="1">
        <f t="array" ref="G265">IFERROR(LOOKUP(2,1/(K265:GC265&lt;&gt;""),K$2:DQL$2),"")</f>
        <v>20-Jul</v>
      </c>
      <c r="H265" s="24" cm="1">
        <f t="array" ref="H265">IFERROR(_xlfn.XLOOKUP(TRUE,P265:ED265&lt;&gt;"",P265:ED265,,,-1)," ")</f>
        <v>15.2</v>
      </c>
      <c r="I265" s="25">
        <v>20</v>
      </c>
      <c r="J265" s="26"/>
      <c r="K265" s="26"/>
      <c r="L265" s="26"/>
      <c r="M265" s="26"/>
      <c r="N265" s="26"/>
      <c r="O265" s="26"/>
      <c r="P265" s="26"/>
      <c r="Q265" s="26"/>
      <c r="R265" s="26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>
        <v>15.2</v>
      </c>
      <c r="AD265" s="25"/>
      <c r="AE265" s="34"/>
      <c r="AF265" s="35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6"/>
      <c r="BD265" s="36"/>
      <c r="BE265" s="38"/>
      <c r="BF265" s="37"/>
      <c r="BG265" s="34"/>
      <c r="BH265" s="37"/>
      <c r="BI265" s="37"/>
      <c r="BJ265" s="37"/>
      <c r="BK265" s="34"/>
      <c r="BL265" s="37"/>
      <c r="BM265" s="37"/>
      <c r="BN265" s="37"/>
      <c r="BO265" s="37"/>
      <c r="BP265" s="37"/>
      <c r="BQ265" s="37"/>
      <c r="BR265" s="34"/>
      <c r="BS265" s="37"/>
      <c r="BT265" s="37"/>
      <c r="BU265" s="34"/>
      <c r="BV265" s="37"/>
      <c r="BW265" s="34"/>
      <c r="BX265" s="37"/>
      <c r="BY265" s="34"/>
      <c r="BZ265" s="34"/>
      <c r="CA265" s="37"/>
      <c r="CB265" s="37"/>
      <c r="CC265" s="34"/>
      <c r="CD265" s="37"/>
      <c r="CE265" s="37"/>
      <c r="CF265" s="37"/>
      <c r="CG265" s="37"/>
      <c r="CH265" s="37"/>
      <c r="CI265" s="37"/>
      <c r="CJ265" s="37"/>
      <c r="CK265" s="37"/>
      <c r="CL265" s="34"/>
      <c r="CM265" s="43"/>
      <c r="CN265" s="37"/>
      <c r="CO265" s="37"/>
      <c r="CP265" s="34"/>
      <c r="CQ265" s="37"/>
      <c r="CR265" s="37"/>
      <c r="CS265" s="37"/>
      <c r="CT265" s="34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  <c r="DI265" s="37"/>
      <c r="DJ265" s="37"/>
      <c r="DK265" s="37"/>
      <c r="DL265" s="37"/>
      <c r="DM265" s="37"/>
      <c r="DN265" s="37"/>
      <c r="DO265" s="37"/>
      <c r="DP265" s="37"/>
      <c r="DQ265" s="37"/>
      <c r="DR265" s="37"/>
      <c r="DS265" s="37"/>
      <c r="DT265" s="37"/>
      <c r="DU265" s="37"/>
      <c r="DV265" s="37"/>
      <c r="DW265" s="37"/>
      <c r="DX265" s="37"/>
      <c r="DY265" s="37"/>
      <c r="DZ265" s="37"/>
      <c r="EA265" s="39"/>
      <c r="EB265" s="39"/>
      <c r="EC265" s="40"/>
    </row>
    <row r="266" spans="1:133" hidden="1">
      <c r="A266" s="44" t="s">
        <v>138</v>
      </c>
      <c r="B266" s="22" t="s">
        <v>591</v>
      </c>
      <c r="C266" s="20" t="s">
        <v>592</v>
      </c>
      <c r="D266" s="21" t="s">
        <v>577</v>
      </c>
      <c r="E266" s="21"/>
      <c r="F266" s="22" t="s">
        <v>340</v>
      </c>
      <c r="G266" s="23" t="str" cm="1">
        <f t="array" ref="G266">IFERROR(LOOKUP(2,1/(K266:GC266&lt;&gt;""),K$2:DQL$2),"")</f>
        <v>7-Aug</v>
      </c>
      <c r="H266" s="24" cm="1">
        <f t="array" ref="H266">IFERROR(_xlfn.XLOOKUP(TRUE,P266:ED266&lt;&gt;"",P266:ED266,,,-1)," ")</f>
        <v>21</v>
      </c>
      <c r="I266" s="25">
        <v>20</v>
      </c>
      <c r="J266" s="26"/>
      <c r="K266" s="26"/>
      <c r="L266" s="26"/>
      <c r="M266" s="26"/>
      <c r="N266" s="26"/>
      <c r="O266" s="26"/>
      <c r="P266" s="26"/>
      <c r="Q266" s="26"/>
      <c r="R266" s="26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34"/>
      <c r="AF266" s="35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6">
        <v>21</v>
      </c>
      <c r="AV266" s="34"/>
      <c r="AW266" s="34"/>
      <c r="AX266" s="34"/>
      <c r="AY266" s="34"/>
      <c r="AZ266" s="34"/>
      <c r="BA266" s="34"/>
      <c r="BB266" s="34"/>
      <c r="BC266" s="34"/>
      <c r="BD266" s="34"/>
      <c r="BE266" s="37"/>
      <c r="BF266" s="37"/>
      <c r="BG266" s="34"/>
      <c r="BH266" s="37"/>
      <c r="BI266" s="37"/>
      <c r="BJ266" s="37"/>
      <c r="BK266" s="34"/>
      <c r="BL266" s="37"/>
      <c r="BM266" s="37"/>
      <c r="BN266" s="37"/>
      <c r="BO266" s="37"/>
      <c r="BP266" s="37"/>
      <c r="BQ266" s="37"/>
      <c r="BR266" s="34"/>
      <c r="BS266" s="37"/>
      <c r="BT266" s="37"/>
      <c r="BU266" s="34"/>
      <c r="BV266" s="37"/>
      <c r="BW266" s="34"/>
      <c r="BX266" s="37"/>
      <c r="BY266" s="34"/>
      <c r="BZ266" s="34"/>
      <c r="CA266" s="37"/>
      <c r="CB266" s="37"/>
      <c r="CC266" s="34"/>
      <c r="CD266" s="37"/>
      <c r="CE266" s="37"/>
      <c r="CF266" s="37"/>
      <c r="CG266" s="37"/>
      <c r="CH266" s="37"/>
      <c r="CI266" s="37"/>
      <c r="CJ266" s="37"/>
      <c r="CK266" s="37"/>
      <c r="CL266" s="34"/>
      <c r="CM266" s="37"/>
      <c r="CN266" s="37"/>
      <c r="CO266" s="37"/>
      <c r="CP266" s="34"/>
      <c r="CQ266" s="37"/>
      <c r="CR266" s="37"/>
      <c r="CS266" s="37"/>
      <c r="CT266" s="34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  <c r="DI266" s="37"/>
      <c r="DJ266" s="37"/>
      <c r="DK266" s="37"/>
      <c r="DL266" s="37"/>
      <c r="DM266" s="37"/>
      <c r="DN266" s="37"/>
      <c r="DO266" s="37"/>
      <c r="DP266" s="37"/>
      <c r="DQ266" s="37"/>
      <c r="DR266" s="37"/>
      <c r="DS266" s="37"/>
      <c r="DT266" s="37"/>
      <c r="DU266" s="37"/>
      <c r="DV266" s="37"/>
      <c r="DW266" s="37"/>
      <c r="DX266" s="37"/>
      <c r="DY266" s="37"/>
      <c r="DZ266" s="37"/>
      <c r="EA266" s="39"/>
      <c r="EB266" s="39"/>
      <c r="EC266" s="40"/>
    </row>
    <row r="267" spans="1:133" hidden="1">
      <c r="A267" s="44" t="s">
        <v>138</v>
      </c>
      <c r="B267" s="22" t="s">
        <v>593</v>
      </c>
      <c r="C267" s="20" t="s">
        <v>594</v>
      </c>
      <c r="D267" s="21" t="s">
        <v>577</v>
      </c>
      <c r="E267" s="21"/>
      <c r="F267" s="22" t="s">
        <v>137</v>
      </c>
      <c r="G267" s="23" t="str" cm="1">
        <f t="array" ref="G267">IFERROR(LOOKUP(2,1/(K267:GC267&lt;&gt;""),K$2:DQL$2),"")</f>
        <v>30-Jul</v>
      </c>
      <c r="H267" s="24" cm="1">
        <f t="array" ref="H267">IFERROR(_xlfn.XLOOKUP(TRUE,P267:ED267&lt;&gt;"",P267:ED267,,,-1)," ")</f>
        <v>21.2</v>
      </c>
      <c r="I267" s="25">
        <v>20</v>
      </c>
      <c r="J267" s="26">
        <v>21</v>
      </c>
      <c r="K267" s="26"/>
      <c r="L267" s="26"/>
      <c r="M267" s="26"/>
      <c r="N267" s="26"/>
      <c r="O267" s="26"/>
      <c r="P267" s="26"/>
      <c r="Q267" s="26"/>
      <c r="R267" s="26"/>
      <c r="S267" s="25"/>
      <c r="T267" s="25"/>
      <c r="U267" s="25"/>
      <c r="V267" s="25"/>
      <c r="W267" s="25"/>
      <c r="X267" s="25"/>
      <c r="Y267" s="25">
        <v>18</v>
      </c>
      <c r="Z267" s="25"/>
      <c r="AA267" s="25"/>
      <c r="AB267" s="25"/>
      <c r="AC267" s="25"/>
      <c r="AD267" s="25"/>
      <c r="AE267" s="34"/>
      <c r="AF267" s="35">
        <v>19.2</v>
      </c>
      <c r="AG267" s="34"/>
      <c r="AH267" s="34"/>
      <c r="AI267" s="34"/>
      <c r="AJ267" s="36">
        <v>20.399999999999999</v>
      </c>
      <c r="AK267" s="34"/>
      <c r="AL267" s="34"/>
      <c r="AM267" s="36">
        <v>21.2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6"/>
      <c r="BE267" s="38"/>
      <c r="BF267" s="37"/>
      <c r="BG267" s="34"/>
      <c r="BH267" s="37"/>
      <c r="BI267" s="38"/>
      <c r="BJ267" s="37"/>
      <c r="BK267" s="34"/>
      <c r="BL267" s="37"/>
      <c r="BM267" s="37"/>
      <c r="BN267" s="37"/>
      <c r="BO267" s="37"/>
      <c r="BP267" s="37"/>
      <c r="BQ267" s="37"/>
      <c r="BR267" s="34"/>
      <c r="BS267" s="37"/>
      <c r="BT267" s="37"/>
      <c r="BU267" s="34"/>
      <c r="BV267" s="37"/>
      <c r="BW267" s="36"/>
      <c r="BX267" s="37"/>
      <c r="BY267" s="34"/>
      <c r="BZ267" s="34"/>
      <c r="CA267" s="37"/>
      <c r="CB267" s="37"/>
      <c r="CC267" s="34"/>
      <c r="CD267" s="37"/>
      <c r="CE267" s="37"/>
      <c r="CF267" s="37"/>
      <c r="CG267" s="37"/>
      <c r="CH267" s="37"/>
      <c r="CI267" s="37"/>
      <c r="CJ267" s="37"/>
      <c r="CK267" s="37"/>
      <c r="CL267" s="34"/>
      <c r="CM267" s="43"/>
      <c r="CN267" s="37"/>
      <c r="CO267" s="37"/>
      <c r="CP267" s="34"/>
      <c r="CQ267" s="37"/>
      <c r="CR267" s="37"/>
      <c r="CS267" s="37"/>
      <c r="CT267" s="34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  <c r="DI267" s="37"/>
      <c r="DJ267" s="37"/>
      <c r="DK267" s="37"/>
      <c r="DL267" s="37"/>
      <c r="DM267" s="37"/>
      <c r="DN267" s="37"/>
      <c r="DO267" s="37"/>
      <c r="DP267" s="37"/>
      <c r="DQ267" s="37"/>
      <c r="DR267" s="37"/>
      <c r="DS267" s="37"/>
      <c r="DT267" s="37"/>
      <c r="DU267" s="37"/>
      <c r="DV267" s="37"/>
      <c r="DW267" s="37"/>
      <c r="DX267" s="37"/>
      <c r="DY267" s="37"/>
      <c r="DZ267" s="37"/>
      <c r="EA267" s="39"/>
      <c r="EB267" s="39"/>
      <c r="EC267" s="40"/>
    </row>
    <row r="268" spans="1:133" hidden="1">
      <c r="A268" s="44"/>
      <c r="B268" s="22" t="s">
        <v>595</v>
      </c>
      <c r="C268" s="20" t="s">
        <v>596</v>
      </c>
      <c r="D268" s="21" t="s">
        <v>597</v>
      </c>
      <c r="E268" s="21"/>
      <c r="F268" s="22" t="s">
        <v>179</v>
      </c>
      <c r="G268" s="23" t="str" cm="1">
        <f t="array" ref="G268">IFERROR(LOOKUP(2,1/(K268:GC268&lt;&gt;""),K$2:DQL$2),"")</f>
        <v/>
      </c>
      <c r="H268" s="24" t="str" cm="1">
        <f t="array" ref="H268">IFERROR(_xlfn.XLOOKUP(TRUE,P268:ED268&lt;&gt;"",P268:ED268,,,-1)," ")</f>
        <v xml:space="preserve"> </v>
      </c>
      <c r="I268" s="25">
        <v>25</v>
      </c>
      <c r="J268" s="26"/>
      <c r="K268" s="26"/>
      <c r="L268" s="26"/>
      <c r="M268" s="26"/>
      <c r="N268" s="26"/>
      <c r="O268" s="26"/>
      <c r="P268" s="26"/>
      <c r="Q268" s="26"/>
      <c r="R268" s="26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34"/>
      <c r="AF268" s="35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7"/>
      <c r="BF268" s="37"/>
      <c r="BG268" s="34"/>
      <c r="BH268" s="37"/>
      <c r="BI268" s="37"/>
      <c r="BJ268" s="34"/>
      <c r="BK268" s="37"/>
      <c r="BL268" s="37"/>
      <c r="BM268" s="37"/>
      <c r="BN268" s="49"/>
      <c r="BO268" s="34"/>
      <c r="BP268" s="37"/>
      <c r="BQ268" s="34"/>
      <c r="BR268" s="34"/>
      <c r="BS268" s="37"/>
      <c r="BT268" s="37"/>
      <c r="BU268" s="34"/>
      <c r="BV268" s="34"/>
      <c r="BW268" s="34"/>
      <c r="BX268" s="37"/>
      <c r="BY268" s="34"/>
      <c r="BZ268" s="34"/>
      <c r="CA268" s="37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43"/>
      <c r="CN268" s="37"/>
      <c r="CO268" s="37"/>
      <c r="CP268" s="34"/>
      <c r="CQ268" s="37"/>
      <c r="CR268" s="37"/>
      <c r="CS268" s="37"/>
      <c r="CT268" s="34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  <c r="DI268" s="37"/>
      <c r="DJ268" s="37"/>
      <c r="DK268" s="37"/>
      <c r="DL268" s="37"/>
      <c r="DM268" s="37"/>
      <c r="DN268" s="37"/>
      <c r="DO268" s="37"/>
      <c r="DP268" s="37"/>
      <c r="DQ268" s="37"/>
      <c r="DR268" s="37"/>
      <c r="DS268" s="37"/>
      <c r="DT268" s="37"/>
      <c r="DU268" s="37"/>
      <c r="DV268" s="37"/>
      <c r="DW268" s="37"/>
      <c r="DX268" s="37"/>
      <c r="DY268" s="37"/>
      <c r="DZ268" s="37"/>
      <c r="EA268" s="39"/>
      <c r="EB268" s="39"/>
      <c r="EC268" s="40"/>
    </row>
    <row r="269" spans="1:133" hidden="1">
      <c r="A269" s="44"/>
      <c r="B269" s="22" t="s">
        <v>595</v>
      </c>
      <c r="C269" s="20" t="s">
        <v>598</v>
      </c>
      <c r="D269" s="21" t="s">
        <v>597</v>
      </c>
      <c r="E269" s="21"/>
      <c r="F269" s="22" t="s">
        <v>179</v>
      </c>
      <c r="G269" s="23" t="str" cm="1">
        <f t="array" ref="G269">IFERROR(LOOKUP(2,1/(K269:GC269&lt;&gt;""),K$2:DQL$2),"")</f>
        <v>14-Aug</v>
      </c>
      <c r="H269" s="24" cm="1">
        <f t="array" ref="H269">IFERROR(_xlfn.XLOOKUP(TRUE,P269:ED269&lt;&gt;"",P269:ED269,,,-1)," ")</f>
        <v>24.3</v>
      </c>
      <c r="I269" s="25">
        <v>25</v>
      </c>
      <c r="J269" s="26"/>
      <c r="K269" s="26"/>
      <c r="L269" s="26"/>
      <c r="M269" s="26"/>
      <c r="N269" s="26"/>
      <c r="O269" s="26"/>
      <c r="P269" s="26"/>
      <c r="Q269" s="26"/>
      <c r="R269" s="26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34"/>
      <c r="AF269" s="35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>
        <v>24.3</v>
      </c>
      <c r="BC269" s="34"/>
      <c r="BD269" s="34"/>
      <c r="BE269" s="37"/>
      <c r="BF269" s="37"/>
      <c r="BG269" s="34"/>
      <c r="BH269" s="37"/>
      <c r="BI269" s="37"/>
      <c r="BJ269" s="34"/>
      <c r="BK269" s="37"/>
      <c r="BL269" s="37"/>
      <c r="BM269" s="37"/>
      <c r="BN269" s="34"/>
      <c r="BO269" s="34"/>
      <c r="BP269" s="37"/>
      <c r="BQ269" s="34"/>
      <c r="BR269" s="34"/>
      <c r="BS269" s="37"/>
      <c r="BT269" s="37"/>
      <c r="BU269" s="34"/>
      <c r="BV269" s="34"/>
      <c r="BW269" s="34"/>
      <c r="BX269" s="37"/>
      <c r="BY269" s="34"/>
      <c r="BZ269" s="34"/>
      <c r="CA269" s="37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43"/>
      <c r="CN269" s="37"/>
      <c r="CO269" s="37"/>
      <c r="CP269" s="34"/>
      <c r="CQ269" s="37"/>
      <c r="CR269" s="37"/>
      <c r="CS269" s="37"/>
      <c r="CT269" s="34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  <c r="DI269" s="37"/>
      <c r="DJ269" s="37"/>
      <c r="DK269" s="37"/>
      <c r="DL269" s="37"/>
      <c r="DM269" s="37"/>
      <c r="DN269" s="37"/>
      <c r="DO269" s="37"/>
      <c r="DP269" s="37"/>
      <c r="DQ269" s="37"/>
      <c r="DR269" s="37"/>
      <c r="DS269" s="37"/>
      <c r="DT269" s="37"/>
      <c r="DU269" s="37"/>
      <c r="DV269" s="37"/>
      <c r="DW269" s="37"/>
      <c r="DX269" s="37"/>
      <c r="DY269" s="37"/>
      <c r="DZ269" s="37"/>
      <c r="EA269" s="39"/>
      <c r="EB269" s="39"/>
      <c r="EC269" s="40"/>
    </row>
    <row r="270" spans="1:133" hidden="1">
      <c r="A270" s="44"/>
      <c r="B270" s="22" t="s">
        <v>595</v>
      </c>
      <c r="C270" s="20" t="s">
        <v>599</v>
      </c>
      <c r="D270" s="21" t="s">
        <v>597</v>
      </c>
      <c r="E270" s="21"/>
      <c r="F270" s="22" t="s">
        <v>179</v>
      </c>
      <c r="G270" s="23" t="str" cm="1">
        <f t="array" ref="G270">IFERROR(LOOKUP(2,1/(K270:GC270&lt;&gt;""),K$2:DQL$2),"")</f>
        <v/>
      </c>
      <c r="H270" s="24" t="str" cm="1">
        <f t="array" ref="H270">IFERROR(_xlfn.XLOOKUP(TRUE,P270:ED270&lt;&gt;"",P270:ED270,,,-1)," ")</f>
        <v xml:space="preserve"> </v>
      </c>
      <c r="I270" s="25">
        <v>25</v>
      </c>
      <c r="J270" s="26"/>
      <c r="K270" s="26"/>
      <c r="L270" s="26"/>
      <c r="M270" s="26"/>
      <c r="N270" s="26"/>
      <c r="O270" s="26"/>
      <c r="P270" s="26"/>
      <c r="Q270" s="26"/>
      <c r="R270" s="26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34"/>
      <c r="AF270" s="35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7"/>
      <c r="BF270" s="37"/>
      <c r="BG270" s="34"/>
      <c r="BH270" s="37"/>
      <c r="BI270" s="37"/>
      <c r="BJ270" s="34"/>
      <c r="BK270" s="37"/>
      <c r="BL270" s="37"/>
      <c r="BM270" s="37"/>
      <c r="BN270" s="34"/>
      <c r="BO270" s="34"/>
      <c r="BP270" s="37"/>
      <c r="BQ270" s="34"/>
      <c r="BR270" s="34"/>
      <c r="BS270" s="37"/>
      <c r="BT270" s="37"/>
      <c r="BU270" s="34"/>
      <c r="BV270" s="34"/>
      <c r="BW270" s="34"/>
      <c r="BX270" s="37"/>
      <c r="BY270" s="34"/>
      <c r="BZ270" s="34"/>
      <c r="CA270" s="37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43"/>
      <c r="CN270" s="37"/>
      <c r="CO270" s="37"/>
      <c r="CP270" s="34"/>
      <c r="CQ270" s="37"/>
      <c r="CR270" s="37"/>
      <c r="CS270" s="37"/>
      <c r="CT270" s="34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  <c r="DI270" s="37"/>
      <c r="DJ270" s="37"/>
      <c r="DK270" s="37"/>
      <c r="DL270" s="37"/>
      <c r="DM270" s="37"/>
      <c r="DN270" s="37"/>
      <c r="DO270" s="37"/>
      <c r="DP270" s="37"/>
      <c r="DQ270" s="37"/>
      <c r="DR270" s="37"/>
      <c r="DS270" s="37"/>
      <c r="DT270" s="37"/>
      <c r="DU270" s="37"/>
      <c r="DV270" s="37"/>
      <c r="DW270" s="37"/>
      <c r="DX270" s="37"/>
      <c r="DY270" s="37"/>
      <c r="DZ270" s="37"/>
      <c r="EA270" s="39"/>
      <c r="EB270" s="39"/>
      <c r="EC270" s="40"/>
    </row>
    <row r="271" spans="1:133" hidden="1">
      <c r="A271" s="44"/>
      <c r="B271" s="22" t="s">
        <v>595</v>
      </c>
      <c r="C271" s="20" t="s">
        <v>600</v>
      </c>
      <c r="D271" s="21" t="s">
        <v>597</v>
      </c>
      <c r="E271" s="21"/>
      <c r="F271" s="22" t="s">
        <v>179</v>
      </c>
      <c r="G271" s="23" t="str" cm="1">
        <f t="array" ref="G271">IFERROR(LOOKUP(2,1/(K271:GC271&lt;&gt;""),K$2:DQL$2),"")</f>
        <v/>
      </c>
      <c r="H271" s="24" t="str" cm="1">
        <f t="array" ref="H271">IFERROR(_xlfn.XLOOKUP(TRUE,P271:ED271&lt;&gt;"",P271:ED271,,,-1)," ")</f>
        <v xml:space="preserve"> </v>
      </c>
      <c r="I271" s="25">
        <v>25</v>
      </c>
      <c r="J271" s="26"/>
      <c r="K271" s="26"/>
      <c r="L271" s="26"/>
      <c r="M271" s="26"/>
      <c r="N271" s="26"/>
      <c r="O271" s="26"/>
      <c r="P271" s="26"/>
      <c r="Q271" s="26"/>
      <c r="R271" s="26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34"/>
      <c r="AF271" s="35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7"/>
      <c r="BF271" s="37"/>
      <c r="BG271" s="34"/>
      <c r="BH271" s="37"/>
      <c r="BI271" s="37"/>
      <c r="BJ271" s="34"/>
      <c r="BK271" s="37"/>
      <c r="BL271" s="37"/>
      <c r="BM271" s="37"/>
      <c r="BN271" s="34"/>
      <c r="BO271" s="34"/>
      <c r="BP271" s="37"/>
      <c r="BQ271" s="34"/>
      <c r="BR271" s="34"/>
      <c r="BS271" s="37"/>
      <c r="BT271" s="37"/>
      <c r="BU271" s="34"/>
      <c r="BV271" s="34"/>
      <c r="BW271" s="34"/>
      <c r="BX271" s="37"/>
      <c r="BY271" s="34"/>
      <c r="BZ271" s="34"/>
      <c r="CA271" s="37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43"/>
      <c r="CN271" s="37"/>
      <c r="CO271" s="37"/>
      <c r="CP271" s="34"/>
      <c r="CQ271" s="37"/>
      <c r="CR271" s="37"/>
      <c r="CS271" s="37"/>
      <c r="CT271" s="34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  <c r="DI271" s="37"/>
      <c r="DJ271" s="37"/>
      <c r="DK271" s="37"/>
      <c r="DL271" s="37"/>
      <c r="DM271" s="37"/>
      <c r="DN271" s="37"/>
      <c r="DO271" s="37"/>
      <c r="DP271" s="37"/>
      <c r="DQ271" s="37"/>
      <c r="DR271" s="37"/>
      <c r="DS271" s="37"/>
      <c r="DT271" s="37"/>
      <c r="DU271" s="37"/>
      <c r="DV271" s="37"/>
      <c r="DW271" s="37"/>
      <c r="DX271" s="37"/>
      <c r="DY271" s="37"/>
      <c r="DZ271" s="37"/>
      <c r="EA271" s="39"/>
      <c r="EB271" s="39"/>
      <c r="EC271" s="40"/>
    </row>
    <row r="272" spans="1:133" hidden="1">
      <c r="A272" s="44"/>
      <c r="B272" s="22" t="s">
        <v>595</v>
      </c>
      <c r="C272" s="20" t="s">
        <v>601</v>
      </c>
      <c r="D272" s="21" t="s">
        <v>597</v>
      </c>
      <c r="E272" s="21"/>
      <c r="F272" s="22" t="s">
        <v>179</v>
      </c>
      <c r="G272" s="23" t="str" cm="1">
        <f t="array" ref="G272">IFERROR(LOOKUP(2,1/(K272:GC272&lt;&gt;""),K$2:DQL$2),"")</f>
        <v>14-Aug</v>
      </c>
      <c r="H272" s="24" cm="1">
        <f t="array" ref="H272">IFERROR(_xlfn.XLOOKUP(TRUE,P272:ED272&lt;&gt;"",P272:ED272,,,-1)," ")</f>
        <v>25.4</v>
      </c>
      <c r="I272" s="25">
        <v>25</v>
      </c>
      <c r="J272" s="26"/>
      <c r="K272" s="26"/>
      <c r="L272" s="26"/>
      <c r="M272" s="26"/>
      <c r="N272" s="26"/>
      <c r="O272" s="26"/>
      <c r="P272" s="26"/>
      <c r="Q272" s="26"/>
      <c r="R272" s="26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34"/>
      <c r="AF272" s="35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>
        <v>25.4</v>
      </c>
      <c r="BC272" s="34"/>
      <c r="BD272" s="34"/>
      <c r="BE272" s="37"/>
      <c r="BF272" s="37"/>
      <c r="BG272" s="34"/>
      <c r="BH272" s="37"/>
      <c r="BI272" s="37"/>
      <c r="BJ272" s="34"/>
      <c r="BK272" s="37"/>
      <c r="BL272" s="37"/>
      <c r="BM272" s="37"/>
      <c r="BN272" s="34"/>
      <c r="BO272" s="34"/>
      <c r="BP272" s="37"/>
      <c r="BQ272" s="34"/>
      <c r="BR272" s="34"/>
      <c r="BS272" s="37"/>
      <c r="BT272" s="37"/>
      <c r="BU272" s="34"/>
      <c r="BV272" s="34"/>
      <c r="BW272" s="34"/>
      <c r="BX272" s="37"/>
      <c r="BY272" s="34"/>
      <c r="BZ272" s="34"/>
      <c r="CA272" s="37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43"/>
      <c r="CN272" s="37"/>
      <c r="CO272" s="37"/>
      <c r="CP272" s="34"/>
      <c r="CQ272" s="37"/>
      <c r="CR272" s="37"/>
      <c r="CS272" s="37"/>
      <c r="CT272" s="34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  <c r="DI272" s="37"/>
      <c r="DJ272" s="37"/>
      <c r="DK272" s="37"/>
      <c r="DL272" s="37"/>
      <c r="DM272" s="37"/>
      <c r="DN272" s="37"/>
      <c r="DO272" s="37"/>
      <c r="DP272" s="37"/>
      <c r="DQ272" s="37"/>
      <c r="DR272" s="37"/>
      <c r="DS272" s="37"/>
      <c r="DT272" s="37"/>
      <c r="DU272" s="37"/>
      <c r="DV272" s="37"/>
      <c r="DW272" s="37"/>
      <c r="DX272" s="37"/>
      <c r="DY272" s="37"/>
      <c r="DZ272" s="37"/>
      <c r="EA272" s="39"/>
      <c r="EB272" s="39"/>
      <c r="EC272" s="40"/>
    </row>
    <row r="273" spans="1:133" hidden="1">
      <c r="A273" s="44"/>
      <c r="B273" s="22" t="s">
        <v>602</v>
      </c>
      <c r="C273" s="20" t="s">
        <v>603</v>
      </c>
      <c r="D273" s="21" t="s">
        <v>597</v>
      </c>
      <c r="E273" s="21"/>
      <c r="F273" s="22" t="s">
        <v>604</v>
      </c>
      <c r="G273" s="23" t="str" cm="1">
        <f t="array" ref="G273">IFERROR(LOOKUP(2,1/(K273:GC273&lt;&gt;""),K$2:DQL$2),"")</f>
        <v>19-Aug</v>
      </c>
      <c r="H273" s="24" cm="1">
        <f t="array" ref="H273">IFERROR(_xlfn.XLOOKUP(TRUE,P273:ED273&lt;&gt;"",P273:ED273,,,-1)," ")</f>
        <v>23.6</v>
      </c>
      <c r="I273" s="25">
        <v>24</v>
      </c>
      <c r="J273" s="26"/>
      <c r="K273" s="26"/>
      <c r="L273" s="26"/>
      <c r="M273" s="26"/>
      <c r="N273" s="26"/>
      <c r="O273" s="26"/>
      <c r="P273" s="26"/>
      <c r="Q273" s="26"/>
      <c r="R273" s="26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34"/>
      <c r="AF273" s="35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7"/>
      <c r="BF273" s="37">
        <v>22.4</v>
      </c>
      <c r="BG273" s="34">
        <v>23.6</v>
      </c>
      <c r="BH273" s="84"/>
      <c r="BI273" s="37"/>
      <c r="BJ273" s="34"/>
      <c r="BK273" s="37"/>
      <c r="BL273" s="37"/>
      <c r="BM273" s="37"/>
      <c r="BN273" s="34"/>
      <c r="BO273" s="85"/>
      <c r="BP273" s="37"/>
      <c r="BQ273" s="34"/>
      <c r="BR273" s="34"/>
      <c r="BS273" s="37"/>
      <c r="BT273" s="37"/>
      <c r="BU273" s="34"/>
      <c r="BV273" s="34"/>
      <c r="BW273" s="34"/>
      <c r="BX273" s="37"/>
      <c r="BY273" s="34"/>
      <c r="BZ273" s="34"/>
      <c r="CA273" s="37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7"/>
      <c r="CN273" s="37"/>
      <c r="CO273" s="37"/>
      <c r="CP273" s="34"/>
      <c r="CQ273" s="37"/>
      <c r="CR273" s="37"/>
      <c r="CS273" s="37"/>
      <c r="CT273" s="34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  <c r="DI273" s="37"/>
      <c r="DJ273" s="37"/>
      <c r="DK273" s="37"/>
      <c r="DL273" s="37"/>
      <c r="DM273" s="37"/>
      <c r="DN273" s="37"/>
      <c r="DO273" s="37"/>
      <c r="DP273" s="37"/>
      <c r="DQ273" s="37"/>
      <c r="DR273" s="37"/>
      <c r="DS273" s="37"/>
      <c r="DT273" s="37"/>
      <c r="DU273" s="37"/>
      <c r="DV273" s="37"/>
      <c r="DW273" s="37"/>
      <c r="DX273" s="37"/>
      <c r="DY273" s="37"/>
      <c r="DZ273" s="37"/>
      <c r="EA273" s="39"/>
      <c r="EB273" s="39"/>
      <c r="EC273" s="40"/>
    </row>
    <row r="274" spans="1:133" hidden="1">
      <c r="A274" s="44"/>
      <c r="B274" s="22" t="s">
        <v>605</v>
      </c>
      <c r="C274" s="20" t="s">
        <v>606</v>
      </c>
      <c r="D274" s="21" t="s">
        <v>607</v>
      </c>
      <c r="E274" s="21"/>
      <c r="F274" s="22" t="s">
        <v>465</v>
      </c>
      <c r="G274" s="23" t="str" cm="1">
        <f t="array" ref="G274">IFERROR(LOOKUP(2,1/(K274:GC274&lt;&gt;""),K$2:DQL$2),"")</f>
        <v>12-Aug</v>
      </c>
      <c r="H274" s="24" cm="1">
        <f t="array" ref="H274">IFERROR(_xlfn.XLOOKUP(TRUE,P274:ED274&lt;&gt;"",P274:ED274,,,-1)," ")</f>
        <v>21.1</v>
      </c>
      <c r="I274" s="25">
        <v>24.5</v>
      </c>
      <c r="J274" s="26"/>
      <c r="K274" s="26"/>
      <c r="L274" s="26"/>
      <c r="M274" s="26"/>
      <c r="N274" s="26"/>
      <c r="O274" s="26"/>
      <c r="P274" s="26"/>
      <c r="Q274" s="26"/>
      <c r="R274" s="26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34"/>
      <c r="AF274" s="35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>
        <v>21.1</v>
      </c>
      <c r="BA274" s="34"/>
      <c r="BB274" s="34"/>
      <c r="BC274" s="34"/>
      <c r="BD274" s="34"/>
      <c r="BE274" s="37"/>
      <c r="BF274" s="37"/>
      <c r="BG274" s="34"/>
      <c r="BH274" s="37"/>
      <c r="BI274" s="37"/>
      <c r="BJ274" s="37"/>
      <c r="BK274" s="34"/>
      <c r="BL274" s="37"/>
      <c r="BM274" s="37"/>
      <c r="BN274" s="37"/>
      <c r="BO274" s="34"/>
      <c r="BP274" s="37"/>
      <c r="BQ274" s="34"/>
      <c r="BR274" s="34"/>
      <c r="BS274" s="37"/>
      <c r="BT274" s="37"/>
      <c r="BU274" s="34"/>
      <c r="BV274" s="34"/>
      <c r="BW274" s="34"/>
      <c r="BX274" s="37"/>
      <c r="BY274" s="34"/>
      <c r="BZ274" s="34"/>
      <c r="CA274" s="37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43"/>
      <c r="CN274" s="37"/>
      <c r="CO274" s="37"/>
      <c r="CP274" s="34"/>
      <c r="CQ274" s="34"/>
      <c r="CR274" s="37"/>
      <c r="CS274" s="34"/>
      <c r="CT274" s="34"/>
      <c r="CU274" s="37"/>
      <c r="CV274" s="37"/>
      <c r="CW274" s="34"/>
      <c r="CX274" s="34"/>
      <c r="CY274" s="34"/>
      <c r="CZ274" s="34"/>
      <c r="DA274" s="34"/>
      <c r="DB274" s="37"/>
      <c r="DC274" s="37"/>
      <c r="DD274" s="34"/>
      <c r="DE274" s="34"/>
      <c r="DF274" s="37"/>
      <c r="DG274" s="37"/>
      <c r="DH274" s="37"/>
      <c r="DI274" s="37"/>
      <c r="DJ274" s="37"/>
      <c r="DK274" s="37"/>
      <c r="DL274" s="37"/>
      <c r="DM274" s="37"/>
      <c r="DN274" s="37"/>
      <c r="DO274" s="37"/>
      <c r="DP274" s="37"/>
      <c r="DQ274" s="37"/>
      <c r="DR274" s="37"/>
      <c r="DS274" s="37"/>
      <c r="DT274" s="37"/>
      <c r="DU274" s="37"/>
      <c r="DV274" s="37"/>
      <c r="DW274" s="37"/>
      <c r="DX274" s="37"/>
      <c r="DY274" s="37"/>
      <c r="DZ274" s="37"/>
      <c r="EA274" s="39"/>
      <c r="EB274" s="39"/>
      <c r="EC274" s="40"/>
    </row>
    <row r="275" spans="1:133" hidden="1">
      <c r="A275" s="44"/>
      <c r="B275" s="22" t="s">
        <v>608</v>
      </c>
      <c r="C275" s="20" t="s">
        <v>609</v>
      </c>
      <c r="D275" s="21" t="s">
        <v>607</v>
      </c>
      <c r="E275" s="21"/>
      <c r="F275" s="22" t="s">
        <v>465</v>
      </c>
      <c r="G275" s="23" t="str" cm="1">
        <f t="array" ref="G275">IFERROR(LOOKUP(2,1/(K275:GC275&lt;&gt;""),K$2:DQL$2),"")</f>
        <v/>
      </c>
      <c r="H275" s="24" t="str" cm="1">
        <f t="array" ref="H275">IFERROR(_xlfn.XLOOKUP(TRUE,P275:ED275&lt;&gt;"",P275:ED275,,,-1)," ")</f>
        <v xml:space="preserve"> </v>
      </c>
      <c r="I275" s="25">
        <v>22</v>
      </c>
      <c r="J275" s="26"/>
      <c r="K275" s="26"/>
      <c r="L275" s="26"/>
      <c r="M275" s="26"/>
      <c r="N275" s="26"/>
      <c r="O275" s="26"/>
      <c r="P275" s="26"/>
      <c r="Q275" s="26"/>
      <c r="R275" s="26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34"/>
      <c r="AF275" s="35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7"/>
      <c r="BF275" s="37"/>
      <c r="BG275" s="34"/>
      <c r="BH275" s="37"/>
      <c r="BI275" s="37"/>
      <c r="BJ275" s="37"/>
      <c r="BK275" s="34"/>
      <c r="BL275" s="37"/>
      <c r="BM275" s="37"/>
      <c r="BN275" s="34"/>
      <c r="BO275" s="34"/>
      <c r="BP275" s="37"/>
      <c r="BQ275" s="34"/>
      <c r="BR275" s="34"/>
      <c r="BS275" s="37"/>
      <c r="BT275" s="37"/>
      <c r="BU275" s="34"/>
      <c r="BV275" s="34"/>
      <c r="BW275" s="34"/>
      <c r="BX275" s="37"/>
      <c r="BY275" s="34"/>
      <c r="BZ275" s="34"/>
      <c r="CA275" s="37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43"/>
      <c r="CN275" s="37"/>
      <c r="CO275" s="37"/>
      <c r="CP275" s="34"/>
      <c r="CQ275" s="34"/>
      <c r="CR275" s="37"/>
      <c r="CS275" s="34"/>
      <c r="CT275" s="34"/>
      <c r="CU275" s="37"/>
      <c r="CV275" s="37"/>
      <c r="CW275" s="34"/>
      <c r="CX275" s="34"/>
      <c r="CY275" s="34"/>
      <c r="CZ275" s="34"/>
      <c r="DA275" s="34"/>
      <c r="DB275" s="37"/>
      <c r="DC275" s="37"/>
      <c r="DD275" s="34"/>
      <c r="DE275" s="34"/>
      <c r="DF275" s="37"/>
      <c r="DG275" s="37"/>
      <c r="DH275" s="37"/>
      <c r="DI275" s="37"/>
      <c r="DJ275" s="37"/>
      <c r="DK275" s="37"/>
      <c r="DL275" s="37"/>
      <c r="DM275" s="37"/>
      <c r="DN275" s="37"/>
      <c r="DO275" s="37"/>
      <c r="DP275" s="37"/>
      <c r="DQ275" s="37"/>
      <c r="DR275" s="37"/>
      <c r="DS275" s="37"/>
      <c r="DT275" s="37"/>
      <c r="DU275" s="37"/>
      <c r="DV275" s="37"/>
      <c r="DW275" s="37"/>
      <c r="DX275" s="37"/>
      <c r="DY275" s="37"/>
      <c r="DZ275" s="37"/>
      <c r="EA275" s="39"/>
      <c r="EB275" s="39"/>
      <c r="EC275" s="40"/>
    </row>
    <row r="276" spans="1:133" hidden="1">
      <c r="A276" s="44"/>
      <c r="B276" s="22" t="s">
        <v>608</v>
      </c>
      <c r="C276" s="20" t="s">
        <v>610</v>
      </c>
      <c r="D276" s="21" t="s">
        <v>607</v>
      </c>
      <c r="E276" s="21"/>
      <c r="F276" s="22" t="s">
        <v>465</v>
      </c>
      <c r="G276" s="23" t="str" cm="1">
        <f t="array" ref="G276">IFERROR(LOOKUP(2,1/(K276:GC276&lt;&gt;""),K$2:DQL$2),"")</f>
        <v/>
      </c>
      <c r="H276" s="24" t="str" cm="1">
        <f t="array" ref="H276">IFERROR(_xlfn.XLOOKUP(TRUE,P276:ED276&lt;&gt;"",P276:ED276,,,-1)," ")</f>
        <v xml:space="preserve"> </v>
      </c>
      <c r="I276" s="25">
        <v>22</v>
      </c>
      <c r="J276" s="26"/>
      <c r="K276" s="26"/>
      <c r="L276" s="26"/>
      <c r="M276" s="26"/>
      <c r="N276" s="26"/>
      <c r="O276" s="26"/>
      <c r="P276" s="26"/>
      <c r="Q276" s="26"/>
      <c r="R276" s="26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34"/>
      <c r="AF276" s="35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7"/>
      <c r="BF276" s="37"/>
      <c r="BG276" s="34"/>
      <c r="BH276" s="37"/>
      <c r="BI276" s="37"/>
      <c r="BJ276" s="37"/>
      <c r="BK276" s="34"/>
      <c r="BL276" s="37"/>
      <c r="BM276" s="37"/>
      <c r="BN276" s="34"/>
      <c r="BO276" s="34"/>
      <c r="BP276" s="37"/>
      <c r="BQ276" s="34"/>
      <c r="BR276" s="34"/>
      <c r="BS276" s="37"/>
      <c r="BT276" s="37"/>
      <c r="BU276" s="34"/>
      <c r="BV276" s="34"/>
      <c r="BW276" s="34"/>
      <c r="BX276" s="37"/>
      <c r="BY276" s="34"/>
      <c r="BZ276" s="34"/>
      <c r="CA276" s="37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43"/>
      <c r="CN276" s="37"/>
      <c r="CO276" s="37"/>
      <c r="CP276" s="34"/>
      <c r="CQ276" s="34"/>
      <c r="CR276" s="37"/>
      <c r="CS276" s="34"/>
      <c r="CT276" s="34"/>
      <c r="CU276" s="37"/>
      <c r="CV276" s="37"/>
      <c r="CW276" s="34"/>
      <c r="CX276" s="34"/>
      <c r="CY276" s="34"/>
      <c r="CZ276" s="34"/>
      <c r="DA276" s="34"/>
      <c r="DB276" s="37"/>
      <c r="DC276" s="37"/>
      <c r="DD276" s="34"/>
      <c r="DE276" s="34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37"/>
      <c r="DQ276" s="37"/>
      <c r="DR276" s="37"/>
      <c r="DS276" s="37"/>
      <c r="DT276" s="37"/>
      <c r="DU276" s="37"/>
      <c r="DV276" s="37"/>
      <c r="DW276" s="37"/>
      <c r="DX276" s="37"/>
      <c r="DY276" s="37"/>
      <c r="DZ276" s="37"/>
      <c r="EA276" s="39"/>
      <c r="EB276" s="39"/>
      <c r="EC276" s="40"/>
    </row>
    <row r="277" spans="1:133" hidden="1">
      <c r="A277" s="44"/>
      <c r="B277" s="22" t="s">
        <v>611</v>
      </c>
      <c r="C277" s="20" t="s">
        <v>612</v>
      </c>
      <c r="D277" s="21" t="s">
        <v>613</v>
      </c>
      <c r="E277" s="21"/>
      <c r="F277" s="22" t="s">
        <v>198</v>
      </c>
      <c r="G277" s="23" t="str" cm="1">
        <f t="array" ref="G277">IFERROR(LOOKUP(2,1/(K277:GC277&lt;&gt;""),K$2:DQL$2),"")</f>
        <v>6-Aug</v>
      </c>
      <c r="H277" s="24" cm="1">
        <f t="array" ref="H277">IFERROR(_xlfn.XLOOKUP(TRUE,P277:ED277&lt;&gt;"",P277:ED277,,,-1)," ")</f>
        <v>20.2</v>
      </c>
      <c r="I277" s="25">
        <v>24.5</v>
      </c>
      <c r="J277" s="26"/>
      <c r="K277" s="26"/>
      <c r="L277" s="26"/>
      <c r="M277" s="26"/>
      <c r="N277" s="26"/>
      <c r="O277" s="26"/>
      <c r="P277" s="26"/>
      <c r="Q277" s="26"/>
      <c r="R277" s="26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34"/>
      <c r="AF277" s="35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>
        <v>20.2</v>
      </c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7"/>
      <c r="BF277" s="37"/>
      <c r="BG277" s="34"/>
      <c r="BH277" s="37"/>
      <c r="BI277" s="37"/>
      <c r="BJ277" s="37"/>
      <c r="BK277" s="34"/>
      <c r="BL277" s="34"/>
      <c r="BM277" s="37"/>
      <c r="BN277" s="34"/>
      <c r="BO277" s="37"/>
      <c r="BP277" s="37"/>
      <c r="BQ277" s="34"/>
      <c r="BR277" s="34"/>
      <c r="BS277" s="37"/>
      <c r="BT277" s="37"/>
      <c r="BU277" s="34"/>
      <c r="BV277" s="34"/>
      <c r="BW277" s="34"/>
      <c r="BX277" s="37"/>
      <c r="BY277" s="34"/>
      <c r="BZ277" s="34"/>
      <c r="CA277" s="37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43"/>
      <c r="CN277" s="37"/>
      <c r="CO277" s="37"/>
      <c r="CP277" s="34"/>
      <c r="CQ277" s="34"/>
      <c r="CR277" s="34"/>
      <c r="CS277" s="34"/>
      <c r="CT277" s="34"/>
      <c r="CU277" s="37"/>
      <c r="CV277" s="37"/>
      <c r="CW277" s="34"/>
      <c r="CX277" s="34"/>
      <c r="CY277" s="34"/>
      <c r="CZ277" s="34"/>
      <c r="DA277" s="37"/>
      <c r="DB277" s="37"/>
      <c r="DC277" s="37"/>
      <c r="DD277" s="37"/>
      <c r="DE277" s="37"/>
      <c r="DF277" s="37"/>
      <c r="DG277" s="37"/>
      <c r="DH277" s="37"/>
      <c r="DI277" s="37"/>
      <c r="DJ277" s="37"/>
      <c r="DK277" s="37"/>
      <c r="DL277" s="37"/>
      <c r="DM277" s="37"/>
      <c r="DN277" s="37"/>
      <c r="DO277" s="37"/>
      <c r="DP277" s="37"/>
      <c r="DQ277" s="37"/>
      <c r="DR277" s="37"/>
      <c r="DS277" s="37"/>
      <c r="DT277" s="37"/>
      <c r="DU277" s="37"/>
      <c r="DV277" s="37"/>
      <c r="DW277" s="37"/>
      <c r="DX277" s="37"/>
      <c r="DY277" s="37"/>
      <c r="DZ277" s="37"/>
      <c r="EA277" s="39"/>
      <c r="EB277" s="39"/>
      <c r="EC277" s="40"/>
    </row>
    <row r="278" spans="1:133" hidden="1">
      <c r="A278" s="44"/>
      <c r="B278" s="22" t="s">
        <v>614</v>
      </c>
      <c r="C278" s="20" t="s">
        <v>615</v>
      </c>
      <c r="D278" s="21" t="s">
        <v>613</v>
      </c>
      <c r="E278" s="21"/>
      <c r="F278" s="22" t="s">
        <v>198</v>
      </c>
      <c r="G278" s="23" t="str" cm="1">
        <f t="array" ref="G278">IFERROR(LOOKUP(2,1/(K278:GC278&lt;&gt;""),K$2:DQL$2),"")</f>
        <v/>
      </c>
      <c r="H278" s="24" t="str" cm="1">
        <f t="array" ref="H278">IFERROR(_xlfn.XLOOKUP(TRUE,P278:ED278&lt;&gt;"",P278:ED278,,,-1)," ")</f>
        <v xml:space="preserve"> </v>
      </c>
      <c r="I278" s="25">
        <v>24.5</v>
      </c>
      <c r="J278" s="26"/>
      <c r="K278" s="26"/>
      <c r="L278" s="26"/>
      <c r="M278" s="26"/>
      <c r="N278" s="26"/>
      <c r="O278" s="26"/>
      <c r="P278" s="26"/>
      <c r="Q278" s="26"/>
      <c r="R278" s="26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34"/>
      <c r="AF278" s="35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7"/>
      <c r="BF278" s="37"/>
      <c r="BG278" s="34"/>
      <c r="BH278" s="37"/>
      <c r="BI278" s="37"/>
      <c r="BJ278" s="37"/>
      <c r="BK278" s="34"/>
      <c r="BL278" s="34"/>
      <c r="BM278" s="37"/>
      <c r="BN278" s="34"/>
      <c r="BO278" s="37"/>
      <c r="BP278" s="37"/>
      <c r="BQ278" s="34"/>
      <c r="BR278" s="34"/>
      <c r="BS278" s="37"/>
      <c r="BT278" s="37"/>
      <c r="BU278" s="34"/>
      <c r="BV278" s="34"/>
      <c r="BW278" s="34"/>
      <c r="BX278" s="37"/>
      <c r="BY278" s="34"/>
      <c r="BZ278" s="34"/>
      <c r="CA278" s="37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43"/>
      <c r="CN278" s="37"/>
      <c r="CO278" s="37"/>
      <c r="CP278" s="34"/>
      <c r="CQ278" s="34"/>
      <c r="CR278" s="34"/>
      <c r="CS278" s="34"/>
      <c r="CT278" s="34"/>
      <c r="CU278" s="37"/>
      <c r="CV278" s="37"/>
      <c r="CW278" s="34"/>
      <c r="CX278" s="34"/>
      <c r="CY278" s="34"/>
      <c r="CZ278" s="34"/>
      <c r="DA278" s="37"/>
      <c r="DB278" s="37"/>
      <c r="DC278" s="37"/>
      <c r="DD278" s="37"/>
      <c r="DE278" s="37"/>
      <c r="DF278" s="37"/>
      <c r="DG278" s="37"/>
      <c r="DH278" s="37"/>
      <c r="DI278" s="37"/>
      <c r="DJ278" s="37"/>
      <c r="DK278" s="37"/>
      <c r="DL278" s="37"/>
      <c r="DM278" s="37"/>
      <c r="DN278" s="37"/>
      <c r="DO278" s="37"/>
      <c r="DP278" s="37"/>
      <c r="DQ278" s="37"/>
      <c r="DR278" s="37"/>
      <c r="DS278" s="37"/>
      <c r="DT278" s="37"/>
      <c r="DU278" s="37"/>
      <c r="DV278" s="37"/>
      <c r="DW278" s="37"/>
      <c r="DX278" s="37"/>
      <c r="DY278" s="37"/>
      <c r="DZ278" s="37"/>
      <c r="EA278" s="39"/>
      <c r="EB278" s="39"/>
      <c r="EC278" s="40"/>
    </row>
    <row r="279" spans="1:133" hidden="1">
      <c r="A279" s="44"/>
      <c r="B279" s="22" t="s">
        <v>614</v>
      </c>
      <c r="C279" s="20" t="s">
        <v>616</v>
      </c>
      <c r="D279" s="21" t="s">
        <v>613</v>
      </c>
      <c r="E279" s="21"/>
      <c r="F279" s="22" t="s">
        <v>198</v>
      </c>
      <c r="G279" s="23" t="str" cm="1">
        <f t="array" ref="G279">IFERROR(LOOKUP(2,1/(K279:GC279&lt;&gt;""),K$2:DQL$2),"")</f>
        <v/>
      </c>
      <c r="H279" s="24" t="str" cm="1">
        <f t="array" ref="H279">IFERROR(_xlfn.XLOOKUP(TRUE,P279:ED279&lt;&gt;"",P279:ED279,,,-1)," ")</f>
        <v xml:space="preserve"> </v>
      </c>
      <c r="I279" s="25">
        <v>24.5</v>
      </c>
      <c r="J279" s="26"/>
      <c r="K279" s="26"/>
      <c r="L279" s="26"/>
      <c r="M279" s="26"/>
      <c r="N279" s="26"/>
      <c r="O279" s="26"/>
      <c r="P279" s="26"/>
      <c r="Q279" s="26"/>
      <c r="R279" s="26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34"/>
      <c r="AF279" s="35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7"/>
      <c r="BF279" s="37"/>
      <c r="BG279" s="34"/>
      <c r="BH279" s="37"/>
      <c r="BI279" s="37"/>
      <c r="BJ279" s="37"/>
      <c r="BK279" s="34"/>
      <c r="BL279" s="34"/>
      <c r="BM279" s="37"/>
      <c r="BN279" s="34"/>
      <c r="BO279" s="37"/>
      <c r="BP279" s="37"/>
      <c r="BQ279" s="34"/>
      <c r="BR279" s="34"/>
      <c r="BS279" s="37"/>
      <c r="BT279" s="37"/>
      <c r="BU279" s="34"/>
      <c r="BV279" s="34"/>
      <c r="BW279" s="34"/>
      <c r="BX279" s="37"/>
      <c r="BY279" s="34"/>
      <c r="BZ279" s="34"/>
      <c r="CA279" s="37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43"/>
      <c r="CN279" s="37"/>
      <c r="CO279" s="37"/>
      <c r="CP279" s="34"/>
      <c r="CQ279" s="34"/>
      <c r="CR279" s="34"/>
      <c r="CS279" s="34"/>
      <c r="CT279" s="34"/>
      <c r="CU279" s="37"/>
      <c r="CV279" s="37"/>
      <c r="CW279" s="34"/>
      <c r="CX279" s="34"/>
      <c r="CY279" s="34"/>
      <c r="CZ279" s="34"/>
      <c r="DA279" s="37"/>
      <c r="DB279" s="37"/>
      <c r="DC279" s="37"/>
      <c r="DD279" s="37"/>
      <c r="DE279" s="37"/>
      <c r="DF279" s="37"/>
      <c r="DG279" s="37"/>
      <c r="DH279" s="37"/>
      <c r="DI279" s="37"/>
      <c r="DJ279" s="37"/>
      <c r="DK279" s="37"/>
      <c r="DL279" s="37"/>
      <c r="DM279" s="37"/>
      <c r="DN279" s="37"/>
      <c r="DO279" s="37"/>
      <c r="DP279" s="37"/>
      <c r="DQ279" s="37"/>
      <c r="DR279" s="37"/>
      <c r="DS279" s="37"/>
      <c r="DT279" s="37"/>
      <c r="DU279" s="37"/>
      <c r="DV279" s="37"/>
      <c r="DW279" s="37"/>
      <c r="DX279" s="37"/>
      <c r="DY279" s="37"/>
      <c r="DZ279" s="37"/>
      <c r="EA279" s="39"/>
      <c r="EB279" s="39"/>
      <c r="EC279" s="40"/>
    </row>
    <row r="280" spans="1:133">
      <c r="A280" s="44"/>
      <c r="B280" s="22" t="s">
        <v>617</v>
      </c>
      <c r="C280" s="20" t="s">
        <v>618</v>
      </c>
      <c r="D280" s="21" t="s">
        <v>613</v>
      </c>
      <c r="E280" s="21"/>
      <c r="F280" s="22" t="s">
        <v>619</v>
      </c>
      <c r="G280" s="23" t="str" cm="1">
        <f t="array" ref="G280">IFERROR(LOOKUP(2,1/(K280:GC280&lt;&gt;""),K$2:DQL$2),"")</f>
        <v>20-Aug</v>
      </c>
      <c r="H280" s="24" cm="1">
        <f t="array" ref="H280">IFERROR(_xlfn.XLOOKUP(TRUE,P280:ED280&lt;&gt;"",P280:ED280,,,-1)," ")</f>
        <v>23.6</v>
      </c>
      <c r="I280" s="25">
        <v>24.5</v>
      </c>
      <c r="J280" s="26"/>
      <c r="K280" s="26"/>
      <c r="L280" s="26"/>
      <c r="M280" s="26"/>
      <c r="N280" s="26"/>
      <c r="O280" s="26"/>
      <c r="P280" s="26"/>
      <c r="Q280" s="26"/>
      <c r="R280" s="26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34"/>
      <c r="AF280" s="35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>
        <v>21.3</v>
      </c>
      <c r="AV280" s="34"/>
      <c r="AW280" s="34"/>
      <c r="AX280" s="34"/>
      <c r="AY280" s="34"/>
      <c r="AZ280" s="34"/>
      <c r="BA280" s="34">
        <v>23.6</v>
      </c>
      <c r="BB280" s="34"/>
      <c r="BC280" s="34"/>
      <c r="BD280" s="34"/>
      <c r="BE280" s="37"/>
      <c r="BF280" s="37"/>
      <c r="BG280" s="34"/>
      <c r="BH280" s="37">
        <v>23.6</v>
      </c>
      <c r="BI280" s="37"/>
      <c r="BJ280" s="37"/>
      <c r="BK280" s="34"/>
      <c r="BL280" s="34"/>
      <c r="BM280" s="37"/>
      <c r="BN280" s="34"/>
      <c r="BO280" s="37"/>
      <c r="BP280" s="37"/>
      <c r="BQ280" s="34"/>
      <c r="BR280" s="34"/>
      <c r="BS280" s="37"/>
      <c r="BT280" s="37"/>
      <c r="BU280" s="34"/>
      <c r="BV280" s="34"/>
      <c r="BW280" s="34"/>
      <c r="BX280" s="37"/>
      <c r="BY280" s="34"/>
      <c r="BZ280" s="34"/>
      <c r="CA280" s="37"/>
      <c r="CB280" s="34"/>
      <c r="CC280" s="34"/>
      <c r="CD280" s="34"/>
      <c r="CE280" s="34"/>
      <c r="CF280" s="34"/>
      <c r="CG280" s="34"/>
      <c r="CH280" s="34"/>
      <c r="CI280" s="36"/>
      <c r="CJ280" s="34"/>
      <c r="CK280" s="34"/>
      <c r="CL280" s="34"/>
      <c r="CM280" s="43"/>
      <c r="CN280" s="37"/>
      <c r="CO280" s="37"/>
      <c r="CP280" s="34"/>
      <c r="CQ280" s="34"/>
      <c r="CR280" s="34"/>
      <c r="CS280" s="34"/>
      <c r="CT280" s="34"/>
      <c r="CU280" s="37"/>
      <c r="CV280" s="37"/>
      <c r="CW280" s="34"/>
      <c r="CX280" s="34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  <c r="DI280" s="37"/>
      <c r="DJ280" s="37"/>
      <c r="DK280" s="37"/>
      <c r="DL280" s="37"/>
      <c r="DM280" s="37"/>
      <c r="DN280" s="37"/>
      <c r="DO280" s="37"/>
      <c r="DP280" s="37"/>
      <c r="DQ280" s="37"/>
      <c r="DR280" s="37"/>
      <c r="DS280" s="37"/>
      <c r="DT280" s="37"/>
      <c r="DU280" s="37"/>
      <c r="DV280" s="37"/>
      <c r="DW280" s="37"/>
      <c r="DX280" s="37"/>
      <c r="DY280" s="37"/>
      <c r="DZ280" s="37"/>
      <c r="EA280" s="39"/>
      <c r="EB280" s="39"/>
      <c r="EC280" s="40"/>
    </row>
    <row r="281" spans="1:133" hidden="1">
      <c r="A281" s="44"/>
      <c r="B281" s="22" t="s">
        <v>620</v>
      </c>
      <c r="C281" s="20" t="s">
        <v>621</v>
      </c>
      <c r="D281" s="21" t="s">
        <v>613</v>
      </c>
      <c r="E281" s="21"/>
      <c r="F281" s="22" t="s">
        <v>188</v>
      </c>
      <c r="G281" s="23" t="str" cm="1">
        <f t="array" ref="G281">IFERROR(LOOKUP(2,1/(K281:GC281&lt;&gt;""),K$2:DQL$2),"")</f>
        <v>20-Aug</v>
      </c>
      <c r="H281" s="24" cm="1">
        <f t="array" ref="H281">IFERROR(_xlfn.XLOOKUP(TRUE,P281:ED281&lt;&gt;"",P281:ED281,,,-1)," ")</f>
        <v>21.3</v>
      </c>
      <c r="I281" s="25">
        <v>25</v>
      </c>
      <c r="J281" s="26"/>
      <c r="K281" s="26"/>
      <c r="L281" s="26"/>
      <c r="M281" s="26"/>
      <c r="N281" s="26"/>
      <c r="O281" s="26"/>
      <c r="P281" s="26"/>
      <c r="Q281" s="26"/>
      <c r="R281" s="26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34"/>
      <c r="AF281" s="35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7"/>
      <c r="BF281" s="37"/>
      <c r="BG281" s="34"/>
      <c r="BH281" s="37">
        <v>21.3</v>
      </c>
      <c r="BI281" s="37"/>
      <c r="BJ281" s="37"/>
      <c r="BK281" s="34"/>
      <c r="BL281" s="34"/>
      <c r="BM281" s="37"/>
      <c r="BN281" s="34"/>
      <c r="BO281" s="37"/>
      <c r="BP281" s="37"/>
      <c r="BQ281" s="34"/>
      <c r="BR281" s="34"/>
      <c r="BS281" s="37"/>
      <c r="BT281" s="37"/>
      <c r="BU281" s="34"/>
      <c r="BV281" s="34"/>
      <c r="BW281" s="34"/>
      <c r="BX281" s="37"/>
      <c r="BY281" s="34"/>
      <c r="BZ281" s="34"/>
      <c r="CA281" s="37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43"/>
      <c r="CN281" s="37"/>
      <c r="CO281" s="37"/>
      <c r="CP281" s="34"/>
      <c r="CQ281" s="34"/>
      <c r="CR281" s="34"/>
      <c r="CS281" s="34"/>
      <c r="CT281" s="34"/>
      <c r="CU281" s="37"/>
      <c r="CV281" s="37"/>
      <c r="CW281" s="34"/>
      <c r="CX281" s="34"/>
      <c r="CY281" s="34"/>
      <c r="CZ281" s="34"/>
      <c r="DA281" s="34"/>
      <c r="DB281" s="37"/>
      <c r="DC281" s="37"/>
      <c r="DD281" s="34"/>
      <c r="DE281" s="34"/>
      <c r="DF281" s="37"/>
      <c r="DG281" s="37"/>
      <c r="DH281" s="37"/>
      <c r="DI281" s="37"/>
      <c r="DJ281" s="37"/>
      <c r="DK281" s="37"/>
      <c r="DL281" s="37"/>
      <c r="DM281" s="37"/>
      <c r="DN281" s="37"/>
      <c r="DO281" s="37"/>
      <c r="DP281" s="37"/>
      <c r="DQ281" s="37"/>
      <c r="DR281" s="37"/>
      <c r="DS281" s="37"/>
      <c r="DT281" s="37"/>
      <c r="DU281" s="37"/>
      <c r="DV281" s="37"/>
      <c r="DW281" s="37"/>
      <c r="DX281" s="37"/>
      <c r="DY281" s="37"/>
      <c r="DZ281" s="37"/>
      <c r="EA281" s="39"/>
      <c r="EB281" s="39"/>
      <c r="EC281" s="40"/>
    </row>
    <row r="282" spans="1:133" hidden="1">
      <c r="A282" s="44"/>
      <c r="B282" s="22" t="s">
        <v>622</v>
      </c>
      <c r="C282" s="20" t="s">
        <v>623</v>
      </c>
      <c r="D282" s="21" t="s">
        <v>624</v>
      </c>
      <c r="E282" s="21"/>
      <c r="F282" s="22"/>
      <c r="G282" s="23" t="str" cm="1">
        <f t="array" ref="G282">IFERROR(LOOKUP(2,1/(K282:GC282&lt;&gt;""),K$2:DQL$2),"")</f>
        <v>12-Aug</v>
      </c>
      <c r="H282" s="24" cm="1">
        <f t="array" ref="H282">IFERROR(_xlfn.XLOOKUP(TRUE,P282:ED282&lt;&gt;"",P282:ED282,,,-1)," ")</f>
        <v>21.3</v>
      </c>
      <c r="I282" s="25">
        <v>24</v>
      </c>
      <c r="J282" s="26"/>
      <c r="K282" s="26"/>
      <c r="L282" s="26"/>
      <c r="M282" s="26"/>
      <c r="N282" s="26"/>
      <c r="O282" s="26"/>
      <c r="P282" s="26"/>
      <c r="Q282" s="26"/>
      <c r="R282" s="26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34"/>
      <c r="AF282" s="35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>
        <v>21.3</v>
      </c>
      <c r="BA282" s="34"/>
      <c r="BB282" s="34"/>
      <c r="BC282" s="34"/>
      <c r="BD282" s="34"/>
      <c r="BE282" s="37"/>
      <c r="BF282" s="37"/>
      <c r="BG282" s="34"/>
      <c r="BH282" s="37"/>
      <c r="BI282" s="37"/>
      <c r="BJ282" s="37"/>
      <c r="BK282" s="34"/>
      <c r="BL282" s="37"/>
      <c r="BM282" s="37"/>
      <c r="BN282" s="37"/>
      <c r="BO282" s="37"/>
      <c r="BP282" s="37"/>
      <c r="BQ282" s="34"/>
      <c r="BR282" s="34"/>
      <c r="BS282" s="37"/>
      <c r="BT282" s="37"/>
      <c r="BU282" s="34"/>
      <c r="BV282" s="34"/>
      <c r="BW282" s="34"/>
      <c r="BX282" s="37"/>
      <c r="BY282" s="34"/>
      <c r="BZ282" s="34"/>
      <c r="CA282" s="37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43"/>
      <c r="CN282" s="37"/>
      <c r="CO282" s="37"/>
      <c r="CP282" s="34"/>
      <c r="CQ282" s="34"/>
      <c r="CR282" s="37"/>
      <c r="CS282" s="34"/>
      <c r="CT282" s="34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  <c r="DI282" s="37"/>
      <c r="DJ282" s="37"/>
      <c r="DK282" s="37"/>
      <c r="DL282" s="37"/>
      <c r="DM282" s="37"/>
      <c r="DN282" s="37"/>
      <c r="DO282" s="37"/>
      <c r="DP282" s="37"/>
      <c r="DQ282" s="37"/>
      <c r="DR282" s="37"/>
      <c r="DS282" s="37"/>
      <c r="DT282" s="37"/>
      <c r="DU282" s="37"/>
      <c r="DV282" s="37"/>
      <c r="DW282" s="37"/>
      <c r="DX282" s="37"/>
      <c r="DY282" s="37"/>
      <c r="DZ282" s="37"/>
      <c r="EA282" s="39"/>
      <c r="EB282" s="39"/>
      <c r="EC282" s="40"/>
    </row>
    <row r="283" spans="1:133" hidden="1">
      <c r="A283" s="44"/>
      <c r="B283" s="22" t="s">
        <v>625</v>
      </c>
      <c r="C283" s="20" t="s">
        <v>626</v>
      </c>
      <c r="D283" s="21" t="s">
        <v>627</v>
      </c>
      <c r="E283" s="21"/>
      <c r="F283" s="22"/>
      <c r="G283" s="23" t="str" cm="1">
        <f t="array" ref="G283">IFERROR(LOOKUP(2,1/(K283:GC283&lt;&gt;""),K$2:DQL$2),"")</f>
        <v/>
      </c>
      <c r="H283" s="24" t="str" cm="1">
        <f t="array" ref="H283">IFERROR(_xlfn.XLOOKUP(TRUE,P283:ED283&lt;&gt;"",P283:ED283,,,-1)," ")</f>
        <v xml:space="preserve"> </v>
      </c>
      <c r="I283" s="25">
        <v>21.5</v>
      </c>
      <c r="J283" s="26"/>
      <c r="K283" s="26"/>
      <c r="L283" s="26"/>
      <c r="M283" s="26"/>
      <c r="N283" s="26"/>
      <c r="O283" s="26"/>
      <c r="P283" s="26"/>
      <c r="Q283" s="26"/>
      <c r="R283" s="26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34"/>
      <c r="AF283" s="35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7"/>
      <c r="BF283" s="37"/>
      <c r="BG283" s="34"/>
      <c r="BH283" s="37"/>
      <c r="BI283" s="37"/>
      <c r="BJ283" s="37"/>
      <c r="BK283" s="37"/>
      <c r="BL283" s="37"/>
      <c r="BM283" s="37"/>
      <c r="BN283" s="37"/>
      <c r="BO283" s="38"/>
      <c r="BP283" s="37"/>
      <c r="BQ283" s="37"/>
      <c r="BR283" s="34"/>
      <c r="BS283" s="37"/>
      <c r="BT283" s="37"/>
      <c r="BU283" s="34"/>
      <c r="BV283" s="37"/>
      <c r="BW283" s="34"/>
      <c r="BX283" s="37"/>
      <c r="BY283" s="34"/>
      <c r="BZ283" s="34"/>
      <c r="CA283" s="37"/>
      <c r="CB283" s="37"/>
      <c r="CC283" s="34"/>
      <c r="CD283" s="37"/>
      <c r="CE283" s="37"/>
      <c r="CF283" s="37"/>
      <c r="CG283" s="37"/>
      <c r="CH283" s="37"/>
      <c r="CI283" s="37"/>
      <c r="CJ283" s="37"/>
      <c r="CK283" s="37"/>
      <c r="CL283" s="34"/>
      <c r="CM283" s="43"/>
      <c r="CN283" s="37"/>
      <c r="CO283" s="37"/>
      <c r="CP283" s="34"/>
      <c r="CQ283" s="37"/>
      <c r="CR283" s="37"/>
      <c r="CS283" s="37"/>
      <c r="CT283" s="34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  <c r="DI283" s="37"/>
      <c r="DJ283" s="37"/>
      <c r="DK283" s="37"/>
      <c r="DL283" s="37"/>
      <c r="DM283" s="37"/>
      <c r="DN283" s="37"/>
      <c r="DO283" s="37"/>
      <c r="DP283" s="37"/>
      <c r="DQ283" s="37"/>
      <c r="DR283" s="37"/>
      <c r="DS283" s="37"/>
      <c r="DT283" s="37"/>
      <c r="DU283" s="37"/>
      <c r="DV283" s="37"/>
      <c r="DW283" s="37"/>
      <c r="DX283" s="37"/>
      <c r="DY283" s="37"/>
      <c r="DZ283" s="37"/>
      <c r="EA283" s="39"/>
      <c r="EB283" s="39"/>
      <c r="EC283" s="40"/>
    </row>
    <row r="284" spans="1:133">
      <c r="A284" s="44"/>
      <c r="B284" s="22"/>
      <c r="C284" s="20" t="s">
        <v>628</v>
      </c>
      <c r="D284" s="21" t="s">
        <v>629</v>
      </c>
      <c r="E284" s="21"/>
      <c r="F284" s="22" t="s">
        <v>137</v>
      </c>
      <c r="G284" s="23" t="str" cm="1">
        <f t="array" ref="G284">IFERROR(LOOKUP(2,1/(K284:GC284&lt;&gt;""),K$2:DQL$2),"")</f>
        <v>14-Aug</v>
      </c>
      <c r="H284" s="24" cm="1">
        <f t="array" ref="H284">IFERROR(_xlfn.XLOOKUP(TRUE,P284:ED284&lt;&gt;"",P284:ED284,,,-1)," ")</f>
        <v>20.2</v>
      </c>
      <c r="I284" s="25"/>
      <c r="J284" s="26"/>
      <c r="K284" s="26"/>
      <c r="L284" s="26"/>
      <c r="M284" s="26"/>
      <c r="N284" s="26"/>
      <c r="O284" s="26"/>
      <c r="P284" s="26"/>
      <c r="Q284" s="26"/>
      <c r="R284" s="26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>
        <v>15</v>
      </c>
      <c r="AD284" s="25"/>
      <c r="AE284" s="34"/>
      <c r="AF284" s="35"/>
      <c r="AG284" s="34"/>
      <c r="AH284" s="34"/>
      <c r="AI284" s="34"/>
      <c r="AJ284" s="34"/>
      <c r="AK284" s="34"/>
      <c r="AL284" s="34"/>
      <c r="AM284" s="248">
        <v>17</v>
      </c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248">
        <v>19.7</v>
      </c>
      <c r="AZ284" s="34"/>
      <c r="BA284" s="34"/>
      <c r="BB284" s="36">
        <v>20.2</v>
      </c>
      <c r="BC284" s="34"/>
      <c r="BD284" s="34"/>
      <c r="BE284" s="37"/>
      <c r="BF284" s="37"/>
      <c r="BG284" s="34"/>
      <c r="BH284" s="34"/>
      <c r="BI284" s="34"/>
      <c r="BJ284" s="34"/>
      <c r="BK284" s="34"/>
      <c r="BL284" s="34"/>
      <c r="BM284" s="37"/>
      <c r="BN284" s="34"/>
      <c r="BO284" s="34"/>
      <c r="BP284" s="34"/>
      <c r="BQ284" s="34"/>
      <c r="BR284" s="34"/>
      <c r="BS284" s="37"/>
      <c r="BT284" s="37"/>
      <c r="BU284" s="34"/>
      <c r="BV284" s="34"/>
      <c r="BW284" s="34"/>
      <c r="BX284" s="37"/>
      <c r="BY284" s="34"/>
      <c r="BZ284" s="36"/>
      <c r="CA284" s="37"/>
      <c r="CB284" s="37"/>
      <c r="CC284" s="34"/>
      <c r="CD284" s="37"/>
      <c r="CE284" s="37"/>
      <c r="CF284" s="37"/>
      <c r="CG284" s="37"/>
      <c r="CH284" s="37"/>
      <c r="CI284" s="37"/>
      <c r="CJ284" s="37"/>
      <c r="CK284" s="37"/>
      <c r="CL284" s="34"/>
      <c r="CM284" s="37"/>
      <c r="CN284" s="37"/>
      <c r="CO284" s="37"/>
      <c r="CP284" s="34"/>
      <c r="CQ284" s="37"/>
      <c r="CR284" s="34"/>
      <c r="CS284" s="37"/>
      <c r="CT284" s="34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  <c r="DI284" s="37"/>
      <c r="DJ284" s="37"/>
      <c r="DK284" s="37"/>
      <c r="DL284" s="37"/>
      <c r="DM284" s="37"/>
      <c r="DN284" s="37"/>
      <c r="DO284" s="37"/>
      <c r="DP284" s="37"/>
      <c r="DQ284" s="37"/>
      <c r="DR284" s="37"/>
      <c r="DS284" s="37"/>
      <c r="DT284" s="37"/>
      <c r="DU284" s="37"/>
      <c r="DV284" s="37"/>
      <c r="DW284" s="37"/>
      <c r="DX284" s="37"/>
      <c r="DY284" s="37"/>
      <c r="DZ284" s="37"/>
      <c r="EA284" s="39"/>
      <c r="EB284" s="39"/>
      <c r="EC284" s="40"/>
    </row>
    <row r="285" spans="1:133" hidden="1">
      <c r="A285" s="44" t="s">
        <v>138</v>
      </c>
      <c r="B285" s="22" t="s">
        <v>630</v>
      </c>
      <c r="C285" s="20" t="s">
        <v>631</v>
      </c>
      <c r="D285" s="21" t="s">
        <v>629</v>
      </c>
      <c r="E285" s="21"/>
      <c r="F285" s="22" t="s">
        <v>632</v>
      </c>
      <c r="G285" s="23" t="str" cm="1">
        <f t="array" ref="G285">IFERROR(LOOKUP(2,1/(K285:GC285&lt;&gt;""),K$2:DQL$2),"")</f>
        <v>27-Jul</v>
      </c>
      <c r="H285" s="24" cm="1">
        <f t="array" ref="H285">IFERROR(_xlfn.XLOOKUP(TRUE,P285:ED285&lt;&gt;"",P285:ED285,,,-1)," ")</f>
        <v>22.2</v>
      </c>
      <c r="I285" s="25" t="s">
        <v>633</v>
      </c>
      <c r="J285" s="26"/>
      <c r="K285" s="26"/>
      <c r="L285" s="26"/>
      <c r="M285" s="26"/>
      <c r="N285" s="26"/>
      <c r="O285" s="26"/>
      <c r="P285" s="26"/>
      <c r="Q285" s="26">
        <v>15.3</v>
      </c>
      <c r="R285" s="26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>
        <v>21.8</v>
      </c>
      <c r="AE285" s="34"/>
      <c r="AF285" s="35"/>
      <c r="AG285" s="34"/>
      <c r="AH285" s="34"/>
      <c r="AI285" s="34"/>
      <c r="AJ285" s="34">
        <v>22.2</v>
      </c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6"/>
      <c r="AZ285" s="34"/>
      <c r="BA285" s="34"/>
      <c r="BB285" s="34"/>
      <c r="BC285" s="34"/>
      <c r="BD285" s="34"/>
      <c r="BE285" s="37"/>
      <c r="BF285" s="37"/>
      <c r="BG285" s="34"/>
      <c r="BH285" s="37"/>
      <c r="BI285" s="34"/>
      <c r="BJ285" s="37"/>
      <c r="BK285" s="34"/>
      <c r="BL285" s="37"/>
      <c r="BM285" s="37"/>
      <c r="BN285" s="37"/>
      <c r="BO285" s="37"/>
      <c r="BP285" s="37"/>
      <c r="BQ285" s="37"/>
      <c r="BR285" s="34"/>
      <c r="BS285" s="37"/>
      <c r="BT285" s="37"/>
      <c r="BU285" s="34"/>
      <c r="BV285" s="37"/>
      <c r="BW285" s="34"/>
      <c r="BX285" s="37"/>
      <c r="BY285" s="34"/>
      <c r="BZ285" s="34"/>
      <c r="CA285" s="37"/>
      <c r="CB285" s="37"/>
      <c r="CC285" s="34"/>
      <c r="CD285" s="37"/>
      <c r="CE285" s="37"/>
      <c r="CF285" s="37"/>
      <c r="CG285" s="37"/>
      <c r="CH285" s="37"/>
      <c r="CI285" s="37"/>
      <c r="CJ285" s="37"/>
      <c r="CK285" s="37"/>
      <c r="CL285" s="34"/>
      <c r="CM285" s="37"/>
      <c r="CN285" s="37"/>
      <c r="CO285" s="37"/>
      <c r="CP285" s="34"/>
      <c r="CQ285" s="37"/>
      <c r="CR285" s="37"/>
      <c r="CS285" s="37"/>
      <c r="CT285" s="34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  <c r="DI285" s="37"/>
      <c r="DJ285" s="37"/>
      <c r="DK285" s="37"/>
      <c r="DL285" s="37"/>
      <c r="DM285" s="37"/>
      <c r="DN285" s="37"/>
      <c r="DO285" s="37"/>
      <c r="DP285" s="37"/>
      <c r="DQ285" s="37"/>
      <c r="DR285" s="37"/>
      <c r="DS285" s="37"/>
      <c r="DT285" s="37"/>
      <c r="DU285" s="37"/>
      <c r="DV285" s="37"/>
      <c r="DW285" s="37"/>
      <c r="DX285" s="37"/>
      <c r="DY285" s="37"/>
      <c r="DZ285" s="37"/>
      <c r="EA285" s="39"/>
      <c r="EB285" s="39"/>
      <c r="EC285" s="40"/>
    </row>
    <row r="286" spans="1:133" hidden="1">
      <c r="A286" s="44" t="s">
        <v>138</v>
      </c>
      <c r="B286" s="22" t="s">
        <v>630</v>
      </c>
      <c r="C286" s="20" t="s">
        <v>634</v>
      </c>
      <c r="D286" s="21" t="s">
        <v>629</v>
      </c>
      <c r="E286" s="21"/>
      <c r="F286" s="22" t="s">
        <v>345</v>
      </c>
      <c r="G286" s="23" t="str" cm="1">
        <f t="array" ref="G286">IFERROR(LOOKUP(2,1/(K286:GC286&lt;&gt;""),K$2:DQL$2),"")</f>
        <v>28-Jul</v>
      </c>
      <c r="H286" s="24" cm="1">
        <f t="array" ref="H286">IFERROR(_xlfn.XLOOKUP(TRUE,P286:ED286&lt;&gt;"",P286:ED286,,,-1)," ")</f>
        <v>23.2</v>
      </c>
      <c r="I286" s="25">
        <v>21.5</v>
      </c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34"/>
      <c r="AF286" s="34"/>
      <c r="AG286" s="34"/>
      <c r="AH286" s="34"/>
      <c r="AI286" s="34"/>
      <c r="AJ286" s="34"/>
      <c r="AK286" s="34">
        <v>23.2</v>
      </c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6"/>
      <c r="AZ286" s="34"/>
      <c r="BA286" s="34"/>
      <c r="BB286" s="34"/>
      <c r="BC286" s="34"/>
      <c r="BD286" s="34"/>
      <c r="BE286" s="37"/>
      <c r="BF286" s="37"/>
      <c r="BG286" s="34"/>
      <c r="BH286" s="37"/>
      <c r="BI286" s="34"/>
      <c r="BJ286" s="37"/>
      <c r="BK286" s="34"/>
      <c r="BL286" s="37"/>
      <c r="BM286" s="37"/>
      <c r="BN286" s="37"/>
      <c r="BO286" s="37"/>
      <c r="BP286" s="37"/>
      <c r="BQ286" s="37"/>
      <c r="BR286" s="34"/>
      <c r="BS286" s="37"/>
      <c r="BT286" s="37"/>
      <c r="BU286" s="34"/>
      <c r="BV286" s="37"/>
      <c r="BW286" s="34"/>
      <c r="BX286" s="37"/>
      <c r="BY286" s="34"/>
      <c r="BZ286" s="34"/>
      <c r="CA286" s="37"/>
      <c r="CB286" s="37"/>
      <c r="CC286" s="34"/>
      <c r="CD286" s="37"/>
      <c r="CE286" s="37"/>
      <c r="CF286" s="37"/>
      <c r="CG286" s="37"/>
      <c r="CH286" s="37"/>
      <c r="CI286" s="37"/>
      <c r="CJ286" s="37"/>
      <c r="CK286" s="37"/>
      <c r="CL286" s="34"/>
      <c r="CM286" s="37"/>
      <c r="CN286" s="37"/>
      <c r="CO286" s="37"/>
      <c r="CP286" s="34"/>
      <c r="CQ286" s="37"/>
      <c r="CR286" s="37"/>
      <c r="CS286" s="37"/>
      <c r="CT286" s="34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  <c r="DI286" s="37"/>
      <c r="DJ286" s="37"/>
      <c r="DK286" s="37"/>
      <c r="DL286" s="37"/>
      <c r="DM286" s="37"/>
      <c r="DN286" s="37"/>
      <c r="DO286" s="37"/>
      <c r="DP286" s="37"/>
      <c r="DQ286" s="37"/>
      <c r="DR286" s="37"/>
      <c r="DS286" s="37"/>
      <c r="DT286" s="37"/>
      <c r="DU286" s="37"/>
      <c r="DV286" s="37"/>
      <c r="DW286" s="37"/>
      <c r="DX286" s="37"/>
      <c r="DY286" s="37"/>
      <c r="DZ286" s="37"/>
      <c r="EA286" s="39"/>
      <c r="EB286" s="39"/>
      <c r="EC286" s="40"/>
    </row>
    <row r="287" spans="1:133" hidden="1">
      <c r="A287" s="44" t="s">
        <v>138</v>
      </c>
      <c r="B287" s="22" t="s">
        <v>630</v>
      </c>
      <c r="C287" s="20" t="s">
        <v>635</v>
      </c>
      <c r="D287" s="21" t="s">
        <v>629</v>
      </c>
      <c r="E287" s="21"/>
      <c r="F287" s="22" t="s">
        <v>636</v>
      </c>
      <c r="G287" s="23" t="str" cm="1">
        <f t="array" ref="G287">IFERROR(LOOKUP(2,1/(K287:GC287&lt;&gt;""),K$2:DQL$2),"")</f>
        <v>28-Jul</v>
      </c>
      <c r="H287" s="24" cm="1">
        <f t="array" ref="H287">IFERROR(_xlfn.XLOOKUP(TRUE,P287:ED287&lt;&gt;"",P287:ED287,,,-1)," ")</f>
        <v>21.8</v>
      </c>
      <c r="I287" s="25">
        <v>21.5</v>
      </c>
      <c r="J287" s="26"/>
      <c r="K287" s="26"/>
      <c r="L287" s="26"/>
      <c r="M287" s="26"/>
      <c r="N287" s="26"/>
      <c r="O287" s="26"/>
      <c r="P287" s="26"/>
      <c r="Q287" s="26"/>
      <c r="R287" s="26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34"/>
      <c r="AF287" s="35"/>
      <c r="AG287" s="34"/>
      <c r="AH287" s="34"/>
      <c r="AI287" s="34"/>
      <c r="AJ287" s="34"/>
      <c r="AK287" s="34">
        <v>21.8</v>
      </c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6"/>
      <c r="AZ287" s="34"/>
      <c r="BA287" s="34"/>
      <c r="BB287" s="34"/>
      <c r="BC287" s="34"/>
      <c r="BD287" s="34"/>
      <c r="BE287" s="37"/>
      <c r="BF287" s="37"/>
      <c r="BG287" s="34"/>
      <c r="BH287" s="37"/>
      <c r="BI287" s="36"/>
      <c r="BJ287" s="37"/>
      <c r="BK287" s="34"/>
      <c r="BL287" s="37"/>
      <c r="BM287" s="37"/>
      <c r="BN287" s="37"/>
      <c r="BO287" s="37"/>
      <c r="BP287" s="37"/>
      <c r="BQ287" s="37"/>
      <c r="BR287" s="34"/>
      <c r="BS287" s="37"/>
      <c r="BT287" s="37"/>
      <c r="BU287" s="34"/>
      <c r="BV287" s="37"/>
      <c r="BW287" s="34"/>
      <c r="BX287" s="37"/>
      <c r="BY287" s="34"/>
      <c r="BZ287" s="34"/>
      <c r="CA287" s="37"/>
      <c r="CB287" s="37"/>
      <c r="CC287" s="34"/>
      <c r="CD287" s="37"/>
      <c r="CE287" s="37"/>
      <c r="CF287" s="37"/>
      <c r="CG287" s="37"/>
      <c r="CH287" s="37"/>
      <c r="CI287" s="37"/>
      <c r="CJ287" s="37"/>
      <c r="CK287" s="37"/>
      <c r="CL287" s="34"/>
      <c r="CM287" s="37"/>
      <c r="CN287" s="37"/>
      <c r="CO287" s="37"/>
      <c r="CP287" s="34"/>
      <c r="CQ287" s="37"/>
      <c r="CR287" s="37"/>
      <c r="CS287" s="37"/>
      <c r="CT287" s="34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  <c r="DI287" s="37"/>
      <c r="DJ287" s="37"/>
      <c r="DK287" s="37"/>
      <c r="DL287" s="37"/>
      <c r="DM287" s="37"/>
      <c r="DN287" s="37"/>
      <c r="DO287" s="37"/>
      <c r="DP287" s="37"/>
      <c r="DQ287" s="37"/>
      <c r="DR287" s="37"/>
      <c r="DS287" s="37"/>
      <c r="DT287" s="37"/>
      <c r="DU287" s="37"/>
      <c r="DV287" s="37"/>
      <c r="DW287" s="37"/>
      <c r="DX287" s="37"/>
      <c r="DY287" s="37"/>
      <c r="DZ287" s="37"/>
      <c r="EA287" s="39"/>
      <c r="EB287" s="39"/>
      <c r="EC287" s="40"/>
    </row>
    <row r="288" spans="1:133" hidden="1">
      <c r="A288" s="44" t="s">
        <v>138</v>
      </c>
      <c r="B288" s="22" t="s">
        <v>637</v>
      </c>
      <c r="C288" s="20" t="s">
        <v>638</v>
      </c>
      <c r="D288" s="21" t="s">
        <v>629</v>
      </c>
      <c r="E288" s="21"/>
      <c r="F288" s="22" t="s">
        <v>360</v>
      </c>
      <c r="G288" s="23" t="str" cm="1">
        <f t="array" ref="G288">IFERROR(LOOKUP(2,1/(K288:GC288&lt;&gt;""),K$2:DQL$2),"")</f>
        <v>21-Jul</v>
      </c>
      <c r="H288" s="227" cm="1">
        <f t="array" ref="H288">IFERROR(_xlfn.XLOOKUP(TRUE,P288:ED288&lt;&gt;"",P288:ED288,,,-1)," ")</f>
        <v>23.3</v>
      </c>
      <c r="I288" s="25">
        <v>22</v>
      </c>
      <c r="J288" s="26"/>
      <c r="K288" s="26">
        <v>14.4</v>
      </c>
      <c r="L288" s="26"/>
      <c r="M288" s="26"/>
      <c r="N288" s="26"/>
      <c r="O288" s="26"/>
      <c r="P288" s="26"/>
      <c r="Q288" s="26">
        <v>15.4</v>
      </c>
      <c r="R288" s="26"/>
      <c r="S288" s="25"/>
      <c r="T288" s="25"/>
      <c r="U288" s="25"/>
      <c r="V288" s="25">
        <v>19.2</v>
      </c>
      <c r="W288" s="25"/>
      <c r="X288" s="25"/>
      <c r="Y288" s="217">
        <v>21.3</v>
      </c>
      <c r="Z288" s="25"/>
      <c r="AA288" s="25"/>
      <c r="AB288" s="25"/>
      <c r="AC288" s="25"/>
      <c r="AD288" s="217">
        <v>23.3</v>
      </c>
      <c r="AE288" s="34"/>
      <c r="AF288" s="35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6"/>
      <c r="AT288" s="34"/>
      <c r="AU288" s="34"/>
      <c r="AV288" s="34"/>
      <c r="AW288" s="34"/>
      <c r="AX288" s="34"/>
      <c r="AY288" s="36"/>
      <c r="AZ288" s="34"/>
      <c r="BA288" s="36"/>
      <c r="BB288" s="60"/>
      <c r="BC288" s="34"/>
      <c r="BD288" s="34"/>
      <c r="BE288" s="37"/>
      <c r="BF288" s="38"/>
      <c r="BG288" s="36"/>
      <c r="BH288" s="38"/>
      <c r="BI288" s="34"/>
      <c r="BJ288" s="37"/>
      <c r="BK288" s="34"/>
      <c r="BL288" s="37"/>
      <c r="BM288" s="37"/>
      <c r="BN288" s="37"/>
      <c r="BO288" s="37"/>
      <c r="BP288" s="37"/>
      <c r="BQ288" s="37"/>
      <c r="BR288" s="34"/>
      <c r="BS288" s="37"/>
      <c r="BT288" s="37"/>
      <c r="BU288" s="34"/>
      <c r="BV288" s="37"/>
      <c r="BW288" s="34"/>
      <c r="BX288" s="37"/>
      <c r="BY288" s="34"/>
      <c r="BZ288" s="34"/>
      <c r="CA288" s="37"/>
      <c r="CB288" s="37"/>
      <c r="CC288" s="34"/>
      <c r="CD288" s="37"/>
      <c r="CE288" s="37"/>
      <c r="CF288" s="37"/>
      <c r="CG288" s="37"/>
      <c r="CH288" s="37"/>
      <c r="CI288" s="37"/>
      <c r="CJ288" s="37"/>
      <c r="CK288" s="37"/>
      <c r="CL288" s="34"/>
      <c r="CM288" s="37"/>
      <c r="CN288" s="37"/>
      <c r="CO288" s="37"/>
      <c r="CP288" s="34"/>
      <c r="CQ288" s="37"/>
      <c r="CR288" s="37"/>
      <c r="CS288" s="37"/>
      <c r="CT288" s="34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  <c r="DI288" s="37"/>
      <c r="DJ288" s="37"/>
      <c r="DK288" s="37"/>
      <c r="DL288" s="37"/>
      <c r="DM288" s="37"/>
      <c r="DN288" s="37"/>
      <c r="DO288" s="37"/>
      <c r="DP288" s="37"/>
      <c r="DQ288" s="37"/>
      <c r="DR288" s="37"/>
      <c r="DS288" s="37"/>
      <c r="DT288" s="37"/>
      <c r="DU288" s="37"/>
      <c r="DV288" s="37"/>
      <c r="DW288" s="37"/>
      <c r="DX288" s="37"/>
      <c r="DY288" s="37"/>
      <c r="DZ288" s="37"/>
      <c r="EA288" s="39"/>
      <c r="EB288" s="39"/>
      <c r="EC288" s="40"/>
    </row>
    <row r="289" spans="1:133" hidden="1">
      <c r="A289" s="44" t="s">
        <v>138</v>
      </c>
      <c r="B289" s="22" t="s">
        <v>639</v>
      </c>
      <c r="C289" s="20" t="s">
        <v>640</v>
      </c>
      <c r="D289" s="21" t="s">
        <v>629</v>
      </c>
      <c r="E289" s="21"/>
      <c r="F289" s="22" t="s">
        <v>360</v>
      </c>
      <c r="G289" s="23" t="str" cm="1">
        <f t="array" ref="G289">IFERROR(LOOKUP(2,1/(K289:GC289&lt;&gt;""),K$2:DQL$2),"")</f>
        <v>21-Jul</v>
      </c>
      <c r="H289" s="227" cm="1">
        <f t="array" ref="H289">IFERROR(_xlfn.XLOOKUP(TRUE,P289:ED289&lt;&gt;"",P289:ED289,,,-1)," ")</f>
        <v>22.1</v>
      </c>
      <c r="I289" s="25">
        <v>22</v>
      </c>
      <c r="J289" s="26"/>
      <c r="K289" s="26">
        <v>14.2</v>
      </c>
      <c r="L289" s="26"/>
      <c r="M289" s="26"/>
      <c r="N289" s="26"/>
      <c r="O289" s="26"/>
      <c r="P289" s="26"/>
      <c r="Q289" s="26">
        <v>16</v>
      </c>
      <c r="R289" s="26"/>
      <c r="S289" s="25"/>
      <c r="T289" s="25"/>
      <c r="U289" s="25"/>
      <c r="V289" s="217">
        <v>19.600000000000001</v>
      </c>
      <c r="W289" s="25"/>
      <c r="X289" s="25"/>
      <c r="Y289" s="217">
        <v>21.4</v>
      </c>
      <c r="Z289" s="25"/>
      <c r="AA289" s="25"/>
      <c r="AB289" s="25"/>
      <c r="AC289" s="25"/>
      <c r="AD289" s="217">
        <v>22.1</v>
      </c>
      <c r="AE289" s="34"/>
      <c r="AF289" s="35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6"/>
      <c r="AT289" s="34"/>
      <c r="AU289" s="34"/>
      <c r="AV289" s="34"/>
      <c r="AW289" s="34"/>
      <c r="AX289" s="34"/>
      <c r="AY289" s="36"/>
      <c r="AZ289" s="34"/>
      <c r="BA289" s="36"/>
      <c r="BB289" s="60"/>
      <c r="BC289" s="34"/>
      <c r="BD289" s="34"/>
      <c r="BE289" s="37"/>
      <c r="BF289" s="37"/>
      <c r="BG289" s="34"/>
      <c r="BH289" s="37"/>
      <c r="BI289" s="34"/>
      <c r="BJ289" s="37"/>
      <c r="BK289" s="34"/>
      <c r="BL289" s="37"/>
      <c r="BM289" s="37"/>
      <c r="BN289" s="37"/>
      <c r="BO289" s="37"/>
      <c r="BP289" s="37"/>
      <c r="BQ289" s="37"/>
      <c r="BR289" s="34"/>
      <c r="BS289" s="37"/>
      <c r="BT289" s="37"/>
      <c r="BU289" s="34"/>
      <c r="BV289" s="37"/>
      <c r="BW289" s="34"/>
      <c r="BX289" s="37"/>
      <c r="BY289" s="34"/>
      <c r="BZ289" s="34"/>
      <c r="CA289" s="37"/>
      <c r="CB289" s="37"/>
      <c r="CC289" s="34"/>
      <c r="CD289" s="37"/>
      <c r="CE289" s="37"/>
      <c r="CF289" s="37"/>
      <c r="CG289" s="37"/>
      <c r="CH289" s="37"/>
      <c r="CI289" s="37"/>
      <c r="CJ289" s="37"/>
      <c r="CK289" s="37"/>
      <c r="CL289" s="34"/>
      <c r="CM289" s="37"/>
      <c r="CN289" s="37"/>
      <c r="CO289" s="37"/>
      <c r="CP289" s="34"/>
      <c r="CQ289" s="37"/>
      <c r="CR289" s="37"/>
      <c r="CS289" s="37"/>
      <c r="CT289" s="34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  <c r="DI289" s="37"/>
      <c r="DJ289" s="37"/>
      <c r="DK289" s="37"/>
      <c r="DL289" s="37"/>
      <c r="DM289" s="37"/>
      <c r="DN289" s="37"/>
      <c r="DO289" s="37"/>
      <c r="DP289" s="37"/>
      <c r="DQ289" s="37"/>
      <c r="DR289" s="37"/>
      <c r="DS289" s="37"/>
      <c r="DT289" s="37"/>
      <c r="DU289" s="37"/>
      <c r="DV289" s="37"/>
      <c r="DW289" s="37"/>
      <c r="DX289" s="37"/>
      <c r="DY289" s="37"/>
      <c r="DZ289" s="37"/>
      <c r="EA289" s="39"/>
      <c r="EB289" s="39"/>
      <c r="EC289" s="40"/>
    </row>
    <row r="290" spans="1:133" hidden="1">
      <c r="A290" s="44" t="s">
        <v>138</v>
      </c>
      <c r="B290" s="22" t="s">
        <v>641</v>
      </c>
      <c r="C290" s="20" t="s">
        <v>642</v>
      </c>
      <c r="D290" s="21" t="s">
        <v>629</v>
      </c>
      <c r="E290" s="21"/>
      <c r="F290" s="39" t="s">
        <v>643</v>
      </c>
      <c r="G290" s="23" t="str" cm="1">
        <f t="array" ref="G290">IFERROR(LOOKUP(2,1/(K290:GC290&lt;&gt;""),K$2:DQL$2),"")</f>
        <v>27-Jul</v>
      </c>
      <c r="H290" s="24" cm="1">
        <f t="array" ref="H290">IFERROR(_xlfn.XLOOKUP(TRUE,P290:ED290&lt;&gt;"",P290:ED290,,,-1)," ")</f>
        <v>22</v>
      </c>
      <c r="I290" s="25">
        <v>22</v>
      </c>
      <c r="J290" s="26"/>
      <c r="K290" s="26">
        <v>11.4</v>
      </c>
      <c r="L290" s="26"/>
      <c r="M290" s="26"/>
      <c r="N290" s="26"/>
      <c r="O290" s="26"/>
      <c r="P290" s="26"/>
      <c r="Q290" s="26">
        <v>15</v>
      </c>
      <c r="R290" s="26"/>
      <c r="S290" s="25"/>
      <c r="T290" s="25"/>
      <c r="U290" s="25"/>
      <c r="V290" s="25"/>
      <c r="W290" s="25">
        <v>15.7</v>
      </c>
      <c r="X290" s="25"/>
      <c r="Y290" s="25"/>
      <c r="Z290" s="25"/>
      <c r="AA290" s="25"/>
      <c r="AB290" s="25"/>
      <c r="AC290" s="25">
        <v>17.8</v>
      </c>
      <c r="AD290" s="25"/>
      <c r="AE290" s="49"/>
      <c r="AF290" s="64"/>
      <c r="AG290" s="49"/>
      <c r="AH290" s="49"/>
      <c r="AI290" s="49"/>
      <c r="AJ290" s="34">
        <v>22</v>
      </c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34"/>
      <c r="AW290" s="49"/>
      <c r="AX290" s="49"/>
      <c r="AY290" s="49"/>
      <c r="AZ290" s="34"/>
      <c r="BA290" s="49"/>
      <c r="BB290" s="49"/>
      <c r="BC290" s="49"/>
      <c r="BD290" s="49"/>
      <c r="BE290" s="39"/>
      <c r="BF290" s="39"/>
      <c r="BG290" s="49"/>
      <c r="BH290" s="50"/>
      <c r="BI290" s="49"/>
      <c r="BJ290" s="39"/>
      <c r="BK290" s="49"/>
      <c r="BL290" s="39"/>
      <c r="BM290" s="39"/>
      <c r="BN290" s="49"/>
      <c r="BO290" s="39"/>
      <c r="BP290" s="49"/>
      <c r="BQ290" s="49"/>
      <c r="BR290" s="49"/>
      <c r="BS290" s="39"/>
      <c r="BT290" s="39"/>
      <c r="BU290" s="49"/>
      <c r="BV290" s="49"/>
      <c r="BW290" s="49"/>
      <c r="BX290" s="39"/>
      <c r="BY290" s="49"/>
      <c r="BZ290" s="49"/>
      <c r="CA290" s="39"/>
      <c r="CB290" s="39"/>
      <c r="CC290" s="49"/>
      <c r="CD290" s="39"/>
      <c r="CE290" s="39"/>
      <c r="CF290" s="39"/>
      <c r="CG290" s="39"/>
      <c r="CH290" s="39"/>
      <c r="CI290" s="39"/>
      <c r="CJ290" s="39"/>
      <c r="CK290" s="39"/>
      <c r="CL290" s="49"/>
      <c r="CM290" s="39"/>
      <c r="CN290" s="39"/>
      <c r="CO290" s="39"/>
      <c r="CP290" s="49"/>
      <c r="CQ290" s="39"/>
      <c r="CR290" s="39"/>
      <c r="CS290" s="39"/>
      <c r="CT290" s="4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  <c r="DH290" s="39"/>
      <c r="DI290" s="39"/>
      <c r="DJ290" s="39"/>
      <c r="DK290" s="39"/>
      <c r="DL290" s="39"/>
      <c r="DM290" s="39"/>
      <c r="DN290" s="39"/>
      <c r="DO290" s="39"/>
      <c r="DP290" s="39"/>
      <c r="DQ290" s="39"/>
      <c r="DR290" s="39"/>
      <c r="DS290" s="39"/>
      <c r="DT290" s="39"/>
      <c r="DU290" s="39"/>
      <c r="DV290" s="39"/>
      <c r="DW290" s="39"/>
      <c r="DX290" s="39"/>
      <c r="DY290" s="39"/>
      <c r="DZ290" s="39"/>
      <c r="EA290" s="39"/>
      <c r="EB290" s="39"/>
      <c r="EC290" s="40"/>
    </row>
    <row r="291" spans="1:133" hidden="1">
      <c r="A291" s="44" t="s">
        <v>138</v>
      </c>
      <c r="B291" s="22" t="s">
        <v>644</v>
      </c>
      <c r="C291" s="20" t="s">
        <v>645</v>
      </c>
      <c r="D291" s="21" t="s">
        <v>646</v>
      </c>
      <c r="E291" s="21"/>
      <c r="F291" s="22"/>
      <c r="G291" s="23" t="str" cm="1">
        <f t="array" ref="G291">IFERROR(LOOKUP(2,1/(K291:GC291&lt;&gt;""),K$2:DQL$2),"")</f>
        <v/>
      </c>
      <c r="H291" s="24" t="str" cm="1">
        <f t="array" ref="H291">IFERROR(_xlfn.XLOOKUP(TRUE,P291:ED291&lt;&gt;"",P291:ED291,,,-1)," ")</f>
        <v xml:space="preserve"> </v>
      </c>
      <c r="I291" s="25">
        <v>25</v>
      </c>
      <c r="J291" s="26"/>
      <c r="K291" s="26"/>
      <c r="L291" s="26"/>
      <c r="M291" s="26"/>
      <c r="N291" s="26"/>
      <c r="O291" s="26"/>
      <c r="P291" s="26"/>
      <c r="Q291" s="26"/>
      <c r="R291" s="26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49"/>
      <c r="AF291" s="64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34"/>
      <c r="BD291" s="49"/>
      <c r="BE291" s="38"/>
      <c r="BF291" s="39"/>
      <c r="BG291" s="49"/>
      <c r="BH291" s="49"/>
      <c r="BI291" s="49"/>
      <c r="BJ291" s="36"/>
      <c r="BK291" s="49"/>
      <c r="BL291" s="49"/>
      <c r="BM291" s="39"/>
      <c r="BN291" s="50"/>
      <c r="BO291" s="49"/>
      <c r="BP291" s="49"/>
      <c r="BQ291" s="50"/>
      <c r="BR291" s="49"/>
      <c r="BS291" s="39"/>
      <c r="BT291" s="39"/>
      <c r="BU291" s="49"/>
      <c r="BV291" s="49"/>
      <c r="BW291" s="49"/>
      <c r="BX291" s="49"/>
      <c r="BY291" s="49"/>
      <c r="BZ291" s="49"/>
      <c r="CA291" s="39"/>
      <c r="CB291" s="49"/>
      <c r="CC291" s="49"/>
      <c r="CD291" s="49"/>
      <c r="CE291" s="49"/>
      <c r="CF291" s="49"/>
      <c r="CG291" s="49"/>
      <c r="CH291" s="49"/>
      <c r="CI291" s="49"/>
      <c r="CJ291" s="49"/>
      <c r="CK291" s="49"/>
      <c r="CL291" s="49"/>
      <c r="CM291" s="22"/>
      <c r="CN291" s="39"/>
      <c r="CO291" s="39"/>
      <c r="CP291" s="49"/>
      <c r="CQ291" s="39"/>
      <c r="CR291" s="49"/>
      <c r="CS291" s="39"/>
      <c r="CT291" s="4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  <c r="DH291" s="39"/>
      <c r="DI291" s="39"/>
      <c r="DJ291" s="39"/>
      <c r="DK291" s="39"/>
      <c r="DL291" s="39"/>
      <c r="DM291" s="39"/>
      <c r="DN291" s="39"/>
      <c r="DO291" s="39"/>
      <c r="DP291" s="39"/>
      <c r="DQ291" s="39"/>
      <c r="DR291" s="39"/>
      <c r="DS291" s="39"/>
      <c r="DT291" s="39"/>
      <c r="DU291" s="39"/>
      <c r="DV291" s="39"/>
      <c r="DW291" s="39"/>
      <c r="DX291" s="39"/>
      <c r="DY291" s="39"/>
      <c r="DZ291" s="39"/>
      <c r="EA291" s="39"/>
      <c r="EB291" s="39"/>
      <c r="EC291" s="40"/>
    </row>
    <row r="292" spans="1:133" hidden="1">
      <c r="A292" s="44" t="s">
        <v>138</v>
      </c>
      <c r="B292" s="22" t="s">
        <v>647</v>
      </c>
      <c r="C292" s="20" t="s">
        <v>648</v>
      </c>
      <c r="D292" s="21" t="s">
        <v>646</v>
      </c>
      <c r="E292" s="21"/>
      <c r="F292" s="22"/>
      <c r="G292" s="23" t="str" cm="1">
        <f t="array" ref="G292">IFERROR(LOOKUP(2,1/(K292:GC292&lt;&gt;""),K$2:DQL$2),"")</f>
        <v/>
      </c>
      <c r="H292" s="24" t="str" cm="1">
        <f t="array" ref="H292">IFERROR(_xlfn.XLOOKUP(TRUE,P292:ED292&lt;&gt;"",P292:ED292,,,-1)," ")</f>
        <v xml:space="preserve"> </v>
      </c>
      <c r="I292" s="25">
        <v>25</v>
      </c>
      <c r="J292" s="26"/>
      <c r="K292" s="26"/>
      <c r="L292" s="26"/>
      <c r="M292" s="26"/>
      <c r="N292" s="26"/>
      <c r="O292" s="26"/>
      <c r="P292" s="26"/>
      <c r="Q292" s="26"/>
      <c r="R292" s="26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49"/>
      <c r="AF292" s="64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39"/>
      <c r="BF292" s="39"/>
      <c r="BG292" s="49"/>
      <c r="BH292" s="49"/>
      <c r="BI292" s="49"/>
      <c r="BJ292" s="49"/>
      <c r="BK292" s="49"/>
      <c r="BL292" s="49"/>
      <c r="BM292" s="39"/>
      <c r="BN292" s="49"/>
      <c r="BO292" s="49"/>
      <c r="BP292" s="49"/>
      <c r="BQ292" s="49"/>
      <c r="BR292" s="49"/>
      <c r="BS292" s="39"/>
      <c r="BT292" s="39"/>
      <c r="BU292" s="49"/>
      <c r="BV292" s="49"/>
      <c r="BW292" s="49"/>
      <c r="BX292" s="49"/>
      <c r="BY292" s="49"/>
      <c r="BZ292" s="49"/>
      <c r="CA292" s="39"/>
      <c r="CB292" s="49"/>
      <c r="CC292" s="49"/>
      <c r="CD292" s="34"/>
      <c r="CE292" s="49"/>
      <c r="CF292" s="49"/>
      <c r="CG292" s="34"/>
      <c r="CH292" s="49"/>
      <c r="CI292" s="49"/>
      <c r="CJ292" s="49"/>
      <c r="CK292" s="49"/>
      <c r="CL292" s="49"/>
      <c r="CM292" s="22"/>
      <c r="CN292" s="22"/>
      <c r="CO292" s="39"/>
      <c r="CP292" s="34"/>
      <c r="CQ292" s="49"/>
      <c r="CR292" s="49"/>
      <c r="CS292" s="49"/>
      <c r="CT292" s="49"/>
      <c r="CU292" s="39"/>
      <c r="CV292" s="39"/>
      <c r="CW292" s="49"/>
      <c r="CX292" s="49"/>
      <c r="CY292" s="49"/>
      <c r="CZ292" s="49"/>
      <c r="DA292" s="49"/>
      <c r="DB292" s="39"/>
      <c r="DC292" s="39"/>
      <c r="DD292" s="49"/>
      <c r="DE292" s="49"/>
      <c r="DF292" s="39"/>
      <c r="DG292" s="39"/>
      <c r="DH292" s="39"/>
      <c r="DI292" s="39"/>
      <c r="DJ292" s="39"/>
      <c r="DK292" s="39"/>
      <c r="DL292" s="39"/>
      <c r="DM292" s="39"/>
      <c r="DN292" s="39"/>
      <c r="DO292" s="39"/>
      <c r="DP292" s="39"/>
      <c r="DQ292" s="39"/>
      <c r="DR292" s="39"/>
      <c r="DS292" s="39"/>
      <c r="DT292" s="39"/>
      <c r="DU292" s="39"/>
      <c r="DV292" s="39"/>
      <c r="DW292" s="39"/>
      <c r="DX292" s="39"/>
      <c r="DY292" s="39"/>
      <c r="DZ292" s="39"/>
      <c r="EA292" s="49"/>
      <c r="EB292" s="49"/>
      <c r="EC292" s="87"/>
    </row>
    <row r="293" spans="1:133">
      <c r="A293" s="44"/>
      <c r="B293" s="22" t="s">
        <v>649</v>
      </c>
      <c r="C293" s="20" t="s">
        <v>650</v>
      </c>
      <c r="D293" s="21" t="s">
        <v>646</v>
      </c>
      <c r="E293" s="21"/>
      <c r="F293" s="22" t="s">
        <v>137</v>
      </c>
      <c r="G293" s="23" t="str" cm="1">
        <f t="array" ref="G293">IFERROR(LOOKUP(2,1/(K293:GC293&lt;&gt;""),K$2:DQL$2),"")</f>
        <v>17-Aug</v>
      </c>
      <c r="H293" s="24" cm="1">
        <f t="array" ref="H293">IFERROR(_xlfn.XLOOKUP(TRUE,P293:ED293&lt;&gt;"",P293:ED293,,,-1)," ")</f>
        <v>24.6</v>
      </c>
      <c r="I293" s="25">
        <v>25</v>
      </c>
      <c r="J293" s="26"/>
      <c r="K293" s="26"/>
      <c r="L293" s="26"/>
      <c r="M293" s="26"/>
      <c r="N293" s="26"/>
      <c r="O293" s="26"/>
      <c r="P293" s="26"/>
      <c r="Q293" s="26"/>
      <c r="R293" s="26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34">
        <v>19</v>
      </c>
      <c r="AF293" s="35"/>
      <c r="AG293" s="34"/>
      <c r="AH293" s="34"/>
      <c r="AI293" s="34"/>
      <c r="AJ293" s="34"/>
      <c r="AK293" s="34"/>
      <c r="AL293" s="34">
        <v>20</v>
      </c>
      <c r="AM293" s="34"/>
      <c r="AN293" s="34"/>
      <c r="AO293" s="34"/>
      <c r="AP293" s="34"/>
      <c r="AQ293" s="34"/>
      <c r="AR293" s="34"/>
      <c r="AS293" s="34">
        <v>23.3</v>
      </c>
      <c r="AT293" s="34"/>
      <c r="AU293" s="34"/>
      <c r="AV293" s="34"/>
      <c r="AW293" s="34"/>
      <c r="AX293" s="34"/>
      <c r="AY293" s="36">
        <v>23.7</v>
      </c>
      <c r="AZ293" s="34"/>
      <c r="BA293" s="34"/>
      <c r="BB293" s="34"/>
      <c r="BC293" s="34"/>
      <c r="BD293" s="34"/>
      <c r="BE293" s="38">
        <v>24.6</v>
      </c>
      <c r="BF293" s="37"/>
      <c r="BG293" s="34"/>
      <c r="BH293" s="34"/>
      <c r="BI293" s="34"/>
      <c r="BJ293" s="34"/>
      <c r="BK293" s="36"/>
      <c r="BL293" s="34"/>
      <c r="BM293" s="37"/>
      <c r="BN293" s="34"/>
      <c r="BO293" s="34"/>
      <c r="BP293" s="34"/>
      <c r="BQ293" s="34"/>
      <c r="BR293" s="34"/>
      <c r="BS293" s="37"/>
      <c r="BT293" s="37"/>
      <c r="BU293" s="34"/>
      <c r="BV293" s="34"/>
      <c r="BW293" s="36"/>
      <c r="BX293" s="34"/>
      <c r="BY293" s="34"/>
      <c r="BZ293" s="34"/>
      <c r="CA293" s="38"/>
      <c r="CB293" s="34"/>
      <c r="CC293" s="34"/>
      <c r="CD293" s="34"/>
      <c r="CE293" s="34"/>
      <c r="CF293" s="34"/>
      <c r="CG293" s="34"/>
      <c r="CH293" s="36"/>
      <c r="CI293" s="34"/>
      <c r="CJ293" s="34"/>
      <c r="CK293" s="36"/>
      <c r="CL293" s="34"/>
      <c r="CM293" s="34"/>
      <c r="CN293" s="37"/>
      <c r="CO293" s="37"/>
      <c r="CP293" s="34"/>
      <c r="CQ293" s="34"/>
      <c r="CR293" s="34"/>
      <c r="CS293" s="34"/>
      <c r="CT293" s="34"/>
      <c r="CU293" s="37"/>
      <c r="CV293" s="37"/>
      <c r="CW293" s="34"/>
      <c r="CX293" s="34"/>
      <c r="CY293" s="34"/>
      <c r="CZ293" s="34"/>
      <c r="DA293" s="34"/>
      <c r="DB293" s="37"/>
      <c r="DC293" s="37"/>
      <c r="DD293" s="34"/>
      <c r="DE293" s="34"/>
      <c r="DF293" s="37"/>
      <c r="DG293" s="37"/>
      <c r="DH293" s="37"/>
      <c r="DI293" s="37"/>
      <c r="DJ293" s="37"/>
      <c r="DK293" s="37"/>
      <c r="DL293" s="37"/>
      <c r="DM293" s="37"/>
      <c r="DN293" s="37"/>
      <c r="DO293" s="37"/>
      <c r="DP293" s="37"/>
      <c r="DQ293" s="37"/>
      <c r="DR293" s="37"/>
      <c r="DS293" s="37"/>
      <c r="DT293" s="37"/>
      <c r="DU293" s="37"/>
      <c r="DV293" s="37"/>
      <c r="DW293" s="37"/>
      <c r="DX293" s="37"/>
      <c r="DY293" s="37"/>
      <c r="DZ293" s="37"/>
      <c r="EA293" s="39"/>
      <c r="EB293" s="39"/>
      <c r="EC293" s="40"/>
    </row>
    <row r="294" spans="1:133">
      <c r="A294" s="44"/>
      <c r="B294" s="22" t="s">
        <v>651</v>
      </c>
      <c r="C294" s="20" t="s">
        <v>652</v>
      </c>
      <c r="D294" s="21" t="s">
        <v>646</v>
      </c>
      <c r="E294" s="21"/>
      <c r="F294" s="22" t="s">
        <v>137</v>
      </c>
      <c r="G294" s="23" t="str" cm="1">
        <f t="array" ref="G294">IFERROR(LOOKUP(2,1/(K294:GC294&lt;&gt;""),K$2:DQL$2),"")</f>
        <v>13-Aug</v>
      </c>
      <c r="H294" s="24" cm="1">
        <f t="array" ref="H294">IFERROR(_xlfn.XLOOKUP(TRUE,P294:ED294&lt;&gt;"",P294:ED294,,,-1)," ")</f>
        <v>22.1</v>
      </c>
      <c r="I294" s="25">
        <v>25</v>
      </c>
      <c r="J294" s="26"/>
      <c r="K294" s="26"/>
      <c r="L294" s="26"/>
      <c r="M294" s="26"/>
      <c r="N294" s="26"/>
      <c r="O294" s="26"/>
      <c r="P294" s="26"/>
      <c r="Q294" s="26"/>
      <c r="R294" s="26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49"/>
      <c r="AF294" s="64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>
        <v>20.7</v>
      </c>
      <c r="AV294" s="49"/>
      <c r="AW294" s="49"/>
      <c r="AX294" s="49"/>
      <c r="AY294" s="49"/>
      <c r="AZ294" s="49"/>
      <c r="BA294" s="49">
        <v>22.1</v>
      </c>
      <c r="BB294" s="49"/>
      <c r="BC294" s="49"/>
      <c r="BD294" s="49"/>
      <c r="BE294" s="39"/>
      <c r="BF294" s="39"/>
      <c r="BG294" s="34"/>
      <c r="BH294" s="49"/>
      <c r="BI294" s="49"/>
      <c r="BJ294" s="49"/>
      <c r="BK294" s="50"/>
      <c r="BL294" s="49"/>
      <c r="BM294" s="39"/>
      <c r="BN294" s="34"/>
      <c r="BO294" s="49"/>
      <c r="BP294" s="49"/>
      <c r="BQ294" s="49"/>
      <c r="BR294" s="49"/>
      <c r="BS294" s="39"/>
      <c r="BT294" s="39"/>
      <c r="BU294" s="39"/>
      <c r="BV294" s="49"/>
      <c r="BW294" s="49"/>
      <c r="BX294" s="49"/>
      <c r="BY294" s="49"/>
      <c r="BZ294" s="49"/>
      <c r="CA294" s="39"/>
      <c r="CB294" s="49"/>
      <c r="CC294" s="49"/>
      <c r="CD294" s="49"/>
      <c r="CE294" s="34"/>
      <c r="CF294" s="49"/>
      <c r="CG294" s="49"/>
      <c r="CH294" s="49"/>
      <c r="CI294" s="49"/>
      <c r="CJ294" s="49"/>
      <c r="CK294" s="49"/>
      <c r="CL294" s="49"/>
      <c r="CM294" s="43"/>
      <c r="CN294" s="39"/>
      <c r="CO294" s="39"/>
      <c r="CP294" s="34"/>
      <c r="CQ294" s="39"/>
      <c r="CR294" s="49"/>
      <c r="CS294" s="39"/>
      <c r="CT294" s="4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  <c r="DH294" s="39"/>
      <c r="DI294" s="39"/>
      <c r="DJ294" s="39"/>
      <c r="DK294" s="39"/>
      <c r="DL294" s="39"/>
      <c r="DM294" s="39"/>
      <c r="DN294" s="39"/>
      <c r="DO294" s="39"/>
      <c r="DP294" s="39"/>
      <c r="DQ294" s="39"/>
      <c r="DR294" s="39"/>
      <c r="DS294" s="39"/>
      <c r="DT294" s="39"/>
      <c r="DU294" s="39"/>
      <c r="DV294" s="39"/>
      <c r="DW294" s="39"/>
      <c r="DX294" s="39"/>
      <c r="DY294" s="39"/>
      <c r="DZ294" s="39"/>
      <c r="EA294" s="39"/>
      <c r="EB294" s="39"/>
      <c r="EC294" s="40"/>
    </row>
    <row r="295" spans="1:133">
      <c r="A295" s="44"/>
      <c r="B295" s="22" t="s">
        <v>653</v>
      </c>
      <c r="C295" s="20" t="s">
        <v>654</v>
      </c>
      <c r="D295" s="21" t="s">
        <v>646</v>
      </c>
      <c r="E295" s="21"/>
      <c r="F295" s="22" t="s">
        <v>137</v>
      </c>
      <c r="G295" s="23" t="str" cm="1">
        <f t="array" ref="G295">IFERROR(LOOKUP(2,1/(K295:GC295&lt;&gt;""),K$2:DQL$2),"")</f>
        <v>13-Aug</v>
      </c>
      <c r="H295" s="24" cm="1">
        <f t="array" ref="H295">IFERROR(_xlfn.XLOOKUP(TRUE,P295:ED295&lt;&gt;"",P295:ED295,,,-1)," ")</f>
        <v>21.2</v>
      </c>
      <c r="I295" s="25">
        <v>25</v>
      </c>
      <c r="J295" s="26"/>
      <c r="K295" s="26"/>
      <c r="L295" s="26"/>
      <c r="M295" s="26"/>
      <c r="N295" s="26"/>
      <c r="O295" s="26"/>
      <c r="P295" s="26"/>
      <c r="Q295" s="26"/>
      <c r="R295" s="26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34"/>
      <c r="AF295" s="35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>
        <v>21</v>
      </c>
      <c r="AV295" s="34"/>
      <c r="AW295" s="34"/>
      <c r="AX295" s="34"/>
      <c r="AY295" s="34"/>
      <c r="AZ295" s="34"/>
      <c r="BA295" s="34">
        <v>21.2</v>
      </c>
      <c r="BB295" s="34"/>
      <c r="BC295" s="34"/>
      <c r="BD295" s="34"/>
      <c r="BE295" s="37"/>
      <c r="BF295" s="37"/>
      <c r="BG295" s="34"/>
      <c r="BH295" s="34"/>
      <c r="BI295" s="34"/>
      <c r="BJ295" s="34"/>
      <c r="BK295" s="36"/>
      <c r="BL295" s="34"/>
      <c r="BM295" s="37"/>
      <c r="BN295" s="34"/>
      <c r="BO295" s="34"/>
      <c r="BP295" s="34"/>
      <c r="BQ295" s="36"/>
      <c r="BR295" s="34"/>
      <c r="BS295" s="37"/>
      <c r="BT295" s="37"/>
      <c r="BU295" s="37"/>
      <c r="BV295" s="34"/>
      <c r="BW295" s="34"/>
      <c r="BX295" s="34"/>
      <c r="BY295" s="34"/>
      <c r="BZ295" s="34"/>
      <c r="CA295" s="37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43"/>
      <c r="CN295" s="37"/>
      <c r="CO295" s="37"/>
      <c r="CP295" s="34"/>
      <c r="CQ295" s="37"/>
      <c r="CR295" s="34"/>
      <c r="CS295" s="37"/>
      <c r="CT295" s="34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  <c r="DI295" s="37"/>
      <c r="DJ295" s="37"/>
      <c r="DK295" s="37"/>
      <c r="DL295" s="37"/>
      <c r="DM295" s="37"/>
      <c r="DN295" s="37"/>
      <c r="DO295" s="37"/>
      <c r="DP295" s="37"/>
      <c r="DQ295" s="37"/>
      <c r="DR295" s="37"/>
      <c r="DS295" s="37"/>
      <c r="DT295" s="37"/>
      <c r="DU295" s="37"/>
      <c r="DV295" s="37"/>
      <c r="DW295" s="37"/>
      <c r="DX295" s="37"/>
      <c r="DY295" s="37"/>
      <c r="DZ295" s="37"/>
      <c r="EA295" s="39"/>
      <c r="EB295" s="39"/>
      <c r="EC295" s="40"/>
    </row>
    <row r="296" spans="1:133">
      <c r="A296" s="44"/>
      <c r="B296" s="49" t="s">
        <v>655</v>
      </c>
      <c r="C296" s="20" t="s">
        <v>656</v>
      </c>
      <c r="D296" s="21" t="s">
        <v>646</v>
      </c>
      <c r="E296" s="21"/>
      <c r="F296" s="22" t="s">
        <v>137</v>
      </c>
      <c r="G296" s="23" t="str" cm="1">
        <f t="array" ref="G296">IFERROR(LOOKUP(2,1/(K296:GC296&lt;&gt;""),K$2:DQL$2),"")</f>
        <v/>
      </c>
      <c r="H296" s="24" t="str" cm="1">
        <f t="array" ref="H296">IFERROR(_xlfn.XLOOKUP(TRUE,P296:ED296&lt;&gt;"",P296:ED296,,,-1)," ")</f>
        <v xml:space="preserve"> </v>
      </c>
      <c r="I296" s="25">
        <v>24</v>
      </c>
      <c r="J296" s="26"/>
      <c r="K296" s="26"/>
      <c r="L296" s="26"/>
      <c r="M296" s="26"/>
      <c r="N296" s="26"/>
      <c r="O296" s="26"/>
      <c r="P296" s="26"/>
      <c r="Q296" s="26"/>
      <c r="R296" s="26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49"/>
      <c r="AF296" s="64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39"/>
      <c r="BF296" s="39"/>
      <c r="BG296" s="49"/>
      <c r="BH296" s="49"/>
      <c r="BI296" s="49"/>
      <c r="BJ296" s="49"/>
      <c r="BK296" s="50"/>
      <c r="BL296" s="49"/>
      <c r="BM296" s="39"/>
      <c r="BN296" s="49"/>
      <c r="BO296" s="49"/>
      <c r="BP296" s="49"/>
      <c r="BQ296" s="49"/>
      <c r="BR296" s="49"/>
      <c r="BS296" s="39"/>
      <c r="BT296" s="39"/>
      <c r="BU296" s="49"/>
      <c r="BV296" s="34"/>
      <c r="BW296" s="49"/>
      <c r="BX296" s="49"/>
      <c r="BY296" s="49"/>
      <c r="BZ296" s="34"/>
      <c r="CA296" s="39"/>
      <c r="CB296" s="49"/>
      <c r="CC296" s="34"/>
      <c r="CD296" s="34"/>
      <c r="CE296" s="49"/>
      <c r="CF296" s="49"/>
      <c r="CG296" s="49"/>
      <c r="CH296" s="49"/>
      <c r="CI296" s="49"/>
      <c r="CJ296" s="49"/>
      <c r="CK296" s="34"/>
      <c r="CL296" s="49"/>
      <c r="CM296" s="22"/>
      <c r="CN296" s="39"/>
      <c r="CO296" s="37"/>
      <c r="CP296" s="49"/>
      <c r="CQ296" s="52"/>
      <c r="CR296" s="49"/>
      <c r="CS296" s="39"/>
      <c r="CT296" s="34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7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39"/>
      <c r="DR296" s="39"/>
      <c r="DS296" s="39"/>
      <c r="DT296" s="39"/>
      <c r="DU296" s="39"/>
      <c r="DV296" s="39"/>
      <c r="DW296" s="39"/>
      <c r="DX296" s="39"/>
      <c r="DY296" s="39"/>
      <c r="DZ296" s="39"/>
      <c r="EA296" s="39"/>
      <c r="EB296" s="39"/>
      <c r="EC296" s="40"/>
    </row>
    <row r="297" spans="1:133">
      <c r="A297" s="44"/>
      <c r="B297" s="49" t="s">
        <v>655</v>
      </c>
      <c r="C297" s="20" t="s">
        <v>657</v>
      </c>
      <c r="D297" s="21" t="s">
        <v>646</v>
      </c>
      <c r="E297" s="21"/>
      <c r="F297" s="22" t="s">
        <v>137</v>
      </c>
      <c r="G297" s="23" t="str" cm="1">
        <f t="array" ref="G297">IFERROR(LOOKUP(2,1/(K297:GC297&lt;&gt;""),K$2:DQL$2),"")</f>
        <v/>
      </c>
      <c r="H297" s="24" t="str" cm="1">
        <f t="array" ref="H297">IFERROR(_xlfn.XLOOKUP(TRUE,P297:ED297&lt;&gt;"",P297:ED297,,,-1)," ")</f>
        <v xml:space="preserve"> </v>
      </c>
      <c r="I297" s="25">
        <v>24</v>
      </c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49"/>
      <c r="AF297" s="64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39"/>
      <c r="BF297" s="39"/>
      <c r="BG297" s="49"/>
      <c r="BH297" s="49"/>
      <c r="BI297" s="49"/>
      <c r="BJ297" s="49"/>
      <c r="BK297" s="49"/>
      <c r="BL297" s="49"/>
      <c r="BM297" s="39"/>
      <c r="BN297" s="49"/>
      <c r="BO297" s="49"/>
      <c r="BP297" s="49"/>
      <c r="BQ297" s="49"/>
      <c r="BR297" s="49"/>
      <c r="BS297" s="39"/>
      <c r="BT297" s="39"/>
      <c r="BU297" s="49"/>
      <c r="BV297" s="49"/>
      <c r="BW297" s="49"/>
      <c r="BX297" s="49"/>
      <c r="BY297" s="49"/>
      <c r="BZ297" s="49"/>
      <c r="CA297" s="39"/>
      <c r="CB297" s="49"/>
      <c r="CC297" s="34"/>
      <c r="CD297" s="49"/>
      <c r="CE297" s="49"/>
      <c r="CF297" s="49"/>
      <c r="CG297" s="49"/>
      <c r="CH297" s="49"/>
      <c r="CI297" s="49"/>
      <c r="CJ297" s="49"/>
      <c r="CK297" s="49"/>
      <c r="CL297" s="49"/>
      <c r="CM297" s="22"/>
      <c r="CN297" s="39"/>
      <c r="CO297" s="39"/>
      <c r="CP297" s="34"/>
      <c r="CQ297" s="52"/>
      <c r="CR297" s="49"/>
      <c r="CS297" s="39"/>
      <c r="CT297" s="49"/>
      <c r="CU297" s="39"/>
      <c r="CV297" s="39"/>
      <c r="CW297" s="39"/>
      <c r="CX297" s="39"/>
      <c r="CY297" s="39"/>
      <c r="CZ297" s="39"/>
      <c r="DA297" s="52"/>
      <c r="DB297" s="39"/>
      <c r="DC297" s="39"/>
      <c r="DD297" s="39"/>
      <c r="DE297" s="39"/>
      <c r="DF297" s="39"/>
      <c r="DG297" s="39"/>
      <c r="DH297" s="39"/>
      <c r="DI297" s="39"/>
      <c r="DJ297" s="39"/>
      <c r="DK297" s="39"/>
      <c r="DL297" s="39"/>
      <c r="DM297" s="39"/>
      <c r="DN297" s="39"/>
      <c r="DO297" s="39"/>
      <c r="DP297" s="39"/>
      <c r="DQ297" s="39"/>
      <c r="DR297" s="39"/>
      <c r="DS297" s="39"/>
      <c r="DT297" s="39"/>
      <c r="DU297" s="39"/>
      <c r="DV297" s="39"/>
      <c r="DW297" s="39"/>
      <c r="DX297" s="39"/>
      <c r="DY297" s="39"/>
      <c r="DZ297" s="39"/>
      <c r="EA297" s="39"/>
      <c r="EB297" s="39"/>
      <c r="EC297" s="40"/>
    </row>
    <row r="298" spans="1:133">
      <c r="A298" s="64"/>
      <c r="B298" s="49" t="s">
        <v>655</v>
      </c>
      <c r="C298" s="65" t="s">
        <v>658</v>
      </c>
      <c r="D298" s="21" t="s">
        <v>646</v>
      </c>
      <c r="E298" s="21"/>
      <c r="F298" s="22" t="s">
        <v>137</v>
      </c>
      <c r="G298" s="23" t="str" cm="1">
        <f t="array" ref="G298">IFERROR(LOOKUP(2,1/(K298:GC298&lt;&gt;""),K$2:DQL$2),"")</f>
        <v>13-Aug</v>
      </c>
      <c r="H298" s="24" cm="1">
        <f t="array" ref="H298">IFERROR(_xlfn.XLOOKUP(TRUE,P298:ED298&lt;&gt;"",P298:ED298,,,-1)," ")</f>
        <v>21.2</v>
      </c>
      <c r="I298" s="78">
        <v>24</v>
      </c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50"/>
      <c r="AF298" s="67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49">
        <v>18.3</v>
      </c>
      <c r="AU298" s="50"/>
      <c r="AV298" s="50"/>
      <c r="AW298" s="50"/>
      <c r="AX298" s="50"/>
      <c r="AY298" s="50"/>
      <c r="AZ298" s="50"/>
      <c r="BA298" s="49">
        <v>21.2</v>
      </c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49"/>
      <c r="BM298" s="49"/>
      <c r="BN298" s="50"/>
      <c r="BO298" s="50"/>
      <c r="BP298" s="50"/>
      <c r="BQ298" s="50"/>
      <c r="BR298" s="49"/>
      <c r="BS298" s="49"/>
      <c r="BT298" s="49"/>
      <c r="BU298" s="49"/>
      <c r="BV298" s="49"/>
      <c r="BW298" s="49"/>
      <c r="BX298" s="49"/>
      <c r="BY298" s="49"/>
      <c r="BZ298" s="49"/>
      <c r="CA298" s="49"/>
      <c r="CB298" s="49"/>
      <c r="CC298" s="34"/>
      <c r="CD298" s="49"/>
      <c r="CE298" s="49"/>
      <c r="CF298" s="49"/>
      <c r="CG298" s="49"/>
      <c r="CH298" s="49"/>
      <c r="CI298" s="49"/>
      <c r="CJ298" s="49"/>
      <c r="CK298" s="49"/>
      <c r="CL298" s="34"/>
      <c r="CM298" s="43"/>
      <c r="CN298" s="49"/>
      <c r="CO298" s="49"/>
      <c r="CP298" s="49"/>
      <c r="CQ298" s="49"/>
      <c r="CR298" s="49"/>
      <c r="CS298" s="49"/>
      <c r="CT298" s="49"/>
      <c r="CU298" s="49"/>
      <c r="CV298" s="49"/>
      <c r="CW298" s="49"/>
      <c r="CX298" s="49"/>
      <c r="CY298" s="49"/>
      <c r="CZ298" s="49"/>
      <c r="DA298" s="52"/>
      <c r="DB298" s="49"/>
      <c r="DC298" s="49"/>
      <c r="DD298" s="50"/>
      <c r="DE298" s="49"/>
      <c r="DF298" s="49"/>
      <c r="DG298" s="49"/>
      <c r="DH298" s="49"/>
      <c r="DI298" s="49"/>
      <c r="DJ298" s="49"/>
      <c r="DK298" s="49"/>
      <c r="DL298" s="49"/>
      <c r="DM298" s="49"/>
      <c r="DN298" s="49"/>
      <c r="DO298" s="49"/>
      <c r="DP298" s="49"/>
      <c r="DQ298" s="49"/>
      <c r="DR298" s="49"/>
      <c r="DS298" s="49"/>
      <c r="DT298" s="49"/>
      <c r="DU298" s="49"/>
      <c r="DV298" s="49"/>
      <c r="DW298" s="49"/>
      <c r="DX298" s="49"/>
      <c r="DY298" s="49"/>
      <c r="DZ298" s="49"/>
      <c r="EA298" s="39"/>
      <c r="EB298" s="39"/>
      <c r="EC298" s="40"/>
    </row>
    <row r="299" spans="1:133">
      <c r="A299" s="44"/>
      <c r="B299" s="22" t="s">
        <v>659</v>
      </c>
      <c r="C299" s="20" t="s">
        <v>660</v>
      </c>
      <c r="D299" s="21" t="s">
        <v>646</v>
      </c>
      <c r="E299" s="21"/>
      <c r="F299" s="22" t="s">
        <v>137</v>
      </c>
      <c r="G299" s="23" t="str" cm="1">
        <f t="array" ref="G299">IFERROR(LOOKUP(2,1/(K299:GC299&lt;&gt;""),K$2:DQL$2),"")</f>
        <v>17-Aug</v>
      </c>
      <c r="H299" s="24" cm="1">
        <f t="array" ref="H299">IFERROR(_xlfn.XLOOKUP(TRUE,P299:ED299&lt;&gt;"",P299:ED299,,,-1)," ")</f>
        <v>21.4</v>
      </c>
      <c r="I299" s="25">
        <v>25</v>
      </c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49"/>
      <c r="AF299" s="64"/>
      <c r="AG299" s="49"/>
      <c r="AH299" s="49"/>
      <c r="AI299" s="49"/>
      <c r="AJ299" s="49"/>
      <c r="AK299" s="49"/>
      <c r="AL299" s="49"/>
      <c r="AM299" s="49"/>
      <c r="AN299" s="49">
        <v>17.8</v>
      </c>
      <c r="AO299" s="49"/>
      <c r="AP299" s="49"/>
      <c r="AQ299" s="49"/>
      <c r="AR299" s="49"/>
      <c r="AS299" s="49"/>
      <c r="AT299" s="49"/>
      <c r="AU299" s="49"/>
      <c r="AV299" s="49"/>
      <c r="AW299" s="49"/>
      <c r="AX299" s="49">
        <v>21.4</v>
      </c>
      <c r="AY299" s="49"/>
      <c r="AZ299" s="49"/>
      <c r="BA299" s="49"/>
      <c r="BB299" s="49"/>
      <c r="BC299" s="49"/>
      <c r="BD299" s="49"/>
      <c r="BE299" s="39">
        <v>21.4</v>
      </c>
      <c r="BF299" s="39"/>
      <c r="BG299" s="49"/>
      <c r="BH299" s="49"/>
      <c r="BI299" s="49"/>
      <c r="BJ299" s="49"/>
      <c r="BK299" s="49"/>
      <c r="BL299" s="49"/>
      <c r="BM299" s="39"/>
      <c r="BN299" s="49"/>
      <c r="BO299" s="49"/>
      <c r="BP299" s="49"/>
      <c r="BQ299" s="50"/>
      <c r="BR299" s="34"/>
      <c r="BS299" s="39"/>
      <c r="BT299" s="39"/>
      <c r="BU299" s="49"/>
      <c r="BV299" s="49"/>
      <c r="BW299" s="49"/>
      <c r="BX299" s="49"/>
      <c r="BY299" s="49"/>
      <c r="BZ299" s="34"/>
      <c r="CA299" s="39"/>
      <c r="CB299" s="49"/>
      <c r="CC299" s="49"/>
      <c r="CD299" s="49"/>
      <c r="CE299" s="49"/>
      <c r="CF299" s="49"/>
      <c r="CG299" s="49"/>
      <c r="CH299" s="49"/>
      <c r="CI299" s="49"/>
      <c r="CJ299" s="49"/>
      <c r="CK299" s="49"/>
      <c r="CL299" s="49"/>
      <c r="CM299" s="39"/>
      <c r="CN299" s="39"/>
      <c r="CO299" s="39"/>
      <c r="CP299" s="49"/>
      <c r="CQ299" s="39"/>
      <c r="CR299" s="49"/>
      <c r="CS299" s="39"/>
      <c r="CT299" s="4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  <c r="DH299" s="39"/>
      <c r="DI299" s="39"/>
      <c r="DJ299" s="39"/>
      <c r="DK299" s="39"/>
      <c r="DL299" s="39"/>
      <c r="DM299" s="39"/>
      <c r="DN299" s="39"/>
      <c r="DO299" s="39"/>
      <c r="DP299" s="39"/>
      <c r="DQ299" s="39"/>
      <c r="DR299" s="39"/>
      <c r="DS299" s="39"/>
      <c r="DT299" s="39"/>
      <c r="DU299" s="39"/>
      <c r="DV299" s="39"/>
      <c r="DW299" s="39"/>
      <c r="DX299" s="39"/>
      <c r="DY299" s="39"/>
      <c r="DZ299" s="39"/>
      <c r="EA299" s="39"/>
      <c r="EB299" s="39"/>
      <c r="EC299" s="40"/>
    </row>
    <row r="300" spans="1:133" hidden="1">
      <c r="A300" s="44" t="s">
        <v>138</v>
      </c>
      <c r="B300" s="22" t="s">
        <v>659</v>
      </c>
      <c r="C300" s="20" t="s">
        <v>661</v>
      </c>
      <c r="D300" s="21" t="s">
        <v>646</v>
      </c>
      <c r="E300" s="21"/>
      <c r="F300" s="22" t="s">
        <v>137</v>
      </c>
      <c r="G300" s="23" t="str" cm="1">
        <f t="array" ref="G300">IFERROR(LOOKUP(2,1/(K300:GC300&lt;&gt;""),K$2:DQL$2),"")</f>
        <v>31-Jul</v>
      </c>
      <c r="H300" s="24" cm="1">
        <f t="array" ref="H300">IFERROR(_xlfn.XLOOKUP(TRUE,P300:ED300&lt;&gt;"",P300:ED300,,,-1)," ")</f>
        <v>22.4</v>
      </c>
      <c r="I300" s="25">
        <v>25</v>
      </c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49"/>
      <c r="AF300" s="64"/>
      <c r="AG300" s="49"/>
      <c r="AH300" s="49">
        <v>19.399999999999999</v>
      </c>
      <c r="AI300" s="49"/>
      <c r="AJ300" s="49"/>
      <c r="AK300" s="49"/>
      <c r="AL300" s="49"/>
      <c r="AM300" s="49"/>
      <c r="AN300" s="49">
        <v>22.4</v>
      </c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39"/>
      <c r="BF300" s="39"/>
      <c r="BG300" s="49"/>
      <c r="BH300" s="49"/>
      <c r="BI300" s="49"/>
      <c r="BJ300" s="49"/>
      <c r="BK300" s="49"/>
      <c r="BL300" s="49"/>
      <c r="BM300" s="38"/>
      <c r="BN300" s="49"/>
      <c r="BO300" s="49"/>
      <c r="BP300" s="49"/>
      <c r="BQ300" s="49"/>
      <c r="BR300" s="49"/>
      <c r="BS300" s="39"/>
      <c r="BT300" s="39"/>
      <c r="BU300" s="49"/>
      <c r="BV300" s="49"/>
      <c r="BW300" s="49"/>
      <c r="BX300" s="34"/>
      <c r="BY300" s="34"/>
      <c r="BZ300" s="49"/>
      <c r="CA300" s="39"/>
      <c r="CB300" s="49"/>
      <c r="CC300" s="49"/>
      <c r="CD300" s="49"/>
      <c r="CE300" s="49"/>
      <c r="CF300" s="49"/>
      <c r="CG300" s="49"/>
      <c r="CH300" s="49"/>
      <c r="CI300" s="49"/>
      <c r="CJ300" s="49"/>
      <c r="CK300" s="49"/>
      <c r="CL300" s="49"/>
      <c r="CM300" s="39"/>
      <c r="CN300" s="39"/>
      <c r="CO300" s="39"/>
      <c r="CP300" s="49"/>
      <c r="CQ300" s="39"/>
      <c r="CR300" s="49"/>
      <c r="CS300" s="39"/>
      <c r="CT300" s="4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  <c r="DH300" s="39"/>
      <c r="DI300" s="39"/>
      <c r="DJ300" s="39"/>
      <c r="DK300" s="39"/>
      <c r="DL300" s="39"/>
      <c r="DM300" s="39"/>
      <c r="DN300" s="39"/>
      <c r="DO300" s="39"/>
      <c r="DP300" s="39"/>
      <c r="DQ300" s="39"/>
      <c r="DR300" s="39"/>
      <c r="DS300" s="39"/>
      <c r="DT300" s="39"/>
      <c r="DU300" s="39"/>
      <c r="DV300" s="39"/>
      <c r="DW300" s="39"/>
      <c r="DX300" s="39"/>
      <c r="DY300" s="39"/>
      <c r="DZ300" s="39"/>
      <c r="EA300" s="39"/>
      <c r="EB300" s="39"/>
      <c r="EC300" s="40"/>
    </row>
    <row r="301" spans="1:133">
      <c r="A301" s="44"/>
      <c r="B301" s="22" t="s">
        <v>659</v>
      </c>
      <c r="C301" s="20" t="s">
        <v>662</v>
      </c>
      <c r="D301" s="21" t="s">
        <v>646</v>
      </c>
      <c r="E301" s="21"/>
      <c r="F301" s="22" t="s">
        <v>137</v>
      </c>
      <c r="G301" s="23" t="str" cm="1">
        <f t="array" ref="G301">IFERROR(LOOKUP(2,1/(K301:GC301&lt;&gt;""),K$2:DQL$2),"")</f>
        <v>17-Aug</v>
      </c>
      <c r="H301" s="24" cm="1">
        <f t="array" ref="H301">IFERROR(_xlfn.XLOOKUP(TRUE,P301:ED301&lt;&gt;"",P301:ED301,,,-1)," ")</f>
        <v>21.6</v>
      </c>
      <c r="I301" s="25">
        <v>25</v>
      </c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49"/>
      <c r="AF301" s="64"/>
      <c r="AG301" s="49"/>
      <c r="AH301" s="49">
        <v>16.399999999999999</v>
      </c>
      <c r="AI301" s="49"/>
      <c r="AJ301" s="49"/>
      <c r="AK301" s="49"/>
      <c r="AL301" s="49"/>
      <c r="AM301" s="49"/>
      <c r="AN301" s="49">
        <v>19.399999999999999</v>
      </c>
      <c r="AO301" s="49"/>
      <c r="AP301" s="49"/>
      <c r="AQ301" s="49"/>
      <c r="AR301" s="49"/>
      <c r="AS301" s="49"/>
      <c r="AT301" s="49"/>
      <c r="AU301" s="49"/>
      <c r="AV301" s="49"/>
      <c r="AW301" s="49"/>
      <c r="AX301" s="49">
        <v>21.8</v>
      </c>
      <c r="AY301" s="49"/>
      <c r="AZ301" s="49"/>
      <c r="BA301" s="49"/>
      <c r="BB301" s="49"/>
      <c r="BC301" s="49"/>
      <c r="BD301" s="49"/>
      <c r="BE301" s="39">
        <v>21.6</v>
      </c>
      <c r="BF301" s="39"/>
      <c r="BG301" s="49"/>
      <c r="BH301" s="49"/>
      <c r="BI301" s="49"/>
      <c r="BJ301" s="49"/>
      <c r="BK301" s="49"/>
      <c r="BL301" s="49"/>
      <c r="BM301" s="39"/>
      <c r="BN301" s="49"/>
      <c r="BO301" s="34"/>
      <c r="BP301" s="49"/>
      <c r="BQ301" s="49"/>
      <c r="BR301" s="49"/>
      <c r="BS301" s="39"/>
      <c r="BT301" s="39"/>
      <c r="BU301" s="49"/>
      <c r="BV301" s="49"/>
      <c r="BW301" s="49"/>
      <c r="BX301" s="49"/>
      <c r="BY301" s="34"/>
      <c r="BZ301" s="49"/>
      <c r="CA301" s="39"/>
      <c r="CB301" s="49"/>
      <c r="CC301" s="49"/>
      <c r="CD301" s="49"/>
      <c r="CE301" s="49"/>
      <c r="CF301" s="49"/>
      <c r="CG301" s="49"/>
      <c r="CH301" s="34"/>
      <c r="CI301" s="49"/>
      <c r="CJ301" s="49"/>
      <c r="CK301" s="49"/>
      <c r="CL301" s="49"/>
      <c r="CM301" s="22"/>
      <c r="CN301" s="39"/>
      <c r="CO301" s="39"/>
      <c r="CP301" s="49"/>
      <c r="CQ301" s="39"/>
      <c r="CR301" s="49"/>
      <c r="CS301" s="39"/>
      <c r="CT301" s="4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  <c r="DI301" s="39"/>
      <c r="DJ301" s="39"/>
      <c r="DK301" s="39"/>
      <c r="DL301" s="39"/>
      <c r="DM301" s="39"/>
      <c r="DN301" s="39"/>
      <c r="DO301" s="39"/>
      <c r="DP301" s="39"/>
      <c r="DQ301" s="39"/>
      <c r="DR301" s="39"/>
      <c r="DS301" s="39"/>
      <c r="DT301" s="39"/>
      <c r="DU301" s="39"/>
      <c r="DV301" s="39"/>
      <c r="DW301" s="39"/>
      <c r="DX301" s="39"/>
      <c r="DY301" s="39"/>
      <c r="DZ301" s="39"/>
      <c r="EA301" s="39"/>
      <c r="EB301" s="39"/>
      <c r="EC301" s="40"/>
    </row>
    <row r="302" spans="1:133" hidden="1">
      <c r="A302" s="44"/>
      <c r="B302" s="22" t="s">
        <v>663</v>
      </c>
      <c r="C302" s="53" t="s">
        <v>664</v>
      </c>
      <c r="D302" s="21" t="s">
        <v>646</v>
      </c>
      <c r="E302" s="21"/>
      <c r="F302" s="22" t="s">
        <v>198</v>
      </c>
      <c r="G302" s="23" t="str" cm="1">
        <f t="array" ref="G302">IFERROR(LOOKUP(2,1/(K302:GC302&lt;&gt;""),K$2:DQL$2),"")</f>
        <v>7-Aug</v>
      </c>
      <c r="H302" s="24" cm="1">
        <f t="array" ref="H302">IFERROR(_xlfn.XLOOKUP(TRUE,P302:ED302&lt;&gt;"",P302:ED302,,,-1)," ")</f>
        <v>19</v>
      </c>
      <c r="I302" s="25">
        <v>24</v>
      </c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34"/>
      <c r="AF302" s="35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248">
        <v>19</v>
      </c>
      <c r="AV302" s="34"/>
      <c r="AW302" s="34"/>
      <c r="AX302" s="34"/>
      <c r="AY302" s="34"/>
      <c r="AZ302" s="34"/>
      <c r="BA302" s="34"/>
      <c r="BB302" s="34"/>
      <c r="BC302" s="34"/>
      <c r="BD302" s="34"/>
      <c r="BE302" s="37"/>
      <c r="BF302" s="37"/>
      <c r="BG302" s="34"/>
      <c r="BH302" s="34"/>
      <c r="BI302" s="34"/>
      <c r="BJ302" s="34"/>
      <c r="BK302" s="34"/>
      <c r="BL302" s="34"/>
      <c r="BM302" s="37"/>
      <c r="BN302" s="34"/>
      <c r="BO302" s="34"/>
      <c r="BP302" s="34"/>
      <c r="BQ302" s="34"/>
      <c r="BR302" s="34"/>
      <c r="BS302" s="37"/>
      <c r="BT302" s="37"/>
      <c r="BU302" s="34"/>
      <c r="BV302" s="34"/>
      <c r="BW302" s="34"/>
      <c r="BX302" s="34"/>
      <c r="BY302" s="34"/>
      <c r="BZ302" s="34"/>
      <c r="CA302" s="37"/>
      <c r="CB302" s="34"/>
      <c r="CC302" s="34"/>
      <c r="CD302" s="34"/>
      <c r="CE302" s="34"/>
      <c r="CF302" s="34"/>
      <c r="CG302" s="34"/>
      <c r="CH302" s="34"/>
      <c r="CI302" s="34"/>
      <c r="CJ302" s="36"/>
      <c r="CK302" s="34"/>
      <c r="CL302" s="34"/>
      <c r="CM302" s="43"/>
      <c r="CN302" s="37"/>
      <c r="CO302" s="37"/>
      <c r="CP302" s="34"/>
      <c r="CQ302" s="37"/>
      <c r="CR302" s="34"/>
      <c r="CS302" s="37"/>
      <c r="CT302" s="34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  <c r="DH302" s="37"/>
      <c r="DI302" s="37"/>
      <c r="DJ302" s="37"/>
      <c r="DK302" s="37"/>
      <c r="DL302" s="37"/>
      <c r="DM302" s="37"/>
      <c r="DN302" s="37"/>
      <c r="DO302" s="37"/>
      <c r="DP302" s="37"/>
      <c r="DQ302" s="37"/>
      <c r="DR302" s="37"/>
      <c r="DS302" s="37"/>
      <c r="DT302" s="37"/>
      <c r="DU302" s="37"/>
      <c r="DV302" s="37"/>
      <c r="DW302" s="37"/>
      <c r="DX302" s="37"/>
      <c r="DY302" s="37"/>
      <c r="DZ302" s="37"/>
      <c r="EA302" s="39"/>
      <c r="EB302" s="39"/>
      <c r="EC302" s="40"/>
    </row>
    <row r="303" spans="1:133" hidden="1">
      <c r="A303" s="44"/>
      <c r="B303" s="22"/>
      <c r="C303" s="53" t="s">
        <v>665</v>
      </c>
      <c r="D303" s="21" t="s">
        <v>646</v>
      </c>
      <c r="E303" s="21"/>
      <c r="F303" s="22" t="s">
        <v>198</v>
      </c>
      <c r="G303" s="23" t="str" cm="1">
        <f t="array" ref="G303">IFERROR(LOOKUP(2,1/(K303:GC303&lt;&gt;""),K$2:DQL$2),"")</f>
        <v>20-Aug</v>
      </c>
      <c r="H303" s="24" cm="1">
        <f t="array" ref="H303">IFERROR(_xlfn.XLOOKUP(TRUE,P303:ED303&lt;&gt;"",P303:ED303,,,-1)," ")</f>
        <v>22.6</v>
      </c>
      <c r="I303" s="25">
        <v>24</v>
      </c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7"/>
      <c r="BF303" s="37"/>
      <c r="BG303" s="34"/>
      <c r="BH303" s="34">
        <v>22.6</v>
      </c>
      <c r="BI303" s="34"/>
      <c r="BJ303" s="34"/>
      <c r="BK303" s="34"/>
      <c r="BL303" s="34"/>
      <c r="BM303" s="37"/>
      <c r="BN303" s="34"/>
      <c r="BO303" s="34"/>
      <c r="BP303" s="34"/>
      <c r="BQ303" s="34"/>
      <c r="BR303" s="34"/>
      <c r="BS303" s="37"/>
      <c r="BT303" s="37"/>
      <c r="BU303" s="34"/>
      <c r="BV303" s="34"/>
      <c r="BW303" s="34"/>
      <c r="BX303" s="37"/>
      <c r="BY303" s="34"/>
      <c r="BZ303" s="36"/>
      <c r="CA303" s="37"/>
      <c r="CB303" s="37"/>
      <c r="CC303" s="34"/>
      <c r="CD303" s="37"/>
      <c r="CE303" s="37"/>
      <c r="CF303" s="37"/>
      <c r="CG303" s="37"/>
      <c r="CH303" s="37"/>
      <c r="CI303" s="37"/>
      <c r="CJ303" s="34"/>
      <c r="CK303" s="37"/>
      <c r="CL303" s="34"/>
      <c r="CM303" s="37"/>
      <c r="CN303" s="37"/>
      <c r="CO303" s="37"/>
      <c r="CP303" s="34"/>
      <c r="CQ303" s="37"/>
      <c r="CR303" s="34"/>
      <c r="CS303" s="37"/>
      <c r="CT303" s="34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  <c r="DI303" s="37"/>
      <c r="DJ303" s="37"/>
      <c r="DK303" s="37"/>
      <c r="DL303" s="37"/>
      <c r="DM303" s="37"/>
      <c r="DN303" s="37"/>
      <c r="DO303" s="37"/>
      <c r="DP303" s="37"/>
      <c r="DQ303" s="37"/>
      <c r="DR303" s="37"/>
      <c r="DS303" s="37"/>
      <c r="DT303" s="37"/>
      <c r="DU303" s="37"/>
      <c r="DV303" s="37"/>
      <c r="DW303" s="37"/>
      <c r="DX303" s="37"/>
      <c r="DY303" s="37"/>
      <c r="DZ303" s="37"/>
      <c r="EA303" s="39"/>
      <c r="EB303" s="39"/>
      <c r="EC303" s="40"/>
    </row>
    <row r="304" spans="1:133" hidden="1">
      <c r="A304" s="44"/>
      <c r="B304" s="22"/>
      <c r="C304" s="53" t="s">
        <v>666</v>
      </c>
      <c r="D304" s="21" t="s">
        <v>646</v>
      </c>
      <c r="E304" s="21"/>
      <c r="F304" s="22" t="s">
        <v>198</v>
      </c>
      <c r="G304" s="23" t="str" cm="1">
        <f t="array" ref="G304">IFERROR(LOOKUP(2,1/(K304:GC304&lt;&gt;""),K$2:DQL$2),"")</f>
        <v>20-Aug</v>
      </c>
      <c r="H304" s="24" cm="1">
        <f t="array" ref="H304">IFERROR(_xlfn.XLOOKUP(TRUE,P304:ED304&lt;&gt;"",P304:ED304,,,-1)," ")</f>
        <v>21.4</v>
      </c>
      <c r="I304" s="25">
        <v>24</v>
      </c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7"/>
      <c r="BF304" s="37"/>
      <c r="BG304" s="34"/>
      <c r="BH304" s="34">
        <v>21.4</v>
      </c>
      <c r="BI304" s="34"/>
      <c r="BJ304" s="34"/>
      <c r="BK304" s="34"/>
      <c r="BL304" s="34"/>
      <c r="BM304" s="37"/>
      <c r="BN304" s="34"/>
      <c r="BO304" s="34"/>
      <c r="BP304" s="34"/>
      <c r="BQ304" s="34"/>
      <c r="BR304" s="34"/>
      <c r="BS304" s="37"/>
      <c r="BT304" s="37"/>
      <c r="BU304" s="34"/>
      <c r="BV304" s="34"/>
      <c r="BW304" s="34"/>
      <c r="BX304" s="37"/>
      <c r="BY304" s="34"/>
      <c r="BZ304" s="36"/>
      <c r="CA304" s="37"/>
      <c r="CB304" s="37"/>
      <c r="CC304" s="34"/>
      <c r="CD304" s="37"/>
      <c r="CE304" s="37"/>
      <c r="CF304" s="37"/>
      <c r="CG304" s="37"/>
      <c r="CH304" s="37"/>
      <c r="CI304" s="37"/>
      <c r="CJ304" s="34"/>
      <c r="CK304" s="37"/>
      <c r="CL304" s="34"/>
      <c r="CM304" s="37"/>
      <c r="CN304" s="37"/>
      <c r="CO304" s="37"/>
      <c r="CP304" s="34"/>
      <c r="CQ304" s="37"/>
      <c r="CR304" s="34"/>
      <c r="CS304" s="37"/>
      <c r="CT304" s="34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  <c r="DI304" s="37"/>
      <c r="DJ304" s="37"/>
      <c r="DK304" s="37"/>
      <c r="DL304" s="37"/>
      <c r="DM304" s="37"/>
      <c r="DN304" s="37"/>
      <c r="DO304" s="37"/>
      <c r="DP304" s="37"/>
      <c r="DQ304" s="37"/>
      <c r="DR304" s="37"/>
      <c r="DS304" s="37"/>
      <c r="DT304" s="37"/>
      <c r="DU304" s="37"/>
      <c r="DV304" s="37"/>
      <c r="DW304" s="37"/>
      <c r="DX304" s="37"/>
      <c r="DY304" s="37"/>
      <c r="DZ304" s="37"/>
      <c r="EA304" s="39"/>
      <c r="EB304" s="39"/>
      <c r="EC304" s="40"/>
    </row>
    <row r="305" spans="1:133" hidden="1">
      <c r="A305" s="44" t="s">
        <v>138</v>
      </c>
      <c r="B305" s="22" t="s">
        <v>667</v>
      </c>
      <c r="C305" s="20" t="s">
        <v>668</v>
      </c>
      <c r="D305" s="21" t="s">
        <v>646</v>
      </c>
      <c r="E305" s="21"/>
      <c r="F305" s="22" t="s">
        <v>137</v>
      </c>
      <c r="G305" s="23" t="str" cm="1">
        <f t="array" ref="G305">IFERROR(LOOKUP(2,1/(K305:GC305&lt;&gt;""),K$2:DQL$2),"")</f>
        <v>3-Aug</v>
      </c>
      <c r="H305" s="227" cm="1">
        <f t="array" ref="H305">IFERROR(_xlfn.XLOOKUP(TRUE,P305:ED305&lt;&gt;"",P305:ED305,,,-1)," ")</f>
        <v>23.1</v>
      </c>
      <c r="I305" s="25">
        <v>21</v>
      </c>
      <c r="J305" s="25">
        <v>22</v>
      </c>
      <c r="K305" s="25"/>
      <c r="L305" s="25"/>
      <c r="M305" s="25"/>
      <c r="N305" s="25"/>
      <c r="O305" s="25"/>
      <c r="P305" s="25">
        <v>16.3</v>
      </c>
      <c r="Q305" s="25"/>
      <c r="R305" s="25"/>
      <c r="S305" s="25"/>
      <c r="T305" s="25"/>
      <c r="U305" s="25"/>
      <c r="V305" s="25"/>
      <c r="W305" s="25"/>
      <c r="X305" s="25" t="s">
        <v>669</v>
      </c>
      <c r="Y305" s="217">
        <v>20.7</v>
      </c>
      <c r="Z305" s="217">
        <v>21.8</v>
      </c>
      <c r="AA305" s="25"/>
      <c r="AB305" s="25"/>
      <c r="AC305" s="217">
        <v>19.399999999999999</v>
      </c>
      <c r="AD305" s="25"/>
      <c r="AE305" s="49"/>
      <c r="AF305" s="64"/>
      <c r="AG305" s="49"/>
      <c r="AH305" s="49"/>
      <c r="AI305" s="49"/>
      <c r="AJ305" s="248">
        <v>20</v>
      </c>
      <c r="AK305" s="49"/>
      <c r="AL305" s="49"/>
      <c r="AM305" s="49"/>
      <c r="AN305" s="49"/>
      <c r="AO305" s="49">
        <v>22</v>
      </c>
      <c r="AP305" s="49"/>
      <c r="AQ305" s="50">
        <v>23.1</v>
      </c>
      <c r="AR305" s="49"/>
      <c r="AS305" s="49"/>
      <c r="AT305" s="49"/>
      <c r="AU305" s="49"/>
      <c r="AV305" s="50"/>
      <c r="AW305" s="49"/>
      <c r="AX305" s="49"/>
      <c r="AY305" s="49"/>
      <c r="AZ305" s="49"/>
      <c r="BA305" s="49"/>
      <c r="BB305" s="49"/>
      <c r="BC305" s="49"/>
      <c r="BD305" s="49"/>
      <c r="BE305" s="39"/>
      <c r="BF305" s="39"/>
      <c r="BG305" s="49"/>
      <c r="BH305" s="49"/>
      <c r="BI305" s="49"/>
      <c r="BJ305" s="49"/>
      <c r="BK305" s="49"/>
      <c r="BL305" s="49"/>
      <c r="BM305" s="39"/>
      <c r="BN305" s="49"/>
      <c r="BO305" s="49"/>
      <c r="BP305" s="49"/>
      <c r="BQ305" s="49"/>
      <c r="BR305" s="49"/>
      <c r="BS305" s="39"/>
      <c r="BT305" s="39"/>
      <c r="BU305" s="34"/>
      <c r="BV305" s="49"/>
      <c r="BW305" s="49"/>
      <c r="BX305" s="49"/>
      <c r="BY305" s="49"/>
      <c r="BZ305" s="49"/>
      <c r="CA305" s="39"/>
      <c r="CB305" s="49"/>
      <c r="CC305" s="49"/>
      <c r="CD305" s="49"/>
      <c r="CE305" s="49"/>
      <c r="CF305" s="49"/>
      <c r="CG305" s="49"/>
      <c r="CH305" s="49"/>
      <c r="CI305" s="34"/>
      <c r="CJ305" s="49"/>
      <c r="CK305" s="49"/>
      <c r="CL305" s="49"/>
      <c r="CM305" s="22"/>
      <c r="CN305" s="39"/>
      <c r="CO305" s="39"/>
      <c r="CP305" s="49"/>
      <c r="CQ305" s="39"/>
      <c r="CR305" s="49"/>
      <c r="CS305" s="39"/>
      <c r="CT305" s="4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  <c r="DH305" s="39"/>
      <c r="DI305" s="39"/>
      <c r="DJ305" s="39"/>
      <c r="DK305" s="39"/>
      <c r="DL305" s="39"/>
      <c r="DM305" s="39"/>
      <c r="DN305" s="39"/>
      <c r="DO305" s="39"/>
      <c r="DP305" s="39"/>
      <c r="DQ305" s="39"/>
      <c r="DR305" s="39"/>
      <c r="DS305" s="39"/>
      <c r="DT305" s="39"/>
      <c r="DU305" s="39"/>
      <c r="DV305" s="39"/>
      <c r="DW305" s="39"/>
      <c r="DX305" s="39"/>
      <c r="DY305" s="39"/>
      <c r="DZ305" s="39"/>
      <c r="EA305" s="39"/>
      <c r="EB305" s="39"/>
      <c r="EC305" s="40"/>
    </row>
    <row r="306" spans="1:133" hidden="1">
      <c r="A306" s="44" t="s">
        <v>138</v>
      </c>
      <c r="B306" s="22" t="s">
        <v>667</v>
      </c>
      <c r="C306" s="20" t="s">
        <v>670</v>
      </c>
      <c r="D306" s="21" t="s">
        <v>646</v>
      </c>
      <c r="E306" s="21"/>
      <c r="F306" s="22" t="s">
        <v>137</v>
      </c>
      <c r="G306" s="23" t="str" cm="1">
        <f t="array" ref="G306">IFERROR(LOOKUP(2,1/(K306:GC306&lt;&gt;""),K$2:DQL$2),"")</f>
        <v/>
      </c>
      <c r="H306" s="24" t="str" cm="1">
        <f t="array" ref="H306">IFERROR(_xlfn.XLOOKUP(TRUE,P306:ED306&lt;&gt;"",P306:ED306,,,-1)," ")</f>
        <v xml:space="preserve"> </v>
      </c>
      <c r="I306" s="25">
        <v>17.5</v>
      </c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49"/>
      <c r="AF306" s="64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50"/>
      <c r="AX306" s="49"/>
      <c r="AY306" s="49"/>
      <c r="AZ306" s="49"/>
      <c r="BA306" s="49"/>
      <c r="BB306" s="49"/>
      <c r="BC306" s="49"/>
      <c r="BD306" s="49"/>
      <c r="BE306" s="39"/>
      <c r="BF306" s="39"/>
      <c r="BG306" s="49"/>
      <c r="BH306" s="49"/>
      <c r="BI306" s="49"/>
      <c r="BJ306" s="49"/>
      <c r="BK306" s="49"/>
      <c r="BL306" s="49"/>
      <c r="BM306" s="39"/>
      <c r="BN306" s="49"/>
      <c r="BO306" s="49"/>
      <c r="BP306" s="49"/>
      <c r="BQ306" s="49"/>
      <c r="BR306" s="49"/>
      <c r="BS306" s="39"/>
      <c r="BT306" s="39"/>
      <c r="BU306" s="49"/>
      <c r="BV306" s="49"/>
      <c r="BW306" s="49"/>
      <c r="BX306" s="49"/>
      <c r="BY306" s="49"/>
      <c r="BZ306" s="49"/>
      <c r="CA306" s="39"/>
      <c r="CB306" s="49"/>
      <c r="CC306" s="49"/>
      <c r="CD306" s="49"/>
      <c r="CE306" s="49"/>
      <c r="CF306" s="49"/>
      <c r="CG306" s="49"/>
      <c r="CH306" s="49"/>
      <c r="CI306" s="49"/>
      <c r="CJ306" s="49"/>
      <c r="CK306" s="49"/>
      <c r="CL306" s="49"/>
      <c r="CM306" s="22"/>
      <c r="CN306" s="39"/>
      <c r="CO306" s="39"/>
      <c r="CP306" s="49"/>
      <c r="CQ306" s="39"/>
      <c r="CR306" s="49"/>
      <c r="CS306" s="39"/>
      <c r="CT306" s="4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  <c r="DH306" s="39"/>
      <c r="DI306" s="39"/>
      <c r="DJ306" s="39"/>
      <c r="DK306" s="39"/>
      <c r="DL306" s="39"/>
      <c r="DM306" s="39"/>
      <c r="DN306" s="39"/>
      <c r="DO306" s="39"/>
      <c r="DP306" s="39"/>
      <c r="DQ306" s="39"/>
      <c r="DR306" s="39"/>
      <c r="DS306" s="39"/>
      <c r="DT306" s="39"/>
      <c r="DU306" s="39"/>
      <c r="DV306" s="39"/>
      <c r="DW306" s="39"/>
      <c r="DX306" s="39"/>
      <c r="DY306" s="39"/>
      <c r="DZ306" s="39"/>
      <c r="EA306" s="39"/>
      <c r="EB306" s="39"/>
      <c r="EC306" s="40"/>
    </row>
    <row r="307" spans="1:133" hidden="1">
      <c r="A307" s="44" t="s">
        <v>138</v>
      </c>
      <c r="B307" s="22" t="s">
        <v>667</v>
      </c>
      <c r="C307" s="20" t="s">
        <v>671</v>
      </c>
      <c r="D307" s="21" t="s">
        <v>646</v>
      </c>
      <c r="E307" s="21"/>
      <c r="F307" s="22" t="s">
        <v>137</v>
      </c>
      <c r="G307" s="23" t="str" cm="1">
        <f t="array" ref="G307">IFERROR(LOOKUP(2,1/(K307:GC307&lt;&gt;""),K$2:DQL$2),"")</f>
        <v/>
      </c>
      <c r="H307" s="24" t="str" cm="1">
        <f t="array" ref="H307">IFERROR(_xlfn.XLOOKUP(TRUE,P307:ED307&lt;&gt;"",P307:ED307,,,-1)," ")</f>
        <v xml:space="preserve"> </v>
      </c>
      <c r="I307" s="25">
        <v>17.5</v>
      </c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49"/>
      <c r="AF307" s="64"/>
      <c r="AG307" s="49"/>
      <c r="AH307" s="49"/>
      <c r="AI307" s="49"/>
      <c r="AJ307" s="49"/>
      <c r="AK307" s="49"/>
      <c r="AL307" s="49"/>
      <c r="AM307" s="49"/>
      <c r="AN307" s="49"/>
      <c r="AO307" s="49"/>
      <c r="AP307" s="34"/>
      <c r="AQ307" s="49"/>
      <c r="AR307" s="49"/>
      <c r="AS307" s="49"/>
      <c r="AT307" s="49"/>
      <c r="AU307" s="49"/>
      <c r="AV307" s="49"/>
      <c r="AW307" s="50"/>
      <c r="AX307" s="49"/>
      <c r="AY307" s="49"/>
      <c r="AZ307" s="49"/>
      <c r="BA307" s="34"/>
      <c r="BB307" s="49"/>
      <c r="BC307" s="49"/>
      <c r="BD307" s="49"/>
      <c r="BE307" s="39"/>
      <c r="BF307" s="39"/>
      <c r="BG307" s="49"/>
      <c r="BH307" s="49"/>
      <c r="BI307" s="49"/>
      <c r="BJ307" s="49"/>
      <c r="BK307" s="49"/>
      <c r="BL307" s="49"/>
      <c r="BM307" s="39"/>
      <c r="BN307" s="49"/>
      <c r="BO307" s="49"/>
      <c r="BP307" s="49"/>
      <c r="BQ307" s="49"/>
      <c r="BR307" s="49"/>
      <c r="BS307" s="39"/>
      <c r="BT307" s="39"/>
      <c r="BU307" s="49"/>
      <c r="BV307" s="49"/>
      <c r="BW307" s="49"/>
      <c r="BX307" s="49"/>
      <c r="BY307" s="49"/>
      <c r="BZ307" s="49"/>
      <c r="CA307" s="39"/>
      <c r="CB307" s="49"/>
      <c r="CC307" s="49"/>
      <c r="CD307" s="49"/>
      <c r="CE307" s="49"/>
      <c r="CF307" s="49"/>
      <c r="CG307" s="49"/>
      <c r="CH307" s="49"/>
      <c r="CI307" s="49"/>
      <c r="CJ307" s="49"/>
      <c r="CK307" s="49"/>
      <c r="CL307" s="49"/>
      <c r="CM307" s="22"/>
      <c r="CN307" s="39"/>
      <c r="CO307" s="39"/>
      <c r="CP307" s="49"/>
      <c r="CQ307" s="39"/>
      <c r="CR307" s="49"/>
      <c r="CS307" s="39"/>
      <c r="CT307" s="4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  <c r="DY307" s="39"/>
      <c r="DZ307" s="39"/>
      <c r="EA307" s="39"/>
      <c r="EB307" s="39"/>
      <c r="EC307" s="40"/>
    </row>
    <row r="308" spans="1:133" hidden="1">
      <c r="A308" s="44"/>
      <c r="B308" s="22" t="s">
        <v>672</v>
      </c>
      <c r="C308" s="20" t="s">
        <v>673</v>
      </c>
      <c r="D308" s="21" t="s">
        <v>646</v>
      </c>
      <c r="E308" s="21"/>
      <c r="F308" s="22"/>
      <c r="G308" s="23" t="str" cm="1">
        <f t="array" ref="G308">IFERROR(LOOKUP(2,1/(K308:GC308&lt;&gt;""),K$2:DQL$2),"")</f>
        <v>19-Aug</v>
      </c>
      <c r="H308" s="24" cm="1">
        <f t="array" ref="H308">IFERROR(_xlfn.XLOOKUP(TRUE,P308:ED308&lt;&gt;"",P308:ED308,,,-1)," ")</f>
        <v>25.5</v>
      </c>
      <c r="I308" s="25">
        <v>25</v>
      </c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49"/>
      <c r="AF308" s="64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34">
        <v>25</v>
      </c>
      <c r="BD308" s="49"/>
      <c r="BE308" s="39"/>
      <c r="BF308" s="39"/>
      <c r="BG308" s="49">
        <v>25.5</v>
      </c>
      <c r="BH308" s="49"/>
      <c r="BI308" s="49"/>
      <c r="BJ308" s="34"/>
      <c r="BK308" s="49"/>
      <c r="BL308" s="49"/>
      <c r="BM308" s="39"/>
      <c r="BN308" s="49"/>
      <c r="BO308" s="50"/>
      <c r="BP308" s="49"/>
      <c r="BQ308" s="49"/>
      <c r="BR308" s="34"/>
      <c r="BS308" s="39"/>
      <c r="BT308" s="39"/>
      <c r="BU308" s="49"/>
      <c r="BV308" s="49"/>
      <c r="BW308" s="49"/>
      <c r="BX308" s="49"/>
      <c r="BY308" s="49"/>
      <c r="BZ308" s="49"/>
      <c r="CA308" s="39"/>
      <c r="CB308" s="37"/>
      <c r="CC308" s="49"/>
      <c r="CD308" s="39"/>
      <c r="CE308" s="39"/>
      <c r="CF308" s="39"/>
      <c r="CG308" s="39"/>
      <c r="CH308" s="39"/>
      <c r="CI308" s="39"/>
      <c r="CJ308" s="39"/>
      <c r="CK308" s="39"/>
      <c r="CL308" s="49"/>
      <c r="CM308" s="39"/>
      <c r="CN308" s="39"/>
      <c r="CO308" s="39"/>
      <c r="CP308" s="49"/>
      <c r="CQ308" s="39"/>
      <c r="CR308" s="49"/>
      <c r="CS308" s="39"/>
      <c r="CT308" s="4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  <c r="DY308" s="39"/>
      <c r="DZ308" s="39"/>
      <c r="EA308" s="39"/>
      <c r="EB308" s="39"/>
      <c r="EC308" s="40"/>
    </row>
    <row r="309" spans="1:133" hidden="1">
      <c r="A309" s="68"/>
      <c r="B309" s="22" t="s">
        <v>674</v>
      </c>
      <c r="C309" s="20" t="s">
        <v>675</v>
      </c>
      <c r="D309" s="21" t="s">
        <v>646</v>
      </c>
      <c r="E309" s="21"/>
      <c r="F309" s="22" t="s">
        <v>198</v>
      </c>
      <c r="G309" s="23" t="str" cm="1">
        <f t="array" ref="G309">IFERROR(LOOKUP(2,1/(K309:GC309&lt;&gt;""),K$2:DQL$2),"")</f>
        <v>15-Aug</v>
      </c>
      <c r="H309" s="24" cm="1">
        <f t="array" ref="H309">IFERROR(_xlfn.XLOOKUP(TRUE,P309:ED309&lt;&gt;"",P309:ED309,,,-1)," ")</f>
        <v>21.5</v>
      </c>
      <c r="I309" s="25">
        <v>25</v>
      </c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69"/>
      <c r="AF309" s="70"/>
      <c r="AG309" s="69"/>
      <c r="AH309" s="69"/>
      <c r="AI309" s="69"/>
      <c r="AJ309" s="69"/>
      <c r="AK309" s="69"/>
      <c r="AL309" s="69"/>
      <c r="AM309" s="69"/>
      <c r="AN309" s="34">
        <v>19</v>
      </c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34">
        <v>21.5</v>
      </c>
      <c r="BD309" s="69"/>
      <c r="BE309" s="39"/>
      <c r="BF309" s="71"/>
      <c r="BG309" s="69"/>
      <c r="BH309" s="69"/>
      <c r="BI309" s="69"/>
      <c r="BJ309" s="69"/>
      <c r="BK309" s="69"/>
      <c r="BL309" s="69"/>
      <c r="BM309" s="71"/>
      <c r="BN309" s="69"/>
      <c r="BO309" s="34"/>
      <c r="BP309" s="69"/>
      <c r="BQ309" s="36"/>
      <c r="BR309" s="34"/>
      <c r="BS309" s="71"/>
      <c r="BT309" s="71"/>
      <c r="BU309" s="34"/>
      <c r="BV309" s="69"/>
      <c r="BW309" s="69"/>
      <c r="BX309" s="34"/>
      <c r="BY309" s="34"/>
      <c r="BZ309" s="69"/>
      <c r="CA309" s="71"/>
      <c r="CB309" s="69"/>
      <c r="CC309" s="34"/>
      <c r="CD309" s="69"/>
      <c r="CE309" s="69"/>
      <c r="CF309" s="34"/>
      <c r="CG309" s="69"/>
      <c r="CH309" s="69"/>
      <c r="CI309" s="69"/>
      <c r="CJ309" s="69"/>
      <c r="CK309" s="69"/>
      <c r="CL309" s="69"/>
      <c r="CM309" s="43"/>
      <c r="CN309" s="71"/>
      <c r="CO309" s="71"/>
      <c r="CP309" s="34"/>
      <c r="CQ309" s="69"/>
      <c r="CR309" s="69"/>
      <c r="CS309" s="69"/>
      <c r="CT309" s="69"/>
      <c r="CU309" s="71"/>
      <c r="CV309" s="71"/>
      <c r="CW309" s="69"/>
      <c r="CX309" s="69"/>
      <c r="CY309" s="69"/>
      <c r="CZ309" s="69"/>
      <c r="DA309" s="71"/>
      <c r="DB309" s="71"/>
      <c r="DC309" s="71"/>
      <c r="DD309" s="71"/>
      <c r="DE309" s="71"/>
      <c r="DF309" s="71"/>
      <c r="DG309" s="71"/>
      <c r="DH309" s="71"/>
      <c r="DI309" s="71"/>
      <c r="DJ309" s="71"/>
      <c r="DK309" s="71"/>
      <c r="DL309" s="71"/>
      <c r="DM309" s="71"/>
      <c r="DN309" s="71"/>
      <c r="DO309" s="71"/>
      <c r="DP309" s="71"/>
      <c r="DQ309" s="71"/>
      <c r="DR309" s="71"/>
      <c r="DS309" s="71"/>
      <c r="DT309" s="71"/>
      <c r="DU309" s="71"/>
      <c r="DV309" s="71"/>
      <c r="DW309" s="71"/>
      <c r="DX309" s="71"/>
      <c r="DY309" s="71"/>
      <c r="DZ309" s="71"/>
      <c r="EA309" s="39"/>
      <c r="EB309" s="39"/>
      <c r="EC309" s="40"/>
    </row>
    <row r="310" spans="1:133" hidden="1">
      <c r="A310" s="68"/>
      <c r="B310" s="22"/>
      <c r="C310" s="20" t="s">
        <v>676</v>
      </c>
      <c r="D310" s="21" t="s">
        <v>646</v>
      </c>
      <c r="E310" s="21"/>
      <c r="F310" s="22"/>
      <c r="G310" s="23" t="str" cm="1">
        <f t="array" ref="G310">IFERROR(LOOKUP(2,1/(K310:GC310&lt;&gt;""),K$2:DQL$2),"")</f>
        <v>14-Aug</v>
      </c>
      <c r="H310" s="24" cm="1">
        <f t="array" ref="H310">IFERROR(_xlfn.XLOOKUP(TRUE,P310:ED310&lt;&gt;"",P310:ED310,,,-1)," ")</f>
        <v>21.4</v>
      </c>
      <c r="I310" s="25">
        <v>25</v>
      </c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34"/>
      <c r="AF310" s="35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248">
        <v>21.4</v>
      </c>
      <c r="BC310" s="34"/>
      <c r="BD310" s="34"/>
      <c r="BE310" s="37"/>
      <c r="BF310" s="37"/>
      <c r="BG310" s="34"/>
      <c r="BH310" s="34"/>
      <c r="BI310" s="34"/>
      <c r="BJ310" s="34"/>
      <c r="BK310" s="34"/>
      <c r="BL310" s="34"/>
      <c r="BM310" s="37"/>
      <c r="BN310" s="34"/>
      <c r="BO310" s="34"/>
      <c r="BP310" s="34"/>
      <c r="BQ310" s="34"/>
      <c r="BR310" s="34"/>
      <c r="BS310" s="37"/>
      <c r="BT310" s="37"/>
      <c r="BU310" s="34"/>
      <c r="BV310" s="34"/>
      <c r="BW310" s="34"/>
      <c r="BX310" s="37"/>
      <c r="BY310" s="34"/>
      <c r="BZ310" s="36"/>
      <c r="CA310" s="37"/>
      <c r="CB310" s="37"/>
      <c r="CC310" s="34"/>
      <c r="CD310" s="37"/>
      <c r="CE310" s="37"/>
      <c r="CF310" s="37"/>
      <c r="CG310" s="37"/>
      <c r="CH310" s="37"/>
      <c r="CI310" s="37"/>
      <c r="CJ310" s="69"/>
      <c r="CK310" s="37"/>
      <c r="CL310" s="34"/>
      <c r="CM310" s="37"/>
      <c r="CN310" s="37"/>
      <c r="CO310" s="37"/>
      <c r="CP310" s="34"/>
      <c r="CQ310" s="37"/>
      <c r="CR310" s="34"/>
      <c r="CS310" s="37"/>
      <c r="CT310" s="34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  <c r="DH310" s="37"/>
      <c r="DI310" s="37"/>
      <c r="DJ310" s="37"/>
      <c r="DK310" s="37"/>
      <c r="DL310" s="37"/>
      <c r="DM310" s="37"/>
      <c r="DN310" s="37"/>
      <c r="DO310" s="37"/>
      <c r="DP310" s="37"/>
      <c r="DQ310" s="37"/>
      <c r="DR310" s="37"/>
      <c r="DS310" s="37"/>
      <c r="DT310" s="37"/>
      <c r="DU310" s="37"/>
      <c r="DV310" s="37"/>
      <c r="DW310" s="37"/>
      <c r="DX310" s="37"/>
      <c r="DY310" s="37"/>
      <c r="DZ310" s="37"/>
      <c r="EA310" s="39"/>
      <c r="EB310" s="39"/>
      <c r="EC310" s="40"/>
    </row>
    <row r="311" spans="1:133" hidden="1">
      <c r="A311" s="68"/>
      <c r="B311" s="22"/>
      <c r="C311" s="20" t="s">
        <v>677</v>
      </c>
      <c r="D311" s="21" t="s">
        <v>646</v>
      </c>
      <c r="E311" s="21"/>
      <c r="F311" s="22"/>
      <c r="G311" s="23" t="str" cm="1">
        <f t="array" ref="G311">IFERROR(LOOKUP(2,1/(K311:GC311&lt;&gt;""),K$2:DQL$2),"")</f>
        <v>14-Aug</v>
      </c>
      <c r="H311" s="24" cm="1">
        <f t="array" ref="H311">IFERROR(_xlfn.XLOOKUP(TRUE,P311:ED311&lt;&gt;"",P311:ED311,,,-1)," ")</f>
        <v>22</v>
      </c>
      <c r="I311" s="25">
        <v>25</v>
      </c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34"/>
      <c r="AF311" s="35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248">
        <v>22</v>
      </c>
      <c r="BC311" s="34"/>
      <c r="BD311" s="34"/>
      <c r="BE311" s="37"/>
      <c r="BF311" s="37"/>
      <c r="BG311" s="34"/>
      <c r="BH311" s="34"/>
      <c r="BI311" s="34"/>
      <c r="BJ311" s="34"/>
      <c r="BK311" s="34"/>
      <c r="BL311" s="34"/>
      <c r="BM311" s="37"/>
      <c r="BN311" s="34"/>
      <c r="BO311" s="34"/>
      <c r="BP311" s="34"/>
      <c r="BQ311" s="34"/>
      <c r="BR311" s="34"/>
      <c r="BS311" s="37"/>
      <c r="BT311" s="37"/>
      <c r="BU311" s="34"/>
      <c r="BV311" s="34"/>
      <c r="BW311" s="34"/>
      <c r="BX311" s="37"/>
      <c r="BY311" s="34"/>
      <c r="BZ311" s="36"/>
      <c r="CA311" s="37"/>
      <c r="CB311" s="37"/>
      <c r="CC311" s="34"/>
      <c r="CD311" s="37"/>
      <c r="CE311" s="37"/>
      <c r="CF311" s="37"/>
      <c r="CG311" s="37"/>
      <c r="CH311" s="37"/>
      <c r="CI311" s="37"/>
      <c r="CJ311" s="69"/>
      <c r="CK311" s="37"/>
      <c r="CL311" s="34"/>
      <c r="CM311" s="37"/>
      <c r="CN311" s="37"/>
      <c r="CO311" s="37"/>
      <c r="CP311" s="34"/>
      <c r="CQ311" s="37"/>
      <c r="CR311" s="34"/>
      <c r="CS311" s="37"/>
      <c r="CT311" s="34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  <c r="DH311" s="37"/>
      <c r="DI311" s="37"/>
      <c r="DJ311" s="37"/>
      <c r="DK311" s="37"/>
      <c r="DL311" s="37"/>
      <c r="DM311" s="37"/>
      <c r="DN311" s="37"/>
      <c r="DO311" s="37"/>
      <c r="DP311" s="37"/>
      <c r="DQ311" s="37"/>
      <c r="DR311" s="37"/>
      <c r="DS311" s="37"/>
      <c r="DT311" s="37"/>
      <c r="DU311" s="37"/>
      <c r="DV311" s="37"/>
      <c r="DW311" s="37"/>
      <c r="DX311" s="37"/>
      <c r="DY311" s="37"/>
      <c r="DZ311" s="37"/>
      <c r="EA311" s="39"/>
      <c r="EB311" s="39"/>
      <c r="EC311" s="40"/>
    </row>
    <row r="312" spans="1:133">
      <c r="A312" s="44"/>
      <c r="B312" s="22" t="s">
        <v>678</v>
      </c>
      <c r="C312" s="20" t="s">
        <v>679</v>
      </c>
      <c r="D312" s="21" t="s">
        <v>646</v>
      </c>
      <c r="E312" s="21"/>
      <c r="F312" s="22" t="s">
        <v>137</v>
      </c>
      <c r="G312" s="23" t="str" cm="1">
        <f t="array" ref="G312">IFERROR(LOOKUP(2,1/(K312:GC312&lt;&gt;""),K$2:DQL$2),"")</f>
        <v>19-Aug</v>
      </c>
      <c r="H312" s="24" cm="1">
        <f t="array" ref="H312">IFERROR(_xlfn.XLOOKUP(TRUE,P312:ED312&lt;&gt;"",P312:ED312,,,-1)," ")</f>
        <v>22.2</v>
      </c>
      <c r="I312" s="25">
        <v>19</v>
      </c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7"/>
      <c r="BF312" s="37"/>
      <c r="BG312" s="36">
        <v>22.2</v>
      </c>
      <c r="BH312" s="34"/>
      <c r="BI312" s="34"/>
      <c r="BJ312" s="34"/>
      <c r="BK312" s="34"/>
      <c r="BL312" s="34"/>
      <c r="BM312" s="37"/>
      <c r="BN312" s="34"/>
      <c r="BO312" s="34"/>
      <c r="BP312" s="34"/>
      <c r="BQ312" s="36"/>
      <c r="BR312" s="34"/>
      <c r="BS312" s="37"/>
      <c r="BT312" s="37"/>
      <c r="BU312" s="34"/>
      <c r="BV312" s="34"/>
      <c r="BW312" s="34"/>
      <c r="BX312" s="37"/>
      <c r="BY312" s="34"/>
      <c r="BZ312" s="34"/>
      <c r="CA312" s="37"/>
      <c r="CB312" s="37"/>
      <c r="CC312" s="34"/>
      <c r="CD312" s="37"/>
      <c r="CE312" s="37"/>
      <c r="CF312" s="37"/>
      <c r="CG312" s="37"/>
      <c r="CH312" s="37"/>
      <c r="CI312" s="37"/>
      <c r="CJ312" s="37"/>
      <c r="CK312" s="37"/>
      <c r="CL312" s="34"/>
      <c r="CM312" s="37"/>
      <c r="CN312" s="37"/>
      <c r="CO312" s="37"/>
      <c r="CP312" s="34"/>
      <c r="CQ312" s="37"/>
      <c r="CR312" s="34"/>
      <c r="CS312" s="37"/>
      <c r="CT312" s="34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  <c r="DI312" s="37"/>
      <c r="DJ312" s="37"/>
      <c r="DK312" s="37"/>
      <c r="DL312" s="37"/>
      <c r="DM312" s="37"/>
      <c r="DN312" s="37"/>
      <c r="DO312" s="37"/>
      <c r="DP312" s="37"/>
      <c r="DQ312" s="37"/>
      <c r="DR312" s="37"/>
      <c r="DS312" s="37"/>
      <c r="DT312" s="37"/>
      <c r="DU312" s="37"/>
      <c r="DV312" s="37"/>
      <c r="DW312" s="37"/>
      <c r="DX312" s="37"/>
      <c r="DY312" s="37"/>
      <c r="DZ312" s="37"/>
      <c r="EA312" s="39"/>
      <c r="EB312" s="39"/>
      <c r="EC312" s="40"/>
    </row>
    <row r="313" spans="1:133">
      <c r="A313" s="44"/>
      <c r="B313" s="22" t="s">
        <v>678</v>
      </c>
      <c r="C313" s="20" t="s">
        <v>680</v>
      </c>
      <c r="D313" s="21" t="s">
        <v>646</v>
      </c>
      <c r="E313" s="21"/>
      <c r="F313" s="22" t="s">
        <v>137</v>
      </c>
      <c r="G313" s="23" t="str" cm="1">
        <f t="array" ref="G313">IFERROR(LOOKUP(2,1/(K313:GC313&lt;&gt;""),K$2:DQL$2),"")</f>
        <v>30-Jul</v>
      </c>
      <c r="H313" s="24" cm="1">
        <f t="array" ref="H313">IFERROR(_xlfn.XLOOKUP(TRUE,P313:ED313&lt;&gt;"",P313:ED313,,,-1)," ")</f>
        <v>19</v>
      </c>
      <c r="I313" s="25">
        <v>19</v>
      </c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>
        <v>19.2</v>
      </c>
      <c r="Y313" s="25"/>
      <c r="Z313" s="25"/>
      <c r="AA313" s="25"/>
      <c r="AB313" s="25"/>
      <c r="AC313" s="25"/>
      <c r="AD313" s="25"/>
      <c r="AE313" s="34"/>
      <c r="AF313" s="34"/>
      <c r="AG313" s="34"/>
      <c r="AH313" s="34"/>
      <c r="AI313" s="34"/>
      <c r="AJ313" s="34"/>
      <c r="AK313" s="34"/>
      <c r="AL313" s="34"/>
      <c r="AM313" s="36">
        <v>19</v>
      </c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7"/>
      <c r="BF313" s="37"/>
      <c r="BG313" s="34"/>
      <c r="BH313" s="34"/>
      <c r="BI313" s="34"/>
      <c r="BJ313" s="34"/>
      <c r="BK313" s="34"/>
      <c r="BL313" s="34"/>
      <c r="BM313" s="37"/>
      <c r="BN313" s="34"/>
      <c r="BO313" s="34"/>
      <c r="BP313" s="34"/>
      <c r="BQ313" s="34"/>
      <c r="BR313" s="34"/>
      <c r="BS313" s="37"/>
      <c r="BT313" s="37"/>
      <c r="BU313" s="34"/>
      <c r="BV313" s="34"/>
      <c r="BW313" s="34"/>
      <c r="BX313" s="37"/>
      <c r="BY313" s="34"/>
      <c r="BZ313" s="34"/>
      <c r="CA313" s="37"/>
      <c r="CB313" s="37"/>
      <c r="CC313" s="34"/>
      <c r="CD313" s="37"/>
      <c r="CE313" s="37"/>
      <c r="CF313" s="37"/>
      <c r="CG313" s="37"/>
      <c r="CH313" s="37"/>
      <c r="CI313" s="37"/>
      <c r="CJ313" s="37"/>
      <c r="CK313" s="37"/>
      <c r="CL313" s="34"/>
      <c r="CM313" s="37"/>
      <c r="CN313" s="37"/>
      <c r="CO313" s="37"/>
      <c r="CP313" s="34"/>
      <c r="CQ313" s="37"/>
      <c r="CR313" s="34"/>
      <c r="CS313" s="37"/>
      <c r="CT313" s="34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  <c r="DI313" s="37"/>
      <c r="DJ313" s="37"/>
      <c r="DK313" s="37"/>
      <c r="DL313" s="37"/>
      <c r="DM313" s="37"/>
      <c r="DN313" s="37"/>
      <c r="DO313" s="37"/>
      <c r="DP313" s="37"/>
      <c r="DQ313" s="37"/>
      <c r="DR313" s="37"/>
      <c r="DS313" s="37"/>
      <c r="DT313" s="37"/>
      <c r="DU313" s="37"/>
      <c r="DV313" s="37"/>
      <c r="DW313" s="37"/>
      <c r="DX313" s="37"/>
      <c r="DY313" s="37"/>
      <c r="DZ313" s="37"/>
      <c r="EA313" s="39"/>
      <c r="EB313" s="39"/>
      <c r="EC313" s="40"/>
    </row>
    <row r="314" spans="1:133">
      <c r="A314" s="44"/>
      <c r="B314" s="22" t="s">
        <v>678</v>
      </c>
      <c r="C314" s="20" t="s">
        <v>681</v>
      </c>
      <c r="D314" s="21" t="s">
        <v>646</v>
      </c>
      <c r="E314" s="21"/>
      <c r="F314" s="22" t="s">
        <v>137</v>
      </c>
      <c r="G314" s="23" t="str" cm="1">
        <f t="array" ref="G314">IFERROR(LOOKUP(2,1/(K314:GC314&lt;&gt;""),K$2:DQL$2),"")</f>
        <v>12-Aug</v>
      </c>
      <c r="H314" s="24" cm="1">
        <f t="array" ref="H314">IFERROR(_xlfn.XLOOKUP(TRUE,P314:ED314&lt;&gt;"",P314:ED314,,,-1)," ")</f>
        <v>22.2</v>
      </c>
      <c r="I314" s="25">
        <v>19</v>
      </c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>
        <v>19.3</v>
      </c>
      <c r="Y314" s="25"/>
      <c r="Z314" s="217">
        <v>17.399999999999999</v>
      </c>
      <c r="AA314" s="25"/>
      <c r="AB314" s="25"/>
      <c r="AC314" s="25"/>
      <c r="AD314" s="25">
        <v>18.3</v>
      </c>
      <c r="AE314" s="34"/>
      <c r="AF314" s="35"/>
      <c r="AG314" s="34"/>
      <c r="AH314" s="34"/>
      <c r="AI314" s="34"/>
      <c r="AJ314" s="34"/>
      <c r="AK314" s="36">
        <v>18.100000000000001</v>
      </c>
      <c r="AL314" s="34"/>
      <c r="AM314" s="34"/>
      <c r="AN314" s="34"/>
      <c r="AO314" s="34"/>
      <c r="AP314" s="34"/>
      <c r="AQ314" s="36">
        <v>20.3</v>
      </c>
      <c r="AR314" s="34"/>
      <c r="AS314" s="34"/>
      <c r="AT314" s="34"/>
      <c r="AU314" s="34">
        <v>21.1</v>
      </c>
      <c r="AV314" s="36">
        <v>22.8</v>
      </c>
      <c r="AW314" s="34"/>
      <c r="AX314" s="34"/>
      <c r="AY314" s="34"/>
      <c r="AZ314" s="36">
        <v>22.2</v>
      </c>
      <c r="BA314" s="34"/>
      <c r="BB314" s="34"/>
      <c r="BC314" s="34"/>
      <c r="BD314" s="36"/>
      <c r="BE314" s="37"/>
      <c r="BF314" s="38"/>
      <c r="BG314" s="34"/>
      <c r="BH314" s="34"/>
      <c r="BI314" s="36"/>
      <c r="BJ314" s="36"/>
      <c r="BK314" s="34"/>
      <c r="BL314" s="34"/>
      <c r="BM314" s="37"/>
      <c r="BN314" s="34"/>
      <c r="BO314" s="34"/>
      <c r="BP314" s="34"/>
      <c r="BQ314" s="34"/>
      <c r="BR314" s="34"/>
      <c r="BS314" s="37"/>
      <c r="BT314" s="37"/>
      <c r="BU314" s="34"/>
      <c r="BV314" s="34"/>
      <c r="BW314" s="34"/>
      <c r="BX314" s="37"/>
      <c r="BY314" s="34"/>
      <c r="BZ314" s="34"/>
      <c r="CA314" s="37"/>
      <c r="CB314" s="37"/>
      <c r="CC314" s="34"/>
      <c r="CD314" s="37"/>
      <c r="CE314" s="37"/>
      <c r="CF314" s="37"/>
      <c r="CG314" s="37"/>
      <c r="CH314" s="37"/>
      <c r="CI314" s="37"/>
      <c r="CJ314" s="37"/>
      <c r="CK314" s="37"/>
      <c r="CL314" s="34"/>
      <c r="CM314" s="37"/>
      <c r="CN314" s="37"/>
      <c r="CO314" s="37"/>
      <c r="CP314" s="34"/>
      <c r="CQ314" s="37"/>
      <c r="CR314" s="34"/>
      <c r="CS314" s="37"/>
      <c r="CT314" s="34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  <c r="DI314" s="37"/>
      <c r="DJ314" s="37"/>
      <c r="DK314" s="37"/>
      <c r="DL314" s="37"/>
      <c r="DM314" s="37"/>
      <c r="DN314" s="37"/>
      <c r="DO314" s="37"/>
      <c r="DP314" s="37"/>
      <c r="DQ314" s="37"/>
      <c r="DR314" s="37"/>
      <c r="DS314" s="37"/>
      <c r="DT314" s="37"/>
      <c r="DU314" s="37"/>
      <c r="DV314" s="37"/>
      <c r="DW314" s="37"/>
      <c r="DX314" s="37"/>
      <c r="DY314" s="37"/>
      <c r="DZ314" s="37"/>
      <c r="EA314" s="39"/>
      <c r="EB314" s="39"/>
      <c r="EC314" s="40"/>
    </row>
    <row r="315" spans="1:133">
      <c r="A315" s="44"/>
      <c r="B315" s="22" t="s">
        <v>682</v>
      </c>
      <c r="C315" s="20" t="s">
        <v>683</v>
      </c>
      <c r="D315" s="21" t="s">
        <v>646</v>
      </c>
      <c r="E315" s="21"/>
      <c r="F315" s="22" t="s">
        <v>137</v>
      </c>
      <c r="G315" s="23" t="str" cm="1">
        <f t="array" ref="G315">IFERROR(LOOKUP(2,1/(K315:GC315&lt;&gt;""),K$2:DQL$2),"")</f>
        <v>20-Aug</v>
      </c>
      <c r="H315" s="24" cm="1">
        <f t="array" ref="H315">IFERROR(_xlfn.XLOOKUP(TRUE,P315:ED315&lt;&gt;"",P315:ED315,,,-1)," ")</f>
        <v>21.8</v>
      </c>
      <c r="I315" s="25">
        <v>25</v>
      </c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49"/>
      <c r="AF315" s="64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284">
        <v>20.6</v>
      </c>
      <c r="AU315" s="49"/>
      <c r="AV315" s="49"/>
      <c r="AW315" s="49"/>
      <c r="AX315" s="49"/>
      <c r="AY315" s="49"/>
      <c r="AZ315" s="49"/>
      <c r="BA315" s="49">
        <v>21.8</v>
      </c>
      <c r="BB315" s="49"/>
      <c r="BC315" s="49"/>
      <c r="BD315" s="49"/>
      <c r="BE315" s="39"/>
      <c r="BF315" s="39"/>
      <c r="BG315" s="49"/>
      <c r="BH315" s="49">
        <v>21.8</v>
      </c>
      <c r="BI315" s="49"/>
      <c r="BJ315" s="49"/>
      <c r="BK315" s="49"/>
      <c r="BL315" s="49"/>
      <c r="BM315" s="39"/>
      <c r="BN315" s="49"/>
      <c r="BO315" s="49"/>
      <c r="BP315" s="49"/>
      <c r="BQ315" s="49"/>
      <c r="BR315" s="34"/>
      <c r="BS315" s="39"/>
      <c r="BT315" s="39"/>
      <c r="BU315" s="49"/>
      <c r="BV315" s="49"/>
      <c r="BW315" s="49"/>
      <c r="BX315" s="49"/>
      <c r="BY315" s="49"/>
      <c r="BZ315" s="49"/>
      <c r="CA315" s="37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50"/>
      <c r="CM315" s="22"/>
      <c r="CN315" s="39"/>
      <c r="CO315" s="39"/>
      <c r="CP315" s="49"/>
      <c r="CQ315" s="39"/>
      <c r="CR315" s="49"/>
      <c r="CS315" s="39"/>
      <c r="CT315" s="4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  <c r="DH315" s="39"/>
      <c r="DI315" s="39"/>
      <c r="DJ315" s="39"/>
      <c r="DK315" s="39"/>
      <c r="DL315" s="39"/>
      <c r="DM315" s="39"/>
      <c r="DN315" s="39"/>
      <c r="DO315" s="39"/>
      <c r="DP315" s="39"/>
      <c r="DQ315" s="39"/>
      <c r="DR315" s="39"/>
      <c r="DS315" s="39"/>
      <c r="DT315" s="39"/>
      <c r="DU315" s="39"/>
      <c r="DV315" s="39"/>
      <c r="DW315" s="39"/>
      <c r="DX315" s="39"/>
      <c r="DY315" s="39"/>
      <c r="DZ315" s="39"/>
      <c r="EA315" s="39"/>
      <c r="EB315" s="39"/>
      <c r="EC315" s="40"/>
    </row>
    <row r="316" spans="1:133">
      <c r="A316" s="44"/>
      <c r="B316" s="22" t="s">
        <v>684</v>
      </c>
      <c r="C316" s="20" t="s">
        <v>685</v>
      </c>
      <c r="D316" s="21" t="s">
        <v>646</v>
      </c>
      <c r="E316" s="21"/>
      <c r="F316" s="22" t="s">
        <v>137</v>
      </c>
      <c r="G316" s="23" t="str" cm="1">
        <f t="array" ref="G316">IFERROR(LOOKUP(2,1/(K316:GC316&lt;&gt;""),K$2:DQL$2),"")</f>
        <v>20-Aug</v>
      </c>
      <c r="H316" s="24" cm="1">
        <f t="array" ref="H316">IFERROR(_xlfn.XLOOKUP(TRUE,P316:ED316&lt;&gt;"",P316:ED316,,,-1)," ")</f>
        <v>22</v>
      </c>
      <c r="I316" s="25">
        <v>25</v>
      </c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49"/>
      <c r="AF316" s="64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284">
        <v>21.7</v>
      </c>
      <c r="AU316" s="49"/>
      <c r="AV316" s="49"/>
      <c r="AW316" s="49"/>
      <c r="AX316" s="49"/>
      <c r="AY316" s="49"/>
      <c r="AZ316" s="49"/>
      <c r="BA316" s="284">
        <v>22.4</v>
      </c>
      <c r="BB316" s="49"/>
      <c r="BC316" s="49"/>
      <c r="BD316" s="49"/>
      <c r="BE316" s="39"/>
      <c r="BF316" s="39"/>
      <c r="BG316" s="49"/>
      <c r="BH316" s="49">
        <v>22</v>
      </c>
      <c r="BI316" s="49"/>
      <c r="BJ316" s="49"/>
      <c r="BK316" s="49"/>
      <c r="BL316" s="49"/>
      <c r="BM316" s="39"/>
      <c r="BN316" s="49"/>
      <c r="BO316" s="49"/>
      <c r="BP316" s="49"/>
      <c r="BQ316" s="49"/>
      <c r="BR316" s="36"/>
      <c r="BS316" s="39"/>
      <c r="BT316" s="39"/>
      <c r="BU316" s="34"/>
      <c r="BV316" s="49"/>
      <c r="BW316" s="49"/>
      <c r="BX316" s="49"/>
      <c r="BY316" s="49"/>
      <c r="BZ316" s="49"/>
      <c r="CA316" s="39"/>
      <c r="CB316" s="34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22"/>
      <c r="CN316" s="39"/>
      <c r="CO316" s="39"/>
      <c r="CP316" s="49"/>
      <c r="CQ316" s="39"/>
      <c r="CR316" s="49"/>
      <c r="CS316" s="39"/>
      <c r="CT316" s="4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  <c r="DH316" s="39"/>
      <c r="DI316" s="39"/>
      <c r="DJ316" s="39"/>
      <c r="DK316" s="39"/>
      <c r="DL316" s="39"/>
      <c r="DM316" s="39"/>
      <c r="DN316" s="39"/>
      <c r="DO316" s="39"/>
      <c r="DP316" s="39"/>
      <c r="DQ316" s="39"/>
      <c r="DR316" s="39"/>
      <c r="DS316" s="39"/>
      <c r="DT316" s="39"/>
      <c r="DU316" s="39"/>
      <c r="DV316" s="39"/>
      <c r="DW316" s="39"/>
      <c r="DX316" s="39"/>
      <c r="DY316" s="39"/>
      <c r="DZ316" s="39"/>
      <c r="EA316" s="39"/>
      <c r="EB316" s="39"/>
      <c r="EC316" s="40"/>
    </row>
    <row r="317" spans="1:133"/>
    <row r="318" spans="1:133"/>
    <row r="319" spans="1:133"/>
    <row r="320" spans="1:133"/>
    <row r="321"/>
    <row r="322"/>
    <row r="323"/>
    <row r="324"/>
    <row r="325"/>
    <row r="326"/>
  </sheetData>
  <phoneticPr fontId="20" type="noConversion"/>
  <conditionalFormatting sqref="A2:BD2 BF2:EC2">
    <cfRule type="timePeriod" dxfId="197" priority="2" timePeriod="today">
      <formula>FLOOR(A2,1)=TODAY()</formula>
    </cfRule>
  </conditionalFormatting>
  <conditionalFormatting sqref="BE2">
    <cfRule type="timePeriod" dxfId="196" priority="1" timePeriod="today">
      <formula>FLOOR(BE2,1)=TODAY()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3EBB-EC21-4A2A-A753-544E3BD334AF}">
  <sheetPr codeName="Sheet2"/>
  <dimension ref="A1:G153"/>
  <sheetViews>
    <sheetView topLeftCell="A57" workbookViewId="0">
      <selection activeCell="A73" sqref="A73:XFD73"/>
    </sheetView>
  </sheetViews>
  <sheetFormatPr defaultRowHeight="15"/>
  <cols>
    <col min="1" max="1" width="34.7109375" customWidth="1"/>
    <col min="2" max="2" width="22.7109375" customWidth="1"/>
    <col min="3" max="3" width="10.7109375" style="267" customWidth="1"/>
    <col min="4" max="6" width="11.7109375" style="267" customWidth="1"/>
    <col min="7" max="7" width="14.7109375" style="268" customWidth="1"/>
    <col min="8" max="8" width="14.7109375" customWidth="1"/>
  </cols>
  <sheetData>
    <row r="1" spans="1:7" ht="32.1" customHeight="1">
      <c r="A1" s="313" t="s">
        <v>686</v>
      </c>
      <c r="B1" s="313"/>
      <c r="C1" s="313"/>
      <c r="D1" s="313"/>
      <c r="E1" s="313"/>
      <c r="F1" s="313"/>
      <c r="G1" s="313"/>
    </row>
    <row r="2" spans="1:7">
      <c r="A2" s="314" t="s">
        <v>687</v>
      </c>
      <c r="B2" s="314"/>
      <c r="C2" s="314"/>
      <c r="D2" s="314"/>
      <c r="E2" s="314"/>
      <c r="F2" s="314"/>
      <c r="G2" s="314"/>
    </row>
    <row r="4" spans="1:7" ht="24.95" customHeight="1">
      <c r="A4" s="312" t="s">
        <v>188</v>
      </c>
      <c r="B4" s="312"/>
      <c r="C4" s="312"/>
      <c r="D4" s="312"/>
      <c r="E4" s="312"/>
      <c r="F4" s="312"/>
      <c r="G4" s="312"/>
    </row>
    <row r="5" spans="1:7">
      <c r="A5" s="269" t="s">
        <v>688</v>
      </c>
      <c r="B5" s="269" t="s">
        <v>689</v>
      </c>
      <c r="C5" s="270" t="s">
        <v>690</v>
      </c>
      <c r="D5" s="270" t="s">
        <v>691</v>
      </c>
      <c r="E5" s="270" t="s">
        <v>692</v>
      </c>
      <c r="F5" s="270" t="s">
        <v>693</v>
      </c>
      <c r="G5" s="271" t="s">
        <v>694</v>
      </c>
    </row>
    <row r="6" spans="1:7">
      <c r="A6" s="272" t="s">
        <v>479</v>
      </c>
      <c r="B6" s="272" t="s">
        <v>470</v>
      </c>
      <c r="C6" s="273"/>
      <c r="D6" s="273">
        <v>15</v>
      </c>
      <c r="E6" s="273">
        <v>25</v>
      </c>
      <c r="F6" s="273"/>
      <c r="G6" s="274">
        <v>46224</v>
      </c>
    </row>
    <row r="8" spans="1:7" ht="24.95" customHeight="1">
      <c r="A8" s="312" t="s">
        <v>380</v>
      </c>
      <c r="B8" s="312"/>
      <c r="C8" s="312"/>
      <c r="D8" s="312"/>
      <c r="E8" s="312"/>
      <c r="F8" s="312"/>
      <c r="G8" s="312"/>
    </row>
    <row r="9" spans="1:7">
      <c r="A9" s="269" t="s">
        <v>688</v>
      </c>
      <c r="B9" s="269" t="s">
        <v>689</v>
      </c>
      <c r="C9" s="270" t="s">
        <v>690</v>
      </c>
      <c r="D9" s="270" t="s">
        <v>691</v>
      </c>
      <c r="E9" s="270" t="s">
        <v>692</v>
      </c>
      <c r="F9" s="270" t="s">
        <v>693</v>
      </c>
      <c r="G9" s="271" t="s">
        <v>694</v>
      </c>
    </row>
    <row r="10" spans="1:7">
      <c r="A10" s="272" t="s">
        <v>378</v>
      </c>
      <c r="B10" s="272" t="s">
        <v>379</v>
      </c>
      <c r="C10" s="273"/>
      <c r="D10" s="273">
        <v>19.8</v>
      </c>
      <c r="E10" s="273">
        <v>22</v>
      </c>
      <c r="F10" s="273">
        <v>23</v>
      </c>
      <c r="G10" s="274">
        <v>46223</v>
      </c>
    </row>
    <row r="11" spans="1:7">
      <c r="A11" t="s">
        <v>381</v>
      </c>
      <c r="B11" t="s">
        <v>379</v>
      </c>
      <c r="D11" s="267">
        <v>21.3</v>
      </c>
      <c r="E11" s="267">
        <v>22</v>
      </c>
      <c r="F11" s="267">
        <v>23</v>
      </c>
      <c r="G11" s="268">
        <v>46230</v>
      </c>
    </row>
    <row r="12" spans="1:7" ht="25.15" customHeight="1">
      <c r="A12" s="272" t="s">
        <v>382</v>
      </c>
      <c r="B12" s="272" t="s">
        <v>379</v>
      </c>
      <c r="C12" s="273"/>
      <c r="D12" s="273">
        <v>21.5</v>
      </c>
      <c r="E12" s="273">
        <v>22</v>
      </c>
      <c r="F12" s="273">
        <v>23</v>
      </c>
      <c r="G12" s="274">
        <v>46230</v>
      </c>
    </row>
    <row r="14" spans="1:7" ht="24.95" customHeight="1">
      <c r="A14" s="312" t="s">
        <v>526</v>
      </c>
      <c r="B14" s="312"/>
      <c r="C14" s="312"/>
      <c r="D14" s="312"/>
      <c r="E14" s="312"/>
      <c r="F14" s="312"/>
      <c r="G14" s="312"/>
    </row>
    <row r="15" spans="1:7">
      <c r="A15" s="269" t="s">
        <v>688</v>
      </c>
      <c r="B15" s="269" t="s">
        <v>689</v>
      </c>
      <c r="C15" s="270" t="s">
        <v>690</v>
      </c>
      <c r="D15" s="270" t="s">
        <v>691</v>
      </c>
      <c r="E15" s="270" t="s">
        <v>692</v>
      </c>
      <c r="F15" s="270" t="s">
        <v>693</v>
      </c>
      <c r="G15" s="271" t="s">
        <v>694</v>
      </c>
    </row>
    <row r="16" spans="1:7">
      <c r="A16" s="272" t="s">
        <v>525</v>
      </c>
      <c r="B16" s="272" t="s">
        <v>502</v>
      </c>
      <c r="C16" s="273"/>
      <c r="D16" s="273">
        <v>18.399999999999999</v>
      </c>
      <c r="E16" s="273">
        <v>20</v>
      </c>
      <c r="F16" s="273"/>
      <c r="G16" s="274">
        <v>46223</v>
      </c>
    </row>
    <row r="18" spans="1:7" ht="24.95" customHeight="1">
      <c r="A18" s="312" t="s">
        <v>465</v>
      </c>
      <c r="B18" s="312"/>
      <c r="C18" s="312"/>
      <c r="D18" s="312"/>
      <c r="E18" s="312"/>
      <c r="F18" s="312"/>
      <c r="G18" s="312"/>
    </row>
    <row r="19" spans="1:7">
      <c r="A19" s="269" t="s">
        <v>688</v>
      </c>
      <c r="B19" s="269" t="s">
        <v>689</v>
      </c>
      <c r="C19" s="270" t="s">
        <v>690</v>
      </c>
      <c r="D19" s="270" t="s">
        <v>691</v>
      </c>
      <c r="E19" s="270" t="s">
        <v>692</v>
      </c>
      <c r="F19" s="270" t="s">
        <v>693</v>
      </c>
      <c r="G19" s="271" t="s">
        <v>694</v>
      </c>
    </row>
    <row r="20" spans="1:7">
      <c r="A20" s="272" t="s">
        <v>570</v>
      </c>
      <c r="B20" s="272" t="s">
        <v>568</v>
      </c>
      <c r="C20" s="273"/>
      <c r="D20" s="273">
        <v>14.4</v>
      </c>
      <c r="E20" s="273">
        <v>17.5</v>
      </c>
      <c r="F20" s="273"/>
      <c r="G20" s="274">
        <v>46210</v>
      </c>
    </row>
    <row r="22" spans="1:7" ht="24.95" customHeight="1">
      <c r="A22" s="312" t="s">
        <v>318</v>
      </c>
      <c r="B22" s="312"/>
      <c r="C22" s="312"/>
      <c r="D22" s="312"/>
      <c r="E22" s="312"/>
      <c r="F22" s="312"/>
      <c r="G22" s="312"/>
    </row>
    <row r="23" spans="1:7">
      <c r="A23" s="269" t="s">
        <v>688</v>
      </c>
      <c r="B23" s="269" t="s">
        <v>689</v>
      </c>
      <c r="C23" s="270" t="s">
        <v>690</v>
      </c>
      <c r="D23" s="270" t="s">
        <v>691</v>
      </c>
      <c r="E23" s="270" t="s">
        <v>692</v>
      </c>
      <c r="F23" s="270" t="s">
        <v>693</v>
      </c>
      <c r="G23" s="271" t="s">
        <v>694</v>
      </c>
    </row>
    <row r="24" spans="1:7">
      <c r="A24" s="272" t="s">
        <v>317</v>
      </c>
      <c r="B24" s="272" t="s">
        <v>296</v>
      </c>
      <c r="C24" s="273"/>
      <c r="D24" s="273">
        <v>21.4</v>
      </c>
      <c r="E24" s="273">
        <v>22.5</v>
      </c>
      <c r="F24" s="273"/>
      <c r="G24" s="274">
        <v>46233</v>
      </c>
    </row>
    <row r="25" spans="1:7">
      <c r="A25" t="s">
        <v>320</v>
      </c>
      <c r="B25" t="s">
        <v>296</v>
      </c>
      <c r="D25" s="267">
        <v>22.1</v>
      </c>
      <c r="E25" s="267">
        <v>22.5</v>
      </c>
      <c r="G25" s="268">
        <v>46233</v>
      </c>
    </row>
    <row r="26" spans="1:7" ht="25.15" customHeight="1">
      <c r="A26" s="272" t="s">
        <v>540</v>
      </c>
      <c r="B26" s="272" t="s">
        <v>529</v>
      </c>
      <c r="C26" s="273"/>
      <c r="D26" s="273">
        <v>20.6</v>
      </c>
      <c r="E26" s="273">
        <v>23.5</v>
      </c>
      <c r="F26" s="273"/>
      <c r="G26" s="274">
        <v>46233</v>
      </c>
    </row>
    <row r="27" spans="1:7">
      <c r="A27" t="s">
        <v>541</v>
      </c>
      <c r="B27" t="s">
        <v>529</v>
      </c>
      <c r="D27" s="267">
        <v>21.5</v>
      </c>
      <c r="E27" s="267">
        <v>23.5</v>
      </c>
      <c r="G27" s="268">
        <v>46233</v>
      </c>
    </row>
    <row r="29" spans="1:7" ht="24.95" customHeight="1">
      <c r="A29" s="312" t="s">
        <v>198</v>
      </c>
      <c r="B29" s="312"/>
      <c r="C29" s="312"/>
      <c r="D29" s="312"/>
      <c r="E29" s="312"/>
      <c r="F29" s="312"/>
      <c r="G29" s="312"/>
    </row>
    <row r="30" spans="1:7">
      <c r="A30" s="269" t="s">
        <v>688</v>
      </c>
      <c r="B30" s="269" t="s">
        <v>689</v>
      </c>
      <c r="C30" s="270" t="s">
        <v>690</v>
      </c>
      <c r="D30" s="270" t="s">
        <v>691</v>
      </c>
      <c r="E30" s="270" t="s">
        <v>692</v>
      </c>
      <c r="F30" s="270" t="s">
        <v>693</v>
      </c>
      <c r="G30" s="271" t="s">
        <v>694</v>
      </c>
    </row>
    <row r="31" spans="1:7" ht="25.15" customHeight="1">
      <c r="A31" t="s">
        <v>413</v>
      </c>
      <c r="B31" t="s">
        <v>409</v>
      </c>
      <c r="D31" s="267">
        <v>23.8</v>
      </c>
      <c r="E31" s="267">
        <v>22.5</v>
      </c>
      <c r="G31" s="268">
        <v>46235</v>
      </c>
    </row>
    <row r="32" spans="1:7">
      <c r="A32" s="272" t="s">
        <v>303</v>
      </c>
      <c r="B32" s="272" t="s">
        <v>296</v>
      </c>
      <c r="C32" s="273"/>
      <c r="D32" s="273">
        <v>15</v>
      </c>
      <c r="E32" s="273">
        <v>23</v>
      </c>
      <c r="F32" s="273"/>
      <c r="G32" s="274">
        <v>46226</v>
      </c>
    </row>
    <row r="33" spans="1:7" ht="25.15" customHeight="1">
      <c r="A33" t="s">
        <v>695</v>
      </c>
      <c r="B33" t="s">
        <v>646</v>
      </c>
      <c r="D33" s="267">
        <v>19</v>
      </c>
      <c r="E33" s="267">
        <v>25</v>
      </c>
      <c r="G33" s="268">
        <v>46234</v>
      </c>
    </row>
    <row r="34" spans="1:7">
      <c r="A34" s="272" t="s">
        <v>523</v>
      </c>
      <c r="B34" s="272" t="s">
        <v>502</v>
      </c>
      <c r="C34" s="273"/>
      <c r="D34" s="273">
        <v>21</v>
      </c>
      <c r="E34" s="273">
        <v>22</v>
      </c>
      <c r="F34" s="273">
        <v>21</v>
      </c>
      <c r="G34" s="274">
        <v>46234</v>
      </c>
    </row>
    <row r="36" spans="1:7" ht="24.95" customHeight="1">
      <c r="A36" s="312" t="s">
        <v>340</v>
      </c>
      <c r="B36" s="312"/>
      <c r="C36" s="312"/>
      <c r="D36" s="312"/>
      <c r="E36" s="312"/>
      <c r="F36" s="312"/>
      <c r="G36" s="312"/>
    </row>
    <row r="37" spans="1:7">
      <c r="A37" s="269" t="s">
        <v>688</v>
      </c>
      <c r="B37" s="269" t="s">
        <v>689</v>
      </c>
      <c r="C37" s="270" t="s">
        <v>690</v>
      </c>
      <c r="D37" s="270" t="s">
        <v>691</v>
      </c>
      <c r="E37" s="270" t="s">
        <v>692</v>
      </c>
      <c r="F37" s="270" t="s">
        <v>693</v>
      </c>
      <c r="G37" s="271" t="s">
        <v>694</v>
      </c>
    </row>
    <row r="38" spans="1:7" ht="25.15" customHeight="1">
      <c r="A38" s="272" t="s">
        <v>339</v>
      </c>
      <c r="B38" s="272" t="s">
        <v>296</v>
      </c>
      <c r="C38" s="273"/>
      <c r="D38" s="273">
        <v>19.100000000000001</v>
      </c>
      <c r="E38" s="273">
        <v>23</v>
      </c>
      <c r="F38" s="273"/>
      <c r="G38" s="274">
        <v>46231</v>
      </c>
    </row>
    <row r="39" spans="1:7" ht="25.15" customHeight="1">
      <c r="A39" t="s">
        <v>363</v>
      </c>
      <c r="B39" t="s">
        <v>357</v>
      </c>
      <c r="D39" s="267">
        <v>16.899999999999999</v>
      </c>
      <c r="E39" s="267">
        <v>18.5</v>
      </c>
      <c r="G39" s="268">
        <v>46232</v>
      </c>
    </row>
    <row r="40" spans="1:7">
      <c r="A40" s="272" t="s">
        <v>367</v>
      </c>
      <c r="B40" s="272" t="s">
        <v>357</v>
      </c>
      <c r="C40" s="273"/>
      <c r="D40" s="273">
        <v>19.7</v>
      </c>
      <c r="E40" s="273">
        <v>20.5</v>
      </c>
      <c r="F40" s="273"/>
      <c r="G40" s="274">
        <v>46232</v>
      </c>
    </row>
    <row r="41" spans="1:7">
      <c r="A41" t="s">
        <v>369</v>
      </c>
      <c r="B41" t="s">
        <v>357</v>
      </c>
      <c r="D41" s="267">
        <v>19.7</v>
      </c>
      <c r="E41" s="267">
        <v>20.5</v>
      </c>
      <c r="G41" s="268">
        <v>46232</v>
      </c>
    </row>
    <row r="42" spans="1:7">
      <c r="A42" s="272" t="s">
        <v>372</v>
      </c>
      <c r="B42" s="272" t="s">
        <v>357</v>
      </c>
      <c r="C42" s="273"/>
      <c r="D42" s="273">
        <v>19.899999999999999</v>
      </c>
      <c r="E42" s="273">
        <v>20.5</v>
      </c>
      <c r="F42" s="273"/>
      <c r="G42" s="274">
        <v>46232</v>
      </c>
    </row>
    <row r="43" spans="1:7">
      <c r="A43" t="s">
        <v>553</v>
      </c>
      <c r="B43" t="s">
        <v>529</v>
      </c>
      <c r="D43" s="267">
        <v>24.6</v>
      </c>
      <c r="E43" s="267">
        <v>22.5</v>
      </c>
      <c r="G43" s="268">
        <v>46234</v>
      </c>
    </row>
    <row r="44" spans="1:7">
      <c r="A44" s="272" t="s">
        <v>342</v>
      </c>
      <c r="B44" s="272" t="s">
        <v>296</v>
      </c>
      <c r="C44" s="273"/>
      <c r="D44" s="273">
        <v>23</v>
      </c>
      <c r="E44" s="273">
        <v>23</v>
      </c>
      <c r="F44" s="273"/>
      <c r="G44" s="274">
        <v>46231</v>
      </c>
    </row>
    <row r="45" spans="1:7" ht="25.15" customHeight="1">
      <c r="A45" t="s">
        <v>374</v>
      </c>
      <c r="B45" t="s">
        <v>357</v>
      </c>
      <c r="D45" s="267">
        <v>20.100000000000001</v>
      </c>
      <c r="E45" s="267">
        <v>20.5</v>
      </c>
      <c r="G45" s="268">
        <v>46234</v>
      </c>
    </row>
    <row r="46" spans="1:7">
      <c r="A46" s="272" t="s">
        <v>554</v>
      </c>
      <c r="B46" s="272" t="s">
        <v>529</v>
      </c>
      <c r="C46" s="273"/>
      <c r="D46" s="273">
        <v>25.7</v>
      </c>
      <c r="E46" s="273">
        <v>22.5</v>
      </c>
      <c r="F46" s="273"/>
      <c r="G46" s="274">
        <v>46237</v>
      </c>
    </row>
    <row r="47" spans="1:7">
      <c r="A47" t="s">
        <v>488</v>
      </c>
      <c r="B47" t="s">
        <v>470</v>
      </c>
      <c r="D47" s="267">
        <v>17.399999999999999</v>
      </c>
      <c r="G47" s="268">
        <v>46232</v>
      </c>
    </row>
    <row r="49" spans="1:7" ht="24.95" customHeight="1">
      <c r="A49" s="312" t="s">
        <v>137</v>
      </c>
      <c r="B49" s="312"/>
      <c r="C49" s="312"/>
      <c r="D49" s="312"/>
      <c r="E49" s="312"/>
      <c r="F49" s="312"/>
      <c r="G49" s="312"/>
    </row>
    <row r="50" spans="1:7">
      <c r="A50" s="269" t="s">
        <v>688</v>
      </c>
      <c r="B50" s="269" t="s">
        <v>689</v>
      </c>
      <c r="C50" s="270" t="s">
        <v>690</v>
      </c>
      <c r="D50" s="270" t="s">
        <v>691</v>
      </c>
      <c r="E50" s="270" t="s">
        <v>692</v>
      </c>
      <c r="F50" s="270" t="s">
        <v>693</v>
      </c>
      <c r="G50" s="271" t="s">
        <v>694</v>
      </c>
    </row>
    <row r="51" spans="1:7">
      <c r="A51" t="s">
        <v>696</v>
      </c>
      <c r="B51" t="s">
        <v>646</v>
      </c>
      <c r="D51" s="267">
        <v>20</v>
      </c>
      <c r="E51" s="267">
        <v>25</v>
      </c>
      <c r="G51" s="268">
        <v>46232</v>
      </c>
    </row>
    <row r="52" spans="1:7" ht="25.15" customHeight="1">
      <c r="A52" s="272" t="s">
        <v>395</v>
      </c>
      <c r="B52" s="272" t="s">
        <v>396</v>
      </c>
      <c r="C52" s="273"/>
      <c r="D52" s="273">
        <v>17.100000000000001</v>
      </c>
      <c r="E52" s="273">
        <v>24</v>
      </c>
      <c r="F52" s="273">
        <v>26</v>
      </c>
      <c r="G52" s="274">
        <v>46232</v>
      </c>
    </row>
    <row r="53" spans="1:7">
      <c r="A53" t="s">
        <v>697</v>
      </c>
      <c r="B53" t="s">
        <v>409</v>
      </c>
      <c r="D53" s="267">
        <v>19</v>
      </c>
      <c r="E53" s="267">
        <v>24</v>
      </c>
      <c r="F53" s="267">
        <v>26</v>
      </c>
      <c r="G53" s="268">
        <v>46223</v>
      </c>
    </row>
    <row r="54" spans="1:7">
      <c r="A54" s="272" t="s">
        <v>698</v>
      </c>
      <c r="B54" s="272" t="s">
        <v>409</v>
      </c>
      <c r="C54" s="273"/>
      <c r="D54" s="273">
        <v>20.100000000000001</v>
      </c>
      <c r="E54" s="273">
        <v>24</v>
      </c>
      <c r="F54" s="273">
        <v>26</v>
      </c>
      <c r="G54" s="274">
        <v>46232</v>
      </c>
    </row>
    <row r="55" spans="1:7">
      <c r="A55" t="s">
        <v>699</v>
      </c>
      <c r="B55" t="s">
        <v>409</v>
      </c>
      <c r="D55" s="267">
        <v>21.4</v>
      </c>
      <c r="E55" s="267">
        <v>24</v>
      </c>
      <c r="F55" s="267">
        <v>26</v>
      </c>
      <c r="G55" s="268">
        <v>46232</v>
      </c>
    </row>
    <row r="56" spans="1:7">
      <c r="A56" s="272" t="s">
        <v>700</v>
      </c>
      <c r="B56" s="272" t="s">
        <v>296</v>
      </c>
      <c r="C56" s="273"/>
      <c r="D56" s="273">
        <v>21.1</v>
      </c>
      <c r="E56" s="273">
        <v>24</v>
      </c>
      <c r="F56" s="273">
        <v>25</v>
      </c>
      <c r="G56" s="274">
        <v>46234</v>
      </c>
    </row>
    <row r="57" spans="1:7">
      <c r="A57" t="s">
        <v>660</v>
      </c>
      <c r="B57" t="s">
        <v>646</v>
      </c>
      <c r="D57" s="267">
        <v>17.8</v>
      </c>
      <c r="E57" s="267">
        <v>25</v>
      </c>
      <c r="G57" s="268">
        <v>46234</v>
      </c>
    </row>
    <row r="58" spans="1:7" ht="25.15" customHeight="1">
      <c r="A58" s="272" t="s">
        <v>661</v>
      </c>
      <c r="B58" s="272" t="s">
        <v>646</v>
      </c>
      <c r="C58" s="273"/>
      <c r="D58" s="273">
        <v>22.4</v>
      </c>
      <c r="E58" s="273">
        <v>25</v>
      </c>
      <c r="F58" s="273"/>
      <c r="G58" s="274">
        <v>46234</v>
      </c>
    </row>
    <row r="59" spans="1:7">
      <c r="A59" t="s">
        <v>662</v>
      </c>
      <c r="B59" t="s">
        <v>646</v>
      </c>
      <c r="D59" s="267">
        <v>19.399999999999999</v>
      </c>
      <c r="E59" s="267">
        <v>25</v>
      </c>
      <c r="G59" s="268">
        <v>46234</v>
      </c>
    </row>
    <row r="60" spans="1:7">
      <c r="A60" s="272" t="s">
        <v>147</v>
      </c>
      <c r="B60" s="272" t="s">
        <v>148</v>
      </c>
      <c r="C60" s="273"/>
      <c r="D60" s="273">
        <v>22.7</v>
      </c>
      <c r="E60" s="273">
        <v>24</v>
      </c>
      <c r="F60" s="273">
        <v>25.5</v>
      </c>
      <c r="G60" s="274">
        <v>46234</v>
      </c>
    </row>
    <row r="61" spans="1:7">
      <c r="A61" t="s">
        <v>152</v>
      </c>
      <c r="B61" t="s">
        <v>148</v>
      </c>
      <c r="D61" s="267">
        <v>22.1</v>
      </c>
      <c r="E61" s="267">
        <v>24</v>
      </c>
      <c r="F61" s="267">
        <v>25.5</v>
      </c>
      <c r="G61" s="268">
        <v>46234</v>
      </c>
    </row>
    <row r="62" spans="1:7">
      <c r="A62" s="272" t="s">
        <v>309</v>
      </c>
      <c r="B62" s="272" t="s">
        <v>296</v>
      </c>
      <c r="C62" s="273"/>
      <c r="D62" s="273">
        <v>17.2</v>
      </c>
      <c r="E62" s="273">
        <v>25</v>
      </c>
      <c r="F62" s="273">
        <v>26.5</v>
      </c>
      <c r="G62" s="274">
        <v>46225</v>
      </c>
    </row>
    <row r="63" spans="1:7">
      <c r="A63" t="s">
        <v>398</v>
      </c>
      <c r="B63" t="s">
        <v>396</v>
      </c>
      <c r="D63" s="267">
        <v>17.3</v>
      </c>
      <c r="E63" s="267">
        <v>24</v>
      </c>
      <c r="F63" s="267">
        <v>26</v>
      </c>
      <c r="G63" s="268">
        <v>46225</v>
      </c>
    </row>
    <row r="64" spans="1:7">
      <c r="A64" s="272" t="s">
        <v>459</v>
      </c>
      <c r="B64" s="272" t="s">
        <v>460</v>
      </c>
      <c r="C64" s="273"/>
      <c r="D64" s="273">
        <v>20.8</v>
      </c>
      <c r="E64" s="273">
        <v>22</v>
      </c>
      <c r="F64" s="273">
        <v>23.5</v>
      </c>
      <c r="G64" s="274">
        <v>46232</v>
      </c>
    </row>
    <row r="65" spans="1:7">
      <c r="A65" t="s">
        <v>461</v>
      </c>
      <c r="B65" t="s">
        <v>460</v>
      </c>
      <c r="D65" s="267">
        <v>21.6</v>
      </c>
      <c r="E65" s="267">
        <v>22</v>
      </c>
      <c r="F65" s="267">
        <v>23.5</v>
      </c>
      <c r="G65" s="268">
        <v>46232</v>
      </c>
    </row>
    <row r="66" spans="1:7">
      <c r="A66" s="272" t="s">
        <v>701</v>
      </c>
      <c r="B66" s="272" t="s">
        <v>529</v>
      </c>
      <c r="C66" s="273"/>
      <c r="D66" s="273">
        <v>23</v>
      </c>
      <c r="E66" s="273">
        <v>19</v>
      </c>
      <c r="F66" s="273">
        <v>21</v>
      </c>
      <c r="G66" s="274">
        <v>46231</v>
      </c>
    </row>
    <row r="67" spans="1:7">
      <c r="A67" t="s">
        <v>702</v>
      </c>
      <c r="B67" t="s">
        <v>529</v>
      </c>
      <c r="D67" s="267">
        <v>22.5</v>
      </c>
      <c r="E67" s="267">
        <v>21</v>
      </c>
      <c r="F67" s="267">
        <v>22</v>
      </c>
      <c r="G67" s="268">
        <v>46235</v>
      </c>
    </row>
    <row r="68" spans="1:7">
      <c r="A68" s="272" t="s">
        <v>703</v>
      </c>
      <c r="B68" s="272" t="s">
        <v>529</v>
      </c>
      <c r="C68" s="273"/>
      <c r="D68" s="273">
        <v>21.4</v>
      </c>
      <c r="E68" s="273">
        <v>19</v>
      </c>
      <c r="F68" s="273">
        <v>21</v>
      </c>
      <c r="G68" s="274">
        <v>46231</v>
      </c>
    </row>
    <row r="69" spans="1:7">
      <c r="A69" t="s">
        <v>704</v>
      </c>
      <c r="B69" t="s">
        <v>529</v>
      </c>
      <c r="D69" s="267">
        <v>22.1</v>
      </c>
      <c r="E69" s="267">
        <v>19</v>
      </c>
      <c r="F69" s="267">
        <v>21</v>
      </c>
      <c r="G69" s="268">
        <v>46231</v>
      </c>
    </row>
    <row r="70" spans="1:7">
      <c r="A70" s="272" t="s">
        <v>298</v>
      </c>
      <c r="B70" s="272" t="s">
        <v>296</v>
      </c>
      <c r="C70" s="273"/>
      <c r="D70" s="273">
        <v>19.2</v>
      </c>
      <c r="E70" s="273">
        <v>22.5</v>
      </c>
      <c r="F70" s="273">
        <v>23.5</v>
      </c>
      <c r="G70" s="274">
        <v>46227</v>
      </c>
    </row>
    <row r="71" spans="1:7">
      <c r="A71" t="s">
        <v>668</v>
      </c>
      <c r="B71" t="s">
        <v>646</v>
      </c>
      <c r="D71" s="267">
        <v>22</v>
      </c>
      <c r="E71" s="267">
        <v>21</v>
      </c>
      <c r="F71" s="267">
        <v>22</v>
      </c>
      <c r="G71" s="268">
        <v>46235</v>
      </c>
    </row>
    <row r="72" spans="1:7">
      <c r="A72" s="272" t="s">
        <v>312</v>
      </c>
      <c r="B72" s="272" t="s">
        <v>296</v>
      </c>
      <c r="C72" s="273"/>
      <c r="D72" s="273">
        <v>21.4</v>
      </c>
      <c r="E72" s="273">
        <v>23</v>
      </c>
      <c r="F72" s="273">
        <v>24.5</v>
      </c>
      <c r="G72" s="274">
        <v>46230</v>
      </c>
    </row>
    <row r="73" spans="1:7">
      <c r="A73" t="s">
        <v>314</v>
      </c>
      <c r="B73" t="s">
        <v>296</v>
      </c>
      <c r="D73" s="267">
        <v>21.2</v>
      </c>
      <c r="E73" s="267">
        <v>23</v>
      </c>
      <c r="F73" s="267">
        <v>24.5</v>
      </c>
      <c r="G73" s="268">
        <v>46232</v>
      </c>
    </row>
    <row r="74" spans="1:7">
      <c r="A74" s="272" t="s">
        <v>628</v>
      </c>
      <c r="B74" s="272" t="s">
        <v>629</v>
      </c>
      <c r="C74" s="273"/>
      <c r="D74" s="273">
        <v>17</v>
      </c>
      <c r="E74" s="273"/>
      <c r="F74" s="273"/>
      <c r="G74" s="274">
        <v>46233</v>
      </c>
    </row>
    <row r="75" spans="1:7">
      <c r="A75" t="s">
        <v>325</v>
      </c>
      <c r="B75" t="s">
        <v>296</v>
      </c>
      <c r="D75" s="267">
        <v>21.1</v>
      </c>
      <c r="E75" s="267">
        <v>23</v>
      </c>
      <c r="F75" s="267">
        <v>24.5</v>
      </c>
      <c r="G75" s="268">
        <v>46233</v>
      </c>
    </row>
    <row r="76" spans="1:7">
      <c r="A76" s="272" t="s">
        <v>330</v>
      </c>
      <c r="B76" s="272" t="s">
        <v>296</v>
      </c>
      <c r="C76" s="273"/>
      <c r="D76" s="273">
        <v>21.3</v>
      </c>
      <c r="E76" s="273">
        <v>23</v>
      </c>
      <c r="F76" s="273">
        <v>24.5</v>
      </c>
      <c r="G76" s="274">
        <v>46226</v>
      </c>
    </row>
    <row r="77" spans="1:7">
      <c r="A77" t="s">
        <v>331</v>
      </c>
      <c r="B77" t="s">
        <v>296</v>
      </c>
      <c r="D77" s="267">
        <v>22.4</v>
      </c>
      <c r="E77" s="267">
        <v>23</v>
      </c>
      <c r="F77" s="267">
        <v>24.5</v>
      </c>
      <c r="G77" s="268">
        <v>46232</v>
      </c>
    </row>
    <row r="78" spans="1:7">
      <c r="A78" s="272" t="s">
        <v>332</v>
      </c>
      <c r="B78" s="272" t="s">
        <v>296</v>
      </c>
      <c r="C78" s="273"/>
      <c r="D78" s="273">
        <v>22.8</v>
      </c>
      <c r="E78" s="273">
        <v>23</v>
      </c>
      <c r="F78" s="273">
        <v>24.5</v>
      </c>
      <c r="G78" s="274">
        <v>46232</v>
      </c>
    </row>
    <row r="79" spans="1:7">
      <c r="A79" t="s">
        <v>576</v>
      </c>
      <c r="B79" t="s">
        <v>577</v>
      </c>
      <c r="D79" s="267">
        <v>20.5</v>
      </c>
      <c r="E79" s="267">
        <v>20</v>
      </c>
      <c r="F79" s="267">
        <v>21</v>
      </c>
      <c r="G79" s="268">
        <v>46235</v>
      </c>
    </row>
    <row r="80" spans="1:7">
      <c r="A80" s="272" t="s">
        <v>567</v>
      </c>
      <c r="B80" s="272" t="s">
        <v>568</v>
      </c>
      <c r="C80" s="273"/>
      <c r="D80" s="273">
        <v>21</v>
      </c>
      <c r="E80" s="273">
        <v>17.5</v>
      </c>
      <c r="F80" s="273">
        <v>19.5</v>
      </c>
      <c r="G80" s="274">
        <v>46226</v>
      </c>
    </row>
    <row r="81" spans="1:7">
      <c r="A81" t="s">
        <v>567</v>
      </c>
      <c r="B81" t="s">
        <v>568</v>
      </c>
      <c r="D81" s="267">
        <v>18.3</v>
      </c>
      <c r="E81" s="267">
        <v>17.5</v>
      </c>
      <c r="F81" s="267">
        <v>19.5</v>
      </c>
      <c r="G81" s="268">
        <v>46216</v>
      </c>
    </row>
    <row r="82" spans="1:7">
      <c r="A82" s="272" t="s">
        <v>573</v>
      </c>
      <c r="B82" s="272" t="s">
        <v>568</v>
      </c>
      <c r="C82" s="273"/>
      <c r="D82" s="273">
        <v>19.399999999999999</v>
      </c>
      <c r="E82" s="273">
        <v>17.5</v>
      </c>
      <c r="F82" s="273">
        <v>19.5</v>
      </c>
      <c r="G82" s="274">
        <v>46218</v>
      </c>
    </row>
    <row r="83" spans="1:7">
      <c r="A83" t="s">
        <v>574</v>
      </c>
      <c r="B83" t="s">
        <v>568</v>
      </c>
      <c r="D83" s="267">
        <v>18.2</v>
      </c>
      <c r="E83" s="267">
        <v>17.5</v>
      </c>
      <c r="F83" s="267">
        <v>19.5</v>
      </c>
      <c r="G83" s="268">
        <v>46218</v>
      </c>
    </row>
    <row r="84" spans="1:7">
      <c r="A84" s="272" t="s">
        <v>328</v>
      </c>
      <c r="B84" s="272" t="s">
        <v>296</v>
      </c>
      <c r="C84" s="273"/>
      <c r="D84" s="273">
        <v>21.9</v>
      </c>
      <c r="E84" s="273">
        <v>23</v>
      </c>
      <c r="F84" s="273">
        <v>24.5</v>
      </c>
      <c r="G84" s="274">
        <v>46231</v>
      </c>
    </row>
    <row r="85" spans="1:7">
      <c r="A85" t="s">
        <v>680</v>
      </c>
      <c r="B85" t="s">
        <v>646</v>
      </c>
      <c r="D85" s="267">
        <v>19</v>
      </c>
      <c r="E85" s="267">
        <v>19</v>
      </c>
      <c r="G85" s="268">
        <v>46233</v>
      </c>
    </row>
    <row r="86" spans="1:7">
      <c r="A86" s="272" t="s">
        <v>681</v>
      </c>
      <c r="B86" s="272" t="s">
        <v>646</v>
      </c>
      <c r="C86" s="273"/>
      <c r="D86" s="273">
        <v>20.3</v>
      </c>
      <c r="E86" s="273">
        <v>19</v>
      </c>
      <c r="F86" s="273"/>
      <c r="G86" s="274">
        <v>46237</v>
      </c>
    </row>
    <row r="87" spans="1:7">
      <c r="A87" t="s">
        <v>498</v>
      </c>
      <c r="B87" t="s">
        <v>499</v>
      </c>
      <c r="D87" s="267">
        <v>15</v>
      </c>
      <c r="E87" s="267">
        <v>22</v>
      </c>
      <c r="F87" s="267">
        <v>23</v>
      </c>
      <c r="G87" s="268">
        <v>46234</v>
      </c>
    </row>
    <row r="88" spans="1:7">
      <c r="A88" s="272" t="s">
        <v>384</v>
      </c>
      <c r="B88" s="272" t="s">
        <v>385</v>
      </c>
      <c r="C88" s="273"/>
      <c r="D88" s="273">
        <v>16.899999999999999</v>
      </c>
      <c r="E88" s="273">
        <v>22</v>
      </c>
      <c r="F88" s="273">
        <v>23</v>
      </c>
      <c r="G88" s="274">
        <v>46234</v>
      </c>
    </row>
    <row r="89" spans="1:7">
      <c r="A89" t="s">
        <v>517</v>
      </c>
      <c r="B89" t="s">
        <v>502</v>
      </c>
      <c r="D89" s="267">
        <v>20.2</v>
      </c>
      <c r="E89" s="267">
        <v>20</v>
      </c>
      <c r="F89" s="267">
        <v>21</v>
      </c>
      <c r="G89" s="268">
        <v>46233</v>
      </c>
    </row>
    <row r="90" spans="1:7">
      <c r="A90" s="272" t="s">
        <v>518</v>
      </c>
      <c r="B90" s="272" t="s">
        <v>502</v>
      </c>
      <c r="C90" s="273"/>
      <c r="D90" s="273">
        <v>19.600000000000001</v>
      </c>
      <c r="E90" s="273">
        <v>20</v>
      </c>
      <c r="F90" s="273">
        <v>21</v>
      </c>
      <c r="G90" s="274">
        <v>46233</v>
      </c>
    </row>
    <row r="91" spans="1:7">
      <c r="A91" t="s">
        <v>356</v>
      </c>
      <c r="B91" t="s">
        <v>357</v>
      </c>
      <c r="D91" s="267">
        <v>18.399999999999999</v>
      </c>
      <c r="E91" s="267">
        <v>20.5</v>
      </c>
      <c r="F91" s="267">
        <v>22</v>
      </c>
      <c r="G91" s="268">
        <v>46233</v>
      </c>
    </row>
    <row r="92" spans="1:7">
      <c r="A92" s="272" t="s">
        <v>337</v>
      </c>
      <c r="B92" s="272" t="s">
        <v>296</v>
      </c>
      <c r="C92" s="273"/>
      <c r="D92" s="273">
        <v>23</v>
      </c>
      <c r="E92" s="273">
        <v>24</v>
      </c>
      <c r="F92" s="273">
        <v>25</v>
      </c>
      <c r="G92" s="274">
        <v>46235</v>
      </c>
    </row>
    <row r="93" spans="1:7">
      <c r="A93" t="s">
        <v>390</v>
      </c>
      <c r="B93" t="s">
        <v>391</v>
      </c>
      <c r="D93" s="267">
        <v>23.5</v>
      </c>
      <c r="E93" s="267">
        <v>22</v>
      </c>
      <c r="F93" s="267">
        <v>23</v>
      </c>
      <c r="G93" s="268">
        <v>46234</v>
      </c>
    </row>
    <row r="94" spans="1:7">
      <c r="A94" s="272" t="s">
        <v>705</v>
      </c>
      <c r="B94" s="272" t="s">
        <v>296</v>
      </c>
      <c r="C94" s="273"/>
      <c r="D94" s="273">
        <v>19.399999999999999</v>
      </c>
      <c r="E94" s="273">
        <v>23</v>
      </c>
      <c r="F94" s="273">
        <v>24.5</v>
      </c>
      <c r="G94" s="274">
        <v>46230</v>
      </c>
    </row>
    <row r="95" spans="1:7">
      <c r="A95" t="s">
        <v>558</v>
      </c>
      <c r="B95" t="s">
        <v>529</v>
      </c>
      <c r="D95" s="267">
        <v>23.4</v>
      </c>
      <c r="E95" s="267">
        <v>23.8</v>
      </c>
      <c r="F95" s="267">
        <v>25</v>
      </c>
      <c r="G95" s="268">
        <v>46235</v>
      </c>
    </row>
    <row r="96" spans="1:7">
      <c r="A96" s="272" t="s">
        <v>560</v>
      </c>
      <c r="B96" s="272" t="s">
        <v>529</v>
      </c>
      <c r="C96" s="273"/>
      <c r="D96" s="273">
        <v>24.4</v>
      </c>
      <c r="E96" s="273">
        <v>23</v>
      </c>
      <c r="F96" s="273">
        <v>24</v>
      </c>
      <c r="G96" s="274">
        <v>46237</v>
      </c>
    </row>
    <row r="98" spans="1:7" ht="24.95" customHeight="1">
      <c r="A98" s="312" t="s">
        <v>505</v>
      </c>
      <c r="B98" s="312"/>
      <c r="C98" s="312"/>
      <c r="D98" s="312"/>
      <c r="E98" s="312"/>
      <c r="F98" s="312"/>
      <c r="G98" s="312"/>
    </row>
    <row r="99" spans="1:7" ht="25.15" customHeight="1">
      <c r="A99" s="269" t="s">
        <v>688</v>
      </c>
      <c r="B99" s="269" t="s">
        <v>689</v>
      </c>
      <c r="C99" s="270" t="s">
        <v>690</v>
      </c>
      <c r="D99" s="270" t="s">
        <v>691</v>
      </c>
      <c r="E99" s="270" t="s">
        <v>692</v>
      </c>
      <c r="F99" s="270" t="s">
        <v>693</v>
      </c>
      <c r="G99" s="271" t="s">
        <v>694</v>
      </c>
    </row>
    <row r="100" spans="1:7">
      <c r="A100" s="272" t="s">
        <v>504</v>
      </c>
      <c r="B100" s="272" t="s">
        <v>502</v>
      </c>
      <c r="C100" s="273"/>
      <c r="D100" s="273">
        <v>16.3</v>
      </c>
      <c r="E100" s="273">
        <v>19</v>
      </c>
      <c r="F100" s="273"/>
      <c r="G100" s="274">
        <v>46212</v>
      </c>
    </row>
    <row r="101" spans="1:7">
      <c r="A101" t="s">
        <v>506</v>
      </c>
      <c r="B101" t="s">
        <v>502</v>
      </c>
      <c r="D101" s="267">
        <v>21.3</v>
      </c>
      <c r="E101" s="267">
        <v>19</v>
      </c>
      <c r="G101" s="268">
        <v>46226</v>
      </c>
    </row>
    <row r="102" spans="1:7" ht="25.15" customHeight="1">
      <c r="A102" s="272" t="s">
        <v>507</v>
      </c>
      <c r="B102" s="272" t="s">
        <v>502</v>
      </c>
      <c r="C102" s="273"/>
      <c r="D102" s="273">
        <v>20.8</v>
      </c>
      <c r="E102" s="273">
        <v>19</v>
      </c>
      <c r="F102" s="273"/>
      <c r="G102" s="274">
        <v>46226</v>
      </c>
    </row>
    <row r="103" spans="1:7" ht="25.15" customHeight="1">
      <c r="A103" t="s">
        <v>508</v>
      </c>
      <c r="B103" t="s">
        <v>502</v>
      </c>
      <c r="D103" s="267">
        <v>20.2</v>
      </c>
      <c r="E103" s="267">
        <v>19</v>
      </c>
      <c r="G103" s="268">
        <v>46226</v>
      </c>
    </row>
    <row r="105" spans="1:7" ht="24.95" customHeight="1">
      <c r="A105" s="312" t="s">
        <v>261</v>
      </c>
      <c r="B105" s="312"/>
      <c r="C105" s="312"/>
      <c r="D105" s="312"/>
      <c r="E105" s="312"/>
      <c r="F105" s="312"/>
      <c r="G105" s="312"/>
    </row>
    <row r="106" spans="1:7" ht="25.15" customHeight="1">
      <c r="A106" s="269" t="s">
        <v>688</v>
      </c>
      <c r="B106" s="269" t="s">
        <v>689</v>
      </c>
      <c r="C106" s="270" t="s">
        <v>690</v>
      </c>
      <c r="D106" s="270" t="s">
        <v>691</v>
      </c>
      <c r="E106" s="270" t="s">
        <v>692</v>
      </c>
      <c r="F106" s="270" t="s">
        <v>693</v>
      </c>
      <c r="G106" s="271" t="s">
        <v>694</v>
      </c>
    </row>
    <row r="107" spans="1:7">
      <c r="A107" t="s">
        <v>501</v>
      </c>
      <c r="B107" t="s">
        <v>502</v>
      </c>
      <c r="D107" s="267">
        <v>21</v>
      </c>
      <c r="E107" s="267">
        <v>19</v>
      </c>
      <c r="G107" s="268">
        <v>46223</v>
      </c>
    </row>
    <row r="108" spans="1:7">
      <c r="A108" s="272" t="s">
        <v>585</v>
      </c>
      <c r="B108" s="272" t="s">
        <v>577</v>
      </c>
      <c r="C108" s="273"/>
      <c r="D108" s="273">
        <v>21.5</v>
      </c>
      <c r="E108" s="273">
        <v>21</v>
      </c>
      <c r="F108" s="273"/>
      <c r="G108" s="274">
        <v>46234</v>
      </c>
    </row>
    <row r="109" spans="1:7">
      <c r="A109" t="s">
        <v>334</v>
      </c>
      <c r="B109" t="s">
        <v>296</v>
      </c>
      <c r="D109" s="267">
        <v>22.2</v>
      </c>
      <c r="E109" s="267">
        <v>23.5</v>
      </c>
      <c r="G109" s="268">
        <v>46234</v>
      </c>
    </row>
    <row r="110" spans="1:7" ht="25.15" customHeight="1">
      <c r="A110" s="272" t="s">
        <v>335</v>
      </c>
      <c r="B110" s="272" t="s">
        <v>296</v>
      </c>
      <c r="C110" s="273"/>
      <c r="D110" s="273">
        <v>23</v>
      </c>
      <c r="E110" s="273">
        <v>23.5</v>
      </c>
      <c r="F110" s="273"/>
      <c r="G110" s="274">
        <v>46234</v>
      </c>
    </row>
    <row r="112" spans="1:7" ht="24.95" customHeight="1">
      <c r="A112" s="312" t="s">
        <v>360</v>
      </c>
      <c r="B112" s="312"/>
      <c r="C112" s="312"/>
      <c r="D112" s="312"/>
      <c r="E112" s="312"/>
      <c r="F112" s="312"/>
      <c r="G112" s="312"/>
    </row>
    <row r="113" spans="1:7" ht="25.15" customHeight="1">
      <c r="A113" s="269" t="s">
        <v>688</v>
      </c>
      <c r="B113" s="269" t="s">
        <v>689</v>
      </c>
      <c r="C113" s="270" t="s">
        <v>690</v>
      </c>
      <c r="D113" s="270" t="s">
        <v>691</v>
      </c>
      <c r="E113" s="270" t="s">
        <v>692</v>
      </c>
      <c r="F113" s="270" t="s">
        <v>693</v>
      </c>
      <c r="G113" s="271" t="s">
        <v>694</v>
      </c>
    </row>
    <row r="114" spans="1:7" ht="25.15" customHeight="1">
      <c r="A114" s="272" t="s">
        <v>359</v>
      </c>
      <c r="B114" s="272" t="s">
        <v>357</v>
      </c>
      <c r="C114" s="273"/>
      <c r="D114" s="273">
        <v>18.2</v>
      </c>
      <c r="E114" s="273">
        <v>19</v>
      </c>
      <c r="F114" s="273"/>
      <c r="G114" s="274">
        <v>46233</v>
      </c>
    </row>
    <row r="115" spans="1:7" ht="25.15" customHeight="1">
      <c r="A115" t="s">
        <v>635</v>
      </c>
      <c r="B115" t="s">
        <v>629</v>
      </c>
      <c r="D115" s="267">
        <v>21.8</v>
      </c>
      <c r="E115" s="267">
        <v>21.5</v>
      </c>
      <c r="G115" s="268">
        <v>46231</v>
      </c>
    </row>
    <row r="117" spans="1:7" ht="24.95" customHeight="1">
      <c r="A117" s="312" t="s">
        <v>632</v>
      </c>
      <c r="B117" s="312"/>
      <c r="C117" s="312"/>
      <c r="D117" s="312"/>
      <c r="E117" s="312"/>
      <c r="F117" s="312"/>
      <c r="G117" s="312"/>
    </row>
    <row r="118" spans="1:7">
      <c r="A118" s="269" t="s">
        <v>688</v>
      </c>
      <c r="B118" s="269" t="s">
        <v>689</v>
      </c>
      <c r="C118" s="270" t="s">
        <v>690</v>
      </c>
      <c r="D118" s="270" t="s">
        <v>691</v>
      </c>
      <c r="E118" s="270" t="s">
        <v>692</v>
      </c>
      <c r="F118" s="270" t="s">
        <v>693</v>
      </c>
      <c r="G118" s="271" t="s">
        <v>694</v>
      </c>
    </row>
    <row r="119" spans="1:7">
      <c r="A119" t="s">
        <v>631</v>
      </c>
      <c r="B119" t="s">
        <v>629</v>
      </c>
      <c r="D119" s="267">
        <v>22.2</v>
      </c>
      <c r="E119" s="267" t="s">
        <v>633</v>
      </c>
      <c r="G119" s="268">
        <v>46230</v>
      </c>
    </row>
    <row r="120" spans="1:7" ht="25.15" customHeight="1"/>
    <row r="121" spans="1:7" ht="24.95" customHeight="1">
      <c r="A121" s="312" t="s">
        <v>514</v>
      </c>
      <c r="B121" s="312"/>
      <c r="C121" s="312"/>
      <c r="D121" s="312"/>
      <c r="E121" s="312"/>
      <c r="F121" s="312"/>
      <c r="G121" s="312"/>
    </row>
    <row r="122" spans="1:7" ht="25.15" customHeight="1">
      <c r="A122" s="269" t="s">
        <v>688</v>
      </c>
      <c r="B122" s="269" t="s">
        <v>689</v>
      </c>
      <c r="C122" s="270" t="s">
        <v>690</v>
      </c>
      <c r="D122" s="270" t="s">
        <v>691</v>
      </c>
      <c r="E122" s="270" t="s">
        <v>692</v>
      </c>
      <c r="F122" s="270" t="s">
        <v>693</v>
      </c>
      <c r="G122" s="271" t="s">
        <v>694</v>
      </c>
    </row>
    <row r="123" spans="1:7">
      <c r="A123" t="s">
        <v>513</v>
      </c>
      <c r="B123" t="s">
        <v>502</v>
      </c>
      <c r="D123" s="267" t="s">
        <v>515</v>
      </c>
      <c r="E123" s="267">
        <v>21.5</v>
      </c>
      <c r="G123" s="268">
        <v>46232</v>
      </c>
    </row>
    <row r="125" spans="1:7" ht="24.95" customHeight="1">
      <c r="A125" s="312" t="s">
        <v>345</v>
      </c>
      <c r="B125" s="312"/>
      <c r="C125" s="312"/>
      <c r="D125" s="312"/>
      <c r="E125" s="312"/>
      <c r="F125" s="312"/>
      <c r="G125" s="312"/>
    </row>
    <row r="126" spans="1:7" ht="25.15" customHeight="1">
      <c r="A126" s="269" t="s">
        <v>688</v>
      </c>
      <c r="B126" s="269" t="s">
        <v>689</v>
      </c>
      <c r="C126" s="270" t="s">
        <v>690</v>
      </c>
      <c r="D126" s="270" t="s">
        <v>691</v>
      </c>
      <c r="E126" s="270" t="s">
        <v>692</v>
      </c>
      <c r="F126" s="270" t="s">
        <v>693</v>
      </c>
      <c r="G126" s="271" t="s">
        <v>694</v>
      </c>
    </row>
    <row r="127" spans="1:7">
      <c r="A127" t="s">
        <v>579</v>
      </c>
      <c r="B127" t="s">
        <v>577</v>
      </c>
      <c r="D127" s="267">
        <v>18.2</v>
      </c>
      <c r="E127" s="267">
        <v>20</v>
      </c>
      <c r="G127" s="268">
        <v>46232</v>
      </c>
    </row>
    <row r="128" spans="1:7" ht="25.15" customHeight="1">
      <c r="A128" s="272" t="s">
        <v>634</v>
      </c>
      <c r="B128" s="272" t="s">
        <v>629</v>
      </c>
      <c r="C128" s="273"/>
      <c r="D128" s="273">
        <v>23.2</v>
      </c>
      <c r="E128" s="273">
        <v>21.5</v>
      </c>
      <c r="F128" s="273"/>
      <c r="G128" s="274">
        <v>46231</v>
      </c>
    </row>
    <row r="129" spans="1:7" ht="25.15" customHeight="1">
      <c r="A129" t="s">
        <v>344</v>
      </c>
      <c r="B129" t="s">
        <v>296</v>
      </c>
      <c r="D129" s="267">
        <v>20.3</v>
      </c>
      <c r="E129" s="267">
        <v>21.5</v>
      </c>
      <c r="G129" s="268">
        <v>46230</v>
      </c>
    </row>
    <row r="130" spans="1:7" ht="25.15" customHeight="1">
      <c r="A130" s="272" t="s">
        <v>350</v>
      </c>
      <c r="B130" s="272" t="s">
        <v>296</v>
      </c>
      <c r="C130" s="273"/>
      <c r="D130" s="273">
        <v>20.100000000000001</v>
      </c>
      <c r="E130" s="273">
        <v>22</v>
      </c>
      <c r="F130" s="273"/>
      <c r="G130" s="274">
        <v>46230</v>
      </c>
    </row>
    <row r="132" spans="1:7" ht="24.95" customHeight="1">
      <c r="A132" s="312"/>
      <c r="B132" s="312"/>
      <c r="C132" s="312"/>
      <c r="D132" s="312"/>
      <c r="E132" s="312"/>
      <c r="F132" s="312"/>
      <c r="G132" s="312"/>
    </row>
    <row r="133" spans="1:7" ht="25.15" customHeight="1">
      <c r="A133" s="269" t="s">
        <v>688</v>
      </c>
      <c r="B133" s="269" t="s">
        <v>689</v>
      </c>
      <c r="C133" s="270" t="s">
        <v>690</v>
      </c>
      <c r="D133" s="270" t="s">
        <v>691</v>
      </c>
      <c r="E133" s="270" t="s">
        <v>692</v>
      </c>
      <c r="F133" s="270" t="s">
        <v>693</v>
      </c>
      <c r="G133" s="271" t="s">
        <v>694</v>
      </c>
    </row>
    <row r="134" spans="1:7">
      <c r="A134" s="272" t="s">
        <v>301</v>
      </c>
      <c r="B134" s="272" t="s">
        <v>296</v>
      </c>
      <c r="C134" s="273"/>
      <c r="D134" s="273">
        <v>19.2</v>
      </c>
      <c r="E134" s="273">
        <v>22.5</v>
      </c>
      <c r="F134" s="273"/>
      <c r="G134" s="274">
        <v>46225</v>
      </c>
    </row>
    <row r="135" spans="1:7" ht="25.15" customHeight="1">
      <c r="A135" t="s">
        <v>402</v>
      </c>
      <c r="B135" t="s">
        <v>396</v>
      </c>
      <c r="D135" s="267">
        <v>16.399999999999999</v>
      </c>
      <c r="E135" s="267">
        <v>24.5</v>
      </c>
      <c r="G135" s="268">
        <v>46227</v>
      </c>
    </row>
    <row r="136" spans="1:7">
      <c r="A136" s="272" t="s">
        <v>387</v>
      </c>
      <c r="B136" s="272" t="s">
        <v>388</v>
      </c>
      <c r="C136" s="273"/>
      <c r="D136" s="273">
        <v>15.7</v>
      </c>
      <c r="E136" s="273">
        <v>21.5</v>
      </c>
      <c r="F136" s="273"/>
      <c r="G136" s="274">
        <v>46225</v>
      </c>
    </row>
    <row r="137" spans="1:7" ht="25.15" customHeight="1">
      <c r="A137" t="s">
        <v>354</v>
      </c>
      <c r="B137" t="s">
        <v>296</v>
      </c>
      <c r="D137" s="267">
        <v>19.2</v>
      </c>
      <c r="G137" s="268">
        <v>46230</v>
      </c>
    </row>
    <row r="139" spans="1:7" ht="25.15" customHeight="1"/>
    <row r="143" spans="1:7" ht="25.15" customHeight="1"/>
    <row r="149" ht="25.15" customHeight="1"/>
    <row r="153" ht="25.15" customHeight="1"/>
  </sheetData>
  <mergeCells count="17">
    <mergeCell ref="A105:G105"/>
    <mergeCell ref="A29:G29"/>
    <mergeCell ref="A36:G36"/>
    <mergeCell ref="A49:G49"/>
    <mergeCell ref="A22:G22"/>
    <mergeCell ref="A98:G98"/>
    <mergeCell ref="A1:G1"/>
    <mergeCell ref="A2:G2"/>
    <mergeCell ref="A4:G4"/>
    <mergeCell ref="A8:G8"/>
    <mergeCell ref="A18:G18"/>
    <mergeCell ref="A14:G14"/>
    <mergeCell ref="A112:G112"/>
    <mergeCell ref="A121:G121"/>
    <mergeCell ref="A125:G125"/>
    <mergeCell ref="A132:G132"/>
    <mergeCell ref="A117:G117"/>
  </mergeCells>
  <conditionalFormatting sqref="D4:D138">
    <cfRule type="expression" dxfId="59" priority="1" stopIfTrue="1">
      <formula>AND(ISNUMBER(D4),ISNUMBER(E4),D4&gt;=E4)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A456-C39B-4C47-B7CA-4996398321D5}">
  <sheetPr codeName="Sheet3" filterMode="1"/>
  <dimension ref="A1:N783"/>
  <sheetViews>
    <sheetView zoomScale="93" workbookViewId="0">
      <pane ySplit="2" topLeftCell="A161" activePane="bottomLeft" state="frozen"/>
      <selection pane="bottomLeft" activeCell="D193" sqref="D193"/>
    </sheetView>
  </sheetViews>
  <sheetFormatPr defaultColWidth="9" defaultRowHeight="15"/>
  <cols>
    <col min="1" max="1" width="13.85546875" customWidth="1"/>
    <col min="2" max="2" width="15" customWidth="1"/>
    <col min="3" max="4" width="32" customWidth="1"/>
    <col min="6" max="6" width="14.42578125" customWidth="1"/>
    <col min="7" max="7" width="15" customWidth="1"/>
    <col min="8" max="9" width="13" customWidth="1"/>
    <col min="10" max="11" width="14.140625" customWidth="1"/>
    <col min="12" max="12" width="36.85546875" bestFit="1" customWidth="1"/>
    <col min="13" max="13" width="9.140625" customWidth="1"/>
    <col min="16376" max="16384" width="9" bestFit="1" customWidth="1"/>
  </cols>
  <sheetData>
    <row r="1" spans="1:13" ht="25.5">
      <c r="A1" s="2" t="s">
        <v>706</v>
      </c>
      <c r="B1" s="315" t="s">
        <v>707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00"/>
    </row>
    <row r="2" spans="1:13" ht="16.5">
      <c r="A2" s="3" t="s">
        <v>708</v>
      </c>
      <c r="B2" s="3" t="s">
        <v>709</v>
      </c>
      <c r="C2" s="3" t="s">
        <v>710</v>
      </c>
      <c r="D2" s="3" t="s">
        <v>711</v>
      </c>
      <c r="E2" s="3" t="s">
        <v>689</v>
      </c>
      <c r="F2" s="9" t="s">
        <v>712</v>
      </c>
      <c r="G2" s="9" t="s">
        <v>713</v>
      </c>
      <c r="H2" s="3" t="s">
        <v>714</v>
      </c>
      <c r="I2" s="3" t="s">
        <v>715</v>
      </c>
      <c r="J2" s="9" t="s">
        <v>716</v>
      </c>
      <c r="K2" s="9" t="s">
        <v>717</v>
      </c>
      <c r="L2" s="3" t="s">
        <v>718</v>
      </c>
      <c r="M2" s="101"/>
    </row>
    <row r="3" spans="1:13" hidden="1">
      <c r="A3" s="74" t="s">
        <v>719</v>
      </c>
      <c r="B3" s="75">
        <v>46210</v>
      </c>
      <c r="C3" s="74" t="s">
        <v>720</v>
      </c>
      <c r="D3" s="74" t="s">
        <v>721</v>
      </c>
      <c r="E3" s="74" t="s">
        <v>722</v>
      </c>
      <c r="F3" s="74">
        <v>17.899999999999999</v>
      </c>
      <c r="G3" s="74">
        <v>17.100000000000001</v>
      </c>
      <c r="H3" s="74">
        <v>14.4</v>
      </c>
      <c r="I3" s="74">
        <v>2.96</v>
      </c>
      <c r="J3" s="74">
        <v>5990</v>
      </c>
      <c r="K3" s="74"/>
      <c r="L3" s="74" t="s">
        <v>723</v>
      </c>
      <c r="M3" s="88"/>
    </row>
    <row r="4" spans="1:13" hidden="1">
      <c r="A4" s="74" t="s">
        <v>719</v>
      </c>
      <c r="B4" s="75">
        <v>46211</v>
      </c>
      <c r="C4" s="74" t="s">
        <v>724</v>
      </c>
      <c r="D4" s="74" t="s">
        <v>725</v>
      </c>
      <c r="E4" s="74" t="s">
        <v>726</v>
      </c>
      <c r="F4" s="76">
        <v>16.100000000000001</v>
      </c>
      <c r="G4" s="74">
        <v>15.3</v>
      </c>
      <c r="H4" s="74">
        <v>10.6</v>
      </c>
      <c r="I4" s="74">
        <v>2.92</v>
      </c>
      <c r="J4" s="74">
        <v>12270</v>
      </c>
      <c r="K4" s="74"/>
      <c r="L4" s="74" t="s">
        <v>727</v>
      </c>
      <c r="M4" s="88"/>
    </row>
    <row r="5" spans="1:13" hidden="1">
      <c r="A5" s="74" t="s">
        <v>719</v>
      </c>
      <c r="B5" s="75">
        <v>46212</v>
      </c>
      <c r="C5" s="74" t="s">
        <v>728</v>
      </c>
      <c r="D5" s="74" t="s">
        <v>729</v>
      </c>
      <c r="E5" s="74" t="s">
        <v>726</v>
      </c>
      <c r="F5" s="74">
        <v>18.899999999999999</v>
      </c>
      <c r="G5" s="74">
        <v>18.5</v>
      </c>
      <c r="H5" s="74">
        <v>15.2</v>
      </c>
      <c r="I5" s="74">
        <v>3.07</v>
      </c>
      <c r="J5" s="219">
        <v>7870</v>
      </c>
      <c r="K5" s="74"/>
      <c r="L5" s="74" t="s">
        <v>730</v>
      </c>
      <c r="M5" s="88"/>
    </row>
    <row r="6" spans="1:13" hidden="1">
      <c r="A6" s="74" t="s">
        <v>719</v>
      </c>
      <c r="B6" s="75">
        <v>46216</v>
      </c>
      <c r="C6" s="74" t="s">
        <v>728</v>
      </c>
      <c r="D6" s="74" t="s">
        <v>729</v>
      </c>
      <c r="E6" s="74" t="s">
        <v>726</v>
      </c>
      <c r="F6" s="74">
        <v>20.2</v>
      </c>
      <c r="G6" s="76">
        <v>19.5</v>
      </c>
      <c r="H6" s="74">
        <v>12.4</v>
      </c>
      <c r="I6" s="74">
        <v>3.07</v>
      </c>
      <c r="J6" s="74">
        <v>6540</v>
      </c>
      <c r="K6" s="74"/>
      <c r="L6" s="74" t="s">
        <v>730</v>
      </c>
      <c r="M6" s="88"/>
    </row>
    <row r="7" spans="1:13" hidden="1">
      <c r="A7" s="74" t="s">
        <v>731</v>
      </c>
      <c r="B7" s="75">
        <v>46216</v>
      </c>
      <c r="C7" s="74" t="s">
        <v>720</v>
      </c>
      <c r="D7" s="74" t="s">
        <v>721</v>
      </c>
      <c r="E7" s="74" t="s">
        <v>722</v>
      </c>
      <c r="F7" s="74">
        <v>19.100000000000001</v>
      </c>
      <c r="G7" s="74">
        <v>18.3</v>
      </c>
      <c r="H7" s="74">
        <v>11.6</v>
      </c>
      <c r="I7" s="77">
        <v>3.06</v>
      </c>
      <c r="J7" s="88">
        <v>4450</v>
      </c>
      <c r="K7" s="74"/>
      <c r="L7" s="74"/>
      <c r="M7" s="88"/>
    </row>
    <row r="8" spans="1:13" hidden="1">
      <c r="A8" s="74" t="s">
        <v>732</v>
      </c>
      <c r="B8" s="75">
        <v>46216</v>
      </c>
      <c r="C8" s="74" t="s">
        <v>720</v>
      </c>
      <c r="D8" s="74" t="s">
        <v>733</v>
      </c>
      <c r="E8" s="74" t="s">
        <v>734</v>
      </c>
      <c r="F8" s="76">
        <v>20.3</v>
      </c>
      <c r="G8" s="76">
        <v>19.600000000000001</v>
      </c>
      <c r="H8" s="74">
        <v>13.2</v>
      </c>
      <c r="I8" s="74">
        <v>3.02</v>
      </c>
      <c r="J8" s="74">
        <v>5420</v>
      </c>
      <c r="K8" s="74"/>
      <c r="L8" s="74"/>
      <c r="M8" s="88"/>
    </row>
    <row r="9" spans="1:13" hidden="1">
      <c r="A9" s="74" t="s">
        <v>719</v>
      </c>
      <c r="B9" s="75">
        <v>46217</v>
      </c>
      <c r="C9" s="74" t="s">
        <v>728</v>
      </c>
      <c r="D9" s="74" t="s">
        <v>735</v>
      </c>
      <c r="E9" s="74" t="s">
        <v>726</v>
      </c>
      <c r="F9" s="74">
        <v>20.2</v>
      </c>
      <c r="G9" s="76">
        <v>19.5</v>
      </c>
      <c r="H9" s="76">
        <v>12.2</v>
      </c>
      <c r="I9" s="74">
        <v>3.07</v>
      </c>
      <c r="J9" s="74">
        <v>5910</v>
      </c>
      <c r="K9" s="74"/>
      <c r="L9" s="74" t="s">
        <v>730</v>
      </c>
      <c r="M9" s="88"/>
    </row>
    <row r="10" spans="1:13" hidden="1">
      <c r="A10" s="74" t="s">
        <v>731</v>
      </c>
      <c r="B10" s="75">
        <v>46218</v>
      </c>
      <c r="C10" s="74" t="s">
        <v>720</v>
      </c>
      <c r="D10" s="74" t="s">
        <v>721</v>
      </c>
      <c r="E10" s="74" t="s">
        <v>722</v>
      </c>
      <c r="F10" s="74">
        <v>20.100000000000001</v>
      </c>
      <c r="G10" s="74">
        <v>19.399999999999999</v>
      </c>
      <c r="H10" s="74">
        <v>11.4</v>
      </c>
      <c r="I10" s="77">
        <v>3.05</v>
      </c>
      <c r="J10" s="74">
        <v>3827</v>
      </c>
      <c r="K10" s="74"/>
      <c r="L10" s="74" t="s">
        <v>736</v>
      </c>
      <c r="M10" s="88"/>
    </row>
    <row r="11" spans="1:13" hidden="1">
      <c r="A11" s="74" t="s">
        <v>719</v>
      </c>
      <c r="B11" s="75">
        <v>46219</v>
      </c>
      <c r="C11" s="74" t="s">
        <v>720</v>
      </c>
      <c r="D11" s="74" t="s">
        <v>737</v>
      </c>
      <c r="E11" s="74" t="s">
        <v>734</v>
      </c>
      <c r="F11" s="76">
        <v>22</v>
      </c>
      <c r="G11" s="74">
        <v>21.3</v>
      </c>
      <c r="H11" s="74">
        <v>11.2</v>
      </c>
      <c r="I11" s="74">
        <v>3.14</v>
      </c>
      <c r="J11" s="74">
        <v>4886</v>
      </c>
      <c r="K11" s="74"/>
      <c r="L11" s="74"/>
      <c r="M11" s="88"/>
    </row>
    <row r="12" spans="1:13" hidden="1">
      <c r="A12" s="74" t="s">
        <v>731</v>
      </c>
      <c r="B12" s="75">
        <v>46219</v>
      </c>
      <c r="C12" s="74" t="s">
        <v>720</v>
      </c>
      <c r="D12" s="74" t="s">
        <v>733</v>
      </c>
      <c r="E12" s="74" t="s">
        <v>734</v>
      </c>
      <c r="F12" s="74">
        <v>22.1</v>
      </c>
      <c r="G12" s="74">
        <v>21.4</v>
      </c>
      <c r="H12" s="74">
        <v>11.4</v>
      </c>
      <c r="I12" s="74">
        <v>3.08</v>
      </c>
      <c r="J12" s="74">
        <v>4876</v>
      </c>
      <c r="K12" s="74"/>
      <c r="L12" s="74"/>
      <c r="M12" s="88"/>
    </row>
    <row r="13" spans="1:13" hidden="1">
      <c r="A13" s="74" t="s">
        <v>732</v>
      </c>
      <c r="B13" s="75">
        <v>46219</v>
      </c>
      <c r="C13" s="74" t="s">
        <v>738</v>
      </c>
      <c r="D13" s="74" t="s">
        <v>739</v>
      </c>
      <c r="E13" s="74" t="s">
        <v>740</v>
      </c>
      <c r="F13" s="74">
        <v>21.4</v>
      </c>
      <c r="G13" s="74">
        <v>20.7</v>
      </c>
      <c r="H13" s="74">
        <v>15.8</v>
      </c>
      <c r="I13" s="74">
        <v>3.03</v>
      </c>
      <c r="J13" s="74">
        <v>7268</v>
      </c>
      <c r="K13" s="74">
        <v>0.04</v>
      </c>
      <c r="L13" s="74"/>
      <c r="M13" s="88"/>
    </row>
    <row r="14" spans="1:13" hidden="1">
      <c r="A14" s="228"/>
      <c r="B14" s="229"/>
      <c r="C14" s="228"/>
      <c r="D14" s="228"/>
      <c r="E14" s="228"/>
      <c r="F14" s="228"/>
      <c r="G14" s="230"/>
      <c r="H14" s="231"/>
      <c r="I14" s="228"/>
      <c r="J14" s="228"/>
      <c r="K14" s="228"/>
      <c r="L14" s="228"/>
      <c r="M14" s="88"/>
    </row>
    <row r="15" spans="1:13" hidden="1">
      <c r="A15" s="74" t="s">
        <v>719</v>
      </c>
      <c r="B15" s="75">
        <v>46220</v>
      </c>
      <c r="C15" s="74" t="s">
        <v>741</v>
      </c>
      <c r="D15" s="74" t="s">
        <v>742</v>
      </c>
      <c r="E15" s="79" t="s">
        <v>743</v>
      </c>
      <c r="F15" s="76">
        <v>18.100000000000001</v>
      </c>
      <c r="G15" s="74">
        <v>17.399999999999999</v>
      </c>
      <c r="H15" s="74">
        <v>17.2</v>
      </c>
      <c r="I15" s="74">
        <v>2.95</v>
      </c>
      <c r="J15" s="74">
        <v>9625</v>
      </c>
      <c r="K15" s="74"/>
      <c r="L15" s="74"/>
      <c r="M15" s="88"/>
    </row>
    <row r="16" spans="1:13" hidden="1">
      <c r="A16" s="74" t="s">
        <v>731</v>
      </c>
      <c r="B16" s="75">
        <v>46220</v>
      </c>
      <c r="C16" s="74" t="s">
        <v>738</v>
      </c>
      <c r="D16" s="74"/>
      <c r="E16" s="79" t="s">
        <v>740</v>
      </c>
      <c r="F16" s="74">
        <v>22.6</v>
      </c>
      <c r="G16" s="74">
        <v>21.8</v>
      </c>
      <c r="H16" s="233">
        <v>14</v>
      </c>
      <c r="I16" s="74">
        <v>3.06</v>
      </c>
      <c r="J16" s="234">
        <v>6058</v>
      </c>
      <c r="K16" s="74"/>
      <c r="L16" s="74"/>
      <c r="M16" s="88"/>
    </row>
    <row r="17" spans="1:13" hidden="1">
      <c r="A17" s="74" t="s">
        <v>732</v>
      </c>
      <c r="B17" s="75">
        <v>46220</v>
      </c>
      <c r="C17" s="74" t="s">
        <v>744</v>
      </c>
      <c r="D17" s="74" t="s">
        <v>745</v>
      </c>
      <c r="E17" s="74" t="s">
        <v>746</v>
      </c>
      <c r="F17" s="74">
        <v>21.9</v>
      </c>
      <c r="G17" s="74">
        <v>21.1</v>
      </c>
      <c r="H17" s="233">
        <v>10.8</v>
      </c>
      <c r="I17" s="74">
        <v>3.11</v>
      </c>
      <c r="J17" s="234">
        <v>4846</v>
      </c>
      <c r="K17" s="74"/>
      <c r="L17" s="74" t="s">
        <v>747</v>
      </c>
      <c r="M17" s="88"/>
    </row>
    <row r="18" spans="1:13" hidden="1">
      <c r="A18" s="228"/>
      <c r="B18" s="229"/>
      <c r="C18" s="228"/>
      <c r="D18" s="228"/>
      <c r="E18" s="228"/>
      <c r="F18" s="228"/>
      <c r="G18" s="230"/>
      <c r="H18" s="231"/>
      <c r="I18" s="228"/>
      <c r="J18" s="228"/>
      <c r="K18" s="228"/>
      <c r="L18" s="228"/>
      <c r="M18" s="88"/>
    </row>
    <row r="19" spans="1:13" hidden="1">
      <c r="A19" s="74" t="s">
        <v>719</v>
      </c>
      <c r="B19" s="75">
        <v>46223</v>
      </c>
      <c r="C19" s="74" t="s">
        <v>738</v>
      </c>
      <c r="D19" s="74" t="s">
        <v>739</v>
      </c>
      <c r="E19" s="74" t="s">
        <v>740</v>
      </c>
      <c r="F19" s="76">
        <v>20</v>
      </c>
      <c r="G19" s="74">
        <v>19.399999999999999</v>
      </c>
      <c r="H19" s="74">
        <v>13.6</v>
      </c>
      <c r="I19" s="74">
        <v>3.07</v>
      </c>
      <c r="J19" s="74">
        <v>5775</v>
      </c>
      <c r="K19" s="74"/>
      <c r="L19" s="74"/>
      <c r="M19" s="88"/>
    </row>
    <row r="20" spans="1:13" hidden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88"/>
    </row>
    <row r="21" spans="1:13" hidden="1">
      <c r="A21" s="74" t="s">
        <v>719</v>
      </c>
      <c r="B21" s="75">
        <v>46224</v>
      </c>
      <c r="C21" s="74" t="s">
        <v>720</v>
      </c>
      <c r="D21" s="74" t="s">
        <v>739</v>
      </c>
      <c r="E21" s="74" t="s">
        <v>734</v>
      </c>
      <c r="F21" s="76">
        <v>24</v>
      </c>
      <c r="G21" s="74">
        <v>23.3</v>
      </c>
      <c r="H21" s="74">
        <v>8.8000000000000007</v>
      </c>
      <c r="I21" s="74">
        <v>3.14</v>
      </c>
      <c r="J21" s="74">
        <v>3012</v>
      </c>
      <c r="K21" s="74"/>
      <c r="L21" s="74"/>
      <c r="M21" s="88"/>
    </row>
    <row r="22" spans="1:13" hidden="1">
      <c r="A22" s="74" t="s">
        <v>731</v>
      </c>
      <c r="B22" s="75">
        <v>46224</v>
      </c>
      <c r="C22" s="74" t="s">
        <v>720</v>
      </c>
      <c r="D22" s="74" t="s">
        <v>733</v>
      </c>
      <c r="E22" s="74" t="s">
        <v>734</v>
      </c>
      <c r="F22" s="74">
        <v>22.8</v>
      </c>
      <c r="G22" s="74">
        <v>22.1</v>
      </c>
      <c r="H22" s="74">
        <v>9.6</v>
      </c>
      <c r="I22" s="74">
        <v>3.11</v>
      </c>
      <c r="J22" s="74">
        <v>2947</v>
      </c>
      <c r="K22" s="74"/>
      <c r="L22" s="74"/>
      <c r="M22" s="88"/>
    </row>
    <row r="23" spans="1:13" hidden="1">
      <c r="A23" s="74" t="s">
        <v>732</v>
      </c>
      <c r="B23" s="75">
        <v>46224</v>
      </c>
      <c r="C23" s="74" t="s">
        <v>748</v>
      </c>
      <c r="D23" s="74" t="s">
        <v>745</v>
      </c>
      <c r="E23" s="74" t="s">
        <v>749</v>
      </c>
      <c r="F23" s="74">
        <v>20.100000000000001</v>
      </c>
      <c r="G23" s="74">
        <v>19.5</v>
      </c>
      <c r="H23" s="74">
        <v>11.6</v>
      </c>
      <c r="I23" s="74">
        <v>3.03</v>
      </c>
      <c r="J23" s="74">
        <v>6401</v>
      </c>
      <c r="K23" s="74"/>
      <c r="L23" s="74" t="s">
        <v>750</v>
      </c>
    </row>
    <row r="24" spans="1:13" hidden="1">
      <c r="A24" s="74" t="s">
        <v>751</v>
      </c>
      <c r="B24" s="75">
        <v>46224</v>
      </c>
      <c r="C24" s="74" t="s">
        <v>748</v>
      </c>
      <c r="D24" s="74" t="s">
        <v>745</v>
      </c>
      <c r="E24" s="74" t="s">
        <v>749</v>
      </c>
      <c r="F24" s="76">
        <v>19.2</v>
      </c>
      <c r="G24" s="76">
        <v>18.7</v>
      </c>
      <c r="H24" s="74">
        <v>10.4</v>
      </c>
      <c r="I24" s="74">
        <v>2.98</v>
      </c>
      <c r="J24" s="74">
        <v>5596</v>
      </c>
      <c r="K24" s="74"/>
      <c r="L24" s="74" t="s">
        <v>752</v>
      </c>
    </row>
    <row r="25" spans="1:13" hidden="1">
      <c r="A25" s="74" t="s">
        <v>753</v>
      </c>
      <c r="B25" s="75">
        <v>46224</v>
      </c>
      <c r="C25" s="74" t="s">
        <v>744</v>
      </c>
      <c r="D25" s="74" t="s">
        <v>754</v>
      </c>
      <c r="E25" s="74" t="s">
        <v>746</v>
      </c>
      <c r="F25" s="74">
        <v>22.5</v>
      </c>
      <c r="G25" s="74">
        <v>21.9</v>
      </c>
      <c r="H25" s="74">
        <v>9.6</v>
      </c>
      <c r="I25" s="74">
        <v>3.06</v>
      </c>
      <c r="J25" s="74">
        <v>3722</v>
      </c>
      <c r="K25" s="74"/>
      <c r="L25" s="74" t="s">
        <v>747</v>
      </c>
    </row>
    <row r="26" spans="1:13" hidden="1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</row>
    <row r="27" spans="1:13" hidden="1">
      <c r="A27" s="74" t="s">
        <v>719</v>
      </c>
      <c r="B27" s="75">
        <v>46225</v>
      </c>
      <c r="C27" s="74" t="s">
        <v>755</v>
      </c>
      <c r="D27" s="74" t="s">
        <v>754</v>
      </c>
      <c r="E27" s="74" t="s">
        <v>726</v>
      </c>
      <c r="F27" s="74">
        <v>21.6</v>
      </c>
      <c r="G27" s="74">
        <v>20.9</v>
      </c>
      <c r="H27" s="74">
        <v>12.2</v>
      </c>
      <c r="I27" s="77">
        <v>3.18</v>
      </c>
      <c r="J27" s="74">
        <v>6591</v>
      </c>
      <c r="K27" s="74"/>
      <c r="L27" s="74" t="s">
        <v>756</v>
      </c>
      <c r="M27" s="88"/>
    </row>
    <row r="28" spans="1:13" hidden="1">
      <c r="A28" s="74" t="s">
        <v>731</v>
      </c>
      <c r="B28" s="75">
        <v>46225</v>
      </c>
      <c r="C28" s="74" t="s">
        <v>757</v>
      </c>
      <c r="D28" s="74" t="s">
        <v>721</v>
      </c>
      <c r="E28" s="74" t="s">
        <v>758</v>
      </c>
      <c r="F28" s="74">
        <v>21.7</v>
      </c>
      <c r="G28" s="76">
        <v>21</v>
      </c>
      <c r="H28" s="74">
        <v>8.6</v>
      </c>
      <c r="I28" s="77">
        <v>3.4</v>
      </c>
      <c r="J28" s="74">
        <v>4442</v>
      </c>
      <c r="K28" s="74"/>
      <c r="L28" s="74" t="s">
        <v>759</v>
      </c>
      <c r="M28" s="88"/>
    </row>
    <row r="29" spans="1:13" hidden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</row>
    <row r="30" spans="1:13" hidden="1">
      <c r="A30" s="74" t="s">
        <v>719</v>
      </c>
      <c r="B30" s="75">
        <v>46226</v>
      </c>
      <c r="C30" s="74" t="s">
        <v>760</v>
      </c>
      <c r="D30" s="74" t="s">
        <v>754</v>
      </c>
      <c r="E30" s="74" t="s">
        <v>761</v>
      </c>
      <c r="F30" s="74">
        <v>25.2</v>
      </c>
      <c r="G30" s="74">
        <v>24.3</v>
      </c>
      <c r="H30" s="74">
        <v>12.4</v>
      </c>
      <c r="I30" s="74">
        <v>3.09</v>
      </c>
      <c r="J30" s="74">
        <v>3163</v>
      </c>
      <c r="K30" s="74">
        <v>0.22</v>
      </c>
      <c r="L30" s="74" t="s">
        <v>762</v>
      </c>
      <c r="M30" s="88"/>
    </row>
    <row r="31" spans="1:13" hidden="1">
      <c r="A31" s="74" t="s">
        <v>731</v>
      </c>
      <c r="B31" s="75">
        <v>46226</v>
      </c>
      <c r="C31" s="74" t="s">
        <v>760</v>
      </c>
      <c r="D31" s="74" t="s">
        <v>754</v>
      </c>
      <c r="E31" s="74" t="s">
        <v>761</v>
      </c>
      <c r="F31" s="76">
        <v>20.9</v>
      </c>
      <c r="G31" s="74">
        <v>20.100000000000001</v>
      </c>
      <c r="H31" s="76">
        <v>13.2</v>
      </c>
      <c r="I31" s="74">
        <v>3.08</v>
      </c>
      <c r="J31" s="74">
        <v>4761</v>
      </c>
      <c r="K31" s="74">
        <v>0.08</v>
      </c>
      <c r="L31" s="74" t="s">
        <v>763</v>
      </c>
      <c r="M31" s="88"/>
    </row>
    <row r="32" spans="1:13" hidden="1">
      <c r="A32" s="74" t="s">
        <v>732</v>
      </c>
      <c r="B32" s="75">
        <v>46226</v>
      </c>
      <c r="C32" s="74" t="s">
        <v>764</v>
      </c>
      <c r="D32" s="74"/>
      <c r="E32" s="74" t="s">
        <v>746</v>
      </c>
      <c r="F32" s="74">
        <v>19.7</v>
      </c>
      <c r="G32" s="76">
        <v>19</v>
      </c>
      <c r="H32" s="76">
        <v>11</v>
      </c>
      <c r="I32" s="74">
        <v>3.13</v>
      </c>
      <c r="J32" s="74">
        <v>5582</v>
      </c>
      <c r="K32" s="74"/>
      <c r="L32" s="74" t="s">
        <v>765</v>
      </c>
      <c r="M32" s="88"/>
    </row>
    <row r="33" spans="1:13" hidden="1">
      <c r="A33" s="74" t="s">
        <v>751</v>
      </c>
      <c r="B33" s="75">
        <v>46226</v>
      </c>
      <c r="C33" s="74" t="s">
        <v>764</v>
      </c>
      <c r="D33" s="74"/>
      <c r="E33" s="74" t="s">
        <v>749</v>
      </c>
      <c r="F33" s="74">
        <v>21.5</v>
      </c>
      <c r="G33" s="76">
        <v>20.8</v>
      </c>
      <c r="H33" s="76">
        <v>10</v>
      </c>
      <c r="I33" s="77">
        <v>3.2</v>
      </c>
      <c r="J33" s="74">
        <v>5290</v>
      </c>
      <c r="K33" s="74"/>
      <c r="L33" s="74" t="s">
        <v>766</v>
      </c>
      <c r="M33" s="88"/>
    </row>
    <row r="34" spans="1:13" hidden="1">
      <c r="A34" s="74" t="s">
        <v>753</v>
      </c>
      <c r="B34" s="75">
        <v>46226</v>
      </c>
      <c r="C34" s="74" t="s">
        <v>764</v>
      </c>
      <c r="D34" s="74"/>
      <c r="E34" s="74" t="s">
        <v>749</v>
      </c>
      <c r="F34" s="76">
        <v>22</v>
      </c>
      <c r="G34" s="76">
        <v>21.3</v>
      </c>
      <c r="H34" s="74">
        <v>8.8000000000000007</v>
      </c>
      <c r="I34" s="74">
        <v>3.26</v>
      </c>
      <c r="J34" s="74">
        <v>4011</v>
      </c>
      <c r="K34" s="74"/>
      <c r="L34" s="74" t="s">
        <v>767</v>
      </c>
    </row>
    <row r="35" spans="1:13" hidden="1">
      <c r="A35" s="74" t="s">
        <v>768</v>
      </c>
      <c r="B35" s="75">
        <v>46226</v>
      </c>
      <c r="C35" s="74" t="s">
        <v>764</v>
      </c>
      <c r="D35" s="74"/>
      <c r="E35" s="74" t="s">
        <v>749</v>
      </c>
      <c r="F35" s="76">
        <v>20.9</v>
      </c>
      <c r="G35" s="74">
        <v>20.2</v>
      </c>
      <c r="H35" s="76">
        <v>11</v>
      </c>
      <c r="I35" s="74">
        <v>3.18</v>
      </c>
      <c r="J35" s="74">
        <v>5294</v>
      </c>
      <c r="K35" s="74"/>
      <c r="L35" s="81" t="s">
        <v>765</v>
      </c>
      <c r="M35" s="102"/>
    </row>
    <row r="36" spans="1:13" hidden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88"/>
    </row>
    <row r="37" spans="1:13" hidden="1">
      <c r="A37" s="74" t="s">
        <v>719</v>
      </c>
      <c r="B37" s="75">
        <v>46227</v>
      </c>
      <c r="C37" s="74" t="s">
        <v>769</v>
      </c>
      <c r="D37" s="74"/>
      <c r="E37" s="74" t="s">
        <v>746</v>
      </c>
      <c r="F37" s="74">
        <v>21.2</v>
      </c>
      <c r="G37" s="74">
        <v>20.6</v>
      </c>
      <c r="H37" s="74">
        <v>9.1999999999999993</v>
      </c>
      <c r="I37" s="74">
        <v>3.14</v>
      </c>
      <c r="J37" s="74">
        <v>3688</v>
      </c>
      <c r="K37" s="74"/>
      <c r="L37" s="74" t="s">
        <v>756</v>
      </c>
    </row>
    <row r="38" spans="1:13" hidden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</row>
    <row r="39" spans="1:13" hidden="1">
      <c r="A39" s="74" t="s">
        <v>719</v>
      </c>
      <c r="B39" s="75">
        <v>46228</v>
      </c>
      <c r="C39" s="74" t="s">
        <v>770</v>
      </c>
      <c r="D39" s="74"/>
      <c r="E39" s="74" t="s">
        <v>749</v>
      </c>
      <c r="F39" s="74">
        <v>20.3</v>
      </c>
      <c r="G39" s="74">
        <v>19.600000000000001</v>
      </c>
      <c r="H39" s="74">
        <v>9.1999999999999993</v>
      </c>
      <c r="I39" s="74">
        <v>3.17</v>
      </c>
      <c r="J39" s="74">
        <v>3348</v>
      </c>
      <c r="K39" s="74"/>
      <c r="L39" s="74"/>
      <c r="M39" s="88"/>
    </row>
    <row r="40" spans="1:13" hidden="1">
      <c r="A40" s="74" t="s">
        <v>731</v>
      </c>
      <c r="B40" s="75">
        <v>46228</v>
      </c>
      <c r="C40" s="74" t="s">
        <v>748</v>
      </c>
      <c r="D40" s="74"/>
      <c r="E40" s="74" t="s">
        <v>749</v>
      </c>
      <c r="F40" s="74">
        <v>20.9</v>
      </c>
      <c r="G40" s="76">
        <v>20.2</v>
      </c>
      <c r="H40" s="74">
        <v>9.1999999999999993</v>
      </c>
      <c r="I40" s="74">
        <v>3.07</v>
      </c>
      <c r="J40" s="74">
        <v>3324</v>
      </c>
      <c r="K40" s="74"/>
      <c r="L40" s="74" t="s">
        <v>771</v>
      </c>
      <c r="M40" s="88"/>
    </row>
    <row r="41" spans="1:13" hidden="1">
      <c r="A41" s="74" t="s">
        <v>732</v>
      </c>
      <c r="B41" s="75">
        <v>46228</v>
      </c>
      <c r="C41" s="74" t="s">
        <v>748</v>
      </c>
      <c r="D41" s="74"/>
      <c r="E41" s="74" t="s">
        <v>749</v>
      </c>
      <c r="F41" s="74">
        <v>20.7</v>
      </c>
      <c r="G41" s="74">
        <v>20.2</v>
      </c>
      <c r="H41" s="76">
        <v>12</v>
      </c>
      <c r="I41" s="74">
        <v>3.05</v>
      </c>
      <c r="J41" s="74">
        <v>5523</v>
      </c>
      <c r="K41" s="74"/>
      <c r="L41" s="74" t="s">
        <v>772</v>
      </c>
      <c r="M41" s="88"/>
    </row>
    <row r="42" spans="1:13" hidden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88"/>
    </row>
    <row r="43" spans="1:13" hidden="1">
      <c r="A43" s="74" t="s">
        <v>719</v>
      </c>
      <c r="B43" s="75">
        <v>46230</v>
      </c>
      <c r="C43" s="74" t="s">
        <v>773</v>
      </c>
      <c r="D43" s="74" t="s">
        <v>733</v>
      </c>
      <c r="E43" s="74" t="s">
        <v>774</v>
      </c>
      <c r="F43" s="76">
        <v>21.2</v>
      </c>
      <c r="G43" s="74">
        <v>20.399999999999999</v>
      </c>
      <c r="H43" s="74">
        <v>10.4</v>
      </c>
      <c r="I43" s="74">
        <v>3.18</v>
      </c>
      <c r="J43" s="74">
        <v>3742</v>
      </c>
      <c r="K43" s="74"/>
      <c r="L43" s="4"/>
    </row>
    <row r="44" spans="1:13" hidden="1">
      <c r="A44" s="74" t="s">
        <v>731</v>
      </c>
      <c r="B44" s="75">
        <v>46230</v>
      </c>
      <c r="C44" s="74" t="s">
        <v>757</v>
      </c>
      <c r="D44" s="74"/>
      <c r="E44" s="74" t="s">
        <v>775</v>
      </c>
      <c r="F44" s="74">
        <v>22.1</v>
      </c>
      <c r="G44" s="74">
        <v>21.5</v>
      </c>
      <c r="H44" s="74">
        <v>7.2</v>
      </c>
      <c r="I44" s="74">
        <v>3.41</v>
      </c>
      <c r="J44" s="74">
        <v>2033</v>
      </c>
      <c r="K44" s="74">
        <v>0.25</v>
      </c>
      <c r="L44" s="74" t="s">
        <v>776</v>
      </c>
      <c r="M44" s="88"/>
    </row>
    <row r="45" spans="1:13" hidden="1">
      <c r="A45" s="74" t="s">
        <v>732</v>
      </c>
      <c r="B45" s="75">
        <v>46230</v>
      </c>
      <c r="C45" s="74" t="s">
        <v>757</v>
      </c>
      <c r="D45" s="74"/>
      <c r="E45" s="74" t="s">
        <v>775</v>
      </c>
      <c r="F45" s="76">
        <v>22</v>
      </c>
      <c r="G45" s="74">
        <v>21.3</v>
      </c>
      <c r="H45" s="74">
        <v>8.1999999999999993</v>
      </c>
      <c r="I45" s="74">
        <v>3.36</v>
      </c>
      <c r="J45" s="74">
        <v>3266</v>
      </c>
      <c r="K45" s="74">
        <v>0.15</v>
      </c>
      <c r="L45" s="74" t="s">
        <v>777</v>
      </c>
      <c r="M45" s="88"/>
    </row>
    <row r="46" spans="1:13" hidden="1">
      <c r="A46" s="228"/>
      <c r="B46" s="229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88"/>
    </row>
    <row r="47" spans="1:13" hidden="1">
      <c r="A47" s="74" t="s">
        <v>719</v>
      </c>
      <c r="B47" s="75">
        <v>46231</v>
      </c>
      <c r="C47" s="74" t="s">
        <v>741</v>
      </c>
      <c r="D47" s="74"/>
      <c r="E47" s="74" t="s">
        <v>743</v>
      </c>
      <c r="F47" s="74">
        <v>18.8</v>
      </c>
      <c r="G47" s="76">
        <v>18.100000000000001</v>
      </c>
      <c r="H47" s="233">
        <v>12</v>
      </c>
      <c r="I47" s="255">
        <v>3.13</v>
      </c>
      <c r="J47" s="256">
        <v>5240</v>
      </c>
      <c r="K47" s="77">
        <v>0.09</v>
      </c>
      <c r="L47" s="74" t="s">
        <v>778</v>
      </c>
      <c r="M47" s="88"/>
    </row>
    <row r="48" spans="1:13" hidden="1">
      <c r="A48" s="74" t="s">
        <v>731</v>
      </c>
      <c r="B48" s="75">
        <v>46231</v>
      </c>
      <c r="C48" s="74" t="s">
        <v>764</v>
      </c>
      <c r="D48" s="74" t="s">
        <v>721</v>
      </c>
      <c r="E48" s="74" t="s">
        <v>746</v>
      </c>
      <c r="F48" s="74">
        <v>20.9</v>
      </c>
      <c r="G48" s="74">
        <v>20.3</v>
      </c>
      <c r="H48" s="74">
        <v>10.8</v>
      </c>
      <c r="I48" s="74">
        <v>3.09</v>
      </c>
      <c r="J48" s="74">
        <v>5122</v>
      </c>
      <c r="K48" s="74">
        <v>0.15</v>
      </c>
      <c r="L48" s="81" t="s">
        <v>765</v>
      </c>
    </row>
    <row r="49" spans="1:14" hidden="1">
      <c r="A49" s="74" t="s">
        <v>732</v>
      </c>
      <c r="B49" s="75">
        <v>46231</v>
      </c>
      <c r="C49" s="74" t="s">
        <v>748</v>
      </c>
      <c r="D49" s="74" t="s">
        <v>745</v>
      </c>
      <c r="E49" s="74" t="s">
        <v>749</v>
      </c>
      <c r="F49" s="74">
        <v>21.8</v>
      </c>
      <c r="G49" s="74">
        <v>21.1</v>
      </c>
      <c r="H49" s="76">
        <v>12.2</v>
      </c>
      <c r="I49" s="74">
        <v>3.08</v>
      </c>
      <c r="J49" s="74">
        <v>5576</v>
      </c>
      <c r="K49" s="74">
        <v>0.16</v>
      </c>
      <c r="L49" s="74" t="s">
        <v>779</v>
      </c>
      <c r="M49" s="88"/>
    </row>
    <row r="50" spans="1:14" hidden="1">
      <c r="A50" s="74" t="s">
        <v>751</v>
      </c>
      <c r="B50" s="75">
        <v>46231</v>
      </c>
      <c r="C50" s="74" t="s">
        <v>748</v>
      </c>
      <c r="D50" s="74" t="s">
        <v>745</v>
      </c>
      <c r="E50" s="74" t="s">
        <v>749</v>
      </c>
      <c r="F50" s="74">
        <v>20.8</v>
      </c>
      <c r="G50" s="74">
        <v>20.2</v>
      </c>
      <c r="H50" s="74">
        <v>9.8000000000000007</v>
      </c>
      <c r="I50" s="74">
        <v>3.02</v>
      </c>
      <c r="J50" s="74">
        <v>3463</v>
      </c>
      <c r="K50" s="74">
        <v>0.13</v>
      </c>
      <c r="L50" s="74" t="s">
        <v>780</v>
      </c>
      <c r="M50" s="88"/>
    </row>
    <row r="51" spans="1:14" hidden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</row>
    <row r="52" spans="1:14" hidden="1">
      <c r="A52" s="74" t="s">
        <v>719</v>
      </c>
      <c r="B52" s="75">
        <v>46232</v>
      </c>
      <c r="C52" s="74" t="s">
        <v>781</v>
      </c>
      <c r="D52" s="74"/>
      <c r="E52" s="74" t="s">
        <v>746</v>
      </c>
      <c r="F52" s="74">
        <v>22.5</v>
      </c>
      <c r="G52" s="74">
        <v>21.8</v>
      </c>
      <c r="H52" s="74">
        <v>7.4</v>
      </c>
      <c r="I52" s="74">
        <v>3.25</v>
      </c>
      <c r="J52" s="74">
        <v>2785</v>
      </c>
      <c r="K52" s="74">
        <v>0.05</v>
      </c>
      <c r="L52" s="74" t="s">
        <v>782</v>
      </c>
      <c r="M52" s="88"/>
    </row>
    <row r="53" spans="1:14" hidden="1">
      <c r="A53" s="74" t="s">
        <v>731</v>
      </c>
      <c r="B53" s="75">
        <v>46232</v>
      </c>
      <c r="C53" s="74" t="s">
        <v>781</v>
      </c>
      <c r="D53" s="74"/>
      <c r="E53" s="74" t="s">
        <v>726</v>
      </c>
      <c r="F53" s="76">
        <v>23.1</v>
      </c>
      <c r="G53" s="74">
        <v>22.3</v>
      </c>
      <c r="H53" s="74">
        <v>10.4</v>
      </c>
      <c r="I53" s="74">
        <v>3.22</v>
      </c>
      <c r="J53" s="74">
        <v>4978</v>
      </c>
      <c r="K53" s="74">
        <v>0.05</v>
      </c>
      <c r="L53" s="74" t="s">
        <v>783</v>
      </c>
      <c r="M53" s="88"/>
    </row>
    <row r="54" spans="1:14" hidden="1">
      <c r="A54" s="74" t="s">
        <v>732</v>
      </c>
      <c r="B54" s="75">
        <v>46232</v>
      </c>
      <c r="C54" s="74" t="s">
        <v>770</v>
      </c>
      <c r="D54" s="74"/>
      <c r="E54" s="74" t="s">
        <v>749</v>
      </c>
      <c r="F54" s="74">
        <v>21.1</v>
      </c>
      <c r="G54" s="74">
        <v>20.5</v>
      </c>
      <c r="H54" s="74">
        <v>7.4</v>
      </c>
      <c r="I54" s="74">
        <v>3.21</v>
      </c>
      <c r="J54" s="74">
        <v>2740</v>
      </c>
      <c r="K54" s="74">
        <v>0.05</v>
      </c>
      <c r="L54" s="74"/>
      <c r="M54" s="88"/>
    </row>
    <row r="55" spans="1:14" hidden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</row>
    <row r="56" spans="1:14" hidden="1">
      <c r="A56" s="74" t="s">
        <v>719</v>
      </c>
      <c r="B56" s="75">
        <v>46233</v>
      </c>
      <c r="C56" s="74" t="s">
        <v>773</v>
      </c>
      <c r="D56" s="74" t="s">
        <v>733</v>
      </c>
      <c r="E56" s="74" t="s">
        <v>774</v>
      </c>
      <c r="F56" s="76">
        <v>22</v>
      </c>
      <c r="G56" s="74">
        <v>21.2</v>
      </c>
      <c r="H56" s="74">
        <v>8.4</v>
      </c>
      <c r="I56" s="74">
        <v>3.12</v>
      </c>
      <c r="J56" s="74">
        <v>3042</v>
      </c>
      <c r="K56" s="74">
        <v>0.08</v>
      </c>
      <c r="L56" s="74"/>
      <c r="M56" s="88"/>
    </row>
    <row r="57" spans="1:14" hidden="1">
      <c r="A57" s="74" t="s">
        <v>731</v>
      </c>
      <c r="B57" s="75">
        <v>46233</v>
      </c>
      <c r="C57" s="74" t="s">
        <v>773</v>
      </c>
      <c r="D57" s="74" t="s">
        <v>784</v>
      </c>
      <c r="E57" s="74" t="s">
        <v>746</v>
      </c>
      <c r="F57" s="74">
        <v>23.8</v>
      </c>
      <c r="G57" s="74">
        <v>22.8</v>
      </c>
      <c r="H57" s="74">
        <v>9.6</v>
      </c>
      <c r="I57" s="74">
        <v>3.15</v>
      </c>
      <c r="J57" s="74">
        <v>3883</v>
      </c>
      <c r="K57" s="74">
        <v>0.08</v>
      </c>
      <c r="L57" s="74"/>
      <c r="M57" s="88"/>
    </row>
    <row r="58" spans="1:14" hidden="1">
      <c r="A58" s="74" t="s">
        <v>732</v>
      </c>
      <c r="B58" s="75">
        <v>46233</v>
      </c>
      <c r="C58" s="74" t="s">
        <v>741</v>
      </c>
      <c r="D58" s="74" t="s">
        <v>765</v>
      </c>
      <c r="E58" s="74" t="s">
        <v>743</v>
      </c>
      <c r="F58" s="76">
        <v>19.8</v>
      </c>
      <c r="G58" s="76">
        <v>19</v>
      </c>
      <c r="H58" s="74">
        <v>10.199999999999999</v>
      </c>
      <c r="I58" s="74">
        <v>3.14</v>
      </c>
      <c r="J58" s="74">
        <v>4618</v>
      </c>
      <c r="K58" s="74">
        <v>0.08</v>
      </c>
      <c r="L58" s="74" t="s">
        <v>765</v>
      </c>
      <c r="M58" s="88"/>
    </row>
    <row r="59" spans="1:14" hidden="1">
      <c r="A59" s="74" t="s">
        <v>751</v>
      </c>
      <c r="B59" s="75">
        <v>46233</v>
      </c>
      <c r="C59" s="74" t="s">
        <v>773</v>
      </c>
      <c r="D59" s="74"/>
      <c r="E59" s="74" t="s">
        <v>734</v>
      </c>
      <c r="F59" s="74">
        <v>23.1</v>
      </c>
      <c r="G59" s="74">
        <v>22.3</v>
      </c>
      <c r="H59" s="76">
        <v>8</v>
      </c>
      <c r="I59" s="74">
        <v>3.28</v>
      </c>
      <c r="J59" s="74">
        <v>3002</v>
      </c>
      <c r="K59" s="74">
        <v>7.0000000000000007E-2</v>
      </c>
      <c r="L59" s="74"/>
      <c r="M59" s="88"/>
    </row>
    <row r="60" spans="1:14" hidden="1">
      <c r="A60" s="74" t="s">
        <v>753</v>
      </c>
      <c r="B60" s="75">
        <v>46233</v>
      </c>
      <c r="C60" s="74" t="s">
        <v>748</v>
      </c>
      <c r="D60" s="74"/>
      <c r="E60" s="74" t="s">
        <v>749</v>
      </c>
      <c r="F60" s="74">
        <v>20.3</v>
      </c>
      <c r="G60" s="76">
        <v>19.600000000000001</v>
      </c>
      <c r="H60" s="74">
        <v>8.4</v>
      </c>
      <c r="I60" s="77">
        <v>3.05</v>
      </c>
      <c r="J60" s="74">
        <v>2634</v>
      </c>
      <c r="K60" s="74">
        <v>0.05</v>
      </c>
      <c r="L60" s="74" t="s">
        <v>785</v>
      </c>
      <c r="M60" s="88"/>
    </row>
    <row r="61" spans="1:14" hidden="1">
      <c r="A61" s="74" t="s">
        <v>768</v>
      </c>
      <c r="B61" s="75">
        <v>46233</v>
      </c>
      <c r="C61" s="74" t="s">
        <v>748</v>
      </c>
      <c r="D61" s="74"/>
      <c r="E61" s="74" t="s">
        <v>749</v>
      </c>
      <c r="F61" s="76">
        <v>20.9</v>
      </c>
      <c r="G61" s="74">
        <v>20.2</v>
      </c>
      <c r="H61" s="74">
        <v>10.6</v>
      </c>
      <c r="I61" s="74">
        <v>3.06</v>
      </c>
      <c r="J61" s="74">
        <v>4360</v>
      </c>
      <c r="K61" s="74">
        <v>0.05</v>
      </c>
      <c r="L61" s="74" t="s">
        <v>779</v>
      </c>
      <c r="M61" s="88"/>
    </row>
    <row r="62" spans="1:14" hidden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88"/>
    </row>
    <row r="63" spans="1:14" hidden="1">
      <c r="A63" s="74" t="s">
        <v>719</v>
      </c>
      <c r="B63" s="75">
        <v>46234</v>
      </c>
      <c r="C63" s="74" t="s">
        <v>744</v>
      </c>
      <c r="D63" s="74" t="s">
        <v>745</v>
      </c>
      <c r="E63" s="74" t="s">
        <v>746</v>
      </c>
      <c r="F63" s="74">
        <v>25.2</v>
      </c>
      <c r="G63" s="74">
        <v>24.6</v>
      </c>
      <c r="H63" s="74">
        <v>7.6</v>
      </c>
      <c r="I63" s="74">
        <v>3.34</v>
      </c>
      <c r="J63" s="74">
        <v>2716</v>
      </c>
      <c r="K63" s="74">
        <v>0.04</v>
      </c>
      <c r="L63" s="74"/>
      <c r="M63" s="88"/>
    </row>
    <row r="64" spans="1:14" hidden="1">
      <c r="A64" s="74" t="s">
        <v>731</v>
      </c>
      <c r="B64" s="75">
        <v>46234</v>
      </c>
      <c r="C64" s="74" t="s">
        <v>760</v>
      </c>
      <c r="D64" s="74"/>
      <c r="E64" s="74" t="s">
        <v>761</v>
      </c>
      <c r="F64" s="74">
        <v>24.2</v>
      </c>
      <c r="G64" s="74">
        <v>23.5</v>
      </c>
      <c r="H64" s="74">
        <v>8.4</v>
      </c>
      <c r="I64" s="74">
        <v>3.36</v>
      </c>
      <c r="J64" s="74">
        <v>2180</v>
      </c>
      <c r="K64" s="74">
        <v>0.03</v>
      </c>
      <c r="L64" s="79" t="s">
        <v>786</v>
      </c>
      <c r="M64" s="103"/>
    </row>
    <row r="65" spans="1:13" hidden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88"/>
    </row>
    <row r="66" spans="1:13" hidden="1">
      <c r="A66" s="74" t="s">
        <v>719</v>
      </c>
      <c r="B66" s="75">
        <v>46235</v>
      </c>
      <c r="C66" s="74" t="s">
        <v>787</v>
      </c>
      <c r="D66" s="74"/>
      <c r="E66" s="74" t="s">
        <v>774</v>
      </c>
      <c r="F66" s="76">
        <v>21.6</v>
      </c>
      <c r="G66" s="74">
        <v>20.5</v>
      </c>
      <c r="H66" s="219">
        <v>9.4</v>
      </c>
      <c r="I66" s="219">
        <v>3.17</v>
      </c>
      <c r="J66" s="74">
        <v>2313</v>
      </c>
      <c r="K66" s="74">
        <v>0.01</v>
      </c>
      <c r="L66" s="79"/>
      <c r="M66" s="103"/>
    </row>
    <row r="67" spans="1:13" hidden="1">
      <c r="A67" s="74" t="s">
        <v>731</v>
      </c>
      <c r="B67" s="75">
        <v>46235</v>
      </c>
      <c r="C67" s="74" t="s">
        <v>788</v>
      </c>
      <c r="D67" s="74" t="s">
        <v>745</v>
      </c>
      <c r="E67" s="74" t="s">
        <v>746</v>
      </c>
      <c r="F67" s="74">
        <v>24.1</v>
      </c>
      <c r="G67" s="74">
        <v>23.4</v>
      </c>
      <c r="H67" s="219">
        <v>7.8</v>
      </c>
      <c r="I67" s="219">
        <v>3.29</v>
      </c>
      <c r="J67" s="74">
        <v>2457</v>
      </c>
      <c r="K67" s="74">
        <v>0.01</v>
      </c>
      <c r="L67" s="79"/>
      <c r="M67" s="103"/>
    </row>
    <row r="68" spans="1:13" hidden="1">
      <c r="A68" s="74" t="s">
        <v>732</v>
      </c>
      <c r="B68" s="75">
        <v>46235</v>
      </c>
      <c r="C68" s="74" t="s">
        <v>789</v>
      </c>
      <c r="D68" s="74" t="s">
        <v>790</v>
      </c>
      <c r="E68" s="74" t="s">
        <v>746</v>
      </c>
      <c r="F68" s="74">
        <v>23.2</v>
      </c>
      <c r="G68" s="74">
        <v>22.5</v>
      </c>
      <c r="H68" s="219">
        <v>8.4</v>
      </c>
      <c r="I68" s="219">
        <v>3.28</v>
      </c>
      <c r="J68" s="74">
        <v>2931</v>
      </c>
      <c r="K68" s="76">
        <v>0</v>
      </c>
      <c r="L68" s="74"/>
      <c r="M68" s="88"/>
    </row>
    <row r="69" spans="1:13" hidden="1">
      <c r="A69" s="74" t="s">
        <v>751</v>
      </c>
      <c r="B69" s="75">
        <v>46235</v>
      </c>
      <c r="C69" s="74" t="s">
        <v>791</v>
      </c>
      <c r="D69" s="74"/>
      <c r="E69" s="74" t="s">
        <v>761</v>
      </c>
      <c r="F69" s="74">
        <v>23.7</v>
      </c>
      <c r="G69" s="74">
        <v>22.7</v>
      </c>
      <c r="H69" s="74">
        <v>12.8</v>
      </c>
      <c r="I69" s="74">
        <v>3.38</v>
      </c>
      <c r="J69" s="74">
        <v>2058</v>
      </c>
      <c r="K69" s="74">
        <v>0.04</v>
      </c>
      <c r="L69" s="74" t="s">
        <v>786</v>
      </c>
      <c r="M69" s="266"/>
    </row>
    <row r="70" spans="1:13" hidden="1">
      <c r="A70" s="74" t="s">
        <v>753</v>
      </c>
      <c r="B70" s="75">
        <v>46235</v>
      </c>
      <c r="C70" s="74" t="s">
        <v>791</v>
      </c>
      <c r="D70" s="74" t="s">
        <v>792</v>
      </c>
      <c r="E70" s="74" t="s">
        <v>761</v>
      </c>
      <c r="F70" s="74">
        <v>27.5</v>
      </c>
      <c r="G70" s="74">
        <v>26.4</v>
      </c>
      <c r="H70" s="76">
        <v>10</v>
      </c>
      <c r="I70" s="74">
        <v>3.35</v>
      </c>
      <c r="J70" s="74">
        <v>1746</v>
      </c>
      <c r="K70" s="74">
        <v>0.14000000000000001</v>
      </c>
      <c r="L70" s="74" t="s">
        <v>793</v>
      </c>
      <c r="M70" s="266"/>
    </row>
    <row r="71" spans="1:13" hidden="1">
      <c r="A71" s="74" t="s">
        <v>768</v>
      </c>
      <c r="B71" s="75">
        <v>46235</v>
      </c>
      <c r="C71" s="74" t="s">
        <v>791</v>
      </c>
      <c r="D71" s="74"/>
      <c r="E71" s="74" t="s">
        <v>726</v>
      </c>
      <c r="F71" s="74">
        <v>23.7</v>
      </c>
      <c r="G71" s="76">
        <v>23</v>
      </c>
      <c r="H71" s="76">
        <v>11</v>
      </c>
      <c r="I71" s="77">
        <v>3.4</v>
      </c>
      <c r="J71" s="74">
        <v>3418</v>
      </c>
      <c r="K71" s="74">
        <v>0.01</v>
      </c>
      <c r="L71" s="74"/>
      <c r="M71" s="88"/>
    </row>
    <row r="72" spans="1:13" s="278" customFormat="1" hidden="1">
      <c r="A72" s="228"/>
      <c r="B72" s="229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77"/>
    </row>
    <row r="73" spans="1:13" hidden="1">
      <c r="A73" s="74" t="s">
        <v>719</v>
      </c>
      <c r="B73" s="75">
        <v>46237</v>
      </c>
      <c r="C73" s="74" t="s">
        <v>781</v>
      </c>
      <c r="D73" s="74" t="s">
        <v>782</v>
      </c>
      <c r="E73" s="74" t="s">
        <v>746</v>
      </c>
      <c r="F73" s="74">
        <v>24.3</v>
      </c>
      <c r="G73" s="74">
        <v>23.5</v>
      </c>
      <c r="H73" s="74">
        <v>7.8</v>
      </c>
      <c r="I73" s="74">
        <v>3.32</v>
      </c>
      <c r="J73" s="74">
        <v>2480</v>
      </c>
      <c r="K73" s="74">
        <v>0</v>
      </c>
      <c r="L73" s="74"/>
      <c r="M73" s="88"/>
    </row>
    <row r="74" spans="1:13" hidden="1">
      <c r="A74" s="74" t="s">
        <v>731</v>
      </c>
      <c r="B74" s="75">
        <v>46237</v>
      </c>
      <c r="C74" s="74" t="s">
        <v>744</v>
      </c>
      <c r="D74" s="74" t="s">
        <v>794</v>
      </c>
      <c r="E74" s="74" t="s">
        <v>746</v>
      </c>
      <c r="F74" s="74">
        <v>26.4</v>
      </c>
      <c r="G74" s="74">
        <v>25.7</v>
      </c>
      <c r="H74" s="74">
        <v>7.8</v>
      </c>
      <c r="I74" s="74">
        <v>3.46</v>
      </c>
      <c r="J74" s="74">
        <v>2950</v>
      </c>
      <c r="K74" s="74">
        <v>0.02</v>
      </c>
      <c r="L74" s="279" t="s">
        <v>795</v>
      </c>
      <c r="M74" s="88"/>
    </row>
    <row r="75" spans="1:13" hidden="1">
      <c r="A75" s="74" t="s">
        <v>732</v>
      </c>
      <c r="B75" s="75">
        <v>46237</v>
      </c>
      <c r="C75" s="74" t="s">
        <v>773</v>
      </c>
      <c r="D75" s="74" t="s">
        <v>796</v>
      </c>
      <c r="E75" s="74" t="s">
        <v>746</v>
      </c>
      <c r="F75" s="74">
        <v>25.3</v>
      </c>
      <c r="G75" s="76">
        <v>24.4</v>
      </c>
      <c r="H75" s="74">
        <v>8.8000000000000007</v>
      </c>
      <c r="I75" s="74">
        <v>3.25</v>
      </c>
      <c r="J75" s="74">
        <v>3500</v>
      </c>
      <c r="K75" s="74">
        <v>0.01</v>
      </c>
      <c r="L75" s="74"/>
      <c r="M75" s="88"/>
    </row>
    <row r="76" spans="1:13" hidden="1">
      <c r="A76" s="74" t="s">
        <v>751</v>
      </c>
      <c r="B76" s="75">
        <v>46237</v>
      </c>
      <c r="C76" s="74" t="s">
        <v>741</v>
      </c>
      <c r="D76" s="74" t="s">
        <v>742</v>
      </c>
      <c r="E76" s="74" t="s">
        <v>743</v>
      </c>
      <c r="F76" s="74">
        <v>21.1</v>
      </c>
      <c r="G76" s="74">
        <v>20.3</v>
      </c>
      <c r="H76" s="76">
        <v>11</v>
      </c>
      <c r="I76" s="74">
        <v>3.19</v>
      </c>
      <c r="J76" s="74">
        <v>4380</v>
      </c>
      <c r="K76" s="74">
        <v>0.02</v>
      </c>
      <c r="L76" s="74"/>
      <c r="M76" s="88"/>
    </row>
    <row r="77" spans="1:13" hidden="1">
      <c r="A77" s="74" t="s">
        <v>753</v>
      </c>
      <c r="B77" s="75">
        <v>46237</v>
      </c>
      <c r="C77" s="74" t="s">
        <v>797</v>
      </c>
      <c r="D77" s="74" t="s">
        <v>798</v>
      </c>
      <c r="E77" s="74" t="s">
        <v>740</v>
      </c>
      <c r="F77" s="74">
        <v>23.8</v>
      </c>
      <c r="G77" s="74">
        <v>23.1</v>
      </c>
      <c r="H77" s="74">
        <v>8.8000000000000007</v>
      </c>
      <c r="I77" s="74">
        <v>3.33</v>
      </c>
      <c r="J77" s="74">
        <v>3660</v>
      </c>
      <c r="K77" s="74">
        <v>0.02</v>
      </c>
      <c r="L77" s="74"/>
      <c r="M77" s="88"/>
    </row>
    <row r="78" spans="1:13" hidden="1">
      <c r="A78" s="74" t="s">
        <v>768</v>
      </c>
      <c r="B78" s="75">
        <v>46237</v>
      </c>
      <c r="C78" s="74" t="s">
        <v>764</v>
      </c>
      <c r="D78" s="74" t="s">
        <v>799</v>
      </c>
      <c r="E78" s="74" t="s">
        <v>746</v>
      </c>
      <c r="F78" s="76">
        <v>26</v>
      </c>
      <c r="G78" s="74">
        <v>25.1</v>
      </c>
      <c r="H78" s="74">
        <v>7.4</v>
      </c>
      <c r="I78" s="74">
        <v>3.37</v>
      </c>
      <c r="J78" s="74">
        <v>2860</v>
      </c>
      <c r="K78" s="74">
        <v>0</v>
      </c>
      <c r="L78" s="74"/>
      <c r="M78" s="88"/>
    </row>
    <row r="79" spans="1:13" hidden="1">
      <c r="A79" s="74" t="s">
        <v>800</v>
      </c>
      <c r="B79" s="75">
        <v>46237</v>
      </c>
      <c r="C79" s="74" t="s">
        <v>801</v>
      </c>
      <c r="D79" s="74"/>
      <c r="E79" s="74" t="s">
        <v>802</v>
      </c>
      <c r="F79" s="74">
        <v>22.8</v>
      </c>
      <c r="G79" s="74">
        <v>21.9</v>
      </c>
      <c r="H79" s="74">
        <v>12.4</v>
      </c>
      <c r="I79" s="74">
        <v>3.42</v>
      </c>
      <c r="J79" s="74">
        <v>2370</v>
      </c>
      <c r="K79" s="74">
        <v>0</v>
      </c>
      <c r="L79" s="74"/>
      <c r="M79" s="88"/>
    </row>
    <row r="80" spans="1:13" hidden="1">
      <c r="A80" s="74" t="s">
        <v>803</v>
      </c>
      <c r="B80" s="75">
        <v>46237</v>
      </c>
      <c r="C80" s="74" t="s">
        <v>804</v>
      </c>
      <c r="D80" s="74"/>
      <c r="E80" s="74" t="s">
        <v>726</v>
      </c>
      <c r="F80" s="76">
        <v>23</v>
      </c>
      <c r="G80" s="76">
        <v>22</v>
      </c>
      <c r="H80" s="76">
        <v>10</v>
      </c>
      <c r="I80" s="74">
        <v>3.26</v>
      </c>
      <c r="J80" s="74">
        <v>3460</v>
      </c>
      <c r="K80" s="74">
        <v>0</v>
      </c>
      <c r="L80" s="74"/>
      <c r="M80" s="88"/>
    </row>
    <row r="81" spans="1:14" hidden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</row>
    <row r="82" spans="1:14" hidden="1">
      <c r="A82" s="74" t="s">
        <v>719</v>
      </c>
      <c r="B82" s="75">
        <v>46238</v>
      </c>
      <c r="C82" s="74" t="s">
        <v>805</v>
      </c>
      <c r="D82" s="74" t="s">
        <v>784</v>
      </c>
      <c r="E82" s="74" t="s">
        <v>726</v>
      </c>
      <c r="F82" s="74">
        <v>26.3</v>
      </c>
      <c r="G82" s="74">
        <v>25.4</v>
      </c>
      <c r="H82" s="74">
        <v>8.8000000000000007</v>
      </c>
      <c r="I82" s="77">
        <v>3.4</v>
      </c>
      <c r="J82" s="74">
        <v>3520</v>
      </c>
      <c r="K82" s="74">
        <v>0.02</v>
      </c>
      <c r="L82" s="74" t="s">
        <v>806</v>
      </c>
      <c r="M82" s="88"/>
    </row>
    <row r="83" spans="1:14" hidden="1">
      <c r="A83" s="74" t="s">
        <v>731</v>
      </c>
      <c r="B83" s="75">
        <v>46238</v>
      </c>
      <c r="C83" s="74" t="s">
        <v>801</v>
      </c>
      <c r="D83" s="74"/>
      <c r="E83" s="74" t="s">
        <v>726</v>
      </c>
      <c r="F83" s="74">
        <v>23.7</v>
      </c>
      <c r="G83" s="76">
        <v>23</v>
      </c>
      <c r="H83" s="74">
        <v>9.8000000000000007</v>
      </c>
      <c r="I83" s="74">
        <v>3.33</v>
      </c>
      <c r="J83" s="74">
        <v>4060</v>
      </c>
      <c r="K83" s="74">
        <v>0.01</v>
      </c>
      <c r="L83" s="74"/>
      <c r="M83" s="88"/>
    </row>
    <row r="84" spans="1:14" hidden="1">
      <c r="A84" s="74" t="s">
        <v>732</v>
      </c>
      <c r="B84" s="75">
        <v>46238</v>
      </c>
      <c r="C84" s="74" t="s">
        <v>807</v>
      </c>
      <c r="D84" s="74"/>
      <c r="E84" s="74" t="s">
        <v>726</v>
      </c>
      <c r="F84" s="74">
        <v>24.1</v>
      </c>
      <c r="G84" s="74">
        <v>23.2</v>
      </c>
      <c r="H84" s="74">
        <v>9.1999999999999993</v>
      </c>
      <c r="I84" s="74">
        <v>3.33</v>
      </c>
      <c r="J84" s="74">
        <v>3780</v>
      </c>
      <c r="K84" s="74">
        <v>0.01</v>
      </c>
      <c r="L84" s="74"/>
      <c r="M84" s="88"/>
    </row>
    <row r="85" spans="1:14" hidden="1">
      <c r="A85" s="74" t="s">
        <v>751</v>
      </c>
      <c r="B85" s="75">
        <v>46238</v>
      </c>
      <c r="C85" s="74" t="s">
        <v>748</v>
      </c>
      <c r="D85" s="283" t="s">
        <v>745</v>
      </c>
      <c r="E85" s="74" t="s">
        <v>749</v>
      </c>
      <c r="F85" s="74">
        <v>23.2</v>
      </c>
      <c r="G85" s="74">
        <v>22.6</v>
      </c>
      <c r="H85" s="74">
        <v>7.4</v>
      </c>
      <c r="I85" s="74">
        <v>3.28</v>
      </c>
      <c r="J85" s="74">
        <v>2310</v>
      </c>
      <c r="K85" s="74">
        <v>0.01</v>
      </c>
      <c r="L85" s="74"/>
      <c r="M85" s="88"/>
    </row>
    <row r="86" spans="1:14" hidden="1">
      <c r="A86" s="74" t="s">
        <v>753</v>
      </c>
      <c r="B86" s="75">
        <v>46238</v>
      </c>
      <c r="C86" s="74" t="s">
        <v>748</v>
      </c>
      <c r="D86" s="283" t="s">
        <v>745</v>
      </c>
      <c r="E86" s="74" t="s">
        <v>749</v>
      </c>
      <c r="F86" s="74">
        <v>23.5</v>
      </c>
      <c r="G86" s="74">
        <v>22.8</v>
      </c>
      <c r="H86" s="74">
        <v>9.1999999999999993</v>
      </c>
      <c r="I86" s="74">
        <v>3.25</v>
      </c>
      <c r="J86" s="74">
        <v>3820</v>
      </c>
      <c r="K86" s="74">
        <v>0.03</v>
      </c>
      <c r="L86" s="74"/>
      <c r="M86" s="88"/>
    </row>
    <row r="87" spans="1:14" hidden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</row>
    <row r="88" spans="1:14" hidden="1">
      <c r="A88" s="74" t="s">
        <v>719</v>
      </c>
      <c r="B88" s="75">
        <v>46239</v>
      </c>
      <c r="C88" s="74" t="s">
        <v>808</v>
      </c>
      <c r="D88" s="74" t="s">
        <v>809</v>
      </c>
      <c r="E88" s="74" t="s">
        <v>810</v>
      </c>
      <c r="F88" s="74">
        <v>21.8</v>
      </c>
      <c r="G88" s="76">
        <v>20.9</v>
      </c>
      <c r="H88" s="76">
        <v>7</v>
      </c>
      <c r="I88" s="74">
        <v>3.38</v>
      </c>
      <c r="J88" s="74">
        <v>2800</v>
      </c>
      <c r="K88" s="74">
        <v>0.06</v>
      </c>
      <c r="L88" s="74"/>
      <c r="M88" s="88"/>
    </row>
    <row r="89" spans="1:14" hidden="1">
      <c r="A89" s="74" t="s">
        <v>731</v>
      </c>
      <c r="B89" s="75">
        <v>46239</v>
      </c>
      <c r="C89" s="74" t="s">
        <v>811</v>
      </c>
      <c r="D89" s="74" t="s">
        <v>812</v>
      </c>
      <c r="E89" s="74" t="s">
        <v>726</v>
      </c>
      <c r="F89" s="74">
        <v>25.7</v>
      </c>
      <c r="G89" s="74">
        <v>25.1</v>
      </c>
      <c r="H89" s="76">
        <v>12</v>
      </c>
      <c r="I89" s="74">
        <v>3.18</v>
      </c>
      <c r="J89" s="74">
        <v>5930</v>
      </c>
      <c r="K89" s="74">
        <v>0.01</v>
      </c>
      <c r="L89" s="74"/>
      <c r="M89" s="88"/>
    </row>
    <row r="90" spans="1:14" hidden="1">
      <c r="A90" s="74" t="s">
        <v>732</v>
      </c>
      <c r="B90" s="75">
        <v>46239</v>
      </c>
      <c r="C90" s="74" t="s">
        <v>760</v>
      </c>
      <c r="D90" s="74"/>
      <c r="E90" s="74" t="s">
        <v>761</v>
      </c>
      <c r="F90" s="74">
        <v>25.2</v>
      </c>
      <c r="G90" s="74">
        <v>25.4</v>
      </c>
      <c r="H90" s="74">
        <v>8.1999999999999993</v>
      </c>
      <c r="I90" s="74">
        <v>3.33</v>
      </c>
      <c r="J90" s="74">
        <v>1700</v>
      </c>
      <c r="K90" s="74">
        <v>0.08</v>
      </c>
      <c r="L90" s="74"/>
      <c r="M90" s="88"/>
    </row>
    <row r="91" spans="1:14" hidden="1">
      <c r="A91" s="74" t="s">
        <v>751</v>
      </c>
      <c r="B91" s="75">
        <v>46239</v>
      </c>
      <c r="C91" s="74" t="s">
        <v>813</v>
      </c>
      <c r="D91" s="74" t="s">
        <v>814</v>
      </c>
      <c r="E91" s="74" t="s">
        <v>740</v>
      </c>
      <c r="F91" s="74">
        <v>25</v>
      </c>
      <c r="G91" s="74">
        <v>24.3</v>
      </c>
      <c r="H91" s="74">
        <v>7.2</v>
      </c>
      <c r="I91" s="74">
        <v>3.36</v>
      </c>
      <c r="J91" s="74">
        <v>2960</v>
      </c>
      <c r="K91" s="74">
        <v>0.04</v>
      </c>
      <c r="L91" s="74"/>
      <c r="M91" s="88"/>
    </row>
    <row r="92" spans="1:14" hidden="1">
      <c r="A92" s="74" t="s">
        <v>753</v>
      </c>
      <c r="B92" s="75">
        <v>46239</v>
      </c>
      <c r="C92" s="74" t="s">
        <v>815</v>
      </c>
      <c r="D92" s="74" t="s">
        <v>816</v>
      </c>
      <c r="E92" s="74" t="s">
        <v>726</v>
      </c>
      <c r="F92" s="74">
        <v>22.5</v>
      </c>
      <c r="G92" s="74">
        <v>21.7</v>
      </c>
      <c r="H92" s="219">
        <v>7.8</v>
      </c>
      <c r="I92" s="219">
        <v>3.27</v>
      </c>
      <c r="J92" s="74">
        <v>1760</v>
      </c>
      <c r="K92" s="74">
        <v>0.01</v>
      </c>
      <c r="L92" s="74"/>
      <c r="M92" s="88"/>
    </row>
    <row r="93" spans="1:14" hidden="1">
      <c r="A93" s="74" t="s">
        <v>768</v>
      </c>
      <c r="B93" s="75">
        <v>46239</v>
      </c>
      <c r="C93" s="74" t="s">
        <v>815</v>
      </c>
      <c r="D93" s="74" t="s">
        <v>817</v>
      </c>
      <c r="E93" s="74" t="s">
        <v>726</v>
      </c>
      <c r="F93" s="74">
        <v>25.4</v>
      </c>
      <c r="G93" s="74">
        <v>24.4</v>
      </c>
      <c r="H93" s="219">
        <v>9.4</v>
      </c>
      <c r="I93" s="219">
        <v>3.36</v>
      </c>
      <c r="J93" s="74">
        <v>4840</v>
      </c>
      <c r="K93" s="74">
        <v>0.05</v>
      </c>
      <c r="L93" s="74"/>
      <c r="M93" s="88"/>
    </row>
    <row r="94" spans="1:14" hidden="1">
      <c r="A94" s="74"/>
      <c r="B94" s="75"/>
      <c r="C94" s="74"/>
      <c r="D94" s="74"/>
      <c r="E94" s="74"/>
      <c r="F94" s="74"/>
      <c r="G94" s="74"/>
      <c r="H94" s="233"/>
      <c r="I94" s="255"/>
      <c r="J94" s="74"/>
      <c r="K94" s="74"/>
      <c r="L94" s="74"/>
      <c r="M94" s="88"/>
    </row>
    <row r="95" spans="1:14" hidden="1">
      <c r="A95" s="74" t="s">
        <v>800</v>
      </c>
      <c r="B95" s="75">
        <v>46239</v>
      </c>
      <c r="C95" s="74" t="s">
        <v>815</v>
      </c>
      <c r="D95" s="74" t="s">
        <v>818</v>
      </c>
      <c r="E95" s="74" t="s">
        <v>819</v>
      </c>
      <c r="F95" s="74">
        <v>24</v>
      </c>
      <c r="G95" s="76">
        <v>23.3</v>
      </c>
      <c r="H95" s="233">
        <v>7</v>
      </c>
      <c r="I95" s="219">
        <v>3.31</v>
      </c>
      <c r="J95" s="74">
        <v>2930</v>
      </c>
      <c r="K95" s="74">
        <v>0.02</v>
      </c>
      <c r="L95" s="74"/>
      <c r="M95" s="88"/>
    </row>
    <row r="96" spans="1:14" hidden="1">
      <c r="A96" s="74" t="s">
        <v>803</v>
      </c>
      <c r="B96" s="75">
        <v>46239</v>
      </c>
      <c r="C96" s="74" t="s">
        <v>748</v>
      </c>
      <c r="D96" s="74" t="s">
        <v>820</v>
      </c>
      <c r="E96" s="74" t="s">
        <v>819</v>
      </c>
      <c r="F96" s="76">
        <v>20.5</v>
      </c>
      <c r="G96" s="74">
        <v>19.8</v>
      </c>
      <c r="H96" s="219">
        <v>9.8000000000000007</v>
      </c>
      <c r="I96" s="219">
        <v>3.22</v>
      </c>
      <c r="J96" s="74">
        <v>6160</v>
      </c>
      <c r="K96" s="74">
        <v>0.01</v>
      </c>
      <c r="L96" s="74"/>
      <c r="M96" s="88"/>
    </row>
    <row r="97" spans="1:13" hidden="1">
      <c r="A97" s="228"/>
      <c r="B97" s="229"/>
      <c r="C97" s="228"/>
      <c r="D97" s="228"/>
      <c r="E97" s="228"/>
      <c r="F97" s="231"/>
      <c r="G97" s="228"/>
      <c r="H97" s="228"/>
      <c r="I97" s="228"/>
      <c r="J97" s="228"/>
      <c r="K97" s="228"/>
      <c r="L97" s="228"/>
      <c r="M97" s="88"/>
    </row>
    <row r="98" spans="1:13" hidden="1">
      <c r="A98" s="74" t="s">
        <v>719</v>
      </c>
      <c r="B98" s="75">
        <v>46240</v>
      </c>
      <c r="C98" s="74" t="s">
        <v>724</v>
      </c>
      <c r="D98" s="74" t="s">
        <v>821</v>
      </c>
      <c r="E98" s="74" t="s">
        <v>726</v>
      </c>
      <c r="F98" s="76">
        <v>24.6</v>
      </c>
      <c r="G98" s="74">
        <v>23.9</v>
      </c>
      <c r="H98" s="74">
        <v>6.6</v>
      </c>
      <c r="I98" s="74">
        <v>3.42</v>
      </c>
      <c r="J98" s="74">
        <v>2477</v>
      </c>
      <c r="K98" s="74">
        <v>0.01</v>
      </c>
      <c r="L98" s="74"/>
      <c r="M98" s="88"/>
    </row>
    <row r="99" spans="1:13" hidden="1">
      <c r="A99" s="74" t="s">
        <v>731</v>
      </c>
      <c r="B99" s="75">
        <v>46240</v>
      </c>
      <c r="C99" s="74" t="s">
        <v>822</v>
      </c>
      <c r="D99" s="74">
        <v>4380</v>
      </c>
      <c r="E99" s="74" t="s">
        <v>823</v>
      </c>
      <c r="F99" s="74">
        <v>25.9</v>
      </c>
      <c r="G99" s="74">
        <v>24.9</v>
      </c>
      <c r="H99" s="74">
        <v>7.6</v>
      </c>
      <c r="I99" s="74">
        <v>3.26</v>
      </c>
      <c r="J99" s="74">
        <v>2572</v>
      </c>
      <c r="K99" s="74">
        <v>0.03</v>
      </c>
      <c r="L99" s="74"/>
      <c r="M99" s="88"/>
    </row>
    <row r="100" spans="1:13" hidden="1">
      <c r="A100" s="74" t="s">
        <v>732</v>
      </c>
      <c r="B100" s="75">
        <v>46240</v>
      </c>
      <c r="C100" s="74" t="s">
        <v>824</v>
      </c>
      <c r="D100" s="74" t="s">
        <v>825</v>
      </c>
      <c r="E100" s="74" t="s">
        <v>826</v>
      </c>
      <c r="F100" s="74">
        <v>26.1</v>
      </c>
      <c r="G100" s="76">
        <v>25</v>
      </c>
      <c r="H100" s="76">
        <v>5</v>
      </c>
      <c r="I100" s="74">
        <v>3.65</v>
      </c>
      <c r="J100" s="74">
        <v>1775</v>
      </c>
      <c r="K100" s="74">
        <v>0.01</v>
      </c>
      <c r="L100" s="74"/>
      <c r="M100" s="88"/>
    </row>
    <row r="101" spans="1:13" hidden="1">
      <c r="A101" s="74" t="s">
        <v>751</v>
      </c>
      <c r="B101" s="75">
        <v>46240</v>
      </c>
      <c r="C101" s="74" t="s">
        <v>827</v>
      </c>
      <c r="D101" s="74" t="s">
        <v>828</v>
      </c>
      <c r="E101" s="74" t="s">
        <v>829</v>
      </c>
      <c r="F101" s="74">
        <v>20.6</v>
      </c>
      <c r="G101" s="76">
        <v>20</v>
      </c>
      <c r="H101" s="74">
        <v>8.1999999999999993</v>
      </c>
      <c r="I101" s="77">
        <v>3.16</v>
      </c>
      <c r="J101" s="74">
        <v>3609</v>
      </c>
      <c r="K101" s="74">
        <v>0.01</v>
      </c>
      <c r="L101" s="74"/>
      <c r="M101" s="88"/>
    </row>
    <row r="102" spans="1:13" hidden="1">
      <c r="A102" s="74" t="s">
        <v>753</v>
      </c>
      <c r="B102" s="75">
        <v>46240</v>
      </c>
      <c r="C102" s="74" t="s">
        <v>830</v>
      </c>
      <c r="D102" s="74" t="s">
        <v>816</v>
      </c>
      <c r="E102" s="74" t="s">
        <v>831</v>
      </c>
      <c r="F102" s="74">
        <v>25.9</v>
      </c>
      <c r="G102" s="76">
        <v>25</v>
      </c>
      <c r="H102" s="74">
        <v>10.199999999999999</v>
      </c>
      <c r="I102" s="74">
        <v>3.15</v>
      </c>
      <c r="J102" s="74">
        <v>3900</v>
      </c>
      <c r="K102" s="74">
        <v>0.06</v>
      </c>
      <c r="L102" s="74"/>
      <c r="M102" s="88"/>
    </row>
    <row r="103" spans="1:13" hidden="1">
      <c r="A103" s="74" t="s">
        <v>768</v>
      </c>
      <c r="B103" s="75">
        <v>46240</v>
      </c>
      <c r="C103" s="74" t="s">
        <v>744</v>
      </c>
      <c r="D103" s="74" t="s">
        <v>832</v>
      </c>
      <c r="E103" s="74" t="s">
        <v>819</v>
      </c>
      <c r="F103" s="74">
        <v>19.899999999999999</v>
      </c>
      <c r="G103" s="74">
        <v>19.2</v>
      </c>
      <c r="H103" s="76">
        <v>8</v>
      </c>
      <c r="I103" s="77">
        <v>3.2</v>
      </c>
      <c r="J103" s="74">
        <v>3101</v>
      </c>
      <c r="K103" s="74">
        <v>0.01</v>
      </c>
      <c r="L103" s="74"/>
      <c r="M103" s="88"/>
    </row>
    <row r="104" spans="1:13" hidden="1">
      <c r="A104" s="228"/>
      <c r="B104" s="229"/>
      <c r="C104" s="228"/>
      <c r="D104" s="228"/>
      <c r="E104" s="228"/>
      <c r="F104" s="231"/>
      <c r="G104" s="228"/>
      <c r="H104" s="228"/>
      <c r="I104" s="228"/>
      <c r="J104" s="228"/>
      <c r="K104" s="228"/>
      <c r="L104" s="228"/>
      <c r="M104" s="88"/>
    </row>
    <row r="105" spans="1:13" hidden="1">
      <c r="A105" s="74" t="s">
        <v>719</v>
      </c>
      <c r="B105" s="75">
        <v>46241</v>
      </c>
      <c r="C105" s="74" t="s">
        <v>833</v>
      </c>
      <c r="D105" s="74"/>
      <c r="E105" s="74" t="s">
        <v>726</v>
      </c>
      <c r="F105" s="74">
        <v>23.8</v>
      </c>
      <c r="G105" s="74">
        <v>23.1</v>
      </c>
      <c r="H105" s="74">
        <v>7.8</v>
      </c>
      <c r="I105" s="74">
        <v>3.37</v>
      </c>
      <c r="J105" s="219">
        <v>4380</v>
      </c>
      <c r="K105" s="74">
        <v>0.01</v>
      </c>
      <c r="L105" s="74"/>
      <c r="M105" s="88"/>
    </row>
    <row r="106" spans="1:13" hidden="1">
      <c r="A106" s="74" t="s">
        <v>731</v>
      </c>
      <c r="B106" s="75">
        <v>46241</v>
      </c>
      <c r="C106" s="74" t="s">
        <v>804</v>
      </c>
      <c r="D106" s="74"/>
      <c r="E106" s="74" t="s">
        <v>726</v>
      </c>
      <c r="F106" s="74">
        <v>24.8</v>
      </c>
      <c r="G106" s="74">
        <v>24.2</v>
      </c>
      <c r="H106" s="74">
        <v>7.4</v>
      </c>
      <c r="I106" s="74">
        <v>3.32</v>
      </c>
      <c r="J106" s="74">
        <v>2930</v>
      </c>
      <c r="K106" s="74">
        <v>0.02</v>
      </c>
      <c r="L106" s="74"/>
      <c r="M106" s="88"/>
    </row>
    <row r="107" spans="1:13" hidden="1">
      <c r="A107" s="74" t="s">
        <v>732</v>
      </c>
      <c r="B107" s="75">
        <v>46241</v>
      </c>
      <c r="C107" s="74" t="s">
        <v>834</v>
      </c>
      <c r="D107" s="74" t="s">
        <v>765</v>
      </c>
      <c r="E107" s="74" t="s">
        <v>743</v>
      </c>
      <c r="F107" s="74">
        <v>21.7</v>
      </c>
      <c r="G107" s="74">
        <v>21.1</v>
      </c>
      <c r="H107" s="74">
        <v>8.4</v>
      </c>
      <c r="I107" s="74">
        <v>3.25</v>
      </c>
      <c r="J107" s="74">
        <v>3190</v>
      </c>
      <c r="K107" s="74">
        <v>0.01</v>
      </c>
      <c r="L107" s="74"/>
      <c r="M107" s="88"/>
    </row>
    <row r="108" spans="1:13" hidden="1">
      <c r="A108" s="74" t="s">
        <v>751</v>
      </c>
      <c r="B108" s="75">
        <v>46241</v>
      </c>
      <c r="C108" s="74" t="s">
        <v>835</v>
      </c>
      <c r="D108" s="74"/>
      <c r="E108" s="74" t="s">
        <v>726</v>
      </c>
      <c r="F108" s="74">
        <v>21.6</v>
      </c>
      <c r="G108" s="74">
        <v>20.9</v>
      </c>
      <c r="H108" s="74">
        <v>8.4</v>
      </c>
      <c r="I108" s="74">
        <v>3.31</v>
      </c>
      <c r="J108" s="74">
        <v>3850</v>
      </c>
      <c r="K108" s="74">
        <v>0.01</v>
      </c>
      <c r="L108" s="74"/>
      <c r="M108" s="88"/>
    </row>
    <row r="109" spans="1:13" hidden="1">
      <c r="A109" s="74" t="s">
        <v>753</v>
      </c>
      <c r="B109" s="75">
        <v>46241</v>
      </c>
      <c r="C109" s="74" t="s">
        <v>744</v>
      </c>
      <c r="D109" s="74" t="s">
        <v>836</v>
      </c>
      <c r="E109" s="74" t="s">
        <v>774</v>
      </c>
      <c r="F109" s="76">
        <v>21.9</v>
      </c>
      <c r="G109" s="74">
        <v>21</v>
      </c>
      <c r="H109" s="219">
        <v>8</v>
      </c>
      <c r="I109" s="219">
        <v>3.25</v>
      </c>
      <c r="J109" s="219">
        <v>3240</v>
      </c>
      <c r="K109" s="255">
        <v>0</v>
      </c>
      <c r="L109" s="74"/>
      <c r="M109" s="88"/>
    </row>
    <row r="110" spans="1:13" hidden="1">
      <c r="A110" s="228"/>
      <c r="B110" s="229"/>
      <c r="C110" s="228"/>
      <c r="D110" s="228"/>
      <c r="E110" s="228"/>
      <c r="F110" s="228"/>
      <c r="G110" s="231"/>
      <c r="H110" s="228"/>
      <c r="I110" s="228"/>
      <c r="J110" s="277"/>
      <c r="K110" s="277"/>
      <c r="L110" s="285"/>
    </row>
    <row r="111" spans="1:13" hidden="1">
      <c r="A111" s="74" t="s">
        <v>719</v>
      </c>
      <c r="B111" s="75">
        <v>46242</v>
      </c>
      <c r="C111" s="74" t="s">
        <v>837</v>
      </c>
      <c r="D111" s="74" t="s">
        <v>838</v>
      </c>
      <c r="E111" s="74" t="s">
        <v>831</v>
      </c>
      <c r="F111" s="74">
        <v>24.9</v>
      </c>
      <c r="G111" s="74">
        <v>24.1</v>
      </c>
      <c r="H111" s="74">
        <v>10.199999999999999</v>
      </c>
      <c r="I111" s="74">
        <v>3.27</v>
      </c>
      <c r="J111" s="74">
        <v>3930</v>
      </c>
      <c r="K111" s="74">
        <v>0.08</v>
      </c>
      <c r="L111" s="74"/>
      <c r="M111" s="88"/>
    </row>
    <row r="112" spans="1:13" hidden="1">
      <c r="A112" s="74" t="s">
        <v>731</v>
      </c>
      <c r="B112" s="75">
        <v>46242</v>
      </c>
      <c r="C112" s="74" t="s">
        <v>839</v>
      </c>
      <c r="D112" s="74" t="s">
        <v>840</v>
      </c>
      <c r="E112" s="74" t="s">
        <v>743</v>
      </c>
      <c r="F112" s="74">
        <v>23.3</v>
      </c>
      <c r="G112" s="74">
        <v>22.8</v>
      </c>
      <c r="H112" s="76">
        <v>8.6</v>
      </c>
      <c r="I112" s="74">
        <v>3.34</v>
      </c>
      <c r="J112" s="74">
        <v>3280</v>
      </c>
      <c r="K112" s="74">
        <v>0.02</v>
      </c>
      <c r="L112" s="74"/>
      <c r="M112" s="88"/>
    </row>
    <row r="113" spans="1:13" hidden="1">
      <c r="A113" s="228"/>
      <c r="B113" s="229"/>
      <c r="C113" s="228"/>
      <c r="D113" s="228"/>
      <c r="E113" s="228"/>
      <c r="F113" s="228"/>
      <c r="G113" s="231"/>
      <c r="H113" s="228"/>
      <c r="I113" s="228"/>
      <c r="J113" s="277"/>
      <c r="K113" s="277"/>
      <c r="L113" s="285"/>
    </row>
    <row r="114" spans="1:13" hidden="1">
      <c r="A114" s="74" t="s">
        <v>719</v>
      </c>
      <c r="B114" s="75">
        <v>46244</v>
      </c>
      <c r="C114" s="74" t="s">
        <v>841</v>
      </c>
      <c r="D114" s="283" t="s">
        <v>745</v>
      </c>
      <c r="E114" s="74" t="s">
        <v>842</v>
      </c>
      <c r="F114" s="74">
        <v>23.6</v>
      </c>
      <c r="G114" s="74">
        <v>22.9</v>
      </c>
      <c r="H114" s="74">
        <v>6.8</v>
      </c>
      <c r="I114" s="74">
        <v>3.58</v>
      </c>
      <c r="J114" s="74">
        <v>2660</v>
      </c>
      <c r="K114" s="74">
        <v>0.08</v>
      </c>
      <c r="L114" s="74"/>
      <c r="M114" s="88"/>
    </row>
    <row r="115" spans="1:13" hidden="1">
      <c r="A115" s="74" t="s">
        <v>731</v>
      </c>
      <c r="B115" s="75">
        <v>46244</v>
      </c>
      <c r="C115" s="74" t="s">
        <v>808</v>
      </c>
      <c r="D115" s="74" t="s">
        <v>843</v>
      </c>
      <c r="E115" s="74" t="s">
        <v>819</v>
      </c>
      <c r="F115" s="74">
        <v>17.600000000000001</v>
      </c>
      <c r="G115" s="76">
        <v>17</v>
      </c>
      <c r="H115" s="74">
        <v>10.6</v>
      </c>
      <c r="I115" s="74">
        <v>3.15</v>
      </c>
      <c r="J115" s="74">
        <v>6390</v>
      </c>
      <c r="K115" s="74">
        <v>0.01</v>
      </c>
      <c r="L115" s="74"/>
      <c r="M115" s="88"/>
    </row>
    <row r="116" spans="1:13" hidden="1">
      <c r="A116" s="74" t="s">
        <v>732</v>
      </c>
      <c r="B116" s="75">
        <v>46244</v>
      </c>
      <c r="C116" s="74" t="s">
        <v>808</v>
      </c>
      <c r="D116" s="74" t="s">
        <v>844</v>
      </c>
      <c r="E116" s="74" t="s">
        <v>845</v>
      </c>
      <c r="F116" s="76">
        <v>19</v>
      </c>
      <c r="G116" s="76">
        <v>18.399999999999999</v>
      </c>
      <c r="H116" s="76">
        <v>10</v>
      </c>
      <c r="I116" s="77">
        <v>3.3</v>
      </c>
      <c r="J116" s="74">
        <v>5111</v>
      </c>
      <c r="K116" s="74">
        <v>0.01</v>
      </c>
      <c r="L116" s="74"/>
      <c r="M116" s="88"/>
    </row>
    <row r="117" spans="1:13" hidden="1">
      <c r="A117" s="74" t="s">
        <v>751</v>
      </c>
      <c r="B117" s="75">
        <v>46244</v>
      </c>
      <c r="C117" s="74" t="s">
        <v>808</v>
      </c>
      <c r="D117" s="74" t="s">
        <v>846</v>
      </c>
      <c r="E117" s="74" t="s">
        <v>847</v>
      </c>
      <c r="F117" s="76">
        <v>21</v>
      </c>
      <c r="G117" s="74">
        <v>20.2</v>
      </c>
      <c r="H117" s="74">
        <v>10.199999999999999</v>
      </c>
      <c r="I117" s="74">
        <v>3.19</v>
      </c>
      <c r="J117" s="74">
        <v>2940</v>
      </c>
      <c r="K117" s="74">
        <v>0.01</v>
      </c>
      <c r="L117" s="74"/>
      <c r="M117" s="88"/>
    </row>
    <row r="118" spans="1:13" hidden="1">
      <c r="A118" s="74" t="s">
        <v>753</v>
      </c>
      <c r="B118" s="75">
        <v>46244</v>
      </c>
      <c r="C118" s="74" t="s">
        <v>757</v>
      </c>
      <c r="D118" s="74"/>
      <c r="E118" s="74" t="s">
        <v>810</v>
      </c>
      <c r="F118" s="74">
        <v>22.2</v>
      </c>
      <c r="G118" s="74">
        <v>21.5</v>
      </c>
      <c r="H118" s="74">
        <v>7.8</v>
      </c>
      <c r="I118" s="74">
        <v>3.35</v>
      </c>
      <c r="J118" s="74">
        <v>2580</v>
      </c>
      <c r="K118" s="74">
        <v>0.01</v>
      </c>
      <c r="L118" s="74"/>
      <c r="M118" s="88"/>
    </row>
    <row r="119" spans="1:13" hidden="1">
      <c r="A119" s="74" t="s">
        <v>768</v>
      </c>
      <c r="B119" s="75">
        <v>46244</v>
      </c>
      <c r="C119" s="74" t="s">
        <v>748</v>
      </c>
      <c r="D119" s="74">
        <v>3</v>
      </c>
      <c r="E119" s="74" t="s">
        <v>819</v>
      </c>
      <c r="F119" s="76">
        <v>22</v>
      </c>
      <c r="G119" s="74">
        <v>21.3</v>
      </c>
      <c r="H119" s="76">
        <v>8</v>
      </c>
      <c r="I119" s="74">
        <v>3.26</v>
      </c>
      <c r="J119" s="74">
        <v>4730</v>
      </c>
      <c r="K119" s="74">
        <v>0.01</v>
      </c>
      <c r="L119" s="74"/>
      <c r="M119" s="88"/>
    </row>
    <row r="120" spans="1:13" hidden="1">
      <c r="A120" s="74" t="s">
        <v>800</v>
      </c>
      <c r="B120" s="75">
        <v>46244</v>
      </c>
      <c r="C120" s="74" t="s">
        <v>848</v>
      </c>
      <c r="D120" s="74"/>
      <c r="E120" s="74" t="s">
        <v>849</v>
      </c>
      <c r="F120" s="74">
        <v>25.5</v>
      </c>
      <c r="G120" s="76">
        <v>24.7</v>
      </c>
      <c r="H120" s="74">
        <v>7.2</v>
      </c>
      <c r="I120" s="74">
        <v>3.54</v>
      </c>
      <c r="J120" s="74">
        <v>2462</v>
      </c>
      <c r="K120" s="279">
        <v>0.23</v>
      </c>
      <c r="L120" s="279" t="s">
        <v>850</v>
      </c>
      <c r="M120" s="88"/>
    </row>
    <row r="121" spans="1:13" hidden="1">
      <c r="A121" s="228"/>
      <c r="B121" s="229"/>
      <c r="C121" s="228"/>
      <c r="D121" s="228"/>
      <c r="E121" s="228"/>
      <c r="F121" s="228"/>
      <c r="G121" s="231"/>
      <c r="H121" s="228"/>
      <c r="I121" s="228"/>
      <c r="J121" s="277"/>
      <c r="K121" s="277"/>
      <c r="L121" s="285"/>
    </row>
    <row r="122" spans="1:13" hidden="1">
      <c r="A122" s="74" t="s">
        <v>719</v>
      </c>
      <c r="B122" s="75">
        <v>46245</v>
      </c>
      <c r="C122" s="74" t="s">
        <v>833</v>
      </c>
      <c r="D122" s="74"/>
      <c r="E122" s="74" t="s">
        <v>726</v>
      </c>
      <c r="F122" s="76">
        <v>24.8</v>
      </c>
      <c r="G122" s="76">
        <v>24</v>
      </c>
      <c r="H122" s="76">
        <v>8</v>
      </c>
      <c r="I122" s="74">
        <v>3.44</v>
      </c>
      <c r="J122" s="74">
        <v>3424</v>
      </c>
      <c r="K122" s="74">
        <v>0.05</v>
      </c>
      <c r="L122" s="74"/>
      <c r="M122" s="88"/>
    </row>
    <row r="123" spans="1:13" hidden="1">
      <c r="A123" s="74" t="s">
        <v>731</v>
      </c>
      <c r="B123" s="75">
        <v>46245</v>
      </c>
      <c r="C123" s="74" t="s">
        <v>760</v>
      </c>
      <c r="D123" s="74"/>
      <c r="E123" s="74" t="s">
        <v>851</v>
      </c>
      <c r="F123" s="74">
        <v>22.5</v>
      </c>
      <c r="G123" s="74">
        <v>21.9</v>
      </c>
      <c r="H123" s="76">
        <v>6</v>
      </c>
      <c r="I123" s="74">
        <v>3.29</v>
      </c>
      <c r="J123" s="74">
        <v>1240</v>
      </c>
      <c r="K123" s="74">
        <v>0.01</v>
      </c>
      <c r="L123" s="74"/>
      <c r="M123" s="88"/>
    </row>
    <row r="124" spans="1:13" hidden="1">
      <c r="A124" s="74" t="s">
        <v>732</v>
      </c>
      <c r="B124" s="75">
        <v>46245</v>
      </c>
      <c r="C124" s="74" t="s">
        <v>852</v>
      </c>
      <c r="D124" s="74" t="s">
        <v>853</v>
      </c>
      <c r="E124" s="74" t="s">
        <v>829</v>
      </c>
      <c r="F124" s="74">
        <v>21.7</v>
      </c>
      <c r="G124" s="74">
        <v>21.1</v>
      </c>
      <c r="H124" s="74">
        <v>7.2</v>
      </c>
      <c r="I124" s="74">
        <v>3.24</v>
      </c>
      <c r="J124" s="74">
        <v>3090</v>
      </c>
      <c r="K124" s="74">
        <v>0.01</v>
      </c>
      <c r="L124" s="74" t="s">
        <v>854</v>
      </c>
      <c r="M124" s="88"/>
    </row>
    <row r="125" spans="1:13" hidden="1">
      <c r="A125" s="74" t="s">
        <v>751</v>
      </c>
      <c r="B125" s="75">
        <v>46245</v>
      </c>
      <c r="C125" s="74" t="s">
        <v>855</v>
      </c>
      <c r="D125" s="74"/>
      <c r="E125" s="74" t="s">
        <v>740</v>
      </c>
      <c r="F125" s="74">
        <v>24.4</v>
      </c>
      <c r="G125" s="74">
        <v>23.7</v>
      </c>
      <c r="H125" s="76">
        <v>7.8</v>
      </c>
      <c r="I125" s="77">
        <v>3.38</v>
      </c>
      <c r="J125" s="74">
        <v>3650</v>
      </c>
      <c r="K125" s="74">
        <v>0.09</v>
      </c>
      <c r="L125" s="74" t="s">
        <v>856</v>
      </c>
      <c r="M125" s="88"/>
    </row>
    <row r="126" spans="1:13" hidden="1">
      <c r="A126" s="74" t="s">
        <v>753</v>
      </c>
      <c r="B126" s="75">
        <v>46245</v>
      </c>
      <c r="C126" s="74" t="s">
        <v>855</v>
      </c>
      <c r="D126" s="74" t="s">
        <v>857</v>
      </c>
      <c r="E126" s="74" t="s">
        <v>858</v>
      </c>
      <c r="F126" s="74">
        <v>26.9</v>
      </c>
      <c r="G126" s="74">
        <v>25.7</v>
      </c>
      <c r="H126" s="74">
        <v>4.5999999999999996</v>
      </c>
      <c r="I126" s="74">
        <v>3.55</v>
      </c>
      <c r="J126" s="74">
        <v>1789</v>
      </c>
      <c r="K126" s="279">
        <v>0.12</v>
      </c>
      <c r="L126" s="279" t="s">
        <v>859</v>
      </c>
      <c r="M126" s="88"/>
    </row>
    <row r="127" spans="1:13" hidden="1">
      <c r="A127" s="228"/>
      <c r="B127" s="229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88"/>
    </row>
    <row r="128" spans="1:13" hidden="1">
      <c r="A128" s="74" t="s">
        <v>719</v>
      </c>
      <c r="B128" s="75">
        <v>46246</v>
      </c>
      <c r="C128" s="74" t="s">
        <v>748</v>
      </c>
      <c r="D128" s="74" t="s">
        <v>860</v>
      </c>
      <c r="E128" s="74" t="s">
        <v>819</v>
      </c>
      <c r="F128" s="74">
        <v>23.6</v>
      </c>
      <c r="G128" s="76">
        <v>23</v>
      </c>
      <c r="H128" s="74">
        <v>6.2</v>
      </c>
      <c r="I128" s="74">
        <v>3.45</v>
      </c>
      <c r="J128" s="74">
        <v>3213</v>
      </c>
      <c r="K128" s="74">
        <v>7.0000000000000007E-2</v>
      </c>
      <c r="L128" s="74"/>
      <c r="M128" s="88"/>
    </row>
    <row r="129" spans="1:13" hidden="1">
      <c r="A129" s="74" t="s">
        <v>731</v>
      </c>
      <c r="B129" s="75">
        <v>46246</v>
      </c>
      <c r="C129" s="74" t="s">
        <v>861</v>
      </c>
      <c r="D129" s="74" t="s">
        <v>862</v>
      </c>
      <c r="E129" s="74" t="s">
        <v>726</v>
      </c>
      <c r="F129" s="74">
        <v>25.4</v>
      </c>
      <c r="G129" s="74">
        <v>24.5</v>
      </c>
      <c r="H129" s="74">
        <v>7.6</v>
      </c>
      <c r="I129" s="74">
        <v>3.43</v>
      </c>
      <c r="J129" s="74">
        <v>3083</v>
      </c>
      <c r="K129" s="74">
        <v>7.0000000000000007E-2</v>
      </c>
      <c r="L129" s="74"/>
      <c r="M129" s="88"/>
    </row>
    <row r="130" spans="1:13" hidden="1">
      <c r="A130" s="74" t="s">
        <v>732</v>
      </c>
      <c r="B130" s="75">
        <v>46246</v>
      </c>
      <c r="C130" s="74" t="s">
        <v>863</v>
      </c>
      <c r="D130" s="74"/>
      <c r="E130" s="74" t="s">
        <v>726</v>
      </c>
      <c r="F130" s="76">
        <v>23</v>
      </c>
      <c r="G130" s="76">
        <v>22</v>
      </c>
      <c r="H130" s="74">
        <v>7.4</v>
      </c>
      <c r="I130" s="74">
        <v>3.41</v>
      </c>
      <c r="J130" s="74">
        <v>2926</v>
      </c>
      <c r="K130" s="74">
        <v>0.06</v>
      </c>
      <c r="L130" s="74"/>
      <c r="M130" s="88"/>
    </row>
    <row r="131" spans="1:13" hidden="1">
      <c r="A131" s="74" t="s">
        <v>751</v>
      </c>
      <c r="B131" s="75">
        <v>46246</v>
      </c>
      <c r="C131" s="74" t="s">
        <v>864</v>
      </c>
      <c r="D131" s="74" t="s">
        <v>865</v>
      </c>
      <c r="E131" s="74" t="s">
        <v>743</v>
      </c>
      <c r="F131" s="76">
        <v>22.9</v>
      </c>
      <c r="G131" s="74">
        <v>22.2</v>
      </c>
      <c r="H131" s="74">
        <v>8.1999999999999993</v>
      </c>
      <c r="I131" s="77">
        <v>3.4</v>
      </c>
      <c r="J131" s="74">
        <v>2416</v>
      </c>
      <c r="K131" s="74">
        <v>0.08</v>
      </c>
      <c r="L131" s="74"/>
      <c r="M131" s="88"/>
    </row>
    <row r="132" spans="1:13" hidden="1">
      <c r="A132" s="228"/>
      <c r="B132" s="229"/>
      <c r="C132" s="228"/>
      <c r="D132" s="228"/>
      <c r="E132" s="228"/>
      <c r="F132" s="228"/>
      <c r="G132" s="228"/>
      <c r="H132" s="231"/>
      <c r="I132" s="287"/>
      <c r="J132" s="228"/>
      <c r="K132" s="228"/>
      <c r="L132" s="228"/>
      <c r="M132" s="88"/>
    </row>
    <row r="133" spans="1:13" hidden="1">
      <c r="A133" s="74" t="s">
        <v>719</v>
      </c>
      <c r="B133" s="75">
        <v>46247</v>
      </c>
      <c r="C133" s="74" t="s">
        <v>841</v>
      </c>
      <c r="D133" s="74" t="s">
        <v>866</v>
      </c>
      <c r="E133" s="74" t="s">
        <v>842</v>
      </c>
      <c r="F133" s="76">
        <v>24</v>
      </c>
      <c r="G133" s="74">
        <v>23.3</v>
      </c>
      <c r="H133" s="76">
        <v>6</v>
      </c>
      <c r="I133" s="74">
        <v>3.65</v>
      </c>
      <c r="J133" s="74">
        <v>2451</v>
      </c>
      <c r="K133" s="74">
        <v>0.13</v>
      </c>
      <c r="L133" s="74" t="s">
        <v>867</v>
      </c>
      <c r="M133" s="88"/>
    </row>
    <row r="134" spans="1:13" hidden="1">
      <c r="A134" s="74" t="s">
        <v>731</v>
      </c>
      <c r="B134" s="75">
        <v>46247</v>
      </c>
      <c r="C134" s="74" t="s">
        <v>855</v>
      </c>
      <c r="D134" s="74" t="s">
        <v>868</v>
      </c>
      <c r="E134" s="74" t="s">
        <v>858</v>
      </c>
      <c r="F134" s="74">
        <v>26.4</v>
      </c>
      <c r="G134" s="74">
        <v>25.6</v>
      </c>
      <c r="H134" s="76">
        <v>4.8</v>
      </c>
      <c r="I134" s="74">
        <v>3.76</v>
      </c>
      <c r="J134" s="74">
        <v>2069</v>
      </c>
      <c r="K134" s="77">
        <v>0.1</v>
      </c>
      <c r="L134" s="74"/>
      <c r="M134" s="88"/>
    </row>
    <row r="135" spans="1:13" hidden="1">
      <c r="A135" s="228"/>
      <c r="B135" s="229"/>
      <c r="C135" s="228"/>
      <c r="D135" s="228"/>
      <c r="E135" s="228"/>
      <c r="F135" s="228"/>
      <c r="G135" s="228"/>
      <c r="H135" s="231"/>
      <c r="I135" s="228"/>
      <c r="J135" s="228"/>
      <c r="K135" s="228"/>
      <c r="L135" s="228"/>
      <c r="M135" s="88"/>
    </row>
    <row r="136" spans="1:13" hidden="1">
      <c r="A136" s="74" t="s">
        <v>719</v>
      </c>
      <c r="B136" s="75">
        <v>46248</v>
      </c>
      <c r="C136" s="74" t="s">
        <v>628</v>
      </c>
      <c r="D136" s="74"/>
      <c r="E136" s="74" t="s">
        <v>734</v>
      </c>
      <c r="F136" s="74">
        <v>20.5</v>
      </c>
      <c r="G136" s="74">
        <v>20.2</v>
      </c>
      <c r="H136" s="74">
        <v>6.8</v>
      </c>
      <c r="I136" s="74">
        <v>3.68</v>
      </c>
      <c r="J136" s="74">
        <v>1760</v>
      </c>
      <c r="K136" s="74">
        <v>0.01</v>
      </c>
      <c r="L136" s="74" t="s">
        <v>869</v>
      </c>
      <c r="M136" s="88"/>
    </row>
    <row r="137" spans="1:13" hidden="1">
      <c r="A137" s="228"/>
      <c r="B137" s="229"/>
      <c r="C137" s="228"/>
      <c r="D137" s="228"/>
      <c r="E137" s="228"/>
      <c r="F137" s="228"/>
      <c r="G137" s="228"/>
      <c r="H137" s="231"/>
      <c r="I137" s="228"/>
      <c r="J137" s="228"/>
      <c r="K137" s="228"/>
      <c r="L137" s="228"/>
      <c r="M137" s="88"/>
    </row>
    <row r="138" spans="1:13" hidden="1">
      <c r="A138" s="74" t="s">
        <v>719</v>
      </c>
      <c r="B138" s="75">
        <v>46251</v>
      </c>
      <c r="C138" s="74" t="s">
        <v>827</v>
      </c>
      <c r="D138" s="74" t="s">
        <v>870</v>
      </c>
      <c r="E138" s="74" t="s">
        <v>871</v>
      </c>
      <c r="F138" s="74">
        <v>19.899999999999999</v>
      </c>
      <c r="G138" s="74">
        <v>19.3</v>
      </c>
      <c r="H138" s="74">
        <v>7.8</v>
      </c>
      <c r="I138" s="74">
        <v>3.12</v>
      </c>
      <c r="J138" s="74">
        <v>2928</v>
      </c>
      <c r="K138" s="74">
        <v>0.05</v>
      </c>
      <c r="L138" s="74"/>
      <c r="M138" s="88"/>
    </row>
    <row r="139" spans="1:13" hidden="1">
      <c r="A139" s="74" t="s">
        <v>731</v>
      </c>
      <c r="B139" s="75">
        <v>46251</v>
      </c>
      <c r="C139" s="74" t="s">
        <v>833</v>
      </c>
      <c r="D139" s="74"/>
      <c r="E139" s="74" t="s">
        <v>726</v>
      </c>
      <c r="F139" s="74">
        <v>23.7</v>
      </c>
      <c r="G139" s="74">
        <v>23.2</v>
      </c>
      <c r="H139" s="74">
        <v>7.4</v>
      </c>
      <c r="I139" s="74">
        <v>3.56</v>
      </c>
      <c r="J139" s="74">
        <v>3521</v>
      </c>
      <c r="K139" s="74">
        <v>0.06</v>
      </c>
      <c r="L139" s="74"/>
      <c r="M139" s="88"/>
    </row>
    <row r="140" spans="1:13" hidden="1">
      <c r="A140" s="74" t="s">
        <v>732</v>
      </c>
      <c r="B140" s="75">
        <v>46251</v>
      </c>
      <c r="C140" s="74" t="s">
        <v>781</v>
      </c>
      <c r="D140" s="74" t="s">
        <v>844</v>
      </c>
      <c r="E140" s="74" t="s">
        <v>872</v>
      </c>
      <c r="F140" s="76">
        <v>20</v>
      </c>
      <c r="G140" s="74">
        <v>19.399999999999999</v>
      </c>
      <c r="H140" s="76">
        <v>8</v>
      </c>
      <c r="I140" s="74">
        <v>3.39</v>
      </c>
      <c r="J140" s="74">
        <v>4375</v>
      </c>
      <c r="K140" s="74">
        <v>0.05</v>
      </c>
      <c r="L140" s="74"/>
      <c r="M140" s="88"/>
    </row>
    <row r="141" spans="1:13" hidden="1">
      <c r="A141" s="74" t="s">
        <v>751</v>
      </c>
      <c r="B141" s="75">
        <v>46251</v>
      </c>
      <c r="C141" s="74" t="s">
        <v>873</v>
      </c>
      <c r="D141" s="74" t="s">
        <v>843</v>
      </c>
      <c r="E141" s="74" t="s">
        <v>819</v>
      </c>
      <c r="F141" s="74">
        <v>21.7</v>
      </c>
      <c r="G141" s="74">
        <v>21.1</v>
      </c>
      <c r="H141" s="76">
        <v>7</v>
      </c>
      <c r="I141" s="74">
        <v>3.37</v>
      </c>
      <c r="J141" s="74">
        <v>3537</v>
      </c>
      <c r="K141" s="74">
        <v>0.06</v>
      </c>
      <c r="L141" s="74"/>
      <c r="M141" s="88"/>
    </row>
    <row r="142" spans="1:13" hidden="1">
      <c r="A142" s="74" t="s">
        <v>753</v>
      </c>
      <c r="B142" s="75">
        <v>46251</v>
      </c>
      <c r="C142" s="74" t="s">
        <v>863</v>
      </c>
      <c r="D142" s="74"/>
      <c r="E142" s="74" t="s">
        <v>874</v>
      </c>
      <c r="F142" s="74">
        <v>23.1</v>
      </c>
      <c r="G142" s="74">
        <v>22.3</v>
      </c>
      <c r="H142" s="74">
        <v>6.6</v>
      </c>
      <c r="I142" s="77">
        <v>3.5</v>
      </c>
      <c r="J142" s="74">
        <v>3527</v>
      </c>
      <c r="K142" s="74">
        <v>0.06</v>
      </c>
      <c r="L142" s="74"/>
      <c r="M142" s="88"/>
    </row>
    <row r="143" spans="1:13" hidden="1">
      <c r="A143" s="74" t="s">
        <v>768</v>
      </c>
      <c r="B143" s="75">
        <v>46251</v>
      </c>
      <c r="C143" s="74" t="s">
        <v>824</v>
      </c>
      <c r="D143" s="74"/>
      <c r="E143" s="74" t="s">
        <v>875</v>
      </c>
      <c r="F143" s="74">
        <v>25.4</v>
      </c>
      <c r="G143" s="74">
        <v>24.6</v>
      </c>
      <c r="H143" s="74">
        <v>6.4</v>
      </c>
      <c r="I143" s="74">
        <v>3.63</v>
      </c>
      <c r="J143" s="74">
        <v>3364</v>
      </c>
      <c r="K143" s="74">
        <v>0.09</v>
      </c>
      <c r="L143" s="74" t="s">
        <v>876</v>
      </c>
      <c r="M143" s="88"/>
    </row>
    <row r="144" spans="1:13" hidden="1">
      <c r="A144" s="74" t="s">
        <v>800</v>
      </c>
      <c r="B144" s="75">
        <v>46251</v>
      </c>
      <c r="C144" s="74" t="s">
        <v>877</v>
      </c>
      <c r="D144" s="74"/>
      <c r="E144" s="74" t="s">
        <v>749</v>
      </c>
      <c r="F144" s="76">
        <v>25</v>
      </c>
      <c r="G144" s="74">
        <v>24.5</v>
      </c>
      <c r="H144" s="74">
        <v>5.8</v>
      </c>
      <c r="I144" s="74">
        <v>3.49</v>
      </c>
      <c r="J144" s="74">
        <v>2363</v>
      </c>
      <c r="K144" s="74">
        <v>0.08</v>
      </c>
      <c r="L144" s="74"/>
      <c r="M144" s="88"/>
    </row>
    <row r="145" spans="1:13" hidden="1">
      <c r="A145" s="228"/>
      <c r="B145" s="229"/>
      <c r="C145" s="228"/>
      <c r="D145" s="228"/>
      <c r="E145" s="228"/>
      <c r="F145" s="228"/>
      <c r="G145" s="228"/>
      <c r="H145" s="231"/>
      <c r="I145" s="228"/>
      <c r="J145" s="228"/>
      <c r="K145" s="228"/>
      <c r="L145" s="228"/>
      <c r="M145" s="88"/>
    </row>
    <row r="146" spans="1:13" hidden="1">
      <c r="A146" s="74" t="s">
        <v>719</v>
      </c>
      <c r="B146" s="75">
        <v>46252</v>
      </c>
      <c r="C146" s="74" t="s">
        <v>841</v>
      </c>
      <c r="D146" s="74" t="s">
        <v>866</v>
      </c>
      <c r="E146" s="74" t="s">
        <v>842</v>
      </c>
      <c r="F146" s="74">
        <v>23.6</v>
      </c>
      <c r="G146" s="74">
        <v>22.9</v>
      </c>
      <c r="H146" s="74">
        <v>4.4000000000000004</v>
      </c>
      <c r="I146" s="74">
        <v>3.76</v>
      </c>
      <c r="J146" s="74">
        <v>2166</v>
      </c>
      <c r="K146" s="74">
        <v>0.09</v>
      </c>
      <c r="L146" s="74" t="s">
        <v>878</v>
      </c>
      <c r="M146" s="88"/>
    </row>
    <row r="147" spans="1:13" hidden="1">
      <c r="A147" s="74" t="s">
        <v>731</v>
      </c>
      <c r="B147" s="75">
        <v>46252</v>
      </c>
      <c r="C147" s="74" t="s">
        <v>879</v>
      </c>
      <c r="D147" s="74" t="s">
        <v>763</v>
      </c>
      <c r="E147" s="74" t="s">
        <v>880</v>
      </c>
      <c r="F147" s="74">
        <v>24.1</v>
      </c>
      <c r="G147" s="74">
        <v>23.2</v>
      </c>
      <c r="H147" s="76">
        <v>5.6</v>
      </c>
      <c r="I147" s="74">
        <v>3.56</v>
      </c>
      <c r="J147" s="74">
        <v>1725</v>
      </c>
      <c r="K147" s="74">
        <v>0.03</v>
      </c>
      <c r="L147" s="74" t="s">
        <v>881</v>
      </c>
      <c r="M147" s="88"/>
    </row>
    <row r="148" spans="1:13" hidden="1">
      <c r="A148" s="74" t="s">
        <v>732</v>
      </c>
      <c r="B148" s="75">
        <v>46252</v>
      </c>
      <c r="C148" s="74" t="s">
        <v>879</v>
      </c>
      <c r="D148" s="74" t="s">
        <v>767</v>
      </c>
      <c r="E148" s="74" t="s">
        <v>880</v>
      </c>
      <c r="F148" s="74">
        <v>22.6</v>
      </c>
      <c r="G148" s="76">
        <v>21.8</v>
      </c>
      <c r="H148" s="74">
        <v>5.6</v>
      </c>
      <c r="I148" s="74">
        <v>3.52</v>
      </c>
      <c r="J148" s="74">
        <v>1287</v>
      </c>
      <c r="K148" s="74">
        <v>0.03</v>
      </c>
      <c r="L148" s="74" t="s">
        <v>882</v>
      </c>
      <c r="M148" s="88"/>
    </row>
    <row r="149" spans="1:13" hidden="1">
      <c r="A149" s="74" t="s">
        <v>751</v>
      </c>
      <c r="B149" s="75">
        <v>46252</v>
      </c>
      <c r="C149" s="74" t="s">
        <v>883</v>
      </c>
      <c r="D149" s="74"/>
      <c r="E149" s="74" t="s">
        <v>726</v>
      </c>
      <c r="F149" s="74">
        <v>25.4</v>
      </c>
      <c r="G149" s="74">
        <v>24.5</v>
      </c>
      <c r="H149" s="219">
        <v>6.4</v>
      </c>
      <c r="I149" s="219">
        <v>3.48</v>
      </c>
      <c r="J149" s="74">
        <v>2490</v>
      </c>
      <c r="K149" s="74">
        <v>0.05</v>
      </c>
      <c r="L149" s="74"/>
      <c r="M149" s="88"/>
    </row>
    <row r="150" spans="1:13" hidden="1">
      <c r="A150" s="228"/>
      <c r="B150" s="229"/>
      <c r="C150" s="228"/>
      <c r="D150" s="228"/>
      <c r="E150" s="228"/>
      <c r="F150" s="228"/>
      <c r="G150" s="228"/>
      <c r="H150" s="231"/>
      <c r="I150" s="228"/>
      <c r="J150" s="228"/>
      <c r="K150" s="228"/>
      <c r="L150" s="228"/>
      <c r="M150" s="88"/>
    </row>
    <row r="151" spans="1:13" hidden="1">
      <c r="A151" s="74" t="s">
        <v>719</v>
      </c>
      <c r="B151" s="75">
        <v>46253</v>
      </c>
      <c r="C151" s="74" t="s">
        <v>884</v>
      </c>
      <c r="D151" s="74" t="s">
        <v>885</v>
      </c>
      <c r="E151" s="74" t="s">
        <v>743</v>
      </c>
      <c r="F151" s="74">
        <v>22.8</v>
      </c>
      <c r="G151" s="74">
        <v>22.2</v>
      </c>
      <c r="H151" s="74">
        <v>6.8</v>
      </c>
      <c r="I151" s="74">
        <v>3.37</v>
      </c>
      <c r="J151" s="74">
        <v>2239</v>
      </c>
      <c r="K151" s="74">
        <v>0.04</v>
      </c>
      <c r="L151" s="74"/>
      <c r="M151" s="88"/>
    </row>
    <row r="152" spans="1:13" hidden="1">
      <c r="A152" s="74" t="s">
        <v>731</v>
      </c>
      <c r="B152" s="75">
        <v>46253</v>
      </c>
      <c r="C152" s="74" t="s">
        <v>886</v>
      </c>
      <c r="D152" s="74"/>
      <c r="E152" s="74" t="s">
        <v>858</v>
      </c>
      <c r="F152" s="74">
        <v>24.8</v>
      </c>
      <c r="G152" s="74">
        <v>23.9</v>
      </c>
      <c r="H152" s="76">
        <v>5</v>
      </c>
      <c r="I152" s="74">
        <v>3.62</v>
      </c>
      <c r="J152" s="74">
        <v>2280</v>
      </c>
      <c r="K152" s="74">
        <v>0.11</v>
      </c>
      <c r="L152" s="74"/>
      <c r="M152" s="88"/>
    </row>
    <row r="153" spans="1:13" hidden="1">
      <c r="A153" s="74" t="s">
        <v>732</v>
      </c>
      <c r="B153" s="75">
        <v>46253</v>
      </c>
      <c r="C153" s="74" t="s">
        <v>841</v>
      </c>
      <c r="D153" s="74" t="s">
        <v>862</v>
      </c>
      <c r="E153" s="74" t="s">
        <v>726</v>
      </c>
      <c r="F153" s="74">
        <v>22.6</v>
      </c>
      <c r="G153" s="74">
        <v>21.9</v>
      </c>
      <c r="H153" s="74">
        <v>6.6</v>
      </c>
      <c r="I153" s="74">
        <v>3.48</v>
      </c>
      <c r="J153" s="74">
        <v>3520</v>
      </c>
      <c r="K153" s="74">
        <v>0.06</v>
      </c>
      <c r="L153" s="74"/>
      <c r="M153" s="88"/>
    </row>
    <row r="154" spans="1:13" hidden="1">
      <c r="A154" s="74" t="s">
        <v>751</v>
      </c>
      <c r="B154" s="75">
        <v>46253</v>
      </c>
      <c r="C154" s="74" t="s">
        <v>887</v>
      </c>
      <c r="D154" s="74"/>
      <c r="E154" s="74" t="s">
        <v>858</v>
      </c>
      <c r="F154" s="74">
        <v>23.7</v>
      </c>
      <c r="G154" s="74">
        <v>23.1</v>
      </c>
      <c r="H154" s="74">
        <v>5.4</v>
      </c>
      <c r="I154" s="77">
        <v>3.5</v>
      </c>
      <c r="J154" s="74">
        <v>2482</v>
      </c>
      <c r="K154" s="74">
        <v>7.0000000000000007E-2</v>
      </c>
      <c r="L154" s="74"/>
      <c r="M154" s="88"/>
    </row>
    <row r="155" spans="1:13" hidden="1">
      <c r="A155" s="228"/>
      <c r="B155" s="229"/>
      <c r="C155" s="228"/>
      <c r="D155" s="228"/>
      <c r="E155" s="228"/>
      <c r="F155" s="228"/>
      <c r="G155" s="228"/>
      <c r="H155" s="231"/>
      <c r="I155" s="228"/>
      <c r="J155" s="228"/>
      <c r="K155" s="228"/>
      <c r="L155" s="228"/>
      <c r="M155" s="88"/>
    </row>
    <row r="156" spans="1:13" hidden="1">
      <c r="A156" s="74" t="s">
        <v>719</v>
      </c>
      <c r="B156" s="75">
        <v>46254</v>
      </c>
      <c r="C156" s="74" t="s">
        <v>888</v>
      </c>
      <c r="D156" s="74"/>
      <c r="E156" s="74" t="s">
        <v>726</v>
      </c>
      <c r="F156" s="74">
        <v>25.9</v>
      </c>
      <c r="G156" s="74">
        <v>25.1</v>
      </c>
      <c r="H156" s="76">
        <v>6.6</v>
      </c>
      <c r="I156" s="74">
        <v>3.46</v>
      </c>
      <c r="J156" s="74">
        <v>2780</v>
      </c>
      <c r="K156" s="74">
        <v>0.02</v>
      </c>
      <c r="L156" s="74" t="s">
        <v>889</v>
      </c>
      <c r="M156" s="88"/>
    </row>
    <row r="157" spans="1:13" hidden="1">
      <c r="A157" s="74" t="s">
        <v>731</v>
      </c>
      <c r="B157" s="75">
        <v>46254</v>
      </c>
      <c r="C157" s="74" t="s">
        <v>890</v>
      </c>
      <c r="D157" s="74"/>
      <c r="E157" s="74" t="s">
        <v>726</v>
      </c>
      <c r="F157" s="74">
        <v>24.1</v>
      </c>
      <c r="G157" s="74">
        <v>23.2</v>
      </c>
      <c r="H157" s="76">
        <v>6.4</v>
      </c>
      <c r="I157" s="77">
        <v>3.5</v>
      </c>
      <c r="J157" s="74">
        <v>2981</v>
      </c>
      <c r="K157" s="74">
        <v>0.02</v>
      </c>
      <c r="L157" s="74"/>
      <c r="M157" s="88"/>
    </row>
    <row r="158" spans="1:13" hidden="1">
      <c r="A158" s="228"/>
      <c r="B158" s="229"/>
      <c r="C158" s="228"/>
      <c r="D158" s="228"/>
      <c r="E158" s="228"/>
      <c r="F158" s="228"/>
      <c r="G158" s="228"/>
      <c r="H158" s="231"/>
      <c r="I158" s="228"/>
      <c r="J158" s="228"/>
      <c r="K158" s="228"/>
      <c r="L158" s="228"/>
      <c r="M158" s="88"/>
    </row>
    <row r="159" spans="1:13" hidden="1">
      <c r="A159" s="74" t="s">
        <v>719</v>
      </c>
      <c r="B159" s="75">
        <v>46255</v>
      </c>
      <c r="C159" s="74" t="s">
        <v>891</v>
      </c>
      <c r="D159" s="74" t="s">
        <v>784</v>
      </c>
      <c r="E159" s="74" t="s">
        <v>892</v>
      </c>
      <c r="F159" s="74">
        <v>21.4</v>
      </c>
      <c r="G159" s="74">
        <v>20.7</v>
      </c>
      <c r="H159" s="76">
        <v>9</v>
      </c>
      <c r="I159" s="74">
        <v>3.05</v>
      </c>
      <c r="J159" s="74">
        <v>2610</v>
      </c>
      <c r="K159" s="74">
        <v>0.01</v>
      </c>
      <c r="L159" s="74"/>
      <c r="M159" s="88"/>
    </row>
    <row r="160" spans="1:13" hidden="1">
      <c r="A160" s="74" t="s">
        <v>731</v>
      </c>
      <c r="B160" s="75">
        <v>46255</v>
      </c>
      <c r="C160" s="74" t="s">
        <v>891</v>
      </c>
      <c r="D160" s="74" t="s">
        <v>893</v>
      </c>
      <c r="E160" s="74" t="s">
        <v>894</v>
      </c>
      <c r="F160" s="74">
        <v>21.7</v>
      </c>
      <c r="G160" s="74">
        <v>21.1</v>
      </c>
      <c r="H160" s="74">
        <v>11.6</v>
      </c>
      <c r="I160" s="74">
        <v>3.02</v>
      </c>
      <c r="J160" s="74">
        <v>3810</v>
      </c>
      <c r="K160" s="74">
        <v>0.01</v>
      </c>
      <c r="L160" s="74"/>
      <c r="M160" s="88"/>
    </row>
    <row r="161" spans="1:13">
      <c r="A161" s="74" t="s">
        <v>732</v>
      </c>
      <c r="B161" s="75">
        <v>46255</v>
      </c>
      <c r="C161" s="74" t="s">
        <v>855</v>
      </c>
      <c r="D161" s="74" t="s">
        <v>745</v>
      </c>
      <c r="E161" s="74" t="s">
        <v>895</v>
      </c>
      <c r="F161" s="74">
        <v>25.7</v>
      </c>
      <c r="G161" s="74">
        <v>24.7</v>
      </c>
      <c r="H161" s="76">
        <v>6.4</v>
      </c>
      <c r="I161" s="74">
        <v>3.37</v>
      </c>
      <c r="J161" s="74">
        <v>2080</v>
      </c>
      <c r="K161" s="74">
        <v>0.03</v>
      </c>
      <c r="L161" s="74"/>
      <c r="M161" s="88"/>
    </row>
    <row r="162" spans="1:13">
      <c r="A162" s="74" t="s">
        <v>751</v>
      </c>
      <c r="B162" s="75">
        <v>46255</v>
      </c>
      <c r="C162" s="74" t="s">
        <v>855</v>
      </c>
      <c r="D162" s="74" t="s">
        <v>721</v>
      </c>
      <c r="E162" s="74" t="s">
        <v>895</v>
      </c>
      <c r="F162" s="76">
        <v>25.6</v>
      </c>
      <c r="G162" s="76">
        <v>25</v>
      </c>
      <c r="H162" s="76">
        <v>6</v>
      </c>
      <c r="I162" s="77">
        <v>3.4</v>
      </c>
      <c r="J162" s="74">
        <v>2140</v>
      </c>
      <c r="K162" s="74">
        <v>0.03</v>
      </c>
      <c r="L162" s="74"/>
      <c r="M162" s="88"/>
    </row>
    <row r="163" spans="1:13">
      <c r="A163" s="74" t="s">
        <v>753</v>
      </c>
      <c r="B163" s="75">
        <v>46255</v>
      </c>
      <c r="C163" s="74" t="s">
        <v>855</v>
      </c>
      <c r="D163" s="74" t="s">
        <v>896</v>
      </c>
      <c r="E163" s="74" t="s">
        <v>895</v>
      </c>
      <c r="F163" s="74">
        <v>24.3</v>
      </c>
      <c r="G163" s="74">
        <v>23.3</v>
      </c>
      <c r="H163" s="74">
        <v>6.2</v>
      </c>
      <c r="I163" s="77">
        <v>3.36</v>
      </c>
      <c r="J163" s="74">
        <v>2160</v>
      </c>
      <c r="K163" s="74">
        <v>0.01</v>
      </c>
      <c r="L163" s="74"/>
      <c r="M163" s="88"/>
    </row>
    <row r="164" spans="1:13" hidden="1">
      <c r="A164" s="74"/>
      <c r="B164" s="75"/>
      <c r="C164" s="74"/>
      <c r="D164" s="74"/>
      <c r="E164" s="74"/>
      <c r="F164" s="74"/>
      <c r="G164" s="74"/>
      <c r="H164" s="76"/>
      <c r="I164" s="74"/>
      <c r="J164" s="74"/>
      <c r="K164" s="74"/>
      <c r="L164" s="74"/>
      <c r="M164" s="88"/>
    </row>
    <row r="165" spans="1:13" hidden="1">
      <c r="A165" s="74"/>
      <c r="B165" s="75"/>
      <c r="C165" s="74"/>
      <c r="D165" s="74"/>
      <c r="E165" s="74"/>
      <c r="F165" s="76"/>
      <c r="G165" s="74"/>
      <c r="H165" s="74"/>
      <c r="I165" s="74"/>
      <c r="J165" s="74"/>
      <c r="K165" s="74"/>
      <c r="L165" s="74"/>
      <c r="M165" s="88"/>
    </row>
    <row r="166" spans="1:13" hidden="1">
      <c r="A166" s="74"/>
      <c r="B166" s="75"/>
      <c r="C166" s="74"/>
      <c r="D166" s="74"/>
      <c r="E166" s="74"/>
      <c r="F166" s="74"/>
      <c r="G166" s="74"/>
      <c r="H166" s="74"/>
      <c r="I166" s="77"/>
      <c r="J166" s="74"/>
      <c r="K166" s="74"/>
      <c r="L166" s="74"/>
      <c r="M166" s="88"/>
    </row>
    <row r="167" spans="1:13" hidden="1">
      <c r="A167" s="74"/>
      <c r="B167" s="75"/>
      <c r="C167" s="74"/>
      <c r="D167" s="74" t="s">
        <v>897</v>
      </c>
      <c r="E167" s="74"/>
      <c r="F167" s="74"/>
      <c r="G167" s="74"/>
      <c r="H167" s="74"/>
      <c r="I167" s="74"/>
      <c r="J167" s="74"/>
      <c r="K167" s="74"/>
      <c r="L167" s="74"/>
      <c r="M167" s="88"/>
    </row>
    <row r="168" spans="1:13" hidden="1">
      <c r="A168" s="74"/>
      <c r="B168" s="75"/>
      <c r="C168" s="74"/>
      <c r="D168" s="74"/>
      <c r="E168" s="74"/>
      <c r="F168" s="74"/>
      <c r="G168" s="76"/>
      <c r="H168" s="74"/>
      <c r="I168" s="74"/>
      <c r="J168" s="74"/>
      <c r="K168" s="74"/>
      <c r="L168" s="74"/>
      <c r="M168" s="88"/>
    </row>
    <row r="169" spans="1:13" hidden="1">
      <c r="A169" s="74"/>
      <c r="B169" s="75"/>
      <c r="C169" s="74"/>
      <c r="D169" s="74"/>
      <c r="E169" s="74"/>
      <c r="F169" s="74"/>
      <c r="G169" s="74"/>
      <c r="H169" s="74"/>
      <c r="I169" s="77"/>
      <c r="J169" s="88"/>
      <c r="K169" s="88"/>
      <c r="L169" s="74"/>
      <c r="M169" s="88"/>
    </row>
    <row r="170" spans="1:13" hidden="1">
      <c r="A170" s="74"/>
      <c r="B170" s="75"/>
      <c r="C170" s="74"/>
      <c r="D170" s="74"/>
      <c r="E170" s="74"/>
      <c r="F170" s="74"/>
      <c r="G170" s="76"/>
      <c r="H170" s="74"/>
      <c r="I170" s="74"/>
      <c r="J170" s="74"/>
      <c r="K170" s="74"/>
      <c r="L170" s="74"/>
      <c r="M170" s="88"/>
    </row>
    <row r="171" spans="1:13" hidden="1">
      <c r="A171" s="74"/>
      <c r="B171" s="75"/>
      <c r="C171" s="74"/>
      <c r="D171" s="74"/>
      <c r="E171" s="74"/>
      <c r="F171" s="76"/>
      <c r="G171" s="74"/>
      <c r="H171" s="74"/>
      <c r="I171" s="74"/>
      <c r="J171" s="74"/>
      <c r="K171" s="74"/>
      <c r="L171" s="74"/>
      <c r="M171" s="88"/>
    </row>
    <row r="172" spans="1:13" hidden="1">
      <c r="A172" s="74"/>
      <c r="B172" s="75"/>
      <c r="C172" s="74"/>
      <c r="D172" s="74"/>
      <c r="E172" s="74"/>
      <c r="F172" s="74"/>
      <c r="G172" s="76"/>
      <c r="H172" s="74"/>
      <c r="I172" s="74"/>
      <c r="J172" s="74"/>
      <c r="K172" s="74"/>
      <c r="L172" s="74"/>
      <c r="M172" s="88"/>
    </row>
    <row r="173" spans="1:13" hidden="1">
      <c r="A173" s="74"/>
      <c r="B173" s="75"/>
      <c r="C173" s="74"/>
      <c r="D173" s="74"/>
      <c r="E173" s="74"/>
      <c r="F173" s="74"/>
      <c r="G173" s="74"/>
      <c r="H173" s="76"/>
      <c r="I173" s="74"/>
      <c r="J173" s="74"/>
      <c r="K173" s="74"/>
      <c r="L173" s="74"/>
      <c r="M173" s="88"/>
    </row>
    <row r="174" spans="1:13" hidden="1">
      <c r="A174" s="74"/>
      <c r="B174" s="75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88"/>
    </row>
    <row r="175" spans="1:13" hidden="1">
      <c r="A175" s="74"/>
      <c r="B175" s="75"/>
      <c r="C175" s="74"/>
      <c r="D175" s="74"/>
      <c r="E175" s="74"/>
      <c r="F175" s="76"/>
      <c r="G175" s="74"/>
      <c r="H175" s="74"/>
      <c r="I175" s="74"/>
      <c r="J175" s="74"/>
      <c r="K175" s="74"/>
      <c r="L175" s="74"/>
      <c r="M175" s="88"/>
    </row>
    <row r="176" spans="1:13" hidden="1">
      <c r="A176" s="74"/>
      <c r="B176" s="75"/>
      <c r="C176" s="74"/>
      <c r="D176" s="74"/>
      <c r="E176" s="74"/>
      <c r="F176" s="74"/>
      <c r="G176" s="76"/>
      <c r="H176" s="74"/>
      <c r="I176" s="77"/>
      <c r="J176" s="74"/>
      <c r="K176" s="74"/>
      <c r="L176" s="74"/>
      <c r="M176" s="88"/>
    </row>
    <row r="177" spans="1:13" hidden="1">
      <c r="A177" s="74"/>
      <c r="B177" s="75"/>
      <c r="C177" s="74"/>
      <c r="D177" s="74"/>
      <c r="E177" s="74"/>
      <c r="F177" s="74"/>
      <c r="G177" s="74"/>
      <c r="H177" s="76"/>
      <c r="I177" s="74"/>
      <c r="J177" s="74"/>
      <c r="K177" s="74"/>
      <c r="L177" s="74"/>
      <c r="M177" s="88"/>
    </row>
    <row r="178" spans="1:13" hidden="1">
      <c r="A178" s="74"/>
      <c r="B178" s="75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88"/>
    </row>
    <row r="179" spans="1:13" hidden="1">
      <c r="A179" s="74"/>
      <c r="B179" s="75"/>
      <c r="C179" s="74"/>
      <c r="D179" s="74"/>
      <c r="E179" s="74"/>
      <c r="F179" s="74"/>
      <c r="G179" s="76"/>
      <c r="H179" s="76"/>
      <c r="I179" s="74"/>
      <c r="J179" s="74"/>
      <c r="K179" s="74"/>
      <c r="L179" s="74"/>
      <c r="M179" s="88"/>
    </row>
    <row r="180" spans="1:13" hidden="1">
      <c r="A180" s="74"/>
      <c r="B180" s="75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88"/>
    </row>
    <row r="181" spans="1:13" hidden="1">
      <c r="A181" s="74"/>
      <c r="B181" s="75"/>
      <c r="C181" s="74"/>
      <c r="D181" s="74"/>
      <c r="E181" s="74"/>
      <c r="F181" s="74"/>
      <c r="G181" s="74"/>
      <c r="H181" s="74"/>
      <c r="I181" s="77"/>
      <c r="J181" s="74"/>
      <c r="K181" s="74"/>
      <c r="L181" s="74"/>
      <c r="M181" s="88"/>
    </row>
    <row r="182" spans="1:13" hidden="1">
      <c r="A182" s="74"/>
      <c r="B182" s="75"/>
      <c r="C182" s="74"/>
      <c r="D182" s="74"/>
      <c r="E182" s="74"/>
      <c r="F182" s="74"/>
      <c r="G182" s="74"/>
      <c r="H182" s="74"/>
      <c r="I182" s="77"/>
      <c r="J182" s="74"/>
      <c r="K182" s="74"/>
      <c r="L182" s="74"/>
      <c r="M182" s="88"/>
    </row>
    <row r="183" spans="1:13" hidden="1">
      <c r="A183" s="74"/>
      <c r="B183" s="75"/>
      <c r="C183" s="74"/>
      <c r="D183" s="74"/>
      <c r="E183" s="74"/>
      <c r="F183" s="74"/>
      <c r="G183" s="74"/>
      <c r="H183" s="76"/>
      <c r="I183" s="74"/>
      <c r="J183" s="74"/>
      <c r="K183" s="74"/>
      <c r="L183" s="74"/>
      <c r="M183" s="88"/>
    </row>
    <row r="184" spans="1:13" hidden="1">
      <c r="A184" s="74"/>
      <c r="B184" s="75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88"/>
    </row>
    <row r="185" spans="1:13" hidden="1">
      <c r="A185" s="74"/>
      <c r="B185" s="75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88"/>
    </row>
    <row r="186" spans="1:13" s="278" customFormat="1">
      <c r="A186" s="228"/>
      <c r="B186" s="229"/>
      <c r="C186" s="228"/>
      <c r="D186" s="228"/>
      <c r="E186" s="228"/>
      <c r="F186" s="228"/>
      <c r="G186" s="231"/>
      <c r="H186" s="228"/>
      <c r="I186" s="228"/>
      <c r="J186" s="228"/>
      <c r="K186" s="228"/>
      <c r="L186" s="228"/>
      <c r="M186" s="277"/>
    </row>
    <row r="187" spans="1:13">
      <c r="A187" s="74" t="s">
        <v>719</v>
      </c>
      <c r="B187" s="75">
        <v>46256</v>
      </c>
      <c r="C187" s="74" t="s">
        <v>852</v>
      </c>
      <c r="D187" s="74" t="s">
        <v>893</v>
      </c>
      <c r="E187" s="74" t="s">
        <v>898</v>
      </c>
      <c r="F187" s="74">
        <v>19.7</v>
      </c>
      <c r="G187" s="76">
        <v>19</v>
      </c>
      <c r="H187" s="74">
        <v>8.4</v>
      </c>
      <c r="I187" s="77">
        <v>3.08</v>
      </c>
      <c r="J187" s="74">
        <v>3160</v>
      </c>
      <c r="K187" s="74">
        <v>0.01</v>
      </c>
      <c r="L187" s="74"/>
      <c r="M187" s="88"/>
    </row>
    <row r="188" spans="1:13">
      <c r="A188" s="74" t="s">
        <v>731</v>
      </c>
      <c r="B188" s="75">
        <v>46256</v>
      </c>
      <c r="C188" s="74" t="s">
        <v>887</v>
      </c>
      <c r="D188" s="74" t="s">
        <v>899</v>
      </c>
      <c r="E188" s="74" t="s">
        <v>858</v>
      </c>
      <c r="F188" s="76">
        <v>22.6</v>
      </c>
      <c r="G188" s="76">
        <v>22</v>
      </c>
      <c r="H188" s="76">
        <v>4</v>
      </c>
      <c r="I188" s="74">
        <v>3.45</v>
      </c>
      <c r="J188" s="74">
        <v>1760</v>
      </c>
      <c r="K188" s="74">
        <v>0.01</v>
      </c>
      <c r="L188" s="74" t="s">
        <v>900</v>
      </c>
      <c r="M188" s="88"/>
    </row>
    <row r="189" spans="1:13">
      <c r="A189" s="74" t="s">
        <v>732</v>
      </c>
      <c r="B189" s="75">
        <v>46256</v>
      </c>
      <c r="C189" s="74" t="s">
        <v>855</v>
      </c>
      <c r="D189" s="74"/>
      <c r="E189" s="74" t="s">
        <v>740</v>
      </c>
      <c r="F189" s="74">
        <v>23.7</v>
      </c>
      <c r="G189" s="74">
        <v>23.1</v>
      </c>
      <c r="H189" s="76">
        <v>6</v>
      </c>
      <c r="I189" s="74">
        <v>3.62</v>
      </c>
      <c r="J189" s="74">
        <v>2780</v>
      </c>
      <c r="K189" s="74">
        <v>0.02</v>
      </c>
      <c r="L189" s="74" t="s">
        <v>901</v>
      </c>
      <c r="M189" s="88"/>
    </row>
    <row r="190" spans="1:13">
      <c r="A190" s="74" t="s">
        <v>751</v>
      </c>
      <c r="B190" s="75">
        <v>46256</v>
      </c>
      <c r="C190" s="74" t="s">
        <v>886</v>
      </c>
      <c r="D190" s="74"/>
      <c r="E190" s="74" t="s">
        <v>858</v>
      </c>
      <c r="F190" s="74">
        <v>23.9</v>
      </c>
      <c r="G190" s="74">
        <v>22.9</v>
      </c>
      <c r="H190" s="76">
        <v>5.2</v>
      </c>
      <c r="I190" s="74">
        <v>3.56</v>
      </c>
      <c r="J190" s="74">
        <v>1500</v>
      </c>
      <c r="K190" s="74">
        <v>0.03</v>
      </c>
      <c r="L190" s="74"/>
      <c r="M190" s="88"/>
    </row>
    <row r="191" spans="1:13">
      <c r="A191" s="74"/>
      <c r="B191" s="75"/>
      <c r="C191" s="74"/>
      <c r="D191" s="74"/>
      <c r="E191" s="74"/>
      <c r="F191" s="74"/>
      <c r="G191" s="74"/>
      <c r="H191" s="76"/>
      <c r="I191" s="74"/>
      <c r="J191" s="74"/>
      <c r="K191" s="74"/>
      <c r="L191" s="74"/>
      <c r="M191" s="88"/>
    </row>
    <row r="192" spans="1:13">
      <c r="A192" s="74"/>
      <c r="B192" s="75"/>
      <c r="C192" s="74"/>
      <c r="D192" s="74"/>
      <c r="E192" s="74"/>
      <c r="F192" s="76"/>
      <c r="G192" s="74"/>
      <c r="H192" s="76"/>
      <c r="I192" s="77"/>
      <c r="J192" s="74"/>
      <c r="K192" s="74"/>
      <c r="L192" s="74"/>
      <c r="M192" s="88"/>
    </row>
    <row r="193" spans="1:13">
      <c r="A193" s="74"/>
      <c r="B193" s="75"/>
      <c r="C193" s="74"/>
      <c r="D193" s="74"/>
      <c r="E193" s="74"/>
      <c r="F193" s="76"/>
      <c r="G193" s="74"/>
      <c r="H193" s="74"/>
      <c r="I193" s="74"/>
      <c r="J193" s="74"/>
      <c r="K193" s="74"/>
      <c r="L193" s="74"/>
      <c r="M193" s="88"/>
    </row>
    <row r="194" spans="1:13">
      <c r="A194" s="74"/>
      <c r="B194" s="75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88"/>
    </row>
    <row r="195" spans="1:13">
      <c r="A195" s="74"/>
      <c r="B195" s="75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88"/>
    </row>
    <row r="196" spans="1:13">
      <c r="A196" s="74"/>
      <c r="B196" s="75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88"/>
    </row>
    <row r="197" spans="1:13">
      <c r="A197" s="74"/>
      <c r="B197" s="75"/>
      <c r="C197" s="74"/>
      <c r="D197" s="74"/>
      <c r="E197" s="74"/>
      <c r="F197" s="74"/>
      <c r="G197" s="76"/>
      <c r="H197" s="76"/>
      <c r="I197" s="74"/>
      <c r="J197" s="74"/>
      <c r="K197" s="74"/>
      <c r="L197" s="74"/>
      <c r="M197" s="88"/>
    </row>
    <row r="198" spans="1:13">
      <c r="A198" s="74"/>
      <c r="B198" s="89"/>
      <c r="C198" s="74"/>
      <c r="D198" s="74"/>
      <c r="E198" s="74"/>
      <c r="F198" s="76"/>
      <c r="G198" s="74"/>
      <c r="H198" s="74"/>
      <c r="I198" s="74"/>
      <c r="J198" s="74"/>
      <c r="K198" s="74"/>
      <c r="L198" s="74"/>
      <c r="M198" s="88"/>
    </row>
    <row r="199" spans="1:13">
      <c r="A199" s="74"/>
      <c r="B199" s="75"/>
      <c r="C199" s="74"/>
      <c r="D199" s="74"/>
      <c r="E199" s="74"/>
      <c r="F199" s="74"/>
      <c r="G199" s="74"/>
      <c r="H199" s="74"/>
      <c r="I199" s="77"/>
      <c r="J199" s="74"/>
      <c r="K199" s="74"/>
      <c r="L199" s="74"/>
      <c r="M199" s="88"/>
    </row>
    <row r="200" spans="1:13">
      <c r="A200" s="74"/>
      <c r="B200" s="75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88"/>
    </row>
    <row r="201" spans="1:13">
      <c r="A201" s="74"/>
      <c r="B201" s="75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88"/>
    </row>
    <row r="202" spans="1:13">
      <c r="A202" s="74"/>
      <c r="B202" s="75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88"/>
    </row>
    <row r="203" spans="1:13">
      <c r="A203" s="74"/>
      <c r="B203" s="75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88"/>
    </row>
    <row r="204" spans="1:13">
      <c r="A204" s="74"/>
      <c r="B204" s="75"/>
      <c r="C204" s="74"/>
      <c r="D204" s="74"/>
      <c r="E204" s="74"/>
      <c r="F204" s="76"/>
      <c r="G204" s="74"/>
      <c r="H204" s="76"/>
      <c r="I204" s="74"/>
      <c r="J204" s="74"/>
      <c r="K204" s="74"/>
      <c r="L204" s="74"/>
      <c r="M204" s="88"/>
    </row>
    <row r="205" spans="1:13">
      <c r="A205" s="74"/>
      <c r="B205" s="75"/>
      <c r="C205" s="74"/>
      <c r="D205" s="74"/>
      <c r="E205" s="74"/>
      <c r="F205" s="74"/>
      <c r="G205" s="74"/>
      <c r="H205" s="76"/>
      <c r="I205" s="74"/>
      <c r="J205" s="74"/>
      <c r="K205" s="74"/>
      <c r="L205" s="74"/>
      <c r="M205" s="88"/>
    </row>
    <row r="206" spans="1:13">
      <c r="A206" s="74"/>
      <c r="B206" s="75"/>
      <c r="C206" s="74"/>
      <c r="D206" s="74"/>
      <c r="E206" s="74"/>
      <c r="F206" s="74"/>
      <c r="G206" s="74"/>
      <c r="H206" s="74"/>
      <c r="I206" s="77"/>
      <c r="J206" s="74"/>
      <c r="K206" s="74"/>
      <c r="L206" s="74"/>
      <c r="M206" s="88"/>
    </row>
    <row r="207" spans="1:13">
      <c r="A207" s="74"/>
      <c r="B207" s="75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88"/>
    </row>
    <row r="208" spans="1:13">
      <c r="A208" s="74"/>
      <c r="B208" s="75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88"/>
    </row>
    <row r="209" spans="1:13">
      <c r="A209" s="74"/>
      <c r="B209" s="75"/>
      <c r="C209" s="74"/>
      <c r="D209" s="74"/>
      <c r="E209" s="74"/>
      <c r="F209" s="74"/>
      <c r="G209" s="74"/>
      <c r="H209" s="74"/>
      <c r="I209" s="77"/>
      <c r="J209" s="74"/>
      <c r="K209" s="74"/>
      <c r="L209" s="74"/>
      <c r="M209" s="88"/>
    </row>
    <row r="210" spans="1:13">
      <c r="A210" s="74"/>
      <c r="B210" s="75"/>
      <c r="C210" s="74"/>
      <c r="D210" s="74"/>
      <c r="E210" s="74"/>
      <c r="F210" s="74"/>
      <c r="G210" s="76"/>
      <c r="H210" s="74"/>
      <c r="I210" s="74"/>
      <c r="J210" s="74"/>
      <c r="K210" s="74"/>
      <c r="L210" s="74"/>
      <c r="M210" s="88"/>
    </row>
    <row r="211" spans="1:13">
      <c r="A211" s="74"/>
      <c r="B211" s="75"/>
      <c r="C211" s="74"/>
      <c r="D211" s="74"/>
      <c r="E211" s="74"/>
      <c r="F211" s="76"/>
      <c r="G211" s="76"/>
      <c r="H211" s="74"/>
      <c r="I211" s="74"/>
      <c r="J211" s="74"/>
      <c r="K211" s="74"/>
      <c r="L211" s="74"/>
      <c r="M211" s="88"/>
    </row>
    <row r="212" spans="1:13">
      <c r="A212" s="74"/>
      <c r="B212" s="75"/>
      <c r="C212" s="74"/>
      <c r="D212" s="74"/>
      <c r="E212" s="74"/>
      <c r="F212" s="76"/>
      <c r="G212" s="74"/>
      <c r="H212" s="74"/>
      <c r="I212" s="74"/>
      <c r="J212" s="74"/>
      <c r="K212" s="74"/>
      <c r="L212" s="74"/>
      <c r="M212" s="88"/>
    </row>
    <row r="213" spans="1:13">
      <c r="A213" s="74"/>
      <c r="B213" s="75"/>
      <c r="C213" s="74"/>
      <c r="D213" s="74"/>
      <c r="E213" s="74"/>
      <c r="F213" s="74"/>
      <c r="G213" s="76"/>
      <c r="H213" s="74"/>
      <c r="I213" s="74"/>
      <c r="J213" s="74"/>
      <c r="K213" s="74"/>
      <c r="L213" s="74"/>
      <c r="M213" s="88"/>
    </row>
    <row r="214" spans="1:13">
      <c r="A214" s="74"/>
      <c r="B214" s="75"/>
      <c r="C214" s="74"/>
      <c r="D214" s="74"/>
      <c r="E214" s="74"/>
      <c r="F214" s="76"/>
      <c r="G214" s="76"/>
      <c r="H214" s="74"/>
      <c r="I214" s="74"/>
      <c r="J214" s="74"/>
      <c r="K214" s="74"/>
      <c r="L214" s="74"/>
      <c r="M214" s="88"/>
    </row>
    <row r="215" spans="1:13">
      <c r="A215" s="74"/>
      <c r="B215" s="75"/>
      <c r="C215" s="74"/>
      <c r="D215" s="74"/>
      <c r="E215" s="74"/>
      <c r="F215" s="74"/>
      <c r="G215" s="76"/>
      <c r="H215" s="74"/>
      <c r="I215" s="74"/>
      <c r="J215" s="74"/>
      <c r="K215" s="74"/>
      <c r="L215" s="74"/>
      <c r="M215" s="88"/>
    </row>
    <row r="216" spans="1:13">
      <c r="A216" s="74"/>
      <c r="B216" s="75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88"/>
    </row>
    <row r="217" spans="1:13">
      <c r="A217" s="74"/>
      <c r="B217" s="75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88"/>
    </row>
    <row r="218" spans="1:13">
      <c r="A218" s="74"/>
      <c r="B218" s="75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88"/>
    </row>
    <row r="219" spans="1:13">
      <c r="A219" s="74"/>
      <c r="B219" s="75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88"/>
    </row>
    <row r="220" spans="1:13">
      <c r="A220" s="74"/>
      <c r="B220" s="75"/>
      <c r="C220" s="74"/>
      <c r="D220" s="74"/>
      <c r="E220" s="74"/>
      <c r="F220" s="74"/>
      <c r="G220" s="74"/>
      <c r="H220" s="74"/>
      <c r="I220" s="74"/>
      <c r="J220" s="74"/>
      <c r="K220" s="74"/>
      <c r="L220" s="74"/>
    </row>
    <row r="221" spans="1:13">
      <c r="A221" s="74"/>
      <c r="B221" s="75"/>
      <c r="C221" s="74"/>
      <c r="D221" s="74"/>
      <c r="E221" s="74"/>
      <c r="F221" s="76"/>
      <c r="G221" s="76"/>
      <c r="H221" s="74"/>
      <c r="I221" s="74"/>
      <c r="J221" s="74"/>
      <c r="K221" s="74"/>
      <c r="L221" s="74"/>
    </row>
    <row r="222" spans="1:13">
      <c r="A222" s="74"/>
      <c r="B222" s="75"/>
      <c r="C222" s="74"/>
      <c r="D222" s="74"/>
      <c r="E222" s="74"/>
      <c r="F222" s="74"/>
      <c r="G222" s="74"/>
      <c r="H222" s="74"/>
      <c r="I222" s="74"/>
      <c r="J222" s="74"/>
      <c r="K222" s="74"/>
      <c r="L222" s="74"/>
    </row>
    <row r="223" spans="1:13">
      <c r="A223" s="74"/>
      <c r="B223" s="75"/>
      <c r="C223" s="74"/>
      <c r="D223" s="74"/>
      <c r="E223" s="74"/>
      <c r="F223" s="74"/>
      <c r="G223" s="74"/>
      <c r="H223" s="74"/>
      <c r="I223" s="74"/>
      <c r="J223" s="74"/>
      <c r="K223" s="74"/>
      <c r="L223" s="74"/>
    </row>
    <row r="224" spans="1:13">
      <c r="A224" s="74"/>
      <c r="B224" s="75"/>
      <c r="C224" s="74"/>
      <c r="D224" s="74"/>
      <c r="E224" s="74"/>
      <c r="F224" s="74"/>
      <c r="G224" s="74"/>
      <c r="H224" s="74"/>
      <c r="I224" s="74"/>
      <c r="J224" s="74"/>
      <c r="K224" s="74"/>
      <c r="L224" s="74"/>
    </row>
    <row r="225" spans="1:12">
      <c r="A225" s="74"/>
      <c r="B225" s="75"/>
      <c r="C225" s="74"/>
      <c r="D225" s="74"/>
      <c r="E225" s="74"/>
      <c r="F225" s="76"/>
      <c r="G225" s="74"/>
      <c r="H225" s="74"/>
      <c r="I225" s="74"/>
      <c r="J225" s="74"/>
      <c r="K225" s="74"/>
      <c r="L225" s="74"/>
    </row>
    <row r="226" spans="1:12">
      <c r="A226" s="74"/>
      <c r="B226" s="75"/>
      <c r="C226" s="74"/>
      <c r="D226" s="74"/>
      <c r="E226" s="74"/>
      <c r="F226" s="74"/>
      <c r="G226" s="74"/>
      <c r="H226" s="74"/>
      <c r="I226" s="74"/>
      <c r="J226" s="74"/>
      <c r="K226" s="77"/>
      <c r="L226" s="74"/>
    </row>
    <row r="227" spans="1:12">
      <c r="A227" s="74"/>
      <c r="B227" s="75"/>
      <c r="C227" s="74"/>
      <c r="D227" s="74"/>
      <c r="E227" s="74"/>
      <c r="F227" s="74"/>
      <c r="G227" s="74"/>
      <c r="H227" s="76"/>
      <c r="I227" s="74"/>
      <c r="J227" s="74"/>
      <c r="K227" s="77"/>
      <c r="L227" s="4"/>
    </row>
    <row r="228" spans="1:12">
      <c r="A228" s="74"/>
      <c r="B228" s="75"/>
      <c r="C228" s="74"/>
      <c r="D228" s="74"/>
      <c r="E228" s="74"/>
      <c r="F228" s="74"/>
      <c r="G228" s="74"/>
      <c r="H228" s="74"/>
      <c r="I228" s="74"/>
      <c r="J228" s="74"/>
      <c r="K228" s="74"/>
      <c r="L228" s="4"/>
    </row>
    <row r="229" spans="1:12">
      <c r="A229" s="74"/>
      <c r="B229" s="75"/>
      <c r="C229" s="74"/>
      <c r="D229" s="74"/>
      <c r="E229" s="74"/>
      <c r="F229" s="74"/>
      <c r="G229" s="74"/>
      <c r="H229" s="76"/>
      <c r="I229" s="74"/>
      <c r="J229" s="74"/>
      <c r="K229" s="74"/>
      <c r="L229" s="4"/>
    </row>
    <row r="230" spans="1:12">
      <c r="A230" s="74"/>
      <c r="B230" s="75"/>
      <c r="C230" s="74"/>
      <c r="D230" s="74"/>
      <c r="E230" s="74"/>
      <c r="F230" s="76"/>
      <c r="G230" s="74"/>
      <c r="H230" s="74"/>
      <c r="I230" s="74"/>
      <c r="J230" s="74"/>
      <c r="K230" s="74"/>
      <c r="L230" s="4"/>
    </row>
    <row r="231" spans="1:12">
      <c r="A231" s="74"/>
      <c r="B231" s="75"/>
      <c r="C231" s="74"/>
      <c r="D231" s="74"/>
      <c r="E231" s="74"/>
      <c r="F231" s="74"/>
      <c r="G231" s="74"/>
      <c r="H231" s="76"/>
      <c r="I231" s="74"/>
      <c r="J231" s="74"/>
      <c r="K231" s="74"/>
      <c r="L231" s="4"/>
    </row>
    <row r="232" spans="1:12">
      <c r="A232" s="74"/>
      <c r="B232" s="75"/>
      <c r="C232" s="74"/>
      <c r="D232" s="74"/>
      <c r="E232" s="74"/>
      <c r="F232" s="74"/>
      <c r="G232" s="74"/>
      <c r="H232" s="74"/>
      <c r="I232" s="74"/>
      <c r="J232" s="74"/>
      <c r="K232" s="74"/>
      <c r="L232" s="74"/>
    </row>
    <row r="233" spans="1:12">
      <c r="A233" s="74"/>
      <c r="B233" s="75"/>
      <c r="C233" s="74"/>
      <c r="D233" s="74"/>
      <c r="E233" s="74"/>
      <c r="F233" s="76"/>
      <c r="G233" s="74"/>
      <c r="H233" s="74"/>
      <c r="I233" s="77"/>
      <c r="J233" s="74"/>
      <c r="K233" s="74"/>
      <c r="L233" s="74"/>
    </row>
    <row r="234" spans="1:12">
      <c r="A234" s="74"/>
      <c r="B234" s="75"/>
      <c r="C234" s="74"/>
      <c r="D234" s="74"/>
      <c r="E234" s="74"/>
      <c r="F234" s="74"/>
      <c r="G234" s="74"/>
      <c r="H234" s="76"/>
      <c r="I234" s="74"/>
      <c r="J234" s="74"/>
      <c r="K234" s="74"/>
      <c r="L234" s="74"/>
    </row>
    <row r="235" spans="1:12">
      <c r="A235" s="74"/>
      <c r="B235" s="75"/>
      <c r="C235" s="74"/>
      <c r="D235" s="74"/>
      <c r="E235" s="74"/>
      <c r="F235" s="74"/>
      <c r="G235" s="74"/>
      <c r="H235" s="74"/>
      <c r="I235" s="74"/>
      <c r="J235" s="74"/>
      <c r="K235" s="74"/>
      <c r="L235" s="74"/>
    </row>
    <row r="236" spans="1:12">
      <c r="A236" s="74"/>
      <c r="B236" s="75"/>
      <c r="C236" s="74"/>
      <c r="D236" s="74"/>
      <c r="E236" s="74"/>
      <c r="F236" s="74"/>
      <c r="G236" s="74"/>
      <c r="H236" s="76"/>
      <c r="I236" s="74"/>
      <c r="J236" s="74"/>
      <c r="K236" s="74"/>
      <c r="L236" s="74"/>
    </row>
    <row r="237" spans="1:12">
      <c r="A237" s="74"/>
      <c r="B237" s="75"/>
      <c r="C237" s="74"/>
      <c r="D237" s="74"/>
      <c r="E237" s="74"/>
      <c r="F237" s="74"/>
      <c r="G237" s="74"/>
      <c r="H237" s="76"/>
      <c r="I237" s="74"/>
      <c r="J237" s="74"/>
      <c r="K237" s="74"/>
      <c r="L237" s="74"/>
    </row>
    <row r="238" spans="1:12">
      <c r="A238" s="74"/>
      <c r="B238" s="75"/>
      <c r="C238" s="74"/>
      <c r="D238" s="74"/>
      <c r="E238" s="74"/>
      <c r="F238" s="76"/>
      <c r="G238" s="76"/>
      <c r="H238" s="76"/>
      <c r="I238" s="74"/>
      <c r="J238" s="74"/>
      <c r="K238" s="74"/>
      <c r="L238" s="74"/>
    </row>
    <row r="239" spans="1:12">
      <c r="A239" s="74"/>
      <c r="B239" s="75"/>
      <c r="C239" s="74"/>
      <c r="D239" s="74"/>
      <c r="E239" s="74"/>
      <c r="F239" s="76"/>
      <c r="G239" s="74"/>
      <c r="H239" s="74"/>
      <c r="I239" s="74"/>
      <c r="J239" s="74"/>
      <c r="K239" s="74"/>
      <c r="L239" s="74"/>
    </row>
    <row r="240" spans="1:12">
      <c r="A240" s="74"/>
      <c r="B240" s="75"/>
      <c r="C240" s="74"/>
      <c r="D240" s="74"/>
      <c r="E240" s="74"/>
      <c r="F240" s="74"/>
      <c r="G240" s="74"/>
      <c r="H240" s="74"/>
      <c r="I240" s="74"/>
      <c r="J240" s="74"/>
      <c r="K240" s="74"/>
      <c r="L240" s="74"/>
    </row>
    <row r="241" spans="1:12">
      <c r="A241" s="74"/>
      <c r="B241" s="75"/>
      <c r="C241" s="74"/>
      <c r="D241" s="74"/>
      <c r="E241" s="74"/>
      <c r="F241" s="74"/>
      <c r="G241" s="74"/>
      <c r="H241" s="74"/>
      <c r="I241" s="74"/>
      <c r="J241" s="74"/>
      <c r="K241" s="74"/>
      <c r="L241" s="74"/>
    </row>
    <row r="242" spans="1:12">
      <c r="A242" s="74"/>
      <c r="B242" s="75"/>
      <c r="C242" s="74"/>
      <c r="D242" s="74"/>
      <c r="E242" s="74"/>
      <c r="F242" s="74"/>
      <c r="G242" s="74"/>
      <c r="H242" s="74"/>
      <c r="I242" s="74"/>
      <c r="J242" s="74"/>
      <c r="K242" s="74"/>
      <c r="L242" s="74"/>
    </row>
    <row r="243" spans="1:12">
      <c r="A243" s="74"/>
      <c r="B243" s="75"/>
      <c r="C243" s="74"/>
      <c r="D243" s="74"/>
      <c r="E243" s="74"/>
      <c r="F243" s="74"/>
      <c r="G243" s="74"/>
      <c r="H243" s="74"/>
      <c r="I243" s="74"/>
      <c r="J243" s="74"/>
      <c r="K243" s="74"/>
      <c r="L243" s="74"/>
    </row>
    <row r="244" spans="1:12">
      <c r="A244" s="74"/>
      <c r="B244" s="75"/>
      <c r="C244" s="74"/>
      <c r="D244" s="4"/>
      <c r="E244" s="74"/>
      <c r="F244" s="74"/>
      <c r="G244" s="74"/>
      <c r="H244" s="74"/>
      <c r="I244" s="77"/>
      <c r="J244" s="74"/>
      <c r="K244" s="74"/>
      <c r="L244" s="4"/>
    </row>
    <row r="245" spans="1:12">
      <c r="A245" s="74"/>
      <c r="B245" s="75"/>
      <c r="C245" s="75"/>
      <c r="D245" s="75"/>
      <c r="E245" s="74"/>
      <c r="F245" s="74"/>
      <c r="G245" s="74"/>
      <c r="H245" s="76"/>
      <c r="I245" s="74"/>
      <c r="J245" s="74"/>
      <c r="K245" s="74"/>
      <c r="L245" s="74"/>
    </row>
    <row r="246" spans="1:12">
      <c r="A246" s="74"/>
      <c r="B246" s="75"/>
      <c r="C246" s="75"/>
      <c r="D246" s="75"/>
      <c r="E246" s="74"/>
      <c r="F246" s="74"/>
      <c r="G246" s="76"/>
      <c r="H246" s="76"/>
      <c r="I246" s="74"/>
      <c r="J246" s="74"/>
      <c r="K246" s="74"/>
      <c r="L246" s="74"/>
    </row>
    <row r="247" spans="1:12">
      <c r="A247" s="74"/>
      <c r="B247" s="75"/>
      <c r="C247" s="74"/>
      <c r="D247" s="74"/>
      <c r="E247" s="74"/>
      <c r="F247" s="74"/>
      <c r="G247" s="76"/>
      <c r="H247" s="74"/>
      <c r="I247" s="77"/>
      <c r="J247" s="74"/>
      <c r="K247" s="74"/>
      <c r="L247" s="4"/>
    </row>
    <row r="248" spans="1:12">
      <c r="A248" s="74"/>
      <c r="B248" s="75"/>
      <c r="C248" s="74"/>
      <c r="D248" s="74"/>
      <c r="E248" s="74"/>
      <c r="F248" s="74"/>
      <c r="G248" s="74"/>
      <c r="H248" s="74"/>
      <c r="I248" s="74"/>
      <c r="J248" s="74"/>
      <c r="K248" s="74"/>
      <c r="L248" s="4"/>
    </row>
    <row r="249" spans="1:12">
      <c r="A249" s="74"/>
      <c r="B249" s="75"/>
      <c r="C249" s="74"/>
      <c r="D249" s="74"/>
      <c r="E249" s="74"/>
      <c r="F249" s="74"/>
      <c r="G249" s="76"/>
      <c r="H249" s="74"/>
      <c r="I249" s="74"/>
      <c r="J249" s="74"/>
      <c r="K249" s="77"/>
      <c r="L249" s="4"/>
    </row>
    <row r="250" spans="1:12">
      <c r="A250" s="74"/>
      <c r="B250" s="75"/>
      <c r="C250" s="74"/>
      <c r="D250" s="74"/>
      <c r="E250" s="74"/>
      <c r="F250" s="74"/>
      <c r="G250" s="74"/>
      <c r="H250" s="74"/>
      <c r="I250" s="77"/>
      <c r="J250" s="74"/>
      <c r="K250" s="77"/>
      <c r="L250" s="4"/>
    </row>
    <row r="251" spans="1:12">
      <c r="A251" s="75"/>
      <c r="B251" s="75"/>
      <c r="C251" s="74"/>
      <c r="D251" s="74"/>
      <c r="E251" s="74"/>
      <c r="F251" s="74"/>
      <c r="G251" s="74"/>
      <c r="H251" s="76"/>
      <c r="I251" s="74"/>
      <c r="J251" s="74"/>
      <c r="K251" s="77"/>
      <c r="L251" s="4"/>
    </row>
    <row r="252" spans="1:12">
      <c r="A252" s="74"/>
      <c r="B252" s="75"/>
      <c r="C252" s="74"/>
      <c r="D252" s="74"/>
      <c r="E252" s="74"/>
      <c r="F252" s="74"/>
      <c r="G252" s="74"/>
      <c r="H252" s="74"/>
      <c r="I252" s="74"/>
      <c r="J252" s="74"/>
      <c r="K252" s="74"/>
      <c r="L252" s="74"/>
    </row>
    <row r="253" spans="1:12">
      <c r="A253" s="74"/>
      <c r="B253" s="75"/>
      <c r="C253" s="74"/>
      <c r="D253" s="74"/>
      <c r="E253" s="74"/>
      <c r="F253" s="76"/>
      <c r="G253" s="74"/>
      <c r="H253" s="76"/>
      <c r="I253" s="74"/>
      <c r="J253" s="74"/>
      <c r="K253" s="74"/>
      <c r="L253" s="74"/>
    </row>
    <row r="254" spans="1:12">
      <c r="A254" s="74"/>
      <c r="B254" s="75"/>
      <c r="C254" s="74"/>
      <c r="D254" s="74"/>
      <c r="E254" s="74"/>
      <c r="F254" s="74"/>
      <c r="G254" s="74"/>
      <c r="H254" s="74"/>
      <c r="I254" s="74"/>
      <c r="J254" s="74"/>
      <c r="K254" s="74"/>
      <c r="L254" s="74"/>
    </row>
    <row r="255" spans="1:12">
      <c r="A255" s="74"/>
      <c r="B255" s="75"/>
      <c r="C255" s="74"/>
      <c r="D255" s="4"/>
      <c r="E255" s="74"/>
      <c r="F255" s="74"/>
      <c r="G255" s="74"/>
      <c r="H255" s="74"/>
      <c r="I255" s="74"/>
      <c r="J255" s="4"/>
      <c r="K255" s="74"/>
      <c r="L255" s="4"/>
    </row>
    <row r="256" spans="1:12">
      <c r="A256" s="74"/>
      <c r="B256" s="75"/>
      <c r="C256" s="74"/>
      <c r="D256" s="4"/>
      <c r="E256" s="74"/>
      <c r="F256" s="76"/>
      <c r="G256" s="76"/>
      <c r="H256" s="76"/>
      <c r="I256" s="74"/>
      <c r="J256" s="4"/>
      <c r="K256" s="74"/>
      <c r="L256" s="4"/>
    </row>
    <row r="257" spans="1:12">
      <c r="A257" s="74"/>
      <c r="B257" s="75"/>
      <c r="C257" s="74"/>
      <c r="D257" s="74"/>
      <c r="E257" s="74"/>
      <c r="F257" s="74"/>
      <c r="G257" s="74"/>
      <c r="H257" s="76"/>
      <c r="I257" s="74"/>
      <c r="J257" s="4"/>
      <c r="K257" s="74"/>
      <c r="L257" s="4"/>
    </row>
    <row r="258" spans="1:12">
      <c r="A258" s="74"/>
      <c r="B258" s="75"/>
      <c r="C258" s="74"/>
      <c r="D258" s="74"/>
      <c r="E258" s="74"/>
      <c r="F258" s="74"/>
      <c r="G258" s="74"/>
      <c r="H258" s="74"/>
      <c r="I258" s="74"/>
      <c r="J258" s="74"/>
      <c r="K258" s="74"/>
      <c r="L258" s="74"/>
    </row>
    <row r="259" spans="1:12">
      <c r="A259" s="74"/>
      <c r="B259" s="75"/>
      <c r="C259" s="74"/>
      <c r="D259" s="74"/>
      <c r="E259" s="74"/>
      <c r="F259" s="74"/>
      <c r="G259" s="74"/>
      <c r="H259" s="74"/>
      <c r="I259" s="74"/>
      <c r="J259" s="74"/>
      <c r="K259" s="74"/>
      <c r="L259" s="74"/>
    </row>
    <row r="260" spans="1:12">
      <c r="A260" s="74"/>
      <c r="B260" s="75"/>
      <c r="C260" s="74"/>
      <c r="D260" s="74"/>
      <c r="E260" s="74"/>
      <c r="F260" s="74"/>
      <c r="G260" s="74"/>
      <c r="H260" s="76"/>
      <c r="I260" s="74"/>
      <c r="J260" s="74"/>
      <c r="K260" s="74"/>
      <c r="L260" s="4"/>
    </row>
    <row r="261" spans="1:12">
      <c r="A261" s="74"/>
      <c r="B261" s="75"/>
      <c r="C261" s="74"/>
      <c r="D261" s="74"/>
      <c r="E261" s="74"/>
      <c r="F261" s="74"/>
      <c r="G261" s="74"/>
      <c r="H261" s="76"/>
      <c r="I261" s="74"/>
      <c r="J261" s="74"/>
      <c r="K261" s="74"/>
      <c r="L261" s="4"/>
    </row>
    <row r="262" spans="1:12">
      <c r="A262" s="74"/>
      <c r="B262" s="75"/>
      <c r="C262" s="74"/>
      <c r="D262" s="74"/>
      <c r="E262" s="74"/>
      <c r="F262" s="74"/>
      <c r="G262" s="76"/>
      <c r="H262" s="76"/>
      <c r="I262" s="77"/>
      <c r="J262" s="74"/>
      <c r="K262" s="74"/>
      <c r="L262" s="4"/>
    </row>
    <row r="263" spans="1:12">
      <c r="A263" s="74"/>
      <c r="B263" s="75"/>
      <c r="C263" s="74"/>
      <c r="D263" s="74"/>
      <c r="E263" s="74"/>
      <c r="F263" s="76"/>
      <c r="G263" s="74"/>
      <c r="H263" s="76"/>
      <c r="I263" s="74"/>
      <c r="J263" s="74"/>
      <c r="K263" s="74"/>
      <c r="L263" s="4"/>
    </row>
    <row r="264" spans="1:12">
      <c r="A264" s="74"/>
      <c r="B264" s="75"/>
      <c r="C264" s="74"/>
      <c r="D264" s="74"/>
      <c r="E264" s="74"/>
      <c r="F264" s="74"/>
      <c r="G264" s="74"/>
      <c r="H264" s="74"/>
      <c r="I264" s="74"/>
      <c r="J264" s="74"/>
      <c r="K264" s="74"/>
      <c r="L264" s="4"/>
    </row>
    <row r="265" spans="1:12">
      <c r="A265" s="74"/>
      <c r="B265" s="75"/>
      <c r="C265" s="74"/>
      <c r="D265" s="74"/>
      <c r="E265" s="74"/>
      <c r="F265" s="74"/>
      <c r="G265" s="74"/>
      <c r="H265" s="74"/>
      <c r="I265" s="74"/>
      <c r="J265" s="74"/>
      <c r="K265" s="74"/>
      <c r="L265" s="4"/>
    </row>
    <row r="266" spans="1:12">
      <c r="A266" s="74"/>
      <c r="B266" s="75"/>
      <c r="C266" s="74"/>
      <c r="D266" s="74"/>
      <c r="E266" s="74"/>
      <c r="F266" s="74"/>
      <c r="G266" s="74"/>
      <c r="H266" s="74"/>
      <c r="I266" s="74"/>
      <c r="J266" s="74"/>
      <c r="K266" s="74"/>
      <c r="L266" s="74"/>
    </row>
    <row r="267" spans="1:12">
      <c r="A267" s="74"/>
      <c r="B267" s="75"/>
      <c r="C267" s="74"/>
      <c r="D267" s="74"/>
      <c r="E267" s="74"/>
      <c r="F267" s="74"/>
      <c r="G267" s="74"/>
      <c r="H267" s="74"/>
      <c r="I267" s="77"/>
      <c r="J267" s="74"/>
      <c r="K267" s="74"/>
      <c r="L267" s="74"/>
    </row>
    <row r="268" spans="1:12">
      <c r="A268" s="74"/>
      <c r="B268" s="75"/>
      <c r="C268" s="74"/>
      <c r="D268" s="74"/>
      <c r="E268" s="74"/>
      <c r="F268" s="76"/>
      <c r="G268" s="74"/>
      <c r="H268" s="74"/>
      <c r="I268" s="77"/>
      <c r="J268" s="74"/>
      <c r="K268" s="77"/>
      <c r="L268" s="4"/>
    </row>
    <row r="269" spans="1:12">
      <c r="A269" s="74"/>
      <c r="B269" s="75"/>
      <c r="C269" s="74"/>
      <c r="D269" s="74"/>
      <c r="E269" s="74"/>
      <c r="F269" s="74"/>
      <c r="G269" s="74"/>
      <c r="H269" s="74"/>
      <c r="I269" s="74"/>
      <c r="J269" s="74"/>
      <c r="K269" s="74"/>
      <c r="L269" s="4"/>
    </row>
    <row r="270" spans="1:12">
      <c r="A270" s="74"/>
      <c r="B270" s="75"/>
      <c r="C270" s="74"/>
      <c r="D270" s="74"/>
      <c r="E270" s="74"/>
      <c r="F270" s="74"/>
      <c r="G270" s="74"/>
      <c r="H270" s="74"/>
      <c r="I270" s="74"/>
      <c r="J270" s="74"/>
      <c r="K270" s="74"/>
      <c r="L270" s="4"/>
    </row>
    <row r="271" spans="1:12">
      <c r="A271" s="74"/>
      <c r="B271" s="75"/>
      <c r="C271" s="74"/>
      <c r="D271" s="74"/>
      <c r="E271" s="74"/>
      <c r="F271" s="74"/>
      <c r="G271" s="74"/>
      <c r="H271" s="74"/>
      <c r="I271" s="74"/>
      <c r="J271" s="74"/>
      <c r="K271" s="74"/>
      <c r="L271" s="4"/>
    </row>
    <row r="272" spans="1:12">
      <c r="A272" s="74"/>
      <c r="B272" s="75"/>
      <c r="C272" s="74"/>
      <c r="D272" s="74"/>
      <c r="E272" s="74"/>
      <c r="F272" s="74"/>
      <c r="G272" s="74"/>
      <c r="H272" s="74"/>
      <c r="I272" s="74"/>
      <c r="J272" s="74"/>
      <c r="K272" s="74"/>
      <c r="L272" s="74"/>
    </row>
    <row r="273" spans="1:12">
      <c r="A273" s="74"/>
      <c r="B273" s="75"/>
      <c r="C273" s="74"/>
      <c r="D273" s="4"/>
      <c r="E273" s="74"/>
      <c r="F273" s="76"/>
      <c r="G273" s="74"/>
      <c r="H273" s="76"/>
      <c r="I273" s="74"/>
      <c r="J273" s="74"/>
      <c r="K273" s="74"/>
      <c r="L273" s="74"/>
    </row>
    <row r="274" spans="1:12">
      <c r="A274" s="74"/>
      <c r="B274" s="75"/>
      <c r="C274" s="74"/>
      <c r="D274" s="74"/>
      <c r="E274" s="74"/>
      <c r="F274" s="74"/>
      <c r="G274" s="74"/>
      <c r="H274" s="74"/>
      <c r="I274" s="74"/>
      <c r="J274" s="74"/>
      <c r="K274" s="74"/>
      <c r="L274" s="74"/>
    </row>
    <row r="275" spans="1:12">
      <c r="A275" s="74"/>
      <c r="B275" s="75"/>
      <c r="C275" s="74"/>
      <c r="D275" s="74"/>
      <c r="E275" s="74"/>
      <c r="F275" s="74"/>
      <c r="G275" s="74"/>
      <c r="H275" s="74"/>
      <c r="I275" s="74"/>
      <c r="J275" s="74"/>
      <c r="K275" s="74"/>
      <c r="L275" s="74"/>
    </row>
    <row r="276" spans="1:12">
      <c r="A276" s="74"/>
      <c r="B276" s="75"/>
      <c r="C276" s="74"/>
      <c r="D276" s="74"/>
      <c r="E276" s="74"/>
      <c r="F276" s="74"/>
      <c r="G276" s="74"/>
      <c r="H276" s="74"/>
      <c r="I276" s="74"/>
      <c r="J276" s="74"/>
      <c r="K276" s="74"/>
      <c r="L276" s="74"/>
    </row>
    <row r="277" spans="1:12">
      <c r="A277" s="74"/>
      <c r="B277" s="75"/>
      <c r="C277" s="74"/>
      <c r="D277" s="74"/>
      <c r="E277" s="74"/>
      <c r="F277" s="74"/>
      <c r="G277" s="74"/>
      <c r="H277" s="76"/>
      <c r="I277" s="74"/>
      <c r="J277" s="74"/>
      <c r="K277" s="74"/>
      <c r="L277" s="74"/>
    </row>
    <row r="278" spans="1:12">
      <c r="A278" s="74"/>
      <c r="B278" s="75"/>
      <c r="C278" s="74"/>
      <c r="D278" s="74"/>
      <c r="E278" s="74"/>
      <c r="F278" s="74"/>
      <c r="G278" s="74"/>
      <c r="H278" s="74"/>
      <c r="I278" s="74"/>
      <c r="J278" s="74"/>
      <c r="K278" s="74"/>
      <c r="L278" s="74"/>
    </row>
    <row r="279" spans="1:12">
      <c r="A279" s="74"/>
      <c r="B279" s="75"/>
      <c r="C279" s="74"/>
      <c r="D279" s="74"/>
      <c r="E279" s="74"/>
      <c r="F279" s="76"/>
      <c r="G279" s="76"/>
      <c r="H279" s="76"/>
      <c r="I279" s="74"/>
      <c r="J279" s="74"/>
      <c r="K279" s="74"/>
      <c r="L279" s="74"/>
    </row>
    <row r="280" spans="1:12">
      <c r="A280" s="74"/>
      <c r="B280" s="75"/>
      <c r="C280" s="74"/>
      <c r="D280" s="74"/>
      <c r="E280" s="74"/>
      <c r="F280" s="74"/>
      <c r="G280" s="74"/>
      <c r="H280" s="74"/>
      <c r="I280" s="74"/>
      <c r="J280" s="74"/>
      <c r="K280" s="74"/>
      <c r="L280" s="4"/>
    </row>
    <row r="281" spans="1:12">
      <c r="A281" s="74"/>
      <c r="B281" s="75"/>
      <c r="C281" s="74"/>
      <c r="D281" s="74"/>
      <c r="E281" s="74"/>
      <c r="F281" s="74"/>
      <c r="G281" s="74"/>
      <c r="H281" s="74"/>
      <c r="I281" s="74"/>
      <c r="J281" s="74"/>
      <c r="K281" s="74"/>
      <c r="L281" s="74"/>
    </row>
    <row r="282" spans="1:12">
      <c r="A282" s="74"/>
      <c r="B282" s="75"/>
      <c r="C282" s="74"/>
      <c r="D282" s="74"/>
      <c r="E282" s="74"/>
      <c r="F282" s="74"/>
      <c r="G282" s="74"/>
      <c r="H282" s="74"/>
      <c r="I282" s="77"/>
      <c r="J282" s="74"/>
      <c r="K282" s="74"/>
      <c r="L282" s="74"/>
    </row>
    <row r="283" spans="1:12">
      <c r="A283" s="74"/>
      <c r="B283" s="75"/>
      <c r="C283" s="74"/>
      <c r="D283" s="74"/>
      <c r="E283" s="74"/>
      <c r="F283" s="74"/>
      <c r="G283" s="74"/>
      <c r="H283" s="74"/>
      <c r="I283" s="74"/>
      <c r="J283" s="74"/>
      <c r="K283" s="74"/>
      <c r="L283" s="74"/>
    </row>
    <row r="284" spans="1:12">
      <c r="A284" s="4"/>
      <c r="B284" s="6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>
      <c r="A285" s="4"/>
      <c r="B285" s="8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>
      <c r="A287" s="4"/>
      <c r="B287" s="6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4">
      <c r="A289" s="4"/>
      <c r="B289" s="6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4">
      <c r="A290" s="4"/>
      <c r="B290" s="6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4">
      <c r="A291" s="4"/>
      <c r="B291" s="6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1"/>
      <c r="N291" s="1"/>
    </row>
    <row r="292" spans="1:1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1"/>
      <c r="N292" s="1"/>
    </row>
    <row r="293" spans="1:14">
      <c r="A293" s="4"/>
      <c r="B293" s="6"/>
      <c r="C293" s="4"/>
      <c r="D293" s="4"/>
      <c r="E293" s="4"/>
      <c r="F293" s="4"/>
      <c r="G293" s="4"/>
      <c r="H293" s="7"/>
      <c r="I293" s="4"/>
      <c r="J293" s="4"/>
      <c r="K293" s="4"/>
      <c r="L293" s="4"/>
      <c r="M293" s="1"/>
      <c r="N293" s="1"/>
    </row>
    <row r="294" spans="1:14">
      <c r="A294" s="4"/>
      <c r="B294" s="6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4">
      <c r="A296" s="4"/>
      <c r="B296" s="6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4">
      <c r="A297" s="4"/>
      <c r="B297" s="6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4">
      <c r="A298" s="4"/>
      <c r="B298" s="6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4">
      <c r="A299" s="4"/>
      <c r="B299" s="6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4">
      <c r="A301" s="4"/>
      <c r="B301" s="6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4">
      <c r="A302" s="4"/>
      <c r="B302" s="6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4">
      <c r="A304" s="4"/>
      <c r="B304" s="6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>
      <c r="A305" s="4"/>
      <c r="B305" s="6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</sheetData>
  <autoFilter ref="A2:L185" xr:uid="{0726A456-C39B-4C47-B7CA-4996398321D5}">
    <filterColumn colId="1">
      <filters>
        <dateGroupItem year="2026" month="8" day="21" dateTimeGrouping="day"/>
      </filters>
    </filterColumn>
    <filterColumn colId="2">
      <filters>
        <filter val="98 Oaks"/>
      </filters>
    </filterColumn>
  </autoFilter>
  <mergeCells count="1">
    <mergeCell ref="B1:L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0673-6B35-49D8-ABEE-306CAA1450B5}">
  <sheetPr codeName="Sheet5"/>
  <dimension ref="A1:DY42"/>
  <sheetViews>
    <sheetView tabSelected="1" topLeftCell="AR1" zoomScale="70" workbookViewId="0">
      <selection activeCell="AV8" sqref="AV8:AV11"/>
    </sheetView>
  </sheetViews>
  <sheetFormatPr defaultColWidth="9" defaultRowHeight="15.75"/>
  <cols>
    <col min="1" max="1" width="31" style="187" customWidth="1"/>
    <col min="2" max="5" width="31" style="187" hidden="1" customWidth="1"/>
    <col min="6" max="6" width="4.5703125" style="188" hidden="1" customWidth="1"/>
    <col min="7" max="7" width="30.5703125" style="187" hidden="1" customWidth="1"/>
    <col min="8" max="8" width="48.140625" style="187" hidden="1" customWidth="1"/>
    <col min="9" max="9" width="34.140625" style="187" hidden="1" customWidth="1"/>
    <col min="10" max="10" width="31.28515625" style="187" hidden="1" customWidth="1"/>
    <col min="11" max="11" width="43.7109375" style="187" hidden="1" customWidth="1"/>
    <col min="12" max="12" width="5.42578125" style="188" hidden="1" customWidth="1"/>
    <col min="13" max="13" width="31.5703125" style="187" hidden="1" customWidth="1"/>
    <col min="14" max="14" width="36.5703125" style="187" hidden="1" customWidth="1"/>
    <col min="15" max="15" width="36.28515625" style="187" hidden="1" customWidth="1"/>
    <col min="16" max="16" width="36.5703125" style="187" hidden="1" customWidth="1"/>
    <col min="17" max="17" width="36.85546875" style="187" hidden="1" customWidth="1"/>
    <col min="18" max="18" width="33" style="187" hidden="1" customWidth="1"/>
    <col min="19" max="19" width="2.7109375" style="188" hidden="1" customWidth="1"/>
    <col min="20" max="20" width="27.7109375" style="187" hidden="1" customWidth="1"/>
    <col min="21" max="21" width="33.85546875" style="187" hidden="1" customWidth="1"/>
    <col min="22" max="22" width="37.5703125" style="187" hidden="1" customWidth="1"/>
    <col min="23" max="23" width="40.5703125" style="187" hidden="1" customWidth="1"/>
    <col min="24" max="24" width="38" style="187" hidden="1" customWidth="1"/>
    <col min="25" max="25" width="34.42578125" style="187" hidden="1" customWidth="1"/>
    <col min="26" max="26" width="3.42578125" style="188" customWidth="1"/>
    <col min="27" max="27" width="35.42578125" style="187" hidden="1" customWidth="1"/>
    <col min="28" max="28" width="33.85546875" style="187" hidden="1" customWidth="1"/>
    <col min="29" max="29" width="38" style="187" hidden="1" customWidth="1"/>
    <col min="30" max="30" width="39.28515625" style="187" hidden="1" customWidth="1"/>
    <col min="31" max="31" width="34.28515625" style="187" hidden="1" customWidth="1"/>
    <col min="32" max="32" width="34.85546875" style="187" hidden="1" customWidth="1"/>
    <col min="33" max="33" width="3.140625" style="188" hidden="1" customWidth="1"/>
    <col min="34" max="34" width="33.7109375" style="187" hidden="1" customWidth="1"/>
    <col min="35" max="35" width="39.5703125" style="187" hidden="1" customWidth="1"/>
    <col min="36" max="36" width="38.85546875" style="187" hidden="1" customWidth="1"/>
    <col min="37" max="37" width="30.42578125" style="187" hidden="1" customWidth="1"/>
    <col min="38" max="38" width="26.28515625" style="187" hidden="1" customWidth="1"/>
    <col min="39" max="39" width="34.42578125" style="187" hidden="1" customWidth="1"/>
    <col min="40" max="40" width="3" style="188" customWidth="1"/>
    <col min="41" max="41" width="26.7109375" style="187" customWidth="1"/>
    <col min="42" max="42" width="35.85546875" style="187" customWidth="1"/>
    <col min="43" max="43" width="41.28515625" style="187" customWidth="1"/>
    <col min="44" max="44" width="31.28515625" style="187" customWidth="1"/>
    <col min="45" max="45" width="32.42578125" style="187" customWidth="1"/>
    <col min="46" max="46" width="36.28515625" style="187" customWidth="1"/>
    <col min="47" max="47" width="3" style="188" customWidth="1"/>
    <col min="48" max="48" width="29.28515625" style="187" customWidth="1"/>
    <col min="49" max="49" width="30" style="187" customWidth="1"/>
    <col min="50" max="50" width="32.140625" style="187" customWidth="1"/>
    <col min="51" max="51" width="36.28515625" style="187" customWidth="1"/>
    <col min="52" max="52" width="26.85546875" style="187" customWidth="1"/>
    <col min="53" max="53" width="29.42578125" style="187" customWidth="1"/>
    <col min="54" max="54" width="7.42578125" style="188" customWidth="1"/>
    <col min="55" max="55" width="28.5703125" style="187" customWidth="1"/>
    <col min="56" max="56" width="28.7109375" style="187" customWidth="1"/>
    <col min="57" max="57" width="31.85546875" style="187" customWidth="1"/>
    <col min="58" max="58" width="29.7109375" style="187" customWidth="1"/>
    <col min="59" max="59" width="26.85546875" style="187" customWidth="1"/>
    <col min="60" max="60" width="46.5703125" style="187" customWidth="1"/>
    <col min="61" max="61" width="6.28515625" style="188" customWidth="1"/>
    <col min="62" max="62" width="38.7109375" style="187" customWidth="1"/>
    <col min="63" max="63" width="29.5703125" style="187" customWidth="1"/>
    <col min="64" max="64" width="32.42578125" style="187" customWidth="1"/>
    <col min="65" max="65" width="30.42578125" style="187" customWidth="1"/>
    <col min="66" max="66" width="40.140625" style="187" customWidth="1"/>
    <col min="67" max="67" width="17.85546875" style="187" customWidth="1"/>
    <col min="68" max="68" width="3" style="188" customWidth="1"/>
    <col min="69" max="69" width="37.140625" style="187" customWidth="1"/>
    <col min="70" max="71" width="30.140625" style="187" customWidth="1"/>
    <col min="72" max="72" width="28.5703125" style="187" customWidth="1"/>
    <col min="73" max="73" width="46.42578125" style="187" customWidth="1"/>
    <col min="74" max="74" width="50.140625" style="187" customWidth="1"/>
    <col min="75" max="75" width="2.5703125" style="188" customWidth="1"/>
    <col min="76" max="76" width="34.85546875" style="187" customWidth="1"/>
    <col min="77" max="77" width="28.5703125" style="187" customWidth="1"/>
    <col min="78" max="78" width="45.7109375" style="187" customWidth="1"/>
    <col min="79" max="79" width="27.85546875" style="187" customWidth="1"/>
    <col min="80" max="80" width="26.28515625" style="187" customWidth="1"/>
    <col min="81" max="81" width="36.5703125" style="187" customWidth="1"/>
    <col min="82" max="82" width="6" style="188" customWidth="1"/>
    <col min="83" max="83" width="27.85546875" style="187" customWidth="1"/>
    <col min="84" max="84" width="26.28515625" style="187" customWidth="1"/>
    <col min="85" max="85" width="29.7109375" style="187" customWidth="1"/>
    <col min="86" max="86" width="26.85546875" style="187" customWidth="1"/>
    <col min="87" max="87" width="23.7109375" style="187" customWidth="1"/>
    <col min="88" max="88" width="28.7109375" style="187" customWidth="1"/>
    <col min="89" max="89" width="4.140625" style="188" customWidth="1"/>
    <col min="90" max="90" width="26.28515625" style="187" bestFit="1" customWidth="1"/>
    <col min="91" max="91" width="26.7109375" style="187" bestFit="1" customWidth="1"/>
    <col min="92" max="92" width="30.28515625" style="187" bestFit="1" customWidth="1"/>
    <col min="93" max="93" width="27.5703125" style="187" bestFit="1" customWidth="1"/>
    <col min="94" max="94" width="25.42578125" style="187" bestFit="1" customWidth="1"/>
    <col min="95" max="95" width="28.7109375" style="187" bestFit="1" customWidth="1"/>
    <col min="96" max="96" width="4.42578125" style="188" customWidth="1"/>
    <col min="97" max="97" width="27.5703125" style="187" bestFit="1" customWidth="1"/>
    <col min="98" max="98" width="28" style="187" bestFit="1" customWidth="1"/>
    <col min="99" max="99" width="31.5703125" style="187" bestFit="1" customWidth="1"/>
    <col min="100" max="100" width="28.85546875" style="187" bestFit="1" customWidth="1"/>
    <col min="101" max="101" width="26.5703125" style="187" bestFit="1" customWidth="1"/>
    <col min="102" max="102" width="30" style="187" bestFit="1" customWidth="1"/>
    <col min="103" max="103" width="3.7109375" style="188" customWidth="1"/>
    <col min="104" max="104" width="27.5703125" style="187" bestFit="1" customWidth="1"/>
    <col min="105" max="105" width="28" style="187" bestFit="1" customWidth="1"/>
    <col min="106" max="106" width="31.5703125" style="187" bestFit="1" customWidth="1"/>
    <col min="107" max="107" width="28.85546875" style="187" bestFit="1" customWidth="1"/>
    <col min="108" max="108" width="26.5703125" style="187" bestFit="1" customWidth="1"/>
    <col min="109" max="109" width="30" style="187" bestFit="1" customWidth="1"/>
    <col min="110" max="110" width="27.28515625" style="187" bestFit="1" customWidth="1"/>
    <col min="111" max="111" width="27.5703125" style="187" bestFit="1" customWidth="1"/>
    <col min="112" max="112" width="28" style="187" bestFit="1" customWidth="1"/>
    <col min="113" max="113" width="31.5703125" style="187" bestFit="1" customWidth="1"/>
    <col min="114" max="114" width="28.85546875" style="187" bestFit="1" customWidth="1"/>
    <col min="115" max="115" width="26.5703125" style="187" bestFit="1" customWidth="1"/>
    <col min="116" max="116" width="30" style="187" bestFit="1" customWidth="1"/>
    <col min="117" max="117" width="27.140625" style="187" bestFit="1" customWidth="1"/>
    <col min="118" max="118" width="24.42578125" style="187" bestFit="1" customWidth="1"/>
    <col min="119" max="119" width="27.140625" style="187" bestFit="1" customWidth="1"/>
    <col min="120" max="120" width="26.42578125" style="187" bestFit="1" customWidth="1"/>
    <col min="121" max="121" width="27" style="187" bestFit="1" customWidth="1"/>
    <col min="122" max="122" width="27.140625" style="187" bestFit="1" customWidth="1"/>
    <col min="123" max="123" width="30.7109375" style="187" bestFit="1" customWidth="1"/>
    <col min="124" max="124" width="28" style="187" bestFit="1" customWidth="1"/>
    <col min="125" max="125" width="25.42578125" style="187" bestFit="1" customWidth="1"/>
    <col min="126" max="126" width="28" style="187" bestFit="1" customWidth="1"/>
    <col min="127" max="127" width="26.42578125" style="187" bestFit="1" customWidth="1"/>
    <col min="128" max="128" width="27" style="187" bestFit="1" customWidth="1"/>
    <col min="129" max="129" width="28.28515625" style="187" customWidth="1"/>
    <col min="130" max="16384" width="9" style="187"/>
  </cols>
  <sheetData>
    <row r="1" spans="1:129" s="104" customFormat="1">
      <c r="A1" s="220" t="s">
        <v>902</v>
      </c>
      <c r="C1" s="104">
        <v>1</v>
      </c>
      <c r="D1" s="104">
        <v>1</v>
      </c>
      <c r="E1" s="104">
        <v>0</v>
      </c>
      <c r="F1" s="189"/>
      <c r="G1" s="104">
        <v>3</v>
      </c>
      <c r="H1" s="104">
        <v>1</v>
      </c>
      <c r="I1" s="104">
        <v>1</v>
      </c>
      <c r="J1" s="104">
        <v>2</v>
      </c>
      <c r="K1" s="104">
        <v>3</v>
      </c>
      <c r="L1" s="107"/>
      <c r="M1" s="105"/>
      <c r="N1" s="106">
        <f>COUNTIF(N4:N42,"*bucket*")</f>
        <v>5</v>
      </c>
      <c r="O1" s="106">
        <f>COUNTIF(O3:O42,"*bucket*")</f>
        <v>1</v>
      </c>
      <c r="P1" s="106">
        <f>COUNTIF(P3:P42,"*bucket*")</f>
        <v>3</v>
      </c>
      <c r="Q1" s="106">
        <f>COUNTIF(Q3:Q42,"*bucket*")</f>
        <v>0</v>
      </c>
      <c r="R1" s="106">
        <f>COUNTIF(R3:R42,"*bucket*")</f>
        <v>4</v>
      </c>
      <c r="S1" s="107"/>
      <c r="T1" s="106">
        <v>4</v>
      </c>
      <c r="U1" s="106">
        <f t="shared" ref="U1:X1" si="0">COUNTIF(U3:U42,"*bucket*")</f>
        <v>4</v>
      </c>
      <c r="V1" s="106">
        <f>COUNTIF(V3:V42,"*bucket*")</f>
        <v>1</v>
      </c>
      <c r="W1" s="106">
        <v>6</v>
      </c>
      <c r="X1" s="106">
        <f t="shared" si="0"/>
        <v>2</v>
      </c>
      <c r="Y1" s="106">
        <f>COUNTIF(Y3:Y42,"*bucket*")</f>
        <v>5</v>
      </c>
      <c r="Z1" s="107"/>
      <c r="AA1" s="106">
        <f>COUNTIF(AA3:AA42,"*bucket*")</f>
        <v>6</v>
      </c>
      <c r="AB1" s="106">
        <f>COUNTIF(AB3:AB42,"*bucket*")</f>
        <v>5</v>
      </c>
      <c r="AC1" s="106">
        <f>COUNTIF(AC6:AC42,"*bucket*")</f>
        <v>2</v>
      </c>
      <c r="AD1" s="106">
        <f>COUNTIF(AD3:AD42,"*bucket*")</f>
        <v>4</v>
      </c>
      <c r="AE1" s="106">
        <f>COUNTIF(AE3:AE42,"*bucket*")</f>
        <v>3</v>
      </c>
      <c r="AF1" s="106">
        <f>COUNTIF(AF3:AF42,"*bucket*")</f>
        <v>2</v>
      </c>
      <c r="AG1" s="107"/>
      <c r="AH1" s="106">
        <f>COUNTIF(AH3:AH42,"*bucket*")</f>
        <v>3</v>
      </c>
      <c r="AI1" s="106">
        <f>COUNTIF(AI3:AI42,"*bucket*")</f>
        <v>4</v>
      </c>
      <c r="AJ1" s="106">
        <f>COUNTIF(AJ3:AJ42,"*bucket*")</f>
        <v>4</v>
      </c>
      <c r="AK1" s="106">
        <f>COUNTIF(AK3:AK42,"*bucket*")</f>
        <v>2</v>
      </c>
      <c r="AL1" s="106">
        <f>COUNTIF(AL3:AL42,"*bucket*")</f>
        <v>0</v>
      </c>
      <c r="AM1" s="106">
        <f>COUNTIF(AM4:AM42,"*bucket*")</f>
        <v>0</v>
      </c>
      <c r="AN1" s="107"/>
      <c r="AO1" s="106">
        <f>COUNTIF(AO3:AO41,"*bucket*")</f>
        <v>4</v>
      </c>
      <c r="AP1" s="106">
        <f>COUNTIF(AP5:AP42,"*bucket*")</f>
        <v>2</v>
      </c>
      <c r="AQ1" s="106">
        <f>COUNTIF(AQ3:AQ42,"*bucket*")</f>
        <v>4</v>
      </c>
      <c r="AR1" s="106">
        <f>COUNTIF(AR12:AR42,"*bucket*")</f>
        <v>0</v>
      </c>
      <c r="AS1" s="106">
        <f>COUNTIF(AS3:AS42,"*bucket*")</f>
        <v>3</v>
      </c>
      <c r="AT1" s="106">
        <f>COUNTIF(AT3:AT42,"*bucket*")</f>
        <v>5</v>
      </c>
      <c r="AU1" s="107"/>
      <c r="AV1" s="106">
        <f>COUNTIF(AV3:AV42,"*bucket*")</f>
        <v>6</v>
      </c>
      <c r="AW1" s="106">
        <f t="shared" ref="AW1:BA1" si="1">COUNTIF(AW3:AW42,"*bucket*")</f>
        <v>1</v>
      </c>
      <c r="AX1" s="106">
        <f t="shared" si="1"/>
        <v>1</v>
      </c>
      <c r="AY1" s="106">
        <f t="shared" si="1"/>
        <v>0</v>
      </c>
      <c r="AZ1" s="106">
        <f t="shared" si="1"/>
        <v>0</v>
      </c>
      <c r="BA1" s="106">
        <f t="shared" si="1"/>
        <v>0</v>
      </c>
      <c r="BB1" s="107"/>
      <c r="BC1" s="106">
        <f t="shared" ref="BC1:BH1" si="2">COUNTIF(BC3:BC42,"*bucket*")</f>
        <v>0</v>
      </c>
      <c r="BD1" s="106">
        <f t="shared" si="2"/>
        <v>0</v>
      </c>
      <c r="BE1" s="106">
        <f t="shared" si="2"/>
        <v>0</v>
      </c>
      <c r="BF1" s="106">
        <f t="shared" si="2"/>
        <v>0</v>
      </c>
      <c r="BG1" s="106">
        <f t="shared" si="2"/>
        <v>0</v>
      </c>
      <c r="BH1" s="106">
        <f t="shared" si="2"/>
        <v>0</v>
      </c>
      <c r="BI1" s="107"/>
      <c r="BJ1" s="106">
        <f>COUNTIF(BJ3:BJ42,"*bucket*")</f>
        <v>0</v>
      </c>
      <c r="BK1" s="106">
        <f>COUNTIF(BK3:BK42,"*bucket*")</f>
        <v>0</v>
      </c>
      <c r="BL1" s="106">
        <f>COUNTIF(BL4:BL42,"*bucket*")</f>
        <v>0</v>
      </c>
      <c r="BM1" s="106">
        <f>COUNTIF(BM5:BM42,"*bucket*")</f>
        <v>0</v>
      </c>
      <c r="BN1" s="106">
        <f>COUNTIF(BN3:BN42,"*bucket*")</f>
        <v>0</v>
      </c>
      <c r="BO1" s="106">
        <f>COUNTIF(BO3:BO42,"*bucket*")</f>
        <v>0</v>
      </c>
      <c r="BP1" s="107"/>
      <c r="BQ1" s="106">
        <f t="shared" ref="BQ1:BV1" si="3">COUNTIF(BQ3:BQ42,"*bucket*")</f>
        <v>0</v>
      </c>
      <c r="BR1" s="106">
        <f t="shared" si="3"/>
        <v>0</v>
      </c>
      <c r="BS1" s="106">
        <f t="shared" si="3"/>
        <v>0</v>
      </c>
      <c r="BT1" s="106">
        <f t="shared" si="3"/>
        <v>0</v>
      </c>
      <c r="BU1" s="106">
        <f t="shared" si="3"/>
        <v>0</v>
      </c>
      <c r="BV1" s="106">
        <f t="shared" si="3"/>
        <v>0</v>
      </c>
      <c r="BW1" s="107"/>
      <c r="BX1" s="106">
        <f t="shared" ref="BX1:CC1" si="4">COUNTIF(BX3:BX42,"*bucket*")</f>
        <v>0</v>
      </c>
      <c r="BY1" s="106">
        <f t="shared" si="4"/>
        <v>0</v>
      </c>
      <c r="BZ1" s="106">
        <f t="shared" si="4"/>
        <v>0</v>
      </c>
      <c r="CA1" s="106">
        <f t="shared" si="4"/>
        <v>0</v>
      </c>
      <c r="CB1" s="106">
        <f t="shared" si="4"/>
        <v>0</v>
      </c>
      <c r="CC1" s="106">
        <f t="shared" si="4"/>
        <v>0</v>
      </c>
      <c r="CD1" s="107"/>
      <c r="CE1" s="106">
        <f t="shared" ref="CE1:CJ1" si="5">COUNTIF(CE3:CE42,"*bucket*")</f>
        <v>0</v>
      </c>
      <c r="CF1" s="106">
        <f t="shared" si="5"/>
        <v>0</v>
      </c>
      <c r="CG1" s="106">
        <f t="shared" si="5"/>
        <v>0</v>
      </c>
      <c r="CH1" s="106">
        <f t="shared" si="5"/>
        <v>0</v>
      </c>
      <c r="CI1" s="106">
        <f t="shared" si="5"/>
        <v>0</v>
      </c>
      <c r="CJ1" s="106">
        <f t="shared" si="5"/>
        <v>0</v>
      </c>
      <c r="CK1" s="107"/>
      <c r="CL1" s="106">
        <f t="shared" ref="CL1:CQ1" si="6">COUNTIF(CL3:CL42,"*bucket*")</f>
        <v>0</v>
      </c>
      <c r="CM1" s="106">
        <f t="shared" si="6"/>
        <v>0</v>
      </c>
      <c r="CN1" s="106">
        <f t="shared" si="6"/>
        <v>0</v>
      </c>
      <c r="CO1" s="106">
        <f t="shared" si="6"/>
        <v>0</v>
      </c>
      <c r="CP1" s="106">
        <f t="shared" si="6"/>
        <v>0</v>
      </c>
      <c r="CQ1" s="106">
        <f t="shared" si="6"/>
        <v>0</v>
      </c>
      <c r="CR1" s="107"/>
      <c r="CS1" s="106">
        <f t="shared" ref="CS1:CX1" si="7">COUNTIF(CS3:CS42,"*bucket*")</f>
        <v>0</v>
      </c>
      <c r="CT1" s="106">
        <f t="shared" si="7"/>
        <v>0</v>
      </c>
      <c r="CU1" s="106">
        <f t="shared" si="7"/>
        <v>0</v>
      </c>
      <c r="CV1" s="106">
        <f t="shared" si="7"/>
        <v>0</v>
      </c>
      <c r="CW1" s="106">
        <f t="shared" si="7"/>
        <v>0</v>
      </c>
      <c r="CX1" s="106">
        <f t="shared" si="7"/>
        <v>0</v>
      </c>
      <c r="CY1" s="189"/>
    </row>
    <row r="2" spans="1:129" s="112" customFormat="1">
      <c r="A2" s="109" t="s">
        <v>903</v>
      </c>
      <c r="B2" s="110">
        <v>46210</v>
      </c>
      <c r="C2" s="110">
        <v>46211</v>
      </c>
      <c r="D2" s="110">
        <v>46212</v>
      </c>
      <c r="E2" s="110">
        <v>46213</v>
      </c>
      <c r="F2" s="190"/>
      <c r="G2" s="110">
        <v>46216</v>
      </c>
      <c r="H2" s="110">
        <v>46217</v>
      </c>
      <c r="I2" s="110">
        <v>46218</v>
      </c>
      <c r="J2" s="110">
        <v>46219</v>
      </c>
      <c r="K2" s="110">
        <v>46220</v>
      </c>
      <c r="L2" s="111"/>
      <c r="M2" s="110">
        <v>46223</v>
      </c>
      <c r="N2" s="110">
        <v>46224</v>
      </c>
      <c r="O2" s="110">
        <v>46225</v>
      </c>
      <c r="P2" s="110">
        <v>46226</v>
      </c>
      <c r="Q2" s="110">
        <v>46227</v>
      </c>
      <c r="R2" s="110">
        <v>46228</v>
      </c>
      <c r="S2" s="111"/>
      <c r="T2" s="110">
        <v>46230</v>
      </c>
      <c r="U2" s="110">
        <v>46231</v>
      </c>
      <c r="V2" s="110">
        <v>46232</v>
      </c>
      <c r="W2" s="110">
        <v>46233</v>
      </c>
      <c r="X2" s="110">
        <v>46234</v>
      </c>
      <c r="Y2" s="110">
        <v>46235</v>
      </c>
      <c r="Z2" s="111"/>
      <c r="AA2" s="110">
        <v>46237</v>
      </c>
      <c r="AB2" s="110">
        <v>46238</v>
      </c>
      <c r="AC2" s="110">
        <v>46239</v>
      </c>
      <c r="AD2" s="110">
        <v>46240</v>
      </c>
      <c r="AE2" s="110">
        <v>46241</v>
      </c>
      <c r="AF2" s="110">
        <v>46242</v>
      </c>
      <c r="AG2" s="111"/>
      <c r="AH2" s="110">
        <v>46244</v>
      </c>
      <c r="AI2" s="110">
        <v>46245</v>
      </c>
      <c r="AJ2" s="110">
        <v>46246</v>
      </c>
      <c r="AK2" s="110">
        <v>46247</v>
      </c>
      <c r="AL2" s="110">
        <v>46248</v>
      </c>
      <c r="AM2" s="110">
        <v>46249</v>
      </c>
      <c r="AN2" s="111"/>
      <c r="AO2" s="110">
        <v>46251</v>
      </c>
      <c r="AP2" s="110">
        <v>46252</v>
      </c>
      <c r="AQ2" s="110">
        <v>46253</v>
      </c>
      <c r="AR2" s="110">
        <v>46254</v>
      </c>
      <c r="AS2" s="110">
        <v>46255</v>
      </c>
      <c r="AT2" s="110">
        <v>46256</v>
      </c>
      <c r="AU2" s="111"/>
      <c r="AV2" s="110">
        <v>46258</v>
      </c>
      <c r="AW2" s="110">
        <v>46259</v>
      </c>
      <c r="AX2" s="110">
        <v>46260</v>
      </c>
      <c r="AY2" s="110">
        <v>46261</v>
      </c>
      <c r="AZ2" s="110">
        <v>46262</v>
      </c>
      <c r="BA2" s="110">
        <v>46263</v>
      </c>
      <c r="BB2" s="111"/>
      <c r="BC2" s="110">
        <v>46265</v>
      </c>
      <c r="BD2" s="110">
        <v>46266</v>
      </c>
      <c r="BE2" s="110">
        <v>46267</v>
      </c>
      <c r="BF2" s="110">
        <v>46268</v>
      </c>
      <c r="BG2" s="110">
        <v>46269</v>
      </c>
      <c r="BH2" s="110">
        <v>46270</v>
      </c>
      <c r="BI2" s="111"/>
      <c r="BJ2" s="110">
        <v>46272</v>
      </c>
      <c r="BK2" s="110">
        <v>46273</v>
      </c>
      <c r="BL2" s="110">
        <v>46274</v>
      </c>
      <c r="BM2" s="110">
        <v>46275</v>
      </c>
      <c r="BN2" s="110">
        <v>46276</v>
      </c>
      <c r="BO2" s="110">
        <v>46277</v>
      </c>
      <c r="BP2" s="111"/>
      <c r="BQ2" s="110">
        <v>46279</v>
      </c>
      <c r="BR2" s="110">
        <v>46280</v>
      </c>
      <c r="BS2" s="110">
        <v>46281</v>
      </c>
      <c r="BT2" s="110">
        <v>46282</v>
      </c>
      <c r="BU2" s="110">
        <v>46283</v>
      </c>
      <c r="BV2" s="110">
        <v>46284</v>
      </c>
      <c r="BW2" s="111"/>
      <c r="BX2" s="110">
        <v>46286</v>
      </c>
      <c r="BY2" s="110">
        <v>46287</v>
      </c>
      <c r="BZ2" s="110">
        <v>46288</v>
      </c>
      <c r="CA2" s="110">
        <v>46289</v>
      </c>
      <c r="CB2" s="110">
        <v>46290</v>
      </c>
      <c r="CC2" s="110">
        <v>46291</v>
      </c>
      <c r="CD2" s="111"/>
      <c r="CE2" s="110">
        <v>46293</v>
      </c>
      <c r="CF2" s="110">
        <v>46294</v>
      </c>
      <c r="CG2" s="110">
        <v>46295</v>
      </c>
      <c r="CH2" s="110">
        <v>46296</v>
      </c>
      <c r="CI2" s="110">
        <v>46297</v>
      </c>
      <c r="CJ2" s="110">
        <v>46298</v>
      </c>
      <c r="CK2" s="111"/>
      <c r="CL2" s="110">
        <v>46300</v>
      </c>
      <c r="CM2" s="110">
        <v>46301</v>
      </c>
      <c r="CN2" s="110">
        <v>46302</v>
      </c>
      <c r="CO2" s="110">
        <v>46303</v>
      </c>
      <c r="CP2" s="110">
        <v>46304</v>
      </c>
      <c r="CQ2" s="110">
        <v>46305</v>
      </c>
      <c r="CR2" s="111"/>
      <c r="CS2" s="110">
        <v>46307</v>
      </c>
      <c r="CT2" s="110">
        <v>46308</v>
      </c>
      <c r="CU2" s="110">
        <v>46309</v>
      </c>
      <c r="CV2" s="110">
        <v>46310</v>
      </c>
      <c r="CW2" s="110">
        <v>46311</v>
      </c>
      <c r="CX2" s="110">
        <v>46312</v>
      </c>
      <c r="CY2" s="111"/>
      <c r="CZ2" s="110">
        <v>46314</v>
      </c>
      <c r="DA2" s="110">
        <v>46315</v>
      </c>
      <c r="DB2" s="110">
        <v>46316</v>
      </c>
      <c r="DC2" s="110">
        <v>46317</v>
      </c>
      <c r="DD2" s="110">
        <v>46318</v>
      </c>
      <c r="DE2" s="110">
        <v>46319</v>
      </c>
      <c r="DF2" s="110">
        <v>46320</v>
      </c>
      <c r="DG2" s="110">
        <v>46321</v>
      </c>
      <c r="DH2" s="110">
        <v>46322</v>
      </c>
      <c r="DI2" s="110">
        <v>46323</v>
      </c>
      <c r="DJ2" s="110">
        <v>46324</v>
      </c>
      <c r="DK2" s="110">
        <v>46325</v>
      </c>
      <c r="DL2" s="110">
        <v>46326</v>
      </c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</row>
    <row r="3" spans="1:129" s="114" customFormat="1">
      <c r="A3" s="304" t="s">
        <v>904</v>
      </c>
      <c r="B3" s="210" t="s">
        <v>905</v>
      </c>
      <c r="C3" s="192" t="s">
        <v>906</v>
      </c>
      <c r="D3" s="114" t="s">
        <v>907</v>
      </c>
      <c r="E3" s="192" t="s">
        <v>908</v>
      </c>
      <c r="F3" s="194"/>
      <c r="G3" s="124" t="s">
        <v>909</v>
      </c>
      <c r="H3" s="113" t="s">
        <v>910</v>
      </c>
      <c r="I3" s="114" t="s">
        <v>911</v>
      </c>
      <c r="J3" s="114" t="s">
        <v>912</v>
      </c>
      <c r="K3" s="124" t="s">
        <v>913</v>
      </c>
      <c r="L3" s="115"/>
      <c r="M3" s="121" t="s">
        <v>914</v>
      </c>
      <c r="N3" s="134"/>
      <c r="O3" s="114" t="s">
        <v>915</v>
      </c>
      <c r="P3" s="114" t="s">
        <v>916</v>
      </c>
      <c r="Q3" s="114" t="s">
        <v>917</v>
      </c>
      <c r="R3" s="121" t="s">
        <v>918</v>
      </c>
      <c r="S3" s="115"/>
      <c r="T3" s="124" t="s">
        <v>919</v>
      </c>
      <c r="U3" s="114" t="s">
        <v>920</v>
      </c>
      <c r="V3" s="114" t="s">
        <v>916</v>
      </c>
      <c r="W3" s="114" t="s">
        <v>921</v>
      </c>
      <c r="X3" s="114" t="s">
        <v>908</v>
      </c>
      <c r="Y3" s="124" t="s">
        <v>922</v>
      </c>
      <c r="Z3" s="115"/>
      <c r="AA3" s="119" t="s">
        <v>923</v>
      </c>
      <c r="AB3" s="114" t="s">
        <v>924</v>
      </c>
      <c r="AC3" s="125" t="s">
        <v>925</v>
      </c>
      <c r="AD3" s="134" t="s">
        <v>926</v>
      </c>
      <c r="AE3" s="119" t="s">
        <v>908</v>
      </c>
      <c r="AF3" s="138" t="s">
        <v>927</v>
      </c>
      <c r="AG3" s="115"/>
      <c r="AH3" s="134" t="s">
        <v>928</v>
      </c>
      <c r="AI3" s="123" t="s">
        <v>929</v>
      </c>
      <c r="AJ3" s="120" t="s">
        <v>930</v>
      </c>
      <c r="AK3" s="116" t="s">
        <v>931</v>
      </c>
      <c r="AL3" s="116" t="s">
        <v>932</v>
      </c>
      <c r="AM3" s="116" t="s">
        <v>933</v>
      </c>
      <c r="AN3" s="115"/>
      <c r="AO3" s="124" t="s">
        <v>934</v>
      </c>
      <c r="AP3" s="121" t="s">
        <v>935</v>
      </c>
      <c r="AQ3" s="288" t="s">
        <v>210</v>
      </c>
      <c r="AS3" s="114" t="s">
        <v>936</v>
      </c>
      <c r="AT3" s="121" t="s">
        <v>937</v>
      </c>
      <c r="AU3" s="115"/>
      <c r="AV3" s="114" t="s">
        <v>938</v>
      </c>
      <c r="AW3" s="302" t="s">
        <v>939</v>
      </c>
      <c r="AX3" s="120" t="s">
        <v>210</v>
      </c>
      <c r="AY3" s="122" t="s">
        <v>940</v>
      </c>
      <c r="AZ3" s="123"/>
      <c r="BB3" s="115"/>
      <c r="BC3" s="117"/>
      <c r="BD3" s="119"/>
      <c r="BE3" s="123"/>
      <c r="BF3" s="123"/>
      <c r="BG3" s="123"/>
      <c r="BH3" s="124"/>
      <c r="BI3" s="115"/>
      <c r="BJ3" s="125"/>
      <c r="BK3" s="126"/>
      <c r="BL3" s="123"/>
      <c r="BM3" s="127"/>
      <c r="BN3" s="123"/>
      <c r="BO3" s="123"/>
      <c r="BP3" s="128"/>
      <c r="BQ3" s="123"/>
      <c r="BR3" s="129"/>
      <c r="BS3" s="123"/>
      <c r="BU3" s="127"/>
      <c r="BV3" s="130"/>
      <c r="BW3" s="128"/>
      <c r="BX3" s="120"/>
      <c r="BY3" s="124"/>
      <c r="BZ3" s="131"/>
      <c r="CA3" s="127"/>
      <c r="CC3" s="131"/>
      <c r="CD3" s="128"/>
      <c r="CE3" s="131"/>
      <c r="CF3" s="123"/>
      <c r="CG3" s="123"/>
      <c r="CH3" s="132"/>
      <c r="CI3" s="131"/>
      <c r="CJ3" s="131"/>
      <c r="CK3" s="128"/>
      <c r="CL3" s="123"/>
      <c r="CM3" s="120"/>
      <c r="CN3" s="123"/>
      <c r="CO3" s="120"/>
      <c r="CP3" s="120"/>
      <c r="CQ3" s="120"/>
      <c r="CR3" s="128"/>
      <c r="CS3" s="120"/>
      <c r="CT3" s="123"/>
      <c r="CU3" s="120"/>
      <c r="CV3" s="123"/>
      <c r="CW3" s="123"/>
      <c r="CX3" s="120"/>
      <c r="CY3" s="115"/>
    </row>
    <row r="4" spans="1:129" s="125" customFormat="1">
      <c r="A4" s="305"/>
      <c r="B4" s="210" t="s">
        <v>941</v>
      </c>
      <c r="C4" s="216" t="s">
        <v>942</v>
      </c>
      <c r="D4" s="125" t="s">
        <v>943</v>
      </c>
      <c r="E4" s="193"/>
      <c r="F4" s="194"/>
      <c r="G4" s="124" t="s">
        <v>944</v>
      </c>
      <c r="H4" s="133" t="s">
        <v>908</v>
      </c>
      <c r="I4" s="125" t="s">
        <v>945</v>
      </c>
      <c r="J4" s="125" t="s">
        <v>916</v>
      </c>
      <c r="K4" s="124" t="s">
        <v>946</v>
      </c>
      <c r="L4" s="135"/>
      <c r="M4" s="192" t="s">
        <v>947</v>
      </c>
      <c r="N4" s="124" t="s">
        <v>948</v>
      </c>
      <c r="O4" s="125" t="s">
        <v>949</v>
      </c>
      <c r="P4" s="125" t="s">
        <v>950</v>
      </c>
      <c r="Q4" s="125" t="s">
        <v>945</v>
      </c>
      <c r="S4" s="135"/>
      <c r="T4" s="138" t="s">
        <v>951</v>
      </c>
      <c r="U4" s="124" t="s">
        <v>952</v>
      </c>
      <c r="V4" s="125" t="s">
        <v>950</v>
      </c>
      <c r="W4" s="124" t="s">
        <v>953</v>
      </c>
      <c r="X4" s="125" t="s">
        <v>954</v>
      </c>
      <c r="Y4" s="124" t="s">
        <v>955</v>
      </c>
      <c r="Z4" s="135"/>
      <c r="AA4" s="131" t="s">
        <v>908</v>
      </c>
      <c r="AB4" s="144" t="s">
        <v>956</v>
      </c>
      <c r="AC4" s="125" t="s">
        <v>957</v>
      </c>
      <c r="AD4" s="134" t="s">
        <v>958</v>
      </c>
      <c r="AE4" s="124" t="s">
        <v>959</v>
      </c>
      <c r="AF4" s="125" t="s">
        <v>960</v>
      </c>
      <c r="AG4" s="135"/>
      <c r="AH4" s="134" t="s">
        <v>961</v>
      </c>
      <c r="AI4" s="124" t="s">
        <v>962</v>
      </c>
      <c r="AJ4" s="124" t="s">
        <v>963</v>
      </c>
      <c r="AK4" s="125" t="s">
        <v>964</v>
      </c>
      <c r="AL4" s="138" t="s">
        <v>965</v>
      </c>
      <c r="AM4" s="125" t="s">
        <v>966</v>
      </c>
      <c r="AN4" s="135"/>
      <c r="AO4" s="124" t="s">
        <v>967</v>
      </c>
      <c r="AP4" s="114" t="s">
        <v>440</v>
      </c>
      <c r="AQ4" s="143" t="s">
        <v>968</v>
      </c>
      <c r="AR4" s="138" t="s">
        <v>969</v>
      </c>
      <c r="AS4" s="125" t="s">
        <v>970</v>
      </c>
      <c r="AT4" s="125" t="s">
        <v>971</v>
      </c>
      <c r="AU4" s="135"/>
      <c r="AV4" s="131" t="s">
        <v>972</v>
      </c>
      <c r="AW4" s="125" t="s">
        <v>973</v>
      </c>
      <c r="AX4" s="125" t="s">
        <v>974</v>
      </c>
      <c r="AY4" s="125" t="s">
        <v>931</v>
      </c>
      <c r="AZ4" s="131"/>
      <c r="BB4" s="135"/>
      <c r="BE4" s="124"/>
      <c r="BF4" s="126"/>
      <c r="BH4" s="116"/>
      <c r="BI4" s="135"/>
      <c r="BK4" s="131"/>
      <c r="BL4" s="124"/>
      <c r="BM4" s="141"/>
      <c r="BN4" s="124"/>
      <c r="BO4" s="131"/>
      <c r="BP4" s="108"/>
      <c r="BQ4" s="131"/>
      <c r="BR4" s="131"/>
      <c r="BS4" s="131"/>
      <c r="BU4" s="127"/>
      <c r="BV4" s="134"/>
      <c r="BW4" s="108"/>
      <c r="BX4" s="131"/>
      <c r="BY4" s="124"/>
      <c r="BZ4" s="131"/>
      <c r="CA4" s="127"/>
      <c r="CB4" s="131"/>
      <c r="CC4" s="131"/>
      <c r="CD4" s="108"/>
      <c r="CE4" s="131"/>
      <c r="CF4" s="131"/>
      <c r="CG4" s="131"/>
      <c r="CH4" s="131"/>
      <c r="CI4" s="131"/>
      <c r="CJ4" s="131"/>
      <c r="CK4" s="108"/>
      <c r="CL4" s="123"/>
      <c r="CM4" s="126"/>
      <c r="CN4" s="131"/>
      <c r="CO4" s="131"/>
      <c r="CP4" s="131"/>
      <c r="CQ4" s="131"/>
      <c r="CR4" s="108"/>
      <c r="CS4" s="131"/>
      <c r="CT4" s="131"/>
      <c r="CU4" s="131"/>
      <c r="CV4" s="131"/>
      <c r="CW4" s="131"/>
      <c r="CX4" s="131"/>
      <c r="CY4" s="135"/>
    </row>
    <row r="5" spans="1:129" s="125" customFormat="1">
      <c r="A5" s="305"/>
      <c r="B5" s="210" t="s">
        <v>975</v>
      </c>
      <c r="C5" s="192" t="s">
        <v>976</v>
      </c>
      <c r="D5" s="215" t="s">
        <v>977</v>
      </c>
      <c r="E5" s="192"/>
      <c r="F5" s="194"/>
      <c r="G5" s="124" t="s">
        <v>978</v>
      </c>
      <c r="H5" s="124" t="s">
        <v>979</v>
      </c>
      <c r="I5" s="125" t="s">
        <v>980</v>
      </c>
      <c r="J5" s="125" t="s">
        <v>981</v>
      </c>
      <c r="K5" s="125" t="s">
        <v>982</v>
      </c>
      <c r="L5" s="135"/>
      <c r="M5" s="125" t="s">
        <v>945</v>
      </c>
      <c r="N5" s="124" t="s">
        <v>983</v>
      </c>
      <c r="O5" s="125" t="s">
        <v>984</v>
      </c>
      <c r="P5" s="243" t="s">
        <v>985</v>
      </c>
      <c r="Q5" s="125" t="s">
        <v>986</v>
      </c>
      <c r="S5" s="135"/>
      <c r="T5" s="131" t="s">
        <v>987</v>
      </c>
      <c r="U5" s="125" t="s">
        <v>988</v>
      </c>
      <c r="V5" s="137" t="s">
        <v>989</v>
      </c>
      <c r="W5" s="124" t="s">
        <v>990</v>
      </c>
      <c r="X5" s="125" t="s">
        <v>991</v>
      </c>
      <c r="Y5" s="124" t="s">
        <v>992</v>
      </c>
      <c r="Z5" s="135"/>
      <c r="AA5" s="140" t="s">
        <v>910</v>
      </c>
      <c r="AB5" s="140" t="s">
        <v>993</v>
      </c>
      <c r="AC5" s="124" t="s">
        <v>994</v>
      </c>
      <c r="AD5" s="124" t="s">
        <v>995</v>
      </c>
      <c r="AE5" s="124" t="s">
        <v>996</v>
      </c>
      <c r="AF5" s="124" t="s">
        <v>997</v>
      </c>
      <c r="AG5" s="135"/>
      <c r="AH5" s="134" t="s">
        <v>998</v>
      </c>
      <c r="AI5" s="125" t="s">
        <v>999</v>
      </c>
      <c r="AJ5" s="125" t="s">
        <v>1000</v>
      </c>
      <c r="AK5" s="125" t="s">
        <v>1001</v>
      </c>
      <c r="AL5" s="125" t="s">
        <v>936</v>
      </c>
      <c r="AM5" s="125" t="s">
        <v>970</v>
      </c>
      <c r="AN5" s="135"/>
      <c r="AO5" s="125" t="s">
        <v>1002</v>
      </c>
      <c r="AP5" s="140" t="s">
        <v>445</v>
      </c>
      <c r="AQ5" s="140" t="s">
        <v>1003</v>
      </c>
      <c r="AR5" s="116" t="s">
        <v>931</v>
      </c>
      <c r="AS5" s="125" t="s">
        <v>1004</v>
      </c>
      <c r="AU5" s="135"/>
      <c r="AV5" s="125" t="s">
        <v>1005</v>
      </c>
      <c r="AW5" s="138" t="s">
        <v>1006</v>
      </c>
      <c r="AX5" s="125" t="s">
        <v>1007</v>
      </c>
      <c r="AY5" s="125" t="s">
        <v>1008</v>
      </c>
      <c r="AZ5" s="120"/>
      <c r="BB5" s="135"/>
      <c r="BC5" s="131"/>
      <c r="BE5" s="143"/>
      <c r="BF5" s="144"/>
      <c r="BG5" s="124"/>
      <c r="BI5" s="135"/>
      <c r="BL5" s="124"/>
      <c r="BM5" s="131"/>
      <c r="BN5" s="124"/>
      <c r="BO5" s="131"/>
      <c r="BP5" s="108"/>
      <c r="BQ5" s="131"/>
      <c r="BR5" s="131"/>
      <c r="BS5" s="124"/>
      <c r="BU5" s="131"/>
      <c r="BV5" s="144"/>
      <c r="BW5" s="108"/>
      <c r="BX5" s="131"/>
      <c r="BY5" s="131"/>
      <c r="BZ5" s="131"/>
      <c r="CA5" s="127"/>
      <c r="CB5" s="131"/>
      <c r="CC5" s="131"/>
      <c r="CD5" s="108"/>
      <c r="CE5" s="131"/>
      <c r="CF5" s="131"/>
      <c r="CG5" s="131"/>
      <c r="CH5" s="131"/>
      <c r="CI5" s="131"/>
      <c r="CJ5" s="131"/>
      <c r="CK5" s="108"/>
      <c r="CL5" s="131"/>
      <c r="CM5" s="131"/>
      <c r="CN5" s="131"/>
      <c r="CO5" s="131"/>
      <c r="CP5" s="131"/>
      <c r="CQ5" s="131"/>
      <c r="CR5" s="108"/>
      <c r="CS5" s="131"/>
      <c r="CT5" s="131"/>
      <c r="CU5" s="126"/>
      <c r="CV5" s="131"/>
      <c r="CW5" s="131"/>
      <c r="CX5" s="131"/>
      <c r="CY5" s="135"/>
    </row>
    <row r="6" spans="1:129" s="125" customFormat="1">
      <c r="A6" s="305"/>
      <c r="B6" s="210" t="s">
        <v>1009</v>
      </c>
      <c r="C6" s="192" t="s">
        <v>1010</v>
      </c>
      <c r="E6" s="192"/>
      <c r="F6" s="194"/>
      <c r="G6" s="125" t="s">
        <v>1011</v>
      </c>
      <c r="H6" s="125" t="s">
        <v>1012</v>
      </c>
      <c r="I6" s="125" t="s">
        <v>1013</v>
      </c>
      <c r="J6" s="125" t="s">
        <v>1014</v>
      </c>
      <c r="L6" s="135"/>
      <c r="M6" s="125" t="s">
        <v>920</v>
      </c>
      <c r="N6" s="125" t="s">
        <v>1015</v>
      </c>
      <c r="O6" s="125" t="s">
        <v>1016</v>
      </c>
      <c r="P6" s="114" t="s">
        <v>954</v>
      </c>
      <c r="Q6" s="116" t="s">
        <v>1017</v>
      </c>
      <c r="S6" s="135"/>
      <c r="T6" s="125" t="s">
        <v>1018</v>
      </c>
      <c r="U6" s="134" t="s">
        <v>947</v>
      </c>
      <c r="W6" s="124" t="s">
        <v>1019</v>
      </c>
      <c r="X6" s="125" t="s">
        <v>981</v>
      </c>
      <c r="Y6" s="124" t="s">
        <v>1020</v>
      </c>
      <c r="Z6" s="135"/>
      <c r="AA6" s="124" t="s">
        <v>1021</v>
      </c>
      <c r="AB6" s="124" t="s">
        <v>1022</v>
      </c>
      <c r="AD6" s="124" t="s">
        <v>1023</v>
      </c>
      <c r="AE6" s="131" t="s">
        <v>931</v>
      </c>
      <c r="AG6" s="135"/>
      <c r="AH6" s="134" t="s">
        <v>440</v>
      </c>
      <c r="AI6" s="114"/>
      <c r="AJ6" s="125" t="s">
        <v>1024</v>
      </c>
      <c r="AK6" s="125" t="s">
        <v>1025</v>
      </c>
      <c r="AL6" s="125" t="s">
        <v>1026</v>
      </c>
      <c r="AN6" s="135"/>
      <c r="AO6" s="131" t="s">
        <v>972</v>
      </c>
      <c r="AP6" s="125" t="s">
        <v>1027</v>
      </c>
      <c r="AQ6" s="125" t="s">
        <v>1028</v>
      </c>
      <c r="AR6" s="125" t="s">
        <v>964</v>
      </c>
      <c r="AS6" s="303" t="s">
        <v>930</v>
      </c>
      <c r="AU6" s="135"/>
      <c r="AV6" s="125" t="s">
        <v>1029</v>
      </c>
      <c r="AW6" s="125" t="s">
        <v>1030</v>
      </c>
      <c r="AX6" s="125" t="s">
        <v>1031</v>
      </c>
      <c r="AY6" s="125" t="s">
        <v>1032</v>
      </c>
      <c r="AZ6" s="131"/>
      <c r="BB6" s="135"/>
      <c r="BD6" s="124"/>
      <c r="BF6" s="131"/>
      <c r="BG6" s="124"/>
      <c r="BH6" s="131"/>
      <c r="BI6" s="135"/>
      <c r="BK6" s="124"/>
      <c r="BL6" s="123"/>
      <c r="BM6" s="131"/>
      <c r="BN6" s="131"/>
      <c r="BO6" s="131"/>
      <c r="BP6" s="108"/>
      <c r="BQ6" s="131"/>
      <c r="BR6" s="126"/>
      <c r="BS6" s="131"/>
      <c r="BU6" s="127"/>
      <c r="BW6" s="145"/>
      <c r="BX6" s="131"/>
      <c r="BY6" s="131"/>
      <c r="BZ6" s="131"/>
      <c r="CA6" s="123"/>
      <c r="CB6" s="131"/>
      <c r="CC6" s="131"/>
      <c r="CD6" s="108"/>
      <c r="CE6" s="131"/>
      <c r="CF6" s="131"/>
      <c r="CG6" s="131"/>
      <c r="CH6" s="131"/>
      <c r="CI6" s="131"/>
      <c r="CJ6" s="131"/>
      <c r="CK6" s="108"/>
      <c r="CL6" s="131"/>
      <c r="CM6" s="131"/>
      <c r="CN6" s="131"/>
      <c r="CO6" s="131"/>
      <c r="CP6" s="131"/>
      <c r="CQ6" s="131"/>
      <c r="CR6" s="108"/>
      <c r="CS6" s="131"/>
      <c r="CT6" s="131"/>
      <c r="CU6" s="131"/>
      <c r="CV6" s="131"/>
      <c r="CW6" s="131"/>
      <c r="CX6" s="131"/>
      <c r="CY6" s="135"/>
    </row>
    <row r="7" spans="1:129" s="125" customFormat="1">
      <c r="A7" s="305"/>
      <c r="B7" s="210"/>
      <c r="C7" s="215"/>
      <c r="E7" s="192"/>
      <c r="F7" s="194"/>
      <c r="G7" s="125" t="s">
        <v>951</v>
      </c>
      <c r="H7" s="125" t="s">
        <v>1015</v>
      </c>
      <c r="I7" s="125" t="s">
        <v>984</v>
      </c>
      <c r="J7" s="125" t="s">
        <v>1033</v>
      </c>
      <c r="L7" s="135"/>
      <c r="M7" s="125" t="s">
        <v>1034</v>
      </c>
      <c r="N7" s="125" t="s">
        <v>1035</v>
      </c>
      <c r="O7" s="131" t="s">
        <v>910</v>
      </c>
      <c r="P7" s="125" t="s">
        <v>991</v>
      </c>
      <c r="Q7" s="125" t="s">
        <v>1014</v>
      </c>
      <c r="S7" s="135"/>
      <c r="T7" s="125" t="s">
        <v>1015</v>
      </c>
      <c r="U7" s="125" t="s">
        <v>1036</v>
      </c>
      <c r="W7" s="124" t="s">
        <v>1037</v>
      </c>
      <c r="X7" s="140" t="s">
        <v>1038</v>
      </c>
      <c r="Z7" s="135"/>
      <c r="AA7" s="124" t="s">
        <v>1039</v>
      </c>
      <c r="AB7" s="124" t="s">
        <v>1040</v>
      </c>
      <c r="AD7" s="125" t="s">
        <v>1041</v>
      </c>
      <c r="AE7" s="125" t="s">
        <v>926</v>
      </c>
      <c r="AG7" s="135"/>
      <c r="AH7" s="134" t="s">
        <v>445</v>
      </c>
      <c r="AI7" s="124" t="s">
        <v>1042</v>
      </c>
      <c r="AJ7" s="138" t="s">
        <v>1043</v>
      </c>
      <c r="AK7" s="125" t="s">
        <v>974</v>
      </c>
      <c r="AL7" s="125" t="s">
        <v>1044</v>
      </c>
      <c r="AN7" s="135"/>
      <c r="AO7" s="125" t="s">
        <v>1045</v>
      </c>
      <c r="AP7" s="125" t="s">
        <v>1046</v>
      </c>
      <c r="AQ7" s="138" t="s">
        <v>1047</v>
      </c>
      <c r="AR7" s="125" t="s">
        <v>1001</v>
      </c>
      <c r="AS7" s="140" t="s">
        <v>968</v>
      </c>
      <c r="AT7" s="146"/>
      <c r="AU7" s="135"/>
      <c r="AV7" s="131" t="s">
        <v>1048</v>
      </c>
      <c r="AW7" s="125" t="s">
        <v>1049</v>
      </c>
      <c r="AY7" s="125" t="s">
        <v>1050</v>
      </c>
      <c r="BB7" s="135"/>
      <c r="BC7" s="124"/>
      <c r="BD7" s="144"/>
      <c r="BE7" s="131"/>
      <c r="BF7" s="131"/>
      <c r="BG7" s="131"/>
      <c r="BH7" s="131"/>
      <c r="BI7" s="135"/>
      <c r="BJ7" s="127"/>
      <c r="BK7" s="124"/>
      <c r="BL7" s="131"/>
      <c r="BM7" s="131"/>
      <c r="BN7" s="131"/>
      <c r="BO7" s="131"/>
      <c r="BP7" s="108"/>
      <c r="BQ7" s="124"/>
      <c r="BR7" s="131"/>
      <c r="BS7" s="131"/>
      <c r="BU7" s="118"/>
      <c r="BW7" s="108"/>
      <c r="BX7" s="147"/>
      <c r="BY7" s="120"/>
      <c r="BZ7" s="131"/>
      <c r="CA7" s="120"/>
      <c r="CB7" s="131"/>
      <c r="CC7" s="131"/>
      <c r="CD7" s="108"/>
      <c r="CE7" s="126"/>
      <c r="CF7" s="131"/>
      <c r="CG7" s="126"/>
      <c r="CH7" s="131"/>
      <c r="CI7" s="131"/>
      <c r="CK7" s="108"/>
      <c r="CL7" s="131"/>
      <c r="CM7" s="131"/>
      <c r="CN7" s="131"/>
      <c r="CO7" s="131"/>
      <c r="CP7" s="131"/>
      <c r="CQ7" s="131"/>
      <c r="CR7" s="108"/>
      <c r="CS7" s="131"/>
      <c r="CT7" s="131"/>
      <c r="CU7" s="131"/>
      <c r="CV7" s="131"/>
      <c r="CW7" s="131"/>
      <c r="CX7" s="131"/>
      <c r="CY7" s="135"/>
    </row>
    <row r="8" spans="1:129" s="125" customFormat="1" ht="30.75">
      <c r="A8" s="305"/>
      <c r="B8" s="210"/>
      <c r="C8" s="192"/>
      <c r="D8" s="193"/>
      <c r="E8" s="192"/>
      <c r="F8" s="194"/>
      <c r="I8" s="124" t="s">
        <v>1051</v>
      </c>
      <c r="J8" s="125" t="s">
        <v>999</v>
      </c>
      <c r="L8" s="135"/>
      <c r="M8" s="138" t="s">
        <v>1018</v>
      </c>
      <c r="N8" s="125" t="s">
        <v>908</v>
      </c>
      <c r="O8" s="125" t="s">
        <v>1052</v>
      </c>
      <c r="P8" s="137" t="s">
        <v>1053</v>
      </c>
      <c r="Q8" s="246"/>
      <c r="S8" s="135"/>
      <c r="T8" s="125" t="s">
        <v>999</v>
      </c>
      <c r="U8" s="124" t="s">
        <v>1054</v>
      </c>
      <c r="W8" s="131" t="s">
        <v>945</v>
      </c>
      <c r="X8" s="124" t="s">
        <v>1055</v>
      </c>
      <c r="Z8" s="135"/>
      <c r="AA8" s="124" t="s">
        <v>1056</v>
      </c>
      <c r="AD8" s="125" t="s">
        <v>1057</v>
      </c>
      <c r="AE8" s="125" t="s">
        <v>958</v>
      </c>
      <c r="AG8" s="135"/>
      <c r="AJ8" s="125" t="s">
        <v>1004</v>
      </c>
      <c r="AK8" s="125" t="s">
        <v>1058</v>
      </c>
      <c r="AL8" s="125" t="s">
        <v>960</v>
      </c>
      <c r="AN8" s="135"/>
      <c r="AO8" s="125" t="s">
        <v>1059</v>
      </c>
      <c r="AP8" s="125" t="s">
        <v>1060</v>
      </c>
      <c r="AQ8" s="124" t="s">
        <v>963</v>
      </c>
      <c r="AR8" s="125" t="s">
        <v>1061</v>
      </c>
      <c r="AS8" s="124" t="s">
        <v>1062</v>
      </c>
      <c r="AT8" s="149"/>
      <c r="AU8" s="150"/>
      <c r="AV8" s="124" t="s">
        <v>1063</v>
      </c>
      <c r="AW8" s="290" t="s">
        <v>1064</v>
      </c>
      <c r="AY8" s="125" t="s">
        <v>1065</v>
      </c>
      <c r="BB8" s="135"/>
      <c r="BC8" s="124"/>
      <c r="BF8" s="131"/>
      <c r="BG8" s="140"/>
      <c r="BH8" s="124"/>
      <c r="BI8" s="135"/>
      <c r="BJ8" s="127"/>
      <c r="BK8" s="131"/>
      <c r="BL8" s="131"/>
      <c r="BM8" s="131"/>
      <c r="BO8" s="131"/>
      <c r="BP8" s="108"/>
      <c r="BQ8" s="124"/>
      <c r="BS8" s="131"/>
      <c r="BW8" s="108"/>
      <c r="BX8" s="131"/>
      <c r="BY8" s="131"/>
      <c r="BZ8" s="131"/>
      <c r="CA8" s="131"/>
      <c r="CB8" s="126"/>
      <c r="CC8" s="131"/>
      <c r="CD8" s="108"/>
      <c r="CE8" s="131"/>
      <c r="CF8" s="131"/>
      <c r="CG8" s="131"/>
      <c r="CH8" s="131"/>
      <c r="CJ8" s="131"/>
      <c r="CK8" s="108"/>
      <c r="CL8" s="131"/>
      <c r="CM8" s="131"/>
      <c r="CN8" s="131"/>
      <c r="CO8" s="131"/>
      <c r="CP8" s="131"/>
      <c r="CQ8" s="131"/>
      <c r="CR8" s="108"/>
      <c r="CS8" s="131"/>
      <c r="CT8" s="131"/>
      <c r="CU8" s="131"/>
      <c r="CV8" s="131"/>
      <c r="CW8" s="131"/>
      <c r="CX8" s="131"/>
      <c r="CY8" s="135"/>
    </row>
    <row r="9" spans="1:129" s="125" customFormat="1">
      <c r="A9" s="305"/>
      <c r="B9" s="210"/>
      <c r="C9" s="192"/>
      <c r="D9" s="193"/>
      <c r="E9" s="192"/>
      <c r="F9" s="194"/>
      <c r="I9" s="125" t="s">
        <v>1066</v>
      </c>
      <c r="J9" s="124" t="s">
        <v>1067</v>
      </c>
      <c r="L9" s="135"/>
      <c r="M9" s="125" t="s">
        <v>1068</v>
      </c>
      <c r="O9" s="124"/>
      <c r="P9" s="125" t="s">
        <v>1069</v>
      </c>
      <c r="S9" s="135"/>
      <c r="T9" s="116" t="s">
        <v>910</v>
      </c>
      <c r="V9" s="127"/>
      <c r="X9" s="124" t="s">
        <v>1070</v>
      </c>
      <c r="Z9" s="135"/>
      <c r="AA9" s="125" t="s">
        <v>1071</v>
      </c>
      <c r="AG9" s="135"/>
      <c r="AH9" s="125" t="s">
        <v>1072</v>
      </c>
      <c r="AI9" s="125" t="s">
        <v>1073</v>
      </c>
      <c r="AJ9" s="125" t="s">
        <v>998</v>
      </c>
      <c r="AK9" s="125" t="s">
        <v>1074</v>
      </c>
      <c r="AL9" s="125" t="s">
        <v>927</v>
      </c>
      <c r="AN9" s="135"/>
      <c r="AP9" s="131" t="s">
        <v>1075</v>
      </c>
      <c r="AQ9" s="125" t="s">
        <v>1076</v>
      </c>
      <c r="AR9" s="124" t="s">
        <v>1077</v>
      </c>
      <c r="AS9" s="124" t="s">
        <v>1078</v>
      </c>
      <c r="AT9" s="138"/>
      <c r="AU9" s="135"/>
      <c r="AV9" s="124" t="s">
        <v>1079</v>
      </c>
      <c r="AW9" s="148" t="s">
        <v>930</v>
      </c>
      <c r="AZ9" s="131"/>
      <c r="BB9" s="135"/>
      <c r="BF9" s="131"/>
      <c r="BI9" s="135"/>
      <c r="BK9" s="131"/>
      <c r="BL9" s="127"/>
      <c r="BM9" s="131"/>
      <c r="BO9" s="131"/>
      <c r="BP9" s="108"/>
      <c r="BQ9" s="131"/>
      <c r="BR9" s="131"/>
      <c r="BS9" s="131"/>
      <c r="BU9" s="131"/>
      <c r="BW9" s="108"/>
      <c r="BX9" s="131"/>
      <c r="BZ9" s="131"/>
      <c r="CB9" s="126"/>
      <c r="CC9" s="131"/>
      <c r="CD9" s="108"/>
      <c r="CE9" s="131"/>
      <c r="CF9" s="131"/>
      <c r="CG9" s="131"/>
      <c r="CH9" s="131"/>
      <c r="CI9" s="151"/>
      <c r="CJ9" s="151"/>
      <c r="CK9" s="108"/>
      <c r="CL9" s="131"/>
      <c r="CM9" s="131"/>
      <c r="CN9" s="131"/>
      <c r="CO9" s="131"/>
      <c r="CP9" s="131"/>
      <c r="CQ9" s="131"/>
      <c r="CR9" s="108"/>
      <c r="CS9" s="131"/>
      <c r="CT9" s="131"/>
      <c r="CU9" s="131"/>
      <c r="CV9" s="131"/>
      <c r="CW9" s="131"/>
      <c r="CX9" s="131"/>
      <c r="CY9" s="135"/>
    </row>
    <row r="10" spans="1:129" s="125" customFormat="1">
      <c r="A10" s="305"/>
      <c r="B10" s="210"/>
      <c r="C10" s="192"/>
      <c r="D10" s="193"/>
      <c r="E10" s="192"/>
      <c r="F10" s="194"/>
      <c r="I10" s="125" t="s">
        <v>1080</v>
      </c>
      <c r="J10" s="124" t="s">
        <v>1081</v>
      </c>
      <c r="L10" s="135"/>
      <c r="S10" s="135"/>
      <c r="Y10" s="125" t="s">
        <v>927</v>
      </c>
      <c r="Z10" s="135"/>
      <c r="AA10" s="125" t="s">
        <v>1082</v>
      </c>
      <c r="AB10" s="140"/>
      <c r="AC10" s="131"/>
      <c r="AD10" s="124" t="s">
        <v>1083</v>
      </c>
      <c r="AG10" s="135"/>
      <c r="AH10" s="138"/>
      <c r="AI10" s="125" t="s">
        <v>1084</v>
      </c>
      <c r="AJ10" s="125" t="s">
        <v>1085</v>
      </c>
      <c r="AN10" s="135"/>
      <c r="AP10" s="131" t="s">
        <v>1049</v>
      </c>
      <c r="AQ10" s="125" t="s">
        <v>1086</v>
      </c>
      <c r="AR10" s="124" t="s">
        <v>1087</v>
      </c>
      <c r="AS10" s="125" t="s">
        <v>1045</v>
      </c>
      <c r="AU10" s="135"/>
      <c r="AV10" s="125" t="s">
        <v>1088</v>
      </c>
      <c r="AZ10" s="131"/>
      <c r="BB10" s="135"/>
      <c r="BF10" s="124"/>
      <c r="BI10" s="135"/>
      <c r="BK10" s="131"/>
      <c r="BM10" s="123"/>
      <c r="BN10" s="131"/>
      <c r="BO10" s="131"/>
      <c r="BP10" s="108"/>
      <c r="BR10" s="131"/>
      <c r="BS10" s="131"/>
      <c r="BW10" s="108"/>
      <c r="BX10" s="120"/>
      <c r="BZ10" s="131"/>
      <c r="CA10" s="131"/>
      <c r="CB10" s="131"/>
      <c r="CC10" s="131"/>
      <c r="CD10" s="108"/>
      <c r="CE10" s="131"/>
      <c r="CF10" s="131"/>
      <c r="CG10" s="131"/>
      <c r="CH10" s="131"/>
      <c r="CI10" s="151"/>
      <c r="CK10" s="108"/>
      <c r="CL10" s="144"/>
      <c r="CM10" s="131"/>
      <c r="CN10" s="131"/>
      <c r="CO10" s="131"/>
      <c r="CP10" s="131"/>
      <c r="CQ10" s="131"/>
      <c r="CR10" s="108"/>
      <c r="CS10" s="131"/>
      <c r="CT10" s="131"/>
      <c r="CU10" s="131"/>
      <c r="CV10" s="131"/>
      <c r="CW10" s="131"/>
      <c r="CX10" s="131"/>
      <c r="CY10" s="135"/>
    </row>
    <row r="11" spans="1:129" s="125" customFormat="1">
      <c r="A11" s="305"/>
      <c r="B11" s="210"/>
      <c r="C11" s="193"/>
      <c r="D11" s="193"/>
      <c r="E11" s="192"/>
      <c r="F11" s="194"/>
      <c r="I11" s="125" t="s">
        <v>915</v>
      </c>
      <c r="L11" s="135"/>
      <c r="S11" s="135"/>
      <c r="Y11" s="125" t="s">
        <v>413</v>
      </c>
      <c r="Z11" s="135"/>
      <c r="AA11" s="131" t="s">
        <v>1085</v>
      </c>
      <c r="AB11" s="124"/>
      <c r="AG11" s="135"/>
      <c r="AI11" s="125" t="s">
        <v>1089</v>
      </c>
      <c r="AN11" s="135"/>
      <c r="AR11" s="125" t="s">
        <v>1090</v>
      </c>
      <c r="AS11" s="125" t="s">
        <v>1091</v>
      </c>
      <c r="AU11" s="135"/>
      <c r="AV11" s="143" t="s">
        <v>1092</v>
      </c>
      <c r="AZ11" s="152"/>
      <c r="BB11" s="135"/>
      <c r="BF11" s="131"/>
      <c r="BI11" s="135"/>
      <c r="BM11" s="131"/>
      <c r="BN11" s="131"/>
      <c r="BO11" s="131"/>
      <c r="BP11" s="108"/>
      <c r="BQ11" s="131"/>
      <c r="BR11" s="131"/>
      <c r="BS11" s="131"/>
      <c r="BW11" s="108"/>
      <c r="BZ11" s="131"/>
      <c r="CB11" s="131"/>
      <c r="CC11" s="131"/>
      <c r="CD11" s="108"/>
      <c r="CE11" s="131"/>
      <c r="CF11" s="131"/>
      <c r="CG11" s="131"/>
      <c r="CH11" s="131"/>
      <c r="CJ11" s="131"/>
      <c r="CK11" s="108"/>
      <c r="CL11" s="151"/>
      <c r="CM11" s="131"/>
      <c r="CN11" s="131"/>
      <c r="CO11" s="131"/>
      <c r="CP11" s="131"/>
      <c r="CQ11" s="131"/>
      <c r="CR11" s="108"/>
      <c r="CS11" s="131"/>
      <c r="CT11" s="131"/>
      <c r="CU11" s="131"/>
      <c r="CV11" s="131"/>
      <c r="CW11" s="131"/>
      <c r="CX11" s="131"/>
      <c r="CY11" s="135"/>
    </row>
    <row r="12" spans="1:129" s="125" customFormat="1">
      <c r="A12" s="305"/>
      <c r="B12" s="210"/>
      <c r="C12" s="193"/>
      <c r="D12" s="125" t="s">
        <v>1093</v>
      </c>
      <c r="E12" s="192"/>
      <c r="F12" s="194"/>
      <c r="L12" s="135"/>
      <c r="S12" s="135"/>
      <c r="W12" s="124"/>
      <c r="Z12" s="135"/>
      <c r="AB12" s="127"/>
      <c r="AC12" s="124" t="s">
        <v>1094</v>
      </c>
      <c r="AG12" s="135"/>
      <c r="AN12" s="135"/>
      <c r="AP12" s="124"/>
      <c r="AU12" s="135"/>
      <c r="AZ12" s="153"/>
      <c r="BB12" s="154"/>
      <c r="BC12" s="155"/>
      <c r="BE12" s="138"/>
      <c r="BF12" s="131"/>
      <c r="BG12" s="131"/>
      <c r="BH12" s="131"/>
      <c r="BI12" s="135"/>
      <c r="BM12" s="120"/>
      <c r="BN12" s="131"/>
      <c r="BO12" s="131"/>
      <c r="BP12" s="108"/>
      <c r="BQ12" s="131"/>
      <c r="BR12" s="131"/>
      <c r="BS12" s="131"/>
      <c r="BT12" s="131"/>
      <c r="BV12" s="131"/>
      <c r="BW12" s="108"/>
      <c r="BX12" s="131"/>
      <c r="BZ12" s="131"/>
      <c r="CB12" s="131"/>
      <c r="CC12" s="131"/>
      <c r="CD12" s="108"/>
      <c r="CE12" s="131"/>
      <c r="CF12" s="131"/>
      <c r="CG12" s="131"/>
      <c r="CH12" s="131"/>
      <c r="CI12" s="124"/>
      <c r="CJ12" s="151"/>
      <c r="CK12" s="108"/>
      <c r="CL12" s="151"/>
      <c r="CM12" s="131"/>
      <c r="CN12" s="131"/>
      <c r="CO12" s="131"/>
      <c r="CP12" s="131"/>
      <c r="CQ12" s="131"/>
      <c r="CR12" s="108"/>
      <c r="CS12" s="131"/>
      <c r="CT12" s="131"/>
      <c r="CU12" s="131"/>
      <c r="CV12" s="131"/>
      <c r="CW12" s="131"/>
      <c r="CX12" s="131"/>
      <c r="CY12" s="135"/>
    </row>
    <row r="13" spans="1:129" s="125" customFormat="1">
      <c r="A13" s="305"/>
      <c r="B13" s="210"/>
      <c r="C13" s="193"/>
      <c r="D13" s="125" t="s">
        <v>1052</v>
      </c>
      <c r="E13" s="192"/>
      <c r="F13" s="194"/>
      <c r="I13" s="156"/>
      <c r="L13" s="135"/>
      <c r="R13" s="125" t="s">
        <v>1095</v>
      </c>
      <c r="S13" s="135"/>
      <c r="Z13" s="135"/>
      <c r="AE13" s="134"/>
      <c r="AG13" s="135"/>
      <c r="AN13" s="135"/>
      <c r="AU13" s="135"/>
      <c r="AZ13" s="131"/>
      <c r="BB13" s="154"/>
      <c r="BC13" s="138"/>
      <c r="BF13" s="131"/>
      <c r="BG13" s="131"/>
      <c r="BI13" s="135"/>
      <c r="BK13" s="131"/>
      <c r="BM13" s="131"/>
      <c r="BN13" s="144"/>
      <c r="BO13" s="126"/>
      <c r="BP13" s="108"/>
      <c r="BQ13" s="131"/>
      <c r="BR13" s="131"/>
      <c r="BS13" s="131"/>
      <c r="BT13" s="131"/>
      <c r="BV13" s="131"/>
      <c r="BW13" s="108"/>
      <c r="BX13" s="131"/>
      <c r="BY13" s="131"/>
      <c r="BZ13" s="131"/>
      <c r="CB13" s="131"/>
      <c r="CC13" s="131"/>
      <c r="CD13" s="108"/>
      <c r="CE13" s="131"/>
      <c r="CF13" s="131"/>
      <c r="CG13" s="131"/>
      <c r="CH13" s="131"/>
      <c r="CI13" s="124"/>
      <c r="CK13" s="108"/>
      <c r="CM13" s="131"/>
      <c r="CN13" s="131"/>
      <c r="CO13" s="131"/>
      <c r="CP13" s="131"/>
      <c r="CQ13" s="131"/>
      <c r="CR13" s="108"/>
      <c r="CS13" s="131"/>
      <c r="CT13" s="131"/>
      <c r="CU13" s="131"/>
      <c r="CV13" s="131"/>
      <c r="CW13" s="131"/>
      <c r="CX13" s="131"/>
      <c r="CY13" s="135"/>
    </row>
    <row r="14" spans="1:129" s="125" customFormat="1">
      <c r="A14" s="305"/>
      <c r="B14" s="210"/>
      <c r="C14" s="193"/>
      <c r="F14" s="194"/>
      <c r="L14" s="135"/>
      <c r="R14" s="125" t="s">
        <v>1096</v>
      </c>
      <c r="S14" s="135"/>
      <c r="Z14" s="135"/>
      <c r="AG14" s="135"/>
      <c r="AH14" s="309" t="s">
        <v>1097</v>
      </c>
      <c r="AN14" s="135"/>
      <c r="AQ14" s="155"/>
      <c r="AU14" s="135"/>
      <c r="AY14" s="124"/>
      <c r="AZ14" s="131"/>
      <c r="BB14" s="154"/>
      <c r="BF14" s="131"/>
      <c r="BG14" s="131"/>
      <c r="BI14" s="135"/>
      <c r="BK14" s="131"/>
      <c r="BN14" s="131"/>
      <c r="BO14" s="131"/>
      <c r="BP14" s="108"/>
      <c r="BQ14" s="131"/>
      <c r="BR14" s="131"/>
      <c r="BS14" s="131"/>
      <c r="BT14" s="131"/>
      <c r="BV14" s="131"/>
      <c r="BW14" s="108"/>
      <c r="BY14" s="131"/>
      <c r="BZ14" s="131"/>
      <c r="CB14" s="131"/>
      <c r="CC14" s="131"/>
      <c r="CD14" s="108"/>
      <c r="CE14" s="131"/>
      <c r="CF14" s="131"/>
      <c r="CG14" s="131"/>
      <c r="CH14" s="131"/>
      <c r="CK14" s="108"/>
      <c r="CM14" s="131"/>
      <c r="CN14" s="131"/>
      <c r="CO14" s="131"/>
      <c r="CP14" s="131"/>
      <c r="CQ14" s="131"/>
      <c r="CR14" s="108"/>
      <c r="CS14" s="131"/>
      <c r="CT14" s="131"/>
      <c r="CU14" s="131"/>
      <c r="CV14" s="131"/>
      <c r="CW14" s="131"/>
      <c r="CX14" s="131"/>
      <c r="CY14" s="135"/>
    </row>
    <row r="15" spans="1:129" s="125" customFormat="1">
      <c r="A15" s="305"/>
      <c r="B15" s="210"/>
      <c r="C15" s="193"/>
      <c r="F15" s="194"/>
      <c r="L15" s="135"/>
      <c r="S15" s="135"/>
      <c r="Z15" s="135"/>
      <c r="AA15" s="123"/>
      <c r="AD15" s="125" t="s">
        <v>1098</v>
      </c>
      <c r="AG15" s="135"/>
      <c r="AH15" s="310"/>
      <c r="AN15" s="135"/>
      <c r="AP15" s="127"/>
      <c r="AU15" s="135"/>
      <c r="AZ15" s="131"/>
      <c r="BB15" s="154"/>
      <c r="BG15" s="131"/>
      <c r="BI15" s="135"/>
      <c r="BK15" s="131"/>
      <c r="BN15" s="131"/>
      <c r="BO15" s="131"/>
      <c r="BP15" s="108"/>
      <c r="BQ15" s="131"/>
      <c r="BR15" s="131"/>
      <c r="BS15" s="131"/>
      <c r="BT15" s="131"/>
      <c r="BV15" s="131"/>
      <c r="BW15" s="108"/>
      <c r="BX15" s="144"/>
      <c r="BY15" s="131"/>
      <c r="BZ15" s="131"/>
      <c r="CA15" s="131"/>
      <c r="CB15" s="131"/>
      <c r="CC15" s="131"/>
      <c r="CD15" s="108"/>
      <c r="CE15" s="131"/>
      <c r="CF15" s="131"/>
      <c r="CG15" s="131"/>
      <c r="CH15" s="131"/>
      <c r="CK15" s="108"/>
      <c r="CM15" s="131"/>
      <c r="CN15" s="131"/>
      <c r="CO15" s="131"/>
      <c r="CP15" s="131"/>
      <c r="CQ15" s="131"/>
      <c r="CR15" s="108"/>
      <c r="CS15" s="131"/>
      <c r="CT15" s="131"/>
      <c r="CU15" s="131"/>
      <c r="CV15" s="131"/>
      <c r="CW15" s="131"/>
      <c r="CX15" s="131"/>
      <c r="CY15" s="135"/>
    </row>
    <row r="16" spans="1:129" s="146" customFormat="1">
      <c r="A16" s="305"/>
      <c r="B16" s="210"/>
      <c r="C16" s="193"/>
      <c r="F16" s="194"/>
      <c r="G16" s="125"/>
      <c r="L16" s="158"/>
      <c r="S16" s="158"/>
      <c r="V16" s="125"/>
      <c r="Z16" s="158"/>
      <c r="AG16" s="158"/>
      <c r="AH16" s="311"/>
      <c r="AM16" s="125"/>
      <c r="AN16" s="158"/>
      <c r="AO16" s="125"/>
      <c r="AP16" s="127"/>
      <c r="AU16" s="158"/>
      <c r="AZ16" s="151"/>
      <c r="BB16" s="158"/>
      <c r="BG16" s="151"/>
      <c r="BI16" s="158"/>
      <c r="BK16" s="151"/>
      <c r="BM16" s="131"/>
      <c r="BN16" s="151"/>
      <c r="BO16" s="151"/>
      <c r="BP16" s="159"/>
      <c r="BQ16" s="151"/>
      <c r="BR16" s="131"/>
      <c r="BS16" s="151"/>
      <c r="BT16" s="151"/>
      <c r="BU16" s="151"/>
      <c r="BV16" s="151"/>
      <c r="BW16" s="159"/>
      <c r="BX16" s="151"/>
      <c r="BY16" s="151"/>
      <c r="BZ16" s="151"/>
      <c r="CA16" s="151"/>
      <c r="CB16" s="151"/>
      <c r="CC16" s="151"/>
      <c r="CD16" s="159"/>
      <c r="CE16" s="151"/>
      <c r="CF16" s="151"/>
      <c r="CG16" s="151"/>
      <c r="CH16" s="151"/>
      <c r="CK16" s="159"/>
      <c r="CM16" s="151"/>
      <c r="CN16" s="151"/>
      <c r="CO16" s="151"/>
      <c r="CP16" s="151"/>
      <c r="CQ16" s="151"/>
      <c r="CR16" s="159"/>
      <c r="CS16" s="151"/>
      <c r="CT16" s="151"/>
      <c r="CU16" s="151"/>
      <c r="CV16" s="151"/>
      <c r="CW16" s="151"/>
      <c r="CX16" s="151"/>
      <c r="CY16" s="158"/>
    </row>
    <row r="17" spans="1:103" s="146" customFormat="1">
      <c r="A17" s="306"/>
      <c r="B17" s="210"/>
      <c r="C17" s="193"/>
      <c r="D17" s="193"/>
      <c r="E17" s="210"/>
      <c r="F17" s="194"/>
      <c r="G17" s="125"/>
      <c r="L17" s="158"/>
      <c r="S17" s="158"/>
      <c r="V17" s="125"/>
      <c r="Z17" s="158"/>
      <c r="AG17" s="158"/>
      <c r="AN17" s="158"/>
      <c r="AQ17" s="146" t="s">
        <v>1099</v>
      </c>
      <c r="AU17" s="158"/>
      <c r="AZ17" s="151"/>
      <c r="BB17" s="158"/>
      <c r="BG17" s="151"/>
      <c r="BI17" s="158"/>
      <c r="BK17" s="151"/>
      <c r="BL17" s="151"/>
      <c r="BM17" s="151"/>
      <c r="BN17" s="151"/>
      <c r="BO17" s="151"/>
      <c r="BP17" s="159"/>
      <c r="BQ17" s="151"/>
      <c r="BR17" s="151"/>
      <c r="BS17" s="151"/>
      <c r="BT17" s="151"/>
      <c r="BU17" s="151"/>
      <c r="BV17" s="151"/>
      <c r="BW17" s="159"/>
      <c r="BX17" s="151"/>
      <c r="BY17" s="151"/>
      <c r="BZ17" s="151"/>
      <c r="CA17" s="151"/>
      <c r="CB17" s="151"/>
      <c r="CC17" s="151"/>
      <c r="CD17" s="159"/>
      <c r="CE17" s="151"/>
      <c r="CF17" s="151"/>
      <c r="CG17" s="151"/>
      <c r="CH17" s="151"/>
      <c r="CK17" s="159"/>
      <c r="CM17" s="151"/>
      <c r="CN17" s="151"/>
      <c r="CO17" s="151"/>
      <c r="CP17" s="151"/>
      <c r="CQ17" s="151"/>
      <c r="CR17" s="159"/>
      <c r="CS17" s="151"/>
      <c r="CT17" s="151"/>
      <c r="CU17" s="151"/>
      <c r="CV17" s="151"/>
      <c r="CW17" s="151"/>
      <c r="CX17" s="151"/>
      <c r="CY17" s="158"/>
    </row>
    <row r="18" spans="1:103" s="160" customFormat="1">
      <c r="A18" s="307" t="s">
        <v>1100</v>
      </c>
      <c r="B18" s="211"/>
      <c r="C18" s="195"/>
      <c r="D18" s="211" t="s">
        <v>1101</v>
      </c>
      <c r="E18" s="211" t="s">
        <v>1102</v>
      </c>
      <c r="F18" s="194"/>
      <c r="H18" s="160" t="s">
        <v>1103</v>
      </c>
      <c r="K18" s="160" t="s">
        <v>1104</v>
      </c>
      <c r="L18" s="135"/>
      <c r="M18" s="160" t="s">
        <v>1105</v>
      </c>
      <c r="N18" s="161" t="s">
        <v>1106</v>
      </c>
      <c r="O18" s="160" t="s">
        <v>1107</v>
      </c>
      <c r="P18" s="161" t="s">
        <v>1108</v>
      </c>
      <c r="Q18" s="160" t="s">
        <v>1109</v>
      </c>
      <c r="R18" s="161" t="s">
        <v>1110</v>
      </c>
      <c r="S18" s="135"/>
      <c r="T18" s="161" t="s">
        <v>1111</v>
      </c>
      <c r="U18" s="165" t="s">
        <v>1112</v>
      </c>
      <c r="V18" s="170" t="s">
        <v>1113</v>
      </c>
      <c r="W18" s="165" t="s">
        <v>1114</v>
      </c>
      <c r="X18" s="160" t="s">
        <v>1115</v>
      </c>
      <c r="Y18" s="161" t="s">
        <v>1116</v>
      </c>
      <c r="Z18" s="135"/>
      <c r="AA18" s="161" t="s">
        <v>1117</v>
      </c>
      <c r="AB18" s="160" t="s">
        <v>1118</v>
      </c>
      <c r="AC18" s="160" t="s">
        <v>1119</v>
      </c>
      <c r="AE18" s="160" t="s">
        <v>1120</v>
      </c>
      <c r="AG18" s="135"/>
      <c r="AH18" s="161" t="s">
        <v>1121</v>
      </c>
      <c r="AI18" s="160" t="s">
        <v>1122</v>
      </c>
      <c r="AJ18" s="161" t="s">
        <v>1123</v>
      </c>
      <c r="AN18" s="135"/>
      <c r="AO18" s="161"/>
      <c r="AP18" s="160" t="s">
        <v>1124</v>
      </c>
      <c r="AR18" s="165" t="s">
        <v>1125</v>
      </c>
      <c r="AS18" s="161" t="s">
        <v>1126</v>
      </c>
      <c r="AU18" s="135"/>
      <c r="AW18" s="160" t="s">
        <v>1127</v>
      </c>
      <c r="AY18" s="164"/>
      <c r="AZ18" s="165"/>
      <c r="BA18" s="164"/>
      <c r="BB18" s="135"/>
      <c r="BC18" s="164"/>
      <c r="BE18" s="162"/>
      <c r="BF18" s="161"/>
      <c r="BG18" s="161"/>
      <c r="BI18" s="135"/>
      <c r="BJ18" s="166"/>
      <c r="BK18" s="167"/>
      <c r="BL18" s="165"/>
      <c r="BN18" s="165"/>
      <c r="BO18" s="165"/>
      <c r="BP18" s="108"/>
      <c r="BQ18" s="168"/>
      <c r="BR18" s="165"/>
      <c r="BS18" s="165"/>
      <c r="BT18" s="165"/>
      <c r="BU18" s="165"/>
      <c r="BV18" s="165"/>
      <c r="BW18" s="108"/>
      <c r="BX18" s="165"/>
      <c r="BY18" s="165"/>
      <c r="BZ18" s="165"/>
      <c r="CA18" s="167"/>
      <c r="CB18" s="165"/>
      <c r="CC18" s="165"/>
      <c r="CD18" s="108"/>
      <c r="CE18" s="165"/>
      <c r="CF18" s="165"/>
      <c r="CG18" s="165"/>
      <c r="CH18" s="165"/>
      <c r="CI18" s="165"/>
      <c r="CJ18" s="165"/>
      <c r="CK18" s="108"/>
      <c r="CL18" s="165"/>
      <c r="CM18" s="165"/>
      <c r="CN18" s="165"/>
      <c r="CO18" s="165"/>
      <c r="CP18" s="165"/>
      <c r="CQ18" s="165"/>
      <c r="CR18" s="108"/>
      <c r="CS18" s="165"/>
      <c r="CT18" s="165"/>
      <c r="CU18" s="165"/>
      <c r="CV18" s="165"/>
      <c r="CW18" s="165"/>
      <c r="CX18" s="165"/>
      <c r="CY18" s="135"/>
    </row>
    <row r="19" spans="1:103" s="160" customFormat="1">
      <c r="A19" s="307"/>
      <c r="B19" s="211"/>
      <c r="C19" s="195"/>
      <c r="D19" s="211" t="s">
        <v>1128</v>
      </c>
      <c r="E19" s="211"/>
      <c r="F19" s="194"/>
      <c r="H19" s="163" t="s">
        <v>1129</v>
      </c>
      <c r="J19" s="161"/>
      <c r="K19" s="160" t="s">
        <v>1130</v>
      </c>
      <c r="L19" s="135"/>
      <c r="M19" s="160" t="s">
        <v>1128</v>
      </c>
      <c r="N19" s="161" t="s">
        <v>1131</v>
      </c>
      <c r="O19" s="160" t="s">
        <v>1132</v>
      </c>
      <c r="P19" s="161" t="s">
        <v>1133</v>
      </c>
      <c r="Q19" s="160" t="s">
        <v>1134</v>
      </c>
      <c r="R19" s="161" t="s">
        <v>1135</v>
      </c>
      <c r="S19" s="135"/>
      <c r="T19" s="161" t="s">
        <v>1136</v>
      </c>
      <c r="U19" s="160" t="s">
        <v>1137</v>
      </c>
      <c r="V19" s="160" t="s">
        <v>1128</v>
      </c>
      <c r="W19" s="165" t="s">
        <v>1138</v>
      </c>
      <c r="X19" s="161" t="s">
        <v>1139</v>
      </c>
      <c r="Y19" s="161" t="s">
        <v>1140</v>
      </c>
      <c r="Z19" s="135"/>
      <c r="AA19" s="160" t="s">
        <v>1141</v>
      </c>
      <c r="AB19" s="160" t="s">
        <v>1142</v>
      </c>
      <c r="AC19" s="165" t="s">
        <v>1143</v>
      </c>
      <c r="AE19" s="160" t="s">
        <v>1144</v>
      </c>
      <c r="AF19" s="161"/>
      <c r="AG19" s="135"/>
      <c r="AH19" s="160" t="s">
        <v>1132</v>
      </c>
      <c r="AI19" s="170" t="s">
        <v>1124</v>
      </c>
      <c r="AJ19" s="161" t="s">
        <v>1145</v>
      </c>
      <c r="AK19" s="161"/>
      <c r="AL19" s="163"/>
      <c r="AN19" s="135"/>
      <c r="AO19" s="163"/>
      <c r="AP19" s="160" t="s">
        <v>1146</v>
      </c>
      <c r="AQ19" s="165"/>
      <c r="AS19" s="170" t="s">
        <v>1147</v>
      </c>
      <c r="AT19" s="164"/>
      <c r="AU19" s="135"/>
      <c r="AW19" s="160" t="s">
        <v>1148</v>
      </c>
      <c r="AZ19" s="165"/>
      <c r="BB19" s="135"/>
      <c r="BF19" s="163"/>
      <c r="BG19" s="165"/>
      <c r="BI19" s="135"/>
      <c r="BK19" s="165"/>
      <c r="BL19" s="165"/>
      <c r="BN19" s="165"/>
      <c r="BO19" s="165"/>
      <c r="BP19" s="108"/>
      <c r="BQ19" s="162"/>
      <c r="BR19" s="165"/>
      <c r="BS19" s="165"/>
      <c r="BT19" s="165"/>
      <c r="BU19" s="165"/>
      <c r="BV19" s="165"/>
      <c r="BW19" s="108"/>
      <c r="BX19" s="165"/>
      <c r="BY19" s="165"/>
      <c r="BZ19" s="165"/>
      <c r="CA19" s="165"/>
      <c r="CB19" s="165"/>
      <c r="CC19" s="165"/>
      <c r="CD19" s="108"/>
      <c r="CE19" s="165"/>
      <c r="CF19" s="165"/>
      <c r="CG19" s="165"/>
      <c r="CH19" s="165"/>
      <c r="CI19" s="165"/>
      <c r="CJ19" s="165"/>
      <c r="CK19" s="108"/>
      <c r="CL19" s="165"/>
      <c r="CM19" s="165"/>
      <c r="CN19" s="165"/>
      <c r="CO19" s="165"/>
      <c r="CP19" s="165"/>
      <c r="CQ19" s="165"/>
      <c r="CR19" s="108"/>
      <c r="CS19" s="165"/>
      <c r="CT19" s="165"/>
      <c r="CU19" s="165"/>
      <c r="CV19" s="165"/>
      <c r="CW19" s="165"/>
      <c r="CX19" s="165"/>
      <c r="CY19" s="135"/>
    </row>
    <row r="20" spans="1:103" s="160" customFormat="1">
      <c r="A20" s="307"/>
      <c r="B20" s="211"/>
      <c r="C20" s="195"/>
      <c r="D20" s="211" t="s">
        <v>1149</v>
      </c>
      <c r="E20" s="211"/>
      <c r="F20" s="194"/>
      <c r="H20" s="160" t="s">
        <v>1150</v>
      </c>
      <c r="K20" s="160" t="s">
        <v>1151</v>
      </c>
      <c r="L20" s="135"/>
      <c r="M20" s="160" t="s">
        <v>1152</v>
      </c>
      <c r="N20" s="161" t="s">
        <v>1153</v>
      </c>
      <c r="O20" s="161" t="s">
        <v>1154</v>
      </c>
      <c r="P20" s="161" t="s">
        <v>1155</v>
      </c>
      <c r="Q20" s="160" t="s">
        <v>1156</v>
      </c>
      <c r="S20" s="135"/>
      <c r="T20" s="253" t="s">
        <v>1157</v>
      </c>
      <c r="U20" s="160" t="s">
        <v>1158</v>
      </c>
      <c r="V20" s="160" t="s">
        <v>1101</v>
      </c>
      <c r="W20" s="165" t="s">
        <v>1159</v>
      </c>
      <c r="X20" s="160" t="s">
        <v>1160</v>
      </c>
      <c r="Z20" s="135"/>
      <c r="AA20" s="161" t="s">
        <v>1161</v>
      </c>
      <c r="AB20" s="160" t="s">
        <v>1162</v>
      </c>
      <c r="AC20" s="160" t="s">
        <v>1163</v>
      </c>
      <c r="AG20" s="135"/>
      <c r="AH20" s="161" t="s">
        <v>1164</v>
      </c>
      <c r="AI20" s="170" t="s">
        <v>1146</v>
      </c>
      <c r="AL20" s="163"/>
      <c r="AN20" s="135"/>
      <c r="AO20" s="163"/>
      <c r="AP20" s="160" t="s">
        <v>1165</v>
      </c>
      <c r="AQ20" s="161"/>
      <c r="AS20" s="170" t="s">
        <v>1166</v>
      </c>
      <c r="AU20" s="135"/>
      <c r="AW20" s="166"/>
      <c r="AZ20" s="165"/>
      <c r="BB20" s="135"/>
      <c r="BG20" s="165"/>
      <c r="BI20" s="135"/>
      <c r="BK20" s="165"/>
      <c r="BL20" s="165"/>
      <c r="BM20" s="165"/>
      <c r="BN20" s="165"/>
      <c r="BO20" s="165"/>
      <c r="BP20" s="108"/>
      <c r="BQ20" s="162"/>
      <c r="BR20" s="165"/>
      <c r="BS20" s="165"/>
      <c r="BT20" s="165"/>
      <c r="BU20" s="165"/>
      <c r="BV20" s="165"/>
      <c r="BW20" s="108"/>
      <c r="BX20" s="165"/>
      <c r="BY20" s="165"/>
      <c r="BZ20" s="165"/>
      <c r="CA20" s="165"/>
      <c r="CB20" s="165"/>
      <c r="CC20" s="165"/>
      <c r="CD20" s="108"/>
      <c r="CE20" s="165"/>
      <c r="CF20" s="165"/>
      <c r="CG20" s="165"/>
      <c r="CH20" s="165"/>
      <c r="CI20" s="165"/>
      <c r="CJ20" s="165"/>
      <c r="CK20" s="108"/>
      <c r="CL20" s="165"/>
      <c r="CM20" s="165"/>
      <c r="CN20" s="165"/>
      <c r="CO20" s="165"/>
      <c r="CP20" s="165"/>
      <c r="CQ20" s="165"/>
      <c r="CR20" s="108"/>
      <c r="CS20" s="165"/>
      <c r="CT20" s="165"/>
      <c r="CU20" s="165"/>
      <c r="CV20" s="165"/>
      <c r="CW20" s="165"/>
      <c r="CX20" s="165"/>
      <c r="CY20" s="135"/>
    </row>
    <row r="21" spans="1:103" s="160" customFormat="1">
      <c r="A21" s="307"/>
      <c r="B21" s="211"/>
      <c r="C21" s="195"/>
      <c r="D21" s="211" t="s">
        <v>1167</v>
      </c>
      <c r="E21" s="211"/>
      <c r="F21" s="194"/>
      <c r="H21" s="160" t="s">
        <v>1168</v>
      </c>
      <c r="K21" s="160" t="s">
        <v>1169</v>
      </c>
      <c r="L21" s="135"/>
      <c r="M21" s="160" t="s">
        <v>1162</v>
      </c>
      <c r="N21" s="160" t="s">
        <v>1170</v>
      </c>
      <c r="P21" s="160" t="s">
        <v>1171</v>
      </c>
      <c r="S21" s="135"/>
      <c r="U21" s="160" t="s">
        <v>1172</v>
      </c>
      <c r="V21" s="160" t="s">
        <v>1173</v>
      </c>
      <c r="W21" s="165" t="s">
        <v>1174</v>
      </c>
      <c r="X21" s="160" t="s">
        <v>1175</v>
      </c>
      <c r="Z21" s="135"/>
      <c r="AA21" s="161" t="s">
        <v>1176</v>
      </c>
      <c r="AB21" s="160" t="s">
        <v>1177</v>
      </c>
      <c r="AD21" s="160" t="s">
        <v>1124</v>
      </c>
      <c r="AE21" s="161"/>
      <c r="AG21" s="135"/>
      <c r="AI21" s="170" t="s">
        <v>1165</v>
      </c>
      <c r="AL21" s="163"/>
      <c r="AN21" s="135"/>
      <c r="AP21" s="169"/>
      <c r="AS21" s="161"/>
      <c r="AU21" s="135"/>
      <c r="AZ21" s="165"/>
      <c r="BB21" s="135"/>
      <c r="BD21" s="170"/>
      <c r="BG21" s="171"/>
      <c r="BI21" s="135"/>
      <c r="BK21" s="165"/>
      <c r="BL21" s="165"/>
      <c r="BM21" s="165"/>
      <c r="BN21" s="165"/>
      <c r="BO21" s="165"/>
      <c r="BP21" s="108"/>
      <c r="BQ21" s="162"/>
      <c r="BR21" s="165"/>
      <c r="BS21" s="165"/>
      <c r="BT21" s="165"/>
      <c r="BU21" s="165"/>
      <c r="BV21" s="165"/>
      <c r="BW21" s="108"/>
      <c r="BX21" s="165"/>
      <c r="BY21" s="165"/>
      <c r="BZ21" s="165"/>
      <c r="CA21" s="165"/>
      <c r="CB21" s="165"/>
      <c r="CC21" s="165"/>
      <c r="CD21" s="108"/>
      <c r="CE21" s="165"/>
      <c r="CF21" s="165"/>
      <c r="CG21" s="165"/>
      <c r="CH21" s="165"/>
      <c r="CI21" s="165"/>
      <c r="CJ21" s="165"/>
      <c r="CK21" s="108"/>
      <c r="CL21" s="165"/>
      <c r="CM21" s="165"/>
      <c r="CN21" s="165"/>
      <c r="CO21" s="165"/>
      <c r="CP21" s="165"/>
      <c r="CQ21" s="165"/>
      <c r="CR21" s="108"/>
      <c r="CS21" s="165"/>
      <c r="CT21" s="165"/>
      <c r="CU21" s="165"/>
      <c r="CV21" s="165"/>
      <c r="CW21" s="165"/>
      <c r="CX21" s="165"/>
      <c r="CY21" s="135"/>
    </row>
    <row r="22" spans="1:103" s="160" customFormat="1">
      <c r="A22" s="307"/>
      <c r="B22" s="211"/>
      <c r="C22" s="195"/>
      <c r="D22" s="195"/>
      <c r="E22" s="211"/>
      <c r="F22" s="194"/>
      <c r="H22" s="160" t="s">
        <v>1170</v>
      </c>
      <c r="K22" s="160" t="s">
        <v>1178</v>
      </c>
      <c r="L22" s="135"/>
      <c r="M22" s="160" t="s">
        <v>1179</v>
      </c>
      <c r="N22" s="160" t="s">
        <v>1180</v>
      </c>
      <c r="P22" s="160" t="s">
        <v>1181</v>
      </c>
      <c r="S22" s="135"/>
      <c r="T22" s="161"/>
      <c r="U22" s="161" t="s">
        <v>1182</v>
      </c>
      <c r="W22" s="163" t="s">
        <v>1162</v>
      </c>
      <c r="X22" s="160" t="s">
        <v>1172</v>
      </c>
      <c r="Z22" s="135"/>
      <c r="AA22" s="161"/>
      <c r="AB22" s="161" t="s">
        <v>1183</v>
      </c>
      <c r="AC22" s="161" t="s">
        <v>1184</v>
      </c>
      <c r="AD22" s="160" t="s">
        <v>1185</v>
      </c>
      <c r="AE22" s="161"/>
      <c r="AG22" s="135"/>
      <c r="AH22" s="162"/>
      <c r="AI22" s="170" t="s">
        <v>1186</v>
      </c>
      <c r="AN22" s="135"/>
      <c r="AP22" s="161"/>
      <c r="AS22" s="161"/>
      <c r="AU22" s="135"/>
      <c r="AZ22" s="165"/>
      <c r="BB22" s="135"/>
      <c r="BG22" s="165"/>
      <c r="BI22" s="135"/>
      <c r="BK22" s="165"/>
      <c r="BL22" s="165"/>
      <c r="BM22" s="165"/>
      <c r="BN22" s="165"/>
      <c r="BO22" s="165"/>
      <c r="BP22" s="108"/>
      <c r="BQ22" s="162"/>
      <c r="BR22" s="167"/>
      <c r="BS22" s="165"/>
      <c r="BT22" s="165"/>
      <c r="BU22" s="165"/>
      <c r="BV22" s="165"/>
      <c r="BW22" s="108"/>
      <c r="BX22" s="165"/>
      <c r="BY22" s="165"/>
      <c r="BZ22" s="165"/>
      <c r="CA22" s="165"/>
      <c r="CB22" s="165"/>
      <c r="CC22" s="165"/>
      <c r="CD22" s="108"/>
      <c r="CE22" s="165"/>
      <c r="CF22" s="165"/>
      <c r="CG22" s="165"/>
      <c r="CH22" s="165"/>
      <c r="CI22" s="165"/>
      <c r="CJ22" s="165"/>
      <c r="CK22" s="108"/>
      <c r="CL22" s="165"/>
      <c r="CM22" s="165"/>
      <c r="CN22" s="165"/>
      <c r="CO22" s="165"/>
      <c r="CP22" s="165"/>
      <c r="CQ22" s="165"/>
      <c r="CR22" s="108"/>
      <c r="CS22" s="165"/>
      <c r="CT22" s="165"/>
      <c r="CU22" s="165"/>
      <c r="CV22" s="165"/>
      <c r="CW22" s="165"/>
      <c r="CX22" s="165"/>
      <c r="CY22" s="135"/>
    </row>
    <row r="23" spans="1:103" s="160" customFormat="1">
      <c r="A23" s="307"/>
      <c r="B23" s="211"/>
      <c r="C23" s="195"/>
      <c r="D23" s="195"/>
      <c r="F23" s="194"/>
      <c r="H23" s="160" t="s">
        <v>1187</v>
      </c>
      <c r="K23" s="160" t="s">
        <v>1188</v>
      </c>
      <c r="L23" s="135"/>
      <c r="M23" s="160" t="s">
        <v>1189</v>
      </c>
      <c r="N23" s="160" t="s">
        <v>1190</v>
      </c>
      <c r="O23" s="161"/>
      <c r="S23" s="135"/>
      <c r="U23" s="161" t="s">
        <v>1191</v>
      </c>
      <c r="W23" s="163" t="s">
        <v>1177</v>
      </c>
      <c r="Z23" s="135"/>
      <c r="AB23" s="161" t="s">
        <v>1192</v>
      </c>
      <c r="AC23" s="160" t="s">
        <v>1193</v>
      </c>
      <c r="AG23" s="135"/>
      <c r="AI23" s="161"/>
      <c r="AN23" s="135"/>
      <c r="AP23" s="169"/>
      <c r="AS23" s="161"/>
      <c r="AU23" s="135"/>
      <c r="AZ23" s="165"/>
      <c r="BB23" s="135"/>
      <c r="BG23" s="165"/>
      <c r="BI23" s="135"/>
      <c r="BK23" s="165"/>
      <c r="BL23" s="165"/>
      <c r="BM23" s="165"/>
      <c r="BN23" s="165"/>
      <c r="BO23" s="165"/>
      <c r="BP23" s="108"/>
      <c r="BQ23" s="165"/>
      <c r="BR23" s="167"/>
      <c r="BS23" s="165"/>
      <c r="BT23" s="165"/>
      <c r="BU23" s="165"/>
      <c r="BV23" s="165"/>
      <c r="BW23" s="108"/>
      <c r="BX23" s="165"/>
      <c r="BY23" s="165"/>
      <c r="BZ23" s="165"/>
      <c r="CA23" s="165"/>
      <c r="CB23" s="165"/>
      <c r="CC23" s="165"/>
      <c r="CD23" s="108"/>
      <c r="CE23" s="165"/>
      <c r="CF23" s="165"/>
      <c r="CG23" s="165"/>
      <c r="CH23" s="165"/>
      <c r="CI23" s="165"/>
      <c r="CJ23" s="165"/>
      <c r="CK23" s="108"/>
      <c r="CL23" s="165"/>
      <c r="CM23" s="165"/>
      <c r="CN23" s="165"/>
      <c r="CO23" s="165"/>
      <c r="CP23" s="165"/>
      <c r="CQ23" s="165"/>
      <c r="CR23" s="108"/>
      <c r="CS23" s="165"/>
      <c r="CT23" s="165"/>
      <c r="CU23" s="165"/>
      <c r="CV23" s="165"/>
      <c r="CW23" s="165"/>
      <c r="CX23" s="165"/>
      <c r="CY23" s="135"/>
    </row>
    <row r="24" spans="1:103" s="160" customFormat="1">
      <c r="A24" s="307"/>
      <c r="B24" s="211"/>
      <c r="C24" s="195"/>
      <c r="D24" s="195"/>
      <c r="F24" s="194"/>
      <c r="H24" s="160" t="s">
        <v>1194</v>
      </c>
      <c r="K24" s="160" t="s">
        <v>1195</v>
      </c>
      <c r="L24" s="135"/>
      <c r="O24" s="161"/>
      <c r="S24" s="135"/>
      <c r="U24" s="161" t="s">
        <v>1196</v>
      </c>
      <c r="W24" s="165" t="s">
        <v>1107</v>
      </c>
      <c r="Z24" s="135"/>
      <c r="AA24" s="161"/>
      <c r="AB24" s="161" t="s">
        <v>1197</v>
      </c>
      <c r="AC24" s="160" t="s">
        <v>1198</v>
      </c>
      <c r="AG24" s="135"/>
      <c r="AI24" s="161"/>
      <c r="AJ24" s="161"/>
      <c r="AN24" s="135"/>
      <c r="AS24" s="161"/>
      <c r="AU24" s="135"/>
      <c r="AW24" s="166"/>
      <c r="AZ24" s="165"/>
      <c r="BB24" s="135"/>
      <c r="BC24" s="170"/>
      <c r="BG24" s="165"/>
      <c r="BI24" s="135"/>
      <c r="BK24" s="165"/>
      <c r="BL24" s="165"/>
      <c r="BM24" s="165"/>
      <c r="BN24" s="165"/>
      <c r="BO24" s="165"/>
      <c r="BP24" s="108"/>
      <c r="BQ24" s="165"/>
      <c r="BR24" s="165"/>
      <c r="BS24" s="165"/>
      <c r="BT24" s="165"/>
      <c r="BU24" s="165"/>
      <c r="BV24" s="165"/>
      <c r="BW24" s="108"/>
      <c r="BX24" s="165"/>
      <c r="BY24" s="165"/>
      <c r="BZ24" s="165"/>
      <c r="CA24" s="165"/>
      <c r="CB24" s="165"/>
      <c r="CC24" s="165"/>
      <c r="CD24" s="108"/>
      <c r="CE24" s="165"/>
      <c r="CF24" s="165"/>
      <c r="CG24" s="165"/>
      <c r="CH24" s="165"/>
      <c r="CI24" s="165"/>
      <c r="CJ24" s="165"/>
      <c r="CK24" s="108"/>
      <c r="CL24" s="165"/>
      <c r="CM24" s="165"/>
      <c r="CN24" s="165"/>
      <c r="CO24" s="165"/>
      <c r="CP24" s="165"/>
      <c r="CQ24" s="165"/>
      <c r="CR24" s="108"/>
      <c r="CS24" s="165"/>
      <c r="CT24" s="165"/>
      <c r="CU24" s="165"/>
      <c r="CV24" s="165"/>
      <c r="CW24" s="165"/>
      <c r="CX24" s="165"/>
      <c r="CY24" s="135"/>
    </row>
    <row r="25" spans="1:103" s="160" customFormat="1">
      <c r="A25" s="307"/>
      <c r="B25" s="211"/>
      <c r="C25" s="195"/>
      <c r="D25" s="195"/>
      <c r="E25" s="211"/>
      <c r="F25" s="194"/>
      <c r="K25" s="161" t="s">
        <v>1199</v>
      </c>
      <c r="L25" s="135"/>
      <c r="S25" s="135"/>
      <c r="U25" s="160" t="s">
        <v>1200</v>
      </c>
      <c r="W25" s="165" t="s">
        <v>1132</v>
      </c>
      <c r="Z25" s="135"/>
      <c r="AC25" s="160" t="s">
        <v>1201</v>
      </c>
      <c r="AG25" s="135"/>
      <c r="AI25" s="161"/>
      <c r="AN25" s="135"/>
      <c r="AS25" s="161"/>
      <c r="AU25" s="135"/>
      <c r="AW25" s="166"/>
      <c r="AY25" s="164"/>
      <c r="AZ25" s="165"/>
      <c r="BB25" s="135"/>
      <c r="BG25" s="165"/>
      <c r="BI25" s="135"/>
      <c r="BK25" s="165"/>
      <c r="BL25" s="165"/>
      <c r="BM25" s="165"/>
      <c r="BN25" s="165"/>
      <c r="BO25" s="165"/>
      <c r="BP25" s="108"/>
      <c r="BQ25" s="165"/>
      <c r="BR25" s="165"/>
      <c r="BS25" s="165"/>
      <c r="BT25" s="165"/>
      <c r="BU25" s="165"/>
      <c r="BV25" s="165"/>
      <c r="BW25" s="108"/>
      <c r="BX25" s="165"/>
      <c r="BY25" s="165"/>
      <c r="BZ25" s="165"/>
      <c r="CA25" s="165"/>
      <c r="CB25" s="165"/>
      <c r="CC25" s="165"/>
      <c r="CD25" s="108"/>
      <c r="CE25" s="165"/>
      <c r="CF25" s="165"/>
      <c r="CG25" s="165"/>
      <c r="CH25" s="165"/>
      <c r="CI25" s="165"/>
      <c r="CJ25" s="165"/>
      <c r="CK25" s="108"/>
      <c r="CL25" s="165"/>
      <c r="CM25" s="165"/>
      <c r="CN25" s="165"/>
      <c r="CO25" s="165"/>
      <c r="CP25" s="165"/>
      <c r="CQ25" s="165"/>
      <c r="CR25" s="108"/>
      <c r="CS25" s="165"/>
      <c r="CT25" s="165"/>
      <c r="CU25" s="165"/>
      <c r="CV25" s="165"/>
      <c r="CW25" s="165"/>
      <c r="CX25" s="165"/>
      <c r="CY25" s="135"/>
    </row>
    <row r="26" spans="1:103" s="160" customFormat="1">
      <c r="A26" s="307"/>
      <c r="B26" s="211"/>
      <c r="C26" s="195"/>
      <c r="D26" s="195"/>
      <c r="E26" s="211"/>
      <c r="F26" s="194"/>
      <c r="L26" s="135"/>
      <c r="S26" s="135"/>
      <c r="U26" s="160" t="s">
        <v>1202</v>
      </c>
      <c r="W26" s="161" t="s">
        <v>1191</v>
      </c>
      <c r="Z26" s="135"/>
      <c r="AG26" s="135"/>
      <c r="AI26" s="161"/>
      <c r="AN26" s="135"/>
      <c r="AP26" s="161"/>
      <c r="AS26" s="161"/>
      <c r="AU26" s="135"/>
      <c r="AW26" s="166"/>
      <c r="AY26" s="164"/>
      <c r="AZ26" s="165"/>
      <c r="BB26" s="135"/>
      <c r="BG26" s="165"/>
      <c r="BI26" s="135"/>
      <c r="BK26" s="165"/>
      <c r="BL26" s="165"/>
      <c r="BM26" s="165"/>
      <c r="BN26" s="165"/>
      <c r="BO26" s="165"/>
      <c r="BP26" s="108"/>
      <c r="BQ26" s="165"/>
      <c r="BR26" s="165"/>
      <c r="BS26" s="165"/>
      <c r="BT26" s="165"/>
      <c r="BU26" s="165"/>
      <c r="BV26" s="165"/>
      <c r="BW26" s="108"/>
      <c r="BX26" s="165"/>
      <c r="BY26" s="165"/>
      <c r="BZ26" s="165"/>
      <c r="CA26" s="165"/>
      <c r="CB26" s="165"/>
      <c r="CC26" s="165"/>
      <c r="CD26" s="108"/>
      <c r="CE26" s="165"/>
      <c r="CF26" s="165"/>
      <c r="CG26" s="165"/>
      <c r="CH26" s="165"/>
      <c r="CI26" s="165"/>
      <c r="CJ26" s="165"/>
      <c r="CK26" s="108"/>
      <c r="CL26" s="165"/>
      <c r="CM26" s="165"/>
      <c r="CN26" s="165"/>
      <c r="CO26" s="165"/>
      <c r="CP26" s="165"/>
      <c r="CQ26" s="165"/>
      <c r="CR26" s="108"/>
      <c r="CS26" s="165"/>
      <c r="CT26" s="165"/>
      <c r="CU26" s="165"/>
      <c r="CV26" s="165"/>
      <c r="CW26" s="165"/>
      <c r="CX26" s="165"/>
      <c r="CY26" s="135"/>
    </row>
    <row r="27" spans="1:103" s="160" customFormat="1">
      <c r="A27" s="307"/>
      <c r="B27" s="211"/>
      <c r="C27" s="195"/>
      <c r="D27" s="195"/>
      <c r="E27" s="211"/>
      <c r="F27" s="194"/>
      <c r="L27" s="135"/>
      <c r="S27" s="135"/>
      <c r="U27" s="160" t="s">
        <v>1203</v>
      </c>
      <c r="W27" s="161" t="s">
        <v>1196</v>
      </c>
      <c r="Z27" s="135"/>
      <c r="AG27" s="135"/>
      <c r="AN27" s="135"/>
      <c r="AP27" s="161"/>
      <c r="AU27" s="135"/>
      <c r="AY27" s="165"/>
      <c r="AZ27" s="165"/>
      <c r="BB27" s="135"/>
      <c r="BG27" s="165"/>
      <c r="BI27" s="135"/>
      <c r="BK27" s="165"/>
      <c r="BL27" s="165"/>
      <c r="BM27" s="165"/>
      <c r="BN27" s="165"/>
      <c r="BO27" s="165"/>
      <c r="BP27" s="108"/>
      <c r="BQ27" s="165"/>
      <c r="BR27" s="165"/>
      <c r="BS27" s="165"/>
      <c r="BT27" s="165"/>
      <c r="BU27" s="165"/>
      <c r="BV27" s="165"/>
      <c r="BW27" s="108"/>
      <c r="BX27" s="165"/>
      <c r="BY27" s="165"/>
      <c r="BZ27" s="165"/>
      <c r="CA27" s="165"/>
      <c r="CB27" s="165"/>
      <c r="CC27" s="165"/>
      <c r="CD27" s="108"/>
      <c r="CE27" s="165"/>
      <c r="CF27" s="165"/>
      <c r="CG27" s="165"/>
      <c r="CH27" s="165"/>
      <c r="CI27" s="165"/>
      <c r="CJ27" s="165"/>
      <c r="CK27" s="108"/>
      <c r="CL27" s="165"/>
      <c r="CM27" s="165"/>
      <c r="CN27" s="165"/>
      <c r="CO27" s="165"/>
      <c r="CP27" s="165"/>
      <c r="CQ27" s="165"/>
      <c r="CR27" s="108"/>
      <c r="CS27" s="165"/>
      <c r="CT27" s="165"/>
      <c r="CU27" s="165"/>
      <c r="CV27" s="165"/>
      <c r="CW27" s="165"/>
      <c r="CX27" s="165"/>
      <c r="CY27" s="135"/>
    </row>
    <row r="28" spans="1:103" s="160" customFormat="1">
      <c r="A28" s="307"/>
      <c r="B28" s="211"/>
      <c r="C28" s="195"/>
      <c r="D28" s="195"/>
      <c r="E28" s="211"/>
      <c r="F28" s="194"/>
      <c r="L28" s="135"/>
      <c r="S28" s="135"/>
      <c r="W28" s="160" t="s">
        <v>1204</v>
      </c>
      <c r="Z28" s="135"/>
      <c r="AG28" s="135"/>
      <c r="AI28" s="161"/>
      <c r="AN28" s="135"/>
      <c r="AP28" s="161"/>
      <c r="AU28" s="135"/>
      <c r="AY28" s="164"/>
      <c r="AZ28" s="165"/>
      <c r="BB28" s="135"/>
      <c r="BG28" s="165"/>
      <c r="BI28" s="135"/>
      <c r="BK28" s="165"/>
      <c r="BL28" s="165"/>
      <c r="BM28" s="165"/>
      <c r="BN28" s="165"/>
      <c r="BO28" s="165"/>
      <c r="BP28" s="108"/>
      <c r="BQ28" s="165"/>
      <c r="BR28" s="165"/>
      <c r="BS28" s="165"/>
      <c r="BT28" s="165"/>
      <c r="BU28" s="165"/>
      <c r="BV28" s="165"/>
      <c r="BW28" s="108"/>
      <c r="BX28" s="165"/>
      <c r="BY28" s="165"/>
      <c r="BZ28" s="165"/>
      <c r="CA28" s="165"/>
      <c r="CB28" s="165"/>
      <c r="CC28" s="165"/>
      <c r="CD28" s="108"/>
      <c r="CE28" s="165"/>
      <c r="CF28" s="165"/>
      <c r="CG28" s="165"/>
      <c r="CH28" s="165"/>
      <c r="CI28" s="165"/>
      <c r="CJ28" s="165"/>
      <c r="CK28" s="108"/>
      <c r="CL28" s="165"/>
      <c r="CM28" s="165"/>
      <c r="CN28" s="165"/>
      <c r="CO28" s="165"/>
      <c r="CP28" s="165"/>
      <c r="CQ28" s="165"/>
      <c r="CR28" s="108"/>
      <c r="CS28" s="165"/>
      <c r="CT28" s="165"/>
      <c r="CU28" s="165"/>
      <c r="CV28" s="165"/>
      <c r="CW28" s="165"/>
      <c r="CX28" s="165"/>
      <c r="CY28" s="135"/>
    </row>
    <row r="29" spans="1:103" s="160" customFormat="1">
      <c r="A29" s="307"/>
      <c r="B29" s="211"/>
      <c r="C29" s="195"/>
      <c r="D29" s="195"/>
      <c r="E29" s="211"/>
      <c r="F29" s="194"/>
      <c r="L29" s="135"/>
      <c r="S29" s="135"/>
      <c r="W29" s="165"/>
      <c r="Z29" s="135"/>
      <c r="AG29" s="135"/>
      <c r="AI29" s="161"/>
      <c r="AN29" s="135"/>
      <c r="AP29" s="161"/>
      <c r="AU29" s="135"/>
      <c r="AZ29" s="165"/>
      <c r="BB29" s="135"/>
      <c r="BG29" s="165"/>
      <c r="BI29" s="135"/>
      <c r="BK29" s="165"/>
      <c r="BL29" s="165"/>
      <c r="BM29" s="165"/>
      <c r="BN29" s="165"/>
      <c r="BO29" s="165"/>
      <c r="BP29" s="108"/>
      <c r="BQ29" s="165"/>
      <c r="BR29" s="165"/>
      <c r="BS29" s="165"/>
      <c r="BT29" s="165"/>
      <c r="BU29" s="165"/>
      <c r="BV29" s="165"/>
      <c r="BW29" s="108"/>
      <c r="BX29" s="165"/>
      <c r="BY29" s="165"/>
      <c r="BZ29" s="165"/>
      <c r="CA29" s="165"/>
      <c r="CB29" s="165"/>
      <c r="CC29" s="165"/>
      <c r="CD29" s="108"/>
      <c r="CE29" s="165"/>
      <c r="CF29" s="165"/>
      <c r="CG29" s="165"/>
      <c r="CH29" s="165"/>
      <c r="CI29" s="165"/>
      <c r="CJ29" s="165"/>
      <c r="CK29" s="108"/>
      <c r="CL29" s="165"/>
      <c r="CM29" s="165"/>
      <c r="CN29" s="165"/>
      <c r="CO29" s="165"/>
      <c r="CP29" s="165"/>
      <c r="CQ29" s="165"/>
      <c r="CR29" s="108"/>
      <c r="CS29" s="165"/>
      <c r="CT29" s="165"/>
      <c r="CU29" s="165"/>
      <c r="CV29" s="165"/>
      <c r="CW29" s="165"/>
      <c r="CX29" s="165"/>
      <c r="CY29" s="135"/>
    </row>
    <row r="30" spans="1:103" s="160" customFormat="1">
      <c r="A30" s="307"/>
      <c r="B30" s="211"/>
      <c r="C30" s="195"/>
      <c r="D30" s="195"/>
      <c r="E30" s="211"/>
      <c r="F30" s="194"/>
      <c r="L30" s="135"/>
      <c r="S30" s="135"/>
      <c r="W30" s="165"/>
      <c r="Z30" s="135"/>
      <c r="AG30" s="135"/>
      <c r="AN30" s="135"/>
      <c r="AU30" s="135"/>
      <c r="AZ30" s="165"/>
      <c r="BB30" s="135"/>
      <c r="BG30" s="165"/>
      <c r="BI30" s="135"/>
      <c r="BK30" s="165"/>
      <c r="BL30" s="165"/>
      <c r="BM30" s="165"/>
      <c r="BN30" s="165"/>
      <c r="BO30" s="165"/>
      <c r="BP30" s="108"/>
      <c r="BQ30" s="165"/>
      <c r="BR30" s="165"/>
      <c r="BS30" s="165"/>
      <c r="BT30" s="165"/>
      <c r="BU30" s="165"/>
      <c r="BV30" s="165"/>
      <c r="BW30" s="108"/>
      <c r="BX30" s="165"/>
      <c r="BY30" s="165"/>
      <c r="BZ30" s="165"/>
      <c r="CA30" s="165"/>
      <c r="CB30" s="165"/>
      <c r="CC30" s="165"/>
      <c r="CD30" s="108"/>
      <c r="CE30" s="165"/>
      <c r="CF30" s="165"/>
      <c r="CG30" s="165"/>
      <c r="CH30" s="165"/>
      <c r="CI30" s="165"/>
      <c r="CJ30" s="165"/>
      <c r="CK30" s="108"/>
      <c r="CL30" s="165"/>
      <c r="CM30" s="165"/>
      <c r="CN30" s="165"/>
      <c r="CO30" s="165"/>
      <c r="CP30" s="165"/>
      <c r="CQ30" s="165"/>
      <c r="CR30" s="108"/>
      <c r="CS30" s="165"/>
      <c r="CT30" s="165"/>
      <c r="CU30" s="165"/>
      <c r="CV30" s="165"/>
      <c r="CW30" s="165"/>
      <c r="CX30" s="165"/>
      <c r="CY30" s="135"/>
    </row>
    <row r="31" spans="1:103" s="138" customFormat="1">
      <c r="A31" s="308" t="s">
        <v>1205</v>
      </c>
      <c r="B31" s="212"/>
      <c r="C31" s="196"/>
      <c r="D31" s="196"/>
      <c r="E31" s="221" t="s">
        <v>1206</v>
      </c>
      <c r="F31" s="197"/>
      <c r="G31" s="172"/>
      <c r="I31" s="221" t="s">
        <v>1207</v>
      </c>
      <c r="L31" s="173"/>
      <c r="M31" s="138" t="s">
        <v>1206</v>
      </c>
      <c r="O31" s="138" t="s">
        <v>1208</v>
      </c>
      <c r="Q31" s="138" t="s">
        <v>1209</v>
      </c>
      <c r="R31" s="138" t="s">
        <v>1210</v>
      </c>
      <c r="S31" s="173"/>
      <c r="T31" s="138" t="s">
        <v>1211</v>
      </c>
      <c r="V31" s="138" t="s">
        <v>1212</v>
      </c>
      <c r="X31" s="138" t="s">
        <v>1213</v>
      </c>
      <c r="Z31" s="173"/>
      <c r="AA31" s="125" t="s">
        <v>1214</v>
      </c>
      <c r="AC31" s="138" t="s">
        <v>1215</v>
      </c>
      <c r="AD31" s="138" t="s">
        <v>1216</v>
      </c>
      <c r="AE31" s="137" t="s">
        <v>1217</v>
      </c>
      <c r="AF31" s="137" t="s">
        <v>1218</v>
      </c>
      <c r="AG31" s="173"/>
      <c r="AH31" s="125" t="s">
        <v>1219</v>
      </c>
      <c r="AI31" s="124" t="s">
        <v>1220</v>
      </c>
      <c r="AJ31" s="137" t="s">
        <v>1221</v>
      </c>
      <c r="AK31" s="138" t="s">
        <v>1222</v>
      </c>
      <c r="AL31" s="138" t="s">
        <v>1223</v>
      </c>
      <c r="AM31" s="138" t="s">
        <v>1224</v>
      </c>
      <c r="AN31" s="173"/>
      <c r="AO31" s="137" t="s">
        <v>1217</v>
      </c>
      <c r="AP31" s="124" t="s">
        <v>1225</v>
      </c>
      <c r="AQ31" s="124" t="s">
        <v>1226</v>
      </c>
      <c r="AR31" s="138" t="s">
        <v>1227</v>
      </c>
      <c r="AS31" s="127" t="s">
        <v>1228</v>
      </c>
      <c r="AT31" s="137" t="s">
        <v>1229</v>
      </c>
      <c r="AU31" s="173"/>
      <c r="AV31" s="174" t="s">
        <v>1230</v>
      </c>
      <c r="AW31" s="179" t="s">
        <v>1231</v>
      </c>
      <c r="AX31" s="125" t="s">
        <v>1232</v>
      </c>
      <c r="AY31" s="126" t="s">
        <v>1233</v>
      </c>
      <c r="AZ31" s="131"/>
      <c r="BB31" s="108"/>
      <c r="BC31" s="125"/>
      <c r="BD31" s="124"/>
      <c r="BE31" s="137"/>
      <c r="BF31" s="124"/>
      <c r="BG31" s="126"/>
      <c r="BH31" s="126"/>
      <c r="BI31" s="173"/>
      <c r="BJ31" s="175"/>
      <c r="BK31" s="126"/>
      <c r="BL31" s="126"/>
      <c r="BM31" s="126"/>
      <c r="BN31" s="126"/>
      <c r="BO31" s="126"/>
      <c r="BP31" s="176"/>
      <c r="BQ31" s="131"/>
      <c r="BR31" s="131"/>
      <c r="BS31" s="131"/>
      <c r="BU31" s="124"/>
      <c r="BV31" s="131"/>
      <c r="BW31" s="176"/>
      <c r="BY31" s="144"/>
      <c r="BZ31" s="131"/>
      <c r="CA31" s="124"/>
      <c r="CB31" s="131"/>
      <c r="CC31" s="131"/>
      <c r="CD31" s="176"/>
      <c r="CE31" s="126"/>
      <c r="CF31" s="126"/>
      <c r="CG31" s="126"/>
      <c r="CH31" s="126"/>
      <c r="CI31" s="126"/>
      <c r="CJ31" s="131"/>
      <c r="CK31" s="176"/>
      <c r="CL31" s="131"/>
      <c r="CM31" s="131"/>
      <c r="CN31" s="126"/>
      <c r="CO31" s="126"/>
      <c r="CP31" s="126"/>
      <c r="CQ31" s="126"/>
      <c r="CR31" s="176"/>
      <c r="CS31" s="126"/>
      <c r="CT31" s="126"/>
      <c r="CU31" s="126"/>
      <c r="CV31" s="126"/>
      <c r="CW31" s="126"/>
      <c r="CX31" s="126"/>
      <c r="CY31" s="173"/>
    </row>
    <row r="32" spans="1:103" s="138" customFormat="1">
      <c r="A32" s="308"/>
      <c r="B32" s="212"/>
      <c r="C32" s="196"/>
      <c r="D32" s="196"/>
      <c r="F32" s="197"/>
      <c r="G32" s="172"/>
      <c r="I32" s="138" t="s">
        <v>1234</v>
      </c>
      <c r="K32" s="136" t="s">
        <v>1206</v>
      </c>
      <c r="L32" s="173"/>
      <c r="M32" s="138" t="s">
        <v>1215</v>
      </c>
      <c r="O32" s="125" t="s">
        <v>1235</v>
      </c>
      <c r="Q32" s="138" t="s">
        <v>1213</v>
      </c>
      <c r="S32" s="173"/>
      <c r="T32" s="125" t="s">
        <v>1236</v>
      </c>
      <c r="V32" s="138" t="s">
        <v>1237</v>
      </c>
      <c r="W32" s="177"/>
      <c r="X32" s="138" t="s">
        <v>1209</v>
      </c>
      <c r="Z32" s="173"/>
      <c r="AA32" s="125" t="s">
        <v>1211</v>
      </c>
      <c r="AC32" s="138" t="s">
        <v>1238</v>
      </c>
      <c r="AD32" s="138" t="s">
        <v>1239</v>
      </c>
      <c r="AE32" s="125" t="s">
        <v>1240</v>
      </c>
      <c r="AG32" s="173"/>
      <c r="AH32" s="140" t="s">
        <v>1241</v>
      </c>
      <c r="AI32" s="137" t="s">
        <v>1242</v>
      </c>
      <c r="AJ32" s="125" t="s">
        <v>1243</v>
      </c>
      <c r="AK32" s="138" t="s">
        <v>1244</v>
      </c>
      <c r="AL32" s="140" t="s">
        <v>1245</v>
      </c>
      <c r="AM32" s="138" t="s">
        <v>1246</v>
      </c>
      <c r="AN32" s="173"/>
      <c r="AO32" s="124" t="s">
        <v>1247</v>
      </c>
      <c r="AP32" s="138" t="s">
        <v>1248</v>
      </c>
      <c r="AQ32" s="124" t="s">
        <v>1249</v>
      </c>
      <c r="AR32" s="138" t="s">
        <v>1250</v>
      </c>
      <c r="AS32" s="138" t="s">
        <v>1251</v>
      </c>
      <c r="AT32" s="138" t="s">
        <v>1252</v>
      </c>
      <c r="AU32" s="173"/>
      <c r="AV32" s="179" t="s">
        <v>1253</v>
      </c>
      <c r="AW32" s="179" t="s">
        <v>1254</v>
      </c>
      <c r="AX32" s="125" t="s">
        <v>1255</v>
      </c>
      <c r="AY32" s="125" t="s">
        <v>1256</v>
      </c>
      <c r="AZ32" s="178"/>
      <c r="BA32" s="136"/>
      <c r="BB32" s="173"/>
      <c r="BC32" s="175"/>
      <c r="BD32" s="124"/>
      <c r="BE32" s="137"/>
      <c r="BF32" s="144"/>
      <c r="BG32" s="131"/>
      <c r="BH32" s="139"/>
      <c r="BI32" s="173"/>
      <c r="BJ32" s="139"/>
      <c r="BK32" s="125"/>
      <c r="BL32" s="131"/>
      <c r="BM32" s="126"/>
      <c r="BN32" s="126"/>
      <c r="BO32" s="131"/>
      <c r="BP32" s="176"/>
      <c r="BQ32" s="126"/>
      <c r="BR32" s="131"/>
      <c r="BS32" s="131"/>
      <c r="BU32" s="131"/>
      <c r="BV32" s="131"/>
      <c r="BW32" s="176"/>
      <c r="BX32" s="126"/>
      <c r="BY32" s="144"/>
      <c r="BZ32" s="131"/>
      <c r="CA32" s="126"/>
      <c r="CB32" s="137"/>
      <c r="CC32" s="131"/>
      <c r="CD32" s="176"/>
      <c r="CE32" s="126"/>
      <c r="CF32" s="131"/>
      <c r="CG32" s="131"/>
      <c r="CH32" s="126"/>
      <c r="CI32" s="131"/>
      <c r="CJ32" s="126"/>
      <c r="CK32" s="176"/>
      <c r="CL32" s="126"/>
      <c r="CM32" s="131"/>
      <c r="CN32" s="131"/>
      <c r="CO32" s="126"/>
      <c r="CP32" s="126"/>
      <c r="CQ32" s="126"/>
      <c r="CR32" s="176"/>
      <c r="CS32" s="126"/>
      <c r="CT32" s="131"/>
      <c r="CU32" s="126"/>
      <c r="CV32" s="126"/>
      <c r="CW32" s="126"/>
      <c r="CX32" s="126"/>
      <c r="CY32" s="173"/>
    </row>
    <row r="33" spans="1:103" s="125" customFormat="1">
      <c r="A33" s="308"/>
      <c r="B33" s="213"/>
      <c r="C33" s="198"/>
      <c r="D33" s="198"/>
      <c r="E33" s="198"/>
      <c r="F33" s="199"/>
      <c r="G33" s="133"/>
      <c r="I33" s="125" t="s">
        <v>1209</v>
      </c>
      <c r="L33" s="135"/>
      <c r="M33" s="125" t="s">
        <v>1207</v>
      </c>
      <c r="N33" s="156"/>
      <c r="O33" s="134" t="s">
        <v>1257</v>
      </c>
      <c r="Q33" s="125" t="s">
        <v>1238</v>
      </c>
      <c r="S33" s="135"/>
      <c r="T33" s="125" t="s">
        <v>1258</v>
      </c>
      <c r="V33" s="125" t="s">
        <v>1238</v>
      </c>
      <c r="X33" s="258" t="s">
        <v>1259</v>
      </c>
      <c r="Z33" s="135"/>
      <c r="AA33" s="125" t="s">
        <v>1260</v>
      </c>
      <c r="AC33" s="125" t="s">
        <v>1237</v>
      </c>
      <c r="AD33" s="140" t="s">
        <v>1222</v>
      </c>
      <c r="AE33" s="125" t="s">
        <v>1261</v>
      </c>
      <c r="AF33" s="124"/>
      <c r="AG33" s="135"/>
      <c r="AH33" s="125" t="s">
        <v>1262</v>
      </c>
      <c r="AI33" s="286" t="s">
        <v>1263</v>
      </c>
      <c r="AJ33" s="131" t="s">
        <v>1255</v>
      </c>
      <c r="AK33" s="125" t="s">
        <v>1240</v>
      </c>
      <c r="AL33" s="125" t="s">
        <v>1264</v>
      </c>
      <c r="AM33" s="125" t="s">
        <v>1265</v>
      </c>
      <c r="AN33" s="135"/>
      <c r="AO33" s="138" t="s">
        <v>1266</v>
      </c>
      <c r="AP33" s="297" t="s">
        <v>1267</v>
      </c>
      <c r="AQ33" s="137" t="s">
        <v>1268</v>
      </c>
      <c r="AR33" s="140" t="s">
        <v>1269</v>
      </c>
      <c r="AS33" s="125" t="s">
        <v>1270</v>
      </c>
      <c r="AT33" s="124" t="s">
        <v>1271</v>
      </c>
      <c r="AU33" s="135"/>
      <c r="AV33" s="125" t="s">
        <v>1272</v>
      </c>
      <c r="AW33" s="125" t="s">
        <v>1248</v>
      </c>
      <c r="AX33" s="125" t="s">
        <v>1273</v>
      </c>
      <c r="AY33" s="138" t="s">
        <v>1251</v>
      </c>
      <c r="AZ33" s="131"/>
      <c r="BA33" s="180"/>
      <c r="BB33" s="135"/>
      <c r="BD33" s="124"/>
      <c r="BE33" s="124"/>
      <c r="BF33" s="131"/>
      <c r="BH33" s="139"/>
      <c r="BI33" s="135"/>
      <c r="BJ33" s="139"/>
      <c r="BK33" s="142"/>
      <c r="BL33" s="131"/>
      <c r="BM33" s="131"/>
      <c r="BN33" s="131"/>
      <c r="BO33" s="131"/>
      <c r="BP33" s="108"/>
      <c r="BQ33" s="131"/>
      <c r="BR33" s="131"/>
      <c r="BS33" s="131"/>
      <c r="BU33" s="131"/>
      <c r="BV33" s="131"/>
      <c r="BW33" s="108"/>
      <c r="BX33" s="131"/>
      <c r="BY33" s="124"/>
      <c r="BZ33" s="131"/>
      <c r="CA33" s="126"/>
      <c r="CB33" s="126"/>
      <c r="CC33" s="131"/>
      <c r="CD33" s="108"/>
      <c r="CE33" s="126"/>
      <c r="CF33" s="126"/>
      <c r="CG33" s="131"/>
      <c r="CH33" s="131"/>
      <c r="CJ33" s="131"/>
      <c r="CK33" s="108"/>
      <c r="CL33" s="144"/>
      <c r="CM33" s="131"/>
      <c r="CN33" s="131"/>
      <c r="CO33" s="131"/>
      <c r="CP33" s="131"/>
      <c r="CQ33" s="131"/>
      <c r="CR33" s="108"/>
      <c r="CS33" s="131"/>
      <c r="CT33" s="131"/>
      <c r="CU33" s="131"/>
      <c r="CV33" s="131"/>
      <c r="CW33" s="131"/>
      <c r="CX33" s="131"/>
      <c r="CY33" s="135"/>
    </row>
    <row r="34" spans="1:103" s="125" customFormat="1">
      <c r="A34" s="308"/>
      <c r="B34" s="213"/>
      <c r="C34" s="198"/>
      <c r="D34" s="198"/>
      <c r="E34" s="198"/>
      <c r="F34" s="199"/>
      <c r="G34" s="133"/>
      <c r="L34" s="135"/>
      <c r="O34" s="125" t="s">
        <v>1237</v>
      </c>
      <c r="S34" s="135"/>
      <c r="T34" s="125" t="s">
        <v>1206</v>
      </c>
      <c r="V34" s="125" t="s">
        <v>1274</v>
      </c>
      <c r="X34" s="138" t="s">
        <v>1275</v>
      </c>
      <c r="Z34" s="135"/>
      <c r="AA34" s="280" t="s">
        <v>1208</v>
      </c>
      <c r="AC34" s="125" t="s">
        <v>1276</v>
      </c>
      <c r="AD34" s="140" t="s">
        <v>1244</v>
      </c>
      <c r="AE34" s="140" t="s">
        <v>1274</v>
      </c>
      <c r="AG34" s="135"/>
      <c r="AH34" s="138" t="s">
        <v>1266</v>
      </c>
      <c r="AJ34" s="125" t="s">
        <v>1277</v>
      </c>
      <c r="AK34" s="125" t="s">
        <v>1261</v>
      </c>
      <c r="AL34" s="125" t="s">
        <v>1278</v>
      </c>
      <c r="AM34" s="125" t="s">
        <v>1279</v>
      </c>
      <c r="AN34" s="135"/>
      <c r="AO34" s="138" t="s">
        <v>1280</v>
      </c>
      <c r="AP34" s="137" t="s">
        <v>1281</v>
      </c>
      <c r="AQ34" s="125" t="s">
        <v>1282</v>
      </c>
      <c r="AR34" s="140" t="s">
        <v>1233</v>
      </c>
      <c r="AS34" s="125" t="s">
        <v>1216</v>
      </c>
      <c r="AT34" s="301" t="s">
        <v>1283</v>
      </c>
      <c r="AU34" s="135"/>
      <c r="AV34" s="125" t="s">
        <v>1284</v>
      </c>
      <c r="AW34" s="125" t="s">
        <v>1285</v>
      </c>
      <c r="AX34" s="131" t="s">
        <v>1286</v>
      </c>
      <c r="AY34" s="125" t="s">
        <v>1270</v>
      </c>
      <c r="BA34" s="181"/>
      <c r="BB34" s="135"/>
      <c r="BE34" s="155"/>
      <c r="BF34" s="124"/>
      <c r="BG34" s="131"/>
      <c r="BH34" s="139"/>
      <c r="BI34" s="135"/>
      <c r="BK34" s="131"/>
      <c r="BL34" s="126"/>
      <c r="BM34" s="131"/>
      <c r="BN34" s="131"/>
      <c r="BO34" s="131"/>
      <c r="BP34" s="108"/>
      <c r="BQ34" s="131"/>
      <c r="BR34" s="131"/>
      <c r="BS34" s="124"/>
      <c r="BU34" s="137"/>
      <c r="BV34" s="131"/>
      <c r="BW34" s="159"/>
      <c r="BX34" s="131"/>
      <c r="BY34" s="124"/>
      <c r="BZ34" s="131"/>
      <c r="CB34" s="131"/>
      <c r="CC34" s="131"/>
      <c r="CD34" s="108"/>
      <c r="CE34" s="131"/>
      <c r="CF34" s="126"/>
      <c r="CG34" s="126"/>
      <c r="CH34" s="131"/>
      <c r="CJ34" s="126"/>
      <c r="CK34" s="108"/>
      <c r="CL34" s="126"/>
      <c r="CM34" s="131"/>
      <c r="CN34" s="126"/>
      <c r="CO34" s="131"/>
      <c r="CP34" s="131"/>
      <c r="CQ34" s="131"/>
      <c r="CR34" s="108"/>
      <c r="CS34" s="131"/>
      <c r="CT34" s="131"/>
      <c r="CU34" s="131"/>
      <c r="CV34" s="131"/>
      <c r="CW34" s="131"/>
      <c r="CX34" s="131"/>
      <c r="CY34" s="135"/>
    </row>
    <row r="35" spans="1:103" s="125" customFormat="1">
      <c r="A35" s="308"/>
      <c r="B35" s="213"/>
      <c r="C35" s="198"/>
      <c r="D35" s="198"/>
      <c r="E35" s="198"/>
      <c r="F35" s="199"/>
      <c r="G35" s="133"/>
      <c r="L35" s="135"/>
      <c r="O35" s="125" t="s">
        <v>1263</v>
      </c>
      <c r="S35" s="135"/>
      <c r="X35" s="125" t="s">
        <v>1287</v>
      </c>
      <c r="Z35" s="135"/>
      <c r="AC35" s="125" t="s">
        <v>1288</v>
      </c>
      <c r="AD35" s="124" t="s">
        <v>1289</v>
      </c>
      <c r="AE35" s="134" t="s">
        <v>1290</v>
      </c>
      <c r="AG35" s="135"/>
      <c r="AH35" s="138" t="s">
        <v>1280</v>
      </c>
      <c r="AJ35" s="131" t="s">
        <v>1253</v>
      </c>
      <c r="AK35" s="151" t="s">
        <v>1216</v>
      </c>
      <c r="AL35" s="125" t="s">
        <v>1211</v>
      </c>
      <c r="AM35" s="125" t="s">
        <v>1291</v>
      </c>
      <c r="AN35" s="135"/>
      <c r="AO35" s="131" t="s">
        <v>1253</v>
      </c>
      <c r="AQ35" s="125" t="s">
        <v>1292</v>
      </c>
      <c r="AR35" s="125" t="s">
        <v>1253</v>
      </c>
      <c r="AS35" s="125" t="s">
        <v>1240</v>
      </c>
      <c r="AU35" s="135"/>
      <c r="AV35" s="124" t="s">
        <v>1217</v>
      </c>
      <c r="AW35" s="138" t="s">
        <v>1293</v>
      </c>
      <c r="AX35" s="179" t="s">
        <v>1294</v>
      </c>
      <c r="AY35" s="125" t="s">
        <v>1216</v>
      </c>
      <c r="AZ35" s="131"/>
      <c r="BA35" s="181"/>
      <c r="BB35" s="135"/>
      <c r="BE35" s="144"/>
      <c r="BF35" s="137"/>
      <c r="BG35" s="126"/>
      <c r="BH35" s="139"/>
      <c r="BI35" s="135"/>
      <c r="BJ35" s="138"/>
      <c r="BK35" s="131"/>
      <c r="BM35" s="131"/>
      <c r="BN35" s="131"/>
      <c r="BO35" s="126"/>
      <c r="BP35" s="108"/>
      <c r="BQ35" s="131"/>
      <c r="BS35" s="131"/>
      <c r="BU35" s="124"/>
      <c r="BV35" s="131"/>
      <c r="BW35" s="108"/>
      <c r="BX35" s="131"/>
      <c r="BY35" s="124"/>
      <c r="BZ35" s="131"/>
      <c r="CB35" s="131"/>
      <c r="CC35" s="131"/>
      <c r="CD35" s="108"/>
      <c r="CE35" s="151"/>
      <c r="CF35" s="126"/>
      <c r="CG35" s="131"/>
      <c r="CH35" s="131"/>
      <c r="CJ35" s="131"/>
      <c r="CK35" s="108"/>
      <c r="CL35" s="131"/>
      <c r="CM35" s="131"/>
      <c r="CN35" s="131"/>
      <c r="CO35" s="131"/>
      <c r="CP35" s="131"/>
      <c r="CQ35" s="131"/>
      <c r="CR35" s="108"/>
      <c r="CS35" s="131"/>
      <c r="CT35" s="131"/>
      <c r="CU35" s="131"/>
      <c r="CV35" s="131"/>
      <c r="CW35" s="131"/>
      <c r="CX35" s="131"/>
      <c r="CY35" s="135"/>
    </row>
    <row r="36" spans="1:103" s="125" customFormat="1">
      <c r="A36" s="308"/>
      <c r="B36" s="213"/>
      <c r="C36" s="198"/>
      <c r="D36" s="198"/>
      <c r="E36" s="198"/>
      <c r="F36" s="199"/>
      <c r="G36" s="133"/>
      <c r="L36" s="135"/>
      <c r="S36" s="135"/>
      <c r="Z36" s="135"/>
      <c r="AC36" s="138" t="s">
        <v>1209</v>
      </c>
      <c r="AG36" s="135"/>
      <c r="AH36" s="124" t="s">
        <v>1295</v>
      </c>
      <c r="AK36" s="134" t="s">
        <v>1290</v>
      </c>
      <c r="AM36" s="125" t="s">
        <v>1296</v>
      </c>
      <c r="AN36" s="135"/>
      <c r="AQ36" s="125" t="s">
        <v>1297</v>
      </c>
      <c r="AS36" s="125" t="s">
        <v>1261</v>
      </c>
      <c r="AT36" s="124"/>
      <c r="AU36" s="135"/>
      <c r="AV36" s="124" t="s">
        <v>1298</v>
      </c>
      <c r="AW36" s="125" t="s">
        <v>1299</v>
      </c>
      <c r="AX36" s="131" t="s">
        <v>1300</v>
      </c>
      <c r="AY36" s="125" t="s">
        <v>1240</v>
      </c>
      <c r="AZ36" s="131"/>
      <c r="BA36" s="181"/>
      <c r="BB36" s="135"/>
      <c r="BC36" s="138"/>
      <c r="BG36" s="131"/>
      <c r="BI36" s="135"/>
      <c r="BK36" s="131"/>
      <c r="BL36" s="131"/>
      <c r="BM36" s="131"/>
      <c r="BN36" s="131"/>
      <c r="BO36" s="131"/>
      <c r="BP36" s="108"/>
      <c r="BQ36" s="131"/>
      <c r="BR36" s="131"/>
      <c r="BU36" s="124"/>
      <c r="BV36" s="131"/>
      <c r="BW36" s="108"/>
      <c r="BX36" s="131"/>
      <c r="BY36" s="131"/>
      <c r="BZ36" s="131"/>
      <c r="CB36" s="131"/>
      <c r="CC36" s="131"/>
      <c r="CD36" s="108"/>
      <c r="CE36" s="131"/>
      <c r="CF36" s="131"/>
      <c r="CG36" s="126"/>
      <c r="CH36" s="131"/>
      <c r="CI36" s="131"/>
      <c r="CK36" s="108"/>
      <c r="CL36" s="131"/>
      <c r="CM36" s="131"/>
      <c r="CN36" s="131"/>
      <c r="CO36" s="131"/>
      <c r="CP36" s="131"/>
      <c r="CQ36" s="131"/>
      <c r="CR36" s="108"/>
      <c r="CS36" s="131"/>
      <c r="CT36" s="131"/>
      <c r="CU36" s="131"/>
      <c r="CV36" s="131"/>
      <c r="CW36" s="131"/>
      <c r="CX36" s="131"/>
      <c r="CY36" s="135"/>
    </row>
    <row r="37" spans="1:103" s="125" customFormat="1">
      <c r="A37" s="308"/>
      <c r="B37" s="213"/>
      <c r="C37" s="198"/>
      <c r="D37" s="198"/>
      <c r="E37" s="198"/>
      <c r="F37" s="199"/>
      <c r="G37" s="133"/>
      <c r="L37" s="135"/>
      <c r="Q37" s="146"/>
      <c r="S37" s="135"/>
      <c r="Z37" s="135"/>
      <c r="AC37" s="125" t="s">
        <v>1213</v>
      </c>
      <c r="AE37" s="138"/>
      <c r="AG37" s="135"/>
      <c r="AJ37" s="182"/>
      <c r="AK37" s="124" t="s">
        <v>1301</v>
      </c>
      <c r="AL37" s="149"/>
      <c r="AN37" s="135"/>
      <c r="AQ37" s="125" t="s">
        <v>1302</v>
      </c>
      <c r="AT37" s="124"/>
      <c r="AU37" s="135"/>
      <c r="AV37" s="137" t="s">
        <v>1303</v>
      </c>
      <c r="AX37" s="126" t="s">
        <v>1304</v>
      </c>
      <c r="AY37" s="125" t="s">
        <v>1261</v>
      </c>
      <c r="BB37" s="135"/>
      <c r="BC37" s="138"/>
      <c r="BG37" s="131"/>
      <c r="BI37" s="135"/>
      <c r="BK37" s="131"/>
      <c r="BL37" s="124"/>
      <c r="BM37" s="131"/>
      <c r="BN37" s="131"/>
      <c r="BO37" s="131"/>
      <c r="BP37" s="108"/>
      <c r="BQ37" s="131"/>
      <c r="BR37" s="131"/>
      <c r="BS37" s="131"/>
      <c r="BV37" s="131"/>
      <c r="BW37" s="108"/>
      <c r="BX37" s="131"/>
      <c r="BY37" s="131"/>
      <c r="BZ37" s="144"/>
      <c r="CA37" s="131"/>
      <c r="CB37" s="131"/>
      <c r="CC37" s="131"/>
      <c r="CD37" s="108"/>
      <c r="CE37" s="126"/>
      <c r="CF37" s="131"/>
      <c r="CG37" s="131"/>
      <c r="CH37" s="131"/>
      <c r="CI37" s="183"/>
      <c r="CK37" s="108"/>
      <c r="CL37" s="131"/>
      <c r="CM37" s="131"/>
      <c r="CN37" s="131"/>
      <c r="CO37" s="131"/>
      <c r="CP37" s="131"/>
      <c r="CQ37" s="131"/>
      <c r="CR37" s="108"/>
      <c r="CS37" s="131"/>
      <c r="CT37" s="131"/>
      <c r="CU37" s="131"/>
      <c r="CV37" s="131"/>
      <c r="CW37" s="131"/>
      <c r="CX37" s="131"/>
      <c r="CY37" s="135"/>
    </row>
    <row r="38" spans="1:103" s="125" customFormat="1">
      <c r="A38" s="308"/>
      <c r="B38" s="213"/>
      <c r="C38" s="198"/>
      <c r="D38" s="198"/>
      <c r="E38" s="198"/>
      <c r="F38" s="199"/>
      <c r="G38" s="133"/>
      <c r="L38" s="135"/>
      <c r="S38" s="135"/>
      <c r="Z38" s="135"/>
      <c r="AC38" s="124" t="s">
        <v>1305</v>
      </c>
      <c r="AE38" s="134"/>
      <c r="AG38" s="135"/>
      <c r="AJ38" s="148"/>
      <c r="AK38" s="124" t="s">
        <v>1306</v>
      </c>
      <c r="AL38" s="138"/>
      <c r="AN38" s="135"/>
      <c r="AQ38" s="125" t="s">
        <v>1307</v>
      </c>
      <c r="AU38" s="135"/>
      <c r="AV38" s="125" t="s">
        <v>1308</v>
      </c>
      <c r="AX38" s="125" t="s">
        <v>1309</v>
      </c>
      <c r="AZ38" s="124"/>
      <c r="BB38" s="135"/>
      <c r="BG38" s="131"/>
      <c r="BI38" s="135"/>
      <c r="BK38" s="131"/>
      <c r="BM38" s="131"/>
      <c r="BN38" s="131"/>
      <c r="BO38" s="131"/>
      <c r="BP38" s="108"/>
      <c r="BQ38" s="131"/>
      <c r="BR38" s="131"/>
      <c r="BS38" s="131"/>
      <c r="BT38" s="131"/>
      <c r="BU38" s="131"/>
      <c r="BV38" s="124"/>
      <c r="BW38" s="108"/>
      <c r="BX38" s="131"/>
      <c r="BY38" s="131"/>
      <c r="BZ38" s="144"/>
      <c r="CA38" s="131"/>
      <c r="CB38" s="131"/>
      <c r="CC38" s="131"/>
      <c r="CD38" s="108"/>
      <c r="CE38" s="131"/>
      <c r="CF38" s="131"/>
      <c r="CG38" s="131"/>
      <c r="CH38" s="131"/>
      <c r="CI38" s="124"/>
      <c r="CJ38" s="183"/>
      <c r="CK38" s="108"/>
      <c r="CL38" s="131"/>
      <c r="CM38" s="131"/>
      <c r="CN38" s="131"/>
      <c r="CO38" s="131"/>
      <c r="CP38" s="131"/>
      <c r="CQ38" s="131"/>
      <c r="CR38" s="108"/>
      <c r="CS38" s="131"/>
      <c r="CT38" s="131"/>
      <c r="CU38" s="131"/>
      <c r="CV38" s="131"/>
      <c r="CW38" s="131"/>
      <c r="CX38" s="131"/>
      <c r="CY38" s="135"/>
    </row>
    <row r="39" spans="1:103" s="125" customFormat="1">
      <c r="A39" s="308"/>
      <c r="B39" s="213"/>
      <c r="C39" s="198"/>
      <c r="D39" s="198"/>
      <c r="E39" s="198"/>
      <c r="F39" s="199"/>
      <c r="G39" s="133"/>
      <c r="L39" s="135"/>
      <c r="S39" s="135"/>
      <c r="Z39" s="135"/>
      <c r="AG39" s="135"/>
      <c r="AK39" s="138"/>
      <c r="AL39" s="146"/>
      <c r="AN39" s="135"/>
      <c r="AO39" s="146"/>
      <c r="AP39" s="146"/>
      <c r="AQ39" s="125" t="s">
        <v>1310</v>
      </c>
      <c r="AU39" s="135"/>
      <c r="AV39" s="146"/>
      <c r="AX39" s="138"/>
      <c r="BB39" s="135"/>
      <c r="BG39" s="131"/>
      <c r="BI39" s="135"/>
      <c r="BK39" s="131"/>
      <c r="BL39" s="131"/>
      <c r="BM39" s="131"/>
      <c r="BN39" s="131"/>
      <c r="BO39" s="131"/>
      <c r="BP39" s="108"/>
      <c r="BQ39" s="131"/>
      <c r="BR39" s="131"/>
      <c r="BS39" s="131"/>
      <c r="BT39" s="131"/>
      <c r="BW39" s="108"/>
      <c r="BX39" s="131"/>
      <c r="BY39" s="131"/>
      <c r="CA39" s="131"/>
      <c r="CB39" s="131"/>
      <c r="CC39" s="131"/>
      <c r="CD39" s="108"/>
      <c r="CE39" s="131"/>
      <c r="CF39" s="131"/>
      <c r="CG39" s="131"/>
      <c r="CH39" s="131"/>
      <c r="CI39" s="124"/>
      <c r="CJ39" s="183"/>
      <c r="CK39" s="108"/>
      <c r="CL39" s="131"/>
      <c r="CM39" s="131"/>
      <c r="CN39" s="131"/>
      <c r="CO39" s="131"/>
      <c r="CP39" s="131"/>
      <c r="CQ39" s="131"/>
      <c r="CR39" s="108"/>
      <c r="CS39" s="131"/>
      <c r="CT39" s="131"/>
      <c r="CU39" s="131"/>
      <c r="CV39" s="131"/>
      <c r="CW39" s="131"/>
      <c r="CX39" s="131"/>
      <c r="CY39" s="135"/>
    </row>
    <row r="40" spans="1:103" s="146" customFormat="1">
      <c r="A40" s="308"/>
      <c r="B40" s="214"/>
      <c r="C40" s="200"/>
      <c r="D40" s="200"/>
      <c r="E40" s="200"/>
      <c r="F40" s="201"/>
      <c r="G40" s="157"/>
      <c r="L40" s="158"/>
      <c r="S40" s="158"/>
      <c r="Z40" s="158"/>
      <c r="AG40" s="158"/>
      <c r="AN40" s="293"/>
      <c r="AO40" s="296"/>
      <c r="AP40" s="296"/>
      <c r="AQ40" s="157"/>
      <c r="AU40" s="158"/>
      <c r="AZ40" s="125"/>
      <c r="BB40" s="158"/>
      <c r="BD40" s="125"/>
      <c r="BE40" s="134"/>
      <c r="BG40" s="151"/>
      <c r="BI40" s="158"/>
      <c r="BJ40" s="184"/>
      <c r="BK40" s="151"/>
      <c r="BL40" s="151"/>
      <c r="BM40" s="151"/>
      <c r="BN40" s="151"/>
      <c r="BO40" s="151"/>
      <c r="BP40" s="159"/>
      <c r="BQ40" s="151"/>
      <c r="BR40" s="151"/>
      <c r="BS40" s="151"/>
      <c r="BT40" s="151"/>
      <c r="BU40" s="151"/>
      <c r="BW40" s="159"/>
      <c r="BX40" s="151"/>
      <c r="BY40" s="151"/>
      <c r="BZ40" s="126"/>
      <c r="CA40" s="151"/>
      <c r="CB40" s="151"/>
      <c r="CC40" s="151"/>
      <c r="CD40" s="159"/>
      <c r="CE40" s="151"/>
      <c r="CF40" s="151"/>
      <c r="CG40" s="151"/>
      <c r="CH40" s="131"/>
      <c r="CI40" s="131"/>
      <c r="CJ40" s="185"/>
      <c r="CK40" s="159"/>
      <c r="CL40" s="151"/>
      <c r="CM40" s="151"/>
      <c r="CN40" s="151"/>
      <c r="CO40" s="151"/>
      <c r="CP40" s="151"/>
      <c r="CQ40" s="151"/>
      <c r="CR40" s="159"/>
      <c r="CS40" s="151"/>
      <c r="CT40" s="151"/>
      <c r="CU40" s="151"/>
      <c r="CV40" s="151"/>
      <c r="CW40" s="151"/>
      <c r="CX40" s="151"/>
      <c r="CY40" s="158"/>
    </row>
    <row r="41" spans="1:103" s="146" customFormat="1">
      <c r="A41" s="308"/>
      <c r="B41" s="214"/>
      <c r="C41" s="200"/>
      <c r="D41" s="200"/>
      <c r="E41" s="200"/>
      <c r="F41" s="201"/>
      <c r="G41" s="157"/>
      <c r="L41" s="158"/>
      <c r="S41" s="158"/>
      <c r="Z41" s="158"/>
      <c r="AG41" s="158"/>
      <c r="AN41" s="293"/>
      <c r="AO41" s="296"/>
      <c r="AP41" s="149" t="s">
        <v>1311</v>
      </c>
      <c r="AQ41" s="294"/>
      <c r="AR41" s="157"/>
      <c r="AU41" s="158"/>
      <c r="AV41" s="146" t="s">
        <v>1312</v>
      </c>
      <c r="BB41" s="158"/>
      <c r="BG41" s="151"/>
      <c r="BI41" s="158"/>
      <c r="BK41" s="151"/>
      <c r="BL41" s="151"/>
      <c r="BM41" s="151"/>
      <c r="BN41" s="151"/>
      <c r="BO41" s="151"/>
      <c r="BP41" s="159"/>
      <c r="BQ41" s="151"/>
      <c r="BR41" s="151"/>
      <c r="BS41" s="151"/>
      <c r="BT41" s="151"/>
      <c r="BU41" s="151"/>
      <c r="BV41" s="151"/>
      <c r="BW41" s="159"/>
      <c r="BX41" s="151"/>
      <c r="BY41" s="151"/>
      <c r="BZ41" s="151"/>
      <c r="CA41" s="151"/>
      <c r="CB41" s="151"/>
      <c r="CC41" s="151"/>
      <c r="CD41" s="159"/>
      <c r="CE41" s="151"/>
      <c r="CF41" s="151"/>
      <c r="CG41" s="151"/>
      <c r="CH41" s="151"/>
      <c r="CI41" s="186"/>
      <c r="CJ41" s="151"/>
      <c r="CK41" s="159"/>
      <c r="CL41" s="151"/>
      <c r="CM41" s="151"/>
      <c r="CN41" s="151"/>
      <c r="CO41" s="151"/>
      <c r="CP41" s="151"/>
      <c r="CQ41" s="151"/>
      <c r="CR41" s="159"/>
      <c r="CS41" s="151"/>
      <c r="CT41" s="151"/>
      <c r="CU41" s="151"/>
      <c r="CV41" s="151"/>
      <c r="CW41" s="151"/>
      <c r="CX41" s="151"/>
      <c r="CY41" s="158"/>
    </row>
    <row r="42" spans="1:103" s="125" customFormat="1">
      <c r="A42" s="308"/>
      <c r="B42" s="210"/>
      <c r="C42" s="193"/>
      <c r="D42" s="193"/>
      <c r="E42" s="193"/>
      <c r="F42" s="194"/>
      <c r="L42" s="135"/>
      <c r="S42" s="135"/>
      <c r="Z42" s="135"/>
      <c r="AG42" s="135"/>
      <c r="AN42" s="135"/>
      <c r="AO42" s="291"/>
      <c r="AP42" s="295" t="s">
        <v>1313</v>
      </c>
      <c r="AR42" s="133"/>
      <c r="AU42" s="135"/>
      <c r="BB42" s="135"/>
      <c r="BG42" s="131"/>
      <c r="BI42" s="135"/>
      <c r="BK42" s="131"/>
      <c r="BL42" s="131"/>
      <c r="BM42" s="131"/>
      <c r="BN42" s="131"/>
      <c r="BO42" s="131"/>
      <c r="BP42" s="108"/>
      <c r="BQ42" s="131"/>
      <c r="BR42" s="131"/>
      <c r="BS42" s="131"/>
      <c r="BT42" s="131"/>
      <c r="BU42" s="131"/>
      <c r="BV42" s="131"/>
      <c r="BW42" s="108"/>
      <c r="BX42" s="131"/>
      <c r="BY42" s="131"/>
      <c r="BZ42" s="131"/>
      <c r="CA42" s="131"/>
      <c r="CB42" s="131"/>
      <c r="CC42" s="131"/>
      <c r="CD42" s="108"/>
      <c r="CE42" s="131"/>
      <c r="CF42" s="131"/>
      <c r="CG42" s="131"/>
      <c r="CH42" s="131"/>
      <c r="CI42" s="131"/>
      <c r="CJ42" s="131"/>
      <c r="CK42" s="108"/>
      <c r="CL42" s="131"/>
      <c r="CM42" s="131"/>
      <c r="CN42" s="131"/>
      <c r="CO42" s="131"/>
      <c r="CP42" s="131"/>
      <c r="CQ42" s="131"/>
      <c r="CR42" s="108"/>
      <c r="CS42" s="131"/>
      <c r="CT42" s="131"/>
      <c r="CU42" s="131"/>
      <c r="CV42" s="131"/>
      <c r="CW42" s="131"/>
      <c r="CX42" s="131"/>
      <c r="CY42" s="135"/>
    </row>
  </sheetData>
  <mergeCells count="4">
    <mergeCell ref="A3:A17"/>
    <mergeCell ref="A18:A30"/>
    <mergeCell ref="A31:A42"/>
    <mergeCell ref="AH14:AH16"/>
  </mergeCells>
  <conditionalFormatting sqref="A2:XFD2">
    <cfRule type="timePeriod" dxfId="58" priority="1" timePeriod="today">
      <formula>FLOOR(A2,1)=TODAY()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96A9-30CC-4252-B36D-DCD4E684ADD0}">
  <sheetPr codeName="Sheet6"/>
  <dimension ref="B2:B12"/>
  <sheetViews>
    <sheetView zoomScale="103" workbookViewId="0">
      <selection activeCell="B12" sqref="B12"/>
    </sheetView>
  </sheetViews>
  <sheetFormatPr defaultColWidth="8.85546875" defaultRowHeight="15"/>
  <cols>
    <col min="1" max="1" width="4" style="5" customWidth="1"/>
    <col min="2" max="2" width="70.5703125" style="5" bestFit="1" customWidth="1"/>
    <col min="3" max="3" width="18" style="5" customWidth="1"/>
    <col min="4" max="4" width="23.140625" style="5" bestFit="1" customWidth="1"/>
    <col min="5" max="5" width="0" style="5" hidden="1" customWidth="1"/>
    <col min="6" max="7" width="8.85546875" style="5"/>
    <col min="8" max="8" width="17.42578125" style="5" customWidth="1"/>
    <col min="9" max="9" width="11.85546875" style="5" customWidth="1"/>
    <col min="10" max="10" width="67.42578125" style="5" customWidth="1"/>
    <col min="11" max="16384" width="8.85546875" style="5"/>
  </cols>
  <sheetData>
    <row r="2" spans="2:2" ht="15" customHeight="1">
      <c r="B2" s="191"/>
    </row>
    <row r="3" spans="2:2" ht="15.75">
      <c r="B3" s="222" t="s">
        <v>1314</v>
      </c>
    </row>
    <row r="4" spans="2:2" ht="15.75">
      <c r="B4" s="264" t="s">
        <v>1315</v>
      </c>
    </row>
    <row r="5" spans="2:2" ht="15.75">
      <c r="B5" s="264" t="s">
        <v>1316</v>
      </c>
    </row>
    <row r="6" spans="2:2" ht="15.75">
      <c r="B6" s="264" t="s">
        <v>1317</v>
      </c>
    </row>
    <row r="7" spans="2:2" ht="15.75">
      <c r="B7" s="223" t="s">
        <v>1318</v>
      </c>
    </row>
    <row r="8" spans="2:2" ht="15.75">
      <c r="B8" s="222" t="s">
        <v>1319</v>
      </c>
    </row>
    <row r="9" spans="2:2" ht="15.75">
      <c r="B9" s="264" t="s">
        <v>1320</v>
      </c>
    </row>
    <row r="10" spans="2:2" ht="15.75">
      <c r="B10" s="264" t="s">
        <v>1321</v>
      </c>
    </row>
    <row r="11" spans="2:2" ht="15.75">
      <c r="B11" s="264" t="s">
        <v>1322</v>
      </c>
    </row>
    <row r="12" spans="2:2" ht="15.75">
      <c r="B12" s="264" t="s">
        <v>1317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C8C6-91E8-4048-9950-465E69727BE1}">
  <sheetPr codeName="Sheet7"/>
  <dimension ref="A1:H7"/>
  <sheetViews>
    <sheetView workbookViewId="0">
      <selection activeCell="B14" sqref="B14"/>
    </sheetView>
  </sheetViews>
  <sheetFormatPr defaultRowHeight="15"/>
  <cols>
    <col min="1" max="1" width="45.42578125" bestFit="1" customWidth="1"/>
    <col min="2" max="2" width="16.85546875" bestFit="1" customWidth="1"/>
    <col min="3" max="3" width="26.28515625" bestFit="1" customWidth="1"/>
    <col min="4" max="4" width="18.140625" customWidth="1"/>
    <col min="5" max="5" width="21.42578125" bestFit="1" customWidth="1"/>
    <col min="6" max="6" width="12.28515625" customWidth="1"/>
    <col min="7" max="7" width="12.140625" customWidth="1"/>
    <col min="8" max="8" width="4.28515625" hidden="1" customWidth="1"/>
  </cols>
  <sheetData>
    <row r="1" spans="1:8" ht="27.75">
      <c r="A1" s="250" t="s">
        <v>3</v>
      </c>
      <c r="B1" s="250" t="s">
        <v>4</v>
      </c>
      <c r="C1" s="250" t="s">
        <v>6</v>
      </c>
      <c r="D1" s="251" t="s">
        <v>7</v>
      </c>
      <c r="E1" s="250" t="s">
        <v>8</v>
      </c>
      <c r="F1" s="252" t="s">
        <v>9</v>
      </c>
      <c r="G1" s="252" t="s">
        <v>10</v>
      </c>
      <c r="H1" s="224" t="s">
        <v>11</v>
      </c>
    </row>
    <row r="2" spans="1:8">
      <c r="A2" s="289" t="s">
        <v>295</v>
      </c>
      <c r="B2" s="21" t="s">
        <v>296</v>
      </c>
      <c r="C2" s="54" t="s">
        <v>137</v>
      </c>
      <c r="D2" s="23" t="s">
        <v>62</v>
      </c>
      <c r="E2" s="24">
        <v>23.2</v>
      </c>
      <c r="F2" s="25">
        <v>23</v>
      </c>
      <c r="G2" s="55">
        <v>24.5</v>
      </c>
      <c r="H2" s="225">
        <v>14.4</v>
      </c>
    </row>
    <row r="3" spans="1:8">
      <c r="A3" s="20" t="s">
        <v>420</v>
      </c>
      <c r="B3" s="21" t="s">
        <v>409</v>
      </c>
      <c r="C3" s="22" t="s">
        <v>137</v>
      </c>
      <c r="D3" s="23" t="s">
        <v>62</v>
      </c>
      <c r="E3" s="227">
        <v>22</v>
      </c>
      <c r="F3" s="25">
        <v>24</v>
      </c>
      <c r="G3" s="25">
        <v>26</v>
      </c>
      <c r="H3" s="226">
        <v>14.4</v>
      </c>
    </row>
    <row r="4" spans="1:8">
      <c r="A4" s="20" t="s">
        <v>451</v>
      </c>
      <c r="B4" s="21" t="s">
        <v>409</v>
      </c>
      <c r="C4" s="22" t="s">
        <v>137</v>
      </c>
      <c r="D4" s="23" t="s">
        <v>62</v>
      </c>
      <c r="E4" s="227">
        <v>22.9</v>
      </c>
      <c r="F4" s="25">
        <v>24</v>
      </c>
      <c r="G4" s="25">
        <v>26</v>
      </c>
      <c r="H4" s="225">
        <v>14.2</v>
      </c>
    </row>
    <row r="5" spans="1:8">
      <c r="A5" s="20" t="s">
        <v>498</v>
      </c>
      <c r="B5" s="21" t="s">
        <v>499</v>
      </c>
      <c r="C5" s="22" t="s">
        <v>137</v>
      </c>
      <c r="D5" s="23" t="s">
        <v>62</v>
      </c>
      <c r="E5" s="227">
        <v>19</v>
      </c>
      <c r="F5" s="25">
        <v>22</v>
      </c>
      <c r="G5" s="25">
        <v>23</v>
      </c>
      <c r="H5" s="226">
        <v>11.4</v>
      </c>
    </row>
    <row r="6" spans="1:8">
      <c r="A6" s="20" t="s">
        <v>650</v>
      </c>
      <c r="B6" s="21" t="s">
        <v>646</v>
      </c>
      <c r="C6" s="22" t="s">
        <v>137</v>
      </c>
      <c r="D6" s="23" t="s">
        <v>62</v>
      </c>
      <c r="E6" s="227">
        <v>23.1</v>
      </c>
      <c r="F6" s="25">
        <v>25</v>
      </c>
      <c r="G6" s="26"/>
    </row>
    <row r="7" spans="1:8">
      <c r="A7" s="20" t="s">
        <v>679</v>
      </c>
      <c r="B7" s="21" t="s">
        <v>646</v>
      </c>
      <c r="C7" s="22" t="s">
        <v>137</v>
      </c>
      <c r="D7" s="23" t="s">
        <v>62</v>
      </c>
      <c r="E7" s="24">
        <v>22.8</v>
      </c>
      <c r="F7" s="25">
        <v>19</v>
      </c>
      <c r="G7" s="25"/>
    </row>
  </sheetData>
  <phoneticPr fontId="20" type="noConversion"/>
  <conditionalFormatting sqref="H1">
    <cfRule type="timePeriod" dxfId="57" priority="39" timePeriod="today">
      <formula>FLOOR(H1,1)=TODAY()</formula>
    </cfRule>
  </conditionalFormatting>
  <conditionalFormatting sqref="A1:G1">
    <cfRule type="timePeriod" dxfId="56" priority="1" timePeriod="today">
      <formula>FLOOR(A1,1)=TODAY()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E610-CAB5-430C-B3C7-42F7D5B7439C}">
  <sheetPr codeName="Sheet8"/>
  <dimension ref="A1:I118"/>
  <sheetViews>
    <sheetView topLeftCell="A53" workbookViewId="0">
      <selection activeCell="C60" sqref="C60"/>
    </sheetView>
  </sheetViews>
  <sheetFormatPr defaultRowHeight="15"/>
  <cols>
    <col min="1" max="1" width="40.28515625" style="4" bestFit="1" customWidth="1"/>
    <col min="2" max="2" width="16.85546875" style="4" bestFit="1" customWidth="1"/>
    <col min="3" max="3" width="52.5703125" style="209" customWidth="1"/>
    <col min="4" max="4" width="45.85546875" style="4" bestFit="1" customWidth="1"/>
    <col min="5" max="5" width="46.42578125" style="4" customWidth="1"/>
    <col min="6" max="8" width="16.85546875" style="4" customWidth="1"/>
    <col min="9" max="9" width="18.5703125" style="4" customWidth="1"/>
  </cols>
  <sheetData>
    <row r="1" spans="1:9">
      <c r="A1" s="203" t="s">
        <v>3</v>
      </c>
      <c r="B1" s="205" t="s">
        <v>4</v>
      </c>
      <c r="C1" s="206" t="s">
        <v>1323</v>
      </c>
      <c r="D1" s="232" t="s">
        <v>26</v>
      </c>
      <c r="E1" s="232" t="s">
        <v>29</v>
      </c>
      <c r="F1" s="232" t="s">
        <v>30</v>
      </c>
      <c r="G1" s="232" t="s">
        <v>48</v>
      </c>
      <c r="H1" s="205" t="s">
        <v>1324</v>
      </c>
      <c r="I1" s="205" t="s">
        <v>1325</v>
      </c>
    </row>
    <row r="2" spans="1:9">
      <c r="A2" s="204" t="s">
        <v>135</v>
      </c>
      <c r="B2" s="82" t="s">
        <v>136</v>
      </c>
      <c r="C2" s="207"/>
      <c r="D2" s="82"/>
      <c r="E2" s="82"/>
      <c r="F2" s="82"/>
      <c r="G2" s="82"/>
      <c r="H2" s="82"/>
    </row>
    <row r="3" spans="1:9">
      <c r="A3" s="20" t="s">
        <v>144</v>
      </c>
      <c r="B3" s="21" t="s">
        <v>145</v>
      </c>
      <c r="C3" s="208"/>
      <c r="D3" s="21"/>
      <c r="E3" s="21"/>
      <c r="F3" s="21"/>
      <c r="G3" s="21"/>
      <c r="H3" s="21"/>
    </row>
    <row r="4" spans="1:9">
      <c r="A4" s="204" t="s">
        <v>147</v>
      </c>
      <c r="B4" s="82" t="s">
        <v>148</v>
      </c>
      <c r="C4" s="207"/>
      <c r="D4" s="82"/>
      <c r="E4" s="82"/>
      <c r="F4" s="82"/>
      <c r="G4" s="82"/>
      <c r="H4" s="82"/>
    </row>
    <row r="5" spans="1:9">
      <c r="A5" s="20" t="s">
        <v>156</v>
      </c>
      <c r="B5" s="21" t="s">
        <v>157</v>
      </c>
      <c r="C5" s="208"/>
      <c r="D5" s="21"/>
      <c r="E5" s="21"/>
      <c r="F5" s="21"/>
      <c r="G5" s="21"/>
      <c r="H5" s="21"/>
    </row>
    <row r="6" spans="1:9">
      <c r="A6" s="204" t="s">
        <v>159</v>
      </c>
      <c r="B6" s="82" t="s">
        <v>157</v>
      </c>
      <c r="C6" s="207"/>
      <c r="D6" s="82"/>
      <c r="E6" s="82"/>
      <c r="F6" s="82"/>
      <c r="G6" s="82"/>
      <c r="H6" s="82"/>
    </row>
    <row r="7" spans="1:9">
      <c r="A7" s="20" t="s">
        <v>161</v>
      </c>
      <c r="B7" s="21" t="s">
        <v>162</v>
      </c>
      <c r="C7" s="208"/>
      <c r="D7" s="21"/>
      <c r="E7" s="21"/>
      <c r="F7" s="21"/>
      <c r="G7" s="21"/>
      <c r="H7" s="21"/>
    </row>
    <row r="8" spans="1:9">
      <c r="A8" s="204" t="s">
        <v>164</v>
      </c>
      <c r="B8" s="82" t="s">
        <v>162</v>
      </c>
      <c r="C8" s="207"/>
      <c r="D8" s="82"/>
      <c r="E8" s="82"/>
      <c r="F8" s="82"/>
      <c r="G8" s="82"/>
      <c r="H8" s="82"/>
    </row>
    <row r="9" spans="1:9">
      <c r="A9" s="20" t="s">
        <v>166</v>
      </c>
      <c r="B9" s="21" t="s">
        <v>162</v>
      </c>
      <c r="C9" s="208"/>
      <c r="D9" s="21"/>
      <c r="E9" s="21"/>
      <c r="F9" s="21"/>
      <c r="G9" s="21"/>
      <c r="H9" s="21"/>
    </row>
    <row r="10" spans="1:9">
      <c r="A10" s="20" t="s">
        <v>168</v>
      </c>
      <c r="B10" s="21" t="s">
        <v>162</v>
      </c>
      <c r="C10" s="208"/>
      <c r="D10" s="21"/>
      <c r="E10" s="21"/>
      <c r="F10" s="21"/>
      <c r="G10" s="21"/>
      <c r="H10" s="21"/>
    </row>
    <row r="11" spans="1:9">
      <c r="A11" s="20" t="s">
        <v>170</v>
      </c>
      <c r="B11" s="21" t="s">
        <v>162</v>
      </c>
      <c r="C11" s="208"/>
      <c r="D11" s="21"/>
      <c r="E11" s="21"/>
      <c r="F11" s="21"/>
      <c r="G11" s="21"/>
      <c r="H11" s="21"/>
    </row>
    <row r="12" spans="1:9">
      <c r="A12" s="20" t="s">
        <v>172</v>
      </c>
      <c r="B12" s="21" t="s">
        <v>162</v>
      </c>
      <c r="C12" s="208"/>
      <c r="D12" s="21"/>
      <c r="E12" s="21"/>
      <c r="F12" s="21"/>
      <c r="G12" s="21"/>
      <c r="H12" s="21"/>
    </row>
    <row r="13" spans="1:9">
      <c r="A13" s="20" t="s">
        <v>210</v>
      </c>
      <c r="B13" s="21" t="s">
        <v>162</v>
      </c>
      <c r="C13" s="208"/>
      <c r="D13" s="21"/>
      <c r="E13" s="21"/>
      <c r="F13" s="21"/>
      <c r="G13" s="21"/>
      <c r="H13" s="21"/>
    </row>
    <row r="14" spans="1:9">
      <c r="A14" s="20" t="s">
        <v>222</v>
      </c>
      <c r="B14" s="21" t="s">
        <v>162</v>
      </c>
      <c r="C14" s="208"/>
      <c r="D14" s="21"/>
      <c r="E14" s="21"/>
      <c r="F14" s="21"/>
      <c r="G14" s="21"/>
      <c r="H14" s="21"/>
    </row>
    <row r="15" spans="1:9">
      <c r="A15" s="20" t="s">
        <v>1326</v>
      </c>
      <c r="B15" s="21" t="s">
        <v>162</v>
      </c>
      <c r="C15" s="208"/>
      <c r="D15" s="21"/>
      <c r="E15" s="21"/>
      <c r="F15" s="21"/>
      <c r="G15" s="21"/>
      <c r="H15" s="21"/>
    </row>
    <row r="16" spans="1:9">
      <c r="A16" s="20" t="s">
        <v>230</v>
      </c>
      <c r="B16" s="21" t="s">
        <v>162</v>
      </c>
      <c r="C16" s="208"/>
      <c r="D16" s="21"/>
      <c r="E16" s="21"/>
      <c r="F16" s="21"/>
      <c r="G16" s="21"/>
      <c r="H16" s="21"/>
    </row>
    <row r="17" spans="1:8">
      <c r="A17" s="20" t="s">
        <v>238</v>
      </c>
      <c r="B17" s="21" t="s">
        <v>162</v>
      </c>
      <c r="C17" s="208"/>
      <c r="D17" s="21"/>
      <c r="E17" s="21"/>
      <c r="F17" s="21"/>
      <c r="G17" s="21"/>
      <c r="H17" s="21"/>
    </row>
    <row r="18" spans="1:8">
      <c r="A18" s="20" t="s">
        <v>242</v>
      </c>
      <c r="B18" s="21" t="s">
        <v>162</v>
      </c>
      <c r="C18" s="208"/>
      <c r="D18" s="21"/>
      <c r="E18" s="21"/>
      <c r="F18" s="21"/>
      <c r="G18" s="21"/>
      <c r="H18" s="21"/>
    </row>
    <row r="19" spans="1:8">
      <c r="A19" s="20" t="s">
        <v>246</v>
      </c>
      <c r="B19" s="21" t="s">
        <v>162</v>
      </c>
      <c r="C19" s="208"/>
      <c r="D19" s="21"/>
      <c r="E19" s="21"/>
      <c r="F19" s="21"/>
      <c r="G19" s="21"/>
      <c r="H19" s="21"/>
    </row>
    <row r="20" spans="1:8">
      <c r="A20" s="20" t="s">
        <v>249</v>
      </c>
      <c r="B20" s="21" t="s">
        <v>162</v>
      </c>
      <c r="C20" s="208"/>
      <c r="D20" s="21"/>
      <c r="E20" s="21"/>
      <c r="F20" s="21"/>
      <c r="G20" s="21"/>
      <c r="H20" s="21"/>
    </row>
    <row r="21" spans="1:8">
      <c r="A21" s="20" t="s">
        <v>251</v>
      </c>
      <c r="B21" s="21" t="s">
        <v>162</v>
      </c>
      <c r="C21" s="208"/>
      <c r="D21" s="21"/>
      <c r="E21" s="21"/>
      <c r="F21" s="21"/>
      <c r="G21" s="21"/>
      <c r="H21" s="21"/>
    </row>
    <row r="22" spans="1:8">
      <c r="A22" s="20" t="s">
        <v>253</v>
      </c>
      <c r="B22" s="21" t="s">
        <v>162</v>
      </c>
      <c r="C22" s="208"/>
      <c r="D22" s="21"/>
      <c r="E22" s="21"/>
      <c r="F22" s="21"/>
      <c r="G22" s="21"/>
      <c r="H22" s="21"/>
    </row>
    <row r="23" spans="1:8">
      <c r="A23" s="20" t="s">
        <v>285</v>
      </c>
      <c r="B23" s="21" t="s">
        <v>162</v>
      </c>
      <c r="C23" s="208"/>
      <c r="D23" s="21"/>
      <c r="E23" s="21"/>
      <c r="F23" s="21"/>
      <c r="G23" s="21"/>
      <c r="H23" s="21"/>
    </row>
    <row r="24" spans="1:8" ht="27">
      <c r="A24" s="20" t="s">
        <v>309</v>
      </c>
      <c r="B24" s="21" t="s">
        <v>296</v>
      </c>
      <c r="C24" s="208" t="s">
        <v>1327</v>
      </c>
      <c r="D24" s="21"/>
      <c r="E24" s="21"/>
      <c r="F24" s="21"/>
      <c r="G24" s="21"/>
      <c r="H24" s="21"/>
    </row>
    <row r="25" spans="1:8">
      <c r="A25" s="53" t="s">
        <v>1328</v>
      </c>
      <c r="B25" s="21" t="s">
        <v>296</v>
      </c>
      <c r="C25" s="208"/>
      <c r="D25" s="21"/>
      <c r="E25" s="21"/>
      <c r="F25" s="21"/>
      <c r="G25" s="21"/>
      <c r="H25" s="21"/>
    </row>
    <row r="26" spans="1:8" ht="27">
      <c r="A26" s="53" t="s">
        <v>298</v>
      </c>
      <c r="B26" s="21" t="s">
        <v>296</v>
      </c>
      <c r="C26" s="208"/>
      <c r="D26" s="208" t="s">
        <v>1329</v>
      </c>
      <c r="E26" s="21"/>
      <c r="F26" s="21"/>
      <c r="G26" s="21"/>
      <c r="H26" s="21"/>
    </row>
    <row r="27" spans="1:8">
      <c r="A27" s="20" t="s">
        <v>1330</v>
      </c>
      <c r="B27" s="21" t="s">
        <v>296</v>
      </c>
      <c r="C27" s="208"/>
      <c r="D27" s="21"/>
      <c r="E27" s="21"/>
      <c r="F27" s="21"/>
      <c r="G27" s="21"/>
      <c r="H27" s="21"/>
    </row>
    <row r="28" spans="1:8" ht="27">
      <c r="A28" s="20" t="s">
        <v>1331</v>
      </c>
      <c r="B28" s="21" t="s">
        <v>296</v>
      </c>
      <c r="C28" s="208" t="s">
        <v>1327</v>
      </c>
      <c r="D28" s="21"/>
      <c r="E28" s="21"/>
      <c r="F28" s="21"/>
      <c r="G28" s="21"/>
      <c r="H28" s="21"/>
    </row>
    <row r="29" spans="1:8">
      <c r="A29" s="20" t="s">
        <v>312</v>
      </c>
      <c r="B29" s="21" t="s">
        <v>296</v>
      </c>
      <c r="C29" s="208"/>
      <c r="D29" s="21"/>
      <c r="E29" s="21"/>
      <c r="F29" s="21"/>
      <c r="G29" s="21"/>
      <c r="H29" s="21"/>
    </row>
    <row r="30" spans="1:8">
      <c r="A30" s="20" t="s">
        <v>314</v>
      </c>
      <c r="B30" s="21" t="s">
        <v>296</v>
      </c>
      <c r="C30" s="208"/>
      <c r="D30" s="21"/>
      <c r="E30" s="21"/>
      <c r="F30" s="21"/>
      <c r="G30" s="21"/>
      <c r="H30" s="21"/>
    </row>
    <row r="31" spans="1:8">
      <c r="A31" s="20" t="s">
        <v>322</v>
      </c>
      <c r="B31" s="21" t="s">
        <v>296</v>
      </c>
      <c r="C31" s="208"/>
      <c r="D31" s="21"/>
      <c r="E31" s="21"/>
      <c r="F31" s="21"/>
      <c r="G31" s="21"/>
      <c r="H31" s="21"/>
    </row>
    <row r="32" spans="1:8">
      <c r="A32" s="20" t="s">
        <v>325</v>
      </c>
      <c r="B32" s="21" t="s">
        <v>296</v>
      </c>
      <c r="C32" s="208" t="s">
        <v>1332</v>
      </c>
      <c r="D32" s="21"/>
      <c r="E32" s="21"/>
      <c r="F32" s="21"/>
      <c r="G32" s="21"/>
      <c r="H32" s="21"/>
    </row>
    <row r="33" spans="1:8">
      <c r="A33" s="20" t="s">
        <v>327</v>
      </c>
      <c r="B33" s="21" t="s">
        <v>296</v>
      </c>
      <c r="C33" s="208" t="s">
        <v>1333</v>
      </c>
      <c r="D33" s="21"/>
      <c r="E33" s="21"/>
      <c r="F33" s="21"/>
      <c r="G33" s="21"/>
      <c r="H33" s="21"/>
    </row>
    <row r="34" spans="1:8">
      <c r="A34" s="20" t="s">
        <v>330</v>
      </c>
      <c r="B34" s="21" t="s">
        <v>296</v>
      </c>
      <c r="C34" s="208"/>
      <c r="D34" s="21"/>
      <c r="E34" s="21"/>
      <c r="F34" s="21"/>
      <c r="G34" s="21"/>
      <c r="H34" s="21"/>
    </row>
    <row r="35" spans="1:8">
      <c r="A35" s="20" t="s">
        <v>356</v>
      </c>
      <c r="B35" s="21" t="s">
        <v>357</v>
      </c>
      <c r="C35" s="208"/>
      <c r="D35" s="21"/>
      <c r="E35" s="21"/>
      <c r="F35" s="21"/>
      <c r="G35" s="21"/>
      <c r="H35" s="21"/>
    </row>
    <row r="36" spans="1:8" ht="27">
      <c r="A36" s="20" t="s">
        <v>378</v>
      </c>
      <c r="B36" s="21" t="s">
        <v>379</v>
      </c>
      <c r="C36" s="208" t="s">
        <v>1334</v>
      </c>
      <c r="D36" s="21"/>
      <c r="E36" s="208" t="s">
        <v>1335</v>
      </c>
      <c r="F36" s="21"/>
      <c r="G36" s="21"/>
      <c r="H36" s="21"/>
    </row>
    <row r="37" spans="1:8">
      <c r="A37" s="20" t="s">
        <v>384</v>
      </c>
      <c r="B37" s="21" t="s">
        <v>385</v>
      </c>
      <c r="C37" s="208"/>
      <c r="D37" s="21" t="s">
        <v>1336</v>
      </c>
      <c r="E37" s="21"/>
      <c r="F37" s="21"/>
      <c r="G37" s="21"/>
      <c r="H37" s="21"/>
    </row>
    <row r="38" spans="1:8">
      <c r="A38" s="20" t="s">
        <v>387</v>
      </c>
      <c r="B38" s="21" t="s">
        <v>388</v>
      </c>
      <c r="C38" s="208"/>
      <c r="D38" s="21"/>
      <c r="E38" s="21"/>
      <c r="F38" s="21"/>
      <c r="G38" s="21"/>
      <c r="H38" s="21"/>
    </row>
    <row r="39" spans="1:8" ht="27">
      <c r="A39" s="20" t="s">
        <v>390</v>
      </c>
      <c r="B39" s="21" t="s">
        <v>391</v>
      </c>
      <c r="C39" s="208" t="s">
        <v>1337</v>
      </c>
      <c r="D39" s="208" t="s">
        <v>1338</v>
      </c>
      <c r="E39" s="21"/>
      <c r="F39" s="21"/>
      <c r="G39" s="21"/>
      <c r="H39" s="21"/>
    </row>
    <row r="40" spans="1:8">
      <c r="A40" s="20" t="s">
        <v>395</v>
      </c>
      <c r="B40" s="21" t="s">
        <v>396</v>
      </c>
      <c r="C40" s="208" t="s">
        <v>1339</v>
      </c>
      <c r="D40" s="21"/>
      <c r="E40" s="21"/>
      <c r="F40" s="21"/>
      <c r="G40" s="21"/>
      <c r="H40" s="21"/>
    </row>
    <row r="41" spans="1:8" ht="54">
      <c r="A41" s="20" t="s">
        <v>398</v>
      </c>
      <c r="B41" s="21" t="s">
        <v>396</v>
      </c>
      <c r="C41" s="208"/>
      <c r="D41" s="21"/>
      <c r="E41" s="208"/>
      <c r="F41" s="208" t="s">
        <v>1340</v>
      </c>
      <c r="G41" s="21"/>
      <c r="H41" s="21"/>
    </row>
    <row r="42" spans="1:8">
      <c r="A42" s="20" t="s">
        <v>402</v>
      </c>
      <c r="B42" s="21" t="s">
        <v>396</v>
      </c>
      <c r="C42" s="208"/>
      <c r="D42" s="21"/>
      <c r="E42" s="21"/>
      <c r="F42" s="21"/>
      <c r="G42" s="21"/>
      <c r="H42" s="21"/>
    </row>
    <row r="43" spans="1:8">
      <c r="A43" s="20" t="s">
        <v>403</v>
      </c>
      <c r="B43" s="21" t="s">
        <v>396</v>
      </c>
      <c r="C43" s="208"/>
      <c r="D43" s="21"/>
      <c r="E43" s="21"/>
      <c r="F43" s="21"/>
      <c r="G43" s="21"/>
      <c r="H43" s="21"/>
    </row>
    <row r="44" spans="1:8">
      <c r="A44" s="20" t="s">
        <v>1341</v>
      </c>
      <c r="B44" s="21" t="s">
        <v>409</v>
      </c>
      <c r="C44" s="208"/>
      <c r="D44" s="21"/>
      <c r="E44" s="21"/>
      <c r="F44" s="21"/>
      <c r="G44" s="21"/>
      <c r="H44" s="21"/>
    </row>
    <row r="45" spans="1:8">
      <c r="A45" s="20" t="s">
        <v>420</v>
      </c>
      <c r="B45" s="21" t="s">
        <v>409</v>
      </c>
      <c r="C45" s="208"/>
      <c r="D45" s="21"/>
      <c r="E45" s="21"/>
      <c r="F45" s="21"/>
      <c r="G45" s="21"/>
      <c r="H45" s="21"/>
    </row>
    <row r="46" spans="1:8">
      <c r="A46" s="20" t="s">
        <v>451</v>
      </c>
      <c r="B46" s="21" t="s">
        <v>409</v>
      </c>
      <c r="C46" s="208"/>
      <c r="D46" s="21"/>
      <c r="E46" s="21"/>
      <c r="F46" s="21"/>
      <c r="G46" s="21"/>
      <c r="H46" s="21"/>
    </row>
    <row r="47" spans="1:8">
      <c r="A47" s="20" t="s">
        <v>453</v>
      </c>
      <c r="B47" s="21" t="s">
        <v>454</v>
      </c>
      <c r="C47" s="208"/>
      <c r="D47" s="21"/>
      <c r="E47" s="21"/>
      <c r="F47" s="21"/>
      <c r="G47" s="21"/>
      <c r="H47" s="21"/>
    </row>
    <row r="48" spans="1:8">
      <c r="A48" s="20" t="s">
        <v>1342</v>
      </c>
      <c r="B48" s="21" t="s">
        <v>460</v>
      </c>
      <c r="C48" s="208"/>
      <c r="D48" s="21"/>
      <c r="E48" s="21"/>
      <c r="F48" s="21"/>
      <c r="G48" s="21"/>
      <c r="H48" s="21"/>
    </row>
    <row r="49" spans="1:8">
      <c r="A49" s="20" t="s">
        <v>467</v>
      </c>
      <c r="B49" s="21" t="s">
        <v>1343</v>
      </c>
      <c r="C49" s="208"/>
      <c r="D49" s="21"/>
      <c r="E49" s="21"/>
      <c r="F49" s="21"/>
      <c r="G49" s="21"/>
      <c r="H49" s="21"/>
    </row>
    <row r="50" spans="1:8">
      <c r="A50" s="20" t="s">
        <v>498</v>
      </c>
      <c r="B50" s="21" t="s">
        <v>499</v>
      </c>
      <c r="C50" s="208"/>
      <c r="D50" s="21" t="s">
        <v>1344</v>
      </c>
      <c r="E50" s="21"/>
      <c r="F50" s="21"/>
      <c r="G50" s="21"/>
      <c r="H50" s="21"/>
    </row>
    <row r="51" spans="1:8">
      <c r="A51" s="20" t="s">
        <v>510</v>
      </c>
      <c r="B51" s="21" t="s">
        <v>502</v>
      </c>
      <c r="C51" s="208"/>
      <c r="D51" s="21"/>
      <c r="E51" s="21"/>
      <c r="F51" s="21"/>
      <c r="G51" s="21"/>
      <c r="H51" s="21"/>
    </row>
    <row r="52" spans="1:8">
      <c r="A52" s="20" t="s">
        <v>1345</v>
      </c>
      <c r="B52" s="21" t="s">
        <v>502</v>
      </c>
      <c r="C52" s="208"/>
      <c r="D52" s="21"/>
      <c r="E52" s="21" t="s">
        <v>1346</v>
      </c>
      <c r="F52" s="21"/>
      <c r="G52" s="21"/>
      <c r="H52" s="21"/>
    </row>
    <row r="53" spans="1:8">
      <c r="A53" s="20" t="s">
        <v>1347</v>
      </c>
      <c r="B53" s="21" t="s">
        <v>529</v>
      </c>
      <c r="C53" s="208"/>
      <c r="D53" s="21"/>
      <c r="E53" s="21"/>
      <c r="F53" s="21"/>
      <c r="G53" s="21"/>
      <c r="H53" s="21"/>
    </row>
    <row r="54" spans="1:8">
      <c r="A54" s="20" t="s">
        <v>1348</v>
      </c>
      <c r="B54" s="21" t="s">
        <v>529</v>
      </c>
      <c r="C54" s="208"/>
      <c r="D54" s="21"/>
      <c r="E54" s="21" t="s">
        <v>1349</v>
      </c>
      <c r="F54" s="21"/>
      <c r="G54" s="21"/>
      <c r="H54" s="21"/>
    </row>
    <row r="55" spans="1:8">
      <c r="A55" s="20" t="s">
        <v>560</v>
      </c>
      <c r="B55" s="21" t="s">
        <v>529</v>
      </c>
      <c r="C55" s="208"/>
      <c r="D55" s="21"/>
      <c r="E55" s="21"/>
      <c r="F55" s="21"/>
      <c r="G55" s="21"/>
      <c r="H55" s="21"/>
    </row>
    <row r="56" spans="1:8">
      <c r="A56" s="20" t="s">
        <v>567</v>
      </c>
      <c r="B56" s="21" t="s">
        <v>568</v>
      </c>
      <c r="C56" s="208"/>
      <c r="D56" s="21"/>
      <c r="E56" s="21"/>
      <c r="F56" s="21"/>
      <c r="G56" s="21"/>
      <c r="H56" s="21"/>
    </row>
    <row r="57" spans="1:8">
      <c r="A57" s="20" t="s">
        <v>576</v>
      </c>
      <c r="B57" s="21" t="s">
        <v>577</v>
      </c>
      <c r="C57" s="208"/>
      <c r="D57" s="21"/>
      <c r="E57" s="21"/>
      <c r="F57" s="21"/>
      <c r="G57" s="21"/>
      <c r="H57" s="21"/>
    </row>
    <row r="58" spans="1:8">
      <c r="A58" s="20" t="s">
        <v>594</v>
      </c>
      <c r="B58" s="21" t="s">
        <v>577</v>
      </c>
      <c r="C58" s="208"/>
      <c r="D58" s="21"/>
      <c r="E58" s="21"/>
      <c r="F58" s="21"/>
      <c r="G58" s="21"/>
      <c r="H58" s="21"/>
    </row>
    <row r="59" spans="1:8">
      <c r="A59" s="20" t="s">
        <v>618</v>
      </c>
      <c r="B59" s="21" t="s">
        <v>613</v>
      </c>
      <c r="C59" s="208"/>
      <c r="D59" s="21"/>
      <c r="E59" s="21"/>
      <c r="F59" s="21"/>
      <c r="G59" s="21"/>
      <c r="H59" s="21"/>
    </row>
    <row r="60" spans="1:8">
      <c r="A60" s="20" t="s">
        <v>1350</v>
      </c>
      <c r="B60" s="21" t="s">
        <v>629</v>
      </c>
      <c r="C60" s="208"/>
      <c r="D60" s="21" t="s">
        <v>1351</v>
      </c>
      <c r="E60" s="21"/>
      <c r="F60" s="21"/>
      <c r="G60" s="21"/>
      <c r="H60" s="21"/>
    </row>
    <row r="61" spans="1:8">
      <c r="A61" s="20" t="s">
        <v>650</v>
      </c>
      <c r="B61" s="21" t="s">
        <v>646</v>
      </c>
      <c r="C61" s="208"/>
      <c r="D61" s="21"/>
      <c r="E61" s="21"/>
      <c r="F61" s="21"/>
      <c r="G61" s="21"/>
      <c r="H61" s="21"/>
    </row>
    <row r="62" spans="1:8">
      <c r="A62" s="20" t="s">
        <v>652</v>
      </c>
      <c r="B62" s="21" t="s">
        <v>646</v>
      </c>
      <c r="C62" s="208"/>
      <c r="D62" s="21" t="s">
        <v>1352</v>
      </c>
      <c r="E62" s="21"/>
      <c r="F62" s="21"/>
      <c r="G62" s="21" t="s">
        <v>1353</v>
      </c>
      <c r="H62" s="21"/>
    </row>
    <row r="63" spans="1:8" ht="40.5">
      <c r="A63" s="20" t="s">
        <v>654</v>
      </c>
      <c r="B63" s="21" t="s">
        <v>646</v>
      </c>
      <c r="C63" s="208"/>
      <c r="D63" s="208" t="s">
        <v>1354</v>
      </c>
      <c r="E63" s="21"/>
      <c r="F63" s="21"/>
      <c r="G63" s="21" t="s">
        <v>1355</v>
      </c>
      <c r="H63" s="21"/>
    </row>
    <row r="64" spans="1:8">
      <c r="A64" s="65" t="s">
        <v>658</v>
      </c>
      <c r="B64" s="21" t="s">
        <v>646</v>
      </c>
      <c r="C64" s="208"/>
      <c r="D64" s="21"/>
      <c r="E64" s="21"/>
      <c r="F64" s="21"/>
      <c r="G64" s="21"/>
      <c r="H64" s="21"/>
    </row>
    <row r="65" spans="1:8">
      <c r="A65" s="20" t="s">
        <v>660</v>
      </c>
      <c r="B65" s="21" t="s">
        <v>646</v>
      </c>
      <c r="C65" s="208"/>
      <c r="D65" s="21"/>
      <c r="E65" s="21"/>
      <c r="F65" s="21"/>
      <c r="G65" s="21"/>
      <c r="H65" s="21"/>
    </row>
    <row r="66" spans="1:8">
      <c r="A66" s="20" t="s">
        <v>661</v>
      </c>
      <c r="B66" s="21" t="s">
        <v>646</v>
      </c>
      <c r="C66" s="208" t="s">
        <v>1356</v>
      </c>
      <c r="D66" s="21"/>
      <c r="E66" s="21"/>
      <c r="F66" s="21"/>
      <c r="G66" s="21"/>
      <c r="H66" s="21"/>
    </row>
    <row r="67" spans="1:8">
      <c r="A67" s="20" t="s">
        <v>662</v>
      </c>
      <c r="B67" s="21" t="s">
        <v>646</v>
      </c>
      <c r="C67" s="208"/>
      <c r="D67" s="21"/>
      <c r="E67" s="21"/>
      <c r="F67" s="21"/>
      <c r="G67" s="21" t="s">
        <v>1357</v>
      </c>
      <c r="H67" s="21"/>
    </row>
    <row r="68" spans="1:8">
      <c r="A68" s="20" t="s">
        <v>668</v>
      </c>
      <c r="B68" s="21" t="s">
        <v>646</v>
      </c>
      <c r="C68" s="208" t="s">
        <v>1358</v>
      </c>
      <c r="D68" s="21" t="s">
        <v>1359</v>
      </c>
      <c r="E68" s="21"/>
      <c r="F68" s="21"/>
      <c r="G68" s="21"/>
      <c r="H68" s="21"/>
    </row>
    <row r="69" spans="1:8">
      <c r="A69" s="20" t="s">
        <v>679</v>
      </c>
      <c r="B69" s="21" t="s">
        <v>646</v>
      </c>
      <c r="C69" s="208"/>
      <c r="D69" s="21"/>
      <c r="E69" s="21"/>
      <c r="F69" s="21"/>
      <c r="G69" s="21"/>
      <c r="H69" s="21"/>
    </row>
    <row r="70" spans="1:8">
      <c r="A70" s="20" t="s">
        <v>683</v>
      </c>
      <c r="B70" s="21" t="s">
        <v>646</v>
      </c>
      <c r="C70" s="208"/>
      <c r="D70" s="21"/>
      <c r="E70" s="21"/>
      <c r="F70" s="21"/>
      <c r="G70" s="21"/>
      <c r="H70" s="21"/>
    </row>
    <row r="71" spans="1:8">
      <c r="A71" s="20" t="s">
        <v>685</v>
      </c>
      <c r="B71" s="21" t="s">
        <v>646</v>
      </c>
      <c r="C71" s="208"/>
      <c r="D71" s="21"/>
      <c r="E71" s="21"/>
      <c r="F71" s="21"/>
      <c r="G71" s="21"/>
      <c r="H71" s="21"/>
    </row>
    <row r="72" spans="1:8">
      <c r="A72" s="20"/>
      <c r="B72" s="21"/>
      <c r="C72" s="208"/>
      <c r="D72" s="21"/>
      <c r="E72" s="21"/>
      <c r="F72" s="21"/>
      <c r="G72" s="21"/>
      <c r="H72" s="21"/>
    </row>
    <row r="73" spans="1:8">
      <c r="A73" s="20"/>
      <c r="B73" s="21"/>
      <c r="C73" s="208"/>
      <c r="D73" s="21"/>
      <c r="E73" s="21"/>
      <c r="F73" s="21"/>
      <c r="G73" s="21"/>
      <c r="H73" s="21"/>
    </row>
    <row r="74" spans="1:8">
      <c r="A74" s="20"/>
      <c r="B74" s="21"/>
      <c r="C74" s="208"/>
      <c r="D74" s="21"/>
      <c r="E74" s="21"/>
      <c r="F74" s="21"/>
      <c r="G74" s="21"/>
      <c r="H74" s="21"/>
    </row>
    <row r="75" spans="1:8">
      <c r="A75" s="20"/>
      <c r="B75" s="21"/>
      <c r="C75" s="208"/>
      <c r="D75" s="21"/>
      <c r="E75" s="21"/>
      <c r="F75" s="21"/>
      <c r="G75" s="21"/>
      <c r="H75" s="21"/>
    </row>
    <row r="76" spans="1:8">
      <c r="A76" s="20"/>
      <c r="B76" s="21"/>
      <c r="C76" s="208"/>
      <c r="D76" s="21"/>
      <c r="E76" s="21"/>
      <c r="F76" s="21"/>
      <c r="G76" s="21"/>
      <c r="H76" s="21"/>
    </row>
    <row r="77" spans="1:8">
      <c r="A77" s="20"/>
      <c r="B77" s="21"/>
      <c r="C77" s="208"/>
      <c r="D77" s="21"/>
      <c r="E77" s="21"/>
      <c r="F77" s="21"/>
      <c r="G77" s="21"/>
      <c r="H77" s="21"/>
    </row>
    <row r="78" spans="1:8">
      <c r="A78" s="20"/>
      <c r="B78" s="21"/>
      <c r="C78" s="208"/>
      <c r="D78" s="21"/>
      <c r="E78" s="21"/>
      <c r="F78" s="21"/>
      <c r="G78" s="21"/>
      <c r="H78" s="21"/>
    </row>
    <row r="79" spans="1:8">
      <c r="A79" s="20"/>
      <c r="B79" s="21"/>
      <c r="C79" s="208"/>
      <c r="D79" s="21"/>
      <c r="E79" s="21"/>
      <c r="F79" s="21"/>
      <c r="G79" s="21"/>
      <c r="H79" s="21"/>
    </row>
    <row r="80" spans="1:8">
      <c r="A80" s="20"/>
      <c r="B80" s="21"/>
      <c r="C80" s="208"/>
      <c r="D80" s="21"/>
      <c r="E80" s="21"/>
      <c r="F80" s="21"/>
      <c r="G80" s="21"/>
      <c r="H80" s="21"/>
    </row>
    <row r="81" spans="1:8">
      <c r="A81" s="20"/>
      <c r="B81" s="21"/>
      <c r="C81" s="208"/>
      <c r="D81" s="21"/>
      <c r="E81" s="21"/>
      <c r="F81" s="21"/>
      <c r="G81" s="21"/>
      <c r="H81" s="21"/>
    </row>
    <row r="82" spans="1:8">
      <c r="A82" s="20"/>
      <c r="B82" s="21"/>
      <c r="C82" s="208"/>
      <c r="D82" s="21"/>
      <c r="E82" s="21"/>
      <c r="F82" s="21"/>
      <c r="G82" s="21"/>
      <c r="H82" s="21"/>
    </row>
    <row r="83" spans="1:8">
      <c r="A83" s="20"/>
      <c r="B83" s="21"/>
      <c r="C83" s="208"/>
      <c r="D83" s="21"/>
      <c r="E83" s="21"/>
      <c r="F83" s="21"/>
      <c r="G83" s="21"/>
      <c r="H83" s="21"/>
    </row>
    <row r="84" spans="1:8">
      <c r="A84" s="20"/>
      <c r="B84" s="21"/>
      <c r="C84" s="208"/>
      <c r="D84" s="21"/>
      <c r="E84" s="21"/>
      <c r="F84" s="21"/>
      <c r="G84" s="21"/>
      <c r="H84" s="21"/>
    </row>
    <row r="85" spans="1:8">
      <c r="A85" s="20"/>
      <c r="B85" s="21"/>
      <c r="C85" s="208"/>
      <c r="D85" s="21"/>
      <c r="E85" s="21"/>
      <c r="F85" s="21"/>
      <c r="G85" s="21"/>
      <c r="H85" s="21"/>
    </row>
    <row r="86" spans="1:8">
      <c r="A86" s="20"/>
      <c r="B86" s="21"/>
      <c r="C86" s="208"/>
      <c r="D86" s="21"/>
      <c r="E86" s="21"/>
      <c r="F86" s="21"/>
      <c r="G86" s="21"/>
      <c r="H86" s="21"/>
    </row>
    <row r="87" spans="1:8">
      <c r="A87" s="20"/>
      <c r="B87" s="21"/>
      <c r="C87" s="208"/>
      <c r="D87" s="21"/>
      <c r="E87" s="21"/>
      <c r="F87" s="21"/>
      <c r="G87" s="21"/>
      <c r="H87" s="21"/>
    </row>
    <row r="88" spans="1:8">
      <c r="A88" s="20"/>
      <c r="B88" s="21"/>
      <c r="C88" s="208"/>
      <c r="D88" s="21"/>
      <c r="E88" s="21"/>
      <c r="F88" s="21"/>
      <c r="G88" s="21"/>
      <c r="H88" s="21"/>
    </row>
    <row r="89" spans="1:8">
      <c r="A89" s="20"/>
      <c r="B89" s="21"/>
      <c r="C89" s="208"/>
      <c r="D89" s="21"/>
      <c r="E89" s="21"/>
      <c r="F89" s="21"/>
      <c r="G89" s="21"/>
      <c r="H89" s="21"/>
    </row>
    <row r="90" spans="1:8">
      <c r="A90" s="20"/>
      <c r="B90" s="21"/>
      <c r="C90" s="208"/>
      <c r="D90" s="21"/>
      <c r="E90" s="21"/>
      <c r="F90" s="21"/>
      <c r="G90" s="21"/>
      <c r="H90" s="21"/>
    </row>
    <row r="91" spans="1:8">
      <c r="A91" s="20"/>
      <c r="B91" s="21"/>
      <c r="C91" s="208"/>
      <c r="D91" s="21"/>
      <c r="E91" s="21"/>
      <c r="F91" s="21"/>
      <c r="G91" s="21"/>
      <c r="H91" s="21"/>
    </row>
    <row r="92" spans="1:8">
      <c r="A92" s="20"/>
      <c r="B92" s="21"/>
      <c r="C92" s="208"/>
      <c r="D92" s="21"/>
      <c r="E92" s="21"/>
      <c r="F92" s="21"/>
      <c r="G92" s="21"/>
      <c r="H92" s="21"/>
    </row>
    <row r="93" spans="1:8">
      <c r="A93" s="20"/>
      <c r="B93" s="21"/>
      <c r="C93" s="208"/>
      <c r="D93" s="21"/>
      <c r="E93" s="21"/>
      <c r="F93" s="21"/>
      <c r="G93" s="21"/>
      <c r="H93" s="21"/>
    </row>
    <row r="94" spans="1:8">
      <c r="A94" s="20"/>
      <c r="B94" s="21"/>
      <c r="C94" s="208"/>
      <c r="D94" s="21"/>
      <c r="E94" s="21"/>
      <c r="F94" s="21"/>
      <c r="G94" s="21"/>
      <c r="H94" s="21"/>
    </row>
    <row r="95" spans="1:8">
      <c r="A95" s="20"/>
      <c r="B95" s="21"/>
      <c r="C95" s="208"/>
      <c r="D95" s="21"/>
      <c r="E95" s="21"/>
      <c r="F95" s="21"/>
      <c r="G95" s="21"/>
      <c r="H95" s="21"/>
    </row>
    <row r="96" spans="1:8">
      <c r="A96" s="20"/>
      <c r="B96" s="21"/>
      <c r="C96" s="208"/>
      <c r="D96" s="21"/>
      <c r="E96" s="21"/>
      <c r="F96" s="21"/>
      <c r="G96" s="21"/>
      <c r="H96" s="21"/>
    </row>
    <row r="97" spans="1:8">
      <c r="A97" s="20"/>
      <c r="B97" s="21"/>
      <c r="C97" s="208"/>
      <c r="D97" s="21"/>
      <c r="E97" s="21"/>
      <c r="F97" s="21"/>
      <c r="G97" s="21"/>
      <c r="H97" s="21"/>
    </row>
    <row r="98" spans="1:8">
      <c r="A98" s="20"/>
      <c r="B98" s="21"/>
      <c r="C98" s="208"/>
      <c r="D98" s="21"/>
      <c r="E98" s="21"/>
      <c r="F98" s="21"/>
      <c r="G98" s="21"/>
      <c r="H98" s="21"/>
    </row>
    <row r="99" spans="1:8">
      <c r="A99" s="20"/>
      <c r="B99" s="21"/>
      <c r="C99" s="208"/>
      <c r="D99" s="21"/>
      <c r="E99" s="21"/>
      <c r="F99" s="21"/>
      <c r="G99" s="21"/>
      <c r="H99" s="21"/>
    </row>
    <row r="100" spans="1:8">
      <c r="A100" s="20"/>
      <c r="B100" s="21"/>
      <c r="C100" s="208"/>
      <c r="D100" s="21"/>
      <c r="E100" s="21"/>
      <c r="F100" s="21"/>
      <c r="G100" s="21"/>
      <c r="H100" s="21"/>
    </row>
    <row r="101" spans="1:8">
      <c r="A101" s="20"/>
      <c r="B101" s="21"/>
      <c r="C101" s="208"/>
      <c r="D101" s="21"/>
      <c r="E101" s="21"/>
      <c r="F101" s="21"/>
      <c r="G101" s="21"/>
      <c r="H101" s="21"/>
    </row>
    <row r="102" spans="1:8">
      <c r="A102" s="20"/>
      <c r="B102" s="21"/>
      <c r="C102" s="208"/>
      <c r="D102" s="21"/>
      <c r="E102" s="21"/>
      <c r="F102" s="21"/>
      <c r="G102" s="21"/>
      <c r="H102" s="21"/>
    </row>
    <row r="103" spans="1:8">
      <c r="A103" s="20"/>
      <c r="B103" s="21"/>
      <c r="C103" s="208"/>
      <c r="D103" s="21"/>
      <c r="E103" s="21"/>
      <c r="F103" s="21"/>
      <c r="G103" s="21"/>
      <c r="H103" s="21"/>
    </row>
    <row r="104" spans="1:8">
      <c r="A104" s="20"/>
      <c r="B104" s="21"/>
      <c r="C104" s="208"/>
      <c r="D104" s="21"/>
      <c r="E104" s="21"/>
      <c r="F104" s="21"/>
      <c r="G104" s="21"/>
      <c r="H104" s="21"/>
    </row>
    <row r="105" spans="1:8">
      <c r="A105" s="20"/>
      <c r="B105" s="21"/>
      <c r="C105" s="208"/>
      <c r="D105" s="21"/>
      <c r="E105" s="21"/>
      <c r="F105" s="21"/>
      <c r="G105" s="21"/>
      <c r="H105" s="21"/>
    </row>
    <row r="106" spans="1:8">
      <c r="A106" s="20"/>
      <c r="B106" s="21"/>
      <c r="C106" s="208"/>
      <c r="D106" s="21"/>
      <c r="E106" s="21"/>
      <c r="F106" s="21"/>
      <c r="G106" s="21"/>
      <c r="H106" s="21"/>
    </row>
    <row r="107" spans="1:8">
      <c r="A107" s="20"/>
      <c r="B107" s="21"/>
      <c r="C107" s="208"/>
      <c r="D107" s="21"/>
      <c r="E107" s="21"/>
      <c r="F107" s="21"/>
      <c r="G107" s="21"/>
      <c r="H107" s="21"/>
    </row>
    <row r="108" spans="1:8">
      <c r="A108" s="20"/>
      <c r="B108" s="21"/>
      <c r="C108" s="208"/>
      <c r="D108" s="21"/>
      <c r="E108" s="21"/>
      <c r="F108" s="21"/>
      <c r="G108" s="21"/>
      <c r="H108" s="21"/>
    </row>
    <row r="109" spans="1:8">
      <c r="A109" s="20"/>
      <c r="B109" s="21"/>
      <c r="C109" s="208"/>
      <c r="D109" s="21"/>
      <c r="E109" s="21"/>
      <c r="F109" s="21"/>
      <c r="G109" s="21"/>
      <c r="H109" s="21"/>
    </row>
    <row r="110" spans="1:8">
      <c r="A110" s="20"/>
      <c r="B110" s="21"/>
      <c r="C110" s="208"/>
      <c r="D110" s="21"/>
      <c r="E110" s="21"/>
      <c r="F110" s="21"/>
      <c r="G110" s="21"/>
      <c r="H110" s="21"/>
    </row>
    <row r="111" spans="1:8">
      <c r="A111" s="20"/>
      <c r="B111" s="21"/>
      <c r="C111" s="208"/>
      <c r="D111" s="21"/>
      <c r="E111" s="21"/>
      <c r="F111" s="21"/>
      <c r="G111" s="21"/>
      <c r="H111" s="21"/>
    </row>
    <row r="112" spans="1:8">
      <c r="A112" s="20"/>
      <c r="B112" s="21"/>
      <c r="C112" s="208"/>
      <c r="D112" s="21"/>
      <c r="E112" s="21"/>
      <c r="F112" s="21"/>
      <c r="G112" s="21"/>
      <c r="H112" s="21"/>
    </row>
    <row r="113" spans="1:8">
      <c r="A113" s="20"/>
      <c r="B113" s="21"/>
      <c r="C113" s="208"/>
      <c r="D113" s="21"/>
      <c r="E113" s="21"/>
      <c r="F113" s="21"/>
      <c r="G113" s="21"/>
      <c r="H113" s="21"/>
    </row>
    <row r="114" spans="1:8">
      <c r="A114" s="20"/>
      <c r="B114" s="21"/>
      <c r="C114" s="208"/>
      <c r="D114" s="21"/>
      <c r="E114" s="21"/>
      <c r="F114" s="21"/>
      <c r="G114" s="21"/>
      <c r="H114" s="21"/>
    </row>
    <row r="115" spans="1:8">
      <c r="A115" s="20"/>
      <c r="B115" s="21"/>
      <c r="C115" s="208"/>
      <c r="D115" s="21"/>
      <c r="E115" s="21"/>
      <c r="F115" s="21"/>
      <c r="G115" s="21"/>
      <c r="H115" s="21"/>
    </row>
    <row r="116" spans="1:8">
      <c r="A116" s="20"/>
      <c r="B116" s="21"/>
      <c r="C116" s="208"/>
      <c r="D116" s="21"/>
      <c r="E116" s="21"/>
      <c r="F116" s="21"/>
      <c r="G116" s="21"/>
      <c r="H116" s="21"/>
    </row>
    <row r="117" spans="1:8">
      <c r="A117" s="20"/>
      <c r="B117" s="21"/>
      <c r="C117" s="208"/>
      <c r="D117" s="21"/>
      <c r="E117" s="21"/>
      <c r="F117" s="21"/>
      <c r="G117" s="21"/>
      <c r="H117" s="21"/>
    </row>
    <row r="118" spans="1:8">
      <c r="A118" s="20"/>
      <c r="B118" s="21"/>
      <c r="C118" s="208"/>
      <c r="D118" s="21"/>
      <c r="E118" s="21"/>
      <c r="F118" s="21"/>
      <c r="G118" s="21"/>
      <c r="H118" s="21"/>
    </row>
  </sheetData>
  <phoneticPr fontId="20" type="noConversion"/>
  <conditionalFormatting sqref="A1:I1">
    <cfRule type="timePeriod" dxfId="44" priority="1" timePeriod="today">
      <formula>FLOOR(A1,1)=TODAY()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C3A4-C670-488D-B969-725A4E30C30C}">
  <sheetPr codeName="Sheet4"/>
  <dimension ref="A1:G11"/>
  <sheetViews>
    <sheetView workbookViewId="0">
      <selection activeCell="N34" sqref="N34"/>
    </sheetView>
  </sheetViews>
  <sheetFormatPr defaultRowHeight="15"/>
  <cols>
    <col min="1" max="1" width="39" bestFit="1" customWidth="1"/>
    <col min="2" max="2" width="10.28515625" bestFit="1" customWidth="1"/>
    <col min="3" max="3" width="18.7109375" hidden="1" customWidth="1"/>
    <col min="4" max="4" width="11.28515625" customWidth="1"/>
  </cols>
  <sheetData>
    <row r="1" spans="1:7" ht="40.5">
      <c r="A1" s="91" t="s">
        <v>3</v>
      </c>
      <c r="B1" s="91" t="s">
        <v>4</v>
      </c>
      <c r="C1" s="91" t="s">
        <v>6</v>
      </c>
      <c r="D1" s="92" t="s">
        <v>7</v>
      </c>
      <c r="E1" s="91" t="s">
        <v>8</v>
      </c>
      <c r="F1" s="93" t="s">
        <v>9</v>
      </c>
      <c r="G1" s="249" t="s">
        <v>10</v>
      </c>
    </row>
    <row r="2" spans="1:7">
      <c r="A2" s="20" t="s">
        <v>317</v>
      </c>
      <c r="B2" s="21" t="s">
        <v>296</v>
      </c>
      <c r="C2" s="22" t="s">
        <v>318</v>
      </c>
      <c r="D2" s="23" t="s">
        <v>45</v>
      </c>
      <c r="E2" s="24">
        <v>23</v>
      </c>
      <c r="F2" s="25">
        <v>22.5</v>
      </c>
      <c r="G2" s="25"/>
    </row>
    <row r="3" spans="1:7">
      <c r="A3" s="20" t="s">
        <v>320</v>
      </c>
      <c r="B3" s="21" t="s">
        <v>296</v>
      </c>
      <c r="C3" s="25" t="s">
        <v>318</v>
      </c>
      <c r="D3" s="23" t="s">
        <v>45</v>
      </c>
      <c r="E3" s="24">
        <v>23.2</v>
      </c>
      <c r="F3" s="25">
        <v>22.5</v>
      </c>
      <c r="G3" s="25"/>
    </row>
    <row r="4" spans="1:7">
      <c r="A4" s="20" t="s">
        <v>540</v>
      </c>
      <c r="B4" s="21" t="s">
        <v>529</v>
      </c>
      <c r="C4" s="22" t="s">
        <v>318</v>
      </c>
      <c r="D4" s="23" t="s">
        <v>45</v>
      </c>
      <c r="E4" s="24">
        <v>22.4</v>
      </c>
      <c r="F4" s="25">
        <v>23.5</v>
      </c>
      <c r="G4" s="26"/>
    </row>
    <row r="5" spans="1:7">
      <c r="A5" s="20" t="s">
        <v>541</v>
      </c>
      <c r="B5" s="21" t="s">
        <v>529</v>
      </c>
      <c r="C5" s="22" t="s">
        <v>318</v>
      </c>
      <c r="D5" s="23" t="s">
        <v>45</v>
      </c>
      <c r="E5" s="24">
        <v>23.2</v>
      </c>
      <c r="F5" s="25">
        <v>23.5</v>
      </c>
      <c r="G5" s="26"/>
    </row>
    <row r="6" spans="1:7">
      <c r="A6" s="20" t="s">
        <v>543</v>
      </c>
      <c r="B6" s="21" t="s">
        <v>529</v>
      </c>
      <c r="C6" s="22" t="s">
        <v>318</v>
      </c>
      <c r="D6" s="23" t="s">
        <v>1360</v>
      </c>
      <c r="E6" s="24" t="s">
        <v>175</v>
      </c>
      <c r="F6" s="25">
        <v>23.5</v>
      </c>
      <c r="G6" s="26"/>
    </row>
    <row r="7" spans="1:7">
      <c r="A7" s="20" t="s">
        <v>545</v>
      </c>
      <c r="B7" s="21" t="s">
        <v>529</v>
      </c>
      <c r="C7" s="22" t="s">
        <v>318</v>
      </c>
      <c r="D7" s="23" t="s">
        <v>1360</v>
      </c>
      <c r="E7" s="24" t="s">
        <v>175</v>
      </c>
      <c r="F7" s="25">
        <v>23.5</v>
      </c>
      <c r="G7" s="26"/>
    </row>
    <row r="8" spans="1:7">
      <c r="A8" s="20" t="s">
        <v>547</v>
      </c>
      <c r="B8" s="21" t="s">
        <v>529</v>
      </c>
      <c r="C8" s="22" t="s">
        <v>318</v>
      </c>
      <c r="D8" s="23" t="s">
        <v>1360</v>
      </c>
      <c r="E8" s="24" t="s">
        <v>175</v>
      </c>
      <c r="F8" s="25">
        <v>23.5</v>
      </c>
      <c r="G8" s="26"/>
    </row>
    <row r="9" spans="1:7">
      <c r="A9" s="20" t="s">
        <v>548</v>
      </c>
      <c r="B9" s="21" t="s">
        <v>529</v>
      </c>
      <c r="C9" s="22" t="s">
        <v>318</v>
      </c>
      <c r="D9" s="23" t="s">
        <v>1360</v>
      </c>
      <c r="E9" s="24" t="s">
        <v>175</v>
      </c>
      <c r="F9" s="25">
        <v>23.5</v>
      </c>
      <c r="G9" s="26"/>
    </row>
    <row r="10" spans="1:7">
      <c r="A10" s="20" t="s">
        <v>549</v>
      </c>
      <c r="B10" s="21" t="s">
        <v>529</v>
      </c>
      <c r="C10" s="22" t="s">
        <v>318</v>
      </c>
      <c r="D10" s="23" t="s">
        <v>1360</v>
      </c>
      <c r="E10" s="24" t="s">
        <v>175</v>
      </c>
      <c r="F10" s="25">
        <v>23.5</v>
      </c>
      <c r="G10" s="26"/>
    </row>
    <row r="11" spans="1:7">
      <c r="A11" s="20" t="s">
        <v>551</v>
      </c>
      <c r="B11" s="21" t="s">
        <v>529</v>
      </c>
      <c r="C11" s="22" t="s">
        <v>318</v>
      </c>
      <c r="D11" s="23" t="s">
        <v>1360</v>
      </c>
      <c r="E11" s="24" t="s">
        <v>175</v>
      </c>
      <c r="F11" s="25">
        <v>23.5</v>
      </c>
      <c r="G11" s="26"/>
    </row>
  </sheetData>
  <phoneticPr fontId="20" type="noConversion"/>
  <conditionalFormatting sqref="A1:G1">
    <cfRule type="timePeriod" dxfId="33" priority="1" timePeriod="today">
      <formula>FLOOR(A1,1)=TODAY()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2A94-5234-4CE4-BD18-E0AE83B840BE}">
  <sheetPr codeName="Sheet9"/>
  <dimension ref="A1:S10"/>
  <sheetViews>
    <sheetView workbookViewId="0">
      <selection activeCell="I25" sqref="I25"/>
    </sheetView>
  </sheetViews>
  <sheetFormatPr defaultColWidth="8.85546875" defaultRowHeight="15"/>
  <cols>
    <col min="1" max="1" width="30.28515625" style="5" bestFit="1" customWidth="1"/>
    <col min="2" max="2" width="13.7109375" style="5" bestFit="1" customWidth="1"/>
    <col min="3" max="3" width="12.28515625" style="5" hidden="1" customWidth="1"/>
    <col min="4" max="4" width="18.140625" style="5" customWidth="1"/>
    <col min="5" max="5" width="10.85546875" style="5" customWidth="1"/>
    <col min="6" max="6" width="8.85546875" style="5"/>
    <col min="7" max="7" width="13.140625" style="235" bestFit="1" customWidth="1"/>
    <col min="8" max="8" width="8.85546875" style="235"/>
    <col min="9" max="9" width="11.85546875" style="235" customWidth="1"/>
    <col min="10" max="10" width="7" style="235" bestFit="1" customWidth="1"/>
    <col min="11" max="11" width="8.7109375" style="235" bestFit="1" customWidth="1"/>
    <col min="12" max="12" width="10.85546875" style="235" bestFit="1" customWidth="1"/>
    <col min="13" max="13" width="7.5703125" style="235" bestFit="1" customWidth="1"/>
    <col min="14" max="14" width="5" style="235" bestFit="1" customWidth="1"/>
    <col min="15" max="15" width="11.5703125" style="235" bestFit="1" customWidth="1"/>
    <col min="16" max="16" width="11" style="235" customWidth="1"/>
    <col min="17" max="17" width="15.28515625" style="235" customWidth="1"/>
    <col min="18" max="19" width="8.85546875" style="235"/>
    <col min="20" max="16384" width="8.85546875" style="5"/>
  </cols>
  <sheetData>
    <row r="1" spans="1:17">
      <c r="A1" s="250" t="s">
        <v>3</v>
      </c>
      <c r="B1" s="250" t="s">
        <v>4</v>
      </c>
      <c r="C1" s="250" t="s">
        <v>6</v>
      </c>
      <c r="D1" s="251" t="s">
        <v>7</v>
      </c>
      <c r="E1" s="250" t="s">
        <v>8</v>
      </c>
    </row>
    <row r="2" spans="1:17">
      <c r="A2" s="20" t="s">
        <v>370</v>
      </c>
      <c r="B2" s="21" t="s">
        <v>357</v>
      </c>
      <c r="C2" s="22" t="s">
        <v>340</v>
      </c>
      <c r="D2" s="23" t="s">
        <v>58</v>
      </c>
      <c r="E2" s="24">
        <v>24</v>
      </c>
    </row>
    <row r="3" spans="1:17">
      <c r="A3" s="20" t="s">
        <v>405</v>
      </c>
      <c r="B3" s="21" t="s">
        <v>396</v>
      </c>
      <c r="C3" s="22" t="s">
        <v>340</v>
      </c>
      <c r="D3" s="23" t="s">
        <v>58</v>
      </c>
      <c r="E3" s="24">
        <v>21.6</v>
      </c>
    </row>
    <row r="4" spans="1:17">
      <c r="A4" s="20" t="s">
        <v>406</v>
      </c>
      <c r="B4" s="21" t="s">
        <v>396</v>
      </c>
      <c r="C4" s="22" t="s">
        <v>340</v>
      </c>
      <c r="D4" s="23" t="s">
        <v>58</v>
      </c>
      <c r="E4" s="24">
        <v>21.9</v>
      </c>
    </row>
    <row r="5" spans="1:17">
      <c r="A5" s="299" t="s">
        <v>488</v>
      </c>
      <c r="B5" s="300" t="s">
        <v>470</v>
      </c>
      <c r="C5" s="22" t="s">
        <v>340</v>
      </c>
      <c r="D5" s="23" t="s">
        <v>58</v>
      </c>
      <c r="E5" s="24">
        <v>22.2</v>
      </c>
    </row>
    <row r="6" spans="1:17" ht="30">
      <c r="G6" s="237" t="s">
        <v>709</v>
      </c>
      <c r="H6" s="238" t="s">
        <v>710</v>
      </c>
      <c r="I6" s="238" t="s">
        <v>711</v>
      </c>
      <c r="J6" s="238" t="s">
        <v>689</v>
      </c>
      <c r="K6" s="239" t="s">
        <v>712</v>
      </c>
      <c r="L6" s="239" t="s">
        <v>713</v>
      </c>
      <c r="M6" s="238" t="s">
        <v>714</v>
      </c>
      <c r="N6" s="238" t="s">
        <v>715</v>
      </c>
      <c r="O6" s="239" t="s">
        <v>716</v>
      </c>
      <c r="P6" s="239" t="s">
        <v>717</v>
      </c>
      <c r="Q6" s="263" t="s">
        <v>1361</v>
      </c>
    </row>
    <row r="7" spans="1:17">
      <c r="G7" s="275">
        <v>46220</v>
      </c>
      <c r="H7" s="240" t="s">
        <v>744</v>
      </c>
      <c r="I7" s="240" t="s">
        <v>745</v>
      </c>
      <c r="J7" s="240" t="s">
        <v>746</v>
      </c>
      <c r="K7" s="240">
        <v>21.9</v>
      </c>
      <c r="L7" s="240">
        <v>21.1</v>
      </c>
      <c r="M7" s="236">
        <v>10.8</v>
      </c>
      <c r="N7" s="244">
        <v>3.11</v>
      </c>
      <c r="O7" s="241">
        <v>4846</v>
      </c>
      <c r="P7" s="241"/>
      <c r="Q7" s="276" t="s">
        <v>1362</v>
      </c>
    </row>
    <row r="8" spans="1:17">
      <c r="G8" s="275">
        <v>46224</v>
      </c>
      <c r="H8" s="240" t="s">
        <v>744</v>
      </c>
      <c r="I8" s="240" t="s">
        <v>745</v>
      </c>
      <c r="J8" s="240" t="s">
        <v>746</v>
      </c>
      <c r="K8" s="74">
        <v>22.5</v>
      </c>
      <c r="L8" s="74">
        <v>21.9</v>
      </c>
      <c r="M8" s="74">
        <v>9.6</v>
      </c>
      <c r="N8" s="74">
        <v>3.06</v>
      </c>
      <c r="O8" s="74">
        <v>3722</v>
      </c>
      <c r="P8" s="74"/>
      <c r="Q8" s="276" t="s">
        <v>1362</v>
      </c>
    </row>
    <row r="9" spans="1:17">
      <c r="G9" s="281">
        <v>46234</v>
      </c>
      <c r="H9" s="259" t="s">
        <v>744</v>
      </c>
      <c r="I9" s="259" t="s">
        <v>745</v>
      </c>
      <c r="J9" s="259" t="s">
        <v>746</v>
      </c>
      <c r="K9" s="259">
        <v>25.2</v>
      </c>
      <c r="L9" s="259">
        <v>24.6</v>
      </c>
      <c r="M9" s="260">
        <v>7.6</v>
      </c>
      <c r="N9" s="259">
        <v>3.34</v>
      </c>
      <c r="O9" s="261">
        <v>2716</v>
      </c>
      <c r="P9" s="262">
        <v>0.04</v>
      </c>
      <c r="Q9" s="282"/>
    </row>
    <row r="10" spans="1:17">
      <c r="G10" s="275">
        <v>46237</v>
      </c>
      <c r="H10" s="240" t="s">
        <v>744</v>
      </c>
      <c r="I10" s="240" t="s">
        <v>1363</v>
      </c>
      <c r="J10" s="240" t="s">
        <v>746</v>
      </c>
      <c r="K10" s="219">
        <v>26.4</v>
      </c>
      <c r="L10" s="219">
        <v>25.7</v>
      </c>
      <c r="M10" s="219">
        <v>7.8</v>
      </c>
      <c r="N10" s="219">
        <v>3.46</v>
      </c>
      <c r="O10" s="219">
        <v>2950</v>
      </c>
      <c r="P10" s="219">
        <v>0.02</v>
      </c>
      <c r="Q10" s="276" t="s">
        <v>1364</v>
      </c>
    </row>
  </sheetData>
  <phoneticPr fontId="20" type="noConversion"/>
  <conditionalFormatting sqref="A1:E1">
    <cfRule type="timePeriod" dxfId="24" priority="1" timePeriod="today">
      <formula>FLOOR(A1,1)=TODAY()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C7B57AA89494D97AD7F9C7AAF1FA3" ma:contentTypeVersion="16" ma:contentTypeDescription="Create a new document." ma:contentTypeScope="" ma:versionID="8f648f7ba0ee9c3cc6118447e4440759">
  <xsd:schema xmlns:xsd="http://www.w3.org/2001/XMLSchema" xmlns:xs="http://www.w3.org/2001/XMLSchema" xmlns:p="http://schemas.microsoft.com/office/2006/metadata/properties" xmlns:ns2="cb8885cf-f7c3-4147-88f7-3374f51e527d" xmlns:ns3="511187d4-c97d-4bf4-be43-fdc87f977711" targetNamespace="http://schemas.microsoft.com/office/2006/metadata/properties" ma:root="true" ma:fieldsID="cec337839ccc6b261f8c7e43ab6cccdd" ns2:_="" ns3:_="">
    <xsd:import namespace="cb8885cf-f7c3-4147-88f7-3374f51e527d"/>
    <xsd:import namespace="511187d4-c97d-4bf4-be43-fdc87f977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85cf-f7c3-4147-88f7-3374f51e5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d0f0cfe-34f2-4a06-ab4d-e9186d0c4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187d4-c97d-4bf4-be43-fdc87f9777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f4c2a93-347a-421d-be59-f3ab58ab7dff}" ma:internalName="TaxCatchAll" ma:showField="CatchAllData" ma:web="511187d4-c97d-4bf4-be43-fdc87f977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1187d4-c97d-4bf4-be43-fdc87f977711" xsi:nil="true"/>
    <lcf76f155ced4ddcb4097134ff3c332f xmlns="cb8885cf-f7c3-4147-88f7-3374f51e5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4D9888-5143-4B76-B8C8-7C1F3A12B111}"/>
</file>

<file path=customXml/itemProps2.xml><?xml version="1.0" encoding="utf-8"?>
<ds:datastoreItem xmlns:ds="http://schemas.openxmlformats.org/officeDocument/2006/customXml" ds:itemID="{64120FB9-F61B-4E60-8413-419B212EA304}"/>
</file>

<file path=customXml/itemProps3.xml><?xml version="1.0" encoding="utf-8"?>
<ds:datastoreItem xmlns:ds="http://schemas.openxmlformats.org/officeDocument/2006/customXml" ds:itemID="{FB363065-3223-4260-835A-6CC5063600FE}"/>
</file>

<file path=customXml/itemProps4.xml><?xml version="1.0" encoding="utf-8"?>
<ds:datastoreItem xmlns:ds="http://schemas.openxmlformats.org/officeDocument/2006/customXml" ds:itemID="{6719E1AA-61FC-4DA1-BCE7-C5D3C975D0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Zumkeller</dc:creator>
  <cp:keywords/>
  <dc:description/>
  <cp:lastModifiedBy>Aaron Lange</cp:lastModifiedBy>
  <cp:revision/>
  <dcterms:created xsi:type="dcterms:W3CDTF">2025-07-15T21:53:01Z</dcterms:created>
  <dcterms:modified xsi:type="dcterms:W3CDTF">2026-08-23T21:31:44Z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0x010100049C7B57AA89494D97AD7F9C7AAF1FA3</vt:lpwstr>
  </property>
  <property fmtid="{D5CDD505-2E9C-101B-9397-08002B2CF9AE}" pid="3" name="MediaServiceImageTags">
    <vt:lpwstr/>
  </property>
</Properties>
</file>