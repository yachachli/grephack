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fileSharing readOnlyRecommended="1"/>
  <workbookPr defaultThemeVersion="166925"/>
  <mc:AlternateContent xmlns:mc="http://schemas.openxmlformats.org/markup-compatibility/2006">
    <mc:Choice Requires="x15">
      <x15ac:absPath xmlns:x15ac="http://schemas.microsoft.com/office/spreadsheetml/2010/11/ac" url="https://langetwins.sharepoint.com/sites/VineyardOps/Shared Documents/"/>
    </mc:Choice>
  </mc:AlternateContent>
  <xr:revisionPtr revIDLastSave="7718" documentId="8_{EABD67C2-9523-4738-9E60-609DB08F336A}" xr6:coauthVersionLast="47" xr6:coauthVersionMax="47" xr10:uidLastSave="{A6DB19DA-A375-436B-8A15-FE1B468390A5}"/>
  <bookViews>
    <workbookView xWindow="-28920" yWindow="-120" windowWidth="29040" windowHeight="16440" xr2:uid="{A2A4BAF6-3EF6-4E22-A4AF-BCA0F61EF681}"/>
  </bookViews>
  <sheets>
    <sheet name="2026 Crop Estimation" sheetId="29" r:id="rId1"/>
    <sheet name="2025 Cluster Thinning Worksheet" sheetId="20" state="hidden" r:id="rId2"/>
    <sheet name="2025 Crop Estimation" sheetId="22" r:id="rId3"/>
    <sheet name="Cluster Weight Summary" sheetId="30" state="hidden" r:id="rId4"/>
    <sheet name="2025 Yield Dashboard" sheetId="15" state="hidden" r:id="rId5"/>
    <sheet name="2025 Pivot Table" sheetId="25" state="hidden" r:id="rId6"/>
  </sheets>
  <definedNames>
    <definedName name="_xlnm._FilterDatabase" localSheetId="2" hidden="1">'2025 Crop Estimation'!$A$1:$CP$504</definedName>
    <definedName name="_xlnm._FilterDatabase" localSheetId="0" hidden="1">'2026 Crop Estimation'!$A$1:$CF$520</definedName>
    <definedName name="_xlnm._FilterDatabase" localSheetId="3" hidden="1">'Cluster Weight Summary'!$A$1:$O$209</definedName>
    <definedName name="Slicer_Region">#N/A</definedName>
    <definedName name="Slicer_ST_Status">#N/A</definedName>
    <definedName name="Slicer_Variety">#N/A</definedName>
  </definedNames>
  <calcPr calcId="191028"/>
  <pivotCaches>
    <pivotCache cacheId="38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2" i="29" l="1"/>
  <c r="AC62" i="29" s="1"/>
  <c r="L62" i="29"/>
  <c r="M62" i="29" s="1"/>
  <c r="AC203" i="29"/>
  <c r="L203" i="29"/>
  <c r="M203" i="29" s="1"/>
  <c r="AC202" i="29"/>
  <c r="L202" i="29"/>
  <c r="M202" i="29" s="1"/>
  <c r="L452" i="29"/>
  <c r="M452" i="29" s="1"/>
  <c r="AB452" i="29"/>
  <c r="AC452" i="29" s="1"/>
  <c r="AD452" i="29" s="1"/>
  <c r="AB393" i="29"/>
  <c r="AC393" i="29" s="1"/>
  <c r="L393" i="29"/>
  <c r="M393" i="29" s="1"/>
  <c r="I393" i="29"/>
  <c r="AB332" i="29"/>
  <c r="AC332" i="29" s="1"/>
  <c r="P332" i="29"/>
  <c r="O332" i="29"/>
  <c r="N332" i="29"/>
  <c r="L332" i="29"/>
  <c r="M332" i="29" s="1"/>
  <c r="AB331" i="29"/>
  <c r="AC331" i="29" s="1"/>
  <c r="P331" i="29"/>
  <c r="O331" i="29"/>
  <c r="N331" i="29"/>
  <c r="L331" i="29"/>
  <c r="M331" i="29" s="1"/>
  <c r="I331" i="29"/>
  <c r="AB387" i="29"/>
  <c r="AC387" i="29" s="1"/>
  <c r="L387" i="29"/>
  <c r="M387" i="29" s="1"/>
  <c r="AB32" i="29"/>
  <c r="AC32" i="29" s="1"/>
  <c r="L32" i="29"/>
  <c r="M32" i="29" s="1"/>
  <c r="AB41" i="29"/>
  <c r="AC41" i="29" s="1"/>
  <c r="L41" i="29"/>
  <c r="M41" i="29" s="1"/>
  <c r="AO47" i="22"/>
  <c r="AC47" i="22"/>
  <c r="T47" i="22"/>
  <c r="L47" i="22"/>
  <c r="M47" i="22" s="1"/>
  <c r="AB255" i="29"/>
  <c r="AC255" i="29" s="1"/>
  <c r="L255" i="29"/>
  <c r="M255" i="29" s="1"/>
  <c r="AB283" i="29"/>
  <c r="AB464" i="29"/>
  <c r="AC464" i="29" s="1"/>
  <c r="L464" i="29"/>
  <c r="M464" i="29" s="1"/>
  <c r="AB343" i="29"/>
  <c r="AC343" i="29" s="1"/>
  <c r="L343" i="29"/>
  <c r="M343" i="29" s="1"/>
  <c r="AB103" i="29"/>
  <c r="AC103" i="29" s="1"/>
  <c r="L103" i="29"/>
  <c r="M103" i="29" s="1"/>
  <c r="AC357" i="29"/>
  <c r="L357" i="29"/>
  <c r="M357" i="29" s="1"/>
  <c r="AB442" i="29"/>
  <c r="AC442" i="29" s="1"/>
  <c r="L442" i="29"/>
  <c r="M442" i="29" s="1"/>
  <c r="AB467" i="29"/>
  <c r="AC467" i="29" s="1"/>
  <c r="L467" i="29"/>
  <c r="M467" i="29" s="1"/>
  <c r="AB13" i="29"/>
  <c r="AC13" i="29" s="1"/>
  <c r="L13" i="29"/>
  <c r="M13" i="29" s="1"/>
  <c r="L472" i="29"/>
  <c r="AB335" i="29"/>
  <c r="AC335" i="29" s="1"/>
  <c r="P335" i="29"/>
  <c r="O335" i="29"/>
  <c r="N335" i="29"/>
  <c r="L335" i="29"/>
  <c r="M335" i="29" s="1"/>
  <c r="AB52" i="29"/>
  <c r="AC52" i="29" s="1"/>
  <c r="L52" i="29"/>
  <c r="M52" i="29" s="1"/>
  <c r="AB48" i="29"/>
  <c r="AC48" i="29" s="1"/>
  <c r="L48" i="29"/>
  <c r="M48" i="29" s="1"/>
  <c r="AB373" i="29"/>
  <c r="AC373" i="29" s="1"/>
  <c r="L373" i="29"/>
  <c r="M373" i="29" s="1"/>
  <c r="AB374" i="29"/>
  <c r="AC374" i="29" s="1"/>
  <c r="L374" i="29"/>
  <c r="M374" i="29" s="1"/>
  <c r="AB372" i="29"/>
  <c r="AC372" i="29" s="1"/>
  <c r="L372" i="29"/>
  <c r="M372" i="29" s="1"/>
  <c r="AB370" i="29"/>
  <c r="AC370" i="29" s="1"/>
  <c r="L370" i="29"/>
  <c r="M370" i="29" s="1"/>
  <c r="AB371" i="29"/>
  <c r="AC371" i="29" s="1"/>
  <c r="L371" i="29"/>
  <c r="M371" i="29" s="1"/>
  <c r="AB450" i="29"/>
  <c r="AC450" i="29" s="1"/>
  <c r="AB35" i="29"/>
  <c r="AC35" i="29" s="1"/>
  <c r="L35" i="29"/>
  <c r="M35" i="29" s="1"/>
  <c r="AB454" i="29"/>
  <c r="AB330" i="29"/>
  <c r="AC330" i="29" s="1"/>
  <c r="P330" i="29"/>
  <c r="O330" i="29"/>
  <c r="N330" i="29"/>
  <c r="L330" i="29"/>
  <c r="M330" i="29" s="1"/>
  <c r="I330" i="29"/>
  <c r="AB90" i="29"/>
  <c r="AC90" i="29" s="1"/>
  <c r="L90" i="29"/>
  <c r="M90" i="29" s="1"/>
  <c r="AB456" i="29"/>
  <c r="AB449" i="29"/>
  <c r="AB354" i="29"/>
  <c r="AC354" i="29" s="1"/>
  <c r="L354" i="29"/>
  <c r="M354" i="29" s="1"/>
  <c r="AB355" i="29"/>
  <c r="AC355" i="29" s="1"/>
  <c r="L355" i="29"/>
  <c r="M355" i="29" s="1"/>
  <c r="AB201" i="29"/>
  <c r="AC201" i="29" s="1"/>
  <c r="L201" i="29"/>
  <c r="M201" i="29" s="1"/>
  <c r="AB51" i="29"/>
  <c r="AC51" i="29" s="1"/>
  <c r="L51" i="29"/>
  <c r="M51" i="29" s="1"/>
  <c r="I473" i="29"/>
  <c r="AB296" i="29"/>
  <c r="AC296" i="29" s="1"/>
  <c r="L296" i="29"/>
  <c r="M296" i="29" s="1"/>
  <c r="AB334" i="29"/>
  <c r="AC334" i="29" s="1"/>
  <c r="P334" i="29"/>
  <c r="O334" i="29"/>
  <c r="N334" i="29"/>
  <c r="L334" i="29"/>
  <c r="M334" i="29" s="1"/>
  <c r="AB102" i="29"/>
  <c r="AC102" i="29" s="1"/>
  <c r="L102" i="29"/>
  <c r="M102" i="29" s="1"/>
  <c r="AB100" i="29"/>
  <c r="AC100" i="29" s="1"/>
  <c r="L100" i="29"/>
  <c r="M100" i="29" s="1"/>
  <c r="AB388" i="29"/>
  <c r="AC388" i="29" s="1"/>
  <c r="L388" i="29"/>
  <c r="M388" i="29" s="1"/>
  <c r="AB342" i="29"/>
  <c r="AC342" i="29" s="1"/>
  <c r="L342" i="29"/>
  <c r="M342" i="29" s="1"/>
  <c r="L302" i="29"/>
  <c r="M302" i="29" s="1"/>
  <c r="AB12" i="29"/>
  <c r="AC12" i="29" s="1"/>
  <c r="L12" i="29"/>
  <c r="M12" i="29" s="1"/>
  <c r="AB40" i="29"/>
  <c r="AC40" i="29" s="1"/>
  <c r="L40" i="29"/>
  <c r="M40" i="29" s="1"/>
  <c r="AB360" i="29"/>
  <c r="AC360" i="29" s="1"/>
  <c r="AB418" i="29"/>
  <c r="AC418" i="29" s="1"/>
  <c r="L418" i="29"/>
  <c r="M418" i="29" s="1"/>
  <c r="L256" i="29"/>
  <c r="M256" i="29" s="1"/>
  <c r="AB256" i="29"/>
  <c r="AC256" i="29" s="1"/>
  <c r="AB282" i="29"/>
  <c r="AB286" i="29"/>
  <c r="AB200" i="29"/>
  <c r="AC200" i="29" s="1"/>
  <c r="L200" i="29"/>
  <c r="M200" i="29" s="1"/>
  <c r="AB199" i="29"/>
  <c r="AC199" i="29" s="1"/>
  <c r="L199" i="29"/>
  <c r="M199" i="29" s="1"/>
  <c r="AB167" i="29"/>
  <c r="AC167" i="29" s="1"/>
  <c r="L167" i="29"/>
  <c r="M167" i="29" s="1"/>
  <c r="AB165" i="29"/>
  <c r="AC165" i="29" s="1"/>
  <c r="L165" i="29"/>
  <c r="M165" i="29" s="1"/>
  <c r="AB471" i="29"/>
  <c r="AC471" i="29" s="1"/>
  <c r="L471" i="29"/>
  <c r="M471" i="29" s="1"/>
  <c r="AB253" i="29"/>
  <c r="AC253" i="29" s="1"/>
  <c r="L253" i="29"/>
  <c r="M253" i="29" s="1"/>
  <c r="AB271" i="29"/>
  <c r="AC271" i="29" s="1"/>
  <c r="L271" i="29"/>
  <c r="M271" i="29" s="1"/>
  <c r="AB260" i="29"/>
  <c r="AC260" i="29" s="1"/>
  <c r="L260" i="29"/>
  <c r="M260" i="29" s="1"/>
  <c r="AB436" i="29"/>
  <c r="AC436" i="29" s="1"/>
  <c r="L436" i="29"/>
  <c r="M436" i="29" s="1"/>
  <c r="AB438" i="29"/>
  <c r="AC438" i="29" s="1"/>
  <c r="L438" i="29"/>
  <c r="M438" i="29" s="1"/>
  <c r="AB301" i="29"/>
  <c r="AC301" i="29" s="1"/>
  <c r="L301" i="29"/>
  <c r="M301" i="29" s="1"/>
  <c r="AB435" i="29"/>
  <c r="AC435" i="29" s="1"/>
  <c r="L435" i="29"/>
  <c r="M435" i="29" s="1"/>
  <c r="AB401" i="29"/>
  <c r="AC401" i="29" s="1"/>
  <c r="L401" i="29"/>
  <c r="M401" i="29" s="1"/>
  <c r="AB140" i="29"/>
  <c r="AC140" i="29" s="1"/>
  <c r="L140" i="29"/>
  <c r="M140" i="29" s="1"/>
  <c r="AB139" i="29"/>
  <c r="AC139" i="29" s="1"/>
  <c r="L139" i="29"/>
  <c r="M139" i="29" s="1"/>
  <c r="AB426" i="29"/>
  <c r="AB227" i="29"/>
  <c r="AC227" i="29" s="1"/>
  <c r="AB230" i="29"/>
  <c r="AC230" i="29" s="1"/>
  <c r="AB229" i="29"/>
  <c r="AC229" i="29" s="1"/>
  <c r="AB365" i="29"/>
  <c r="AC365" i="29" s="1"/>
  <c r="AB364" i="29"/>
  <c r="AC364" i="29" s="1"/>
  <c r="AB488" i="29"/>
  <c r="AC488" i="29" s="1"/>
  <c r="AB437" i="29"/>
  <c r="AC437" i="29" s="1"/>
  <c r="L227" i="29"/>
  <c r="M227" i="29" s="1"/>
  <c r="AB470" i="29"/>
  <c r="AC470" i="29" s="1"/>
  <c r="L470" i="29"/>
  <c r="M470" i="29" s="1"/>
  <c r="AB245" i="29"/>
  <c r="AC245" i="29" s="1"/>
  <c r="L245" i="29"/>
  <c r="M245" i="29" s="1"/>
  <c r="AB218" i="29"/>
  <c r="AC218" i="29" s="1"/>
  <c r="AB214" i="29"/>
  <c r="AC214" i="29" s="1"/>
  <c r="AB240" i="29"/>
  <c r="AB242" i="29"/>
  <c r="AB241" i="29"/>
  <c r="AC240" i="29"/>
  <c r="AC242" i="29"/>
  <c r="L240" i="29"/>
  <c r="M240" i="29" s="1"/>
  <c r="L437" i="29"/>
  <c r="M437" i="29" s="1"/>
  <c r="AB427" i="29"/>
  <c r="AC427" i="29" s="1"/>
  <c r="AC426" i="29"/>
  <c r="AG259" i="22"/>
  <c r="AG258" i="22"/>
  <c r="AG257" i="22"/>
  <c r="AG250" i="22"/>
  <c r="AG249" i="22"/>
  <c r="AG248" i="22"/>
  <c r="AG256" i="22"/>
  <c r="AG255" i="22"/>
  <c r="AG254" i="22"/>
  <c r="M221" i="29"/>
  <c r="M246" i="29"/>
  <c r="AB309" i="29"/>
  <c r="AC309" i="29" s="1"/>
  <c r="L309" i="29"/>
  <c r="M309" i="29" s="1"/>
  <c r="AB39" i="29"/>
  <c r="AC39" i="29" s="1"/>
  <c r="L39" i="29"/>
  <c r="M39" i="29" s="1"/>
  <c r="AB432" i="29"/>
  <c r="AC432" i="29" s="1"/>
  <c r="L432" i="29"/>
  <c r="M432" i="29" s="1"/>
  <c r="AB198" i="29"/>
  <c r="AC198" i="29" s="1"/>
  <c r="L198" i="29"/>
  <c r="M198" i="29" s="1"/>
  <c r="AB197" i="29"/>
  <c r="AC197" i="29" s="1"/>
  <c r="L197" i="29"/>
  <c r="M197" i="29" s="1"/>
  <c r="AB195" i="29"/>
  <c r="AB341" i="29"/>
  <c r="AB333" i="29"/>
  <c r="AB205" i="29"/>
  <c r="AB469" i="29"/>
  <c r="AB30" i="29"/>
  <c r="AC30" i="29" s="1"/>
  <c r="L30" i="29"/>
  <c r="M30" i="29" s="1"/>
  <c r="AB225" i="29"/>
  <c r="AC225" i="29" s="1"/>
  <c r="L225" i="29"/>
  <c r="M225" i="29" s="1"/>
  <c r="AB268" i="29"/>
  <c r="AC268" i="29" s="1"/>
  <c r="L268" i="29"/>
  <c r="M268" i="29" s="1"/>
  <c r="AB261" i="29"/>
  <c r="AC261" i="29" s="1"/>
  <c r="L261" i="29"/>
  <c r="M261" i="29" s="1"/>
  <c r="AB11" i="29"/>
  <c r="AC11" i="29" s="1"/>
  <c r="L11" i="29"/>
  <c r="M11" i="29" s="1"/>
  <c r="AD62" i="29" l="1"/>
  <c r="AD203" i="29"/>
  <c r="AD202" i="29"/>
  <c r="AD393" i="29"/>
  <c r="AD256" i="29"/>
  <c r="AD332" i="29"/>
  <c r="AD331" i="29"/>
  <c r="AD387" i="29"/>
  <c r="AD32" i="29"/>
  <c r="AD41" i="29"/>
  <c r="AL47" i="22"/>
  <c r="AH47" i="22"/>
  <c r="AD47" i="22"/>
  <c r="AD255" i="29"/>
  <c r="AD464" i="29"/>
  <c r="AD343" i="29"/>
  <c r="AD103" i="29"/>
  <c r="AD357" i="29"/>
  <c r="AD442" i="29"/>
  <c r="AD467" i="29"/>
  <c r="AD13" i="29"/>
  <c r="AD335" i="29"/>
  <c r="AD52" i="29"/>
  <c r="AD48" i="29"/>
  <c r="AD373" i="29"/>
  <c r="AD374" i="29"/>
  <c r="AD372" i="29"/>
  <c r="AD370" i="29"/>
  <c r="AD371" i="29"/>
  <c r="AD35" i="29"/>
  <c r="AD330" i="29"/>
  <c r="AD90" i="29"/>
  <c r="AD354" i="29"/>
  <c r="AD355" i="29"/>
  <c r="AD201" i="29"/>
  <c r="AD51" i="29"/>
  <c r="AD296" i="29"/>
  <c r="AD334" i="29"/>
  <c r="AD102" i="29"/>
  <c r="AD100" i="29"/>
  <c r="AD388" i="29"/>
  <c r="AD342" i="29"/>
  <c r="AD12" i="29"/>
  <c r="AD40" i="29"/>
  <c r="AD418" i="29"/>
  <c r="AD200" i="29"/>
  <c r="AD199" i="29"/>
  <c r="AD167" i="29"/>
  <c r="AD165" i="29"/>
  <c r="AD471" i="29"/>
  <c r="AD253" i="29"/>
  <c r="AD271" i="29"/>
  <c r="AD260" i="29"/>
  <c r="AD436" i="29"/>
  <c r="AD438" i="29"/>
  <c r="AD301" i="29"/>
  <c r="AD435" i="29"/>
  <c r="AD401" i="29"/>
  <c r="AD139" i="29"/>
  <c r="AD140" i="29"/>
  <c r="AD225" i="29"/>
  <c r="AD240" i="29"/>
  <c r="AD245" i="29"/>
  <c r="AD470" i="29"/>
  <c r="AD437" i="29"/>
  <c r="AD227" i="29"/>
  <c r="AD309" i="29"/>
  <c r="AD39" i="29"/>
  <c r="AD432" i="29"/>
  <c r="AD198" i="29"/>
  <c r="AD197" i="29"/>
  <c r="AD30" i="29"/>
  <c r="AD268" i="29"/>
  <c r="AD261" i="29"/>
  <c r="AD11" i="29"/>
  <c r="AB293" i="29"/>
  <c r="AC293" i="29" s="1"/>
  <c r="L293" i="29"/>
  <c r="M293" i="29" s="1"/>
  <c r="AB294" i="29"/>
  <c r="AC294" i="29" s="1"/>
  <c r="L294" i="29"/>
  <c r="M294" i="29" s="1"/>
  <c r="AB99" i="29"/>
  <c r="AB349" i="29"/>
  <c r="AB8" i="29"/>
  <c r="F126" i="30"/>
  <c r="AB122" i="29"/>
  <c r="AP47" i="22" l="1"/>
  <c r="AJ47" i="22"/>
  <c r="AE47" i="22"/>
  <c r="AF47" i="22" s="1"/>
  <c r="AD293" i="29"/>
  <c r="AD294" i="29"/>
  <c r="AB27" i="29"/>
  <c r="AB2" i="29"/>
  <c r="AB511" i="29"/>
  <c r="AB510" i="29"/>
  <c r="AB509" i="29"/>
  <c r="AB508" i="29"/>
  <c r="AB507" i="29"/>
  <c r="AB506" i="29"/>
  <c r="AB505" i="29"/>
  <c r="AB504" i="29"/>
  <c r="AB503" i="29"/>
  <c r="AB502" i="29"/>
  <c r="AB501" i="29"/>
  <c r="AB500" i="29"/>
  <c r="AB499" i="29"/>
  <c r="AB498" i="29"/>
  <c r="AB497" i="29"/>
  <c r="AB496" i="29"/>
  <c r="AB495" i="29"/>
  <c r="AB494" i="29"/>
  <c r="AB493" i="29"/>
  <c r="AB492" i="29"/>
  <c r="AB491" i="29"/>
  <c r="AB490" i="29"/>
  <c r="AB489" i="29"/>
  <c r="AB487" i="29"/>
  <c r="AC487" i="29" s="1"/>
  <c r="AB486" i="29"/>
  <c r="AB485" i="29"/>
  <c r="AB484" i="29"/>
  <c r="AB483" i="29"/>
  <c r="AB482" i="29"/>
  <c r="AB481" i="29"/>
  <c r="AB480" i="29"/>
  <c r="AB479" i="29"/>
  <c r="AB478" i="29"/>
  <c r="AB477" i="29"/>
  <c r="AB476" i="29"/>
  <c r="AB475" i="29"/>
  <c r="AB474" i="29"/>
  <c r="AB473" i="29"/>
  <c r="AC473" i="29" s="1"/>
  <c r="AD473" i="29" s="1"/>
  <c r="AB472" i="29"/>
  <c r="AC472" i="29" s="1"/>
  <c r="AD472" i="29" s="1"/>
  <c r="AB468" i="29"/>
  <c r="AB466" i="29"/>
  <c r="AB465" i="29"/>
  <c r="AB463" i="29"/>
  <c r="AB462" i="29"/>
  <c r="AB461" i="29"/>
  <c r="AB460" i="29"/>
  <c r="AB458" i="29"/>
  <c r="AB457" i="29"/>
  <c r="AB453" i="29"/>
  <c r="AB448" i="29"/>
  <c r="AB447" i="29"/>
  <c r="AB446" i="29"/>
  <c r="AB445" i="29"/>
  <c r="AB444" i="29"/>
  <c r="AB443" i="29"/>
  <c r="AB441" i="29"/>
  <c r="AB440" i="29"/>
  <c r="AB439" i="29"/>
  <c r="AC439" i="29" s="1"/>
  <c r="AB434" i="29"/>
  <c r="AC434" i="29" s="1"/>
  <c r="AB433" i="29"/>
  <c r="AB431" i="29"/>
  <c r="AB430" i="29"/>
  <c r="AB429" i="29"/>
  <c r="AB425" i="29"/>
  <c r="AB424" i="29"/>
  <c r="AB423" i="29"/>
  <c r="AB420" i="29"/>
  <c r="AB417" i="29"/>
  <c r="AB416" i="29"/>
  <c r="AB415" i="29"/>
  <c r="AB414" i="29"/>
  <c r="AB413" i="29"/>
  <c r="AB412" i="29"/>
  <c r="AB411" i="29"/>
  <c r="AB410" i="29"/>
  <c r="AB409" i="29"/>
  <c r="AB408" i="29"/>
  <c r="AB406" i="29"/>
  <c r="AB405" i="29"/>
  <c r="AB404" i="29"/>
  <c r="AB403" i="29"/>
  <c r="AB402" i="29"/>
  <c r="AB399" i="29"/>
  <c r="AB398" i="29"/>
  <c r="AB397" i="29"/>
  <c r="AB396" i="29"/>
  <c r="AB395" i="29"/>
  <c r="AB394" i="29"/>
  <c r="AB392" i="29"/>
  <c r="AB391" i="29"/>
  <c r="AB390" i="29"/>
  <c r="AB389" i="29"/>
  <c r="AB386" i="29"/>
  <c r="AB385" i="29"/>
  <c r="AB384" i="29"/>
  <c r="AB383" i="29"/>
  <c r="AB382" i="29"/>
  <c r="AB381" i="29"/>
  <c r="AB379" i="29"/>
  <c r="AB378" i="29"/>
  <c r="AB377" i="29"/>
  <c r="AB376" i="29"/>
  <c r="AB375" i="29"/>
  <c r="AB369" i="29"/>
  <c r="AB368" i="29"/>
  <c r="AB367" i="29"/>
  <c r="AB366" i="29"/>
  <c r="AB363" i="29"/>
  <c r="AB362" i="29"/>
  <c r="AB358" i="29"/>
  <c r="AB356" i="29"/>
  <c r="AB353" i="29"/>
  <c r="AB352" i="29"/>
  <c r="AB351" i="29"/>
  <c r="AB348" i="29"/>
  <c r="AB347" i="29"/>
  <c r="AB346" i="29"/>
  <c r="AB344" i="29"/>
  <c r="AB340" i="29"/>
  <c r="AB338" i="29"/>
  <c r="AB337" i="29"/>
  <c r="AB329" i="29"/>
  <c r="AB328" i="29"/>
  <c r="AB327" i="29"/>
  <c r="AB326" i="29"/>
  <c r="AB325" i="29"/>
  <c r="AB324" i="29"/>
  <c r="AB323" i="29"/>
  <c r="AB322" i="29"/>
  <c r="AB321" i="29"/>
  <c r="AB320" i="29"/>
  <c r="AB319" i="29"/>
  <c r="AB318" i="29"/>
  <c r="AB317" i="29"/>
  <c r="AB316" i="29"/>
  <c r="AB315" i="29"/>
  <c r="AB314" i="29"/>
  <c r="AB313" i="29"/>
  <c r="AB312" i="29"/>
  <c r="AB311" i="29"/>
  <c r="AB308" i="29"/>
  <c r="AB307" i="29"/>
  <c r="AB306" i="29"/>
  <c r="AB305" i="29"/>
  <c r="AB304" i="29"/>
  <c r="AB303" i="29"/>
  <c r="AB300" i="29"/>
  <c r="AB299" i="29"/>
  <c r="AB298" i="29"/>
  <c r="AB295" i="29"/>
  <c r="AB292" i="29"/>
  <c r="AB291" i="29"/>
  <c r="AB290" i="29"/>
  <c r="AB289" i="29"/>
  <c r="AB288" i="29"/>
  <c r="AB287" i="29"/>
  <c r="AB285" i="29"/>
  <c r="AB281" i="29"/>
  <c r="AB280" i="29"/>
  <c r="AB279" i="29"/>
  <c r="AB278" i="29"/>
  <c r="AB277" i="29"/>
  <c r="AB276" i="29"/>
  <c r="AB275" i="29"/>
  <c r="AB274" i="29"/>
  <c r="AB273" i="29"/>
  <c r="AB272" i="29"/>
  <c r="AB270" i="29"/>
  <c r="AB269" i="29"/>
  <c r="AB267" i="29"/>
  <c r="AB266" i="29"/>
  <c r="AB265" i="29"/>
  <c r="AB262" i="29"/>
  <c r="AB259" i="29"/>
  <c r="AB258" i="29"/>
  <c r="AB254" i="29"/>
  <c r="AB252" i="29"/>
  <c r="AB251" i="29"/>
  <c r="AB250" i="29"/>
  <c r="AB249" i="29"/>
  <c r="AB248" i="29"/>
  <c r="AB247" i="29"/>
  <c r="AB246" i="29"/>
  <c r="AC246" i="29" s="1"/>
  <c r="AD246" i="29" s="1"/>
  <c r="AB244" i="29"/>
  <c r="AB243" i="29"/>
  <c r="AB239" i="29"/>
  <c r="AC239" i="29" s="1"/>
  <c r="AC241" i="29"/>
  <c r="AB238" i="29"/>
  <c r="AB237" i="29"/>
  <c r="AB236" i="29"/>
  <c r="AB235" i="29"/>
  <c r="AB234" i="29"/>
  <c r="AC234" i="29" s="1"/>
  <c r="AB233" i="29"/>
  <c r="AB232" i="29"/>
  <c r="AB231" i="29"/>
  <c r="AB228" i="29"/>
  <c r="AC228" i="29" s="1"/>
  <c r="AB226" i="29"/>
  <c r="AC226" i="29" s="1"/>
  <c r="AB224" i="29"/>
  <c r="AC224" i="29" s="1"/>
  <c r="AB223" i="29"/>
  <c r="AC223" i="29" s="1"/>
  <c r="AB222" i="29"/>
  <c r="AC222" i="29" s="1"/>
  <c r="AB221" i="29"/>
  <c r="AC221" i="29" s="1"/>
  <c r="AD221" i="29" s="1"/>
  <c r="AB220" i="29"/>
  <c r="AB219" i="29"/>
  <c r="AB217" i="29"/>
  <c r="AB216" i="29"/>
  <c r="AB215" i="29"/>
  <c r="AB213" i="29"/>
  <c r="AB212" i="29"/>
  <c r="AB211" i="29"/>
  <c r="AB210" i="29"/>
  <c r="AB209" i="29"/>
  <c r="AB208" i="29"/>
  <c r="AB207" i="29"/>
  <c r="AB206" i="29"/>
  <c r="AB204" i="29"/>
  <c r="AB196" i="29"/>
  <c r="AB194" i="29"/>
  <c r="AB193" i="29"/>
  <c r="AB192" i="29"/>
  <c r="AB191" i="29"/>
  <c r="AB190" i="29"/>
  <c r="AB189" i="29"/>
  <c r="AB188" i="29"/>
  <c r="AB187" i="29"/>
  <c r="AB185" i="29"/>
  <c r="AB184" i="29"/>
  <c r="AC184" i="29" s="1"/>
  <c r="AB183" i="29"/>
  <c r="AB182" i="29"/>
  <c r="AB181" i="29"/>
  <c r="AB180" i="29"/>
  <c r="AB179" i="29"/>
  <c r="AB178" i="29"/>
  <c r="AB177" i="29"/>
  <c r="AB176" i="29"/>
  <c r="AB175" i="29"/>
  <c r="AB174" i="29"/>
  <c r="AB173" i="29"/>
  <c r="AB172" i="29"/>
  <c r="AB171" i="29"/>
  <c r="AB170" i="29"/>
  <c r="AB169" i="29"/>
  <c r="AB168" i="29"/>
  <c r="AB166" i="29"/>
  <c r="AB164" i="29"/>
  <c r="AB163" i="29"/>
  <c r="AB162" i="29"/>
  <c r="AB161" i="29"/>
  <c r="AB160" i="29"/>
  <c r="AB159" i="29"/>
  <c r="AB158" i="29"/>
  <c r="AB157" i="29"/>
  <c r="AB156" i="29"/>
  <c r="AB155" i="29"/>
  <c r="AB154" i="29"/>
  <c r="AB153" i="29"/>
  <c r="AB152" i="29"/>
  <c r="AB151" i="29"/>
  <c r="AB150" i="29"/>
  <c r="AB149" i="29"/>
  <c r="AB148" i="29"/>
  <c r="AB147" i="29"/>
  <c r="AB146" i="29"/>
  <c r="AB145" i="29"/>
  <c r="AB144" i="29"/>
  <c r="AB143" i="29"/>
  <c r="AB142" i="29"/>
  <c r="AB141" i="29"/>
  <c r="AB138" i="29"/>
  <c r="AB137" i="29"/>
  <c r="AB136" i="29"/>
  <c r="AC136" i="29" s="1"/>
  <c r="AB135" i="29"/>
  <c r="AC135" i="29" s="1"/>
  <c r="AB133" i="29"/>
  <c r="AC133" i="29" s="1"/>
  <c r="AB134" i="29"/>
  <c r="AC134" i="29" s="1"/>
  <c r="AB132" i="29"/>
  <c r="AC132" i="29" s="1"/>
  <c r="AB131" i="29"/>
  <c r="AB130" i="29"/>
  <c r="AB129" i="29"/>
  <c r="AB128" i="29"/>
  <c r="AB127" i="29"/>
  <c r="AB126" i="29"/>
  <c r="AB125" i="29"/>
  <c r="AB124" i="29"/>
  <c r="AB123" i="29"/>
  <c r="AB119" i="29"/>
  <c r="AB118" i="29"/>
  <c r="AB117" i="29"/>
  <c r="AB116" i="29"/>
  <c r="AB115" i="29"/>
  <c r="AB114" i="29"/>
  <c r="AB113" i="29"/>
  <c r="AB112" i="29"/>
  <c r="AB111" i="29"/>
  <c r="AB110" i="29"/>
  <c r="AB109" i="29"/>
  <c r="AB107" i="29"/>
  <c r="AB106" i="29"/>
  <c r="AB105" i="29"/>
  <c r="AB104" i="29"/>
  <c r="AB101" i="29"/>
  <c r="AB98" i="29"/>
  <c r="AC98" i="29" s="1"/>
  <c r="AB96" i="29"/>
  <c r="AB95" i="29"/>
  <c r="AB94" i="29"/>
  <c r="AB93" i="29"/>
  <c r="AB92" i="29"/>
  <c r="AB89" i="29"/>
  <c r="AB88" i="29"/>
  <c r="AB87" i="29"/>
  <c r="AB86" i="29"/>
  <c r="AB85" i="29"/>
  <c r="AB84" i="29"/>
  <c r="AB83" i="29"/>
  <c r="AB82" i="29"/>
  <c r="AB81" i="29"/>
  <c r="AB80" i="29"/>
  <c r="AB79" i="29"/>
  <c r="AB78" i="29"/>
  <c r="AB77" i="29"/>
  <c r="AB76" i="29"/>
  <c r="AB75" i="29"/>
  <c r="AB74" i="29"/>
  <c r="AB73" i="29"/>
  <c r="AB72" i="29"/>
  <c r="AB70" i="29"/>
  <c r="AB69" i="29"/>
  <c r="AB68" i="29"/>
  <c r="AB67" i="29"/>
  <c r="AB66" i="29"/>
  <c r="AB65" i="29"/>
  <c r="AB64" i="29"/>
  <c r="AB61" i="29"/>
  <c r="AB60" i="29"/>
  <c r="AB59" i="29"/>
  <c r="AB58" i="29"/>
  <c r="AB57" i="29"/>
  <c r="AB56" i="29"/>
  <c r="AB55" i="29"/>
  <c r="AB54" i="29"/>
  <c r="AB53" i="29"/>
  <c r="AB50" i="29"/>
  <c r="AB49" i="29"/>
  <c r="AB47" i="29"/>
  <c r="AB46" i="29"/>
  <c r="AB45" i="29"/>
  <c r="AB44" i="29"/>
  <c r="AB42" i="29"/>
  <c r="AB38" i="29"/>
  <c r="AB37" i="29"/>
  <c r="AB36" i="29"/>
  <c r="AB34" i="29"/>
  <c r="AB33" i="29"/>
  <c r="AB31" i="29"/>
  <c r="AB29" i="29"/>
  <c r="AB28" i="29"/>
  <c r="AB26" i="29"/>
  <c r="AB25" i="29"/>
  <c r="AB24" i="29"/>
  <c r="AB23" i="29"/>
  <c r="AB21" i="29"/>
  <c r="AB20" i="29"/>
  <c r="AB19" i="29"/>
  <c r="AB18" i="29"/>
  <c r="AB17" i="29"/>
  <c r="AB16" i="29"/>
  <c r="AB15" i="29"/>
  <c r="AB14" i="29"/>
  <c r="AB10" i="29"/>
  <c r="AB9" i="29"/>
  <c r="AB6" i="29"/>
  <c r="AB5" i="29"/>
  <c r="AB3" i="29"/>
  <c r="AM47" i="22" l="1"/>
  <c r="AK47" i="22"/>
  <c r="AB317" i="22"/>
  <c r="F2" i="30"/>
  <c r="F3" i="30"/>
  <c r="F4" i="30"/>
  <c r="F5" i="30"/>
  <c r="F6" i="30"/>
  <c r="F7" i="30"/>
  <c r="F8" i="30"/>
  <c r="F9" i="30"/>
  <c r="F10" i="30"/>
  <c r="F11" i="30"/>
  <c r="F12" i="30"/>
  <c r="F13" i="30"/>
  <c r="F14" i="30"/>
  <c r="F15" i="30"/>
  <c r="F16" i="30"/>
  <c r="F17" i="30"/>
  <c r="F18" i="30"/>
  <c r="F19" i="30"/>
  <c r="F20" i="30"/>
  <c r="F21" i="30"/>
  <c r="F22" i="30"/>
  <c r="F23" i="30"/>
  <c r="F24" i="30"/>
  <c r="F25" i="30"/>
  <c r="F26" i="30"/>
  <c r="F27" i="30"/>
  <c r="F28" i="30"/>
  <c r="F29" i="30"/>
  <c r="F30" i="30"/>
  <c r="F31" i="30"/>
  <c r="F32" i="30"/>
  <c r="F33" i="30"/>
  <c r="F34" i="30"/>
  <c r="F35" i="30"/>
  <c r="F36" i="30"/>
  <c r="F37" i="30"/>
  <c r="F38" i="30"/>
  <c r="F39" i="30"/>
  <c r="F40" i="30"/>
  <c r="F41" i="30"/>
  <c r="F42" i="30"/>
  <c r="F43" i="30"/>
  <c r="F44" i="30"/>
  <c r="F45" i="30"/>
  <c r="F46" i="30"/>
  <c r="F47" i="30"/>
  <c r="F48" i="30"/>
  <c r="F49" i="30"/>
  <c r="F50" i="30"/>
  <c r="F51" i="30"/>
  <c r="F52" i="30"/>
  <c r="F53" i="30"/>
  <c r="F54" i="30"/>
  <c r="F55" i="30"/>
  <c r="F56" i="30"/>
  <c r="F57" i="30"/>
  <c r="F58" i="30"/>
  <c r="F59" i="30"/>
  <c r="F60" i="30"/>
  <c r="F61" i="30"/>
  <c r="F62" i="30"/>
  <c r="F63" i="30"/>
  <c r="F64" i="30"/>
  <c r="F65" i="30"/>
  <c r="F66" i="30"/>
  <c r="F67" i="30"/>
  <c r="F68" i="30"/>
  <c r="F69" i="30"/>
  <c r="F70" i="30"/>
  <c r="F71" i="30"/>
  <c r="F72" i="30"/>
  <c r="F73" i="30"/>
  <c r="F74" i="30"/>
  <c r="F75" i="30"/>
  <c r="F76" i="30"/>
  <c r="F77" i="30"/>
  <c r="F78" i="30"/>
  <c r="F79" i="30"/>
  <c r="F80" i="30"/>
  <c r="F81" i="30"/>
  <c r="F82" i="30"/>
  <c r="F83" i="30"/>
  <c r="F84" i="30"/>
  <c r="F85" i="30"/>
  <c r="F86" i="30"/>
  <c r="F87" i="30"/>
  <c r="F88" i="30"/>
  <c r="F89" i="30"/>
  <c r="F90" i="30"/>
  <c r="F91" i="30"/>
  <c r="F92" i="30"/>
  <c r="F93" i="30"/>
  <c r="F94" i="30"/>
  <c r="F95" i="30"/>
  <c r="F96" i="30"/>
  <c r="F97" i="30"/>
  <c r="F98" i="30"/>
  <c r="F99" i="30"/>
  <c r="F100" i="30"/>
  <c r="F101" i="30"/>
  <c r="F102" i="30"/>
  <c r="F103" i="30"/>
  <c r="F104" i="30"/>
  <c r="F105" i="30"/>
  <c r="F106" i="30"/>
  <c r="F107" i="30"/>
  <c r="F108" i="30"/>
  <c r="F109" i="30"/>
  <c r="F110" i="30"/>
  <c r="F111" i="30"/>
  <c r="F112" i="30"/>
  <c r="F113" i="30"/>
  <c r="F114" i="30"/>
  <c r="F115" i="30"/>
  <c r="F116" i="30"/>
  <c r="F117" i="30"/>
  <c r="F118" i="30"/>
  <c r="F119" i="30"/>
  <c r="F120" i="30"/>
  <c r="F121" i="30"/>
  <c r="F122" i="30"/>
  <c r="F123" i="30"/>
  <c r="F124" i="30"/>
  <c r="F125" i="30"/>
  <c r="F127" i="30"/>
  <c r="F128" i="30"/>
  <c r="F129" i="30"/>
  <c r="F130" i="30"/>
  <c r="F131" i="30"/>
  <c r="F132" i="30"/>
  <c r="F133" i="30"/>
  <c r="F134" i="30"/>
  <c r="F135" i="30"/>
  <c r="F136" i="30"/>
  <c r="F137" i="30"/>
  <c r="F138" i="30"/>
  <c r="F139" i="30"/>
  <c r="F140" i="30"/>
  <c r="F141" i="30"/>
  <c r="F142" i="30"/>
  <c r="F143" i="30"/>
  <c r="F144" i="30"/>
  <c r="F145" i="30"/>
  <c r="F146" i="30"/>
  <c r="F147" i="30"/>
  <c r="F148" i="30"/>
  <c r="F149" i="30"/>
  <c r="F150" i="30"/>
  <c r="F151" i="30"/>
  <c r="F152" i="30"/>
  <c r="F153" i="30"/>
  <c r="F154" i="30"/>
  <c r="F155" i="30"/>
  <c r="F156" i="30"/>
  <c r="F157" i="30"/>
  <c r="F158" i="30"/>
  <c r="F159" i="30"/>
  <c r="F160" i="30"/>
  <c r="N161" i="30"/>
  <c r="F161" i="30" s="1"/>
  <c r="F162" i="30"/>
  <c r="F163" i="30"/>
  <c r="F164" i="30"/>
  <c r="F165" i="30"/>
  <c r="F166" i="30"/>
  <c r="F167" i="30"/>
  <c r="F168" i="30"/>
  <c r="N169" i="30"/>
  <c r="F169" i="30" s="1"/>
  <c r="F170" i="30"/>
  <c r="F171" i="30"/>
  <c r="F172" i="30"/>
  <c r="F173" i="30"/>
  <c r="F174" i="30"/>
  <c r="F175" i="30"/>
  <c r="F176" i="30"/>
  <c r="F177" i="30"/>
  <c r="F178" i="30"/>
  <c r="F179" i="30"/>
  <c r="F180" i="30"/>
  <c r="F181" i="30"/>
  <c r="F182" i="30"/>
  <c r="F183" i="30"/>
  <c r="F184" i="30"/>
  <c r="F185" i="30"/>
  <c r="F186" i="30"/>
  <c r="F187" i="30"/>
  <c r="F188" i="30"/>
  <c r="F189" i="30"/>
  <c r="F190" i="30"/>
  <c r="F191" i="30"/>
  <c r="F192" i="30"/>
  <c r="F193" i="30"/>
  <c r="F194" i="30"/>
  <c r="N195" i="30"/>
  <c r="F195" i="30" s="1"/>
  <c r="F196" i="30"/>
  <c r="F197" i="30"/>
  <c r="F198" i="30"/>
  <c r="F199" i="30"/>
  <c r="N200" i="30"/>
  <c r="F200" i="30" s="1"/>
  <c r="N201" i="30"/>
  <c r="F201" i="30" s="1"/>
  <c r="F202" i="30"/>
  <c r="F203" i="30"/>
  <c r="F204" i="30"/>
  <c r="F205" i="30"/>
  <c r="F206" i="30"/>
  <c r="F207" i="30"/>
  <c r="F208" i="30"/>
  <c r="F209" i="30"/>
  <c r="AC258" i="29" l="1"/>
  <c r="AC36" i="29"/>
  <c r="AD257" i="29"/>
  <c r="AD263" i="29"/>
  <c r="AD264" i="29"/>
  <c r="AC512" i="29"/>
  <c r="AC513" i="29"/>
  <c r="AC514" i="29"/>
  <c r="AC515" i="29"/>
  <c r="AC516" i="29"/>
  <c r="AC517" i="29"/>
  <c r="AC518" i="29"/>
  <c r="AC519" i="29"/>
  <c r="AC520" i="29"/>
  <c r="AC3" i="29"/>
  <c r="AC4" i="29"/>
  <c r="AC5" i="29"/>
  <c r="AC6" i="29"/>
  <c r="AC7" i="29"/>
  <c r="AC8" i="29"/>
  <c r="AC9" i="29"/>
  <c r="AC10" i="29"/>
  <c r="AC14" i="29"/>
  <c r="AC15" i="29"/>
  <c r="AC16" i="29"/>
  <c r="AC17" i="29"/>
  <c r="AC18" i="29"/>
  <c r="AC19" i="29"/>
  <c r="AC20" i="29"/>
  <c r="AC21" i="29"/>
  <c r="AC23" i="29"/>
  <c r="AC24" i="29"/>
  <c r="AC25" i="29"/>
  <c r="AC26" i="29"/>
  <c r="AC27" i="29"/>
  <c r="AC28" i="29"/>
  <c r="AC29" i="29"/>
  <c r="AC31" i="29"/>
  <c r="AC33" i="29"/>
  <c r="AC34" i="29"/>
  <c r="AC37" i="29"/>
  <c r="AC38" i="29"/>
  <c r="AC42" i="29"/>
  <c r="AC43" i="29"/>
  <c r="AC44" i="29"/>
  <c r="AC45" i="29"/>
  <c r="AC46" i="29"/>
  <c r="AC47" i="29"/>
  <c r="AC49" i="29"/>
  <c r="AC50" i="29"/>
  <c r="AC53" i="29"/>
  <c r="AC54" i="29"/>
  <c r="AC55" i="29"/>
  <c r="AC56" i="29"/>
  <c r="AC57" i="29"/>
  <c r="AC58" i="29"/>
  <c r="AC59" i="29"/>
  <c r="AC60" i="29"/>
  <c r="AC61" i="29"/>
  <c r="AC64" i="29"/>
  <c r="AC65" i="29"/>
  <c r="AC66" i="29"/>
  <c r="AC67" i="29"/>
  <c r="AC68" i="29"/>
  <c r="AC69" i="29"/>
  <c r="AC70" i="29"/>
  <c r="AC71" i="29"/>
  <c r="AC72" i="29"/>
  <c r="AC73" i="29"/>
  <c r="AC74" i="29"/>
  <c r="AC75" i="29"/>
  <c r="AC76" i="29"/>
  <c r="AC77" i="29"/>
  <c r="AC78" i="29"/>
  <c r="AC79" i="29"/>
  <c r="AC80" i="29"/>
  <c r="AC81" i="29"/>
  <c r="AC82" i="29"/>
  <c r="AC83" i="29"/>
  <c r="AC84" i="29"/>
  <c r="AC85" i="29"/>
  <c r="AC86" i="29"/>
  <c r="AC87" i="29"/>
  <c r="AC88" i="29"/>
  <c r="AC89" i="29"/>
  <c r="AC92" i="29"/>
  <c r="AC93" i="29"/>
  <c r="AC94" i="29"/>
  <c r="AC95" i="29"/>
  <c r="AC96" i="29"/>
  <c r="AC97" i="29"/>
  <c r="AC99" i="29"/>
  <c r="AC101" i="29"/>
  <c r="AC104" i="29"/>
  <c r="AC105" i="29"/>
  <c r="AC106" i="29"/>
  <c r="AC107" i="29"/>
  <c r="AC109" i="29"/>
  <c r="AC110" i="29"/>
  <c r="AC111" i="29"/>
  <c r="AC112" i="29"/>
  <c r="AC113" i="29"/>
  <c r="AC114" i="29"/>
  <c r="AC115" i="29"/>
  <c r="AC116" i="29"/>
  <c r="AC117" i="29"/>
  <c r="AC118" i="29"/>
  <c r="AC119" i="29"/>
  <c r="AC120" i="29"/>
  <c r="AC122" i="29"/>
  <c r="AC123" i="29"/>
  <c r="AC124" i="29"/>
  <c r="AC125" i="29"/>
  <c r="AC126" i="29"/>
  <c r="AC127" i="29"/>
  <c r="AC128" i="29"/>
  <c r="AC129" i="29"/>
  <c r="AC130" i="29"/>
  <c r="AC131" i="29"/>
  <c r="AC137" i="29"/>
  <c r="AC138" i="29"/>
  <c r="AC141" i="29"/>
  <c r="AC142" i="29"/>
  <c r="AC143" i="29"/>
  <c r="AD143" i="29" s="1"/>
  <c r="AC144" i="29"/>
  <c r="AD144" i="29" s="1"/>
  <c r="AC145" i="29"/>
  <c r="AD145" i="29" s="1"/>
  <c r="AC146" i="29"/>
  <c r="AD146" i="29" s="1"/>
  <c r="AC147" i="29"/>
  <c r="AC148" i="29"/>
  <c r="AC149" i="29"/>
  <c r="AC150" i="29"/>
  <c r="AC151" i="29"/>
  <c r="AC152" i="29"/>
  <c r="AC153" i="29"/>
  <c r="AC154" i="29"/>
  <c r="AC155" i="29"/>
  <c r="AC156" i="29"/>
  <c r="AC157" i="29"/>
  <c r="AC158" i="29"/>
  <c r="AC159" i="29"/>
  <c r="AC160" i="29"/>
  <c r="AC161" i="29"/>
  <c r="AC162" i="29"/>
  <c r="AC163" i="29"/>
  <c r="AC164" i="29"/>
  <c r="AC166" i="29"/>
  <c r="AC168" i="29"/>
  <c r="AC169" i="29"/>
  <c r="AC170" i="29"/>
  <c r="AC171" i="29"/>
  <c r="AC172" i="29"/>
  <c r="AC173" i="29"/>
  <c r="AC174" i="29"/>
  <c r="AC175" i="29"/>
  <c r="AC176" i="29"/>
  <c r="AC177" i="29"/>
  <c r="AC178" i="29"/>
  <c r="AC179" i="29"/>
  <c r="AC180" i="29"/>
  <c r="AC181" i="29"/>
  <c r="AC182" i="29"/>
  <c r="AC183" i="29"/>
  <c r="AC185" i="29"/>
  <c r="AC187" i="29"/>
  <c r="AC188" i="29"/>
  <c r="AC189" i="29"/>
  <c r="AC191" i="29"/>
  <c r="AC192" i="29"/>
  <c r="AC193" i="29"/>
  <c r="AC194" i="29"/>
  <c r="AC195" i="29"/>
  <c r="AC196" i="29"/>
  <c r="AC204" i="29"/>
  <c r="AC205" i="29"/>
  <c r="AC206" i="29"/>
  <c r="AC207" i="29"/>
  <c r="AC208" i="29"/>
  <c r="AC209" i="29"/>
  <c r="AC210" i="29"/>
  <c r="AC211" i="29"/>
  <c r="AC212" i="29"/>
  <c r="AC213" i="29"/>
  <c r="AC215" i="29"/>
  <c r="AC216" i="29"/>
  <c r="AC217" i="29"/>
  <c r="AC219" i="29"/>
  <c r="AC220" i="29"/>
  <c r="AC231" i="29"/>
  <c r="AC232" i="29"/>
  <c r="AC233" i="29"/>
  <c r="AC235" i="29"/>
  <c r="AC236" i="29"/>
  <c r="AC237" i="29"/>
  <c r="AC238" i="29"/>
  <c r="AC243" i="29"/>
  <c r="AC244" i="29"/>
  <c r="AC247" i="29"/>
  <c r="AC248" i="29"/>
  <c r="AC249" i="29"/>
  <c r="AC250" i="29"/>
  <c r="AC251" i="29"/>
  <c r="AC252" i="29"/>
  <c r="AC254" i="29"/>
  <c r="AC259" i="29"/>
  <c r="AC262" i="29"/>
  <c r="AC265" i="29"/>
  <c r="AC266" i="29"/>
  <c r="AC267" i="29"/>
  <c r="AC269" i="29"/>
  <c r="AC270" i="29"/>
  <c r="AC272" i="29"/>
  <c r="AC273" i="29"/>
  <c r="AC274" i="29"/>
  <c r="AC275" i="29"/>
  <c r="AC276" i="29"/>
  <c r="AC277" i="29"/>
  <c r="AC278" i="29"/>
  <c r="AC279" i="29"/>
  <c r="AC280" i="29"/>
  <c r="AC281" i="29"/>
  <c r="AC282" i="29"/>
  <c r="AC283" i="29"/>
  <c r="AC285" i="29"/>
  <c r="AC286" i="29"/>
  <c r="AC287" i="29"/>
  <c r="AC288" i="29"/>
  <c r="AC289" i="29"/>
  <c r="AC290" i="29"/>
  <c r="AC291" i="29"/>
  <c r="AC292" i="29"/>
  <c r="AC295" i="29"/>
  <c r="AC298" i="29"/>
  <c r="AC299" i="29"/>
  <c r="AC300" i="29"/>
  <c r="AC303" i="29"/>
  <c r="AC304" i="29"/>
  <c r="AC305" i="29"/>
  <c r="AC306" i="29"/>
  <c r="AC307" i="29"/>
  <c r="AC308" i="29"/>
  <c r="AC311" i="29"/>
  <c r="AC312" i="29"/>
  <c r="AC313" i="29"/>
  <c r="AC314" i="29"/>
  <c r="AC315" i="29"/>
  <c r="AC316" i="29"/>
  <c r="AC317" i="29"/>
  <c r="AC318" i="29"/>
  <c r="AC319" i="29"/>
  <c r="AC320" i="29"/>
  <c r="AC321" i="29"/>
  <c r="AC322" i="29"/>
  <c r="AC323" i="29"/>
  <c r="AC324" i="29"/>
  <c r="AC325" i="29"/>
  <c r="AC326" i="29"/>
  <c r="AC327" i="29"/>
  <c r="AC328" i="29"/>
  <c r="AC329" i="29"/>
  <c r="AC333" i="29"/>
  <c r="AC337" i="29"/>
  <c r="AC338" i="29"/>
  <c r="AC340" i="29"/>
  <c r="AC341" i="29"/>
  <c r="AC344" i="29"/>
  <c r="AC346" i="29"/>
  <c r="AC347" i="29"/>
  <c r="AC348" i="29"/>
  <c r="AC349" i="29"/>
  <c r="AC350" i="29"/>
  <c r="AC351" i="29"/>
  <c r="AC352" i="29"/>
  <c r="AC353" i="29"/>
  <c r="AC356" i="29"/>
  <c r="AC358" i="29"/>
  <c r="AC362" i="29"/>
  <c r="AC363" i="29"/>
  <c r="AC366" i="29"/>
  <c r="AC367" i="29"/>
  <c r="AC368" i="29"/>
  <c r="AC369" i="29"/>
  <c r="AC375" i="29"/>
  <c r="AC376" i="29"/>
  <c r="AC377" i="29"/>
  <c r="AC378" i="29"/>
  <c r="AC379" i="29"/>
  <c r="AC380" i="29"/>
  <c r="AC381" i="29"/>
  <c r="AC382" i="29"/>
  <c r="AC383" i="29"/>
  <c r="AC384" i="29"/>
  <c r="AC385" i="29"/>
  <c r="AC386" i="29"/>
  <c r="AC389" i="29"/>
  <c r="AC390" i="29"/>
  <c r="AC391" i="29"/>
  <c r="AC392" i="29"/>
  <c r="AC394" i="29"/>
  <c r="AC395" i="29"/>
  <c r="AC396" i="29"/>
  <c r="AC397" i="29"/>
  <c r="AC398" i="29"/>
  <c r="AC399" i="29"/>
  <c r="AC400" i="29"/>
  <c r="AC402" i="29"/>
  <c r="AC403" i="29"/>
  <c r="AC404" i="29"/>
  <c r="AC405" i="29"/>
  <c r="AC406" i="29"/>
  <c r="AC407" i="29"/>
  <c r="AC408" i="29"/>
  <c r="AC409" i="29"/>
  <c r="AC410" i="29"/>
  <c r="AC411" i="29"/>
  <c r="AC412" i="29"/>
  <c r="AC413" i="29"/>
  <c r="AC414" i="29"/>
  <c r="AC415" i="29"/>
  <c r="AC416" i="29"/>
  <c r="AC417" i="29"/>
  <c r="AC420" i="29"/>
  <c r="AC421" i="29"/>
  <c r="AC423" i="29"/>
  <c r="AC424" i="29"/>
  <c r="AC425" i="29"/>
  <c r="AC429" i="29"/>
  <c r="AC430" i="29"/>
  <c r="AC431" i="29"/>
  <c r="AC433" i="29"/>
  <c r="AC440" i="29"/>
  <c r="AC441" i="29"/>
  <c r="AC443" i="29"/>
  <c r="AC444" i="29"/>
  <c r="AC445" i="29"/>
  <c r="AC446" i="29"/>
  <c r="AC447" i="29"/>
  <c r="AC448" i="29"/>
  <c r="AC449" i="29"/>
  <c r="AC451" i="29"/>
  <c r="AC453" i="29"/>
  <c r="AC454" i="29"/>
  <c r="AC455" i="29"/>
  <c r="AC456" i="29"/>
  <c r="AC457" i="29"/>
  <c r="AC458" i="29"/>
  <c r="AC459" i="29"/>
  <c r="AC460" i="29"/>
  <c r="AC461" i="29"/>
  <c r="AC462" i="29"/>
  <c r="AC463" i="29"/>
  <c r="AC465" i="29"/>
  <c r="AC466" i="29"/>
  <c r="AC468" i="29"/>
  <c r="AC469" i="29"/>
  <c r="AC474" i="29"/>
  <c r="AC475" i="29"/>
  <c r="AC476" i="29"/>
  <c r="AC477" i="29"/>
  <c r="AC478" i="29"/>
  <c r="AC479" i="29"/>
  <c r="AC480" i="29"/>
  <c r="AC481" i="29"/>
  <c r="AC482" i="29"/>
  <c r="AC483" i="29"/>
  <c r="AC484" i="29"/>
  <c r="AC485" i="29"/>
  <c r="AC486" i="29"/>
  <c r="AC489" i="29"/>
  <c r="AC490" i="29"/>
  <c r="AC491" i="29"/>
  <c r="AC492" i="29"/>
  <c r="AC493" i="29"/>
  <c r="AC494" i="29"/>
  <c r="AC495" i="29"/>
  <c r="AC496" i="29"/>
  <c r="AC497" i="29"/>
  <c r="AC498" i="29"/>
  <c r="AC499" i="29"/>
  <c r="AC500" i="29"/>
  <c r="AC501" i="29"/>
  <c r="AC502" i="29"/>
  <c r="AC503" i="29"/>
  <c r="AC504" i="29"/>
  <c r="AC505" i="29"/>
  <c r="AC506" i="29"/>
  <c r="AC507" i="29"/>
  <c r="AC508" i="29"/>
  <c r="AC509" i="29"/>
  <c r="AC510" i="29"/>
  <c r="AC511" i="29"/>
  <c r="AC2" i="29"/>
  <c r="L511" i="29"/>
  <c r="M511" i="29" s="1"/>
  <c r="L510" i="29"/>
  <c r="M510" i="29" s="1"/>
  <c r="L509" i="29"/>
  <c r="M509" i="29" s="1"/>
  <c r="L508" i="29"/>
  <c r="M508" i="29" s="1"/>
  <c r="L507" i="29"/>
  <c r="M507" i="29" s="1"/>
  <c r="L506" i="29"/>
  <c r="M506" i="29" s="1"/>
  <c r="L505" i="29"/>
  <c r="M505" i="29" s="1"/>
  <c r="L504" i="29"/>
  <c r="M504" i="29" s="1"/>
  <c r="L503" i="29"/>
  <c r="M503" i="29" s="1"/>
  <c r="L502" i="29"/>
  <c r="M502" i="29" s="1"/>
  <c r="L501" i="29"/>
  <c r="M501" i="29" s="1"/>
  <c r="L500" i="29"/>
  <c r="M500" i="29" s="1"/>
  <c r="L499" i="29"/>
  <c r="M499" i="29" s="1"/>
  <c r="L498" i="29"/>
  <c r="M498" i="29" s="1"/>
  <c r="L497" i="29"/>
  <c r="M497" i="29" s="1"/>
  <c r="L496" i="29"/>
  <c r="M496" i="29" s="1"/>
  <c r="L495" i="29"/>
  <c r="M495" i="29" s="1"/>
  <c r="L494" i="29"/>
  <c r="M494" i="29" s="1"/>
  <c r="L493" i="29"/>
  <c r="M493" i="29" s="1"/>
  <c r="L492" i="29"/>
  <c r="M492" i="29" s="1"/>
  <c r="L491" i="29"/>
  <c r="M491" i="29" s="1"/>
  <c r="L490" i="29"/>
  <c r="M490" i="29" s="1"/>
  <c r="L489" i="29"/>
  <c r="M489" i="29" s="1"/>
  <c r="L488" i="29"/>
  <c r="L487" i="29"/>
  <c r="L486" i="29"/>
  <c r="M486" i="29" s="1"/>
  <c r="L485" i="29"/>
  <c r="M485" i="29" s="1"/>
  <c r="L484" i="29"/>
  <c r="M484" i="29" s="1"/>
  <c r="L483" i="29"/>
  <c r="M483" i="29" s="1"/>
  <c r="L482" i="29"/>
  <c r="L481" i="29"/>
  <c r="M481" i="29" s="1"/>
  <c r="L480" i="29"/>
  <c r="M480" i="29" s="1"/>
  <c r="L479" i="29"/>
  <c r="M479" i="29" s="1"/>
  <c r="L478" i="29"/>
  <c r="M478" i="29" s="1"/>
  <c r="L477" i="29"/>
  <c r="L476" i="29"/>
  <c r="M476" i="29" s="1"/>
  <c r="L475" i="29"/>
  <c r="M475" i="29" s="1"/>
  <c r="L474" i="29"/>
  <c r="M474" i="29" s="1"/>
  <c r="L469" i="29"/>
  <c r="M469" i="29" s="1"/>
  <c r="L468" i="29"/>
  <c r="L466" i="29"/>
  <c r="M466" i="29" s="1"/>
  <c r="L465" i="29"/>
  <c r="M465" i="29" s="1"/>
  <c r="L463" i="29"/>
  <c r="M463" i="29" s="1"/>
  <c r="L462" i="29"/>
  <c r="L461" i="29"/>
  <c r="M461" i="29" s="1"/>
  <c r="L460" i="29"/>
  <c r="L459" i="29"/>
  <c r="M459" i="29" s="1"/>
  <c r="L458" i="29"/>
  <c r="M458" i="29" s="1"/>
  <c r="L457" i="29"/>
  <c r="M457" i="29" s="1"/>
  <c r="L456" i="29"/>
  <c r="L455" i="29"/>
  <c r="M455" i="29" s="1"/>
  <c r="L454" i="29"/>
  <c r="M454" i="29" s="1"/>
  <c r="L453" i="29"/>
  <c r="M453" i="29" s="1"/>
  <c r="L451" i="29"/>
  <c r="L450" i="29"/>
  <c r="L449" i="29"/>
  <c r="M449" i="29" s="1"/>
  <c r="L448" i="29"/>
  <c r="M448" i="29" s="1"/>
  <c r="L447" i="29"/>
  <c r="L446" i="29"/>
  <c r="L445" i="29"/>
  <c r="M445" i="29" s="1"/>
  <c r="L444" i="29"/>
  <c r="M444" i="29" s="1"/>
  <c r="L443" i="29"/>
  <c r="M443" i="29" s="1"/>
  <c r="L441" i="29"/>
  <c r="M441" i="29" s="1"/>
  <c r="L440" i="29"/>
  <c r="M440" i="29" s="1"/>
  <c r="L439" i="29"/>
  <c r="M439" i="29" s="1"/>
  <c r="L434" i="29"/>
  <c r="M434" i="29" s="1"/>
  <c r="L433" i="29"/>
  <c r="M433" i="29" s="1"/>
  <c r="L431" i="29"/>
  <c r="M431" i="29" s="1"/>
  <c r="L430" i="29"/>
  <c r="M430" i="29" s="1"/>
  <c r="L429" i="29"/>
  <c r="M429" i="29" s="1"/>
  <c r="L428" i="29"/>
  <c r="M428" i="29" s="1"/>
  <c r="L427" i="29"/>
  <c r="L426" i="29"/>
  <c r="L425" i="29"/>
  <c r="M425" i="29" s="1"/>
  <c r="L424" i="29"/>
  <c r="L423" i="29"/>
  <c r="M423" i="29" s="1"/>
  <c r="L421" i="29"/>
  <c r="M421" i="29" s="1"/>
  <c r="L420" i="29"/>
  <c r="M420" i="29" s="1"/>
  <c r="L417" i="29"/>
  <c r="M417" i="29" s="1"/>
  <c r="L416" i="29"/>
  <c r="M416" i="29" s="1"/>
  <c r="L415" i="29"/>
  <c r="M415" i="29" s="1"/>
  <c r="L414" i="29"/>
  <c r="M414" i="29" s="1"/>
  <c r="L413" i="29"/>
  <c r="M413" i="29" s="1"/>
  <c r="L412" i="29"/>
  <c r="M412" i="29" s="1"/>
  <c r="L411" i="29"/>
  <c r="L410" i="29"/>
  <c r="M410" i="29" s="1"/>
  <c r="L409" i="29"/>
  <c r="M409" i="29" s="1"/>
  <c r="L408" i="29"/>
  <c r="M408" i="29" s="1"/>
  <c r="L407" i="29"/>
  <c r="M407" i="29" s="1"/>
  <c r="L406" i="29"/>
  <c r="M406" i="29" s="1"/>
  <c r="L405" i="29"/>
  <c r="M405" i="29" s="1"/>
  <c r="L404" i="29"/>
  <c r="M404" i="29" s="1"/>
  <c r="L403" i="29"/>
  <c r="M403" i="29" s="1"/>
  <c r="L402" i="29"/>
  <c r="M402" i="29" s="1"/>
  <c r="L400" i="29"/>
  <c r="M400" i="29" s="1"/>
  <c r="L399" i="29"/>
  <c r="M399" i="29" s="1"/>
  <c r="L398" i="29"/>
  <c r="M398" i="29" s="1"/>
  <c r="L397" i="29"/>
  <c r="M397" i="29" s="1"/>
  <c r="L396" i="29"/>
  <c r="M396" i="29" s="1"/>
  <c r="L395" i="29"/>
  <c r="M395" i="29" s="1"/>
  <c r="L394" i="29"/>
  <c r="M394" i="29" s="1"/>
  <c r="I394" i="29"/>
  <c r="L392" i="29"/>
  <c r="M392" i="29" s="1"/>
  <c r="I392" i="29"/>
  <c r="L391" i="29"/>
  <c r="M391" i="29" s="1"/>
  <c r="L390" i="29"/>
  <c r="M390" i="29" s="1"/>
  <c r="L389" i="29"/>
  <c r="M389" i="29" s="1"/>
  <c r="L386" i="29"/>
  <c r="M386" i="29" s="1"/>
  <c r="L385" i="29"/>
  <c r="L384" i="29"/>
  <c r="M384" i="29" s="1"/>
  <c r="L383" i="29"/>
  <c r="L382" i="29"/>
  <c r="M382" i="29" s="1"/>
  <c r="L381" i="29"/>
  <c r="M381" i="29" s="1"/>
  <c r="L380" i="29"/>
  <c r="M380" i="29" s="1"/>
  <c r="L379" i="29"/>
  <c r="M379" i="29" s="1"/>
  <c r="L378" i="29"/>
  <c r="M378" i="29" s="1"/>
  <c r="L377" i="29"/>
  <c r="M377" i="29" s="1"/>
  <c r="L376" i="29"/>
  <c r="M376" i="29" s="1"/>
  <c r="L375" i="29"/>
  <c r="M375" i="29" s="1"/>
  <c r="L369" i="29"/>
  <c r="M369" i="29" s="1"/>
  <c r="L368" i="29"/>
  <c r="M368" i="29" s="1"/>
  <c r="L367" i="29"/>
  <c r="M367" i="29" s="1"/>
  <c r="L366" i="29"/>
  <c r="M366" i="29" s="1"/>
  <c r="L365" i="29"/>
  <c r="L364" i="29"/>
  <c r="L363" i="29"/>
  <c r="M363" i="29" s="1"/>
  <c r="L362" i="29"/>
  <c r="M362" i="29" s="1"/>
  <c r="L361" i="29"/>
  <c r="M361" i="29" s="1"/>
  <c r="L360" i="29"/>
  <c r="L358" i="29"/>
  <c r="M358" i="29" s="1"/>
  <c r="L356" i="29"/>
  <c r="M356" i="29" s="1"/>
  <c r="L353" i="29"/>
  <c r="M353" i="29" s="1"/>
  <c r="L352" i="29"/>
  <c r="M352" i="29" s="1"/>
  <c r="L351" i="29"/>
  <c r="M351" i="29" s="1"/>
  <c r="L350" i="29"/>
  <c r="M350" i="29" s="1"/>
  <c r="L349" i="29"/>
  <c r="M349" i="29" s="1"/>
  <c r="L348" i="29"/>
  <c r="M348" i="29" s="1"/>
  <c r="L347" i="29"/>
  <c r="M347" i="29" s="1"/>
  <c r="L346" i="29"/>
  <c r="M346" i="29" s="1"/>
  <c r="L344" i="29"/>
  <c r="M344" i="29" s="1"/>
  <c r="L341" i="29"/>
  <c r="M341" i="29" s="1"/>
  <c r="L340" i="29"/>
  <c r="M340" i="29" s="1"/>
  <c r="L338" i="29"/>
  <c r="M338" i="29" s="1"/>
  <c r="L337" i="29"/>
  <c r="P333" i="29"/>
  <c r="O333" i="29"/>
  <c r="N333" i="29"/>
  <c r="L333" i="29"/>
  <c r="M333" i="29" s="1"/>
  <c r="P329" i="29"/>
  <c r="O329" i="29"/>
  <c r="N329" i="29"/>
  <c r="L329" i="29"/>
  <c r="M329" i="29" s="1"/>
  <c r="I329" i="29"/>
  <c r="L328" i="29"/>
  <c r="M328" i="29" s="1"/>
  <c r="L327" i="29"/>
  <c r="M327" i="29" s="1"/>
  <c r="L326" i="29"/>
  <c r="M326" i="29" s="1"/>
  <c r="L325" i="29"/>
  <c r="M325" i="29" s="1"/>
  <c r="L324" i="29"/>
  <c r="M324" i="29" s="1"/>
  <c r="L323" i="29"/>
  <c r="M323" i="29" s="1"/>
  <c r="L322" i="29"/>
  <c r="M322" i="29" s="1"/>
  <c r="L321" i="29"/>
  <c r="M321" i="29" s="1"/>
  <c r="L320" i="29"/>
  <c r="M320" i="29" s="1"/>
  <c r="L319" i="29"/>
  <c r="M319" i="29" s="1"/>
  <c r="L318" i="29"/>
  <c r="M318" i="29" s="1"/>
  <c r="L317" i="29"/>
  <c r="M317" i="29" s="1"/>
  <c r="L316" i="29"/>
  <c r="M316" i="29" s="1"/>
  <c r="L315" i="29"/>
  <c r="M315" i="29" s="1"/>
  <c r="L314" i="29"/>
  <c r="M314" i="29" s="1"/>
  <c r="L313" i="29"/>
  <c r="M313" i="29" s="1"/>
  <c r="L312" i="29"/>
  <c r="M312" i="29" s="1"/>
  <c r="L311" i="29"/>
  <c r="M311" i="29" s="1"/>
  <c r="L308" i="29"/>
  <c r="M308" i="29" s="1"/>
  <c r="L307" i="29"/>
  <c r="M307" i="29" s="1"/>
  <c r="L306" i="29"/>
  <c r="M306" i="29" s="1"/>
  <c r="L305" i="29"/>
  <c r="M305" i="29" s="1"/>
  <c r="L304" i="29"/>
  <c r="M304" i="29" s="1"/>
  <c r="L303" i="29"/>
  <c r="M303" i="29" s="1"/>
  <c r="L300" i="29"/>
  <c r="M300" i="29" s="1"/>
  <c r="L299" i="29"/>
  <c r="M299" i="29" s="1"/>
  <c r="L298" i="29"/>
  <c r="M298" i="29" s="1"/>
  <c r="L295" i="29"/>
  <c r="M295" i="29" s="1"/>
  <c r="L292" i="29"/>
  <c r="M292" i="29" s="1"/>
  <c r="L291" i="29"/>
  <c r="M291" i="29" s="1"/>
  <c r="I291" i="29"/>
  <c r="L290" i="29"/>
  <c r="I290" i="29"/>
  <c r="L289" i="29"/>
  <c r="I289" i="29"/>
  <c r="L288" i="29"/>
  <c r="I288" i="29"/>
  <c r="J287" i="29"/>
  <c r="L287" i="29" s="1"/>
  <c r="M287" i="29" s="1"/>
  <c r="J286" i="29"/>
  <c r="L286" i="29" s="1"/>
  <c r="J285" i="29"/>
  <c r="L285" i="29" s="1"/>
  <c r="M285" i="29" s="1"/>
  <c r="L283" i="29"/>
  <c r="M283" i="29" s="1"/>
  <c r="I283" i="29"/>
  <c r="L282" i="29"/>
  <c r="M282" i="29" s="1"/>
  <c r="I282" i="29"/>
  <c r="L281" i="29"/>
  <c r="L280" i="29"/>
  <c r="M280" i="29" s="1"/>
  <c r="L279" i="29"/>
  <c r="M279" i="29" s="1"/>
  <c r="L278" i="29"/>
  <c r="M278" i="29" s="1"/>
  <c r="L277" i="29"/>
  <c r="M277" i="29" s="1"/>
  <c r="L276" i="29"/>
  <c r="M276" i="29" s="1"/>
  <c r="L275" i="29"/>
  <c r="M275" i="29" s="1"/>
  <c r="L274" i="29"/>
  <c r="M274" i="29" s="1"/>
  <c r="L273" i="29"/>
  <c r="M273" i="29" s="1"/>
  <c r="L272" i="29"/>
  <c r="M272" i="29" s="1"/>
  <c r="L270" i="29"/>
  <c r="M270" i="29" s="1"/>
  <c r="L269" i="29"/>
  <c r="M269" i="29" s="1"/>
  <c r="L267" i="29"/>
  <c r="M267" i="29" s="1"/>
  <c r="L266" i="29"/>
  <c r="M266" i="29" s="1"/>
  <c r="L265" i="29"/>
  <c r="L262" i="29"/>
  <c r="M262" i="29" s="1"/>
  <c r="L259" i="29"/>
  <c r="M259" i="29" s="1"/>
  <c r="L258" i="29"/>
  <c r="M258" i="29" s="1"/>
  <c r="L254" i="29"/>
  <c r="M254" i="29" s="1"/>
  <c r="L252" i="29"/>
  <c r="M252" i="29" s="1"/>
  <c r="L251" i="29"/>
  <c r="M251" i="29" s="1"/>
  <c r="L250" i="29"/>
  <c r="M250" i="29" s="1"/>
  <c r="L249" i="29"/>
  <c r="M249" i="29" s="1"/>
  <c r="L248" i="29"/>
  <c r="L247" i="29"/>
  <c r="M247" i="29" s="1"/>
  <c r="L244" i="29"/>
  <c r="M244" i="29" s="1"/>
  <c r="L243" i="29"/>
  <c r="M243" i="29" s="1"/>
  <c r="L242" i="29"/>
  <c r="L239" i="29"/>
  <c r="L241" i="29"/>
  <c r="L238" i="29"/>
  <c r="L237" i="29"/>
  <c r="M237" i="29" s="1"/>
  <c r="L236" i="29"/>
  <c r="M236" i="29" s="1"/>
  <c r="L235" i="29"/>
  <c r="M235" i="29" s="1"/>
  <c r="L234" i="29"/>
  <c r="L233" i="29"/>
  <c r="M233" i="29" s="1"/>
  <c r="L232" i="29"/>
  <c r="M232" i="29" s="1"/>
  <c r="L231" i="29"/>
  <c r="M231" i="29" s="1"/>
  <c r="L230" i="29"/>
  <c r="L229" i="29"/>
  <c r="L228" i="29"/>
  <c r="M228" i="29" s="1"/>
  <c r="L226" i="29"/>
  <c r="L224" i="29"/>
  <c r="L223" i="29"/>
  <c r="AD223" i="29" s="1"/>
  <c r="L222" i="29"/>
  <c r="L220" i="29"/>
  <c r="M220" i="29" s="1"/>
  <c r="L219" i="29"/>
  <c r="M219" i="29" s="1"/>
  <c r="L218" i="29"/>
  <c r="L217" i="29"/>
  <c r="M217" i="29" s="1"/>
  <c r="L216" i="29"/>
  <c r="M216" i="29" s="1"/>
  <c r="L215" i="29"/>
  <c r="M215" i="29" s="1"/>
  <c r="L214" i="29"/>
  <c r="L213" i="29"/>
  <c r="M213" i="29" s="1"/>
  <c r="L212" i="29"/>
  <c r="M212" i="29" s="1"/>
  <c r="L211" i="29"/>
  <c r="M211" i="29" s="1"/>
  <c r="L210" i="29"/>
  <c r="M210" i="29" s="1"/>
  <c r="L209" i="29"/>
  <c r="M209" i="29" s="1"/>
  <c r="L208" i="29"/>
  <c r="M208" i="29" s="1"/>
  <c r="L207" i="29"/>
  <c r="M207" i="29" s="1"/>
  <c r="L206" i="29"/>
  <c r="M206" i="29" s="1"/>
  <c r="L205" i="29"/>
  <c r="M205" i="29" s="1"/>
  <c r="L204" i="29"/>
  <c r="M204" i="29" s="1"/>
  <c r="L196" i="29"/>
  <c r="M196" i="29" s="1"/>
  <c r="L195" i="29"/>
  <c r="M195" i="29" s="1"/>
  <c r="L194" i="29"/>
  <c r="M194" i="29" s="1"/>
  <c r="J193" i="29"/>
  <c r="L193" i="29" s="1"/>
  <c r="M193" i="29" s="1"/>
  <c r="J192" i="29"/>
  <c r="L192" i="29" s="1"/>
  <c r="M192" i="29" s="1"/>
  <c r="J191" i="29"/>
  <c r="L191" i="29" s="1"/>
  <c r="M191" i="29" s="1"/>
  <c r="J190" i="29"/>
  <c r="L190" i="29" s="1"/>
  <c r="J189" i="29"/>
  <c r="L189" i="29" s="1"/>
  <c r="M189" i="29" s="1"/>
  <c r="J188" i="29"/>
  <c r="L188" i="29" s="1"/>
  <c r="M188" i="29" s="1"/>
  <c r="J187" i="29"/>
  <c r="L187" i="29" s="1"/>
  <c r="M187" i="29" s="1"/>
  <c r="L185" i="29"/>
  <c r="M185" i="29" s="1"/>
  <c r="L184" i="29"/>
  <c r="L183" i="29"/>
  <c r="M183" i="29" s="1"/>
  <c r="L182" i="29"/>
  <c r="L181" i="29"/>
  <c r="M181" i="29" s="1"/>
  <c r="L180" i="29"/>
  <c r="M180" i="29" s="1"/>
  <c r="L179" i="29"/>
  <c r="M179" i="29" s="1"/>
  <c r="L178" i="29"/>
  <c r="L177" i="29"/>
  <c r="M177" i="29" s="1"/>
  <c r="L176" i="29"/>
  <c r="M176" i="29" s="1"/>
  <c r="L175" i="29"/>
  <c r="L174" i="29"/>
  <c r="M174" i="29" s="1"/>
  <c r="L173" i="29"/>
  <c r="M173" i="29" s="1"/>
  <c r="L172" i="29"/>
  <c r="M172" i="29" s="1"/>
  <c r="L171" i="29"/>
  <c r="M171" i="29" s="1"/>
  <c r="L170" i="29"/>
  <c r="M170" i="29" s="1"/>
  <c r="L169" i="29"/>
  <c r="M169" i="29" s="1"/>
  <c r="L168" i="29"/>
  <c r="M168" i="29" s="1"/>
  <c r="L166" i="29"/>
  <c r="M166" i="29" s="1"/>
  <c r="L164" i="29"/>
  <c r="M164" i="29" s="1"/>
  <c r="L163" i="29"/>
  <c r="M163" i="29" s="1"/>
  <c r="L162" i="29"/>
  <c r="M162" i="29" s="1"/>
  <c r="L161" i="29"/>
  <c r="L160" i="29"/>
  <c r="M160" i="29" s="1"/>
  <c r="L159" i="29"/>
  <c r="M159" i="29" s="1"/>
  <c r="L158" i="29"/>
  <c r="M158" i="29" s="1"/>
  <c r="L157" i="29"/>
  <c r="M157" i="29" s="1"/>
  <c r="L156" i="29"/>
  <c r="M156" i="29" s="1"/>
  <c r="J155" i="29"/>
  <c r="L155" i="29" s="1"/>
  <c r="M155" i="29" s="1"/>
  <c r="J154" i="29"/>
  <c r="L154" i="29" s="1"/>
  <c r="M154" i="29" s="1"/>
  <c r="L153" i="29"/>
  <c r="M153" i="29" s="1"/>
  <c r="L152" i="29"/>
  <c r="M152" i="29" s="1"/>
  <c r="M151" i="29"/>
  <c r="I151" i="29" s="1"/>
  <c r="M150" i="29"/>
  <c r="I150" i="29" s="1"/>
  <c r="M149" i="29"/>
  <c r="I149" i="29" s="1"/>
  <c r="M148" i="29"/>
  <c r="I148" i="29" s="1"/>
  <c r="M147" i="29"/>
  <c r="J147" i="29"/>
  <c r="I147" i="29"/>
  <c r="M146" i="29"/>
  <c r="M145" i="29"/>
  <c r="M144" i="29"/>
  <c r="M143" i="29"/>
  <c r="L142" i="29"/>
  <c r="M142" i="29" s="1"/>
  <c r="L141" i="29"/>
  <c r="L138" i="29"/>
  <c r="M138" i="29" s="1"/>
  <c r="L137" i="29"/>
  <c r="M137" i="29" s="1"/>
  <c r="L136" i="29"/>
  <c r="L135" i="29"/>
  <c r="AD135" i="29" s="1"/>
  <c r="L133" i="29"/>
  <c r="L134" i="29"/>
  <c r="L132" i="29"/>
  <c r="AD132" i="29" s="1"/>
  <c r="L131" i="29"/>
  <c r="M131" i="29" s="1"/>
  <c r="L130" i="29"/>
  <c r="L129" i="29"/>
  <c r="M129" i="29" s="1"/>
  <c r="L128" i="29"/>
  <c r="M128" i="29" s="1"/>
  <c r="L127" i="29"/>
  <c r="M127" i="29" s="1"/>
  <c r="L126" i="29"/>
  <c r="M126" i="29" s="1"/>
  <c r="L125" i="29"/>
  <c r="M125" i="29" s="1"/>
  <c r="L124" i="29"/>
  <c r="M124" i="29" s="1"/>
  <c r="L123" i="29"/>
  <c r="M123" i="29" s="1"/>
  <c r="L122" i="29"/>
  <c r="M122" i="29" s="1"/>
  <c r="L120" i="29"/>
  <c r="M120" i="29" s="1"/>
  <c r="L119" i="29"/>
  <c r="M119" i="29" s="1"/>
  <c r="L118" i="29"/>
  <c r="M118" i="29" s="1"/>
  <c r="J117" i="29"/>
  <c r="L117" i="29" s="1"/>
  <c r="M117" i="29" s="1"/>
  <c r="J116" i="29"/>
  <c r="L116" i="29" s="1"/>
  <c r="J115" i="29"/>
  <c r="L115" i="29" s="1"/>
  <c r="M115" i="29" s="1"/>
  <c r="L114" i="29"/>
  <c r="M114" i="29" s="1"/>
  <c r="L113" i="29"/>
  <c r="M113" i="29" s="1"/>
  <c r="L112" i="29"/>
  <c r="M112" i="29" s="1"/>
  <c r="L111" i="29"/>
  <c r="M111" i="29" s="1"/>
  <c r="L110" i="29"/>
  <c r="M110" i="29" s="1"/>
  <c r="L109" i="29"/>
  <c r="M109" i="29" s="1"/>
  <c r="L107" i="29"/>
  <c r="I107" i="29"/>
  <c r="L106" i="29"/>
  <c r="L105" i="29"/>
  <c r="M105" i="29" s="1"/>
  <c r="L104" i="29"/>
  <c r="L101" i="29"/>
  <c r="M101" i="29" s="1"/>
  <c r="L99" i="29"/>
  <c r="M99" i="29" s="1"/>
  <c r="L98" i="29"/>
  <c r="L97" i="29"/>
  <c r="M97" i="29" s="1"/>
  <c r="L96" i="29"/>
  <c r="M96" i="29" s="1"/>
  <c r="L95" i="29"/>
  <c r="M95" i="29" s="1"/>
  <c r="L94" i="29"/>
  <c r="M94" i="29" s="1"/>
  <c r="L93" i="29"/>
  <c r="M93" i="29" s="1"/>
  <c r="L92" i="29"/>
  <c r="L89" i="29"/>
  <c r="M89" i="29" s="1"/>
  <c r="L88" i="29"/>
  <c r="M88" i="29" s="1"/>
  <c r="L87" i="29"/>
  <c r="M87" i="29" s="1"/>
  <c r="L86" i="29"/>
  <c r="M86" i="29" s="1"/>
  <c r="L85" i="29"/>
  <c r="M85" i="29" s="1"/>
  <c r="L84" i="29"/>
  <c r="M84" i="29" s="1"/>
  <c r="L83" i="29"/>
  <c r="M83" i="29" s="1"/>
  <c r="L82" i="29"/>
  <c r="M82" i="29" s="1"/>
  <c r="L81" i="29"/>
  <c r="M81" i="29" s="1"/>
  <c r="L80" i="29"/>
  <c r="M80" i="29" s="1"/>
  <c r="L79" i="29"/>
  <c r="M79" i="29" s="1"/>
  <c r="L78" i="29"/>
  <c r="M78" i="29" s="1"/>
  <c r="L77" i="29"/>
  <c r="M77" i="29" s="1"/>
  <c r="L76" i="29"/>
  <c r="M76" i="29" s="1"/>
  <c r="L75" i="29"/>
  <c r="M75" i="29" s="1"/>
  <c r="L74" i="29"/>
  <c r="M74" i="29" s="1"/>
  <c r="L73" i="29"/>
  <c r="M73" i="29" s="1"/>
  <c r="L72" i="29"/>
  <c r="M72" i="29" s="1"/>
  <c r="L71" i="29"/>
  <c r="M71" i="29" s="1"/>
  <c r="L70" i="29"/>
  <c r="M70" i="29" s="1"/>
  <c r="L69" i="29"/>
  <c r="M69" i="29" s="1"/>
  <c r="L68" i="29"/>
  <c r="M68" i="29" s="1"/>
  <c r="L67" i="29"/>
  <c r="M67" i="29" s="1"/>
  <c r="L66" i="29"/>
  <c r="M66" i="29" s="1"/>
  <c r="L65" i="29"/>
  <c r="M65" i="29" s="1"/>
  <c r="L64" i="29"/>
  <c r="M64" i="29" s="1"/>
  <c r="L61" i="29"/>
  <c r="M61" i="29" s="1"/>
  <c r="L60" i="29"/>
  <c r="M60" i="29" s="1"/>
  <c r="L59" i="29"/>
  <c r="M59" i="29" s="1"/>
  <c r="L58" i="29"/>
  <c r="M58" i="29" s="1"/>
  <c r="L57" i="29"/>
  <c r="M57" i="29" s="1"/>
  <c r="L56" i="29"/>
  <c r="M56" i="29" s="1"/>
  <c r="L55" i="29"/>
  <c r="M55" i="29" s="1"/>
  <c r="L54" i="29"/>
  <c r="M54" i="29" s="1"/>
  <c r="L53" i="29"/>
  <c r="M53" i="29" s="1"/>
  <c r="L50" i="29"/>
  <c r="M50" i="29" s="1"/>
  <c r="L49" i="29"/>
  <c r="M49" i="29" s="1"/>
  <c r="L47" i="29"/>
  <c r="M47" i="29" s="1"/>
  <c r="L46" i="29"/>
  <c r="M46" i="29" s="1"/>
  <c r="L45" i="29"/>
  <c r="M45" i="29" s="1"/>
  <c r="L44" i="29"/>
  <c r="M44" i="29" s="1"/>
  <c r="L43" i="29"/>
  <c r="M43" i="29" s="1"/>
  <c r="L42" i="29"/>
  <c r="M42" i="29" s="1"/>
  <c r="L38" i="29"/>
  <c r="L37" i="29"/>
  <c r="M37" i="29" s="1"/>
  <c r="L36" i="29"/>
  <c r="M36" i="29" s="1"/>
  <c r="L34" i="29"/>
  <c r="M34" i="29" s="1"/>
  <c r="L33" i="29"/>
  <c r="M33" i="29" s="1"/>
  <c r="L31" i="29"/>
  <c r="M31" i="29" s="1"/>
  <c r="L29" i="29"/>
  <c r="L28" i="29"/>
  <c r="M28" i="29" s="1"/>
  <c r="L27" i="29"/>
  <c r="M27" i="29" s="1"/>
  <c r="L26" i="29"/>
  <c r="M26" i="29" s="1"/>
  <c r="L25" i="29"/>
  <c r="M25" i="29" s="1"/>
  <c r="L24" i="29"/>
  <c r="M24" i="29" s="1"/>
  <c r="L23" i="29"/>
  <c r="M23" i="29" s="1"/>
  <c r="L22" i="29"/>
  <c r="L21" i="29"/>
  <c r="M21" i="29" s="1"/>
  <c r="L20" i="29"/>
  <c r="M20" i="29" s="1"/>
  <c r="L19" i="29"/>
  <c r="M19" i="29" s="1"/>
  <c r="L18" i="29"/>
  <c r="M18" i="29" s="1"/>
  <c r="L17" i="29"/>
  <c r="M17" i="29" s="1"/>
  <c r="L16" i="29"/>
  <c r="M16" i="29" s="1"/>
  <c r="L15" i="29"/>
  <c r="M15" i="29" s="1"/>
  <c r="L14" i="29"/>
  <c r="M14" i="29" s="1"/>
  <c r="L10" i="29"/>
  <c r="M10" i="29" s="1"/>
  <c r="L9" i="29"/>
  <c r="M9" i="29" s="1"/>
  <c r="L8" i="29"/>
  <c r="M8" i="29" s="1"/>
  <c r="L7" i="29"/>
  <c r="M7" i="29" s="1"/>
  <c r="L6" i="29"/>
  <c r="M6" i="29" s="1"/>
  <c r="L5" i="29"/>
  <c r="L4" i="29"/>
  <c r="M4" i="29" s="1"/>
  <c r="L3" i="29"/>
  <c r="M3" i="29" s="1"/>
  <c r="L2" i="29"/>
  <c r="M2" i="29" s="1"/>
  <c r="AC179" i="22"/>
  <c r="T179" i="22"/>
  <c r="L179" i="22"/>
  <c r="M179" i="22" s="1"/>
  <c r="AO475" i="22"/>
  <c r="AB475" i="22"/>
  <c r="T475" i="22"/>
  <c r="L475" i="22"/>
  <c r="M475" i="22" s="1"/>
  <c r="AH475" i="22" s="1"/>
  <c r="AC401" i="22"/>
  <c r="AO401" i="22"/>
  <c r="AB401" i="22"/>
  <c r="L401" i="22"/>
  <c r="M401" i="22" s="1"/>
  <c r="AH401" i="22" s="1"/>
  <c r="AO400" i="22"/>
  <c r="AB400" i="22"/>
  <c r="L400" i="22"/>
  <c r="M400" i="22" s="1"/>
  <c r="AH400" i="22" s="1"/>
  <c r="AC27" i="22"/>
  <c r="AO52" i="22"/>
  <c r="AB52" i="22"/>
  <c r="T52" i="22"/>
  <c r="L52" i="22"/>
  <c r="AD52" i="22" s="1"/>
  <c r="M52" i="22"/>
  <c r="AB18" i="22"/>
  <c r="AC18" i="22" s="1"/>
  <c r="AO22" i="22"/>
  <c r="AB22" i="22"/>
  <c r="T22" i="22"/>
  <c r="L22" i="22"/>
  <c r="M22" i="22" s="1"/>
  <c r="AO27" i="22"/>
  <c r="T27" i="22"/>
  <c r="L27" i="22"/>
  <c r="M27" i="22" s="1"/>
  <c r="AH27" i="22" s="1"/>
  <c r="AO18" i="22"/>
  <c r="T18" i="22"/>
  <c r="L18" i="22"/>
  <c r="M18" i="22" s="1"/>
  <c r="AH18" i="22" s="1"/>
  <c r="AC505" i="22"/>
  <c r="AC142" i="22"/>
  <c r="AB264" i="22"/>
  <c r="AC264" i="22" s="1"/>
  <c r="L264" i="22"/>
  <c r="M264" i="22" s="1"/>
  <c r="AH264" i="22" s="1"/>
  <c r="AC165" i="22"/>
  <c r="AD394" i="29" l="1"/>
  <c r="AF394" i="29" s="1"/>
  <c r="M22" i="29"/>
  <c r="AD22" i="29"/>
  <c r="AL179" i="22"/>
  <c r="AH179" i="22"/>
  <c r="M450" i="29"/>
  <c r="AD450" i="29"/>
  <c r="M360" i="29"/>
  <c r="AD360" i="29"/>
  <c r="M214" i="29"/>
  <c r="AD214" i="29"/>
  <c r="M218" i="29"/>
  <c r="AD218" i="29"/>
  <c r="M222" i="29"/>
  <c r="AD222" i="29"/>
  <c r="M224" i="29"/>
  <c r="AD224" i="29"/>
  <c r="M226" i="29"/>
  <c r="AD226" i="29"/>
  <c r="M229" i="29"/>
  <c r="AD229" i="29"/>
  <c r="M230" i="29"/>
  <c r="AD230" i="29"/>
  <c r="M364" i="29"/>
  <c r="AE364" i="29"/>
  <c r="AD364" i="29"/>
  <c r="M365" i="29"/>
  <c r="AE365" i="29"/>
  <c r="AD365" i="29"/>
  <c r="M426" i="29"/>
  <c r="AD426" i="29"/>
  <c r="M427" i="29"/>
  <c r="AD427" i="29"/>
  <c r="M487" i="29"/>
  <c r="AD487" i="29"/>
  <c r="M488" i="29"/>
  <c r="AD488" i="29"/>
  <c r="AD489" i="29"/>
  <c r="M98" i="29"/>
  <c r="AD98" i="29"/>
  <c r="AD5" i="29"/>
  <c r="M234" i="29"/>
  <c r="AD234" i="29"/>
  <c r="AD99" i="29"/>
  <c r="AD97" i="29"/>
  <c r="AD96" i="29"/>
  <c r="M136" i="29"/>
  <c r="AD136" i="29"/>
  <c r="M134" i="29"/>
  <c r="AD134" i="29"/>
  <c r="M133" i="29"/>
  <c r="AD133" i="29"/>
  <c r="M184" i="29"/>
  <c r="AD184" i="29"/>
  <c r="M135" i="29"/>
  <c r="AD176" i="29"/>
  <c r="M242" i="29"/>
  <c r="M241" i="29"/>
  <c r="AD241" i="29" s="1"/>
  <c r="M239" i="29"/>
  <c r="AD154" i="29"/>
  <c r="AD463" i="29"/>
  <c r="AD244" i="29"/>
  <c r="AD441" i="29"/>
  <c r="AD413" i="29"/>
  <c r="AD328" i="29"/>
  <c r="AD316" i="29"/>
  <c r="AD405" i="29"/>
  <c r="AD351" i="29"/>
  <c r="AD455" i="29"/>
  <c r="AD381" i="29"/>
  <c r="AD350" i="29"/>
  <c r="AD500" i="29"/>
  <c r="AD404" i="29"/>
  <c r="AD153" i="29"/>
  <c r="AD84" i="29"/>
  <c r="AD194" i="29"/>
  <c r="AD82" i="29"/>
  <c r="AD216" i="29"/>
  <c r="AD149" i="29"/>
  <c r="AD127" i="29"/>
  <c r="AD80" i="29"/>
  <c r="AD58" i="29"/>
  <c r="AD481" i="29"/>
  <c r="AD480" i="29"/>
  <c r="AD64" i="29"/>
  <c r="AD498" i="29"/>
  <c r="AD60" i="29"/>
  <c r="AD116" i="29"/>
  <c r="AD496" i="29"/>
  <c r="AD420" i="29"/>
  <c r="AD375" i="29"/>
  <c r="AD346" i="29"/>
  <c r="AD353" i="29"/>
  <c r="AD14" i="29"/>
  <c r="AD131" i="29"/>
  <c r="AD37" i="29"/>
  <c r="AD460" i="29"/>
  <c r="AD478" i="29"/>
  <c r="AD379" i="29"/>
  <c r="AD107" i="29"/>
  <c r="AD33" i="29"/>
  <c r="AD59" i="29"/>
  <c r="AD449" i="29"/>
  <c r="AD399" i="29"/>
  <c r="AD192" i="29"/>
  <c r="AD447" i="29"/>
  <c r="AD493" i="29"/>
  <c r="AD469" i="29"/>
  <c r="AD446" i="29"/>
  <c r="AD417" i="29"/>
  <c r="AD265" i="29"/>
  <c r="AD189" i="29"/>
  <c r="AD26" i="29"/>
  <c r="AD3" i="29"/>
  <c r="AD428" i="29"/>
  <c r="AD454" i="29"/>
  <c r="AD352" i="29"/>
  <c r="AD110" i="29"/>
  <c r="AD173" i="29"/>
  <c r="AD129" i="29"/>
  <c r="AD8" i="29"/>
  <c r="AD92" i="29"/>
  <c r="AD150" i="29"/>
  <c r="AD476" i="29"/>
  <c r="AD423" i="29"/>
  <c r="AD262" i="29"/>
  <c r="AD235" i="29"/>
  <c r="AD188" i="29"/>
  <c r="AD166" i="29"/>
  <c r="AD123" i="29"/>
  <c r="AD76" i="29"/>
  <c r="AD54" i="29"/>
  <c r="AD29" i="29"/>
  <c r="AD6" i="29"/>
  <c r="AD414" i="29"/>
  <c r="AD434" i="29"/>
  <c r="AD410" i="29"/>
  <c r="AD492" i="29"/>
  <c r="AD368" i="29"/>
  <c r="AD443" i="29"/>
  <c r="AD433" i="29"/>
  <c r="AD510" i="29"/>
  <c r="AD277" i="29"/>
  <c r="AD341" i="29"/>
  <c r="AD465" i="29"/>
  <c r="AD509" i="29"/>
  <c r="AD151" i="29"/>
  <c r="AD502" i="29"/>
  <c r="AD456" i="29"/>
  <c r="AD429" i="29"/>
  <c r="AD406" i="29"/>
  <c r="AD382" i="29"/>
  <c r="AD356" i="29"/>
  <c r="AD324" i="29"/>
  <c r="AD300" i="29"/>
  <c r="AD247" i="29"/>
  <c r="AD177" i="29"/>
  <c r="AD155" i="29"/>
  <c r="AD112" i="29"/>
  <c r="AD86" i="29"/>
  <c r="AD66" i="29"/>
  <c r="AD42" i="29"/>
  <c r="AD323" i="29"/>
  <c r="AD299" i="29"/>
  <c r="AD490" i="29"/>
  <c r="AD322" i="29"/>
  <c r="AD298" i="29"/>
  <c r="AD220" i="29"/>
  <c r="AD196" i="29"/>
  <c r="AD175" i="29"/>
  <c r="AD10" i="29"/>
  <c r="AD497" i="29"/>
  <c r="AD403" i="29"/>
  <c r="AD380" i="29"/>
  <c r="AD321" i="29"/>
  <c r="AD295" i="29"/>
  <c r="AD243" i="29"/>
  <c r="AD219" i="29"/>
  <c r="AD174" i="29"/>
  <c r="AD109" i="29"/>
  <c r="AD83" i="29"/>
  <c r="AD34" i="29"/>
  <c r="AD9" i="29"/>
  <c r="AD416" i="29"/>
  <c r="AD292" i="29"/>
  <c r="AD477" i="29"/>
  <c r="AD270" i="29"/>
  <c r="AD217" i="29"/>
  <c r="AD172" i="29"/>
  <c r="AD106" i="29"/>
  <c r="AD81" i="29"/>
  <c r="AD31" i="29"/>
  <c r="AD7" i="29"/>
  <c r="AD505" i="29"/>
  <c r="AD485" i="29"/>
  <c r="AD459" i="29"/>
  <c r="AD409" i="29"/>
  <c r="AD385" i="29"/>
  <c r="AD327" i="29"/>
  <c r="AD305" i="29"/>
  <c r="AD250" i="29"/>
  <c r="AD228" i="29"/>
  <c r="AD206" i="29"/>
  <c r="AD180" i="29"/>
  <c r="AD158" i="29"/>
  <c r="AD115" i="29"/>
  <c r="AD89" i="29"/>
  <c r="AD69" i="29"/>
  <c r="AD45" i="29"/>
  <c r="AD18" i="29"/>
  <c r="AD504" i="29"/>
  <c r="AD484" i="29"/>
  <c r="AD458" i="29"/>
  <c r="AD431" i="29"/>
  <c r="AD408" i="29"/>
  <c r="AD384" i="29"/>
  <c r="AD326" i="29"/>
  <c r="AD304" i="29"/>
  <c r="AD249" i="29"/>
  <c r="AD205" i="29"/>
  <c r="AD179" i="29"/>
  <c r="AD157" i="29"/>
  <c r="AD114" i="29"/>
  <c r="AD88" i="29"/>
  <c r="AD68" i="29"/>
  <c r="AD44" i="29"/>
  <c r="AD17" i="29"/>
  <c r="AD85" i="29"/>
  <c r="AD130" i="29"/>
  <c r="AD503" i="29"/>
  <c r="AD483" i="29"/>
  <c r="AD457" i="29"/>
  <c r="AD430" i="29"/>
  <c r="AD407" i="29"/>
  <c r="AD383" i="29"/>
  <c r="AD358" i="29"/>
  <c r="AD325" i="29"/>
  <c r="AD303" i="29"/>
  <c r="AD276" i="29"/>
  <c r="AD248" i="29"/>
  <c r="AD204" i="29"/>
  <c r="AD178" i="29"/>
  <c r="AD156" i="29"/>
  <c r="AD113" i="29"/>
  <c r="AD87" i="29"/>
  <c r="AD67" i="29"/>
  <c r="AD43" i="29"/>
  <c r="AD16" i="29"/>
  <c r="AD111" i="29"/>
  <c r="AD348" i="29"/>
  <c r="AD318" i="29"/>
  <c r="AD495" i="29"/>
  <c r="AD475" i="29"/>
  <c r="AD448" i="29"/>
  <c r="AD421" i="29"/>
  <c r="AD398" i="29"/>
  <c r="AD376" i="29"/>
  <c r="AD347" i="29"/>
  <c r="AD317" i="29"/>
  <c r="AD289" i="29"/>
  <c r="AD238" i="29"/>
  <c r="AD215" i="29"/>
  <c r="AD191" i="29"/>
  <c r="AD170" i="29"/>
  <c r="AD148" i="29"/>
  <c r="AD126" i="29"/>
  <c r="AD104" i="29"/>
  <c r="AD79" i="29"/>
  <c r="AD57" i="29"/>
  <c r="AD152" i="29"/>
  <c r="AD377" i="29"/>
  <c r="AD290" i="29"/>
  <c r="AD494" i="29"/>
  <c r="AD474" i="29"/>
  <c r="AD237" i="29"/>
  <c r="AD190" i="29"/>
  <c r="AD169" i="29"/>
  <c r="AD147" i="29"/>
  <c r="AD125" i="29"/>
  <c r="AD101" i="29"/>
  <c r="AD78" i="29"/>
  <c r="AD56" i="29"/>
  <c r="AD27" i="29"/>
  <c r="AD511" i="29"/>
  <c r="AD491" i="29"/>
  <c r="AD466" i="29"/>
  <c r="AD444" i="29"/>
  <c r="AD415" i="29"/>
  <c r="AD367" i="29"/>
  <c r="AD340" i="29"/>
  <c r="AD313" i="29"/>
  <c r="AD259" i="29"/>
  <c r="AD212" i="29"/>
  <c r="AD187" i="29"/>
  <c r="AD164" i="29"/>
  <c r="AD122" i="29"/>
  <c r="AD75" i="29"/>
  <c r="AD53" i="29"/>
  <c r="AD24" i="29"/>
  <c r="AD65" i="29"/>
  <c r="AD314" i="29"/>
  <c r="AD392" i="29"/>
  <c r="AD366" i="29"/>
  <c r="AD338" i="29"/>
  <c r="AD312" i="29"/>
  <c r="AD283" i="29"/>
  <c r="AD254" i="29"/>
  <c r="AD233" i="29"/>
  <c r="AD211" i="29"/>
  <c r="AD185" i="29"/>
  <c r="AD163" i="29"/>
  <c r="AD120" i="29"/>
  <c r="AD74" i="29"/>
  <c r="AD50" i="29"/>
  <c r="AD23" i="29"/>
  <c r="AD36" i="29"/>
  <c r="AD38" i="29"/>
  <c r="AD391" i="29"/>
  <c r="AD337" i="29"/>
  <c r="AD311" i="29"/>
  <c r="AD282" i="29"/>
  <c r="AD252" i="29"/>
  <c r="AD232" i="29"/>
  <c r="AD210" i="29"/>
  <c r="AD162" i="29"/>
  <c r="AD142" i="29"/>
  <c r="AD119" i="29"/>
  <c r="AD95" i="29"/>
  <c r="AD73" i="29"/>
  <c r="AD49" i="29"/>
  <c r="AD272" i="29"/>
  <c r="AD445" i="29"/>
  <c r="AD508" i="29"/>
  <c r="AD462" i="29"/>
  <c r="AD440" i="29"/>
  <c r="AD412" i="29"/>
  <c r="AD390" i="29"/>
  <c r="AD333" i="29"/>
  <c r="AD308" i="29"/>
  <c r="AD281" i="29"/>
  <c r="AD231" i="29"/>
  <c r="AD209" i="29"/>
  <c r="AD183" i="29"/>
  <c r="AD161" i="29"/>
  <c r="AD141" i="29"/>
  <c r="AD118" i="29"/>
  <c r="AD94" i="29"/>
  <c r="AD72" i="29"/>
  <c r="AD47" i="29"/>
  <c r="AD21" i="29"/>
  <c r="AD482" i="29"/>
  <c r="AD424" i="29"/>
  <c r="AD507" i="29"/>
  <c r="AD461" i="29"/>
  <c r="AD439" i="29"/>
  <c r="AD411" i="29"/>
  <c r="AD389" i="29"/>
  <c r="AD363" i="29"/>
  <c r="AD329" i="29"/>
  <c r="AD307" i="29"/>
  <c r="AD280" i="29"/>
  <c r="AD208" i="29"/>
  <c r="AD182" i="29"/>
  <c r="AD160" i="29"/>
  <c r="AD138" i="29"/>
  <c r="AD117" i="29"/>
  <c r="AD93" i="29"/>
  <c r="AD71" i="29"/>
  <c r="AD46" i="29"/>
  <c r="AD20" i="29"/>
  <c r="AD468" i="29"/>
  <c r="AD395" i="29"/>
  <c r="AD25" i="29"/>
  <c r="AD451" i="29"/>
  <c r="AD251" i="29"/>
  <c r="AD137" i="29"/>
  <c r="AD19" i="29"/>
  <c r="AD274" i="29"/>
  <c r="AD193" i="29"/>
  <c r="AD105" i="29"/>
  <c r="AD275" i="29"/>
  <c r="AD70" i="29"/>
  <c r="AD425" i="29"/>
  <c r="AD506" i="29"/>
  <c r="AD486" i="29"/>
  <c r="AD207" i="29"/>
  <c r="AD181" i="29"/>
  <c r="AD159" i="29"/>
  <c r="AD386" i="29"/>
  <c r="AD362" i="29"/>
  <c r="AD306" i="29"/>
  <c r="AD279" i="29"/>
  <c r="AD267" i="29"/>
  <c r="AD273" i="29"/>
  <c r="AD15" i="29"/>
  <c r="AD266" i="29"/>
  <c r="AD453" i="29"/>
  <c r="AD499" i="29"/>
  <c r="AD479" i="29"/>
  <c r="AD269" i="29"/>
  <c r="AD195" i="29"/>
  <c r="AD128" i="29"/>
  <c r="AD402" i="29"/>
  <c r="AD400" i="29"/>
  <c r="AD378" i="29"/>
  <c r="AD349" i="29"/>
  <c r="AD319" i="29"/>
  <c r="AD291" i="29"/>
  <c r="AD28" i="29"/>
  <c r="AD4" i="29"/>
  <c r="AD278" i="29"/>
  <c r="AD236" i="29"/>
  <c r="AD213" i="29"/>
  <c r="AD168" i="29"/>
  <c r="AD124" i="29"/>
  <c r="AD77" i="29"/>
  <c r="AD55" i="29"/>
  <c r="AD397" i="29"/>
  <c r="AD288" i="29"/>
  <c r="AD171" i="29"/>
  <c r="AD396" i="29"/>
  <c r="AD369" i="29"/>
  <c r="AD344" i="29"/>
  <c r="AD315" i="29"/>
  <c r="AD258" i="29"/>
  <c r="AD320" i="29"/>
  <c r="AD2" i="29"/>
  <c r="I285" i="29"/>
  <c r="M289" i="29"/>
  <c r="M265" i="29"/>
  <c r="M175" i="29"/>
  <c r="M290" i="29"/>
  <c r="M106" i="29"/>
  <c r="I287" i="29"/>
  <c r="M107" i="29"/>
  <c r="M104" i="29"/>
  <c r="M141" i="29"/>
  <c r="M132" i="29"/>
  <c r="M29" i="29"/>
  <c r="M182" i="29"/>
  <c r="M116" i="29"/>
  <c r="M190" i="29"/>
  <c r="M248" i="29"/>
  <c r="M5" i="29"/>
  <c r="M38" i="29"/>
  <c r="M161" i="29"/>
  <c r="M238" i="29"/>
  <c r="M92" i="29"/>
  <c r="M130" i="29"/>
  <c r="M223" i="29"/>
  <c r="M286" i="29"/>
  <c r="M385" i="29"/>
  <c r="M178" i="29"/>
  <c r="I286" i="29"/>
  <c r="M456" i="29"/>
  <c r="M288" i="29"/>
  <c r="M468" i="29"/>
  <c r="M281" i="29"/>
  <c r="M383" i="29"/>
  <c r="M447" i="29"/>
  <c r="M477" i="29"/>
  <c r="M337" i="29"/>
  <c r="M451" i="29"/>
  <c r="M446" i="29"/>
  <c r="M424" i="29"/>
  <c r="M411" i="29"/>
  <c r="M460" i="29"/>
  <c r="M462" i="29"/>
  <c r="M482" i="29"/>
  <c r="AD179" i="22"/>
  <c r="AD475" i="22"/>
  <c r="AE475" i="22" s="1"/>
  <c r="AF475" i="22" s="1"/>
  <c r="AD400" i="22"/>
  <c r="AJ400" i="22" s="1"/>
  <c r="AD401" i="22"/>
  <c r="AJ401" i="22" s="1"/>
  <c r="AP52" i="22"/>
  <c r="AJ52" i="22"/>
  <c r="AE52" i="22"/>
  <c r="AF52" i="22" s="1"/>
  <c r="AD22" i="22"/>
  <c r="AP22" i="22" s="1"/>
  <c r="AJ22" i="22"/>
  <c r="AE22" i="22"/>
  <c r="AF22" i="22" s="1"/>
  <c r="AD27" i="22"/>
  <c r="AP27" i="22" s="1"/>
  <c r="AD18" i="22"/>
  <c r="AP18" i="22" s="1"/>
  <c r="AD264" i="22"/>
  <c r="T213" i="22"/>
  <c r="J213" i="22"/>
  <c r="L213" i="22" s="1"/>
  <c r="M213" i="22" s="1"/>
  <c r="AH213" i="22" s="1"/>
  <c r="AD239" i="29" l="1"/>
  <c r="AD242" i="29"/>
  <c r="AP475" i="22"/>
  <c r="AE400" i="22"/>
  <c r="AF400" i="22" s="1"/>
  <c r="AP400" i="22"/>
  <c r="AJ475" i="22"/>
  <c r="AD287" i="29"/>
  <c r="AD285" i="29"/>
  <c r="AD286" i="29"/>
  <c r="AJ179" i="22"/>
  <c r="AE179" i="22"/>
  <c r="AF179" i="22" s="1"/>
  <c r="AM475" i="22"/>
  <c r="AK475" i="22"/>
  <c r="AP401" i="22"/>
  <c r="AE401" i="22"/>
  <c r="AF401" i="22" s="1"/>
  <c r="AM401" i="22"/>
  <c r="AK401" i="22"/>
  <c r="AM400" i="22"/>
  <c r="AK400" i="22"/>
  <c r="AM52" i="22"/>
  <c r="AK52" i="22"/>
  <c r="AM22" i="22"/>
  <c r="AK22" i="22"/>
  <c r="AJ27" i="22"/>
  <c r="AE27" i="22"/>
  <c r="AF27" i="22" s="1"/>
  <c r="AM27" i="22"/>
  <c r="AK27" i="22"/>
  <c r="AJ18" i="22"/>
  <c r="AE18" i="22"/>
  <c r="AF18" i="22" s="1"/>
  <c r="AM18" i="22"/>
  <c r="AK18" i="22"/>
  <c r="AJ264" i="22"/>
  <c r="AE264" i="22"/>
  <c r="AF264" i="22" s="1"/>
  <c r="AD213" i="22"/>
  <c r="AE213" i="22" s="1"/>
  <c r="AF213" i="22" s="1"/>
  <c r="AO433" i="22"/>
  <c r="AB433" i="22"/>
  <c r="AC433" i="22" s="1"/>
  <c r="L433" i="22"/>
  <c r="M433" i="22" s="1"/>
  <c r="AH433" i="22" s="1"/>
  <c r="AO431" i="22"/>
  <c r="AB431" i="22"/>
  <c r="AC431" i="22" s="1"/>
  <c r="T431" i="22"/>
  <c r="L431" i="22"/>
  <c r="M431" i="22" s="1"/>
  <c r="AH431" i="22" s="1"/>
  <c r="AB282" i="22"/>
  <c r="AC282" i="22" s="1"/>
  <c r="T282" i="22"/>
  <c r="L282" i="22"/>
  <c r="M282" i="22" s="1"/>
  <c r="AH282" i="22" s="1"/>
  <c r="AB290" i="22"/>
  <c r="AC290" i="22" s="1"/>
  <c r="T290" i="22"/>
  <c r="L290" i="22"/>
  <c r="M290" i="22" s="1"/>
  <c r="AH290" i="22" s="1"/>
  <c r="AB270" i="22"/>
  <c r="AC270" i="22" s="1"/>
  <c r="T270" i="22"/>
  <c r="L270" i="22"/>
  <c r="M270" i="22" s="1"/>
  <c r="AH270" i="22" s="1"/>
  <c r="AB261" i="22"/>
  <c r="AC261" i="22" s="1"/>
  <c r="T261" i="22"/>
  <c r="L261" i="22"/>
  <c r="M261" i="22" s="1"/>
  <c r="AH261" i="22" s="1"/>
  <c r="AB353" i="22"/>
  <c r="AM179" i="22" l="1"/>
  <c r="AK179" i="22"/>
  <c r="AM264" i="22"/>
  <c r="AK264" i="22"/>
  <c r="AD433" i="22"/>
  <c r="AJ433" i="22" s="1"/>
  <c r="AD431" i="22"/>
  <c r="AE431" i="22" s="1"/>
  <c r="AF431" i="22" s="1"/>
  <c r="AJ431" i="22"/>
  <c r="AD282" i="22"/>
  <c r="AE282" i="22" s="1"/>
  <c r="AF282" i="22" s="1"/>
  <c r="AD270" i="22"/>
  <c r="AE270" i="22" s="1"/>
  <c r="AF270" i="22" s="1"/>
  <c r="AD290" i="22"/>
  <c r="AE290" i="22" s="1"/>
  <c r="AF290" i="22" s="1"/>
  <c r="AD261" i="22"/>
  <c r="AJ261" i="22" s="1"/>
  <c r="AF261" i="22"/>
  <c r="T448" i="22"/>
  <c r="L448" i="22"/>
  <c r="M448" i="22" s="1"/>
  <c r="T444" i="22"/>
  <c r="L444" i="22"/>
  <c r="M444" i="22" s="1"/>
  <c r="AH444" i="22" s="1"/>
  <c r="AB439" i="22"/>
  <c r="AC440" i="22"/>
  <c r="AC308" i="22"/>
  <c r="T308" i="22"/>
  <c r="L308" i="22"/>
  <c r="M308" i="22" s="1"/>
  <c r="AH308" i="22" s="1"/>
  <c r="AO428" i="22"/>
  <c r="AB428" i="22"/>
  <c r="AC428" i="22" s="1"/>
  <c r="T428" i="22"/>
  <c r="L428" i="22"/>
  <c r="M428" i="22" s="1"/>
  <c r="AH428" i="22" s="1"/>
  <c r="AC353" i="22"/>
  <c r="T353" i="22"/>
  <c r="L353" i="22"/>
  <c r="M353" i="22" s="1"/>
  <c r="AH353" i="22" s="1"/>
  <c r="AO315" i="22"/>
  <c r="AB315" i="22"/>
  <c r="AC315" i="22" s="1"/>
  <c r="T315" i="22"/>
  <c r="L315" i="22"/>
  <c r="M315" i="22" s="1"/>
  <c r="AH315" i="22" s="1"/>
  <c r="AD315" i="22" l="1"/>
  <c r="AE315" i="22" s="1"/>
  <c r="AL448" i="22"/>
  <c r="AH448" i="22"/>
  <c r="AP431" i="22"/>
  <c r="AE433" i="22"/>
  <c r="AF433" i="22" s="1"/>
  <c r="AP433" i="22"/>
  <c r="AM433" i="22"/>
  <c r="AK433" i="22"/>
  <c r="AK431" i="22"/>
  <c r="AM431" i="22"/>
  <c r="AJ270" i="22"/>
  <c r="AK270" i="22" s="1"/>
  <c r="AJ290" i="22"/>
  <c r="AM290" i="22" s="1"/>
  <c r="AD428" i="22"/>
  <c r="AE428" i="22" s="1"/>
  <c r="AF428" i="22" s="1"/>
  <c r="AM261" i="22"/>
  <c r="AK261" i="22"/>
  <c r="AD448" i="22"/>
  <c r="AJ448" i="22" s="1"/>
  <c r="AD444" i="22"/>
  <c r="AJ444" i="22" s="1"/>
  <c r="AD308" i="22"/>
  <c r="AE308" i="22" s="1"/>
  <c r="AF308" i="22" s="1"/>
  <c r="AD353" i="22"/>
  <c r="AJ353" i="22" s="1"/>
  <c r="AF315" i="22"/>
  <c r="AE444" i="22" l="1"/>
  <c r="AF444" i="22" s="1"/>
  <c r="AK290" i="22"/>
  <c r="AE448" i="22"/>
  <c r="AF448" i="22" s="1"/>
  <c r="AM270" i="22"/>
  <c r="AP428" i="22"/>
  <c r="AJ428" i="22"/>
  <c r="AK428" i="22" s="1"/>
  <c r="AK448" i="22"/>
  <c r="AM448" i="22"/>
  <c r="AJ308" i="22"/>
  <c r="AM308" i="22" s="1"/>
  <c r="AM444" i="22"/>
  <c r="AK444" i="22"/>
  <c r="AK308" i="22"/>
  <c r="AE353" i="22"/>
  <c r="AF353" i="22" s="1"/>
  <c r="AJ315" i="22"/>
  <c r="AK315" i="22" s="1"/>
  <c r="AP315" i="22"/>
  <c r="AM353" i="22"/>
  <c r="AK353" i="22"/>
  <c r="AB345" i="22"/>
  <c r="AC345" i="22" s="1"/>
  <c r="T345" i="22"/>
  <c r="L345" i="22"/>
  <c r="M345" i="22" s="1"/>
  <c r="AH345" i="22" s="1"/>
  <c r="AO13" i="22"/>
  <c r="AB13" i="22"/>
  <c r="AC13" i="22" s="1"/>
  <c r="T13" i="22"/>
  <c r="L13" i="22"/>
  <c r="M13" i="22" s="1"/>
  <c r="AO51" i="22"/>
  <c r="AB51" i="22"/>
  <c r="AC51" i="22" s="1"/>
  <c r="T51" i="22"/>
  <c r="L51" i="22"/>
  <c r="M51" i="22" s="1"/>
  <c r="AH51" i="22" s="1"/>
  <c r="AO46" i="22"/>
  <c r="AC46" i="22"/>
  <c r="T46" i="22"/>
  <c r="L46" i="22"/>
  <c r="M46" i="22" s="1"/>
  <c r="AO38" i="22"/>
  <c r="AB38" i="22"/>
  <c r="AC38" i="22" s="1"/>
  <c r="T38" i="22"/>
  <c r="L38" i="22"/>
  <c r="M38" i="22" s="1"/>
  <c r="AH38" i="22" s="1"/>
  <c r="AO505" i="22"/>
  <c r="L505" i="22"/>
  <c r="M505" i="22" s="1"/>
  <c r="AB295" i="22"/>
  <c r="AC295" i="22" s="1"/>
  <c r="T295" i="22"/>
  <c r="L295" i="22"/>
  <c r="M295" i="22" s="1"/>
  <c r="I295" i="22"/>
  <c r="AB298" i="22"/>
  <c r="AC298" i="22" s="1"/>
  <c r="T298" i="22"/>
  <c r="J298" i="22"/>
  <c r="L298" i="22" s="1"/>
  <c r="M298" i="22" s="1"/>
  <c r="AB287" i="22"/>
  <c r="AC287" i="22" s="1"/>
  <c r="L287" i="22"/>
  <c r="M287" i="22" s="1"/>
  <c r="AH287" i="22" s="1"/>
  <c r="T287" i="22"/>
  <c r="AO440" i="22"/>
  <c r="T440" i="22"/>
  <c r="L440" i="22"/>
  <c r="M440" i="22" s="1"/>
  <c r="AO439" i="22"/>
  <c r="AC439" i="22"/>
  <c r="T439" i="22"/>
  <c r="L439" i="22"/>
  <c r="M439" i="22" s="1"/>
  <c r="AO228" i="22"/>
  <c r="AB228" i="22"/>
  <c r="AC228" i="22" s="1"/>
  <c r="L228" i="22"/>
  <c r="M228" i="22" s="1"/>
  <c r="AO227" i="22"/>
  <c r="AB227" i="22"/>
  <c r="AC227" i="22" s="1"/>
  <c r="L227" i="22"/>
  <c r="M227" i="22" s="1"/>
  <c r="AL227" i="22" l="1"/>
  <c r="AH227" i="22"/>
  <c r="AL228" i="22"/>
  <c r="AH228" i="22"/>
  <c r="AL439" i="22"/>
  <c r="AH439" i="22"/>
  <c r="AL440" i="22"/>
  <c r="AH440" i="22"/>
  <c r="AL298" i="22"/>
  <c r="AH298" i="22"/>
  <c r="AL295" i="22"/>
  <c r="AH295" i="22"/>
  <c r="AL505" i="22"/>
  <c r="AH505" i="22"/>
  <c r="AL46" i="22"/>
  <c r="AH46" i="22"/>
  <c r="AL13" i="22"/>
  <c r="AH13" i="22"/>
  <c r="AM428" i="22"/>
  <c r="AM315" i="22"/>
  <c r="AD345" i="22"/>
  <c r="AD13" i="22"/>
  <c r="AJ13" i="22" s="1"/>
  <c r="AD51" i="22"/>
  <c r="AP51" i="22" s="1"/>
  <c r="AD46" i="22"/>
  <c r="AE46" i="22" s="1"/>
  <c r="AF46" i="22" s="1"/>
  <c r="AD505" i="22"/>
  <c r="AP505" i="22" s="1"/>
  <c r="AD38" i="22"/>
  <c r="AJ38" i="22" s="1"/>
  <c r="AD295" i="22"/>
  <c r="AE295" i="22" s="1"/>
  <c r="AD298" i="22"/>
  <c r="I298" i="22"/>
  <c r="AD439" i="22"/>
  <c r="AJ439" i="22" s="1"/>
  <c r="Y440" i="22"/>
  <c r="AD287" i="22"/>
  <c r="AE287" i="22" s="1"/>
  <c r="AF287" i="22" s="1"/>
  <c r="AD440" i="22"/>
  <c r="AP440" i="22" s="1"/>
  <c r="AD227" i="22"/>
  <c r="AE227" i="22" s="1"/>
  <c r="AF227" i="22" s="1"/>
  <c r="AD228" i="22"/>
  <c r="AJ228" i="22" s="1"/>
  <c r="AB3" i="22"/>
  <c r="AB4" i="22"/>
  <c r="AB2" i="22"/>
  <c r="AB268" i="22"/>
  <c r="AC268" i="22" s="1"/>
  <c r="T268" i="22"/>
  <c r="L268" i="22"/>
  <c r="M268" i="22" s="1"/>
  <c r="AH268" i="22" s="1"/>
  <c r="AO226" i="22"/>
  <c r="AB226" i="22"/>
  <c r="AC226" i="22" s="1"/>
  <c r="L226" i="22"/>
  <c r="M226" i="22" s="1"/>
  <c r="AB220" i="22"/>
  <c r="AC220" i="22" s="1"/>
  <c r="T220" i="22"/>
  <c r="L220" i="22"/>
  <c r="M220" i="22" s="1"/>
  <c r="AB380" i="22"/>
  <c r="AC380" i="22" s="1"/>
  <c r="T380" i="22"/>
  <c r="L380" i="22"/>
  <c r="M380" i="22" s="1"/>
  <c r="AH380" i="22" s="1"/>
  <c r="AB333" i="22"/>
  <c r="AC333" i="22" s="1"/>
  <c r="T333" i="22"/>
  <c r="L333" i="22"/>
  <c r="M333" i="22" s="1"/>
  <c r="AH333" i="22" s="1"/>
  <c r="AO408" i="22"/>
  <c r="AB408" i="22"/>
  <c r="AC408" i="22" s="1"/>
  <c r="T408" i="22"/>
  <c r="L408" i="22"/>
  <c r="M408" i="22" s="1"/>
  <c r="AB104" i="22"/>
  <c r="AC104" i="22" s="1"/>
  <c r="T104" i="22"/>
  <c r="L104" i="22"/>
  <c r="M104" i="22" s="1"/>
  <c r="AH104" i="22" s="1"/>
  <c r="AO26" i="22"/>
  <c r="AB26" i="22"/>
  <c r="AC26" i="22" s="1"/>
  <c r="T26" i="22"/>
  <c r="L26" i="22"/>
  <c r="M26" i="22" s="1"/>
  <c r="AH26" i="22" s="1"/>
  <c r="AO33" i="22"/>
  <c r="AB33" i="22"/>
  <c r="AC33" i="22" s="1"/>
  <c r="T33" i="22"/>
  <c r="L33" i="22"/>
  <c r="M33" i="22" s="1"/>
  <c r="AH33" i="22" s="1"/>
  <c r="AO12" i="22"/>
  <c r="AB12" i="22"/>
  <c r="AC12" i="22" s="1"/>
  <c r="T12" i="22"/>
  <c r="L12" i="22"/>
  <c r="M12" i="22" s="1"/>
  <c r="AB323" i="22"/>
  <c r="AC323" i="22" s="1"/>
  <c r="L323" i="22"/>
  <c r="M323" i="22" s="1"/>
  <c r="AH323" i="22" s="1"/>
  <c r="AB121" i="22"/>
  <c r="AB116" i="22"/>
  <c r="AC116" i="22" s="1"/>
  <c r="T116" i="22"/>
  <c r="L116" i="22"/>
  <c r="M116" i="22" s="1"/>
  <c r="AB143" i="22"/>
  <c r="AC143" i="22" s="1"/>
  <c r="T143" i="22"/>
  <c r="L143" i="22"/>
  <c r="M143" i="22" s="1"/>
  <c r="AH143" i="22" s="1"/>
  <c r="AO399" i="22"/>
  <c r="AB399" i="22"/>
  <c r="AC399" i="22" s="1"/>
  <c r="L399" i="22"/>
  <c r="M399" i="22" s="1"/>
  <c r="AH399" i="22" s="1"/>
  <c r="AO398" i="22"/>
  <c r="AB398" i="22"/>
  <c r="L398" i="22"/>
  <c r="M398" i="22" s="1"/>
  <c r="AH398" i="22" s="1"/>
  <c r="AB171" i="22"/>
  <c r="AC171" i="22" s="1"/>
  <c r="T171" i="22"/>
  <c r="L171" i="22"/>
  <c r="M171" i="22" s="1"/>
  <c r="AH171" i="22" s="1"/>
  <c r="AB178" i="22"/>
  <c r="AC178" i="22" s="1"/>
  <c r="T178" i="22"/>
  <c r="L178" i="22"/>
  <c r="M178" i="22" s="1"/>
  <c r="AO151" i="22"/>
  <c r="AB151" i="22"/>
  <c r="AC151" i="22" s="1"/>
  <c r="L151" i="22"/>
  <c r="M151" i="22" s="1"/>
  <c r="AB58" i="22"/>
  <c r="AC58" i="22" s="1"/>
  <c r="T58" i="22"/>
  <c r="L58" i="22"/>
  <c r="M58" i="22" s="1"/>
  <c r="AH58" i="22" s="1"/>
  <c r="AB55" i="22"/>
  <c r="AC55" i="22" s="1"/>
  <c r="T55" i="22"/>
  <c r="L55" i="22"/>
  <c r="M55" i="22" s="1"/>
  <c r="AH55" i="22" s="1"/>
  <c r="AB370" i="22"/>
  <c r="AC370" i="22" s="1"/>
  <c r="T370" i="22"/>
  <c r="L370" i="22"/>
  <c r="M370" i="22" s="1"/>
  <c r="AH370" i="22" s="1"/>
  <c r="AB369" i="22"/>
  <c r="AC369" i="22" s="1"/>
  <c r="T369" i="22"/>
  <c r="L369" i="22"/>
  <c r="M369" i="22" s="1"/>
  <c r="AH369" i="22" s="1"/>
  <c r="AB286" i="22"/>
  <c r="AC286" i="22" s="1"/>
  <c r="T286" i="22"/>
  <c r="L286" i="22"/>
  <c r="M286" i="22" s="1"/>
  <c r="AH286" i="22" s="1"/>
  <c r="AB297" i="22"/>
  <c r="AC297" i="22" s="1"/>
  <c r="T297" i="22"/>
  <c r="J297" i="22"/>
  <c r="L297" i="22" s="1"/>
  <c r="M297" i="22" s="1"/>
  <c r="AB267" i="22"/>
  <c r="AC267" i="22" s="1"/>
  <c r="T267" i="22"/>
  <c r="L267" i="22"/>
  <c r="M267" i="22" s="1"/>
  <c r="AH267" i="22" s="1"/>
  <c r="AB219" i="22"/>
  <c r="AC219" i="22" s="1"/>
  <c r="AO225" i="22"/>
  <c r="AB225" i="22"/>
  <c r="AC225" i="22" s="1"/>
  <c r="L225" i="22"/>
  <c r="M225" i="22" s="1"/>
  <c r="T219" i="22"/>
  <c r="L219" i="22"/>
  <c r="M219" i="22" s="1"/>
  <c r="AB199" i="22"/>
  <c r="AC199" i="22" s="1"/>
  <c r="T199" i="22"/>
  <c r="L199" i="22"/>
  <c r="M199" i="22" s="1"/>
  <c r="AB198" i="22"/>
  <c r="AC198" i="22" s="1"/>
  <c r="T198" i="22"/>
  <c r="L198" i="22"/>
  <c r="M198" i="22" s="1"/>
  <c r="AB21" i="22"/>
  <c r="AC21" i="22" s="1"/>
  <c r="AL198" i="22" l="1"/>
  <c r="AH198" i="22"/>
  <c r="AL199" i="22"/>
  <c r="AH199" i="22"/>
  <c r="AL219" i="22"/>
  <c r="AH219" i="22"/>
  <c r="AL225" i="22"/>
  <c r="AH225" i="22"/>
  <c r="AL297" i="22"/>
  <c r="AH297" i="22"/>
  <c r="AL151" i="22"/>
  <c r="AH151" i="22"/>
  <c r="AL178" i="22"/>
  <c r="AH178" i="22"/>
  <c r="AL116" i="22"/>
  <c r="AH116" i="22"/>
  <c r="AL12" i="22"/>
  <c r="AH12" i="22"/>
  <c r="AL408" i="22"/>
  <c r="AH408" i="22"/>
  <c r="AL220" i="22"/>
  <c r="AH220" i="22"/>
  <c r="AL226" i="22"/>
  <c r="AH226" i="22"/>
  <c r="AJ51" i="22"/>
  <c r="AK51" i="22" s="1"/>
  <c r="AE505" i="22"/>
  <c r="AF505" i="22" s="1"/>
  <c r="AJ295" i="22"/>
  <c r="AK295" i="22" s="1"/>
  <c r="AJ505" i="22"/>
  <c r="AM505" i="22" s="1"/>
  <c r="AP13" i="22"/>
  <c r="AE13" i="22"/>
  <c r="AF13" i="22" s="1"/>
  <c r="AE51" i="22"/>
  <c r="AF51" i="22" s="1"/>
  <c r="AP38" i="22"/>
  <c r="AJ345" i="22"/>
  <c r="AM345" i="22" s="1"/>
  <c r="AE345" i="22"/>
  <c r="AF345" i="22" s="1"/>
  <c r="AP46" i="22"/>
  <c r="AM13" i="22"/>
  <c r="AK13" i="22"/>
  <c r="AE38" i="22"/>
  <c r="AF38" i="22" s="1"/>
  <c r="AP439" i="22"/>
  <c r="AJ46" i="22"/>
  <c r="AM46" i="22" s="1"/>
  <c r="AJ227" i="22"/>
  <c r="AM227" i="22" s="1"/>
  <c r="AE228" i="22"/>
  <c r="AF228" i="22" s="1"/>
  <c r="AP227" i="22"/>
  <c r="AP228" i="22"/>
  <c r="AM38" i="22"/>
  <c r="AK38" i="22"/>
  <c r="AM295" i="22"/>
  <c r="AE439" i="22"/>
  <c r="AF439" i="22" s="1"/>
  <c r="AJ298" i="22"/>
  <c r="AE298" i="22"/>
  <c r="AJ287" i="22"/>
  <c r="AK287" i="22" s="1"/>
  <c r="AE440" i="22"/>
  <c r="AF440" i="22" s="1"/>
  <c r="AJ440" i="22"/>
  <c r="AM440" i="22" s="1"/>
  <c r="AM439" i="22"/>
  <c r="AK439" i="22"/>
  <c r="AM228" i="22"/>
  <c r="AK228" i="22"/>
  <c r="AD268" i="22"/>
  <c r="AE268" i="22" s="1"/>
  <c r="AF268" i="22" s="1"/>
  <c r="AD12" i="22"/>
  <c r="AP12" i="22" s="1"/>
  <c r="AD226" i="22"/>
  <c r="AE226" i="22" s="1"/>
  <c r="AF226" i="22" s="1"/>
  <c r="AD220" i="22"/>
  <c r="AE220" i="22" s="1"/>
  <c r="AF220" i="22" s="1"/>
  <c r="AD333" i="22"/>
  <c r="AE333" i="22" s="1"/>
  <c r="AF333" i="22" s="1"/>
  <c r="AD380" i="22"/>
  <c r="AE380" i="22" s="1"/>
  <c r="AF380" i="22" s="1"/>
  <c r="AD408" i="22"/>
  <c r="AD104" i="22"/>
  <c r="AE104" i="22" s="1"/>
  <c r="AF104" i="22" s="1"/>
  <c r="AD26" i="22"/>
  <c r="AP26" i="22" s="1"/>
  <c r="AD33" i="22"/>
  <c r="AE33" i="22" s="1"/>
  <c r="AF33" i="22" s="1"/>
  <c r="AD116" i="22"/>
  <c r="AE116" i="22" s="1"/>
  <c r="AF116" i="22" s="1"/>
  <c r="AD323" i="22"/>
  <c r="AJ323" i="22" s="1"/>
  <c r="AD143" i="22"/>
  <c r="AJ143" i="22" s="1"/>
  <c r="AD399" i="22"/>
  <c r="AJ399" i="22" s="1"/>
  <c r="AC398" i="22"/>
  <c r="AD398" i="22" s="1"/>
  <c r="AD178" i="22"/>
  <c r="AE178" i="22" s="1"/>
  <c r="AF178" i="22" s="1"/>
  <c r="AD171" i="22"/>
  <c r="AE171" i="22" s="1"/>
  <c r="AF171" i="22" s="1"/>
  <c r="AD151" i="22"/>
  <c r="AP151" i="22" s="1"/>
  <c r="AD55" i="22"/>
  <c r="AJ55" i="22" s="1"/>
  <c r="AD58" i="22"/>
  <c r="AJ58" i="22" s="1"/>
  <c r="AD370" i="22"/>
  <c r="AJ370" i="22" s="1"/>
  <c r="AD286" i="22"/>
  <c r="AJ286" i="22" s="1"/>
  <c r="AD369" i="22"/>
  <c r="AJ369" i="22" s="1"/>
  <c r="I297" i="22"/>
  <c r="AD297" i="22"/>
  <c r="AD267" i="22"/>
  <c r="AE267" i="22" s="1"/>
  <c r="AF267" i="22" s="1"/>
  <c r="AD225" i="22"/>
  <c r="AP225" i="22" s="1"/>
  <c r="AD219" i="22"/>
  <c r="AJ219" i="22" s="1"/>
  <c r="AD198" i="22"/>
  <c r="AE198" i="22" s="1"/>
  <c r="AF198" i="22" s="1"/>
  <c r="AD199" i="22"/>
  <c r="AJ199" i="22" s="1"/>
  <c r="AB384" i="22"/>
  <c r="AC384" i="22" s="1"/>
  <c r="AB383" i="22"/>
  <c r="AC383" i="22" s="1"/>
  <c r="T383" i="22"/>
  <c r="L383" i="22"/>
  <c r="M383" i="22" s="1"/>
  <c r="AH383" i="22" s="1"/>
  <c r="AB96" i="22"/>
  <c r="AC96" i="22" s="1"/>
  <c r="T96" i="22"/>
  <c r="J96" i="22"/>
  <c r="L96" i="22" s="1"/>
  <c r="M96" i="22" s="1"/>
  <c r="AH96" i="22" s="1"/>
  <c r="I96" i="22"/>
  <c r="AO7" i="22"/>
  <c r="AB7" i="22"/>
  <c r="AC7" i="22" s="1"/>
  <c r="T7" i="22"/>
  <c r="L7" i="22"/>
  <c r="M7" i="22" s="1"/>
  <c r="AH7" i="22" s="1"/>
  <c r="AO4" i="22"/>
  <c r="AC4" i="22"/>
  <c r="T4" i="22"/>
  <c r="L4" i="22"/>
  <c r="M4" i="22" s="1"/>
  <c r="AH4" i="22" s="1"/>
  <c r="J165" i="22"/>
  <c r="I165" i="22"/>
  <c r="M165" i="22"/>
  <c r="AH165" i="22" s="1"/>
  <c r="AB163" i="22"/>
  <c r="M163" i="22"/>
  <c r="AH163" i="22" s="1"/>
  <c r="AB416" i="22"/>
  <c r="AC416" i="22" s="1"/>
  <c r="T416" i="22"/>
  <c r="L416" i="22"/>
  <c r="M416" i="22" s="1"/>
  <c r="AB496" i="22"/>
  <c r="AC496" i="22" s="1"/>
  <c r="T496" i="22"/>
  <c r="L496" i="22"/>
  <c r="M496" i="22" s="1"/>
  <c r="AH496" i="22" s="1"/>
  <c r="AO150" i="22"/>
  <c r="AB150" i="22"/>
  <c r="AC150" i="22" s="1"/>
  <c r="L150" i="22"/>
  <c r="M150" i="22" s="1"/>
  <c r="AB154" i="22"/>
  <c r="AC154" i="22" s="1"/>
  <c r="T154" i="22"/>
  <c r="L154" i="22"/>
  <c r="M154" i="22" s="1"/>
  <c r="AH154" i="22" s="1"/>
  <c r="AB204" i="22"/>
  <c r="AC204" i="22" s="1"/>
  <c r="T204" i="22"/>
  <c r="L204" i="22"/>
  <c r="M204" i="22" s="1"/>
  <c r="AB307" i="22"/>
  <c r="AC307" i="22" s="1"/>
  <c r="T307" i="22"/>
  <c r="L307" i="22"/>
  <c r="M307" i="22" s="1"/>
  <c r="AH307" i="22" s="1"/>
  <c r="T487" i="22"/>
  <c r="AO21" i="22"/>
  <c r="T21" i="22"/>
  <c r="L21" i="22"/>
  <c r="M21" i="22" s="1"/>
  <c r="AH21" i="22" s="1"/>
  <c r="AO11" i="22"/>
  <c r="AB11" i="22"/>
  <c r="AC11" i="22" s="1"/>
  <c r="T11" i="22"/>
  <c r="L11" i="22"/>
  <c r="M11" i="22" s="1"/>
  <c r="AB462" i="22"/>
  <c r="AC462" i="22" s="1"/>
  <c r="T462" i="22"/>
  <c r="L462" i="22"/>
  <c r="M462" i="22" s="1"/>
  <c r="AH462" i="22" s="1"/>
  <c r="AB320" i="22"/>
  <c r="AC320" i="22" s="1"/>
  <c r="T320" i="22"/>
  <c r="L320" i="22"/>
  <c r="M320" i="22" s="1"/>
  <c r="AH320" i="22" s="1"/>
  <c r="AO37" i="22"/>
  <c r="AB37" i="22"/>
  <c r="AC37" i="22" s="1"/>
  <c r="T37" i="22"/>
  <c r="L37" i="22"/>
  <c r="M37" i="22" s="1"/>
  <c r="AH37" i="22" s="1"/>
  <c r="AO17" i="22"/>
  <c r="AB17" i="22"/>
  <c r="AC17" i="22" s="1"/>
  <c r="T17" i="22"/>
  <c r="L17" i="22"/>
  <c r="M17" i="22" s="1"/>
  <c r="AH17" i="22" s="1"/>
  <c r="AO427" i="22"/>
  <c r="AB427" i="22"/>
  <c r="AC427" i="22" s="1"/>
  <c r="T427" i="22"/>
  <c r="L427" i="22"/>
  <c r="M427" i="22" s="1"/>
  <c r="AH427" i="22" s="1"/>
  <c r="AO50" i="22"/>
  <c r="AB50" i="22"/>
  <c r="AC50" i="22" s="1"/>
  <c r="T50" i="22"/>
  <c r="L50" i="22"/>
  <c r="M50" i="22" s="1"/>
  <c r="AH50" i="22" s="1"/>
  <c r="AO45" i="22"/>
  <c r="AB45" i="22"/>
  <c r="AC45" i="22" s="1"/>
  <c r="T45" i="22"/>
  <c r="L45" i="22"/>
  <c r="M45" i="22" s="1"/>
  <c r="AO32" i="22"/>
  <c r="AB32" i="22"/>
  <c r="AC32" i="22" s="1"/>
  <c r="T32" i="22"/>
  <c r="L32" i="22"/>
  <c r="M32" i="22" s="1"/>
  <c r="AH32" i="22" s="1"/>
  <c r="AO25" i="22"/>
  <c r="AB25" i="22"/>
  <c r="AC25" i="22" s="1"/>
  <c r="T25" i="22"/>
  <c r="L25" i="22"/>
  <c r="M25" i="22" s="1"/>
  <c r="AH25" i="22" s="1"/>
  <c r="AB388" i="22"/>
  <c r="AC388" i="22" s="1"/>
  <c r="T388" i="22"/>
  <c r="L388" i="22"/>
  <c r="M388" i="22" s="1"/>
  <c r="AH388" i="22" s="1"/>
  <c r="AO464" i="22"/>
  <c r="AB464" i="22"/>
  <c r="AC464" i="22" s="1"/>
  <c r="T464" i="22"/>
  <c r="L464" i="22"/>
  <c r="M464" i="22" s="1"/>
  <c r="AH464" i="22" s="1"/>
  <c r="AO407" i="22"/>
  <c r="AB407" i="22"/>
  <c r="AC407" i="22" s="1"/>
  <c r="T407" i="22"/>
  <c r="L407" i="22"/>
  <c r="M407" i="22" s="1"/>
  <c r="AB76" i="22"/>
  <c r="AC76" i="22" s="1"/>
  <c r="T76" i="22"/>
  <c r="L76" i="22"/>
  <c r="M76" i="22" s="1"/>
  <c r="AH76" i="22" s="1"/>
  <c r="AB129" i="22"/>
  <c r="AC129" i="22" s="1"/>
  <c r="L129" i="22"/>
  <c r="M129" i="22" s="1"/>
  <c r="AH129" i="22" s="1"/>
  <c r="AL407" i="22" l="1"/>
  <c r="AH407" i="22"/>
  <c r="AL45" i="22"/>
  <c r="AH45" i="22"/>
  <c r="AL11" i="22"/>
  <c r="AH11" i="22"/>
  <c r="AL204" i="22"/>
  <c r="AH204" i="22"/>
  <c r="AL150" i="22"/>
  <c r="AH150" i="22"/>
  <c r="AL416" i="22"/>
  <c r="AH416" i="22"/>
  <c r="AM51" i="22"/>
  <c r="AC163" i="22"/>
  <c r="AD163" i="22" s="1"/>
  <c r="AP408" i="22"/>
  <c r="AE408" i="22"/>
  <c r="AF408" i="22" s="1"/>
  <c r="AK505" i="22"/>
  <c r="AK345" i="22"/>
  <c r="AK227" i="22"/>
  <c r="AK46" i="22"/>
  <c r="AJ268" i="22"/>
  <c r="AK268" i="22" s="1"/>
  <c r="AM287" i="22"/>
  <c r="AJ333" i="22"/>
  <c r="AK333" i="22" s="1"/>
  <c r="AJ220" i="22"/>
  <c r="AM220" i="22" s="1"/>
  <c r="AK298" i="22"/>
  <c r="AM298" i="22"/>
  <c r="AK440" i="22"/>
  <c r="AP226" i="22"/>
  <c r="AJ226" i="22"/>
  <c r="AM226" i="22" s="1"/>
  <c r="AJ408" i="22"/>
  <c r="AK408" i="22" s="1"/>
  <c r="AJ26" i="22"/>
  <c r="AM26" i="22" s="1"/>
  <c r="AE12" i="22"/>
  <c r="AF12" i="22" s="1"/>
  <c r="AJ12" i="22"/>
  <c r="AM12" i="22" s="1"/>
  <c r="AJ33" i="22"/>
  <c r="AM33" i="22" s="1"/>
  <c r="AJ380" i="22"/>
  <c r="AM380" i="22" s="1"/>
  <c r="AJ104" i="22"/>
  <c r="AM104" i="22" s="1"/>
  <c r="AE143" i="22"/>
  <c r="AF143" i="22" s="1"/>
  <c r="AE26" i="22"/>
  <c r="AF26" i="22" s="1"/>
  <c r="AP33" i="22"/>
  <c r="AJ151" i="22"/>
  <c r="AK151" i="22" s="1"/>
  <c r="AJ116" i="22"/>
  <c r="AK116" i="22" s="1"/>
  <c r="AE323" i="22"/>
  <c r="AK323" i="22"/>
  <c r="AM323" i="22"/>
  <c r="AE151" i="22"/>
  <c r="AF151" i="22" s="1"/>
  <c r="AM143" i="22"/>
  <c r="AK143" i="22"/>
  <c r="AJ267" i="22"/>
  <c r="AK267" i="22" s="1"/>
  <c r="AE399" i="22"/>
  <c r="AF399" i="22" s="1"/>
  <c r="AP399" i="22"/>
  <c r="AP398" i="22"/>
  <c r="AJ398" i="22"/>
  <c r="AM398" i="22" s="1"/>
  <c r="AE398" i="22"/>
  <c r="AF398" i="22" s="1"/>
  <c r="AE286" i="22"/>
  <c r="AF286" i="22" s="1"/>
  <c r="AK399" i="22"/>
  <c r="AM399" i="22"/>
  <c r="AJ178" i="22"/>
  <c r="AM178" i="22" s="1"/>
  <c r="AE55" i="22"/>
  <c r="AF55" i="22" s="1"/>
  <c r="AE58" i="22"/>
  <c r="AF58" i="22" s="1"/>
  <c r="AM58" i="22"/>
  <c r="AK58" i="22"/>
  <c r="AE369" i="22"/>
  <c r="AF369" i="22" s="1"/>
  <c r="AM55" i="22"/>
  <c r="AK55" i="22"/>
  <c r="AE370" i="22"/>
  <c r="AF370" i="22" s="1"/>
  <c r="AM370" i="22"/>
  <c r="AK370" i="22"/>
  <c r="AK369" i="22"/>
  <c r="AM369" i="22"/>
  <c r="AM286" i="22"/>
  <c r="AK286" i="22"/>
  <c r="AE199" i="22"/>
  <c r="AF199" i="22" s="1"/>
  <c r="AJ297" i="22"/>
  <c r="AE297" i="22"/>
  <c r="AJ198" i="22"/>
  <c r="AM198" i="22" s="1"/>
  <c r="AE225" i="22"/>
  <c r="AF225" i="22" s="1"/>
  <c r="AJ225" i="22"/>
  <c r="AM225" i="22" s="1"/>
  <c r="AE219" i="22"/>
  <c r="AF219" i="22" s="1"/>
  <c r="AM219" i="22"/>
  <c r="AK219" i="22"/>
  <c r="AM199" i="22"/>
  <c r="AK199" i="22"/>
  <c r="AD383" i="22"/>
  <c r="AJ383" i="22" s="1"/>
  <c r="AD7" i="22"/>
  <c r="AP7" i="22" s="1"/>
  <c r="AD96" i="22"/>
  <c r="AD4" i="22"/>
  <c r="AP4" i="22" s="1"/>
  <c r="AJ163" i="22"/>
  <c r="AE163" i="22"/>
  <c r="AF163" i="22" s="1"/>
  <c r="AD496" i="22"/>
  <c r="AJ496" i="22" s="1"/>
  <c r="AM496" i="22" s="1"/>
  <c r="AD416" i="22"/>
  <c r="AE416" i="22" s="1"/>
  <c r="AF416" i="22" s="1"/>
  <c r="AD150" i="22"/>
  <c r="AP150" i="22" s="1"/>
  <c r="AD154" i="22"/>
  <c r="AJ154" i="22" s="1"/>
  <c r="AD204" i="22"/>
  <c r="AJ204" i="22" s="1"/>
  <c r="AD307" i="22"/>
  <c r="AJ307" i="22" s="1"/>
  <c r="AD21" i="22"/>
  <c r="AJ21" i="22" s="1"/>
  <c r="AD11" i="22"/>
  <c r="AP11" i="22" s="1"/>
  <c r="AD462" i="22"/>
  <c r="AJ462" i="22" s="1"/>
  <c r="AD320" i="22"/>
  <c r="AJ320" i="22" s="1"/>
  <c r="AD17" i="22"/>
  <c r="AD37" i="22"/>
  <c r="AP37" i="22" s="1"/>
  <c r="AD427" i="22"/>
  <c r="AP427" i="22" s="1"/>
  <c r="AD50" i="22"/>
  <c r="AP50" i="22" s="1"/>
  <c r="AD45" i="22"/>
  <c r="AD32" i="22"/>
  <c r="AP32" i="22" s="1"/>
  <c r="AD25" i="22"/>
  <c r="AE25" i="22" s="1"/>
  <c r="AF25" i="22" s="1"/>
  <c r="AD388" i="22"/>
  <c r="AE388" i="22" s="1"/>
  <c r="AF388" i="22" s="1"/>
  <c r="AD464" i="22"/>
  <c r="AP464" i="22" s="1"/>
  <c r="AD407" i="22"/>
  <c r="AD76" i="22"/>
  <c r="AJ76" i="22" s="1"/>
  <c r="AD129" i="22"/>
  <c r="AJ129" i="22" s="1"/>
  <c r="AB447" i="22"/>
  <c r="T447" i="22"/>
  <c r="L447" i="22"/>
  <c r="M447" i="22" s="1"/>
  <c r="AB443" i="22"/>
  <c r="AC443" i="22" s="1"/>
  <c r="T443" i="22"/>
  <c r="L443" i="22"/>
  <c r="M443" i="22" s="1"/>
  <c r="AH443" i="22" s="1"/>
  <c r="AO314" i="22"/>
  <c r="AB314" i="22"/>
  <c r="AC314" i="22" s="1"/>
  <c r="T314" i="22"/>
  <c r="L314" i="22"/>
  <c r="M314" i="22" s="1"/>
  <c r="AH314" i="22" s="1"/>
  <c r="AL447" i="22" l="1"/>
  <c r="AH447" i="22"/>
  <c r="AP407" i="22"/>
  <c r="AE407" i="22"/>
  <c r="AF407" i="22" s="1"/>
  <c r="AM268" i="22"/>
  <c r="AM408" i="22"/>
  <c r="AP45" i="22"/>
  <c r="AE45" i="22"/>
  <c r="AF45" i="22" s="1"/>
  <c r="AM333" i="22"/>
  <c r="AK220" i="22"/>
  <c r="AK12" i="22"/>
  <c r="AK26" i="22"/>
  <c r="AK226" i="22"/>
  <c r="AK33" i="22"/>
  <c r="AM151" i="22"/>
  <c r="AK104" i="22"/>
  <c r="AK380" i="22"/>
  <c r="AM116" i="22"/>
  <c r="AM267" i="22"/>
  <c r="AK398" i="22"/>
  <c r="AK178" i="22"/>
  <c r="AK198" i="22"/>
  <c r="AM297" i="22"/>
  <c r="AK297" i="22"/>
  <c r="AE150" i="22"/>
  <c r="AF150" i="22" s="1"/>
  <c r="AK225" i="22"/>
  <c r="AE4" i="22"/>
  <c r="AF4" i="22" s="1"/>
  <c r="AJ4" i="22"/>
  <c r="AM4" i="22" s="1"/>
  <c r="AE154" i="22"/>
  <c r="AF154" i="22" s="1"/>
  <c r="AP17" i="22"/>
  <c r="AE17" i="22"/>
  <c r="AF17" i="22" s="1"/>
  <c r="AJ150" i="22"/>
  <c r="AM150" i="22" s="1"/>
  <c r="AE383" i="22"/>
  <c r="AF383" i="22" s="1"/>
  <c r="AM383" i="22"/>
  <c r="AK383" i="22"/>
  <c r="AJ7" i="22"/>
  <c r="AK7" i="22" s="1"/>
  <c r="AE7" i="22"/>
  <c r="AF7" i="22" s="1"/>
  <c r="AJ96" i="22"/>
  <c r="AE96" i="22"/>
  <c r="AF96" i="22" s="1"/>
  <c r="AK496" i="22"/>
  <c r="AJ416" i="22"/>
  <c r="AM416" i="22" s="1"/>
  <c r="AM163" i="22"/>
  <c r="AK163" i="22"/>
  <c r="AP21" i="22"/>
  <c r="AE496" i="22"/>
  <c r="AF496" i="22" s="1"/>
  <c r="AE204" i="22"/>
  <c r="AF204" i="22" s="1"/>
  <c r="AJ17" i="22"/>
  <c r="AM17" i="22" s="1"/>
  <c r="AJ427" i="22"/>
  <c r="AK427" i="22" s="1"/>
  <c r="AM154" i="22"/>
  <c r="AK154" i="22"/>
  <c r="AJ11" i="22"/>
  <c r="AM11" i="22" s="1"/>
  <c r="AE129" i="22"/>
  <c r="AE11" i="22"/>
  <c r="AF11" i="22" s="1"/>
  <c r="AE21" i="22"/>
  <c r="AF21" i="22" s="1"/>
  <c r="AE307" i="22"/>
  <c r="AF307" i="22" s="1"/>
  <c r="AM204" i="22"/>
  <c r="AK204" i="22"/>
  <c r="AE427" i="22"/>
  <c r="AF427" i="22" s="1"/>
  <c r="AM307" i="22"/>
  <c r="AK307" i="22"/>
  <c r="AE320" i="22"/>
  <c r="AF320" i="22" s="1"/>
  <c r="AE37" i="22"/>
  <c r="AF37" i="22" s="1"/>
  <c r="AM21" i="22"/>
  <c r="AK21" i="22"/>
  <c r="AJ32" i="22"/>
  <c r="AM32" i="22" s="1"/>
  <c r="AE462" i="22"/>
  <c r="AF462" i="22" s="1"/>
  <c r="AM462" i="22"/>
  <c r="AK462" i="22"/>
  <c r="AJ45" i="22"/>
  <c r="AK45" i="22" s="1"/>
  <c r="AJ25" i="22"/>
  <c r="AM25" i="22" s="1"/>
  <c r="AP25" i="22"/>
  <c r="AM320" i="22"/>
  <c r="AK320" i="22"/>
  <c r="AJ50" i="22"/>
  <c r="AM50" i="22" s="1"/>
  <c r="AE50" i="22"/>
  <c r="AF50" i="22" s="1"/>
  <c r="AJ37" i="22"/>
  <c r="AM37" i="22" s="1"/>
  <c r="AE32" i="22"/>
  <c r="AF32" i="22" s="1"/>
  <c r="AJ407" i="22"/>
  <c r="AM407" i="22" s="1"/>
  <c r="AJ388" i="22"/>
  <c r="AM388" i="22" s="1"/>
  <c r="AE464" i="22"/>
  <c r="AF464" i="22" s="1"/>
  <c r="AE76" i="22"/>
  <c r="AF76" i="22" s="1"/>
  <c r="AJ464" i="22"/>
  <c r="AK464" i="22" s="1"/>
  <c r="AM76" i="22"/>
  <c r="AK76" i="22"/>
  <c r="AM129" i="22"/>
  <c r="AK129" i="22"/>
  <c r="AC447" i="22"/>
  <c r="AD447" i="22" s="1"/>
  <c r="AD443" i="22"/>
  <c r="AJ443" i="22" s="1"/>
  <c r="AD314" i="22"/>
  <c r="AP314" i="22" s="1"/>
  <c r="AB364" i="22"/>
  <c r="AC364" i="22" s="1"/>
  <c r="T364" i="22"/>
  <c r="L364" i="22"/>
  <c r="M364" i="22" s="1"/>
  <c r="AH364" i="22" s="1"/>
  <c r="AB368" i="22"/>
  <c r="AC368" i="22" s="1"/>
  <c r="T368" i="22"/>
  <c r="L368" i="22"/>
  <c r="M368" i="22" s="1"/>
  <c r="AH368" i="22" s="1"/>
  <c r="AB367" i="22"/>
  <c r="AC367" i="22" s="1"/>
  <c r="T367" i="22"/>
  <c r="L367" i="22"/>
  <c r="M367" i="22" s="1"/>
  <c r="AH367" i="22" s="1"/>
  <c r="AB366" i="22"/>
  <c r="AC366" i="22" s="1"/>
  <c r="T366" i="22"/>
  <c r="L366" i="22"/>
  <c r="M366" i="22" s="1"/>
  <c r="AH366" i="22" s="1"/>
  <c r="AB62" i="22"/>
  <c r="AC62" i="22" s="1"/>
  <c r="T62" i="22"/>
  <c r="L62" i="22"/>
  <c r="M62" i="22" s="1"/>
  <c r="AH62" i="22" s="1"/>
  <c r="AB493" i="22"/>
  <c r="AC493" i="22" s="1"/>
  <c r="T493" i="22"/>
  <c r="L493" i="22"/>
  <c r="M493" i="22" s="1"/>
  <c r="AH493" i="22" s="1"/>
  <c r="AB379" i="22"/>
  <c r="AB378" i="22"/>
  <c r="AC378" i="22" s="1"/>
  <c r="AB377" i="22"/>
  <c r="AC377" i="22" s="1"/>
  <c r="T378" i="22"/>
  <c r="L378" i="22"/>
  <c r="M378" i="22" s="1"/>
  <c r="AH378" i="22" s="1"/>
  <c r="T377" i="22"/>
  <c r="L377" i="22"/>
  <c r="M377" i="22" s="1"/>
  <c r="AH377" i="22" s="1"/>
  <c r="AB386" i="22"/>
  <c r="AC386" i="22" s="1"/>
  <c r="T386" i="22"/>
  <c r="L386" i="22"/>
  <c r="M386" i="22" s="1"/>
  <c r="AH386" i="22" s="1"/>
  <c r="AK4" i="22" l="1"/>
  <c r="AK150" i="22"/>
  <c r="AK416" i="22"/>
  <c r="AM7" i="22"/>
  <c r="AM96" i="22"/>
  <c r="AK96" i="22"/>
  <c r="AK17" i="22"/>
  <c r="AK32" i="22"/>
  <c r="AM427" i="22"/>
  <c r="AK11" i="22"/>
  <c r="AK37" i="22"/>
  <c r="AK25" i="22"/>
  <c r="AM45" i="22"/>
  <c r="AK50" i="22"/>
  <c r="AK388" i="22"/>
  <c r="AM464" i="22"/>
  <c r="AK407" i="22"/>
  <c r="AE447" i="22"/>
  <c r="AF447" i="22" s="1"/>
  <c r="AJ447" i="22"/>
  <c r="AM447" i="22" s="1"/>
  <c r="AE443" i="22"/>
  <c r="AF443" i="22" s="1"/>
  <c r="AK443" i="22"/>
  <c r="AM443" i="22"/>
  <c r="AD62" i="22"/>
  <c r="AE62" i="22" s="1"/>
  <c r="AF62" i="22" s="1"/>
  <c r="AE314" i="22"/>
  <c r="AF314" i="22" s="1"/>
  <c r="AJ314" i="22"/>
  <c r="AM314" i="22" s="1"/>
  <c r="AD364" i="22"/>
  <c r="AJ364" i="22" s="1"/>
  <c r="AD367" i="22"/>
  <c r="AJ367" i="22" s="1"/>
  <c r="AD368" i="22"/>
  <c r="AJ368" i="22" s="1"/>
  <c r="AD366" i="22"/>
  <c r="AJ366" i="22" s="1"/>
  <c r="AD493" i="22"/>
  <c r="AJ493" i="22" s="1"/>
  <c r="AD377" i="22"/>
  <c r="AE377" i="22" s="1"/>
  <c r="AF377" i="22" s="1"/>
  <c r="AD378" i="22"/>
  <c r="AJ378" i="22" s="1"/>
  <c r="AD386" i="22"/>
  <c r="AJ386" i="22" s="1"/>
  <c r="AM386" i="22" s="1"/>
  <c r="AK447" i="22" l="1"/>
  <c r="AK314" i="22"/>
  <c r="AE364" i="22"/>
  <c r="AF364" i="22" s="1"/>
  <c r="AE367" i="22"/>
  <c r="AF367" i="22" s="1"/>
  <c r="AE368" i="22"/>
  <c r="AF368" i="22" s="1"/>
  <c r="AM364" i="22"/>
  <c r="AK364" i="22"/>
  <c r="AK368" i="22"/>
  <c r="AM368" i="22"/>
  <c r="AM367" i="22"/>
  <c r="AK367" i="22"/>
  <c r="AE366" i="22"/>
  <c r="AF366" i="22" s="1"/>
  <c r="AM366" i="22"/>
  <c r="AK366" i="22"/>
  <c r="AJ62" i="22"/>
  <c r="AK62" i="22" s="1"/>
  <c r="AJ377" i="22"/>
  <c r="AK377" i="22" s="1"/>
  <c r="AE493" i="22"/>
  <c r="AF493" i="22" s="1"/>
  <c r="AM493" i="22"/>
  <c r="AK493" i="22"/>
  <c r="AE386" i="22"/>
  <c r="AF386" i="22" s="1"/>
  <c r="AE378" i="22"/>
  <c r="AF378" i="22" s="1"/>
  <c r="AK386" i="22"/>
  <c r="AM378" i="22"/>
  <c r="AK378" i="22"/>
  <c r="AM62" i="22" l="1"/>
  <c r="AM377" i="22"/>
  <c r="AB365" i="22"/>
  <c r="AC365" i="22" s="1"/>
  <c r="T365" i="22"/>
  <c r="L365" i="22"/>
  <c r="M365" i="22" s="1"/>
  <c r="AH365" i="22" s="1"/>
  <c r="AB74" i="22"/>
  <c r="AC74" i="22" s="1"/>
  <c r="T74" i="22"/>
  <c r="L74" i="22"/>
  <c r="M74" i="22" s="1"/>
  <c r="AH74" i="22" s="1"/>
  <c r="AB133" i="22"/>
  <c r="AC133" i="22" s="1"/>
  <c r="T133" i="22"/>
  <c r="J133" i="22"/>
  <c r="L133" i="22" s="1"/>
  <c r="M133" i="22" s="1"/>
  <c r="AH133" i="22" s="1"/>
  <c r="AB411" i="22"/>
  <c r="AC411" i="22" s="1"/>
  <c r="T411" i="22"/>
  <c r="L411" i="22"/>
  <c r="M411" i="22" s="1"/>
  <c r="AH411" i="22" s="1"/>
  <c r="AB413" i="22"/>
  <c r="AC413" i="22" s="1"/>
  <c r="T413" i="22"/>
  <c r="L413" i="22"/>
  <c r="M413" i="22" s="1"/>
  <c r="AH413" i="22" s="1"/>
  <c r="AB495" i="22"/>
  <c r="AC495" i="22" s="1"/>
  <c r="T495" i="22"/>
  <c r="L495" i="22"/>
  <c r="M495" i="22" s="1"/>
  <c r="AH495" i="22" s="1"/>
  <c r="AB490" i="22"/>
  <c r="AC490" i="22" s="1"/>
  <c r="L490" i="22"/>
  <c r="M490" i="22" s="1"/>
  <c r="AH490" i="22" s="1"/>
  <c r="AB215" i="22"/>
  <c r="AC215" i="22" s="1"/>
  <c r="T215" i="22"/>
  <c r="J215" i="22"/>
  <c r="L215" i="22" s="1"/>
  <c r="M215" i="22" s="1"/>
  <c r="AH215" i="22" s="1"/>
  <c r="AB212" i="22"/>
  <c r="AC212" i="22" s="1"/>
  <c r="T212" i="22"/>
  <c r="J212" i="22"/>
  <c r="L212" i="22" s="1"/>
  <c r="M212" i="22" s="1"/>
  <c r="AH212" i="22" s="1"/>
  <c r="AB332" i="22"/>
  <c r="AC332" i="22" s="1"/>
  <c r="T332" i="22"/>
  <c r="L332" i="22"/>
  <c r="M332" i="22" s="1"/>
  <c r="AH332" i="22" s="1"/>
  <c r="AB499" i="22"/>
  <c r="AC499" i="22" s="1"/>
  <c r="T499" i="22"/>
  <c r="L499" i="22"/>
  <c r="M499" i="22" s="1"/>
  <c r="AH499" i="22" s="1"/>
  <c r="AO438" i="22"/>
  <c r="AB438" i="22"/>
  <c r="AC438" i="22" s="1"/>
  <c r="T438" i="22"/>
  <c r="L438" i="22"/>
  <c r="M438" i="22" s="1"/>
  <c r="AO474" i="22"/>
  <c r="AB474" i="22"/>
  <c r="AC474" i="22" s="1"/>
  <c r="T474" i="22"/>
  <c r="L474" i="22"/>
  <c r="M474" i="22" s="1"/>
  <c r="AH474" i="22" s="1"/>
  <c r="AB449" i="22"/>
  <c r="AC449" i="22" s="1"/>
  <c r="T449" i="22"/>
  <c r="L449" i="22"/>
  <c r="M449" i="22" s="1"/>
  <c r="AH449" i="22" s="1"/>
  <c r="AB352" i="22"/>
  <c r="AC352" i="22" s="1"/>
  <c r="T352" i="22"/>
  <c r="L352" i="22"/>
  <c r="M352" i="22" s="1"/>
  <c r="AH352" i="22" s="1"/>
  <c r="AO109" i="22"/>
  <c r="AB109" i="22"/>
  <c r="AC109" i="22" s="1"/>
  <c r="T109" i="22"/>
  <c r="L109" i="22"/>
  <c r="M109" i="22" s="1"/>
  <c r="AH109" i="22" s="1"/>
  <c r="AB106" i="22"/>
  <c r="AC106" i="22" s="1"/>
  <c r="T106" i="22"/>
  <c r="L106" i="22"/>
  <c r="M106" i="22" s="1"/>
  <c r="AH106" i="22" s="1"/>
  <c r="AB136" i="22"/>
  <c r="AC136" i="22" s="1"/>
  <c r="T136" i="22"/>
  <c r="L136" i="22"/>
  <c r="M136" i="22" s="1"/>
  <c r="AH136" i="22" s="1"/>
  <c r="AL438" i="22" l="1"/>
  <c r="AH438" i="22"/>
  <c r="AD365" i="22"/>
  <c r="AJ365" i="22" s="1"/>
  <c r="AD74" i="22"/>
  <c r="AJ74" i="22" s="1"/>
  <c r="AD133" i="22"/>
  <c r="AD411" i="22"/>
  <c r="AJ411" i="22" s="1"/>
  <c r="AD495" i="22"/>
  <c r="AD413" i="22"/>
  <c r="AE413" i="22" s="1"/>
  <c r="AF413" i="22" s="1"/>
  <c r="AD490" i="22"/>
  <c r="AJ490" i="22" s="1"/>
  <c r="AD215" i="22"/>
  <c r="AE215" i="22" s="1"/>
  <c r="AD212" i="22"/>
  <c r="AE212" i="22" s="1"/>
  <c r="AF212" i="22" s="1"/>
  <c r="AD332" i="22"/>
  <c r="AJ332" i="22" s="1"/>
  <c r="AD499" i="22"/>
  <c r="AJ499" i="22" s="1"/>
  <c r="AD438" i="22"/>
  <c r="AE438" i="22" s="1"/>
  <c r="AF438" i="22" s="1"/>
  <c r="AD474" i="22"/>
  <c r="AP474" i="22" s="1"/>
  <c r="AD449" i="22"/>
  <c r="AJ449" i="22" s="1"/>
  <c r="AD352" i="22"/>
  <c r="AE352" i="22" s="1"/>
  <c r="AF352" i="22" s="1"/>
  <c r="AD109" i="22"/>
  <c r="AE109" i="22" s="1"/>
  <c r="AF109" i="22" s="1"/>
  <c r="AD106" i="22"/>
  <c r="AJ106" i="22" s="1"/>
  <c r="AM106" i="22" s="1"/>
  <c r="AD136" i="22"/>
  <c r="AJ136" i="22" s="1"/>
  <c r="AC379" i="22"/>
  <c r="T379" i="22"/>
  <c r="L379" i="22"/>
  <c r="M379" i="22" s="1"/>
  <c r="AH379" i="22" s="1"/>
  <c r="AO460" i="22"/>
  <c r="AB460" i="22"/>
  <c r="AC460" i="22" s="1"/>
  <c r="T460" i="22"/>
  <c r="L460" i="22"/>
  <c r="M460" i="22" s="1"/>
  <c r="AH460" i="22" s="1"/>
  <c r="AB454" i="22"/>
  <c r="AC454" i="22" s="1"/>
  <c r="T454" i="22"/>
  <c r="L454" i="22"/>
  <c r="M454" i="22" s="1"/>
  <c r="AH454" i="22" s="1"/>
  <c r="AE495" i="22" l="1"/>
  <c r="AF495" i="22" s="1"/>
  <c r="AE490" i="22"/>
  <c r="AF490" i="22" s="1"/>
  <c r="AJ438" i="22"/>
  <c r="AM438" i="22" s="1"/>
  <c r="AE411" i="22"/>
  <c r="AF411" i="22" s="1"/>
  <c r="AE365" i="22"/>
  <c r="AF365" i="22" s="1"/>
  <c r="AM365" i="22"/>
  <c r="AK365" i="22"/>
  <c r="AE74" i="22"/>
  <c r="AF74" i="22" s="1"/>
  <c r="AM74" i="22"/>
  <c r="AK74" i="22"/>
  <c r="AJ133" i="22"/>
  <c r="AE133" i="22"/>
  <c r="AF133" i="22" s="1"/>
  <c r="AM411" i="22"/>
  <c r="AK411" i="22"/>
  <c r="AJ495" i="22"/>
  <c r="AK495" i="22" s="1"/>
  <c r="AJ413" i="22"/>
  <c r="AM413" i="22" s="1"/>
  <c r="AJ352" i="22"/>
  <c r="AK352" i="22" s="1"/>
  <c r="AE474" i="22"/>
  <c r="AF474" i="22" s="1"/>
  <c r="AM490" i="22"/>
  <c r="AK490" i="22"/>
  <c r="AP438" i="22"/>
  <c r="AE499" i="22"/>
  <c r="AF499" i="22" s="1"/>
  <c r="AJ474" i="22"/>
  <c r="AM474" i="22" s="1"/>
  <c r="AE332" i="22"/>
  <c r="AF332" i="22" s="1"/>
  <c r="AM332" i="22"/>
  <c r="AK332" i="22"/>
  <c r="AK106" i="22"/>
  <c r="AE106" i="22"/>
  <c r="AF106" i="22" s="1"/>
  <c r="AM499" i="22"/>
  <c r="AK499" i="22"/>
  <c r="AE449" i="22"/>
  <c r="AF449" i="22" s="1"/>
  <c r="AM449" i="22"/>
  <c r="AK449" i="22"/>
  <c r="AJ109" i="22"/>
  <c r="AM109" i="22" s="1"/>
  <c r="AP109" i="22"/>
  <c r="AE136" i="22"/>
  <c r="AF136" i="22" s="1"/>
  <c r="AM136" i="22"/>
  <c r="AK136" i="22"/>
  <c r="AD379" i="22"/>
  <c r="AJ379" i="22" s="1"/>
  <c r="AD454" i="22"/>
  <c r="AJ454" i="22" s="1"/>
  <c r="AD460" i="22"/>
  <c r="AJ460" i="22" s="1"/>
  <c r="AK438" i="22" l="1"/>
  <c r="AK413" i="22"/>
  <c r="AM495" i="22"/>
  <c r="AM352" i="22"/>
  <c r="AM133" i="22"/>
  <c r="AK133" i="22"/>
  <c r="AP460" i="22"/>
  <c r="AK474" i="22"/>
  <c r="AE460" i="22"/>
  <c r="AF460" i="22" s="1"/>
  <c r="AE454" i="22"/>
  <c r="AF454" i="22" s="1"/>
  <c r="AK109" i="22"/>
  <c r="AE379" i="22"/>
  <c r="AF379" i="22" s="1"/>
  <c r="AK379" i="22"/>
  <c r="AM379" i="22"/>
  <c r="AK460" i="22"/>
  <c r="AM460" i="22"/>
  <c r="AM454" i="22"/>
  <c r="AK454" i="22"/>
  <c r="AO473" i="22" l="1"/>
  <c r="AB473" i="22"/>
  <c r="AC473" i="22" s="1"/>
  <c r="T473" i="22"/>
  <c r="L473" i="22"/>
  <c r="M473" i="22" s="1"/>
  <c r="AH473" i="22" s="1"/>
  <c r="AD473" i="22" l="1"/>
  <c r="AP473" i="22" s="1"/>
  <c r="AB489" i="22"/>
  <c r="AC489" i="22" s="1"/>
  <c r="L489" i="22"/>
  <c r="M489" i="22" s="1"/>
  <c r="AH489" i="22" s="1"/>
  <c r="AB393" i="22"/>
  <c r="AC393" i="22" s="1"/>
  <c r="L393" i="22"/>
  <c r="M393" i="22" s="1"/>
  <c r="AH393" i="22" s="1"/>
  <c r="I393" i="22"/>
  <c r="AO393" i="22" s="1"/>
  <c r="AC349" i="22"/>
  <c r="T349" i="22"/>
  <c r="L349" i="22"/>
  <c r="M349" i="22" s="1"/>
  <c r="AH349" i="22" s="1"/>
  <c r="AO108" i="22"/>
  <c r="AB108" i="22"/>
  <c r="AC108" i="22" s="1"/>
  <c r="T108" i="22"/>
  <c r="L108" i="22"/>
  <c r="M108" i="22" s="1"/>
  <c r="AH108" i="22" s="1"/>
  <c r="AE473" i="22" l="1"/>
  <c r="AF473" i="22" s="1"/>
  <c r="AJ473" i="22"/>
  <c r="AM473" i="22" s="1"/>
  <c r="AD489" i="22"/>
  <c r="AE489" i="22" s="1"/>
  <c r="AF489" i="22" s="1"/>
  <c r="AD393" i="22"/>
  <c r="AP393" i="22" s="1"/>
  <c r="AD349" i="22"/>
  <c r="AE349" i="22" s="1"/>
  <c r="AF349" i="22" s="1"/>
  <c r="AD108" i="22"/>
  <c r="AJ108" i="22" l="1"/>
  <c r="AK108" i="22" s="1"/>
  <c r="AE108" i="22"/>
  <c r="AF108" i="22" s="1"/>
  <c r="AJ489" i="22"/>
  <c r="AM489" i="22" s="1"/>
  <c r="AJ393" i="22"/>
  <c r="AM393" i="22" s="1"/>
  <c r="AK473" i="22"/>
  <c r="AE393" i="22"/>
  <c r="AF393" i="22" s="1"/>
  <c r="AJ349" i="22"/>
  <c r="AM349" i="22" s="1"/>
  <c r="AP108" i="22"/>
  <c r="AM108" i="22" l="1"/>
  <c r="AK489" i="22"/>
  <c r="AK393" i="22"/>
  <c r="AK349" i="22"/>
  <c r="AO87" i="22" l="1"/>
  <c r="AB87" i="22"/>
  <c r="AC87" i="22" s="1"/>
  <c r="T87" i="22"/>
  <c r="L87" i="22"/>
  <c r="M87" i="22" s="1"/>
  <c r="AH87" i="22" s="1"/>
  <c r="AO430" i="22"/>
  <c r="AB430" i="22"/>
  <c r="T430" i="22"/>
  <c r="L430" i="22"/>
  <c r="M430" i="22" s="1"/>
  <c r="AH430" i="22" s="1"/>
  <c r="AO504" i="22"/>
  <c r="AB504" i="22"/>
  <c r="AC504" i="22" s="1"/>
  <c r="L504" i="22"/>
  <c r="M504" i="22" s="1"/>
  <c r="AB382" i="22"/>
  <c r="AC382" i="22" s="1"/>
  <c r="T382" i="22"/>
  <c r="L382" i="22"/>
  <c r="M382" i="22" s="1"/>
  <c r="AH382" i="22" s="1"/>
  <c r="AO326" i="22"/>
  <c r="AB326" i="22"/>
  <c r="AC326" i="22" s="1"/>
  <c r="T326" i="22"/>
  <c r="L326" i="22"/>
  <c r="M326" i="22" s="1"/>
  <c r="AH326" i="22" s="1"/>
  <c r="L397" i="22"/>
  <c r="M397" i="22" s="1"/>
  <c r="AB397" i="22"/>
  <c r="AC397" i="22" s="1"/>
  <c r="AO397" i="22"/>
  <c r="AB396" i="22"/>
  <c r="AC396" i="22" s="1"/>
  <c r="L396" i="22"/>
  <c r="M396" i="22" s="1"/>
  <c r="AH396" i="22" s="1"/>
  <c r="AH397" i="22" l="1"/>
  <c r="AL504" i="22"/>
  <c r="AH504" i="22"/>
  <c r="AD87" i="22"/>
  <c r="AP87" i="22" s="1"/>
  <c r="AC430" i="22"/>
  <c r="AD430" i="22" s="1"/>
  <c r="AD504" i="22"/>
  <c r="AP504" i="22" s="1"/>
  <c r="AD382" i="22"/>
  <c r="AE382" i="22" s="1"/>
  <c r="AF382" i="22" s="1"/>
  <c r="AD326" i="22"/>
  <c r="AJ326" i="22" s="1"/>
  <c r="AD397" i="22"/>
  <c r="AD396" i="22"/>
  <c r="AE396" i="22" s="1"/>
  <c r="AB103" i="22"/>
  <c r="AC103" i="22" s="1"/>
  <c r="T103" i="22"/>
  <c r="L103" i="22"/>
  <c r="M103" i="22" s="1"/>
  <c r="AH103" i="22" s="1"/>
  <c r="AB115" i="22"/>
  <c r="AC115" i="22" s="1"/>
  <c r="T115" i="22"/>
  <c r="L115" i="22"/>
  <c r="M115" i="22" s="1"/>
  <c r="AO342" i="22"/>
  <c r="AB342" i="22"/>
  <c r="AC342" i="22" s="1"/>
  <c r="T342" i="22"/>
  <c r="L342" i="22"/>
  <c r="M342" i="22" s="1"/>
  <c r="AH342" i="22" s="1"/>
  <c r="AB458" i="22"/>
  <c r="AC458" i="22" s="1"/>
  <c r="T458" i="22"/>
  <c r="L458" i="22"/>
  <c r="M458" i="22" s="1"/>
  <c r="AH458" i="22" s="1"/>
  <c r="AL115" i="22" l="1"/>
  <c r="AH115" i="22"/>
  <c r="AE504" i="22"/>
  <c r="AF504" i="22" s="1"/>
  <c r="AE87" i="22"/>
  <c r="AF87" i="22" s="1"/>
  <c r="AJ504" i="22"/>
  <c r="AM504" i="22" s="1"/>
  <c r="AJ430" i="22"/>
  <c r="AM430" i="22" s="1"/>
  <c r="AP430" i="22"/>
  <c r="AE430" i="22"/>
  <c r="AF430" i="22" s="1"/>
  <c r="AP326" i="22"/>
  <c r="AE326" i="22"/>
  <c r="AF326" i="22" s="1"/>
  <c r="AJ382" i="22"/>
  <c r="AM382" i="22" s="1"/>
  <c r="AM326" i="22"/>
  <c r="AK326" i="22"/>
  <c r="AP397" i="22"/>
  <c r="AE397" i="22"/>
  <c r="AF397" i="22" s="1"/>
  <c r="AJ397" i="22"/>
  <c r="AD103" i="22"/>
  <c r="AJ103" i="22" s="1"/>
  <c r="AD115" i="22"/>
  <c r="AE115" i="22" s="1"/>
  <c r="AF115" i="22" s="1"/>
  <c r="AD342" i="22"/>
  <c r="AE342" i="22" s="1"/>
  <c r="AF342" i="22" s="1"/>
  <c r="AD458" i="22"/>
  <c r="AE458" i="22" s="1"/>
  <c r="AK430" i="22" l="1"/>
  <c r="AK504" i="22"/>
  <c r="AF458" i="22"/>
  <c r="AK382" i="22"/>
  <c r="AE103" i="22"/>
  <c r="AF103" i="22" s="1"/>
  <c r="AJ458" i="22"/>
  <c r="AM458" i="22" s="1"/>
  <c r="AJ115" i="22"/>
  <c r="AM115" i="22" s="1"/>
  <c r="AM397" i="22"/>
  <c r="AK397" i="22"/>
  <c r="AP342" i="22"/>
  <c r="AM103" i="22"/>
  <c r="AK103" i="22"/>
  <c r="AJ342" i="22"/>
  <c r="AM342" i="22" s="1"/>
  <c r="AK115" i="22" l="1"/>
  <c r="AK458" i="22"/>
  <c r="AK342" i="22"/>
  <c r="AB322" i="22" l="1"/>
  <c r="AC322" i="22" s="1"/>
  <c r="L322" i="22"/>
  <c r="M322" i="22" s="1"/>
  <c r="AH322" i="22" s="1"/>
  <c r="AB376" i="22"/>
  <c r="AC376" i="22" s="1"/>
  <c r="T376" i="22"/>
  <c r="L376" i="22"/>
  <c r="M376" i="22" s="1"/>
  <c r="AH376" i="22" s="1"/>
  <c r="AD322" i="22" l="1"/>
  <c r="AE322" i="22" s="1"/>
  <c r="AD376" i="22"/>
  <c r="AJ376" i="22" s="1"/>
  <c r="AJ322" i="22" l="1"/>
  <c r="AM322" i="22" s="1"/>
  <c r="AE376" i="22"/>
  <c r="AF376" i="22" s="1"/>
  <c r="AM376" i="22"/>
  <c r="AK376" i="22"/>
  <c r="AK322" i="22" l="1"/>
  <c r="AO224" i="22"/>
  <c r="AB224" i="22"/>
  <c r="AC224" i="22" s="1"/>
  <c r="L224" i="22"/>
  <c r="M224" i="22" s="1"/>
  <c r="AB218" i="22"/>
  <c r="AC218" i="22" s="1"/>
  <c r="T218" i="22"/>
  <c r="L218" i="22"/>
  <c r="M218" i="22" s="1"/>
  <c r="AB211" i="22"/>
  <c r="AC211" i="22" s="1"/>
  <c r="T211" i="22"/>
  <c r="J211" i="22"/>
  <c r="L211" i="22" s="1"/>
  <c r="M211" i="22" s="1"/>
  <c r="AH211" i="22" s="1"/>
  <c r="AB214" i="22"/>
  <c r="AC214" i="22" s="1"/>
  <c r="T214" i="22"/>
  <c r="J214" i="22"/>
  <c r="L214" i="22" s="1"/>
  <c r="M214" i="22" s="1"/>
  <c r="AH214" i="22" s="1"/>
  <c r="AO208" i="22"/>
  <c r="AB208" i="22"/>
  <c r="AC208" i="22" s="1"/>
  <c r="T208" i="22"/>
  <c r="L208" i="22"/>
  <c r="M208" i="22" s="1"/>
  <c r="AH208" i="22" s="1"/>
  <c r="AB250" i="22"/>
  <c r="AC250" i="22" s="1"/>
  <c r="L250" i="22"/>
  <c r="M250" i="22" s="1"/>
  <c r="AH250" i="22" s="1"/>
  <c r="AB253" i="22"/>
  <c r="AC253" i="22" s="1"/>
  <c r="L253" i="22"/>
  <c r="M253" i="22" s="1"/>
  <c r="AG253" i="22" s="1"/>
  <c r="AH253" i="22" s="1"/>
  <c r="AB238" i="22"/>
  <c r="AC238" i="22" s="1"/>
  <c r="L238" i="22"/>
  <c r="M238" i="22" s="1"/>
  <c r="AH238" i="22" s="1"/>
  <c r="AB351" i="22"/>
  <c r="AC351" i="22" s="1"/>
  <c r="T351" i="22"/>
  <c r="L351" i="22"/>
  <c r="M351" i="22" s="1"/>
  <c r="AH351" i="22" s="1"/>
  <c r="L249" i="22"/>
  <c r="M249" i="22" s="1"/>
  <c r="AB233" i="22"/>
  <c r="AC233" i="22" s="1"/>
  <c r="L233" i="22"/>
  <c r="M233" i="22" s="1"/>
  <c r="AH233" i="22" s="1"/>
  <c r="L252" i="22"/>
  <c r="M252" i="22" s="1"/>
  <c r="AG252" i="22" s="1"/>
  <c r="AB247" i="22"/>
  <c r="AC247" i="22" s="1"/>
  <c r="L247" i="22"/>
  <c r="M247" i="22" s="1"/>
  <c r="AH247" i="22" s="1"/>
  <c r="AB242" i="22"/>
  <c r="AC242" i="22" s="1"/>
  <c r="L242" i="22"/>
  <c r="M242" i="22" s="1"/>
  <c r="AH242" i="22" s="1"/>
  <c r="AB83" i="22"/>
  <c r="AC83" i="22" s="1"/>
  <c r="T83" i="22"/>
  <c r="L83" i="22"/>
  <c r="M83" i="22" s="1"/>
  <c r="AH83" i="22" s="1"/>
  <c r="AB81" i="22"/>
  <c r="AC81" i="22" s="1"/>
  <c r="T81" i="22"/>
  <c r="L81" i="22"/>
  <c r="M81" i="22" s="1"/>
  <c r="AH81" i="22" s="1"/>
  <c r="AB101" i="22"/>
  <c r="AC101" i="22" s="1"/>
  <c r="L101" i="22"/>
  <c r="M101" i="22" s="1"/>
  <c r="AH101" i="22" s="1"/>
  <c r="AB100" i="22"/>
  <c r="AC100" i="22" s="1"/>
  <c r="L100" i="22"/>
  <c r="M100" i="22" s="1"/>
  <c r="AH100" i="22" s="1"/>
  <c r="AO426" i="22"/>
  <c r="AB426" i="22"/>
  <c r="AC426" i="22" s="1"/>
  <c r="T426" i="22"/>
  <c r="L426" i="22"/>
  <c r="M426" i="22" s="1"/>
  <c r="AH426" i="22" s="1"/>
  <c r="AB466" i="22"/>
  <c r="AC466" i="22" s="1"/>
  <c r="T466" i="22"/>
  <c r="L466" i="22"/>
  <c r="M466" i="22" s="1"/>
  <c r="AH466" i="22" s="1"/>
  <c r="AB410" i="22"/>
  <c r="AC410" i="22" s="1"/>
  <c r="T410" i="22"/>
  <c r="L410" i="22"/>
  <c r="M410" i="22" s="1"/>
  <c r="AH410" i="22" s="1"/>
  <c r="AO406" i="22"/>
  <c r="AB406" i="22"/>
  <c r="AC406" i="22" s="1"/>
  <c r="T406" i="22"/>
  <c r="L406" i="22"/>
  <c r="M406" i="22" s="1"/>
  <c r="AB157" i="22"/>
  <c r="AC157" i="22" s="1"/>
  <c r="L157" i="22"/>
  <c r="M157" i="22" s="1"/>
  <c r="AH157" i="22" s="1"/>
  <c r="AL406" i="22" l="1"/>
  <c r="AH406" i="22"/>
  <c r="AL218" i="22"/>
  <c r="AH218" i="22"/>
  <c r="AL224" i="22"/>
  <c r="AH224" i="22"/>
  <c r="AD224" i="22"/>
  <c r="AP224" i="22" s="1"/>
  <c r="AD218" i="22"/>
  <c r="AE218" i="22" s="1"/>
  <c r="AF218" i="22" s="1"/>
  <c r="AD211" i="22"/>
  <c r="AE211" i="22" s="1"/>
  <c r="AF211" i="22" s="1"/>
  <c r="AD208" i="22"/>
  <c r="AE208" i="22" s="1"/>
  <c r="AF208" i="22" s="1"/>
  <c r="AD214" i="22"/>
  <c r="AE214" i="22" s="1"/>
  <c r="AD250" i="22"/>
  <c r="AJ250" i="22" s="1"/>
  <c r="AB252" i="22"/>
  <c r="AB249" i="22"/>
  <c r="AD253" i="22"/>
  <c r="AJ253" i="22" s="1"/>
  <c r="AD238" i="22"/>
  <c r="AJ238" i="22" s="1"/>
  <c r="AD351" i="22"/>
  <c r="AE351" i="22" s="1"/>
  <c r="AF351" i="22" s="1"/>
  <c r="AD247" i="22"/>
  <c r="AE247" i="22" s="1"/>
  <c r="AF247" i="22" s="1"/>
  <c r="AD233" i="22"/>
  <c r="AD242" i="22"/>
  <c r="AJ242" i="22" s="1"/>
  <c r="AD83" i="22"/>
  <c r="AJ83" i="22" s="1"/>
  <c r="AD81" i="22"/>
  <c r="AJ81" i="22" s="1"/>
  <c r="AD101" i="22"/>
  <c r="AE101" i="22" s="1"/>
  <c r="AF101" i="22" s="1"/>
  <c r="AD100" i="22"/>
  <c r="AJ100" i="22" s="1"/>
  <c r="AD406" i="22"/>
  <c r="AD426" i="22"/>
  <c r="AE426" i="22" s="1"/>
  <c r="AF426" i="22" s="1"/>
  <c r="AD410" i="22"/>
  <c r="AJ410" i="22" s="1"/>
  <c r="AD466" i="22"/>
  <c r="AE466" i="22" s="1"/>
  <c r="AF466" i="22" s="1"/>
  <c r="AD157" i="22"/>
  <c r="AJ157" i="22" s="1"/>
  <c r="AC249" i="22" l="1"/>
  <c r="AD249" i="22" s="1"/>
  <c r="AE249" i="22" s="1"/>
  <c r="AF249" i="22" s="1"/>
  <c r="AH249" i="22"/>
  <c r="AC252" i="22"/>
  <c r="AD252" i="22" s="1"/>
  <c r="AJ252" i="22" s="1"/>
  <c r="AH252" i="22"/>
  <c r="AP406" i="22"/>
  <c r="AE406" i="22"/>
  <c r="AF406" i="22" s="1"/>
  <c r="AE250" i="22"/>
  <c r="AF250" i="22" s="1"/>
  <c r="AJ218" i="22"/>
  <c r="AM218" i="22" s="1"/>
  <c r="AJ208" i="22"/>
  <c r="AM208" i="22" s="1"/>
  <c r="AP208" i="22"/>
  <c r="AE224" i="22"/>
  <c r="AF224" i="22" s="1"/>
  <c r="AJ224" i="22"/>
  <c r="AM224" i="22" s="1"/>
  <c r="AE238" i="22"/>
  <c r="AF238" i="22" s="1"/>
  <c r="AE253" i="22"/>
  <c r="AF253" i="22" s="1"/>
  <c r="AJ351" i="22"/>
  <c r="AM351" i="22" s="1"/>
  <c r="AK250" i="22"/>
  <c r="AM250" i="22"/>
  <c r="AE81" i="22"/>
  <c r="AF81" i="22" s="1"/>
  <c r="AM253" i="22"/>
  <c r="AK253" i="22"/>
  <c r="AM238" i="22"/>
  <c r="AK238" i="22"/>
  <c r="AJ249" i="22"/>
  <c r="AM249" i="22" s="1"/>
  <c r="AJ233" i="22"/>
  <c r="AK233" i="22" s="1"/>
  <c r="AE233" i="22"/>
  <c r="AF233" i="22" s="1"/>
  <c r="AJ426" i="22"/>
  <c r="AK426" i="22" s="1"/>
  <c r="AE83" i="22"/>
  <c r="AF83" i="22" s="1"/>
  <c r="AJ101" i="22"/>
  <c r="AM101" i="22" s="1"/>
  <c r="AE410" i="22"/>
  <c r="AF410" i="22" s="1"/>
  <c r="AJ247" i="22"/>
  <c r="AK247" i="22" s="1"/>
  <c r="AE252" i="22"/>
  <c r="AF252" i="22" s="1"/>
  <c r="AE242" i="22"/>
  <c r="AF242" i="22" s="1"/>
  <c r="AM252" i="22"/>
  <c r="AK252" i="22"/>
  <c r="AJ466" i="22"/>
  <c r="AM466" i="22" s="1"/>
  <c r="AP426" i="22"/>
  <c r="AJ406" i="22"/>
  <c r="AM406" i="22" s="1"/>
  <c r="AM242" i="22"/>
  <c r="AK242" i="22"/>
  <c r="AM83" i="22"/>
  <c r="AK83" i="22"/>
  <c r="AE157" i="22"/>
  <c r="AF157" i="22" s="1"/>
  <c r="AM81" i="22"/>
  <c r="AK81" i="22"/>
  <c r="AE100" i="22"/>
  <c r="AF100" i="22" s="1"/>
  <c r="AM100" i="22"/>
  <c r="AK100" i="22"/>
  <c r="AM410" i="22"/>
  <c r="AK410" i="22"/>
  <c r="AM157" i="22"/>
  <c r="AK157" i="22"/>
  <c r="AK208" i="22" l="1"/>
  <c r="AK218" i="22"/>
  <c r="AK224" i="22"/>
  <c r="AK249" i="22"/>
  <c r="AK101" i="22"/>
  <c r="AK351" i="22"/>
  <c r="AM426" i="22"/>
  <c r="AM233" i="22"/>
  <c r="AM247" i="22"/>
  <c r="AK406" i="22"/>
  <c r="AK466" i="22"/>
  <c r="AO49" i="22" l="1"/>
  <c r="AB49" i="22"/>
  <c r="AC49" i="22" s="1"/>
  <c r="T49" i="22"/>
  <c r="L49" i="22"/>
  <c r="M49" i="22" s="1"/>
  <c r="AH49" i="22" s="1"/>
  <c r="AO44" i="22"/>
  <c r="AB44" i="22"/>
  <c r="AC44" i="22" s="1"/>
  <c r="T44" i="22"/>
  <c r="L44" i="22"/>
  <c r="M44" i="22" s="1"/>
  <c r="AO40" i="22"/>
  <c r="AB40" i="22"/>
  <c r="AC40" i="22" s="1"/>
  <c r="T40" i="22"/>
  <c r="L40" i="22"/>
  <c r="M40" i="22" s="1"/>
  <c r="AH40" i="22" s="1"/>
  <c r="AO36" i="22"/>
  <c r="AB36" i="22"/>
  <c r="AC36" i="22" s="1"/>
  <c r="T36" i="22"/>
  <c r="L36" i="22"/>
  <c r="M36" i="22" s="1"/>
  <c r="AH36" i="22" s="1"/>
  <c r="AO31" i="22"/>
  <c r="AB31" i="22"/>
  <c r="AC31" i="22" s="1"/>
  <c r="T31" i="22"/>
  <c r="L31" i="22"/>
  <c r="M31" i="22" s="1"/>
  <c r="AH31" i="22" s="1"/>
  <c r="AL44" i="22" l="1"/>
  <c r="AH44" i="22"/>
  <c r="AD49" i="22"/>
  <c r="AP49" i="22" s="1"/>
  <c r="AD36" i="22"/>
  <c r="AP36" i="22" s="1"/>
  <c r="AD44" i="22"/>
  <c r="AD40" i="22"/>
  <c r="AJ40" i="22" s="1"/>
  <c r="AD31" i="22"/>
  <c r="AP31" i="22" s="1"/>
  <c r="AJ44" i="22" l="1"/>
  <c r="AK44" i="22" s="1"/>
  <c r="AE44" i="22"/>
  <c r="AF44" i="22" s="1"/>
  <c r="AE31" i="22"/>
  <c r="AF31" i="22" s="1"/>
  <c r="AP40" i="22"/>
  <c r="AJ31" i="22"/>
  <c r="AK31" i="22" s="1"/>
  <c r="AE40" i="22"/>
  <c r="AF40" i="22" s="1"/>
  <c r="AJ36" i="22"/>
  <c r="AM36" i="22" s="1"/>
  <c r="AE36" i="22"/>
  <c r="AF36" i="22" s="1"/>
  <c r="AE49" i="22"/>
  <c r="AF49" i="22" s="1"/>
  <c r="AJ49" i="22"/>
  <c r="AM49" i="22" s="1"/>
  <c r="AP44" i="22"/>
  <c r="AM40" i="22"/>
  <c r="AK40" i="22"/>
  <c r="AO24" i="22"/>
  <c r="AB24" i="22"/>
  <c r="AC24" i="22" s="1"/>
  <c r="T24" i="22"/>
  <c r="L24" i="22"/>
  <c r="M24" i="22" s="1"/>
  <c r="AH24" i="22" s="1"/>
  <c r="AM44" i="22" l="1"/>
  <c r="AM31" i="22"/>
  <c r="AK36" i="22"/>
  <c r="AK49" i="22"/>
  <c r="AD24" i="22"/>
  <c r="AJ24" i="22" s="1"/>
  <c r="AP24" i="22" l="1"/>
  <c r="AE24" i="22"/>
  <c r="AF24" i="22" s="1"/>
  <c r="AM24" i="22"/>
  <c r="AK24" i="22"/>
  <c r="AO20" i="22" l="1"/>
  <c r="AB20" i="22"/>
  <c r="AC20" i="22" s="1"/>
  <c r="T20" i="22"/>
  <c r="L20" i="22"/>
  <c r="M20" i="22" s="1"/>
  <c r="AH20" i="22" s="1"/>
  <c r="AO16" i="22"/>
  <c r="AB16" i="22"/>
  <c r="AC16" i="22" s="1"/>
  <c r="T16" i="22"/>
  <c r="L16" i="22"/>
  <c r="M16" i="22" s="1"/>
  <c r="AH16" i="22" s="1"/>
  <c r="AO10" i="22"/>
  <c r="AB10" i="22"/>
  <c r="AC10" i="22" s="1"/>
  <c r="T10" i="22"/>
  <c r="L10" i="22"/>
  <c r="M10" i="22" s="1"/>
  <c r="AO6" i="22"/>
  <c r="AB6" i="22"/>
  <c r="AC6" i="22" s="1"/>
  <c r="T6" i="22"/>
  <c r="L6" i="22"/>
  <c r="M6" i="22" s="1"/>
  <c r="AH6" i="22" s="1"/>
  <c r="AO3" i="22"/>
  <c r="AC3" i="22"/>
  <c r="T3" i="22"/>
  <c r="L3" i="22"/>
  <c r="M3" i="22" s="1"/>
  <c r="AH3" i="22" s="1"/>
  <c r="AB266" i="22"/>
  <c r="AC266" i="22" s="1"/>
  <c r="T266" i="22"/>
  <c r="L266" i="22"/>
  <c r="M266" i="22" s="1"/>
  <c r="AH266" i="22" s="1"/>
  <c r="L269" i="22"/>
  <c r="M269" i="22" s="1"/>
  <c r="T269" i="22"/>
  <c r="AB269" i="22"/>
  <c r="AC269" i="22" s="1"/>
  <c r="AB361" i="22"/>
  <c r="AC361" i="22" s="1"/>
  <c r="T361" i="22"/>
  <c r="L361" i="22"/>
  <c r="M361" i="22" s="1"/>
  <c r="AH361" i="22" s="1"/>
  <c r="AB372" i="22"/>
  <c r="AC372" i="22" s="1"/>
  <c r="T372" i="22"/>
  <c r="L372" i="22"/>
  <c r="M372" i="22" s="1"/>
  <c r="AH372" i="22" s="1"/>
  <c r="AB357" i="22"/>
  <c r="AC357" i="22" s="1"/>
  <c r="T357" i="22"/>
  <c r="L357" i="22"/>
  <c r="M357" i="22" s="1"/>
  <c r="AH357" i="22" s="1"/>
  <c r="AB190" i="22"/>
  <c r="AC190" i="22" s="1"/>
  <c r="T190" i="22"/>
  <c r="L190" i="22"/>
  <c r="M190" i="22" s="1"/>
  <c r="AH190" i="22" s="1"/>
  <c r="AB187" i="22"/>
  <c r="AC187" i="22" s="1"/>
  <c r="T187" i="22"/>
  <c r="L187" i="22"/>
  <c r="M187" i="22" s="1"/>
  <c r="AH187" i="22" s="1"/>
  <c r="AB181" i="22"/>
  <c r="AC181" i="22" s="1"/>
  <c r="T181" i="22"/>
  <c r="L181" i="22"/>
  <c r="M181" i="22" s="1"/>
  <c r="AH181" i="22" s="1"/>
  <c r="AO15" i="22"/>
  <c r="AB15" i="22"/>
  <c r="AC15" i="22" s="1"/>
  <c r="T15" i="22"/>
  <c r="L15" i="22"/>
  <c r="M15" i="22" s="1"/>
  <c r="AH15" i="22" s="1"/>
  <c r="AB331" i="22"/>
  <c r="AC331" i="22" s="1"/>
  <c r="T331" i="22"/>
  <c r="L331" i="22"/>
  <c r="M331" i="22" s="1"/>
  <c r="AH331" i="22" s="1"/>
  <c r="AB329" i="22"/>
  <c r="AC329" i="22" s="1"/>
  <c r="T329" i="22"/>
  <c r="L329" i="22"/>
  <c r="M329" i="22" s="1"/>
  <c r="AH329" i="22" s="1"/>
  <c r="AB363" i="22"/>
  <c r="AC363" i="22" s="1"/>
  <c r="T363" i="22"/>
  <c r="L363" i="22"/>
  <c r="M363" i="22" s="1"/>
  <c r="AH363" i="22" s="1"/>
  <c r="AB263" i="22"/>
  <c r="AC263" i="22" s="1"/>
  <c r="L263" i="22"/>
  <c r="M263" i="22" s="1"/>
  <c r="AH263" i="22" s="1"/>
  <c r="AB285" i="22"/>
  <c r="AC285" i="22" s="1"/>
  <c r="T285" i="22"/>
  <c r="L285" i="22"/>
  <c r="M285" i="22" s="1"/>
  <c r="AH285" i="22" s="1"/>
  <c r="AB279" i="22"/>
  <c r="AC279" i="22" s="1"/>
  <c r="T279" i="22"/>
  <c r="L279" i="22"/>
  <c r="M279" i="22" s="1"/>
  <c r="AH279" i="22" s="1"/>
  <c r="AB275" i="22"/>
  <c r="AC275" i="22" s="1"/>
  <c r="L275" i="22"/>
  <c r="M275" i="22" s="1"/>
  <c r="AH275" i="22" s="1"/>
  <c r="AB128" i="22"/>
  <c r="AC128" i="22" s="1"/>
  <c r="L128" i="22"/>
  <c r="M128" i="22" s="1"/>
  <c r="AH128" i="22" s="1"/>
  <c r="AO35" i="22"/>
  <c r="AB35" i="22"/>
  <c r="AC35" i="22" s="1"/>
  <c r="T35" i="22"/>
  <c r="L35" i="22"/>
  <c r="M35" i="22" s="1"/>
  <c r="AH35" i="22" s="1"/>
  <c r="AO30" i="22"/>
  <c r="AB30" i="22"/>
  <c r="AC30" i="22" s="1"/>
  <c r="T30" i="22"/>
  <c r="L30" i="22"/>
  <c r="M30" i="22" s="1"/>
  <c r="AH30" i="22" s="1"/>
  <c r="AB132" i="22"/>
  <c r="AC132" i="22" s="1"/>
  <c r="T132" i="22"/>
  <c r="J132" i="22"/>
  <c r="L132" i="22" s="1"/>
  <c r="M132" i="22" s="1"/>
  <c r="AH132" i="22" s="1"/>
  <c r="AB112" i="22"/>
  <c r="AC112" i="22" s="1"/>
  <c r="AB111" i="22"/>
  <c r="AC111" i="22" s="1"/>
  <c r="L321" i="22"/>
  <c r="M321" i="22" s="1"/>
  <c r="AB321" i="22"/>
  <c r="AC321" i="22" s="1"/>
  <c r="AB394" i="22"/>
  <c r="AC394" i="22" s="1"/>
  <c r="AO43" i="22"/>
  <c r="AB43" i="22"/>
  <c r="AC43" i="22" s="1"/>
  <c r="T43" i="22"/>
  <c r="L43" i="22"/>
  <c r="M43" i="22" s="1"/>
  <c r="AB395" i="22"/>
  <c r="AC395" i="22" s="1"/>
  <c r="AO325" i="22"/>
  <c r="AB325" i="22"/>
  <c r="AC325" i="22" s="1"/>
  <c r="T325" i="22"/>
  <c r="L325" i="22"/>
  <c r="M325" i="22" s="1"/>
  <c r="AH325" i="22" s="1"/>
  <c r="AB392" i="22"/>
  <c r="AC392" i="22" s="1"/>
  <c r="L392" i="22"/>
  <c r="M392" i="22" s="1"/>
  <c r="I392" i="22"/>
  <c r="AO392" i="22" s="1"/>
  <c r="AB391" i="22"/>
  <c r="AC391" i="22" s="1"/>
  <c r="L391" i="22"/>
  <c r="M391" i="22" s="1"/>
  <c r="AH391" i="22" s="1"/>
  <c r="I391" i="22"/>
  <c r="AO391" i="22" s="1"/>
  <c r="AB158" i="22"/>
  <c r="AC158" i="22" s="1"/>
  <c r="L158" i="22"/>
  <c r="M158" i="22" s="1"/>
  <c r="AH158" i="22" s="1"/>
  <c r="AB153" i="22"/>
  <c r="AC153" i="22" s="1"/>
  <c r="T153" i="22"/>
  <c r="L153" i="22"/>
  <c r="M153" i="22" s="1"/>
  <c r="AH153" i="22" s="1"/>
  <c r="AO149" i="22"/>
  <c r="AB149" i="22"/>
  <c r="AC149" i="22" s="1"/>
  <c r="L149" i="22"/>
  <c r="M149" i="22" s="1"/>
  <c r="AB483" i="22"/>
  <c r="AC483" i="22" s="1"/>
  <c r="T483" i="22"/>
  <c r="L483" i="22"/>
  <c r="M483" i="22" s="1"/>
  <c r="AH483" i="22" s="1"/>
  <c r="AL149" i="22" l="1"/>
  <c r="AH149" i="22"/>
  <c r="AL392" i="22"/>
  <c r="AH392" i="22"/>
  <c r="AL43" i="22"/>
  <c r="AH43" i="22"/>
  <c r="AH321" i="22"/>
  <c r="AH269" i="22"/>
  <c r="AL10" i="22"/>
  <c r="AH10" i="22"/>
  <c r="AD321" i="22"/>
  <c r="AE321" i="22" s="1"/>
  <c r="AD20" i="22"/>
  <c r="AP20" i="22" s="1"/>
  <c r="AD6" i="22"/>
  <c r="AJ6" i="22" s="1"/>
  <c r="AD10" i="22"/>
  <c r="AP10" i="22" s="1"/>
  <c r="AD269" i="22"/>
  <c r="AJ269" i="22" s="1"/>
  <c r="AK269" i="22" s="1"/>
  <c r="AD16" i="22"/>
  <c r="AP16" i="22" s="1"/>
  <c r="AD3" i="22"/>
  <c r="AE3" i="22" s="1"/>
  <c r="AF3" i="22" s="1"/>
  <c r="AD266" i="22"/>
  <c r="AJ266" i="22" s="1"/>
  <c r="AD361" i="22"/>
  <c r="AJ361" i="22" s="1"/>
  <c r="AD372" i="22"/>
  <c r="AJ372" i="22" s="1"/>
  <c r="AD357" i="22"/>
  <c r="AE357" i="22" s="1"/>
  <c r="AF357" i="22" s="1"/>
  <c r="AD190" i="22"/>
  <c r="AE190" i="22" s="1"/>
  <c r="AF190" i="22" s="1"/>
  <c r="AD187" i="22"/>
  <c r="AE187" i="22" s="1"/>
  <c r="AF187" i="22" s="1"/>
  <c r="AD181" i="22"/>
  <c r="AJ181" i="22" s="1"/>
  <c r="AD15" i="22"/>
  <c r="AE15" i="22" s="1"/>
  <c r="AF15" i="22" s="1"/>
  <c r="AD329" i="22"/>
  <c r="AE329" i="22" s="1"/>
  <c r="AF329" i="22" s="1"/>
  <c r="AD331" i="22"/>
  <c r="AJ331" i="22" s="1"/>
  <c r="AD363" i="22"/>
  <c r="AE363" i="22" s="1"/>
  <c r="AF363" i="22" s="1"/>
  <c r="AD263" i="22"/>
  <c r="AJ263" i="22" s="1"/>
  <c r="AD279" i="22"/>
  <c r="AJ279" i="22" s="1"/>
  <c r="AD285" i="22"/>
  <c r="AJ285" i="22" s="1"/>
  <c r="AD275" i="22"/>
  <c r="AE275" i="22" s="1"/>
  <c r="AF275" i="22" s="1"/>
  <c r="AD128" i="22"/>
  <c r="AJ128" i="22" s="1"/>
  <c r="AD35" i="22"/>
  <c r="AE35" i="22" s="1"/>
  <c r="AF35" i="22" s="1"/>
  <c r="AD30" i="22"/>
  <c r="AJ30" i="22" s="1"/>
  <c r="AD132" i="22"/>
  <c r="AD325" i="22"/>
  <c r="AJ325" i="22" s="1"/>
  <c r="AD43" i="22"/>
  <c r="AP43" i="22" s="1"/>
  <c r="AD158" i="22"/>
  <c r="AE158" i="22" s="1"/>
  <c r="AF158" i="22" s="1"/>
  <c r="AD392" i="22"/>
  <c r="AJ392" i="22" s="1"/>
  <c r="AD391" i="22"/>
  <c r="AP391" i="22" s="1"/>
  <c r="AD153" i="22"/>
  <c r="AJ153" i="22" s="1"/>
  <c r="AD149" i="22"/>
  <c r="AP149" i="22" s="1"/>
  <c r="AD483" i="22"/>
  <c r="AE483" i="22" s="1"/>
  <c r="AF483" i="22" s="1"/>
  <c r="AJ3" i="22" l="1"/>
  <c r="AK3" i="22" s="1"/>
  <c r="AP3" i="22"/>
  <c r="AE269" i="22"/>
  <c r="AF269" i="22" s="1"/>
  <c r="AE6" i="22"/>
  <c r="AF6" i="22" s="1"/>
  <c r="AP6" i="22"/>
  <c r="AJ10" i="22"/>
  <c r="AM10" i="22" s="1"/>
  <c r="AE10" i="22"/>
  <c r="AF10" i="22" s="1"/>
  <c r="AP15" i="22"/>
  <c r="AJ20" i="22"/>
  <c r="AK20" i="22" s="1"/>
  <c r="AE20" i="22"/>
  <c r="AF20" i="22" s="1"/>
  <c r="AE16" i="22"/>
  <c r="AF16" i="22" s="1"/>
  <c r="AJ16" i="22"/>
  <c r="AM16" i="22" s="1"/>
  <c r="AE266" i="22"/>
  <c r="AF266" i="22" s="1"/>
  <c r="AJ187" i="22"/>
  <c r="AM187" i="22" s="1"/>
  <c r="AM269" i="22"/>
  <c r="AJ15" i="22"/>
  <c r="AM15" i="22" s="1"/>
  <c r="AM6" i="22"/>
  <c r="AK6" i="22"/>
  <c r="AK266" i="22"/>
  <c r="AM266" i="22"/>
  <c r="AE361" i="22"/>
  <c r="AF361" i="22" s="1"/>
  <c r="AE372" i="22"/>
  <c r="AF372" i="22" s="1"/>
  <c r="AM361" i="22"/>
  <c r="AK361" i="22"/>
  <c r="AM372" i="22"/>
  <c r="AK372" i="22"/>
  <c r="AJ190" i="22"/>
  <c r="AM190" i="22" s="1"/>
  <c r="AJ275" i="22"/>
  <c r="AM275" i="22" s="1"/>
  <c r="AJ329" i="22"/>
  <c r="AK329" i="22" s="1"/>
  <c r="AE181" i="22"/>
  <c r="AF181" i="22" s="1"/>
  <c r="AM181" i="22"/>
  <c r="AK181" i="22"/>
  <c r="AJ363" i="22"/>
  <c r="AM363" i="22" s="1"/>
  <c r="AE331" i="22"/>
  <c r="AF331" i="22" s="1"/>
  <c r="AM331" i="22"/>
  <c r="AK331" i="22"/>
  <c r="AE279" i="22"/>
  <c r="AF279" i="22" s="1"/>
  <c r="AJ35" i="22"/>
  <c r="AM35" i="22" s="1"/>
  <c r="AP35" i="22"/>
  <c r="AE285" i="22"/>
  <c r="AF285" i="22" s="1"/>
  <c r="AE263" i="22"/>
  <c r="AF263" i="22" s="1"/>
  <c r="AE128" i="22"/>
  <c r="AE30" i="22"/>
  <c r="AF30" i="22" s="1"/>
  <c r="AM263" i="22"/>
  <c r="AK263" i="22"/>
  <c r="AK285" i="22"/>
  <c r="AM285" i="22"/>
  <c r="AM279" i="22"/>
  <c r="AK279" i="22"/>
  <c r="AJ43" i="22"/>
  <c r="AK43" i="22" s="1"/>
  <c r="AP30" i="22"/>
  <c r="AP325" i="22"/>
  <c r="AM128" i="22"/>
  <c r="AK128" i="22"/>
  <c r="AE392" i="22"/>
  <c r="AF392" i="22" s="1"/>
  <c r="AE391" i="22"/>
  <c r="AF391" i="22" s="1"/>
  <c r="AJ391" i="22"/>
  <c r="AM391" i="22" s="1"/>
  <c r="AP392" i="22"/>
  <c r="AK30" i="22"/>
  <c r="AM30" i="22"/>
  <c r="AE43" i="22"/>
  <c r="AF43" i="22" s="1"/>
  <c r="AJ132" i="22"/>
  <c r="AE132" i="22"/>
  <c r="AF132" i="22" s="1"/>
  <c r="AE325" i="22"/>
  <c r="AF325" i="22" s="1"/>
  <c r="AJ158" i="22"/>
  <c r="AM158" i="22" s="1"/>
  <c r="AE149" i="22"/>
  <c r="AF149" i="22" s="1"/>
  <c r="AM325" i="22"/>
  <c r="AK325" i="22"/>
  <c r="AM392" i="22"/>
  <c r="AK392" i="22"/>
  <c r="AE153" i="22"/>
  <c r="AF153" i="22" s="1"/>
  <c r="AM153" i="22"/>
  <c r="AK153" i="22"/>
  <c r="AJ149" i="22"/>
  <c r="AM149" i="22" s="1"/>
  <c r="AM3" i="22" l="1"/>
  <c r="AK10" i="22"/>
  <c r="AK187" i="22"/>
  <c r="AM20" i="22"/>
  <c r="AK190" i="22"/>
  <c r="AK16" i="22"/>
  <c r="AK15" i="22"/>
  <c r="AK275" i="22"/>
  <c r="AM329" i="22"/>
  <c r="AK363" i="22"/>
  <c r="AK35" i="22"/>
  <c r="AM43" i="22"/>
  <c r="AK391" i="22"/>
  <c r="AK158" i="22"/>
  <c r="AM132" i="22"/>
  <c r="AK132" i="22"/>
  <c r="AK149" i="22"/>
  <c r="AB170" i="22" l="1"/>
  <c r="AC170" i="22" s="1"/>
  <c r="AB177" i="22"/>
  <c r="T177" i="22"/>
  <c r="L177" i="22"/>
  <c r="M177" i="22" s="1"/>
  <c r="AO222" i="22"/>
  <c r="AB222" i="22"/>
  <c r="AC222" i="22" s="1"/>
  <c r="L222" i="22"/>
  <c r="M222" i="22" s="1"/>
  <c r="AB203" i="22"/>
  <c r="AC203" i="22" s="1"/>
  <c r="T203" i="22"/>
  <c r="L203" i="22"/>
  <c r="M203" i="22" s="1"/>
  <c r="AB206" i="22"/>
  <c r="AC206" i="22" s="1"/>
  <c r="T206" i="22"/>
  <c r="L206" i="22"/>
  <c r="M206" i="22" s="1"/>
  <c r="AH206" i="22" s="1"/>
  <c r="AB259" i="22"/>
  <c r="AC259" i="22" s="1"/>
  <c r="L259" i="22"/>
  <c r="M259" i="22" s="1"/>
  <c r="AH259" i="22" s="1"/>
  <c r="AB237" i="22"/>
  <c r="AC237" i="22" s="1"/>
  <c r="L237" i="22"/>
  <c r="M237" i="22" s="1"/>
  <c r="AH237" i="22" s="1"/>
  <c r="AB246" i="22"/>
  <c r="AC246" i="22" s="1"/>
  <c r="L246" i="22"/>
  <c r="M246" i="22" s="1"/>
  <c r="AH246" i="22" s="1"/>
  <c r="AB241" i="22"/>
  <c r="AC241" i="22" s="1"/>
  <c r="L241" i="22"/>
  <c r="M241" i="22" s="1"/>
  <c r="AH241" i="22" s="1"/>
  <c r="AB419" i="22"/>
  <c r="AC419" i="22" s="1"/>
  <c r="T419" i="22"/>
  <c r="L419" i="22"/>
  <c r="M419" i="22" s="1"/>
  <c r="AH419" i="22" s="1"/>
  <c r="AO9" i="22"/>
  <c r="AB9" i="22"/>
  <c r="AC9" i="22" s="1"/>
  <c r="T9" i="22"/>
  <c r="L9" i="22"/>
  <c r="M9" i="22" s="1"/>
  <c r="AB289" i="22"/>
  <c r="AC289" i="22" s="1"/>
  <c r="T289" i="22"/>
  <c r="L289" i="22"/>
  <c r="M289" i="22" s="1"/>
  <c r="AH289" i="22" s="1"/>
  <c r="AB281" i="22"/>
  <c r="AC281" i="22" s="1"/>
  <c r="T281" i="22"/>
  <c r="L281" i="22"/>
  <c r="M281" i="22" s="1"/>
  <c r="AH281" i="22" s="1"/>
  <c r="AB350" i="22"/>
  <c r="AC350" i="22" s="1"/>
  <c r="AB421" i="22"/>
  <c r="AC421" i="22" s="1"/>
  <c r="T421" i="22"/>
  <c r="L421" i="22"/>
  <c r="M421" i="22" s="1"/>
  <c r="AH421" i="22" s="1"/>
  <c r="AB375" i="22"/>
  <c r="AC375" i="22" s="1"/>
  <c r="T375" i="22"/>
  <c r="L375" i="22"/>
  <c r="M375" i="22" s="1"/>
  <c r="AH375" i="22" s="1"/>
  <c r="AO207" i="22"/>
  <c r="AB207" i="22"/>
  <c r="AC207" i="22" s="1"/>
  <c r="T207" i="22"/>
  <c r="L207" i="22"/>
  <c r="M207" i="22" s="1"/>
  <c r="AH207" i="22" s="1"/>
  <c r="AB197" i="22"/>
  <c r="AC197" i="22" s="1"/>
  <c r="T197" i="22"/>
  <c r="L197" i="22"/>
  <c r="M197" i="22" s="1"/>
  <c r="AO148" i="22"/>
  <c r="AB148" i="22"/>
  <c r="AC148" i="22" s="1"/>
  <c r="L148" i="22"/>
  <c r="M148" i="22" s="1"/>
  <c r="AB415" i="22"/>
  <c r="AC415" i="22" s="1"/>
  <c r="T415" i="22"/>
  <c r="L415" i="22"/>
  <c r="M415" i="22" s="1"/>
  <c r="AC317" i="22"/>
  <c r="T317" i="22"/>
  <c r="L317" i="22"/>
  <c r="M317" i="22" s="1"/>
  <c r="AL317" i="22" l="1"/>
  <c r="AH317" i="22"/>
  <c r="AL415" i="22"/>
  <c r="AH415" i="22"/>
  <c r="AL148" i="22"/>
  <c r="AH148" i="22"/>
  <c r="AL197" i="22"/>
  <c r="AH197" i="22"/>
  <c r="AL9" i="22"/>
  <c r="AH9" i="22"/>
  <c r="AL203" i="22"/>
  <c r="AH203" i="22"/>
  <c r="AL222" i="22"/>
  <c r="AH222" i="22"/>
  <c r="AL177" i="22"/>
  <c r="AH177" i="22"/>
  <c r="AC177" i="22"/>
  <c r="AD177" i="22" s="1"/>
  <c r="AD203" i="22"/>
  <c r="AJ203" i="22" s="1"/>
  <c r="AD222" i="22"/>
  <c r="AP222" i="22" s="1"/>
  <c r="AD237" i="22"/>
  <c r="AJ237" i="22" s="1"/>
  <c r="AD259" i="22"/>
  <c r="AJ259" i="22" s="1"/>
  <c r="AD206" i="22"/>
  <c r="AE206" i="22" s="1"/>
  <c r="AF206" i="22" s="1"/>
  <c r="AD246" i="22"/>
  <c r="AJ246" i="22" s="1"/>
  <c r="AD419" i="22"/>
  <c r="AE419" i="22" s="1"/>
  <c r="AF419" i="22" s="1"/>
  <c r="AD241" i="22"/>
  <c r="AJ241" i="22" s="1"/>
  <c r="AD9" i="22"/>
  <c r="AP9" i="22" s="1"/>
  <c r="AD421" i="22"/>
  <c r="AJ421" i="22" s="1"/>
  <c r="AD289" i="22"/>
  <c r="AE289" i="22" s="1"/>
  <c r="AF289" i="22" s="1"/>
  <c r="AD281" i="22"/>
  <c r="AE281" i="22" s="1"/>
  <c r="AF281" i="22" s="1"/>
  <c r="AD375" i="22"/>
  <c r="AJ375" i="22" s="1"/>
  <c r="AD207" i="22"/>
  <c r="AJ207" i="22" s="1"/>
  <c r="AD197" i="22"/>
  <c r="AE197" i="22" s="1"/>
  <c r="AF197" i="22" s="1"/>
  <c r="AD148" i="22"/>
  <c r="AP148" i="22" s="1"/>
  <c r="AD415" i="22"/>
  <c r="AJ415" i="22" s="1"/>
  <c r="AD317" i="22"/>
  <c r="AJ317" i="22" s="1"/>
  <c r="AE203" i="22" l="1"/>
  <c r="AF203" i="22" s="1"/>
  <c r="AJ206" i="22"/>
  <c r="AM206" i="22" s="1"/>
  <c r="AJ419" i="22"/>
  <c r="AM419" i="22" s="1"/>
  <c r="AE177" i="22"/>
  <c r="AF177" i="22" s="1"/>
  <c r="AJ177" i="22"/>
  <c r="AK177" i="22" s="1"/>
  <c r="AE246" i="22"/>
  <c r="AF246" i="22" s="1"/>
  <c r="AE222" i="22"/>
  <c r="AF222" i="22" s="1"/>
  <c r="AJ222" i="22"/>
  <c r="AM222" i="22" s="1"/>
  <c r="AE237" i="22"/>
  <c r="AF237" i="22" s="1"/>
  <c r="AE259" i="22"/>
  <c r="AF259" i="22" s="1"/>
  <c r="AM203" i="22"/>
  <c r="AK203" i="22"/>
  <c r="AE421" i="22"/>
  <c r="AF421" i="22" s="1"/>
  <c r="AM259" i="22"/>
  <c r="AK259" i="22"/>
  <c r="AK237" i="22"/>
  <c r="AM237" i="22"/>
  <c r="AE241" i="22"/>
  <c r="AF241" i="22" s="1"/>
  <c r="AK246" i="22"/>
  <c r="AM246" i="22"/>
  <c r="AJ289" i="22"/>
  <c r="AM289" i="22" s="1"/>
  <c r="AE207" i="22"/>
  <c r="AF207" i="22" s="1"/>
  <c r="AP207" i="22"/>
  <c r="AK241" i="22"/>
  <c r="AM241" i="22"/>
  <c r="AE9" i="22"/>
  <c r="AF9" i="22" s="1"/>
  <c r="AJ9" i="22"/>
  <c r="AK9" i="22" s="1"/>
  <c r="AJ197" i="22"/>
  <c r="AM197" i="22" s="1"/>
  <c r="AJ148" i="22"/>
  <c r="AM148" i="22" s="1"/>
  <c r="AE148" i="22"/>
  <c r="AF148" i="22" s="1"/>
  <c r="AM421" i="22"/>
  <c r="AK421" i="22"/>
  <c r="AE415" i="22"/>
  <c r="AF415" i="22" s="1"/>
  <c r="AE375" i="22"/>
  <c r="AF375" i="22" s="1"/>
  <c r="AM375" i="22"/>
  <c r="AK375" i="22"/>
  <c r="AM207" i="22"/>
  <c r="AK207" i="22"/>
  <c r="AE317" i="22"/>
  <c r="AF317" i="22" s="1"/>
  <c r="AM415" i="22"/>
  <c r="AK415" i="22"/>
  <c r="AM317" i="22"/>
  <c r="AK317" i="22"/>
  <c r="AK206" i="22" l="1"/>
  <c r="AK419" i="22"/>
  <c r="AK222" i="22"/>
  <c r="AM177" i="22"/>
  <c r="AK289" i="22"/>
  <c r="AM9" i="22"/>
  <c r="AK197" i="22"/>
  <c r="AK148" i="22"/>
  <c r="AB162" i="22"/>
  <c r="M162" i="22"/>
  <c r="AH162" i="22" s="1"/>
  <c r="AB273" i="22"/>
  <c r="AC273" i="22" s="1"/>
  <c r="L273" i="22"/>
  <c r="M273" i="22" s="1"/>
  <c r="AH273" i="22" s="1"/>
  <c r="AB277" i="22"/>
  <c r="AC277" i="22" s="1"/>
  <c r="T277" i="22"/>
  <c r="L277" i="22"/>
  <c r="M277" i="22" s="1"/>
  <c r="AH277" i="22" s="1"/>
  <c r="J210" i="22"/>
  <c r="L210" i="22" s="1"/>
  <c r="M210" i="22" s="1"/>
  <c r="J209" i="22"/>
  <c r="AB210" i="22"/>
  <c r="AC210" i="22" s="1"/>
  <c r="T210" i="22"/>
  <c r="AB232" i="22"/>
  <c r="AC232" i="22" s="1"/>
  <c r="L232" i="22"/>
  <c r="AO223" i="22"/>
  <c r="AB223" i="22"/>
  <c r="AC223" i="22" s="1"/>
  <c r="L223" i="22"/>
  <c r="M223" i="22" s="1"/>
  <c r="AB245" i="22"/>
  <c r="AC245" i="22" s="1"/>
  <c r="L245" i="22"/>
  <c r="M245" i="22" s="1"/>
  <c r="AH245" i="22" s="1"/>
  <c r="AB61" i="22"/>
  <c r="AC61" i="22" s="1"/>
  <c r="T61" i="22"/>
  <c r="L61" i="22"/>
  <c r="M61" i="22" s="1"/>
  <c r="AH61" i="22" s="1"/>
  <c r="AB102" i="22"/>
  <c r="AC102" i="22" s="1"/>
  <c r="T102" i="22"/>
  <c r="L102" i="22"/>
  <c r="M102" i="22" s="1"/>
  <c r="AH102" i="22" s="1"/>
  <c r="L98" i="22"/>
  <c r="M98" i="22" s="1"/>
  <c r="AB98" i="22"/>
  <c r="AC98" i="22" s="1"/>
  <c r="AB99" i="22"/>
  <c r="AC99" i="22" s="1"/>
  <c r="L99" i="22"/>
  <c r="M99" i="22" s="1"/>
  <c r="AH99" i="22" s="1"/>
  <c r="AO437" i="22"/>
  <c r="AB437" i="22"/>
  <c r="AC437" i="22" s="1"/>
  <c r="T437" i="22"/>
  <c r="L437" i="22"/>
  <c r="M437" i="22" s="1"/>
  <c r="AB459" i="22"/>
  <c r="AC459" i="22" s="1"/>
  <c r="AB57" i="22"/>
  <c r="AC57" i="22" s="1"/>
  <c r="T57" i="22"/>
  <c r="L57" i="22"/>
  <c r="M57" i="22" s="1"/>
  <c r="AH57" i="22" s="1"/>
  <c r="AB54" i="22"/>
  <c r="AC54" i="22" s="1"/>
  <c r="T54" i="22"/>
  <c r="L54" i="22"/>
  <c r="M54" i="22" s="1"/>
  <c r="AH54" i="22" s="1"/>
  <c r="L420" i="22"/>
  <c r="M420" i="22" s="1"/>
  <c r="T420" i="22"/>
  <c r="AB420" i="22"/>
  <c r="AC420" i="22" s="1"/>
  <c r="AH420" i="22" l="1"/>
  <c r="AL437" i="22"/>
  <c r="AH437" i="22"/>
  <c r="AH98" i="22"/>
  <c r="AL223" i="22"/>
  <c r="AH223" i="22"/>
  <c r="AH210" i="22"/>
  <c r="AC162" i="22"/>
  <c r="AD162" i="22" s="1"/>
  <c r="AE162" i="22" s="1"/>
  <c r="AF162" i="22" s="1"/>
  <c r="M232" i="22"/>
  <c r="AH232" i="22" s="1"/>
  <c r="AD232" i="22"/>
  <c r="AE232" i="22" s="1"/>
  <c r="AF232" i="22" s="1"/>
  <c r="AD98" i="22"/>
  <c r="AE98" i="22" s="1"/>
  <c r="AF98" i="22" s="1"/>
  <c r="AD273" i="22"/>
  <c r="AJ273" i="22" s="1"/>
  <c r="AD277" i="22"/>
  <c r="AJ277" i="22" s="1"/>
  <c r="AD210" i="22"/>
  <c r="AE210" i="22" s="1"/>
  <c r="AF210" i="22" s="1"/>
  <c r="AD223" i="22"/>
  <c r="AP223" i="22" s="1"/>
  <c r="AD245" i="22"/>
  <c r="AJ245" i="22" s="1"/>
  <c r="AD61" i="22"/>
  <c r="AJ61" i="22" s="1"/>
  <c r="AD102" i="22"/>
  <c r="AJ102" i="22" s="1"/>
  <c r="AD99" i="22"/>
  <c r="AE99" i="22" s="1"/>
  <c r="AF99" i="22" s="1"/>
  <c r="AD437" i="22"/>
  <c r="AJ437" i="22" s="1"/>
  <c r="AD420" i="22"/>
  <c r="AJ420" i="22" s="1"/>
  <c r="AD57" i="22"/>
  <c r="AE57" i="22" s="1"/>
  <c r="AF57" i="22" s="1"/>
  <c r="AD54" i="22"/>
  <c r="AE54" i="22" s="1"/>
  <c r="AF54" i="22" s="1"/>
  <c r="AJ162" i="22" l="1"/>
  <c r="AK162" i="22" s="1"/>
  <c r="AE277" i="22"/>
  <c r="AF277" i="22" s="1"/>
  <c r="AE223" i="22"/>
  <c r="AF223" i="22" s="1"/>
  <c r="AJ223" i="22"/>
  <c r="AM223" i="22" s="1"/>
  <c r="AJ98" i="22"/>
  <c r="AK98" i="22" s="1"/>
  <c r="AJ232" i="22"/>
  <c r="AM232" i="22" s="1"/>
  <c r="AE273" i="22"/>
  <c r="AF273" i="22" s="1"/>
  <c r="AE245" i="22"/>
  <c r="AF245" i="22" s="1"/>
  <c r="AM273" i="22"/>
  <c r="AK273" i="22"/>
  <c r="AM277" i="22"/>
  <c r="AK277" i="22"/>
  <c r="AJ54" i="22"/>
  <c r="AM54" i="22" s="1"/>
  <c r="AJ99" i="22"/>
  <c r="AM99" i="22" s="1"/>
  <c r="AJ57" i="22"/>
  <c r="AK57" i="22" s="1"/>
  <c r="AE102" i="22"/>
  <c r="AF102" i="22" s="1"/>
  <c r="AE61" i="22"/>
  <c r="AF61" i="22" s="1"/>
  <c r="AM245" i="22"/>
  <c r="AK245" i="22"/>
  <c r="AK61" i="22"/>
  <c r="AM61" i="22"/>
  <c r="AM102" i="22"/>
  <c r="AK102" i="22"/>
  <c r="AP437" i="22"/>
  <c r="AE420" i="22"/>
  <c r="AF420" i="22" s="1"/>
  <c r="AE437" i="22"/>
  <c r="AF437" i="22" s="1"/>
  <c r="AM437" i="22"/>
  <c r="AK437" i="22"/>
  <c r="AK420" i="22"/>
  <c r="AM420" i="22"/>
  <c r="AM162" i="22" l="1"/>
  <c r="AM98" i="22"/>
  <c r="AK223" i="22"/>
  <c r="AM57" i="22"/>
  <c r="AK232" i="22"/>
  <c r="AK54" i="22"/>
  <c r="AK99" i="22"/>
  <c r="AO221" i="22"/>
  <c r="AO107" i="22"/>
  <c r="AO503" i="22"/>
  <c r="AO502" i="22"/>
  <c r="AO405" i="22"/>
  <c r="AO147" i="22"/>
  <c r="AO146" i="22"/>
  <c r="AO324" i="22"/>
  <c r="AO313" i="22"/>
  <c r="AO312" i="22"/>
  <c r="AO425" i="22" l="1"/>
  <c r="AO48" i="22"/>
  <c r="AO472" i="22"/>
  <c r="AO130" i="22"/>
  <c r="AO434" i="22"/>
  <c r="AO432" i="22"/>
  <c r="AO429" i="22"/>
  <c r="AO463" i="22"/>
  <c r="AO459" i="22"/>
  <c r="AO394" i="22"/>
  <c r="AO341" i="22"/>
  <c r="AO86" i="22"/>
  <c r="AO85" i="22"/>
  <c r="AO436" i="22"/>
  <c r="AB492" i="22"/>
  <c r="AC492" i="22" s="1"/>
  <c r="T492" i="22"/>
  <c r="L492" i="22"/>
  <c r="M492" i="22" s="1"/>
  <c r="AH492" i="22" s="1"/>
  <c r="AO8" i="22"/>
  <c r="AO23" i="22"/>
  <c r="AO39" i="22"/>
  <c r="AO14" i="22"/>
  <c r="AO19" i="22"/>
  <c r="AO28" i="22"/>
  <c r="AO29" i="22"/>
  <c r="AO34" i="22"/>
  <c r="AO41" i="22"/>
  <c r="AO42" i="22"/>
  <c r="AO5" i="22"/>
  <c r="AO2" i="22"/>
  <c r="AB110" i="22"/>
  <c r="AC110" i="22" s="1"/>
  <c r="T110" i="22"/>
  <c r="L110" i="22"/>
  <c r="M110" i="22" s="1"/>
  <c r="AH110" i="22" s="1"/>
  <c r="AB42" i="22"/>
  <c r="AC42" i="22" s="1"/>
  <c r="T42" i="22"/>
  <c r="L42" i="22"/>
  <c r="M42" i="22" s="1"/>
  <c r="AB306" i="22"/>
  <c r="AC306" i="22" s="1"/>
  <c r="T306" i="22"/>
  <c r="L306" i="22"/>
  <c r="M306" i="22" s="1"/>
  <c r="AH306" i="22" s="1"/>
  <c r="AB446" i="22"/>
  <c r="AC446" i="22" s="1"/>
  <c r="T446" i="22"/>
  <c r="L446" i="22"/>
  <c r="M446" i="22" s="1"/>
  <c r="AB123" i="22"/>
  <c r="AB236" i="22"/>
  <c r="AC236" i="22" s="1"/>
  <c r="L236" i="22"/>
  <c r="M236" i="22" s="1"/>
  <c r="AH236" i="22" s="1"/>
  <c r="AB231" i="22"/>
  <c r="AC231" i="22" s="1"/>
  <c r="L231" i="22"/>
  <c r="M231" i="22" s="1"/>
  <c r="AH231" i="22" s="1"/>
  <c r="AB248" i="22"/>
  <c r="AC248" i="22" s="1"/>
  <c r="AB243" i="22"/>
  <c r="AC243" i="22" s="1"/>
  <c r="L243" i="22"/>
  <c r="M243" i="22" s="1"/>
  <c r="AH243" i="22" s="1"/>
  <c r="AB239" i="22"/>
  <c r="AC239" i="22" s="1"/>
  <c r="L239" i="22"/>
  <c r="M239" i="22" s="1"/>
  <c r="AH239" i="22" s="1"/>
  <c r="AB257" i="22"/>
  <c r="AC257" i="22" s="1"/>
  <c r="L257" i="22"/>
  <c r="M257" i="22" s="1"/>
  <c r="AH257" i="22" s="1"/>
  <c r="AB234" i="22"/>
  <c r="AC234" i="22" s="1"/>
  <c r="L234" i="22"/>
  <c r="M234" i="22" s="1"/>
  <c r="AH234" i="22" s="1"/>
  <c r="AB229" i="22"/>
  <c r="AC229" i="22" s="1"/>
  <c r="L229" i="22"/>
  <c r="M229" i="22" s="1"/>
  <c r="AH229" i="22" s="1"/>
  <c r="AB244" i="22"/>
  <c r="AC244" i="22" s="1"/>
  <c r="AB251" i="22"/>
  <c r="AC251" i="22" s="1"/>
  <c r="AL446" i="22" l="1"/>
  <c r="AH446" i="22"/>
  <c r="AL42" i="22"/>
  <c r="AH42" i="22"/>
  <c r="AD492" i="22"/>
  <c r="AE492" i="22" s="1"/>
  <c r="AF492" i="22" s="1"/>
  <c r="AD110" i="22"/>
  <c r="AJ110" i="22" s="1"/>
  <c r="AD42" i="22"/>
  <c r="AD306" i="22"/>
  <c r="AD446" i="22"/>
  <c r="AE446" i="22" s="1"/>
  <c r="AF446" i="22" s="1"/>
  <c r="AD236" i="22"/>
  <c r="AE236" i="22" s="1"/>
  <c r="AD231" i="22"/>
  <c r="AD243" i="22"/>
  <c r="AE243" i="22" s="1"/>
  <c r="AF243" i="22" s="1"/>
  <c r="AD239" i="22"/>
  <c r="AE239" i="22" s="1"/>
  <c r="AD257" i="22"/>
  <c r="AE257" i="22" s="1"/>
  <c r="AD229" i="22"/>
  <c r="AE229" i="22" s="1"/>
  <c r="AD234" i="22"/>
  <c r="AE234" i="22" s="1"/>
  <c r="AJ492" i="22" l="1"/>
  <c r="AM492" i="22" s="1"/>
  <c r="AE42" i="22"/>
  <c r="AF42" i="22" s="1"/>
  <c r="AP42" i="22"/>
  <c r="AJ42" i="22"/>
  <c r="AM42" i="22" s="1"/>
  <c r="AE110" i="22"/>
  <c r="AF110" i="22" s="1"/>
  <c r="AJ243" i="22"/>
  <c r="AM243" i="22" s="1"/>
  <c r="AM110" i="22"/>
  <c r="AK110" i="22"/>
  <c r="AJ234" i="22"/>
  <c r="AM234" i="22" s="1"/>
  <c r="AJ446" i="22"/>
  <c r="AM446" i="22" s="1"/>
  <c r="AJ231" i="22"/>
  <c r="AM231" i="22" s="1"/>
  <c r="AE231" i="22"/>
  <c r="AF231" i="22" s="1"/>
  <c r="AE306" i="22"/>
  <c r="AF306" i="22" s="1"/>
  <c r="AF234" i="22"/>
  <c r="AJ257" i="22"/>
  <c r="AK257" i="22" s="1"/>
  <c r="AJ236" i="22"/>
  <c r="AK236" i="22" s="1"/>
  <c r="AF239" i="22"/>
  <c r="AJ229" i="22"/>
  <c r="AM229" i="22" s="1"/>
  <c r="AJ306" i="22"/>
  <c r="AK306" i="22" s="1"/>
  <c r="AF236" i="22"/>
  <c r="AF257" i="22"/>
  <c r="AF229" i="22"/>
  <c r="AJ239" i="22"/>
  <c r="AM239" i="22" s="1"/>
  <c r="AK492" i="22" l="1"/>
  <c r="AK243" i="22"/>
  <c r="AK42" i="22"/>
  <c r="AK234" i="22"/>
  <c r="AK231" i="22"/>
  <c r="AK446" i="22"/>
  <c r="AM236" i="22"/>
  <c r="AM306" i="22"/>
  <c r="AK229" i="22"/>
  <c r="AM257" i="22"/>
  <c r="AK239" i="22"/>
  <c r="L251" i="22" l="1"/>
  <c r="AD251" i="22" s="1"/>
  <c r="AE251" i="22" s="1"/>
  <c r="AB485" i="22"/>
  <c r="AC485" i="22" s="1"/>
  <c r="T485" i="22"/>
  <c r="L485" i="22"/>
  <c r="M485" i="22" s="1"/>
  <c r="AH485" i="22" s="1"/>
  <c r="AB258" i="22"/>
  <c r="AC258" i="22" s="1"/>
  <c r="AF251" i="22" l="1"/>
  <c r="AJ251" i="22"/>
  <c r="M251" i="22"/>
  <c r="AG251" i="22" s="1"/>
  <c r="AH251" i="22" s="1"/>
  <c r="AD485" i="22"/>
  <c r="AE485" i="22" l="1"/>
  <c r="AF485" i="22" s="1"/>
  <c r="AJ485" i="22"/>
  <c r="AM485" i="22" s="1"/>
  <c r="AK251" i="22"/>
  <c r="AM251" i="22"/>
  <c r="T497" i="22"/>
  <c r="T498" i="22"/>
  <c r="T494" i="22"/>
  <c r="T491" i="22"/>
  <c r="T486" i="22"/>
  <c r="T484" i="22"/>
  <c r="T478" i="22"/>
  <c r="T471" i="22"/>
  <c r="T470" i="22"/>
  <c r="T469" i="22"/>
  <c r="T465" i="22"/>
  <c r="T463" i="22"/>
  <c r="T461" i="22"/>
  <c r="T457" i="22"/>
  <c r="T456" i="22"/>
  <c r="T455" i="22"/>
  <c r="T451" i="22"/>
  <c r="T450" i="22"/>
  <c r="T436" i="22"/>
  <c r="T435" i="22"/>
  <c r="T434" i="22"/>
  <c r="T429" i="22"/>
  <c r="T424" i="22"/>
  <c r="T423" i="22"/>
  <c r="T422" i="22"/>
  <c r="T418" i="22"/>
  <c r="T417" i="22"/>
  <c r="T414" i="22"/>
  <c r="T412" i="22"/>
  <c r="T404" i="22"/>
  <c r="T403" i="22"/>
  <c r="T402" i="22"/>
  <c r="T387" i="22"/>
  <c r="T385" i="22"/>
  <c r="T374" i="22"/>
  <c r="T373" i="22"/>
  <c r="T371" i="22"/>
  <c r="T362" i="22"/>
  <c r="T358" i="22"/>
  <c r="T359" i="22"/>
  <c r="T360" i="22"/>
  <c r="T355" i="22"/>
  <c r="T346" i="22"/>
  <c r="T344" i="22"/>
  <c r="T343" i="22"/>
  <c r="T341" i="22"/>
  <c r="T340" i="22"/>
  <c r="T339" i="22"/>
  <c r="T338" i="22"/>
  <c r="T335" i="22"/>
  <c r="T334" i="22"/>
  <c r="T330" i="22"/>
  <c r="T328" i="22"/>
  <c r="T327" i="22"/>
  <c r="T324" i="22"/>
  <c r="T319" i="22"/>
  <c r="T318" i="22"/>
  <c r="T310" i="22"/>
  <c r="T309" i="22"/>
  <c r="T305" i="22"/>
  <c r="T303" i="22"/>
  <c r="T304" i="22"/>
  <c r="T293" i="22"/>
  <c r="T292" i="22"/>
  <c r="T288" i="22"/>
  <c r="T284" i="22"/>
  <c r="T283" i="22"/>
  <c r="T280" i="22"/>
  <c r="T278" i="22"/>
  <c r="T276" i="22"/>
  <c r="T272" i="22"/>
  <c r="T271" i="22"/>
  <c r="T260" i="22"/>
  <c r="T209" i="22"/>
  <c r="T205" i="22"/>
  <c r="T202" i="22"/>
  <c r="T201" i="22"/>
  <c r="T200" i="22"/>
  <c r="T196" i="22"/>
  <c r="T191" i="22"/>
  <c r="T189" i="22"/>
  <c r="T188" i="22"/>
  <c r="T185" i="22"/>
  <c r="T186" i="22"/>
  <c r="T183" i="22"/>
  <c r="T180" i="22"/>
  <c r="T174" i="22"/>
  <c r="T173" i="22"/>
  <c r="T172" i="22"/>
  <c r="T170" i="22"/>
  <c r="T159" i="22"/>
  <c r="T152" i="22"/>
  <c r="T145" i="22"/>
  <c r="T144" i="22"/>
  <c r="T142" i="22"/>
  <c r="T141" i="22"/>
  <c r="T140" i="22"/>
  <c r="T135" i="22"/>
  <c r="T134" i="22"/>
  <c r="T131" i="22"/>
  <c r="T130" i="22"/>
  <c r="T125" i="22"/>
  <c r="T124" i="22"/>
  <c r="T123" i="22"/>
  <c r="T122" i="22"/>
  <c r="T121" i="22"/>
  <c r="T120" i="22"/>
  <c r="T117" i="22"/>
  <c r="T114" i="22"/>
  <c r="T113" i="22"/>
  <c r="T112" i="22"/>
  <c r="T111" i="22"/>
  <c r="T107" i="22"/>
  <c r="T105" i="22"/>
  <c r="T97" i="22"/>
  <c r="T94" i="22"/>
  <c r="T93" i="22"/>
  <c r="T92" i="22"/>
  <c r="T90" i="22"/>
  <c r="T91" i="22"/>
  <c r="T86" i="22"/>
  <c r="T85" i="22"/>
  <c r="T84" i="22"/>
  <c r="T82" i="22"/>
  <c r="T80" i="22"/>
  <c r="T77" i="22"/>
  <c r="T78" i="22"/>
  <c r="T75" i="22"/>
  <c r="T73" i="22"/>
  <c r="T72" i="22"/>
  <c r="T71" i="22"/>
  <c r="T70" i="22"/>
  <c r="T69" i="22"/>
  <c r="T66" i="22"/>
  <c r="T65" i="22"/>
  <c r="T64" i="22"/>
  <c r="T63" i="22"/>
  <c r="T60" i="22"/>
  <c r="T59" i="22"/>
  <c r="T56" i="22"/>
  <c r="T53" i="22"/>
  <c r="AB453" i="22"/>
  <c r="AC453" i="22" s="1"/>
  <c r="T453" i="22"/>
  <c r="L453" i="22"/>
  <c r="M453" i="22" s="1"/>
  <c r="AH453" i="22" s="1"/>
  <c r="AB441" i="22"/>
  <c r="AC441" i="22" s="1"/>
  <c r="T441" i="22"/>
  <c r="L441" i="22"/>
  <c r="M441" i="22" s="1"/>
  <c r="AH441" i="22" s="1"/>
  <c r="AB144" i="22"/>
  <c r="AC144" i="22" s="1"/>
  <c r="L144" i="22"/>
  <c r="M144" i="22" s="1"/>
  <c r="AH144" i="22" s="1"/>
  <c r="AB114" i="22"/>
  <c r="AC114" i="22" s="1"/>
  <c r="L114" i="22"/>
  <c r="M114" i="22" s="1"/>
  <c r="AB358" i="22"/>
  <c r="AC358" i="22" s="1"/>
  <c r="L358" i="22"/>
  <c r="M358" i="22" s="1"/>
  <c r="AH358" i="22" s="1"/>
  <c r="AB452" i="22"/>
  <c r="AC452" i="22" s="1"/>
  <c r="T452" i="22"/>
  <c r="L452" i="22"/>
  <c r="M452" i="22" s="1"/>
  <c r="AH452" i="22" s="1"/>
  <c r="AB347" i="22"/>
  <c r="AC347" i="22" s="1"/>
  <c r="T347" i="22"/>
  <c r="L347" i="22"/>
  <c r="M347" i="22" s="1"/>
  <c r="AH347" i="22" s="1"/>
  <c r="AB404" i="22"/>
  <c r="AC404" i="22" s="1"/>
  <c r="L404" i="22"/>
  <c r="M404" i="22" s="1"/>
  <c r="AH404" i="22" s="1"/>
  <c r="AB403" i="22"/>
  <c r="AC403" i="22" s="1"/>
  <c r="L403" i="22"/>
  <c r="M403" i="22" s="1"/>
  <c r="AH403" i="22" s="1"/>
  <c r="AB500" i="22"/>
  <c r="AC500" i="22" s="1"/>
  <c r="AB501" i="22"/>
  <c r="AC501" i="22" s="1"/>
  <c r="L501" i="22"/>
  <c r="M501" i="22" s="1"/>
  <c r="AH501" i="22" s="1"/>
  <c r="L500" i="22"/>
  <c r="M500" i="22" s="1"/>
  <c r="AH500" i="22" s="1"/>
  <c r="AB113" i="22"/>
  <c r="AC113" i="22" s="1"/>
  <c r="AB328" i="22"/>
  <c r="AC328" i="22" s="1"/>
  <c r="L328" i="22"/>
  <c r="M328" i="22" s="1"/>
  <c r="AH328" i="22" s="1"/>
  <c r="AB359" i="22"/>
  <c r="AC359" i="22" s="1"/>
  <c r="L359" i="22"/>
  <c r="M359" i="22" s="1"/>
  <c r="AH359" i="22" s="1"/>
  <c r="AB451" i="22"/>
  <c r="AC451" i="22" s="1"/>
  <c r="L451" i="22"/>
  <c r="M451" i="22" s="1"/>
  <c r="AH451" i="22" s="1"/>
  <c r="AB185" i="22"/>
  <c r="AC185" i="22" s="1"/>
  <c r="L185" i="22"/>
  <c r="M185" i="22" s="1"/>
  <c r="AH185" i="22" s="1"/>
  <c r="AB29" i="22"/>
  <c r="AC29" i="22" s="1"/>
  <c r="T29" i="22"/>
  <c r="L29" i="22"/>
  <c r="M29" i="22" s="1"/>
  <c r="AH29" i="22" s="1"/>
  <c r="AB41" i="22"/>
  <c r="AC41" i="22" s="1"/>
  <c r="T41" i="22"/>
  <c r="L41" i="22"/>
  <c r="M41" i="22" s="1"/>
  <c r="AL41" i="22" l="1"/>
  <c r="AH41" i="22"/>
  <c r="AL114" i="22"/>
  <c r="AH114" i="22"/>
  <c r="AK485" i="22"/>
  <c r="AD453" i="22"/>
  <c r="AE453" i="22" s="1"/>
  <c r="AD441" i="22"/>
  <c r="AE441" i="22" s="1"/>
  <c r="AD144" i="22"/>
  <c r="AE144" i="22" s="1"/>
  <c r="AD114" i="22"/>
  <c r="AE114" i="22" s="1"/>
  <c r="AD358" i="22"/>
  <c r="AE358" i="22" s="1"/>
  <c r="AD452" i="22"/>
  <c r="AE452" i="22" s="1"/>
  <c r="AD404" i="22"/>
  <c r="AE404" i="22" s="1"/>
  <c r="AD347" i="22"/>
  <c r="AE347" i="22" s="1"/>
  <c r="AD403" i="22"/>
  <c r="AE403" i="22" s="1"/>
  <c r="AD501" i="22"/>
  <c r="AE501" i="22" s="1"/>
  <c r="AD500" i="22"/>
  <c r="AD359" i="22"/>
  <c r="AE359" i="22" s="1"/>
  <c r="AD328" i="22"/>
  <c r="AE328" i="22" s="1"/>
  <c r="AD451" i="22"/>
  <c r="AE451" i="22" s="1"/>
  <c r="AD185" i="22"/>
  <c r="AE185" i="22" s="1"/>
  <c r="AD29" i="22"/>
  <c r="AD41" i="22"/>
  <c r="L142" i="22"/>
  <c r="M142" i="22" s="1"/>
  <c r="AH142" i="22" s="1"/>
  <c r="AB145" i="22"/>
  <c r="AC145" i="22" s="1"/>
  <c r="L145" i="22"/>
  <c r="M145" i="22" s="1"/>
  <c r="AH145" i="22" s="1"/>
  <c r="AB498" i="22"/>
  <c r="AC498" i="22" s="1"/>
  <c r="L498" i="22"/>
  <c r="M498" i="22" s="1"/>
  <c r="AH498" i="22" s="1"/>
  <c r="AB92" i="22"/>
  <c r="AC92" i="22" s="1"/>
  <c r="L92" i="22"/>
  <c r="M92" i="22" s="1"/>
  <c r="AB209" i="22"/>
  <c r="AC209" i="22" s="1"/>
  <c r="L209" i="22"/>
  <c r="M209" i="22" s="1"/>
  <c r="AH209" i="22" s="1"/>
  <c r="AB139" i="22"/>
  <c r="AC139" i="22" s="1"/>
  <c r="AB202" i="22"/>
  <c r="AC202" i="22" s="1"/>
  <c r="L202" i="22"/>
  <c r="M202" i="22" s="1"/>
  <c r="AL202" i="22" l="1"/>
  <c r="AH202" i="22"/>
  <c r="AL92" i="22"/>
  <c r="AH92" i="22"/>
  <c r="AJ359" i="22"/>
  <c r="AM359" i="22" s="1"/>
  <c r="AE500" i="22"/>
  <c r="AP500" i="22"/>
  <c r="AE41" i="22"/>
  <c r="AF41" i="22" s="1"/>
  <c r="AP41" i="22"/>
  <c r="AE29" i="22"/>
  <c r="AF29" i="22" s="1"/>
  <c r="AP29" i="22"/>
  <c r="AJ451" i="22"/>
  <c r="AM451" i="22" s="1"/>
  <c r="AJ29" i="22"/>
  <c r="AK29" i="22" s="1"/>
  <c r="AF403" i="22"/>
  <c r="AJ41" i="22"/>
  <c r="AM41" i="22" s="1"/>
  <c r="AF359" i="22"/>
  <c r="AF347" i="22"/>
  <c r="AF144" i="22"/>
  <c r="AJ185" i="22"/>
  <c r="AM185" i="22" s="1"/>
  <c r="AJ404" i="22"/>
  <c r="AK404" i="22" s="1"/>
  <c r="AJ452" i="22"/>
  <c r="AM452" i="22" s="1"/>
  <c r="AJ358" i="22"/>
  <c r="AM358" i="22" s="1"/>
  <c r="AJ114" i="22"/>
  <c r="AK114" i="22" s="1"/>
  <c r="AJ441" i="22"/>
  <c r="AM441" i="22" s="1"/>
  <c r="AF328" i="22"/>
  <c r="AJ453" i="22"/>
  <c r="AM453" i="22" s="1"/>
  <c r="AJ403" i="22"/>
  <c r="AK403" i="22" s="1"/>
  <c r="AJ144" i="22"/>
  <c r="AK144" i="22" s="1"/>
  <c r="AF441" i="22"/>
  <c r="AF185" i="22"/>
  <c r="AF114" i="22"/>
  <c r="AF453" i="22"/>
  <c r="AF358" i="22"/>
  <c r="AF452" i="22"/>
  <c r="AF404" i="22"/>
  <c r="AJ347" i="22"/>
  <c r="AM347" i="22" s="1"/>
  <c r="AJ328" i="22"/>
  <c r="AM328" i="22" s="1"/>
  <c r="AD145" i="22"/>
  <c r="AE145" i="22" s="1"/>
  <c r="AF451" i="22"/>
  <c r="AD142" i="22"/>
  <c r="AE142" i="22" s="1"/>
  <c r="AD498" i="22"/>
  <c r="AE498" i="22" s="1"/>
  <c r="AD92" i="22"/>
  <c r="AE92" i="22" s="1"/>
  <c r="AD209" i="22"/>
  <c r="AE209" i="22" s="1"/>
  <c r="AD202" i="22"/>
  <c r="AE202" i="22" s="1"/>
  <c r="AC125" i="22"/>
  <c r="AB86" i="22"/>
  <c r="AC86" i="22" s="1"/>
  <c r="L86" i="22"/>
  <c r="M86" i="22" s="1"/>
  <c r="AH86" i="22" s="1"/>
  <c r="AB486" i="22"/>
  <c r="AC486" i="22" s="1"/>
  <c r="AB487" i="22"/>
  <c r="AC487" i="22" s="1"/>
  <c r="L487" i="22"/>
  <c r="M487" i="22" s="1"/>
  <c r="AH487" i="22" s="1"/>
  <c r="AB354" i="22"/>
  <c r="AC354" i="22" s="1"/>
  <c r="T354" i="22"/>
  <c r="L354" i="22"/>
  <c r="M354" i="22" s="1"/>
  <c r="AH354" i="22" s="1"/>
  <c r="AB482" i="22"/>
  <c r="AC482" i="22" s="1"/>
  <c r="T482" i="22"/>
  <c r="L482" i="22"/>
  <c r="M482" i="22" s="1"/>
  <c r="AH482" i="22" s="1"/>
  <c r="AB479" i="22"/>
  <c r="AC479" i="22" s="1"/>
  <c r="T479" i="22"/>
  <c r="L479" i="22"/>
  <c r="M479" i="22" s="1"/>
  <c r="AH479" i="22" s="1"/>
  <c r="AB141" i="22"/>
  <c r="AC141" i="22" s="1"/>
  <c r="AB303" i="22"/>
  <c r="AC303" i="22" s="1"/>
  <c r="AB137" i="22"/>
  <c r="AC137" i="22" s="1"/>
  <c r="L125" i="22"/>
  <c r="M125" i="22" s="1"/>
  <c r="AH125" i="22" s="1"/>
  <c r="L137" i="22"/>
  <c r="M137" i="22" s="1"/>
  <c r="AH137" i="22" s="1"/>
  <c r="L138" i="22"/>
  <c r="M138" i="22" s="1"/>
  <c r="L139" i="22"/>
  <c r="M139" i="22" s="1"/>
  <c r="AH139" i="22" s="1"/>
  <c r="L502" i="22"/>
  <c r="M502" i="22" s="1"/>
  <c r="L503" i="22"/>
  <c r="L305" i="22"/>
  <c r="L304" i="22"/>
  <c r="M304" i="22" s="1"/>
  <c r="L303" i="22"/>
  <c r="M303" i="22" s="1"/>
  <c r="AH303" i="22" s="1"/>
  <c r="L309" i="22"/>
  <c r="AB138" i="22"/>
  <c r="AC138" i="22" s="1"/>
  <c r="AB201" i="22"/>
  <c r="AC201" i="22" s="1"/>
  <c r="L201" i="22"/>
  <c r="M201" i="22" s="1"/>
  <c r="AB176" i="22"/>
  <c r="AC176" i="22" s="1"/>
  <c r="T176" i="22"/>
  <c r="L176" i="22"/>
  <c r="M176" i="22" s="1"/>
  <c r="AB90" i="22"/>
  <c r="AC90" i="22" s="1"/>
  <c r="L90" i="22"/>
  <c r="M90" i="22" s="1"/>
  <c r="AB189" i="22"/>
  <c r="AC189" i="22" s="1"/>
  <c r="L189" i="22"/>
  <c r="M189" i="22" s="1"/>
  <c r="AH189" i="22" s="1"/>
  <c r="AB175" i="22"/>
  <c r="AC175" i="22" s="1"/>
  <c r="T175" i="22"/>
  <c r="L175" i="22"/>
  <c r="M175" i="22" s="1"/>
  <c r="T160" i="22"/>
  <c r="AB254" i="22"/>
  <c r="AC254" i="22" s="1"/>
  <c r="L254" i="22"/>
  <c r="M254" i="22" s="1"/>
  <c r="AH254" i="22" s="1"/>
  <c r="AB146" i="22"/>
  <c r="AC146" i="22" s="1"/>
  <c r="L146" i="22"/>
  <c r="M146" i="22" s="1"/>
  <c r="AB304" i="22"/>
  <c r="AC304" i="22" s="1"/>
  <c r="AB216" i="22"/>
  <c r="AC216" i="22" s="1"/>
  <c r="T216" i="22"/>
  <c r="L216" i="22"/>
  <c r="M216" i="22" s="1"/>
  <c r="AB255" i="22"/>
  <c r="AC255" i="22" s="1"/>
  <c r="L255" i="22"/>
  <c r="M255" i="22" s="1"/>
  <c r="AH255" i="22" s="1"/>
  <c r="AB256" i="22"/>
  <c r="AC256" i="22" s="1"/>
  <c r="AB481" i="22"/>
  <c r="AC481" i="22" s="1"/>
  <c r="T481" i="22"/>
  <c r="L481" i="22"/>
  <c r="M481" i="22" s="1"/>
  <c r="AH481" i="22" s="1"/>
  <c r="AB313" i="22"/>
  <c r="AC313" i="22" s="1"/>
  <c r="T313" i="22"/>
  <c r="L313" i="22"/>
  <c r="M313" i="22" s="1"/>
  <c r="AH313" i="22" s="1"/>
  <c r="AL216" i="22" l="1"/>
  <c r="AH216" i="22"/>
  <c r="AL146" i="22"/>
  <c r="AH146" i="22"/>
  <c r="AL175" i="22"/>
  <c r="AH175" i="22"/>
  <c r="AL90" i="22"/>
  <c r="AH90" i="22"/>
  <c r="AL176" i="22"/>
  <c r="AH176" i="22"/>
  <c r="AL201" i="22"/>
  <c r="AH201" i="22"/>
  <c r="AH304" i="22"/>
  <c r="AL502" i="22"/>
  <c r="AH138" i="22"/>
  <c r="AK359" i="22"/>
  <c r="AM29" i="22"/>
  <c r="AK451" i="22"/>
  <c r="AK452" i="22"/>
  <c r="AK41" i="22"/>
  <c r="AM114" i="22"/>
  <c r="AM403" i="22"/>
  <c r="AK358" i="22"/>
  <c r="AF202" i="22"/>
  <c r="AM404" i="22"/>
  <c r="AK441" i="22"/>
  <c r="AF209" i="22"/>
  <c r="AJ142" i="22"/>
  <c r="AK142" i="22" s="1"/>
  <c r="AK185" i="22"/>
  <c r="AM144" i="22"/>
  <c r="AF145" i="22"/>
  <c r="AK453" i="22"/>
  <c r="AJ92" i="22"/>
  <c r="AM92" i="22" s="1"/>
  <c r="AF498" i="22"/>
  <c r="AK347" i="22"/>
  <c r="AJ145" i="22"/>
  <c r="AK145" i="22" s="1"/>
  <c r="AK328" i="22"/>
  <c r="AJ498" i="22"/>
  <c r="AM498" i="22" s="1"/>
  <c r="AJ202" i="22"/>
  <c r="AM202" i="22" s="1"/>
  <c r="AF92" i="22"/>
  <c r="AF142" i="22"/>
  <c r="AD139" i="22"/>
  <c r="AE139" i="22" s="1"/>
  <c r="AD487" i="22"/>
  <c r="AE487" i="22" s="1"/>
  <c r="AD86" i="22"/>
  <c r="AD482" i="22"/>
  <c r="AE482" i="22" s="1"/>
  <c r="AD354" i="22"/>
  <c r="AE354" i="22" s="1"/>
  <c r="AD479" i="22"/>
  <c r="AE479" i="22" s="1"/>
  <c r="AD125" i="22"/>
  <c r="AE125" i="22" s="1"/>
  <c r="AD137" i="22"/>
  <c r="AE137" i="22" s="1"/>
  <c r="AD138" i="22"/>
  <c r="AE138" i="22" s="1"/>
  <c r="AD201" i="22"/>
  <c r="AE201" i="22" s="1"/>
  <c r="AD176" i="22"/>
  <c r="AE176" i="22" s="1"/>
  <c r="AD189" i="22"/>
  <c r="AE189" i="22" s="1"/>
  <c r="AD90" i="22"/>
  <c r="AE90" i="22" s="1"/>
  <c r="AD175" i="22"/>
  <c r="AE175" i="22" s="1"/>
  <c r="AD254" i="22"/>
  <c r="AE254" i="22" s="1"/>
  <c r="AD146" i="22"/>
  <c r="AD304" i="22"/>
  <c r="AE304" i="22" s="1"/>
  <c r="AD303" i="22"/>
  <c r="AE303" i="22" s="1"/>
  <c r="AD216" i="22"/>
  <c r="AE216" i="22" s="1"/>
  <c r="AD255" i="22"/>
  <c r="AE255" i="22" s="1"/>
  <c r="AD481" i="22"/>
  <c r="AE481" i="22" s="1"/>
  <c r="AD313" i="22"/>
  <c r="AB503" i="22"/>
  <c r="AC503" i="22" s="1"/>
  <c r="M503" i="22"/>
  <c r="AB480" i="22"/>
  <c r="AC480" i="22" s="1"/>
  <c r="T480" i="22"/>
  <c r="L480" i="22"/>
  <c r="M480" i="22" s="1"/>
  <c r="AH480" i="22" s="1"/>
  <c r="AB193" i="22"/>
  <c r="AC193" i="22" s="1"/>
  <c r="L193" i="22"/>
  <c r="L256" i="22"/>
  <c r="M256" i="22" s="1"/>
  <c r="AH256" i="22" s="1"/>
  <c r="L248" i="22"/>
  <c r="L195" i="22"/>
  <c r="M195" i="22" s="1"/>
  <c r="AH195" i="22" s="1"/>
  <c r="AL503" i="22" l="1"/>
  <c r="AH503" i="22"/>
  <c r="AE86" i="22"/>
  <c r="AF86" i="22" s="1"/>
  <c r="AP86" i="22"/>
  <c r="AE313" i="22"/>
  <c r="AF313" i="22" s="1"/>
  <c r="AP313" i="22"/>
  <c r="AE146" i="22"/>
  <c r="AF146" i="22" s="1"/>
  <c r="AP146" i="22"/>
  <c r="AJ189" i="22"/>
  <c r="AM189" i="22" s="1"/>
  <c r="AJ176" i="22"/>
  <c r="AM176" i="22" s="1"/>
  <c r="AJ313" i="22"/>
  <c r="AM313" i="22" s="1"/>
  <c r="AK92" i="22"/>
  <c r="AJ216" i="22"/>
  <c r="AM216" i="22" s="1"/>
  <c r="AF479" i="22"/>
  <c r="AF354" i="22"/>
  <c r="AF482" i="22"/>
  <c r="AF487" i="22"/>
  <c r="AF255" i="22"/>
  <c r="AM142" i="22"/>
  <c r="AJ201" i="22"/>
  <c r="AM201" i="22" s="1"/>
  <c r="AJ125" i="22"/>
  <c r="AK125" i="22" s="1"/>
  <c r="AF303" i="22"/>
  <c r="AJ304" i="22"/>
  <c r="AM304" i="22" s="1"/>
  <c r="AF254" i="22"/>
  <c r="AF175" i="22"/>
  <c r="AJ90" i="22"/>
  <c r="AM90" i="22" s="1"/>
  <c r="AM145" i="22"/>
  <c r="M248" i="22"/>
  <c r="AH248" i="22" s="1"/>
  <c r="AD248" i="22"/>
  <c r="AE248" i="22" s="1"/>
  <c r="AK202" i="22"/>
  <c r="AK498" i="22"/>
  <c r="AJ146" i="22"/>
  <c r="AM146" i="22" s="1"/>
  <c r="AF125" i="22"/>
  <c r="AJ303" i="22"/>
  <c r="AK303" i="22" s="1"/>
  <c r="AF201" i="22"/>
  <c r="AF176" i="22"/>
  <c r="AF90" i="22"/>
  <c r="AF216" i="22"/>
  <c r="AF189" i="22"/>
  <c r="AF304" i="22"/>
  <c r="AJ175" i="22"/>
  <c r="AK175" i="22" s="1"/>
  <c r="AF481" i="22"/>
  <c r="AD256" i="22"/>
  <c r="AE256" i="22" s="1"/>
  <c r="AD503" i="22"/>
  <c r="AD480" i="22"/>
  <c r="AE480" i="22" s="1"/>
  <c r="AD193" i="22"/>
  <c r="AE193" i="22" s="1"/>
  <c r="M193" i="22"/>
  <c r="AH193" i="22" s="1"/>
  <c r="AK201" i="22" l="1"/>
  <c r="AE503" i="22"/>
  <c r="AF503" i="22" s="1"/>
  <c r="AP503" i="22"/>
  <c r="AK189" i="22"/>
  <c r="AK313" i="22"/>
  <c r="AK216" i="22"/>
  <c r="AK90" i="22"/>
  <c r="AM125" i="22"/>
  <c r="AK176" i="22"/>
  <c r="AF480" i="22"/>
  <c r="AF256" i="22"/>
  <c r="AK304" i="22"/>
  <c r="AF248" i="22"/>
  <c r="AJ503" i="22"/>
  <c r="AM503" i="22" s="1"/>
  <c r="AJ193" i="22"/>
  <c r="AM193" i="22" s="1"/>
  <c r="AF193" i="22"/>
  <c r="AK146" i="22"/>
  <c r="AM303" i="22"/>
  <c r="AM175" i="22"/>
  <c r="AB356" i="22"/>
  <c r="AC356" i="22" s="1"/>
  <c r="T356" i="22"/>
  <c r="L356" i="22"/>
  <c r="M356" i="22" s="1"/>
  <c r="AH356" i="22" s="1"/>
  <c r="AB477" i="22"/>
  <c r="AC477" i="22" s="1"/>
  <c r="T477" i="22"/>
  <c r="L477" i="22"/>
  <c r="M477" i="22" s="1"/>
  <c r="AL477" i="22" l="1"/>
  <c r="AH477" i="22"/>
  <c r="AK503" i="22"/>
  <c r="AK193" i="22"/>
  <c r="AD356" i="22"/>
  <c r="AE356" i="22" s="1"/>
  <c r="AD477" i="22"/>
  <c r="AE477" i="22" s="1"/>
  <c r="AF356" i="22" l="1"/>
  <c r="AJ477" i="22"/>
  <c r="AF477" i="22"/>
  <c r="AM477" i="22" l="1"/>
  <c r="AK477" i="22"/>
  <c r="AD195" i="22" l="1"/>
  <c r="AJ321" i="22" l="1"/>
  <c r="AJ195" i="22"/>
  <c r="AK195" i="22" s="1"/>
  <c r="AJ248" i="22"/>
  <c r="AB5" i="22"/>
  <c r="AC5" i="22" s="1"/>
  <c r="AB8" i="22"/>
  <c r="AC8" i="22" s="1"/>
  <c r="AB14" i="22"/>
  <c r="AC14" i="22" s="1"/>
  <c r="AB19" i="22"/>
  <c r="AC19" i="22" s="1"/>
  <c r="AB23" i="22"/>
  <c r="AC23" i="22" s="1"/>
  <c r="AB28" i="22"/>
  <c r="AC28" i="22" s="1"/>
  <c r="AB34" i="22"/>
  <c r="AC34" i="22" s="1"/>
  <c r="AB39" i="22"/>
  <c r="AC39" i="22" s="1"/>
  <c r="AB48" i="22"/>
  <c r="AC48" i="22" s="1"/>
  <c r="AB311" i="22"/>
  <c r="AC311" i="22" s="1"/>
  <c r="AB312" i="22"/>
  <c r="AC312" i="22" s="1"/>
  <c r="AB53" i="22"/>
  <c r="AC53" i="22" s="1"/>
  <c r="AB56" i="22"/>
  <c r="AC56" i="22" s="1"/>
  <c r="AB316" i="22"/>
  <c r="AC316" i="22" s="1"/>
  <c r="AB59" i="22"/>
  <c r="AC59" i="22" s="1"/>
  <c r="AB60" i="22"/>
  <c r="AC60" i="22" s="1"/>
  <c r="AB63" i="22"/>
  <c r="AC63" i="22" s="1"/>
  <c r="AB64" i="22"/>
  <c r="AC64" i="22" s="1"/>
  <c r="AB65" i="22"/>
  <c r="AC65" i="22" s="1"/>
  <c r="AB66" i="22"/>
  <c r="AC66" i="22" s="1"/>
  <c r="AB67" i="22"/>
  <c r="AC67" i="22" s="1"/>
  <c r="AB68" i="22"/>
  <c r="AC68" i="22" s="1"/>
  <c r="AB69" i="22"/>
  <c r="AC69" i="22" s="1"/>
  <c r="AB70" i="22"/>
  <c r="AC70" i="22" s="1"/>
  <c r="AB71" i="22"/>
  <c r="AC71" i="22" s="1"/>
  <c r="AB72" i="22"/>
  <c r="AC72" i="22" s="1"/>
  <c r="AB73" i="22"/>
  <c r="AC73" i="22" s="1"/>
  <c r="AB75" i="22"/>
  <c r="AC75" i="22" s="1"/>
  <c r="AB78" i="22"/>
  <c r="AC78" i="22" s="1"/>
  <c r="AB77" i="22"/>
  <c r="AC77" i="22" s="1"/>
  <c r="AB79" i="22"/>
  <c r="AC79" i="22" s="1"/>
  <c r="AB80" i="22"/>
  <c r="AC80" i="22" s="1"/>
  <c r="AB82" i="22"/>
  <c r="AC82" i="22" s="1"/>
  <c r="AB84" i="22"/>
  <c r="AC84" i="22" s="1"/>
  <c r="AB85" i="22"/>
  <c r="AC85" i="22" s="1"/>
  <c r="AB88" i="22"/>
  <c r="AC88" i="22" s="1"/>
  <c r="AB89" i="22"/>
  <c r="AC89" i="22" s="1"/>
  <c r="AB91" i="22"/>
  <c r="AC91" i="22" s="1"/>
  <c r="AB93" i="22"/>
  <c r="AC93" i="22" s="1"/>
  <c r="AB94" i="22"/>
  <c r="AC94" i="22" s="1"/>
  <c r="AB95" i="22"/>
  <c r="AC95" i="22" s="1"/>
  <c r="AB97" i="22"/>
  <c r="AC97" i="22" s="1"/>
  <c r="AB105" i="22"/>
  <c r="AC105" i="22" s="1"/>
  <c r="AB107" i="22"/>
  <c r="AC107" i="22" s="1"/>
  <c r="AB318" i="22"/>
  <c r="AC318" i="22" s="1"/>
  <c r="AB319" i="22"/>
  <c r="AC319" i="22" s="1"/>
  <c r="AB324" i="22"/>
  <c r="AC324" i="22" s="1"/>
  <c r="AB327" i="22"/>
  <c r="AC327" i="22" s="1"/>
  <c r="AB330" i="22"/>
  <c r="AC330" i="22" s="1"/>
  <c r="AB147" i="22"/>
  <c r="AC147" i="22" s="1"/>
  <c r="AB152" i="22"/>
  <c r="AC152" i="22" s="1"/>
  <c r="AB155" i="22"/>
  <c r="AC155" i="22" s="1"/>
  <c r="AB156" i="22"/>
  <c r="AC156" i="22" s="1"/>
  <c r="AB159" i="22"/>
  <c r="AB160" i="22"/>
  <c r="AC160" i="22" s="1"/>
  <c r="AB164" i="22"/>
  <c r="AB161" i="22"/>
  <c r="AB166" i="22"/>
  <c r="AB167" i="22"/>
  <c r="AB169" i="22"/>
  <c r="AC169" i="22" s="1"/>
  <c r="AD169" i="22" s="1"/>
  <c r="AB168" i="22"/>
  <c r="AB172" i="22"/>
  <c r="AC172" i="22" s="1"/>
  <c r="AB173" i="22"/>
  <c r="AC173" i="22" s="1"/>
  <c r="AB334" i="22"/>
  <c r="AC334" i="22" s="1"/>
  <c r="AB335" i="22"/>
  <c r="AC335" i="22" s="1"/>
  <c r="AB336" i="22"/>
  <c r="AC336" i="22" s="1"/>
  <c r="AB337" i="22"/>
  <c r="AC337" i="22" s="1"/>
  <c r="AB338" i="22"/>
  <c r="AC338" i="22" s="1"/>
  <c r="AB339" i="22"/>
  <c r="AC339" i="22" s="1"/>
  <c r="AB340" i="22"/>
  <c r="AC340" i="22" s="1"/>
  <c r="AB174" i="22"/>
  <c r="AC174" i="22" s="1"/>
  <c r="AB180" i="22"/>
  <c r="AC180" i="22" s="1"/>
  <c r="AB182" i="22"/>
  <c r="AC182" i="22" s="1"/>
  <c r="AB183" i="22"/>
  <c r="AC183" i="22" s="1"/>
  <c r="AB184" i="22"/>
  <c r="AB186" i="22"/>
  <c r="AC186" i="22" s="1"/>
  <c r="AB188" i="22"/>
  <c r="AC188" i="22" s="1"/>
  <c r="AB191" i="22"/>
  <c r="AB192" i="22"/>
  <c r="AB194" i="22"/>
  <c r="AC194" i="22" s="1"/>
  <c r="AB341" i="22"/>
  <c r="AC341" i="22" s="1"/>
  <c r="AB343" i="22"/>
  <c r="AC343" i="22" s="1"/>
  <c r="AB344" i="22"/>
  <c r="AC344" i="22" s="1"/>
  <c r="AB346" i="22"/>
  <c r="AC346" i="22" s="1"/>
  <c r="AB348" i="22"/>
  <c r="AC348" i="22" s="1"/>
  <c r="AB117" i="22"/>
  <c r="AC117" i="22" s="1"/>
  <c r="AB355" i="22"/>
  <c r="AC355" i="22" s="1"/>
  <c r="AB360" i="22"/>
  <c r="AC360" i="22" s="1"/>
  <c r="AB362" i="22"/>
  <c r="AC362" i="22" s="1"/>
  <c r="AB371" i="22"/>
  <c r="AC371" i="22" s="1"/>
  <c r="AB373" i="22"/>
  <c r="AC373" i="22" s="1"/>
  <c r="AB374" i="22"/>
  <c r="AC374" i="22" s="1"/>
  <c r="AB381" i="22"/>
  <c r="AC381" i="22" s="1"/>
  <c r="AB385" i="22"/>
  <c r="AC385" i="22" s="1"/>
  <c r="AB387" i="22"/>
  <c r="AC387" i="22" s="1"/>
  <c r="AB389" i="22"/>
  <c r="AC389" i="22" s="1"/>
  <c r="AB390" i="22"/>
  <c r="AC390" i="22" s="1"/>
  <c r="AB402" i="22"/>
  <c r="AC402" i="22" s="1"/>
  <c r="AB405" i="22"/>
  <c r="AC405" i="22" s="1"/>
  <c r="AB409" i="22"/>
  <c r="AC409" i="22" s="1"/>
  <c r="AB412" i="22"/>
  <c r="AC412" i="22" s="1"/>
  <c r="AB414" i="22"/>
  <c r="AC414" i="22" s="1"/>
  <c r="AB417" i="22"/>
  <c r="AB418" i="22"/>
  <c r="AC418" i="22" s="1"/>
  <c r="AB422" i="22"/>
  <c r="AC422" i="22" s="1"/>
  <c r="AB425" i="22"/>
  <c r="AC425" i="22" s="1"/>
  <c r="AB429" i="22"/>
  <c r="AC429" i="22" s="1"/>
  <c r="AB432" i="22"/>
  <c r="AC432" i="22" s="1"/>
  <c r="AB434" i="22"/>
  <c r="AC434" i="22" s="1"/>
  <c r="AB435" i="22"/>
  <c r="AC435" i="22" s="1"/>
  <c r="AB436" i="22"/>
  <c r="AC436" i="22" s="1"/>
  <c r="AB442" i="22"/>
  <c r="AC442" i="22" s="1"/>
  <c r="AB445" i="22"/>
  <c r="AC445" i="22" s="1"/>
  <c r="AB450" i="22"/>
  <c r="AC450" i="22" s="1"/>
  <c r="AB456" i="22"/>
  <c r="AC456" i="22" s="1"/>
  <c r="AB457" i="22"/>
  <c r="AC457" i="22" s="1"/>
  <c r="AB461" i="22"/>
  <c r="AC461" i="22" s="1"/>
  <c r="AB463" i="22"/>
  <c r="AC463" i="22" s="1"/>
  <c r="AB465" i="22"/>
  <c r="AC465" i="22" s="1"/>
  <c r="AB467" i="22"/>
  <c r="AC467" i="22" s="1"/>
  <c r="AB118" i="22"/>
  <c r="AB119" i="22"/>
  <c r="AB196" i="22"/>
  <c r="AC196" i="22" s="1"/>
  <c r="AB200" i="22"/>
  <c r="AC200" i="22" s="1"/>
  <c r="AB205" i="22"/>
  <c r="AC205" i="22" s="1"/>
  <c r="AB217" i="22"/>
  <c r="AC217" i="22" s="1"/>
  <c r="AB221" i="22"/>
  <c r="AC221" i="22" s="1"/>
  <c r="AB468" i="22"/>
  <c r="AC468" i="22" s="1"/>
  <c r="AB120" i="22"/>
  <c r="AB469" i="22"/>
  <c r="AC469" i="22" s="1"/>
  <c r="AB470" i="22"/>
  <c r="AC470" i="22" s="1"/>
  <c r="AB230" i="22"/>
  <c r="AC230" i="22" s="1"/>
  <c r="AB235" i="22"/>
  <c r="AC235" i="22" s="1"/>
  <c r="AB240" i="22"/>
  <c r="AC240" i="22" s="1"/>
  <c r="AB122" i="22"/>
  <c r="AC123" i="22"/>
  <c r="AB124" i="22"/>
  <c r="AC124" i="22" s="1"/>
  <c r="AB126" i="22"/>
  <c r="AC126" i="22" s="1"/>
  <c r="AB260" i="22"/>
  <c r="AC260" i="22" s="1"/>
  <c r="AB262" i="22"/>
  <c r="AC262" i="22" s="1"/>
  <c r="AB265" i="22"/>
  <c r="AC265" i="22" s="1"/>
  <c r="AB271" i="22"/>
  <c r="AC271" i="22" s="1"/>
  <c r="AB272" i="22"/>
  <c r="AB274" i="22"/>
  <c r="AC274" i="22" s="1"/>
  <c r="AB276" i="22"/>
  <c r="AB278" i="22"/>
  <c r="AC278" i="22" s="1"/>
  <c r="AB280" i="22"/>
  <c r="AC280" i="22" s="1"/>
  <c r="AB283" i="22"/>
  <c r="AC283" i="22" s="1"/>
  <c r="AB284" i="22"/>
  <c r="AC284" i="22" s="1"/>
  <c r="AB288" i="22"/>
  <c r="AC288" i="22" s="1"/>
  <c r="AB291" i="22"/>
  <c r="AC291" i="22" s="1"/>
  <c r="AB292" i="22"/>
  <c r="AC292" i="22" s="1"/>
  <c r="AB293" i="22"/>
  <c r="AB299" i="22"/>
  <c r="AB302" i="22"/>
  <c r="AB300" i="22"/>
  <c r="AB301" i="22"/>
  <c r="AB294" i="22"/>
  <c r="AC294" i="22" s="1"/>
  <c r="AB296" i="22"/>
  <c r="AC296" i="22" s="1"/>
  <c r="AB471" i="22"/>
  <c r="AB127" i="22"/>
  <c r="AC127" i="22" s="1"/>
  <c r="AB130" i="22"/>
  <c r="AC130" i="22" s="1"/>
  <c r="AB131" i="22"/>
  <c r="AC131" i="22" s="1"/>
  <c r="AB134" i="22"/>
  <c r="AC134" i="22" s="1"/>
  <c r="AB472" i="22"/>
  <c r="AC472" i="22" s="1"/>
  <c r="AB476" i="22"/>
  <c r="AB478" i="22"/>
  <c r="AC478" i="22" s="1"/>
  <c r="AB484" i="22"/>
  <c r="AC484" i="22" s="1"/>
  <c r="AB488" i="22"/>
  <c r="AC488" i="22" s="1"/>
  <c r="AB491" i="22"/>
  <c r="AC491" i="22" s="1"/>
  <c r="AB494" i="22"/>
  <c r="AC494" i="22" s="1"/>
  <c r="AB497" i="22"/>
  <c r="AC497" i="22" s="1"/>
  <c r="AB135" i="22"/>
  <c r="AC135" i="22" s="1"/>
  <c r="AB502" i="22"/>
  <c r="AB305" i="22"/>
  <c r="AC305" i="22" s="1"/>
  <c r="AB309" i="22"/>
  <c r="AC309" i="22" s="1"/>
  <c r="AB310" i="22"/>
  <c r="AC310" i="22" s="1"/>
  <c r="AB140" i="22"/>
  <c r="AC140" i="22" s="1"/>
  <c r="AC2" i="22"/>
  <c r="AC502" i="22" l="1"/>
  <c r="AH502" i="22"/>
  <c r="AC168" i="22"/>
  <c r="AD168" i="22" s="1"/>
  <c r="AC167" i="22"/>
  <c r="AD167" i="22" s="1"/>
  <c r="AC166" i="22"/>
  <c r="AD166" i="22" s="1"/>
  <c r="AC161" i="22"/>
  <c r="AD161" i="22" s="1"/>
  <c r="AE161" i="22" s="1"/>
  <c r="AF161" i="22" s="1"/>
  <c r="AC164" i="22"/>
  <c r="AD164" i="22" s="1"/>
  <c r="AE164" i="22" s="1"/>
  <c r="AF164" i="22" s="1"/>
  <c r="AJ164" i="22"/>
  <c r="AK164" i="22" s="1"/>
  <c r="AK321" i="22"/>
  <c r="AM321" i="22"/>
  <c r="AK248" i="22"/>
  <c r="AM248" i="22"/>
  <c r="AJ161" i="22"/>
  <c r="AD165" i="22" l="1"/>
  <c r="AJ165" i="22" s="1"/>
  <c r="AM164" i="22"/>
  <c r="AK161" i="22"/>
  <c r="AM161" i="22"/>
  <c r="E64" i="20"/>
  <c r="I65" i="20" s="1"/>
  <c r="J65" i="20" s="1"/>
  <c r="D64" i="20"/>
  <c r="C64" i="20"/>
  <c r="I63" i="20"/>
  <c r="G63" i="20"/>
  <c r="J63" i="20" s="1"/>
  <c r="L63" i="20" s="1"/>
  <c r="E63" i="20"/>
  <c r="H63" i="20" s="1"/>
  <c r="J62" i="20"/>
  <c r="L62" i="20" s="1"/>
  <c r="I62" i="20"/>
  <c r="G62" i="20"/>
  <c r="E62" i="20"/>
  <c r="H62" i="20" s="1"/>
  <c r="I61" i="20"/>
  <c r="G61" i="20"/>
  <c r="J61" i="20" s="1"/>
  <c r="L61" i="20" s="1"/>
  <c r="E61" i="20"/>
  <c r="H61" i="20" s="1"/>
  <c r="I60" i="20"/>
  <c r="G60" i="20"/>
  <c r="J60" i="20" s="1"/>
  <c r="L60" i="20" s="1"/>
  <c r="E60" i="20"/>
  <c r="H60" i="20" s="1"/>
  <c r="I59" i="20"/>
  <c r="I64" i="20" s="1"/>
  <c r="H59" i="20"/>
  <c r="H64" i="20" s="1"/>
  <c r="G59" i="20"/>
  <c r="G64" i="20" s="1"/>
  <c r="J64" i="20" s="1"/>
  <c r="E59" i="20"/>
  <c r="I54" i="20"/>
  <c r="J54" i="20" s="1"/>
  <c r="E53" i="20"/>
  <c r="D53" i="20"/>
  <c r="C53" i="20"/>
  <c r="I52" i="20"/>
  <c r="G52" i="20"/>
  <c r="J52" i="20" s="1"/>
  <c r="L52" i="20" s="1"/>
  <c r="E52" i="20"/>
  <c r="H52" i="20" s="1"/>
  <c r="J51" i="20"/>
  <c r="L51" i="20" s="1"/>
  <c r="I51" i="20"/>
  <c r="G51" i="20"/>
  <c r="E51" i="20"/>
  <c r="H51" i="20" s="1"/>
  <c r="I50" i="20"/>
  <c r="H50" i="20"/>
  <c r="G50" i="20"/>
  <c r="J50" i="20" s="1"/>
  <c r="L50" i="20" s="1"/>
  <c r="E50" i="20"/>
  <c r="I49" i="20"/>
  <c r="G49" i="20"/>
  <c r="J49" i="20" s="1"/>
  <c r="L49" i="20" s="1"/>
  <c r="E49" i="20"/>
  <c r="H49" i="20" s="1"/>
  <c r="I48" i="20"/>
  <c r="I53" i="20" s="1"/>
  <c r="H48" i="20"/>
  <c r="H53" i="20" s="1"/>
  <c r="G48" i="20"/>
  <c r="G53" i="20" s="1"/>
  <c r="J53" i="20" s="1"/>
  <c r="E48" i="20"/>
  <c r="E42" i="20"/>
  <c r="I43" i="20" s="1"/>
  <c r="J43" i="20" s="1"/>
  <c r="D42" i="20"/>
  <c r="C42" i="20"/>
  <c r="I41" i="20"/>
  <c r="G41" i="20"/>
  <c r="J41" i="20" s="1"/>
  <c r="L41" i="20" s="1"/>
  <c r="E41" i="20"/>
  <c r="H41" i="20" s="1"/>
  <c r="J40" i="20"/>
  <c r="L40" i="20" s="1"/>
  <c r="I40" i="20"/>
  <c r="G40" i="20"/>
  <c r="E40" i="20"/>
  <c r="H40" i="20" s="1"/>
  <c r="I39" i="20"/>
  <c r="H39" i="20"/>
  <c r="G39" i="20"/>
  <c r="J39" i="20" s="1"/>
  <c r="L39" i="20" s="1"/>
  <c r="E39" i="20"/>
  <c r="I38" i="20"/>
  <c r="G38" i="20"/>
  <c r="J38" i="20" s="1"/>
  <c r="L38" i="20" s="1"/>
  <c r="E38" i="20"/>
  <c r="H38" i="20" s="1"/>
  <c r="I37" i="20"/>
  <c r="I42" i="20" s="1"/>
  <c r="H37" i="20"/>
  <c r="H42" i="20" s="1"/>
  <c r="G37" i="20"/>
  <c r="J37" i="20" s="1"/>
  <c r="L37" i="20" s="1"/>
  <c r="L42" i="20" s="1"/>
  <c r="E37" i="20"/>
  <c r="E31" i="20"/>
  <c r="I32" i="20" s="1"/>
  <c r="J32" i="20" s="1"/>
  <c r="D31" i="20"/>
  <c r="C31" i="20"/>
  <c r="I30" i="20"/>
  <c r="G30" i="20"/>
  <c r="J30" i="20" s="1"/>
  <c r="L30" i="20" s="1"/>
  <c r="E30" i="20"/>
  <c r="H30" i="20" s="1"/>
  <c r="J29" i="20"/>
  <c r="L29" i="20" s="1"/>
  <c r="I29" i="20"/>
  <c r="G29" i="20"/>
  <c r="E29" i="20"/>
  <c r="H29" i="20" s="1"/>
  <c r="I28" i="20"/>
  <c r="G28" i="20"/>
  <c r="J28" i="20" s="1"/>
  <c r="L28" i="20" s="1"/>
  <c r="E28" i="20"/>
  <c r="H28" i="20" s="1"/>
  <c r="I27" i="20"/>
  <c r="G27" i="20"/>
  <c r="J27" i="20" s="1"/>
  <c r="L27" i="20" s="1"/>
  <c r="E27" i="20"/>
  <c r="H27" i="20" s="1"/>
  <c r="I26" i="20"/>
  <c r="I31" i="20" s="1"/>
  <c r="H26" i="20"/>
  <c r="H31" i="20" s="1"/>
  <c r="G26" i="20"/>
  <c r="G31" i="20" s="1"/>
  <c r="J31" i="20" s="1"/>
  <c r="E26" i="20"/>
  <c r="E20" i="20"/>
  <c r="I21" i="20" s="1"/>
  <c r="J21" i="20" s="1"/>
  <c r="D20" i="20"/>
  <c r="C20" i="20"/>
  <c r="I19" i="20"/>
  <c r="G19" i="20"/>
  <c r="J19" i="20" s="1"/>
  <c r="L19" i="20" s="1"/>
  <c r="E19" i="20"/>
  <c r="H19" i="20" s="1"/>
  <c r="J18" i="20"/>
  <c r="L18" i="20" s="1"/>
  <c r="I18" i="20"/>
  <c r="G18" i="20"/>
  <c r="E18" i="20"/>
  <c r="H18" i="20" s="1"/>
  <c r="I17" i="20"/>
  <c r="H17" i="20"/>
  <c r="G17" i="20"/>
  <c r="J17" i="20" s="1"/>
  <c r="L17" i="20" s="1"/>
  <c r="E17" i="20"/>
  <c r="I16" i="20"/>
  <c r="G16" i="20"/>
  <c r="J16" i="20" s="1"/>
  <c r="L16" i="20" s="1"/>
  <c r="E16" i="20"/>
  <c r="H16" i="20" s="1"/>
  <c r="I15" i="20"/>
  <c r="I20" i="20" s="1"/>
  <c r="H15" i="20"/>
  <c r="H20" i="20" s="1"/>
  <c r="G15" i="20"/>
  <c r="G20" i="20" s="1"/>
  <c r="J20" i="20" s="1"/>
  <c r="E15" i="20"/>
  <c r="J9" i="20"/>
  <c r="I10" i="20"/>
  <c r="J5" i="20"/>
  <c r="L5" i="20" s="1"/>
  <c r="J6" i="20"/>
  <c r="L6" i="20" s="1"/>
  <c r="J7" i="20"/>
  <c r="L7" i="20" s="1"/>
  <c r="J8" i="20"/>
  <c r="L8" i="20" s="1"/>
  <c r="J4" i="20"/>
  <c r="L4" i="20" s="1"/>
  <c r="L9" i="20" s="1"/>
  <c r="H7" i="20"/>
  <c r="H8" i="20"/>
  <c r="G7" i="20"/>
  <c r="G8" i="20"/>
  <c r="E7" i="20"/>
  <c r="E8" i="20"/>
  <c r="I5" i="20"/>
  <c r="I6" i="20"/>
  <c r="I7" i="20"/>
  <c r="I8" i="20"/>
  <c r="I4" i="20"/>
  <c r="L141" i="22"/>
  <c r="L310" i="22"/>
  <c r="L135" i="22"/>
  <c r="L497" i="22"/>
  <c r="L494" i="22"/>
  <c r="L491" i="22"/>
  <c r="L488" i="22"/>
  <c r="L471" i="22"/>
  <c r="L486" i="22"/>
  <c r="L484" i="22"/>
  <c r="L478" i="22"/>
  <c r="T476" i="22"/>
  <c r="L476" i="22"/>
  <c r="T472" i="22"/>
  <c r="L472" i="22"/>
  <c r="L134" i="22"/>
  <c r="AD134" i="22" s="1"/>
  <c r="AE134" i="22" s="1"/>
  <c r="J131" i="22"/>
  <c r="L130" i="22"/>
  <c r="AD130" i="22" s="1"/>
  <c r="AE130" i="22" s="1"/>
  <c r="AF130" i="22" s="1"/>
  <c r="L127" i="22"/>
  <c r="AD127" i="22" s="1"/>
  <c r="AE127" i="22" s="1"/>
  <c r="T296" i="22"/>
  <c r="J296" i="22"/>
  <c r="L296" i="22" s="1"/>
  <c r="AD296" i="22" s="1"/>
  <c r="L455" i="22"/>
  <c r="T294" i="22"/>
  <c r="L294" i="22"/>
  <c r="AD294" i="22" s="1"/>
  <c r="I294" i="22"/>
  <c r="T301" i="22"/>
  <c r="L301" i="22"/>
  <c r="I301" i="22"/>
  <c r="T300" i="22"/>
  <c r="L300" i="22"/>
  <c r="I300" i="22"/>
  <c r="T291" i="22"/>
  <c r="L291" i="22"/>
  <c r="AD291" i="22" s="1"/>
  <c r="AE291" i="22" s="1"/>
  <c r="AF291" i="22" s="1"/>
  <c r="L288" i="22"/>
  <c r="L284" i="22"/>
  <c r="L283" i="22"/>
  <c r="AD283" i="22" s="1"/>
  <c r="AE283" i="22" s="1"/>
  <c r="AF283" i="22" s="1"/>
  <c r="L280" i="22"/>
  <c r="L278" i="22"/>
  <c r="L274" i="22"/>
  <c r="T265" i="22"/>
  <c r="L265" i="22"/>
  <c r="L262" i="22"/>
  <c r="L260" i="22"/>
  <c r="L124" i="22"/>
  <c r="L123" i="22"/>
  <c r="L258" i="22"/>
  <c r="L244" i="22"/>
  <c r="AD244" i="22" s="1"/>
  <c r="AE244" i="22" s="1"/>
  <c r="L240" i="22"/>
  <c r="L235" i="22"/>
  <c r="L230" i="22"/>
  <c r="L470" i="22"/>
  <c r="L469" i="22"/>
  <c r="L120" i="22"/>
  <c r="T468" i="22"/>
  <c r="L468" i="22"/>
  <c r="AD468" i="22" s="1"/>
  <c r="AE468" i="22" s="1"/>
  <c r="AF468" i="22" s="1"/>
  <c r="L221" i="22"/>
  <c r="T217" i="22"/>
  <c r="L217" i="22"/>
  <c r="L205" i="22"/>
  <c r="L200" i="22"/>
  <c r="L196" i="22"/>
  <c r="T119" i="22"/>
  <c r="L119" i="22"/>
  <c r="T118" i="22"/>
  <c r="L118" i="22"/>
  <c r="T467" i="22"/>
  <c r="L467" i="22"/>
  <c r="AD467" i="22" s="1"/>
  <c r="AE467" i="22" s="1"/>
  <c r="AF467" i="22" s="1"/>
  <c r="L465" i="22"/>
  <c r="L463" i="22"/>
  <c r="L461" i="22"/>
  <c r="AD461" i="22" s="1"/>
  <c r="AE461" i="22" s="1"/>
  <c r="AF461" i="22" s="1"/>
  <c r="T459" i="22"/>
  <c r="L459" i="22"/>
  <c r="AD459" i="22" s="1"/>
  <c r="AE459" i="22" s="1"/>
  <c r="AF459" i="22" s="1"/>
  <c r="L457" i="22"/>
  <c r="L456" i="22"/>
  <c r="AD456" i="22" s="1"/>
  <c r="AE456" i="22" s="1"/>
  <c r="AF456" i="22" s="1"/>
  <c r="L450" i="22"/>
  <c r="T445" i="22"/>
  <c r="L445" i="22"/>
  <c r="T442" i="22"/>
  <c r="L442" i="22"/>
  <c r="L436" i="22"/>
  <c r="L435" i="22"/>
  <c r="L434" i="22"/>
  <c r="AD434" i="22" s="1"/>
  <c r="AE434" i="22" s="1"/>
  <c r="AF434" i="22" s="1"/>
  <c r="L432" i="22"/>
  <c r="AD432" i="22" s="1"/>
  <c r="AE432" i="22" s="1"/>
  <c r="AF432" i="22" s="1"/>
  <c r="L429" i="22"/>
  <c r="L339" i="22"/>
  <c r="AD339" i="22" s="1"/>
  <c r="AE339" i="22" s="1"/>
  <c r="AF339" i="22" s="1"/>
  <c r="L338" i="22"/>
  <c r="AD338" i="22" s="1"/>
  <c r="AE338" i="22" s="1"/>
  <c r="AF338" i="22" s="1"/>
  <c r="T425" i="22"/>
  <c r="L425" i="22"/>
  <c r="L424" i="22"/>
  <c r="L423" i="22"/>
  <c r="L422" i="22"/>
  <c r="L418" i="22"/>
  <c r="L417" i="22"/>
  <c r="L414" i="22"/>
  <c r="L412" i="22"/>
  <c r="T409" i="22"/>
  <c r="L409" i="22"/>
  <c r="AD409" i="22" s="1"/>
  <c r="AE409" i="22" s="1"/>
  <c r="AF409" i="22" s="1"/>
  <c r="T405" i="22"/>
  <c r="L405" i="22"/>
  <c r="L402" i="22"/>
  <c r="L395" i="22"/>
  <c r="AD395" i="22" s="1"/>
  <c r="AE395" i="22" s="1"/>
  <c r="L390" i="22"/>
  <c r="I390" i="22"/>
  <c r="AO390" i="22" s="1"/>
  <c r="T302" i="22"/>
  <c r="L302" i="22"/>
  <c r="I302" i="22"/>
  <c r="T299" i="22"/>
  <c r="L299" i="22"/>
  <c r="I299" i="22"/>
  <c r="L389" i="22"/>
  <c r="AD389" i="22" s="1"/>
  <c r="I389" i="22"/>
  <c r="AO389" i="22" s="1"/>
  <c r="L293" i="22"/>
  <c r="L292" i="22"/>
  <c r="AD292" i="22" s="1"/>
  <c r="AE292" i="22" s="1"/>
  <c r="AF292" i="22" s="1"/>
  <c r="L387" i="22"/>
  <c r="L385" i="22"/>
  <c r="T384" i="22"/>
  <c r="L384" i="22"/>
  <c r="AD384" i="22" s="1"/>
  <c r="AE384" i="22" s="1"/>
  <c r="AF384" i="22" s="1"/>
  <c r="T381" i="22"/>
  <c r="L381" i="22"/>
  <c r="AD381" i="22" s="1"/>
  <c r="AE381" i="22" s="1"/>
  <c r="AF381" i="22" s="1"/>
  <c r="L276" i="22"/>
  <c r="L374" i="22"/>
  <c r="L373" i="22"/>
  <c r="AD373" i="22" s="1"/>
  <c r="AE373" i="22" s="1"/>
  <c r="AF373" i="22" s="1"/>
  <c r="L272" i="22"/>
  <c r="L271" i="22"/>
  <c r="AD271" i="22" s="1"/>
  <c r="AE271" i="22" s="1"/>
  <c r="AF271" i="22" s="1"/>
  <c r="L371" i="22"/>
  <c r="L362" i="22"/>
  <c r="L360" i="22"/>
  <c r="L355" i="22"/>
  <c r="L117" i="22"/>
  <c r="AD117" i="22" s="1"/>
  <c r="AE117" i="22" s="1"/>
  <c r="AF117" i="22" s="1"/>
  <c r="L113" i="22"/>
  <c r="T350" i="22"/>
  <c r="L350" i="22"/>
  <c r="AD350" i="22" s="1"/>
  <c r="T348" i="22"/>
  <c r="L348" i="22"/>
  <c r="L346" i="22"/>
  <c r="L344" i="22"/>
  <c r="AD344" i="22" s="1"/>
  <c r="AE344" i="22" s="1"/>
  <c r="AF344" i="22" s="1"/>
  <c r="L343" i="22"/>
  <c r="L341" i="22"/>
  <c r="L112" i="22"/>
  <c r="AD112" i="22" s="1"/>
  <c r="AE112" i="22" s="1"/>
  <c r="AF112" i="22" s="1"/>
  <c r="L111" i="22"/>
  <c r="L194" i="22"/>
  <c r="L192" i="22"/>
  <c r="L191" i="22"/>
  <c r="L188" i="22"/>
  <c r="L186" i="22"/>
  <c r="L183" i="22"/>
  <c r="L180" i="22"/>
  <c r="T184" i="22"/>
  <c r="L184" i="22"/>
  <c r="L174" i="22"/>
  <c r="L182" i="22"/>
  <c r="L340" i="22"/>
  <c r="AD340" i="22" s="1"/>
  <c r="AE340" i="22" s="1"/>
  <c r="AF340" i="22" s="1"/>
  <c r="P337" i="22"/>
  <c r="O337" i="22"/>
  <c r="N337" i="22"/>
  <c r="L337" i="22"/>
  <c r="AD337" i="22" s="1"/>
  <c r="AE337" i="22" s="1"/>
  <c r="AF337" i="22" s="1"/>
  <c r="P336" i="22"/>
  <c r="O336" i="22"/>
  <c r="N336" i="22"/>
  <c r="L336" i="22"/>
  <c r="AD336" i="22" s="1"/>
  <c r="I336" i="22"/>
  <c r="L335" i="22"/>
  <c r="AD335" i="22" s="1"/>
  <c r="AE335" i="22" s="1"/>
  <c r="AF335" i="22" s="1"/>
  <c r="L334" i="22"/>
  <c r="AD334" i="22" s="1"/>
  <c r="AE334" i="22" s="1"/>
  <c r="AF334" i="22" s="1"/>
  <c r="J173" i="22"/>
  <c r="J172" i="22"/>
  <c r="L170" i="22"/>
  <c r="AD170" i="22" s="1"/>
  <c r="M168" i="22"/>
  <c r="AH168" i="22" s="1"/>
  <c r="M169" i="22"/>
  <c r="M167" i="22"/>
  <c r="AH167" i="22" s="1"/>
  <c r="M166" i="22"/>
  <c r="L160" i="22"/>
  <c r="M161" i="22"/>
  <c r="AH161" i="22" s="1"/>
  <c r="M164" i="22"/>
  <c r="AH164" i="22" s="1"/>
  <c r="L159" i="22"/>
  <c r="L156" i="22"/>
  <c r="L155" i="22"/>
  <c r="L140" i="22"/>
  <c r="L152" i="22"/>
  <c r="L147" i="22"/>
  <c r="L330" i="22"/>
  <c r="AD330" i="22" s="1"/>
  <c r="AE330" i="22" s="1"/>
  <c r="AF330" i="22" s="1"/>
  <c r="T126" i="22"/>
  <c r="L126" i="22"/>
  <c r="AD126" i="22" s="1"/>
  <c r="AE126" i="22" s="1"/>
  <c r="AF126" i="22" s="1"/>
  <c r="L327" i="22"/>
  <c r="L324" i="22"/>
  <c r="L122" i="22"/>
  <c r="L121" i="22"/>
  <c r="I121" i="22"/>
  <c r="L319" i="22"/>
  <c r="L318" i="22"/>
  <c r="AD318" i="22" s="1"/>
  <c r="AE318" i="22" s="1"/>
  <c r="L107" i="22"/>
  <c r="AD107" i="22" s="1"/>
  <c r="AE107" i="22" s="1"/>
  <c r="L105" i="22"/>
  <c r="AD105" i="22" s="1"/>
  <c r="L97" i="22"/>
  <c r="AD97" i="22" s="1"/>
  <c r="T95" i="22"/>
  <c r="J95" i="22"/>
  <c r="L95" i="22" s="1"/>
  <c r="AD95" i="22" s="1"/>
  <c r="I95" i="22"/>
  <c r="L93" i="22"/>
  <c r="AD93" i="22" s="1"/>
  <c r="L94" i="22"/>
  <c r="AD94" i="22" s="1"/>
  <c r="L91" i="22"/>
  <c r="AD91" i="22" s="1"/>
  <c r="AE91" i="22" s="1"/>
  <c r="L85" i="22"/>
  <c r="AD85" i="22" s="1"/>
  <c r="L84" i="22"/>
  <c r="AD84" i="22" s="1"/>
  <c r="AE84" i="22" s="1"/>
  <c r="L82" i="22"/>
  <c r="AD82" i="22" s="1"/>
  <c r="AE82" i="22" s="1"/>
  <c r="L80" i="22"/>
  <c r="AD80" i="22" s="1"/>
  <c r="AE80" i="22" s="1"/>
  <c r="T89" i="22"/>
  <c r="L89" i="22"/>
  <c r="AD89" i="22" s="1"/>
  <c r="T88" i="22"/>
  <c r="L88" i="22"/>
  <c r="AD88" i="22" s="1"/>
  <c r="AE88" i="22" s="1"/>
  <c r="AF88" i="22" s="1"/>
  <c r="T79" i="22"/>
  <c r="L79" i="22"/>
  <c r="AD79" i="22" s="1"/>
  <c r="L75" i="22"/>
  <c r="AD75" i="22" s="1"/>
  <c r="AE75" i="22" s="1"/>
  <c r="AF75" i="22" s="1"/>
  <c r="L73" i="22"/>
  <c r="AD73" i="22" s="1"/>
  <c r="AE73" i="22" s="1"/>
  <c r="L72" i="22"/>
  <c r="AD72" i="22" s="1"/>
  <c r="AE72" i="22" s="1"/>
  <c r="L71" i="22"/>
  <c r="AD71" i="22" s="1"/>
  <c r="L77" i="22"/>
  <c r="AD77" i="22" s="1"/>
  <c r="AE77" i="22" s="1"/>
  <c r="AF77" i="22" s="1"/>
  <c r="L78" i="22"/>
  <c r="AD78" i="22" s="1"/>
  <c r="AE78" i="22" s="1"/>
  <c r="AF78" i="22" s="1"/>
  <c r="L69" i="22"/>
  <c r="AD69" i="22" s="1"/>
  <c r="L65" i="22"/>
  <c r="AD65" i="22" s="1"/>
  <c r="AE65" i="22" s="1"/>
  <c r="L63" i="22"/>
  <c r="AD63" i="22" s="1"/>
  <c r="AE63" i="22" s="1"/>
  <c r="L60" i="22"/>
  <c r="AD60" i="22" s="1"/>
  <c r="AE60" i="22" s="1"/>
  <c r="L70" i="22"/>
  <c r="AD70" i="22" s="1"/>
  <c r="T316" i="22"/>
  <c r="L316" i="22"/>
  <c r="AD316" i="22" s="1"/>
  <c r="AE316" i="22" s="1"/>
  <c r="L68" i="22"/>
  <c r="AD68" i="22" s="1"/>
  <c r="L67" i="22"/>
  <c r="AD67" i="22" s="1"/>
  <c r="L66" i="22"/>
  <c r="AD66" i="22" s="1"/>
  <c r="L64" i="22"/>
  <c r="AD64" i="22" s="1"/>
  <c r="AE64" i="22" s="1"/>
  <c r="L59" i="22"/>
  <c r="AD59" i="22" s="1"/>
  <c r="L56" i="22"/>
  <c r="AD56" i="22" s="1"/>
  <c r="AE56" i="22" s="1"/>
  <c r="T312" i="22"/>
  <c r="L312" i="22"/>
  <c r="AD312" i="22" s="1"/>
  <c r="L53" i="22"/>
  <c r="AD53" i="22" s="1"/>
  <c r="AE53" i="22" s="1"/>
  <c r="L311" i="22"/>
  <c r="AD311" i="22" s="1"/>
  <c r="AE311" i="22" s="1"/>
  <c r="T48" i="22"/>
  <c r="L48" i="22"/>
  <c r="AD48" i="22" s="1"/>
  <c r="T39" i="22"/>
  <c r="L39" i="22"/>
  <c r="AD39" i="22" s="1"/>
  <c r="T34" i="22"/>
  <c r="L34" i="22"/>
  <c r="AD34" i="22" s="1"/>
  <c r="T28" i="22"/>
  <c r="L28" i="22"/>
  <c r="AD28" i="22" s="1"/>
  <c r="T23" i="22"/>
  <c r="L23" i="22"/>
  <c r="AD23" i="22" s="1"/>
  <c r="T19" i="22"/>
  <c r="L19" i="22"/>
  <c r="AD19" i="22" s="1"/>
  <c r="T14" i="22"/>
  <c r="L14" i="22"/>
  <c r="AD14" i="22" s="1"/>
  <c r="T8" i="22"/>
  <c r="L8" i="22"/>
  <c r="AD8" i="22" s="1"/>
  <c r="T5" i="22"/>
  <c r="L5" i="22"/>
  <c r="AD5" i="22" s="1"/>
  <c r="T2" i="22"/>
  <c r="L2" i="22"/>
  <c r="I166" i="22" l="1"/>
  <c r="AE166" i="22" s="1"/>
  <c r="AF166" i="22" s="1"/>
  <c r="AH166" i="22"/>
  <c r="I169" i="22"/>
  <c r="AH169" i="22"/>
  <c r="AE165" i="22"/>
  <c r="AF165" i="22" s="1"/>
  <c r="AE350" i="22"/>
  <c r="AF350" i="22" s="1"/>
  <c r="AK165" i="22"/>
  <c r="AM165" i="22"/>
  <c r="AO395" i="22"/>
  <c r="AP395" i="22" s="1"/>
  <c r="AE294" i="22"/>
  <c r="AE336" i="22"/>
  <c r="AF336" i="22" s="1"/>
  <c r="AF395" i="22"/>
  <c r="AE170" i="22"/>
  <c r="AF170" i="22" s="1"/>
  <c r="AP39" i="22"/>
  <c r="AE39" i="22"/>
  <c r="AF39" i="22" s="1"/>
  <c r="AF95" i="22"/>
  <c r="AE85" i="22"/>
  <c r="AF85" i="22" s="1"/>
  <c r="AP85" i="22"/>
  <c r="AE312" i="22"/>
  <c r="AF312" i="22" s="1"/>
  <c r="AP312" i="22"/>
  <c r="AF107" i="22"/>
  <c r="AP107" i="22"/>
  <c r="AP389" i="22"/>
  <c r="AP23" i="22"/>
  <c r="AE23" i="22"/>
  <c r="AF23" i="22" s="1"/>
  <c r="AE34" i="22"/>
  <c r="AF34" i="22" s="1"/>
  <c r="AP34" i="22"/>
  <c r="AE5" i="22"/>
  <c r="AF5" i="22" s="1"/>
  <c r="AP5" i="22"/>
  <c r="AE8" i="22"/>
  <c r="AF8" i="22" s="1"/>
  <c r="AP8" i="22"/>
  <c r="AE48" i="22"/>
  <c r="AF48" i="22" s="1"/>
  <c r="AP48" i="22"/>
  <c r="AE14" i="22"/>
  <c r="AF14" i="22" s="1"/>
  <c r="AP14" i="22"/>
  <c r="AE19" i="22"/>
  <c r="AF19" i="22" s="1"/>
  <c r="AP19" i="22"/>
  <c r="AE28" i="22"/>
  <c r="AF28" i="22" s="1"/>
  <c r="AP28" i="22"/>
  <c r="AE389" i="22"/>
  <c r="AF389" i="22" s="1"/>
  <c r="AF64" i="22"/>
  <c r="AF53" i="22"/>
  <c r="AF73" i="22"/>
  <c r="AF244" i="22"/>
  <c r="AF316" i="22"/>
  <c r="AF82" i="22"/>
  <c r="AF84" i="22"/>
  <c r="AF311" i="22"/>
  <c r="AF56" i="22"/>
  <c r="AF80" i="22"/>
  <c r="AF60" i="22"/>
  <c r="AF65" i="22"/>
  <c r="AF318" i="22"/>
  <c r="AF63" i="22"/>
  <c r="AF91" i="22"/>
  <c r="AJ395" i="22"/>
  <c r="AM395" i="22" s="1"/>
  <c r="M497" i="22"/>
  <c r="AH497" i="22" s="1"/>
  <c r="AD497" i="22"/>
  <c r="AE497" i="22" s="1"/>
  <c r="M319" i="22"/>
  <c r="AH319" i="22" s="1"/>
  <c r="AD319" i="22"/>
  <c r="AE319" i="22" s="1"/>
  <c r="AF319" i="22" s="1"/>
  <c r="M155" i="22"/>
  <c r="AH155" i="22" s="1"/>
  <c r="AD155" i="22"/>
  <c r="AE155" i="22" s="1"/>
  <c r="M334" i="22"/>
  <c r="AH334" i="22" s="1"/>
  <c r="M435" i="22"/>
  <c r="AH435" i="22" s="1"/>
  <c r="AD435" i="22"/>
  <c r="AE435" i="22" s="1"/>
  <c r="AF435" i="22" s="1"/>
  <c r="M463" i="22"/>
  <c r="AH463" i="22" s="1"/>
  <c r="AD463" i="22"/>
  <c r="M217" i="22"/>
  <c r="AD217" i="22"/>
  <c r="AE217" i="22" s="1"/>
  <c r="M260" i="22"/>
  <c r="AH260" i="22" s="1"/>
  <c r="AD260" i="22"/>
  <c r="AE260" i="22" s="1"/>
  <c r="M472" i="22"/>
  <c r="AH472" i="22" s="1"/>
  <c r="AD472" i="22"/>
  <c r="M2" i="22"/>
  <c r="AH2" i="22" s="1"/>
  <c r="AD2" i="22"/>
  <c r="M180" i="22"/>
  <c r="AH180" i="22" s="1"/>
  <c r="AD180" i="22"/>
  <c r="AE180" i="22" s="1"/>
  <c r="M344" i="22"/>
  <c r="AH344" i="22" s="1"/>
  <c r="M371" i="22"/>
  <c r="AH371" i="22" s="1"/>
  <c r="AD371" i="22"/>
  <c r="AE371" i="22" s="1"/>
  <c r="M387" i="22"/>
  <c r="AH387" i="22" s="1"/>
  <c r="AD387" i="22"/>
  <c r="AE387" i="22" s="1"/>
  <c r="AF387" i="22" s="1"/>
  <c r="M422" i="22"/>
  <c r="AH422" i="22" s="1"/>
  <c r="AD422" i="22"/>
  <c r="M300" i="22"/>
  <c r="AH300" i="22" s="1"/>
  <c r="AD300" i="22"/>
  <c r="M135" i="22"/>
  <c r="AH135" i="22" s="1"/>
  <c r="AD135" i="22"/>
  <c r="AE135" i="22" s="1"/>
  <c r="AF135" i="22" s="1"/>
  <c r="M335" i="22"/>
  <c r="AH335" i="22" s="1"/>
  <c r="M436" i="22"/>
  <c r="AD436" i="22"/>
  <c r="M465" i="22"/>
  <c r="AH465" i="22" s="1"/>
  <c r="AD465" i="22"/>
  <c r="AE465" i="22" s="1"/>
  <c r="AF465" i="22" s="1"/>
  <c r="M221" i="22"/>
  <c r="AD221" i="22"/>
  <c r="M262" i="22"/>
  <c r="AH262" i="22" s="1"/>
  <c r="AD262" i="22"/>
  <c r="AE262" i="22" s="1"/>
  <c r="M476" i="22"/>
  <c r="AH476" i="22" s="1"/>
  <c r="AD476" i="22"/>
  <c r="M459" i="22"/>
  <c r="AH459" i="22" s="1"/>
  <c r="AP459" i="22"/>
  <c r="M360" i="22"/>
  <c r="AH360" i="22" s="1"/>
  <c r="AD360" i="22"/>
  <c r="AE360" i="22" s="1"/>
  <c r="M494" i="22"/>
  <c r="AH494" i="22" s="1"/>
  <c r="AD494" i="22"/>
  <c r="AE494" i="22" s="1"/>
  <c r="M362" i="22"/>
  <c r="AH362" i="22" s="1"/>
  <c r="AD362" i="22"/>
  <c r="AE362" i="22" s="1"/>
  <c r="M288" i="22"/>
  <c r="AH288" i="22" s="1"/>
  <c r="AD288" i="22"/>
  <c r="AE288" i="22" s="1"/>
  <c r="M174" i="22"/>
  <c r="AD174" i="22"/>
  <c r="AE174" i="22" s="1"/>
  <c r="M140" i="22"/>
  <c r="AH140" i="22" s="1"/>
  <c r="AD140" i="22"/>
  <c r="AE140" i="22" s="1"/>
  <c r="AF140" i="22" s="1"/>
  <c r="M390" i="22"/>
  <c r="AD390" i="22"/>
  <c r="M291" i="22"/>
  <c r="AH291" i="22" s="1"/>
  <c r="M184" i="22"/>
  <c r="AH184" i="22" s="1"/>
  <c r="AD184" i="22"/>
  <c r="M385" i="22"/>
  <c r="AH385" i="22" s="1"/>
  <c r="AD385" i="22"/>
  <c r="M346" i="22"/>
  <c r="AH346" i="22" s="1"/>
  <c r="AD346" i="22"/>
  <c r="AE346" i="22" s="1"/>
  <c r="M478" i="22"/>
  <c r="AD478" i="22"/>
  <c r="AE478" i="22" s="1"/>
  <c r="M122" i="22"/>
  <c r="AH122" i="22" s="1"/>
  <c r="AD122" i="22"/>
  <c r="M405" i="22"/>
  <c r="AD405" i="22"/>
  <c r="M484" i="22"/>
  <c r="AH484" i="22" s="1"/>
  <c r="AD484" i="22"/>
  <c r="AE484" i="22" s="1"/>
  <c r="M274" i="22"/>
  <c r="AH274" i="22" s="1"/>
  <c r="AD274" i="22"/>
  <c r="AE274" i="22" s="1"/>
  <c r="M337" i="22"/>
  <c r="AH337" i="22" s="1"/>
  <c r="AJ338" i="22"/>
  <c r="M230" i="22"/>
  <c r="AH230" i="22" s="1"/>
  <c r="AD230" i="22"/>
  <c r="AE230" i="22" s="1"/>
  <c r="M296" i="22"/>
  <c r="M152" i="22"/>
  <c r="AH152" i="22" s="1"/>
  <c r="AD152" i="22"/>
  <c r="AE152" i="22" s="1"/>
  <c r="M123" i="22"/>
  <c r="AH123" i="22" s="1"/>
  <c r="AD123" i="22"/>
  <c r="AE123" i="22" s="1"/>
  <c r="AJ384" i="22"/>
  <c r="AF134" i="22"/>
  <c r="AJ134" i="22"/>
  <c r="M156" i="22"/>
  <c r="AH156" i="22" s="1"/>
  <c r="AD156" i="22"/>
  <c r="AE156" i="22" s="1"/>
  <c r="M271" i="22"/>
  <c r="AH271" i="22" s="1"/>
  <c r="AD502" i="22"/>
  <c r="M467" i="22"/>
  <c r="AH467" i="22" s="1"/>
  <c r="M305" i="22"/>
  <c r="AH305" i="22" s="1"/>
  <c r="AD305" i="22"/>
  <c r="AE305" i="22" s="1"/>
  <c r="M348" i="22"/>
  <c r="AH348" i="22" s="1"/>
  <c r="AD348" i="22"/>
  <c r="AE348" i="22" s="1"/>
  <c r="M293" i="22"/>
  <c r="AH293" i="22" s="1"/>
  <c r="AD293" i="22"/>
  <c r="M424" i="22"/>
  <c r="AH424" i="22" s="1"/>
  <c r="AD424" i="22"/>
  <c r="M120" i="22"/>
  <c r="AH120" i="22" s="1"/>
  <c r="AD120" i="22"/>
  <c r="M324" i="22"/>
  <c r="AH324" i="22" s="1"/>
  <c r="AD324" i="22"/>
  <c r="M350" i="22"/>
  <c r="AH350" i="22" s="1"/>
  <c r="AJ409" i="22"/>
  <c r="M294" i="22"/>
  <c r="M278" i="22"/>
  <c r="AH278" i="22" s="1"/>
  <c r="AD278" i="22"/>
  <c r="AE278" i="22" s="1"/>
  <c r="M310" i="22"/>
  <c r="AH310" i="22" s="1"/>
  <c r="AD310" i="22"/>
  <c r="AE310" i="22" s="1"/>
  <c r="M191" i="22"/>
  <c r="AH191" i="22" s="1"/>
  <c r="AD191" i="22"/>
  <c r="M455" i="22"/>
  <c r="AH455" i="22" s="1"/>
  <c r="AD455" i="22"/>
  <c r="M450" i="22"/>
  <c r="AH450" i="22" s="1"/>
  <c r="AD450" i="22"/>
  <c r="AE450" i="22" s="1"/>
  <c r="M194" i="22"/>
  <c r="AH194" i="22" s="1"/>
  <c r="AD194" i="22"/>
  <c r="AE194" i="22" s="1"/>
  <c r="M299" i="22"/>
  <c r="AH299" i="22" s="1"/>
  <c r="AD299" i="22"/>
  <c r="M456" i="22"/>
  <c r="AH456" i="22" s="1"/>
  <c r="M200" i="22"/>
  <c r="AD200" i="22"/>
  <c r="AE200" i="22" s="1"/>
  <c r="M235" i="22"/>
  <c r="AH235" i="22" s="1"/>
  <c r="AD235" i="22"/>
  <c r="AE235" i="22" s="1"/>
  <c r="M283" i="22"/>
  <c r="AH283" i="22" s="1"/>
  <c r="M488" i="22"/>
  <c r="AH488" i="22" s="1"/>
  <c r="AD488" i="22"/>
  <c r="AE488" i="22" s="1"/>
  <c r="M461" i="22"/>
  <c r="AH461" i="22" s="1"/>
  <c r="M402" i="22"/>
  <c r="AH402" i="22" s="1"/>
  <c r="AD402" i="22"/>
  <c r="AE402" i="22" s="1"/>
  <c r="M468" i="22"/>
  <c r="AH468" i="22" s="1"/>
  <c r="M272" i="22"/>
  <c r="AH272" i="22" s="1"/>
  <c r="AD272" i="22"/>
  <c r="M445" i="22"/>
  <c r="AD445" i="22"/>
  <c r="AE445" i="22" s="1"/>
  <c r="M425" i="22"/>
  <c r="AH425" i="22" s="1"/>
  <c r="AD425" i="22"/>
  <c r="M196" i="22"/>
  <c r="AD196" i="22"/>
  <c r="AE196" i="22" s="1"/>
  <c r="M471" i="22"/>
  <c r="AH471" i="22" s="1"/>
  <c r="AD471" i="22"/>
  <c r="M113" i="22"/>
  <c r="AD113" i="22"/>
  <c r="AE113" i="22" s="1"/>
  <c r="M330" i="22"/>
  <c r="AH330" i="22" s="1"/>
  <c r="M340" i="22"/>
  <c r="AH340" i="22" s="1"/>
  <c r="M111" i="22"/>
  <c r="AH111" i="22" s="1"/>
  <c r="AD111" i="22"/>
  <c r="AE111" i="22" s="1"/>
  <c r="AF111" i="22" s="1"/>
  <c r="M117" i="22"/>
  <c r="AH117" i="22" s="1"/>
  <c r="M414" i="22"/>
  <c r="AD414" i="22"/>
  <c r="AE414" i="22" s="1"/>
  <c r="M339" i="22"/>
  <c r="AH339" i="22" s="1"/>
  <c r="M240" i="22"/>
  <c r="AH240" i="22" s="1"/>
  <c r="AD240" i="22"/>
  <c r="AE240" i="22" s="1"/>
  <c r="M127" i="22"/>
  <c r="AH127" i="22" s="1"/>
  <c r="M418" i="22"/>
  <c r="AH418" i="22" s="1"/>
  <c r="AD418" i="22"/>
  <c r="AE418" i="22" s="1"/>
  <c r="M124" i="22"/>
  <c r="AH124" i="22" s="1"/>
  <c r="AD124" i="22"/>
  <c r="AE124" i="22" s="1"/>
  <c r="M343" i="22"/>
  <c r="AH343" i="22" s="1"/>
  <c r="AD343" i="22"/>
  <c r="AE343" i="22" s="1"/>
  <c r="M121" i="22"/>
  <c r="AH121" i="22" s="1"/>
  <c r="AD121" i="22"/>
  <c r="M292" i="22"/>
  <c r="AH292" i="22" s="1"/>
  <c r="M265" i="22"/>
  <c r="AH265" i="22" s="1"/>
  <c r="AD265" i="22"/>
  <c r="AE265" i="22" s="1"/>
  <c r="M336" i="22"/>
  <c r="AH336" i="22" s="1"/>
  <c r="M118" i="22"/>
  <c r="AH118" i="22" s="1"/>
  <c r="AD118" i="22"/>
  <c r="M188" i="22"/>
  <c r="AH188" i="22" s="1"/>
  <c r="AD188" i="22"/>
  <c r="AE188" i="22" s="1"/>
  <c r="M119" i="22"/>
  <c r="AH119" i="22" s="1"/>
  <c r="AD119" i="22"/>
  <c r="M327" i="22"/>
  <c r="AH327" i="22" s="1"/>
  <c r="AD327" i="22"/>
  <c r="AE327" i="22" s="1"/>
  <c r="M412" i="22"/>
  <c r="AH412" i="22" s="1"/>
  <c r="AD412" i="22"/>
  <c r="AE412" i="22" s="1"/>
  <c r="AF412" i="22" s="1"/>
  <c r="M141" i="22"/>
  <c r="AH141" i="22" s="1"/>
  <c r="AD141" i="22"/>
  <c r="AE141" i="22" s="1"/>
  <c r="M276" i="22"/>
  <c r="AH276" i="22" s="1"/>
  <c r="AD276" i="22"/>
  <c r="M170" i="22"/>
  <c r="AH170" i="22" s="1"/>
  <c r="M457" i="22"/>
  <c r="AH457" i="22" s="1"/>
  <c r="AD457" i="22"/>
  <c r="AE457" i="22" s="1"/>
  <c r="M205" i="22"/>
  <c r="AH205" i="22" s="1"/>
  <c r="AD205" i="22"/>
  <c r="AE205" i="22" s="1"/>
  <c r="M244" i="22"/>
  <c r="AH244" i="22" s="1"/>
  <c r="M284" i="22"/>
  <c r="AH284" i="22" s="1"/>
  <c r="AD284" i="22"/>
  <c r="AE284" i="22" s="1"/>
  <c r="M130" i="22"/>
  <c r="AH130" i="22" s="1"/>
  <c r="AP130" i="22"/>
  <c r="M341" i="22"/>
  <c r="AH341" i="22" s="1"/>
  <c r="AD341" i="22"/>
  <c r="M432" i="22"/>
  <c r="AH432" i="22" s="1"/>
  <c r="AP432" i="22"/>
  <c r="M434" i="22"/>
  <c r="AH434" i="22" s="1"/>
  <c r="AP434" i="22"/>
  <c r="M183" i="22"/>
  <c r="AH183" i="22" s="1"/>
  <c r="AD183" i="22"/>
  <c r="AE183" i="22" s="1"/>
  <c r="M423" i="22"/>
  <c r="AH423" i="22" s="1"/>
  <c r="AD423" i="22"/>
  <c r="M159" i="22"/>
  <c r="AH159" i="22" s="1"/>
  <c r="AD159" i="22"/>
  <c r="M442" i="22"/>
  <c r="AH442" i="22" s="1"/>
  <c r="AD442" i="22"/>
  <c r="AE442" i="22" s="1"/>
  <c r="M301" i="22"/>
  <c r="AH301" i="22" s="1"/>
  <c r="AD301" i="22"/>
  <c r="M186" i="22"/>
  <c r="AH186" i="22" s="1"/>
  <c r="AD186" i="22"/>
  <c r="AE186" i="22" s="1"/>
  <c r="M309" i="22"/>
  <c r="AH309" i="22" s="1"/>
  <c r="AD309" i="22"/>
  <c r="AE309" i="22" s="1"/>
  <c r="M373" i="22"/>
  <c r="AH373" i="22" s="1"/>
  <c r="M469" i="22"/>
  <c r="AH469" i="22" s="1"/>
  <c r="AD469" i="22"/>
  <c r="AE469" i="22" s="1"/>
  <c r="M160" i="22"/>
  <c r="AH160" i="22" s="1"/>
  <c r="AD160" i="22"/>
  <c r="AE160" i="22" s="1"/>
  <c r="M486" i="22"/>
  <c r="AH486" i="22" s="1"/>
  <c r="AD486" i="22"/>
  <c r="AE486" i="22" s="1"/>
  <c r="M374" i="22"/>
  <c r="AH374" i="22" s="1"/>
  <c r="AD374" i="22"/>
  <c r="AE374" i="22" s="1"/>
  <c r="AF374" i="22" s="1"/>
  <c r="M470" i="22"/>
  <c r="AH470" i="22" s="1"/>
  <c r="AD470" i="22"/>
  <c r="AE470" i="22" s="1"/>
  <c r="M280" i="22"/>
  <c r="AH280" i="22" s="1"/>
  <c r="AD280" i="22"/>
  <c r="AE280" i="22" s="1"/>
  <c r="M126" i="22"/>
  <c r="AH126" i="22" s="1"/>
  <c r="M192" i="22"/>
  <c r="AH192" i="22" s="1"/>
  <c r="AD192" i="22"/>
  <c r="M147" i="22"/>
  <c r="AD147" i="22"/>
  <c r="AE147" i="22" s="1"/>
  <c r="M182" i="22"/>
  <c r="AH182" i="22" s="1"/>
  <c r="AD182" i="22"/>
  <c r="AE182" i="22" s="1"/>
  <c r="M355" i="22"/>
  <c r="AH355" i="22" s="1"/>
  <c r="AD355" i="22"/>
  <c r="AE355" i="22" s="1"/>
  <c r="AJ381" i="22"/>
  <c r="M302" i="22"/>
  <c r="AH302" i="22" s="1"/>
  <c r="AD302" i="22"/>
  <c r="M417" i="22"/>
  <c r="AH417" i="22" s="1"/>
  <c r="AD417" i="22"/>
  <c r="M429" i="22"/>
  <c r="AH429" i="22" s="1"/>
  <c r="AD429" i="22"/>
  <c r="M258" i="22"/>
  <c r="AH258" i="22" s="1"/>
  <c r="AD258" i="22"/>
  <c r="AE258" i="22" s="1"/>
  <c r="M491" i="22"/>
  <c r="AH491" i="22" s="1"/>
  <c r="AD491" i="22"/>
  <c r="AE491" i="22" s="1"/>
  <c r="AJ53" i="22"/>
  <c r="M28" i="22"/>
  <c r="AH28" i="22" s="1"/>
  <c r="L172" i="22"/>
  <c r="AD172" i="22" s="1"/>
  <c r="AE172" i="22" s="1"/>
  <c r="AF172" i="22" s="1"/>
  <c r="M39" i="22"/>
  <c r="AH39" i="22" s="1"/>
  <c r="M59" i="22"/>
  <c r="AH59" i="22" s="1"/>
  <c r="M72" i="22"/>
  <c r="AH72" i="22" s="1"/>
  <c r="M105" i="22"/>
  <c r="AH105" i="22" s="1"/>
  <c r="AJ94" i="22"/>
  <c r="AJ389" i="22"/>
  <c r="L173" i="22"/>
  <c r="M316" i="22"/>
  <c r="M71" i="22"/>
  <c r="AH71" i="22" s="1"/>
  <c r="M5" i="22"/>
  <c r="AH5" i="22" s="1"/>
  <c r="M78" i="22"/>
  <c r="AH78" i="22" s="1"/>
  <c r="L131" i="22"/>
  <c r="M88" i="22"/>
  <c r="AH88" i="22" s="1"/>
  <c r="M70" i="22"/>
  <c r="AH70" i="22" s="1"/>
  <c r="M60" i="22"/>
  <c r="AH60" i="22" s="1"/>
  <c r="M80" i="22"/>
  <c r="AH80" i="22" s="1"/>
  <c r="AJ166" i="22"/>
  <c r="AM166" i="22" s="1"/>
  <c r="M91" i="22"/>
  <c r="M77" i="22"/>
  <c r="AH77" i="22" s="1"/>
  <c r="AJ56" i="22"/>
  <c r="M93" i="22"/>
  <c r="AH93" i="22" s="1"/>
  <c r="M64" i="22"/>
  <c r="AH64" i="22" s="1"/>
  <c r="M65" i="22"/>
  <c r="AH65" i="22" s="1"/>
  <c r="M48" i="22"/>
  <c r="AH48" i="22" s="1"/>
  <c r="M75" i="22"/>
  <c r="AH75" i="22" s="1"/>
  <c r="M95" i="22"/>
  <c r="AH95" i="22" s="1"/>
  <c r="AJ79" i="22"/>
  <c r="AJ169" i="22"/>
  <c r="AM169" i="22" s="1"/>
  <c r="M318" i="22"/>
  <c r="AH318" i="22" s="1"/>
  <c r="M84" i="22"/>
  <c r="AH84" i="22" s="1"/>
  <c r="M68" i="22"/>
  <c r="AH68" i="22" s="1"/>
  <c r="M34" i="22"/>
  <c r="AH34" i="22" s="1"/>
  <c r="M107" i="22"/>
  <c r="AH107" i="22" s="1"/>
  <c r="AJ89" i="22"/>
  <c r="AJ97" i="22"/>
  <c r="AJ82" i="22"/>
  <c r="M19" i="22"/>
  <c r="AH19" i="22" s="1"/>
  <c r="M23" i="22"/>
  <c r="AH23" i="22" s="1"/>
  <c r="AJ8" i="22"/>
  <c r="M66" i="22"/>
  <c r="AH66" i="22" s="1"/>
  <c r="M67" i="22"/>
  <c r="AH67" i="22" s="1"/>
  <c r="L394" i="22"/>
  <c r="AD394" i="22" s="1"/>
  <c r="AE394" i="22" s="1"/>
  <c r="AF394" i="22" s="1"/>
  <c r="M312" i="22"/>
  <c r="AH312" i="22" s="1"/>
  <c r="M63" i="22"/>
  <c r="AH63" i="22" s="1"/>
  <c r="M73" i="22"/>
  <c r="AH73" i="22" s="1"/>
  <c r="M14" i="22"/>
  <c r="AH14" i="22" s="1"/>
  <c r="M69" i="22"/>
  <c r="AH69" i="22" s="1"/>
  <c r="M311" i="22"/>
  <c r="AH311" i="22" s="1"/>
  <c r="M85" i="22"/>
  <c r="AH85" i="22" s="1"/>
  <c r="AJ112" i="22"/>
  <c r="I296" i="22"/>
  <c r="AE296" i="22" s="1"/>
  <c r="T337" i="22"/>
  <c r="T336" i="22"/>
  <c r="I168" i="22"/>
  <c r="AE168" i="22" s="1"/>
  <c r="AF168" i="22" s="1"/>
  <c r="M56" i="22"/>
  <c r="AH56" i="22" s="1"/>
  <c r="M338" i="22"/>
  <c r="AH338" i="22" s="1"/>
  <c r="M112" i="22"/>
  <c r="AH112" i="22" s="1"/>
  <c r="L65" i="20"/>
  <c r="J59" i="20"/>
  <c r="L59" i="20" s="1"/>
  <c r="L64" i="20" s="1"/>
  <c r="L54" i="20"/>
  <c r="J48" i="20"/>
  <c r="L48" i="20" s="1"/>
  <c r="L53" i="20" s="1"/>
  <c r="L43" i="20"/>
  <c r="G42" i="20"/>
  <c r="J42" i="20" s="1"/>
  <c r="L32" i="20"/>
  <c r="J26" i="20"/>
  <c r="L26" i="20" s="1"/>
  <c r="L31" i="20" s="1"/>
  <c r="L21" i="20"/>
  <c r="J15" i="20"/>
  <c r="L15" i="20" s="1"/>
  <c r="L20" i="20" s="1"/>
  <c r="I167" i="22"/>
  <c r="AE167" i="22" s="1"/>
  <c r="AF167" i="22" s="1"/>
  <c r="M134" i="22"/>
  <c r="AH134" i="22" s="1"/>
  <c r="M53" i="22"/>
  <c r="AH53" i="22" s="1"/>
  <c r="M89" i="22"/>
  <c r="AH89" i="22" s="1"/>
  <c r="M94" i="22"/>
  <c r="AH94" i="22" s="1"/>
  <c r="M395" i="22"/>
  <c r="AH395" i="22" s="1"/>
  <c r="M8" i="22"/>
  <c r="M384" i="22"/>
  <c r="AH384" i="22" s="1"/>
  <c r="M409" i="22"/>
  <c r="AH409" i="22" s="1"/>
  <c r="M79" i="22"/>
  <c r="AH79" i="22" s="1"/>
  <c r="M82" i="22"/>
  <c r="AH82" i="22" s="1"/>
  <c r="M97" i="22"/>
  <c r="AH97" i="22" s="1"/>
  <c r="M389" i="22"/>
  <c r="AH389" i="22" s="1"/>
  <c r="M381" i="22"/>
  <c r="AH381" i="22" s="1"/>
  <c r="AL8" i="22" l="1"/>
  <c r="AH8" i="22"/>
  <c r="AL91" i="22"/>
  <c r="AH91" i="22"/>
  <c r="AL316" i="22"/>
  <c r="AH316" i="22"/>
  <c r="AL147" i="22"/>
  <c r="AH147" i="22"/>
  <c r="AL414" i="22"/>
  <c r="AH414" i="22"/>
  <c r="AL113" i="22"/>
  <c r="AH113" i="22"/>
  <c r="AL196" i="22"/>
  <c r="AH196" i="22"/>
  <c r="AL445" i="22"/>
  <c r="AH445" i="22"/>
  <c r="AL200" i="22"/>
  <c r="AH200" i="22"/>
  <c r="AL294" i="22"/>
  <c r="AH294" i="22"/>
  <c r="AL296" i="22"/>
  <c r="AH296" i="22"/>
  <c r="AL405" i="22"/>
  <c r="AH405" i="22"/>
  <c r="AL478" i="22"/>
  <c r="AH478" i="22"/>
  <c r="AL390" i="22"/>
  <c r="AH390" i="22"/>
  <c r="AL174" i="22"/>
  <c r="AH174" i="22"/>
  <c r="AL221" i="22"/>
  <c r="AH221" i="22"/>
  <c r="AL436" i="22"/>
  <c r="AH436" i="22"/>
  <c r="AL217" i="22"/>
  <c r="AH217" i="22"/>
  <c r="AE385" i="22"/>
  <c r="AF385" i="22" s="1"/>
  <c r="AO396" i="22"/>
  <c r="AP396" i="22" s="1"/>
  <c r="AJ396" i="22"/>
  <c r="AF396" i="22"/>
  <c r="AJ296" i="22"/>
  <c r="AP429" i="22"/>
  <c r="AE429" i="22"/>
  <c r="AF429" i="22" s="1"/>
  <c r="AP472" i="22"/>
  <c r="AE472" i="22"/>
  <c r="AF472" i="22" s="1"/>
  <c r="AP463" i="22"/>
  <c r="AE463" i="22"/>
  <c r="AF463" i="22" s="1"/>
  <c r="AP341" i="22"/>
  <c r="AE341" i="22"/>
  <c r="AF341" i="22" s="1"/>
  <c r="AE425" i="22"/>
  <c r="AF425" i="22" s="1"/>
  <c r="AP425" i="22"/>
  <c r="AE390" i="22"/>
  <c r="AF390" i="22" s="1"/>
  <c r="AP390" i="22"/>
  <c r="AE502" i="22"/>
  <c r="AF502" i="22" s="1"/>
  <c r="AP502" i="22"/>
  <c r="AP221" i="22"/>
  <c r="AE221" i="22"/>
  <c r="AF221" i="22" s="1"/>
  <c r="AE324" i="22"/>
  <c r="AF324" i="22" s="1"/>
  <c r="AP324" i="22"/>
  <c r="AF147" i="22"/>
  <c r="AP147" i="22"/>
  <c r="AE436" i="22"/>
  <c r="AF436" i="22" s="1"/>
  <c r="AP436" i="22"/>
  <c r="AE405" i="22"/>
  <c r="AF405" i="22" s="1"/>
  <c r="AP405" i="22"/>
  <c r="AE2" i="22"/>
  <c r="AF2" i="22" s="1"/>
  <c r="AP2" i="22"/>
  <c r="AJ2" i="22"/>
  <c r="AM2" i="22" s="1"/>
  <c r="AK395" i="22"/>
  <c r="AJ336" i="22"/>
  <c r="AM336" i="22" s="1"/>
  <c r="AJ390" i="22"/>
  <c r="AK390" i="22" s="1"/>
  <c r="AJ111" i="22"/>
  <c r="AM111" i="22" s="1"/>
  <c r="AJ302" i="22"/>
  <c r="AK302" i="22" s="1"/>
  <c r="AJ301" i="22"/>
  <c r="AM301" i="22" s="1"/>
  <c r="AJ300" i="22"/>
  <c r="AM300" i="22" s="1"/>
  <c r="AJ299" i="22"/>
  <c r="AM299" i="22" s="1"/>
  <c r="AF309" i="22"/>
  <c r="AJ309" i="22"/>
  <c r="AF265" i="22"/>
  <c r="AJ265" i="22"/>
  <c r="AJ122" i="22"/>
  <c r="AF362" i="22"/>
  <c r="AJ362" i="22"/>
  <c r="AJ341" i="22"/>
  <c r="AF200" i="22"/>
  <c r="AJ200" i="22"/>
  <c r="AJ117" i="22"/>
  <c r="AF346" i="22"/>
  <c r="AJ346" i="22"/>
  <c r="AF494" i="22"/>
  <c r="AJ494" i="22"/>
  <c r="AJ135" i="22"/>
  <c r="AF260" i="22"/>
  <c r="AJ260" i="22"/>
  <c r="M173" i="22"/>
  <c r="AH173" i="22" s="1"/>
  <c r="AD173" i="22"/>
  <c r="AJ429" i="22"/>
  <c r="AF470" i="22"/>
  <c r="AJ470" i="22"/>
  <c r="AF141" i="22"/>
  <c r="AJ141" i="22"/>
  <c r="AJ350" i="22"/>
  <c r="AF156" i="22"/>
  <c r="AJ156" i="22"/>
  <c r="AF442" i="22"/>
  <c r="AJ442" i="22"/>
  <c r="AF343" i="22"/>
  <c r="AJ343" i="22"/>
  <c r="AJ385" i="22"/>
  <c r="AF360" i="22"/>
  <c r="AJ360" i="22"/>
  <c r="AF217" i="22"/>
  <c r="AJ217" i="22"/>
  <c r="AJ417" i="22"/>
  <c r="AJ374" i="22"/>
  <c r="AJ272" i="22"/>
  <c r="AJ324" i="22"/>
  <c r="AK338" i="22"/>
  <c r="AM338" i="22"/>
  <c r="AJ159" i="22"/>
  <c r="AM159" i="22" s="1"/>
  <c r="AJ412" i="22"/>
  <c r="AF124" i="22"/>
  <c r="AJ124" i="22"/>
  <c r="AJ340" i="22"/>
  <c r="AJ184" i="22"/>
  <c r="AJ459" i="22"/>
  <c r="AJ422" i="22"/>
  <c r="AJ463" i="22"/>
  <c r="AJ294" i="22"/>
  <c r="AM294" i="22" s="1"/>
  <c r="AF486" i="22"/>
  <c r="AJ468" i="22"/>
  <c r="AF194" i="22"/>
  <c r="AJ194" i="22"/>
  <c r="AJ120" i="22"/>
  <c r="AM134" i="22"/>
  <c r="AK134" i="22"/>
  <c r="AJ337" i="22"/>
  <c r="AF284" i="22"/>
  <c r="AJ284" i="22"/>
  <c r="AJ455" i="22"/>
  <c r="M131" i="22"/>
  <c r="AH131" i="22" s="1"/>
  <c r="AD131" i="22"/>
  <c r="AE131" i="22" s="1"/>
  <c r="AJ191" i="22"/>
  <c r="AF348" i="22"/>
  <c r="AJ348" i="22"/>
  <c r="AF152" i="22"/>
  <c r="AJ152" i="22"/>
  <c r="AF327" i="22"/>
  <c r="AJ327" i="22"/>
  <c r="AJ291" i="22"/>
  <c r="AJ476" i="22"/>
  <c r="AJ130" i="22"/>
  <c r="AF450" i="22"/>
  <c r="AJ450" i="22"/>
  <c r="AF262" i="22"/>
  <c r="AJ262" i="22"/>
  <c r="AF160" i="22"/>
  <c r="AJ160" i="22"/>
  <c r="AM160" i="22" s="1"/>
  <c r="AJ461" i="22"/>
  <c r="AJ127" i="22"/>
  <c r="AJ221" i="22"/>
  <c r="AF182" i="22"/>
  <c r="AJ182" i="22"/>
  <c r="AF310" i="22"/>
  <c r="AJ310" i="22"/>
  <c r="AF491" i="22"/>
  <c r="AJ491" i="22"/>
  <c r="AJ425" i="22"/>
  <c r="AF186" i="22"/>
  <c r="AJ186" i="22"/>
  <c r="AJ292" i="22"/>
  <c r="AF478" i="22"/>
  <c r="AJ478" i="22"/>
  <c r="AF258" i="22"/>
  <c r="AJ258" i="22"/>
  <c r="AM409" i="22"/>
  <c r="AK409" i="22"/>
  <c r="AJ330" i="22"/>
  <c r="AJ435" i="22"/>
  <c r="AM381" i="22"/>
  <c r="AK381" i="22"/>
  <c r="AF402" i="22"/>
  <c r="AJ402" i="22"/>
  <c r="AM384" i="22"/>
  <c r="AK384" i="22"/>
  <c r="AF183" i="22"/>
  <c r="AJ183" i="22"/>
  <c r="AJ119" i="22"/>
  <c r="AF371" i="22"/>
  <c r="AJ371" i="22"/>
  <c r="AF355" i="22"/>
  <c r="AJ293" i="22"/>
  <c r="M394" i="22"/>
  <c r="AH394" i="22" s="1"/>
  <c r="AP394" i="22"/>
  <c r="AF188" i="22"/>
  <c r="AJ188" i="22"/>
  <c r="AF155" i="22"/>
  <c r="AJ155" i="22"/>
  <c r="AJ121" i="22"/>
  <c r="AK121" i="22" s="1"/>
  <c r="AF469" i="22"/>
  <c r="AJ469" i="22"/>
  <c r="AJ244" i="22"/>
  <c r="AF488" i="22"/>
  <c r="AJ488" i="22"/>
  <c r="AF180" i="22"/>
  <c r="AJ180" i="22"/>
  <c r="M172" i="22"/>
  <c r="AH172" i="22" s="1"/>
  <c r="AJ147" i="22"/>
  <c r="AJ434" i="22"/>
  <c r="AF205" i="22"/>
  <c r="AJ205" i="22"/>
  <c r="AF196" i="22"/>
  <c r="AJ196" i="22"/>
  <c r="AJ283" i="22"/>
  <c r="AF305" i="22"/>
  <c r="AJ305" i="22"/>
  <c r="AJ339" i="22"/>
  <c r="AJ405" i="22"/>
  <c r="AF288" i="22"/>
  <c r="AJ288" i="22"/>
  <c r="AJ436" i="22"/>
  <c r="AF497" i="22"/>
  <c r="AJ497" i="22"/>
  <c r="AF414" i="22"/>
  <c r="AJ414" i="22"/>
  <c r="AJ126" i="22"/>
  <c r="AJ502" i="22"/>
  <c r="AJ335" i="22"/>
  <c r="AM335" i="22" s="1"/>
  <c r="AJ472" i="22"/>
  <c r="AF280" i="22"/>
  <c r="AJ276" i="22"/>
  <c r="AF445" i="22"/>
  <c r="AJ445" i="22"/>
  <c r="AJ456" i="22"/>
  <c r="AJ271" i="22"/>
  <c r="AF418" i="22"/>
  <c r="AJ418" i="22"/>
  <c r="AJ387" i="22"/>
  <c r="AJ424" i="22"/>
  <c r="AF274" i="22"/>
  <c r="AJ274" i="22"/>
  <c r="AJ334" i="22"/>
  <c r="AM334" i="22" s="1"/>
  <c r="AF113" i="22"/>
  <c r="AJ113" i="22"/>
  <c r="AF123" i="22"/>
  <c r="AJ123" i="22"/>
  <c r="AJ140" i="22"/>
  <c r="AJ344" i="22"/>
  <c r="AJ471" i="22"/>
  <c r="AJ118" i="22"/>
  <c r="AF240" i="22"/>
  <c r="AJ240" i="22"/>
  <c r="AF484" i="22"/>
  <c r="AJ484" i="22"/>
  <c r="AF174" i="22"/>
  <c r="AJ174" i="22"/>
  <c r="AJ465" i="22"/>
  <c r="AJ319" i="22"/>
  <c r="AJ373" i="22"/>
  <c r="AJ192" i="22"/>
  <c r="AJ432" i="22"/>
  <c r="AF457" i="22"/>
  <c r="AJ457" i="22"/>
  <c r="AF235" i="22"/>
  <c r="AJ235" i="22"/>
  <c r="AF278" i="22"/>
  <c r="AJ278" i="22"/>
  <c r="AJ467" i="22"/>
  <c r="AF230" i="22"/>
  <c r="AJ230" i="22"/>
  <c r="AK166" i="22"/>
  <c r="AK89" i="22"/>
  <c r="AJ107" i="22"/>
  <c r="AJ14" i="22"/>
  <c r="AJ59" i="22"/>
  <c r="AK79" i="22"/>
  <c r="AM79" i="22"/>
  <c r="AJ48" i="22"/>
  <c r="AJ73" i="22"/>
  <c r="AK8" i="22"/>
  <c r="AM8" i="22"/>
  <c r="AJ72" i="22"/>
  <c r="AJ91" i="22"/>
  <c r="AJ80" i="22"/>
  <c r="AJ63" i="22"/>
  <c r="AJ167" i="22"/>
  <c r="AM167" i="22" s="1"/>
  <c r="AJ68" i="22"/>
  <c r="AJ19" i="22"/>
  <c r="AJ88" i="22"/>
  <c r="AJ34" i="22"/>
  <c r="AJ23" i="22"/>
  <c r="AJ60" i="22"/>
  <c r="AJ312" i="22"/>
  <c r="AK97" i="22"/>
  <c r="AM97" i="22"/>
  <c r="AJ318" i="22"/>
  <c r="AJ78" i="22"/>
  <c r="AK94" i="22"/>
  <c r="AJ71" i="22"/>
  <c r="AJ66" i="22"/>
  <c r="AJ39" i="22"/>
  <c r="AJ70" i="22"/>
  <c r="AJ64" i="22"/>
  <c r="AJ28" i="22"/>
  <c r="AM56" i="22"/>
  <c r="AK56" i="22"/>
  <c r="AJ69" i="22"/>
  <c r="AJ95" i="22"/>
  <c r="AJ75" i="22"/>
  <c r="AJ168" i="22"/>
  <c r="AM168" i="22" s="1"/>
  <c r="AJ65" i="22"/>
  <c r="AK389" i="22"/>
  <c r="AM389" i="22"/>
  <c r="AJ311" i="22"/>
  <c r="AK169" i="22"/>
  <c r="AJ77" i="22"/>
  <c r="AJ5" i="22"/>
  <c r="AJ105" i="22"/>
  <c r="AK53" i="22"/>
  <c r="AM53" i="22"/>
  <c r="AJ67" i="22"/>
  <c r="AJ316" i="22"/>
  <c r="AJ84" i="22"/>
  <c r="AJ93" i="22"/>
  <c r="AM82" i="22"/>
  <c r="AK82" i="22"/>
  <c r="AK112" i="22"/>
  <c r="AM112" i="22"/>
  <c r="AM396" i="22" l="1"/>
  <c r="AK396" i="22"/>
  <c r="AM296" i="22"/>
  <c r="AK296" i="22"/>
  <c r="AK2" i="22"/>
  <c r="AK336" i="22"/>
  <c r="AK111" i="22"/>
  <c r="AK300" i="22"/>
  <c r="AK301" i="22"/>
  <c r="AK299" i="22"/>
  <c r="AM302" i="22"/>
  <c r="AM390" i="22"/>
  <c r="AK294" i="22"/>
  <c r="AK405" i="22"/>
  <c r="AM405" i="22"/>
  <c r="AK459" i="22"/>
  <c r="AM459" i="22"/>
  <c r="AM274" i="22"/>
  <c r="AK274" i="22"/>
  <c r="AK130" i="22"/>
  <c r="AM130" i="22"/>
  <c r="AK337" i="22"/>
  <c r="AM337" i="22"/>
  <c r="AK278" i="22"/>
  <c r="AM278" i="22"/>
  <c r="AK335" i="22"/>
  <c r="AK119" i="22"/>
  <c r="AM119" i="22"/>
  <c r="AK310" i="22"/>
  <c r="AM310" i="22"/>
  <c r="AK476" i="22"/>
  <c r="AM476" i="22"/>
  <c r="AM340" i="22"/>
  <c r="AK340" i="22"/>
  <c r="AM417" i="22"/>
  <c r="AK417" i="22"/>
  <c r="AK141" i="22"/>
  <c r="AM141" i="22"/>
  <c r="AK350" i="22"/>
  <c r="AM350" i="22"/>
  <c r="AK230" i="22"/>
  <c r="AM230" i="22"/>
  <c r="AK488" i="22"/>
  <c r="AM488" i="22"/>
  <c r="AK450" i="22"/>
  <c r="AM450" i="22"/>
  <c r="AK467" i="22"/>
  <c r="AM467" i="22"/>
  <c r="AK184" i="22"/>
  <c r="AM184" i="22"/>
  <c r="AM374" i="22"/>
  <c r="AK374" i="22"/>
  <c r="AK117" i="22"/>
  <c r="AM117" i="22"/>
  <c r="AK484" i="22"/>
  <c r="AM484" i="22"/>
  <c r="AK424" i="22"/>
  <c r="AM424" i="22"/>
  <c r="AK305" i="22"/>
  <c r="AM305" i="22"/>
  <c r="AK469" i="22"/>
  <c r="AM469" i="22"/>
  <c r="AK235" i="22"/>
  <c r="AM235" i="22"/>
  <c r="AK240" i="22"/>
  <c r="AM240" i="22"/>
  <c r="AM502" i="22"/>
  <c r="AK502" i="22"/>
  <c r="AK283" i="22"/>
  <c r="AM283" i="22"/>
  <c r="AM183" i="22"/>
  <c r="AK183" i="22"/>
  <c r="AK258" i="22"/>
  <c r="AM258" i="22"/>
  <c r="AK182" i="22"/>
  <c r="AM182" i="22"/>
  <c r="AM291" i="22"/>
  <c r="AK291" i="22"/>
  <c r="AK120" i="22"/>
  <c r="AM120" i="22"/>
  <c r="AK124" i="22"/>
  <c r="AM124" i="22"/>
  <c r="AK217" i="22"/>
  <c r="AM217" i="22"/>
  <c r="AM200" i="22"/>
  <c r="AK200" i="22"/>
  <c r="AM118" i="22"/>
  <c r="AK118" i="22"/>
  <c r="AM387" i="22"/>
  <c r="AK387" i="22"/>
  <c r="AK126" i="22"/>
  <c r="AM126" i="22"/>
  <c r="AM196" i="22"/>
  <c r="AK196" i="22"/>
  <c r="AK155" i="22"/>
  <c r="AM155" i="22"/>
  <c r="AM478" i="22"/>
  <c r="AK478" i="22"/>
  <c r="AK221" i="22"/>
  <c r="AM221" i="22"/>
  <c r="AK327" i="22"/>
  <c r="AM327" i="22"/>
  <c r="AK194" i="22"/>
  <c r="AM194" i="22"/>
  <c r="AK422" i="22"/>
  <c r="AM422" i="22"/>
  <c r="AM244" i="22"/>
  <c r="AK244" i="22"/>
  <c r="AK360" i="22"/>
  <c r="AM360" i="22"/>
  <c r="AM414" i="22"/>
  <c r="AK414" i="22"/>
  <c r="AK468" i="22"/>
  <c r="AM468" i="22"/>
  <c r="AK159" i="22"/>
  <c r="AK385" i="22"/>
  <c r="AM385" i="22"/>
  <c r="AM432" i="22"/>
  <c r="AK432" i="22"/>
  <c r="AM348" i="22"/>
  <c r="AK348" i="22"/>
  <c r="AM121" i="22"/>
  <c r="AJ173" i="22"/>
  <c r="AM173" i="22" s="1"/>
  <c r="AK147" i="22"/>
  <c r="AM147" i="22"/>
  <c r="AK461" i="22"/>
  <c r="AM461" i="22"/>
  <c r="AK330" i="22"/>
  <c r="AM330" i="22"/>
  <c r="AF131" i="22"/>
  <c r="AJ131" i="22"/>
  <c r="AM494" i="22"/>
  <c r="AK494" i="22"/>
  <c r="AM465" i="22"/>
  <c r="AK465" i="22"/>
  <c r="AK371" i="22"/>
  <c r="AM371" i="22"/>
  <c r="AK284" i="22"/>
  <c r="AM284" i="22"/>
  <c r="AK174" i="22"/>
  <c r="AM174" i="22"/>
  <c r="AK472" i="22"/>
  <c r="AM472" i="22"/>
  <c r="AM491" i="22"/>
  <c r="AK491" i="22"/>
  <c r="AM412" i="22"/>
  <c r="AK412" i="22"/>
  <c r="AK470" i="22"/>
  <c r="AM470" i="22"/>
  <c r="AK457" i="22"/>
  <c r="AM457" i="22"/>
  <c r="AM471" i="22"/>
  <c r="AK471" i="22"/>
  <c r="AK418" i="22"/>
  <c r="AM418" i="22"/>
  <c r="AK205" i="22"/>
  <c r="AM205" i="22"/>
  <c r="AK188" i="22"/>
  <c r="AM188" i="22"/>
  <c r="AM402" i="22"/>
  <c r="AK402" i="22"/>
  <c r="AM127" i="22"/>
  <c r="AK127" i="22"/>
  <c r="AK152" i="22"/>
  <c r="AM152" i="22"/>
  <c r="AK429" i="22"/>
  <c r="AM429" i="22"/>
  <c r="AK271" i="22"/>
  <c r="AM271" i="22"/>
  <c r="AK343" i="22"/>
  <c r="AM343" i="22"/>
  <c r="AM140" i="22"/>
  <c r="AK140" i="22"/>
  <c r="AM435" i="22"/>
  <c r="AK435" i="22"/>
  <c r="AK442" i="22"/>
  <c r="AM442" i="22"/>
  <c r="AM265" i="22"/>
  <c r="AK265" i="22"/>
  <c r="AK373" i="22"/>
  <c r="AM373" i="22"/>
  <c r="AK436" i="22"/>
  <c r="AM436" i="22"/>
  <c r="AK463" i="22"/>
  <c r="AM463" i="22"/>
  <c r="AM324" i="22"/>
  <c r="AK324" i="22"/>
  <c r="AM156" i="22"/>
  <c r="AK156" i="22"/>
  <c r="AK135" i="22"/>
  <c r="AM135" i="22"/>
  <c r="AK309" i="22"/>
  <c r="AM309" i="22"/>
  <c r="AK272" i="22"/>
  <c r="AM272" i="22"/>
  <c r="AK334" i="22"/>
  <c r="AK346" i="22"/>
  <c r="AM346" i="22"/>
  <c r="AK339" i="22"/>
  <c r="AM339" i="22"/>
  <c r="AK341" i="22"/>
  <c r="AM341" i="22"/>
  <c r="AK362" i="22"/>
  <c r="AM362" i="22"/>
  <c r="AK344" i="22"/>
  <c r="AM344" i="22"/>
  <c r="AM497" i="22"/>
  <c r="AK497" i="22"/>
  <c r="AK434" i="22"/>
  <c r="AM434" i="22"/>
  <c r="AK292" i="22"/>
  <c r="AM292" i="22"/>
  <c r="AK122" i="22"/>
  <c r="AM122" i="22"/>
  <c r="AM192" i="22"/>
  <c r="AK192" i="22"/>
  <c r="AK456" i="22"/>
  <c r="AM456" i="22"/>
  <c r="AJ394" i="22"/>
  <c r="AK186" i="22"/>
  <c r="AM186" i="22"/>
  <c r="AM191" i="22"/>
  <c r="AK191" i="22"/>
  <c r="AK260" i="22"/>
  <c r="AM260" i="22"/>
  <c r="AM123" i="22"/>
  <c r="AK123" i="22"/>
  <c r="AM445" i="22"/>
  <c r="AK445" i="22"/>
  <c r="AM293" i="22"/>
  <c r="AK293" i="22"/>
  <c r="AK160" i="22"/>
  <c r="AM319" i="22"/>
  <c r="AK319" i="22"/>
  <c r="AK113" i="22"/>
  <c r="AM113" i="22"/>
  <c r="AK276" i="22"/>
  <c r="AM276" i="22"/>
  <c r="AM288" i="22"/>
  <c r="AK288" i="22"/>
  <c r="AM180" i="22"/>
  <c r="AK180" i="22"/>
  <c r="AK425" i="22"/>
  <c r="AM425" i="22"/>
  <c r="AM262" i="22"/>
  <c r="AK262" i="22"/>
  <c r="AK455" i="22"/>
  <c r="AK168" i="22"/>
  <c r="AK318" i="22"/>
  <c r="AM318" i="22"/>
  <c r="AK68" i="22"/>
  <c r="AM68" i="22"/>
  <c r="AK88" i="22"/>
  <c r="AM88" i="22"/>
  <c r="AK39" i="22"/>
  <c r="AM39" i="22"/>
  <c r="AK167" i="22"/>
  <c r="AK65" i="22"/>
  <c r="AM65" i="22"/>
  <c r="AK70" i="22"/>
  <c r="AM70" i="22"/>
  <c r="AK105" i="22"/>
  <c r="AM105" i="22"/>
  <c r="AK63" i="22"/>
  <c r="AM63" i="22"/>
  <c r="AM23" i="22"/>
  <c r="AK23" i="22"/>
  <c r="AK69" i="22"/>
  <c r="AM69" i="22"/>
  <c r="AK73" i="22"/>
  <c r="AM73" i="22"/>
  <c r="AM312" i="22"/>
  <c r="AK312" i="22"/>
  <c r="AK5" i="22"/>
  <c r="AM5" i="22"/>
  <c r="AK14" i="22"/>
  <c r="AM14" i="22"/>
  <c r="AM77" i="22"/>
  <c r="AK77" i="22"/>
  <c r="AM75" i="22"/>
  <c r="AK75" i="22"/>
  <c r="AK80" i="22"/>
  <c r="AM80" i="22"/>
  <c r="AM71" i="22"/>
  <c r="AK71" i="22"/>
  <c r="AM316" i="22"/>
  <c r="AK316" i="22"/>
  <c r="AM311" i="22"/>
  <c r="AK311" i="22"/>
  <c r="AM19" i="22"/>
  <c r="AK19" i="22"/>
  <c r="AM59" i="22"/>
  <c r="AK59" i="22"/>
  <c r="AK66" i="22"/>
  <c r="AM66" i="22"/>
  <c r="AM107" i="22"/>
  <c r="AK107" i="22"/>
  <c r="AK91" i="22"/>
  <c r="AM91" i="22"/>
  <c r="AK34" i="22"/>
  <c r="AM34" i="22"/>
  <c r="AK64" i="22"/>
  <c r="AM64" i="22"/>
  <c r="AK48" i="22"/>
  <c r="AM48" i="22"/>
  <c r="AK93" i="22"/>
  <c r="AM93" i="22"/>
  <c r="AM84" i="22"/>
  <c r="AK84" i="22"/>
  <c r="AM95" i="22"/>
  <c r="AK95" i="22"/>
  <c r="AK60" i="22"/>
  <c r="AM60" i="22"/>
  <c r="AK72" i="22"/>
  <c r="AM72" i="22"/>
  <c r="AM28" i="22"/>
  <c r="AK28" i="22"/>
  <c r="AM67" i="22"/>
  <c r="AK67" i="22"/>
  <c r="AK78" i="22"/>
  <c r="AM78" i="22"/>
  <c r="G6" i="20"/>
  <c r="E6" i="20"/>
  <c r="H6" i="20" s="1"/>
  <c r="G5" i="20"/>
  <c r="E5" i="20"/>
  <c r="H5" i="20" s="1"/>
  <c r="D9" i="20"/>
  <c r="C9" i="20"/>
  <c r="AK394" i="22" l="1"/>
  <c r="AM394" i="22"/>
  <c r="AK173" i="22"/>
  <c r="AK131" i="22"/>
  <c r="AM131" i="22"/>
  <c r="E4" i="20"/>
  <c r="I9" i="20"/>
  <c r="G4" i="20"/>
  <c r="G9" i="20" l="1"/>
  <c r="H4" i="20"/>
  <c r="H9" i="20" s="1"/>
  <c r="E9" i="20"/>
  <c r="J10" i="20" s="1"/>
  <c r="L10" i="20" s="1"/>
</calcChain>
</file>

<file path=xl/sharedStrings.xml><?xml version="1.0" encoding="utf-8"?>
<sst xmlns="http://schemas.openxmlformats.org/spreadsheetml/2006/main" count="9516" uniqueCount="996">
  <si>
    <t>Region</t>
  </si>
  <si>
    <t>Code</t>
  </si>
  <si>
    <t>Block - Sub block</t>
  </si>
  <si>
    <t>Development Status</t>
  </si>
  <si>
    <t>Variety</t>
  </si>
  <si>
    <t>Clone</t>
  </si>
  <si>
    <t>Rootstock</t>
  </si>
  <si>
    <t>VPA</t>
  </si>
  <si>
    <t>Net Vine Acres</t>
  </si>
  <si>
    <t>Actual Vine Count</t>
  </si>
  <si>
    <t>Missing Vine %</t>
  </si>
  <si>
    <t>Adjusted Vine Count</t>
  </si>
  <si>
    <t>Adjusted Vine Count Acres</t>
  </si>
  <si>
    <t>2019 TPA</t>
  </si>
  <si>
    <t>2020 TPA</t>
  </si>
  <si>
    <t>2021 TPA</t>
  </si>
  <si>
    <t>2022 TPA</t>
  </si>
  <si>
    <t>2023 TPA</t>
  </si>
  <si>
    <t>2024 TPA</t>
  </si>
  <si>
    <t>2025 TPA</t>
  </si>
  <si>
    <t>2026 Shoot Thin Rule</t>
  </si>
  <si>
    <t>ST Status</t>
  </si>
  <si>
    <t>Post Crop thin?</t>
  </si>
  <si>
    <t>Historic Avg Cluster Weight (lb)</t>
  </si>
  <si>
    <t>2026 Actual Cluster Weight (lb)</t>
  </si>
  <si>
    <t xml:space="preserve">Reference Cluster Weight by Variety  (lb) </t>
  </si>
  <si>
    <t>Date of Count</t>
  </si>
  <si>
    <t>Avg Clusters/Vine</t>
  </si>
  <si>
    <t>Est Lbs/Vine</t>
  </si>
  <si>
    <t>Est TPA</t>
  </si>
  <si>
    <t>Actual TPA</t>
  </si>
  <si>
    <t>% ERROR</t>
  </si>
  <si>
    <t>Notes</t>
  </si>
  <si>
    <t>Counted by</t>
  </si>
  <si>
    <t>Count - Vine 1</t>
  </si>
  <si>
    <t>Count - Vine 2</t>
  </si>
  <si>
    <t>Count - Vine 3</t>
  </si>
  <si>
    <t>Count - Vine 4</t>
  </si>
  <si>
    <t>Count - Vine 5</t>
  </si>
  <si>
    <t>Count - Vine 6</t>
  </si>
  <si>
    <t>Count - Vine 7</t>
  </si>
  <si>
    <t>Count - Vine 8</t>
  </si>
  <si>
    <t>Count - Vine 9</t>
  </si>
  <si>
    <t>Count - Vine 10</t>
  </si>
  <si>
    <t>Count - Vine 11</t>
  </si>
  <si>
    <t>Count - Vine 12</t>
  </si>
  <si>
    <t>Count - Vine 13</t>
  </si>
  <si>
    <t>Count - Vine 14</t>
  </si>
  <si>
    <t>Count - Vine 15</t>
  </si>
  <si>
    <t>Count - Vine 16</t>
  </si>
  <si>
    <t>Count - Vine 17</t>
  </si>
  <si>
    <t>Count - Vine 18</t>
  </si>
  <si>
    <t>Count - Vine 19</t>
  </si>
  <si>
    <t>Count - Vine 20</t>
  </si>
  <si>
    <t>Count - Vine 21</t>
  </si>
  <si>
    <t>Count - Vine 22</t>
  </si>
  <si>
    <t>Count - Vine 23</t>
  </si>
  <si>
    <t>Count - Vine 24</t>
  </si>
  <si>
    <t>Count - Vine 25</t>
  </si>
  <si>
    <t>Count - Vine 26</t>
  </si>
  <si>
    <t>Count - Vine 27</t>
  </si>
  <si>
    <t>Count - Vine 28</t>
  </si>
  <si>
    <t>Count - Vine 29</t>
  </si>
  <si>
    <t>Count - Vine 30</t>
  </si>
  <si>
    <t>Count - Vine 31</t>
  </si>
  <si>
    <t>Count - Vine 32</t>
  </si>
  <si>
    <t>Count - Vine 33</t>
  </si>
  <si>
    <t>Count - Vine 34</t>
  </si>
  <si>
    <t>Count - Vine 35</t>
  </si>
  <si>
    <t>Count - Vine 36</t>
  </si>
  <si>
    <t>Count - Vine 37</t>
  </si>
  <si>
    <t>Count - Vine 38</t>
  </si>
  <si>
    <t>Count - Vine 39</t>
  </si>
  <si>
    <t>Count - Vine 40</t>
  </si>
  <si>
    <t>Count - Vine 41</t>
  </si>
  <si>
    <t>Count - Vine 42</t>
  </si>
  <si>
    <t>Count - Vine 43</t>
  </si>
  <si>
    <t>Count - Vine 44</t>
  </si>
  <si>
    <t>Count - Vine 45</t>
  </si>
  <si>
    <t>Count - Vine 46</t>
  </si>
  <si>
    <t>Count - Vine 47</t>
  </si>
  <si>
    <t>Count - Vine 48</t>
  </si>
  <si>
    <t>Count - Vine 49</t>
  </si>
  <si>
    <t>Count - Vine 50</t>
  </si>
  <si>
    <t>CLEM</t>
  </si>
  <si>
    <t>98OK01CS</t>
  </si>
  <si>
    <t>98 Oaks B1 CS</t>
  </si>
  <si>
    <t>EST</t>
  </si>
  <si>
    <t>CS</t>
  </si>
  <si>
    <t>43.1/8.1</t>
  </si>
  <si>
    <t>5BB</t>
  </si>
  <si>
    <t>JT</t>
  </si>
  <si>
    <t>US</t>
  </si>
  <si>
    <t>98OK02CS</t>
  </si>
  <si>
    <t>98 Oaks B2 CS</t>
  </si>
  <si>
    <t>7/8</t>
  </si>
  <si>
    <t>1103P</t>
  </si>
  <si>
    <t>98OK03MA</t>
  </si>
  <si>
    <t>98 Oaks B3 MA</t>
  </si>
  <si>
    <t>MA</t>
  </si>
  <si>
    <t>598/595</t>
  </si>
  <si>
    <t>2/spur</t>
  </si>
  <si>
    <t>TEST</t>
  </si>
  <si>
    <t>Done</t>
  </si>
  <si>
    <t>98OK04CS</t>
  </si>
  <si>
    <t>98 Oaks B4 CS</t>
  </si>
  <si>
    <t>Post thin</t>
  </si>
  <si>
    <t>98OK05CS</t>
  </si>
  <si>
    <t>98 Oaks B5 CS</t>
  </si>
  <si>
    <t>98OK06CS</t>
  </si>
  <si>
    <t>98 Oaks B6 CS</t>
  </si>
  <si>
    <t>YR2</t>
  </si>
  <si>
    <t>98OK07ME</t>
  </si>
  <si>
    <t>98 Oaks B7 ME</t>
  </si>
  <si>
    <t>ME</t>
  </si>
  <si>
    <t>None</t>
  </si>
  <si>
    <t>JL</t>
  </si>
  <si>
    <t>98OK08PS</t>
  </si>
  <si>
    <t>98 Oaks B8 PS</t>
  </si>
  <si>
    <t>PS</t>
  </si>
  <si>
    <t>Durif 5</t>
  </si>
  <si>
    <t>110R</t>
  </si>
  <si>
    <t>Removed Alll small/Weak shoot</t>
  </si>
  <si>
    <t>98OK09CS</t>
  </si>
  <si>
    <t>98 Oaks B9 CS</t>
  </si>
  <si>
    <t>1103P/1616C</t>
  </si>
  <si>
    <t>Post thinn</t>
  </si>
  <si>
    <t>98OK10ZN</t>
  </si>
  <si>
    <t>98 Oaks B10 ZN</t>
  </si>
  <si>
    <t>ZN</t>
  </si>
  <si>
    <t>test</t>
  </si>
  <si>
    <t>done</t>
  </si>
  <si>
    <t>98OK11CF</t>
  </si>
  <si>
    <t>98 Oaks B11 CF</t>
  </si>
  <si>
    <t>CF</t>
  </si>
  <si>
    <t>11;12</t>
  </si>
  <si>
    <t>5BB/125AA/420A</t>
  </si>
  <si>
    <t>MZ</t>
  </si>
  <si>
    <t>BAVC01ZN</t>
  </si>
  <si>
    <t>Baum Victor B1 ZN</t>
  </si>
  <si>
    <t>O39-16</t>
  </si>
  <si>
    <t>BAVC02PR</t>
  </si>
  <si>
    <t>Baum Victor B2 PR</t>
  </si>
  <si>
    <t>BHCH01CS</t>
  </si>
  <si>
    <t>Birmingham Clements Hills B1 CS</t>
  </si>
  <si>
    <t>Freedom</t>
  </si>
  <si>
    <t>CL3A02SB</t>
  </si>
  <si>
    <t>AAA B2 SB</t>
  </si>
  <si>
    <t>SB</t>
  </si>
  <si>
    <t>CLAT05CS</t>
  </si>
  <si>
    <t>Atkins B5 CS</t>
  </si>
  <si>
    <t>CLBC00VD</t>
  </si>
  <si>
    <t>Bear Creek B0 VD</t>
  </si>
  <si>
    <t>VD</t>
  </si>
  <si>
    <t>CLBC01PG</t>
  </si>
  <si>
    <t xml:space="preserve">Bear Creek B1 PG </t>
  </si>
  <si>
    <t>PG</t>
  </si>
  <si>
    <t>vino</t>
  </si>
  <si>
    <t>CLBC02CH</t>
  </si>
  <si>
    <t>Bear Creek B2 CH</t>
  </si>
  <si>
    <t>CH</t>
  </si>
  <si>
    <t>CLLA01ME</t>
  </si>
  <si>
    <t>Lane B1 ME</t>
  </si>
  <si>
    <t xml:space="preserve">110R </t>
  </si>
  <si>
    <t>Recount? Looks really low</t>
  </si>
  <si>
    <t>LG</t>
  </si>
  <si>
    <t>cluster wt adjusted 8/19 actual strip</t>
  </si>
  <si>
    <t>CLMN01SY</t>
  </si>
  <si>
    <t>Moren B1 SY - West</t>
  </si>
  <si>
    <t>SY</t>
  </si>
  <si>
    <t>various</t>
  </si>
  <si>
    <t>Moren B1 SY - East</t>
  </si>
  <si>
    <t>CLMN03PS</t>
  </si>
  <si>
    <t>Moren B3 PS</t>
  </si>
  <si>
    <t>CLMN04PS</t>
  </si>
  <si>
    <t>Moren B4 PS</t>
  </si>
  <si>
    <t>CLMN05PS</t>
  </si>
  <si>
    <t>Moren B5 PS</t>
  </si>
  <si>
    <t>CLMO01BA</t>
  </si>
  <si>
    <t>Mohr B1 BA</t>
  </si>
  <si>
    <t>BA</t>
  </si>
  <si>
    <t>unknown</t>
  </si>
  <si>
    <t>Double check cluster weight - 2025 inputted</t>
  </si>
  <si>
    <t>CLNR01CS</t>
  </si>
  <si>
    <t>Norgaard B1 CS</t>
  </si>
  <si>
    <t>CLOK01ME</t>
  </si>
  <si>
    <t>Three Oaks B1 ME</t>
  </si>
  <si>
    <t>CLPC02BA</t>
  </si>
  <si>
    <t>Paddy Creek B2 BA</t>
  </si>
  <si>
    <t>CLPC07CS</t>
  </si>
  <si>
    <t>Paddy Creek B7 CS</t>
  </si>
  <si>
    <t>CLPC4APR</t>
  </si>
  <si>
    <t>Paddy Creek B4A PR - 2022</t>
  </si>
  <si>
    <t>YR1</t>
  </si>
  <si>
    <t>PR</t>
  </si>
  <si>
    <t>Pre shoot thin</t>
  </si>
  <si>
    <t>Paddy Creek B4A PR - 2023</t>
  </si>
  <si>
    <t>CLPC4BCH</t>
  </si>
  <si>
    <t>Paddy Creek B4B CH</t>
  </si>
  <si>
    <t>First count always high - used adjusted cluster weight from 2025</t>
  </si>
  <si>
    <t>CLPT01CS</t>
  </si>
  <si>
    <t>Peters B1 CS</t>
  </si>
  <si>
    <t>CLR201MA</t>
  </si>
  <si>
    <t>Rose 2 B1 MA</t>
  </si>
  <si>
    <t>101-14</t>
  </si>
  <si>
    <t>CLR202CH</t>
  </si>
  <si>
    <t xml:space="preserve">Rose 2 B2 CH </t>
  </si>
  <si>
    <t>4; 76-Wente</t>
  </si>
  <si>
    <t>Need to count</t>
  </si>
  <si>
    <t>GEWENOCH</t>
  </si>
  <si>
    <t xml:space="preserve">Webster (Georgatos) North </t>
  </si>
  <si>
    <t>KBBR01ZN</t>
  </si>
  <si>
    <t>Bohn Ridge B1 ZN</t>
  </si>
  <si>
    <t>2, 3</t>
  </si>
  <si>
    <t>Test</t>
  </si>
  <si>
    <t xml:space="preserve">3 Spur w/3shoot rest 2 shoot per spur </t>
  </si>
  <si>
    <t xml:space="preserve">South </t>
  </si>
  <si>
    <t>us</t>
  </si>
  <si>
    <t>North</t>
  </si>
  <si>
    <t>KBBR02TD</t>
  </si>
  <si>
    <t xml:space="preserve">Bohn Ridge B2 TD </t>
  </si>
  <si>
    <t>TD</t>
  </si>
  <si>
    <t>Trinchero</t>
  </si>
  <si>
    <t>MFLO01PG</t>
  </si>
  <si>
    <t>Liberty Oaks B1 PG</t>
  </si>
  <si>
    <t>146/152</t>
  </si>
  <si>
    <t>MFLO02TE</t>
  </si>
  <si>
    <t>Liberty Oaks B2 TE</t>
  </si>
  <si>
    <t>TE</t>
  </si>
  <si>
    <t>Ribera del duero</t>
  </si>
  <si>
    <t>MRPR01CS</t>
  </si>
  <si>
    <t>MRP B1 CS</t>
  </si>
  <si>
    <t>7;8</t>
  </si>
  <si>
    <t>POCR03CS</t>
  </si>
  <si>
    <t>Patriot Oaks - Hillltop B3 CS</t>
  </si>
  <si>
    <t>POHM01PV</t>
  </si>
  <si>
    <t>Patriot Oaks - Home B1 PV</t>
  </si>
  <si>
    <t>PV</t>
  </si>
  <si>
    <t>PPBR03CH</t>
  </si>
  <si>
    <t>Proplant - Betsy Rose B3 CH</t>
  </si>
  <si>
    <t>PPCR01ME</t>
  </si>
  <si>
    <t>Proplant - Craig Merlot B1 ME</t>
  </si>
  <si>
    <t>RSR101CH</t>
  </si>
  <si>
    <t>Rootstock 1 B1 CH</t>
  </si>
  <si>
    <t>4</t>
  </si>
  <si>
    <t>Post shoot thin</t>
  </si>
  <si>
    <t>RSR103CH</t>
  </si>
  <si>
    <t>Rootstock 1 B3 CH (Driveway)</t>
  </si>
  <si>
    <t>RSR203CH</t>
  </si>
  <si>
    <t>Rootstock 2 B3 CH</t>
  </si>
  <si>
    <t>SMSM01ME</t>
  </si>
  <si>
    <t>Smith B1 ME</t>
  </si>
  <si>
    <t>Seems low? Recount</t>
  </si>
  <si>
    <t>SZVC01ZN</t>
  </si>
  <si>
    <t>Shimozaki Victor B1 ZN</t>
  </si>
  <si>
    <t>SZVC02ZN</t>
  </si>
  <si>
    <t>Shimozaki Victor B2 ZN</t>
  </si>
  <si>
    <t>ZLLAOHCS</t>
  </si>
  <si>
    <t>Lauchland B1 CS</t>
  </si>
  <si>
    <t>ZLSO01PN</t>
  </si>
  <si>
    <t>Sowles B1 PN</t>
  </si>
  <si>
    <t>PN</t>
  </si>
  <si>
    <t>DELTA</t>
  </si>
  <si>
    <t>DVDU02SB</t>
  </si>
  <si>
    <t>Dutra B2 SB</t>
  </si>
  <si>
    <t>1616C</t>
  </si>
  <si>
    <t>DVDU05CH</t>
  </si>
  <si>
    <t>Dutra B5 CH</t>
  </si>
  <si>
    <t>1/spur 2 when open</t>
  </si>
  <si>
    <t>MG</t>
  </si>
  <si>
    <t>DVDU07MC</t>
  </si>
  <si>
    <t>Dutra B7 MC - Old</t>
  </si>
  <si>
    <t>MC</t>
  </si>
  <si>
    <t>SO4</t>
  </si>
  <si>
    <t>Dutra B7 MC - Grafted (N)</t>
  </si>
  <si>
    <t>Dutra B7 MC - All</t>
  </si>
  <si>
    <t>DVDU1CSB</t>
  </si>
  <si>
    <t>Dutra B1C SB</t>
  </si>
  <si>
    <t>DVMA01PN</t>
  </si>
  <si>
    <t>Maria B1 PN - West</t>
  </si>
  <si>
    <t>Various</t>
  </si>
  <si>
    <t>WH special</t>
  </si>
  <si>
    <t>EM</t>
  </si>
  <si>
    <t>Rows 1-5</t>
  </si>
  <si>
    <t>Maria B1 PN - East</t>
  </si>
  <si>
    <t>Maria B1 PN - ALL</t>
  </si>
  <si>
    <t>Maria B1 PN - Row 14-17 (23)</t>
  </si>
  <si>
    <t>Maria B1 PN - Row 19-25 (115)</t>
  </si>
  <si>
    <t>Maria B1 PN - Row 8-13,18 (667)</t>
  </si>
  <si>
    <t>Maria B1 PN - Row 1-7 (777)</t>
  </si>
  <si>
    <t>West rows 1-25</t>
  </si>
  <si>
    <t>DVMA02PG</t>
  </si>
  <si>
    <t>Maria B2 PG - West</t>
  </si>
  <si>
    <t>Maria B2 PG - East</t>
  </si>
  <si>
    <t>Maria B2 PG - South</t>
  </si>
  <si>
    <t>FFRY01PN</t>
  </si>
  <si>
    <t>Foley South B1 PN</t>
  </si>
  <si>
    <t>Pre thin</t>
  </si>
  <si>
    <t>Post mechanical thin</t>
  </si>
  <si>
    <t>Rows 37-60 | 40 upper 40 lower</t>
  </si>
  <si>
    <t>FFRY02PN</t>
  </si>
  <si>
    <t>Foley South B2 PN</t>
  </si>
  <si>
    <t>FFRY04CH</t>
  </si>
  <si>
    <t xml:space="preserve">Foley South B4 CH </t>
  </si>
  <si>
    <t>FFRY05CH</t>
  </si>
  <si>
    <t>Foley South B5 CH</t>
  </si>
  <si>
    <t>FFRY09PN</t>
  </si>
  <si>
    <t>Foley South B9 PN</t>
  </si>
  <si>
    <t>FFRY10PN</t>
  </si>
  <si>
    <t>Foley South B10 PN</t>
  </si>
  <si>
    <t>FFRY3BAL</t>
  </si>
  <si>
    <t>Foley South B3B AL</t>
  </si>
  <si>
    <t>AL</t>
  </si>
  <si>
    <t>Foley South B3B AL - North</t>
  </si>
  <si>
    <t>FFRY99PN</t>
  </si>
  <si>
    <t>Foley North B99 PN</t>
  </si>
  <si>
    <t>MFRN00PN</t>
  </si>
  <si>
    <t>Runyon B0 PN</t>
  </si>
  <si>
    <t>MFRN02PN</t>
  </si>
  <si>
    <t>Runyon B2 PN</t>
  </si>
  <si>
    <t>667/777</t>
  </si>
  <si>
    <t>2/3/2/3</t>
  </si>
  <si>
    <t>3/spur 2 when open</t>
  </si>
  <si>
    <t>MFRN03PG</t>
  </si>
  <si>
    <t>Runyon B3 PG</t>
  </si>
  <si>
    <t>MJMJ02PG</t>
  </si>
  <si>
    <t>MJ B2 PG</t>
  </si>
  <si>
    <t>MJ B2 PG - Retrain</t>
  </si>
  <si>
    <t>MJMJ03CB</t>
  </si>
  <si>
    <t>MJ B3 CB</t>
  </si>
  <si>
    <t>CB</t>
  </si>
  <si>
    <t>SO4.1</t>
  </si>
  <si>
    <t>2/spur ok when open</t>
  </si>
  <si>
    <t>Post crop thin</t>
  </si>
  <si>
    <t>Remove 10-16 per vine</t>
  </si>
  <si>
    <t>Remove 6 per vine</t>
  </si>
  <si>
    <t>Post crop thin south half</t>
  </si>
  <si>
    <t>post crop thin north half</t>
  </si>
  <si>
    <t xml:space="preserve">post crop thin </t>
  </si>
  <si>
    <t>post crop thin - updated cluter weight</t>
  </si>
  <si>
    <t>MJMJ04CB</t>
  </si>
  <si>
    <t>MJ B4 CB</t>
  </si>
  <si>
    <t>4/1</t>
  </si>
  <si>
    <t>SO4/SO4.1</t>
  </si>
  <si>
    <t>1/spur, 2 when open</t>
  </si>
  <si>
    <t>Done - PRE shoot thin</t>
  </si>
  <si>
    <t>EM/MG</t>
  </si>
  <si>
    <t>ONMI01CS</t>
  </si>
  <si>
    <t>Miller B1 CS</t>
  </si>
  <si>
    <t>GRN2</t>
  </si>
  <si>
    <t>Crop load trial - rows 188-119</t>
  </si>
  <si>
    <t>ONMI02CS</t>
  </si>
  <si>
    <t>Miller B2 CS</t>
  </si>
  <si>
    <t>Crop Load trial - rows 1 &amp; 2 only</t>
  </si>
  <si>
    <t>ONMI04CS</t>
  </si>
  <si>
    <t>Miller B4 CS</t>
  </si>
  <si>
    <t>ONMI05CS</t>
  </si>
  <si>
    <t>Miller B5 CS</t>
  </si>
  <si>
    <t>cluster weight from early season back calculated</t>
  </si>
  <si>
    <t>WH Special Lite</t>
  </si>
  <si>
    <t>Crop load trial rows 100-101</t>
  </si>
  <si>
    <t>ONMI06CS</t>
  </si>
  <si>
    <t>Miller B6 CS</t>
  </si>
  <si>
    <t>ONMI07ME</t>
  </si>
  <si>
    <t xml:space="preserve">Miller B7 ME </t>
  </si>
  <si>
    <t>No thin</t>
  </si>
  <si>
    <t>N</t>
  </si>
  <si>
    <t>ONMI08ME</t>
  </si>
  <si>
    <t xml:space="preserve">Miller B8 ME </t>
  </si>
  <si>
    <t>ONMI09CH</t>
  </si>
  <si>
    <t>Miller B9 CH</t>
  </si>
  <si>
    <t>Clone 69</t>
  </si>
  <si>
    <t>Clone 4</t>
  </si>
  <si>
    <t>ONMI3ACS</t>
  </si>
  <si>
    <t>Miller B3A CS</t>
  </si>
  <si>
    <t>34.1 (F191)</t>
  </si>
  <si>
    <t>Crop load trial - rows 1 &amp; 2</t>
  </si>
  <si>
    <t>ONMI3BCS</t>
  </si>
  <si>
    <t>Miller 3B CS</t>
  </si>
  <si>
    <t>PRHZ01CH</t>
  </si>
  <si>
    <t>Prince B1 CH</t>
  </si>
  <si>
    <t>76/96</t>
  </si>
  <si>
    <t>5C</t>
  </si>
  <si>
    <t>PRHZ02PN</t>
  </si>
  <si>
    <t>Prince B2 PN</t>
  </si>
  <si>
    <t>PRHZ03PN</t>
  </si>
  <si>
    <t>Prince B3 PN</t>
  </si>
  <si>
    <t>post crop thin</t>
  </si>
  <si>
    <t>PRHZ09SB</t>
  </si>
  <si>
    <t>Prince B9</t>
  </si>
  <si>
    <t>PRHZ10SB</t>
  </si>
  <si>
    <t>Prince B10</t>
  </si>
  <si>
    <t>PRHZ11CB</t>
  </si>
  <si>
    <t>Prince B11 CB</t>
  </si>
  <si>
    <t>1,4</t>
  </si>
  <si>
    <t>PRHZ12</t>
  </si>
  <si>
    <t>Prince B12</t>
  </si>
  <si>
    <t>PRHZ13</t>
  </si>
  <si>
    <t>Prince B13</t>
  </si>
  <si>
    <t>PRHZ14CB</t>
  </si>
  <si>
    <t>Prince B14 CB</t>
  </si>
  <si>
    <t>PRHZ15CB</t>
  </si>
  <si>
    <t>Prince B15 CB</t>
  </si>
  <si>
    <t>2/spur (3 when open)</t>
  </si>
  <si>
    <t>2/spur, 2/1 on double</t>
  </si>
  <si>
    <t>PRHZ16CB</t>
  </si>
  <si>
    <t>Prince B16 CB</t>
  </si>
  <si>
    <t>PRHZ17CB</t>
  </si>
  <si>
    <t>Prince B17 CB</t>
  </si>
  <si>
    <t>PRHZ18PS</t>
  </si>
  <si>
    <t>Prince B18 PS</t>
  </si>
  <si>
    <t>PRHZ21CH</t>
  </si>
  <si>
    <t>Prince B21 CH</t>
  </si>
  <si>
    <t>2/spur 3/spur in open areas</t>
  </si>
  <si>
    <t>PRHZ22CB</t>
  </si>
  <si>
    <t>Prince B22 CB</t>
  </si>
  <si>
    <t>PRHZ99VV</t>
  </si>
  <si>
    <t>Prince B99 VV - Malbec Grafted</t>
  </si>
  <si>
    <t>Prince B99 VV - Malbec Old (all)</t>
  </si>
  <si>
    <t>Prince B99 VV - Chenin Blanc</t>
  </si>
  <si>
    <t>Prince B99 VV - Malbec Old North</t>
  </si>
  <si>
    <t>Prince B99 VV - Malbec Old South</t>
  </si>
  <si>
    <t>Prince B99 VV - Sauvignon Blanc</t>
  </si>
  <si>
    <t>WHWH01GE</t>
  </si>
  <si>
    <t>Wheelhouse B1 GE</t>
  </si>
  <si>
    <t>GE</t>
  </si>
  <si>
    <t>01 / 02 / 04 / 11</t>
  </si>
  <si>
    <t>pre thin</t>
  </si>
  <si>
    <t>Rows 1-70</t>
  </si>
  <si>
    <t xml:space="preserve">WH special </t>
  </si>
  <si>
    <t>no thinning</t>
  </si>
  <si>
    <t>Rows 71-127 no thinning</t>
  </si>
  <si>
    <t>Rows 1-70 - NEED RECOUNT</t>
  </si>
  <si>
    <t>WHWH02PG</t>
  </si>
  <si>
    <t>Wheelhouse B2 PG</t>
  </si>
  <si>
    <t>WHWH03AL</t>
  </si>
  <si>
    <t>Wheelhouse B3 AL</t>
  </si>
  <si>
    <t>LODI</t>
  </si>
  <si>
    <t>ARDA01CS</t>
  </si>
  <si>
    <t>A&amp;R Davis B1 CS</t>
  </si>
  <si>
    <t>3x spurs</t>
  </si>
  <si>
    <t>Repopulate that count from JL</t>
  </si>
  <si>
    <t>BAPE01CH</t>
  </si>
  <si>
    <t>Baum Peltier B1 CH</t>
  </si>
  <si>
    <t>04 (Olmo)</t>
  </si>
  <si>
    <t>BEBU01ME</t>
  </si>
  <si>
    <t>Bender Ranch (Burlington) B1 ME</t>
  </si>
  <si>
    <t>15 (181)</t>
  </si>
  <si>
    <t>Last years cluster weight 0.33 lb/cluster, 0.31 early season</t>
  </si>
  <si>
    <t>3/spur</t>
  </si>
  <si>
    <t>2/spur &amp; leaving in some open areas</t>
  </si>
  <si>
    <t>DBAI02SA</t>
  </si>
  <si>
    <t>Donald Airport B2 SA</t>
  </si>
  <si>
    <t>SA</t>
  </si>
  <si>
    <t>DBAI03ZN</t>
  </si>
  <si>
    <t>Donald Airport B3 ZN</t>
  </si>
  <si>
    <t>Primativo 3</t>
  </si>
  <si>
    <t>DBAI04CS</t>
  </si>
  <si>
    <t>Donald Airport B4 CS</t>
  </si>
  <si>
    <t>DBDA05CH</t>
  </si>
  <si>
    <t>Donald Davis B5 CH</t>
  </si>
  <si>
    <t>DFDA04ZN</t>
  </si>
  <si>
    <t>Donald Davis B4 ZN</t>
  </si>
  <si>
    <t>DFDA07ND</t>
  </si>
  <si>
    <t>Donald Davis B7 ND</t>
  </si>
  <si>
    <t>ND</t>
  </si>
  <si>
    <t>RS3</t>
  </si>
  <si>
    <t>Bad set</t>
  </si>
  <si>
    <t>FDJA01TO</t>
  </si>
  <si>
    <t>Ford B1 TO</t>
  </si>
  <si>
    <t>TO</t>
  </si>
  <si>
    <t>Woodbridge</t>
  </si>
  <si>
    <t>FDJA02TE</t>
  </si>
  <si>
    <t>Ford B2 TE</t>
  </si>
  <si>
    <t>Selection</t>
  </si>
  <si>
    <t>Schwarzman</t>
  </si>
  <si>
    <t>FDJA03MA</t>
  </si>
  <si>
    <t>Ford B3 MA - North</t>
  </si>
  <si>
    <t>101-14/Schwarzman</t>
  </si>
  <si>
    <t>Ford B3 MA - South</t>
  </si>
  <si>
    <t xml:space="preserve">Get down to 8.5-9? </t>
  </si>
  <si>
    <t>FDJA04ME</t>
  </si>
  <si>
    <t>Ford B4 ME</t>
  </si>
  <si>
    <t>FDJA05ME</t>
  </si>
  <si>
    <t>Ford B5 ME</t>
  </si>
  <si>
    <t>HEBO01CS</t>
  </si>
  <si>
    <t>Henretty B1 CS</t>
  </si>
  <si>
    <t>101 Concannon (7)</t>
  </si>
  <si>
    <t>HIHV04CS</t>
  </si>
  <si>
    <t>Hilder B4 CS</t>
  </si>
  <si>
    <t>HIHV05PS</t>
  </si>
  <si>
    <t>Hilder B5 PS</t>
  </si>
  <si>
    <t>Durif</t>
  </si>
  <si>
    <t>JONR01CH</t>
  </si>
  <si>
    <t>North River B1 CH</t>
  </si>
  <si>
    <t>JONR02SB</t>
  </si>
  <si>
    <t>North River B2 SB</t>
  </si>
  <si>
    <t>Freedom,  5BB, SO4</t>
  </si>
  <si>
    <t>too early?</t>
  </si>
  <si>
    <t>JONR03GV</t>
  </si>
  <si>
    <t>North River B3 GV</t>
  </si>
  <si>
    <t>GV</t>
  </si>
  <si>
    <t>5.1/3.1/Garnacha gris</t>
  </si>
  <si>
    <t>Uses last years post crop thin cluster weight</t>
  </si>
  <si>
    <t>West - south of tree</t>
  </si>
  <si>
    <t>Mid - South of tree</t>
  </si>
  <si>
    <t>East - south of tree</t>
  </si>
  <si>
    <t>South - Luis' counts</t>
  </si>
  <si>
    <t>JONR03GG</t>
  </si>
  <si>
    <t>North River B3 GG</t>
  </si>
  <si>
    <t>GG</t>
  </si>
  <si>
    <t>LAPR02CH</t>
  </si>
  <si>
    <t>La Prima B2 CH</t>
  </si>
  <si>
    <t>GRN4</t>
  </si>
  <si>
    <t>LAPR03ME</t>
  </si>
  <si>
    <t>La Prima B3 ME</t>
  </si>
  <si>
    <t>South</t>
  </si>
  <si>
    <t>LAPR04PS</t>
  </si>
  <si>
    <t>La Prima B4 PS</t>
  </si>
  <si>
    <t>Outlier? Heavy vines only</t>
  </si>
  <si>
    <t>North - assume average vines only</t>
  </si>
  <si>
    <t>LAPR05CS</t>
  </si>
  <si>
    <t>La Prima B5 CS</t>
  </si>
  <si>
    <t>LF1001CS</t>
  </si>
  <si>
    <t>LF 100 Acres B1 CS</t>
  </si>
  <si>
    <t>LF1002PS</t>
  </si>
  <si>
    <t>LF 100 Acres B2 PS</t>
  </si>
  <si>
    <t>St. George</t>
  </si>
  <si>
    <t>post thin</t>
  </si>
  <si>
    <t>LF3801CS</t>
  </si>
  <si>
    <t>LF 38 Acres B1 CS - SPRAWL (North)</t>
  </si>
  <si>
    <t>Removing everything in down position</t>
  </si>
  <si>
    <t>LF 38 Acres B1 CS - VSP (South)</t>
  </si>
  <si>
    <t>LF8001TD</t>
  </si>
  <si>
    <t>LF 80 Acres B1 TD</t>
  </si>
  <si>
    <t>LF8004CH</t>
  </si>
  <si>
    <t>LF 80 Acres B4 CH - 70</t>
  </si>
  <si>
    <t>70.1 (French 96)</t>
  </si>
  <si>
    <t>LF 80 Acres B4 CH - Rosa</t>
  </si>
  <si>
    <t>Actual cluster weight at harvest 0.36</t>
  </si>
  <si>
    <t>LFBE01CS</t>
  </si>
  <si>
    <t>LF Bender 60 B1 CS - North</t>
  </si>
  <si>
    <t>7.1/35.1</t>
  </si>
  <si>
    <t>LF Bender 60 B1 CS - South</t>
  </si>
  <si>
    <t>LFBE02VI</t>
  </si>
  <si>
    <t>LF Bender B2 VI</t>
  </si>
  <si>
    <t>VI</t>
  </si>
  <si>
    <t>LFBT01CH</t>
  </si>
  <si>
    <t>LF Blacktail B1 CH</t>
  </si>
  <si>
    <t>4.1, 69.1, 38.1</t>
  </si>
  <si>
    <t>LFBT02SB</t>
  </si>
  <si>
    <t>LF Blacktail B2 SB</t>
  </si>
  <si>
    <t>smaller clusters than last year?</t>
  </si>
  <si>
    <t>LFDA02PG</t>
  </si>
  <si>
    <t>LF Davis B2 PG</t>
  </si>
  <si>
    <t>LFEX01SA</t>
  </si>
  <si>
    <t>LF Exotics B1 SA</t>
  </si>
  <si>
    <t>Rodeno</t>
  </si>
  <si>
    <t>LFEX02SY</t>
  </si>
  <si>
    <t>LF Exotics B2 SY</t>
  </si>
  <si>
    <t>LFEX03VI</t>
  </si>
  <si>
    <t>LF Exotics B3 VI</t>
  </si>
  <si>
    <t>Adjusted to 4.89 with 1.25 multiplier 7/2</t>
  </si>
  <si>
    <t>LFEX04VI</t>
  </si>
  <si>
    <t>LF Exotics B4 VI</t>
  </si>
  <si>
    <t>101-14/5C</t>
  </si>
  <si>
    <t>Adjusted to 6.23 with 1.25 multiplier 7/2</t>
  </si>
  <si>
    <t>LFGC01CS</t>
  </si>
  <si>
    <t>LF Gill Creek B1 CS</t>
  </si>
  <si>
    <t>LF Gill Creek B1 CS - North</t>
  </si>
  <si>
    <t>LF Gill Creek B1 CS - South</t>
  </si>
  <si>
    <t>LFRA02CF</t>
  </si>
  <si>
    <t>LF Railroad B2 CF</t>
  </si>
  <si>
    <t>11  (French 214)</t>
  </si>
  <si>
    <t>LFRR02CS</t>
  </si>
  <si>
    <t>LF River B2 CS</t>
  </si>
  <si>
    <t>A4 upper 25 lower 50</t>
  </si>
  <si>
    <t>Pre thin average was 130</t>
  </si>
  <si>
    <t>LFRR03CS</t>
  </si>
  <si>
    <t>LF River B3 CS</t>
  </si>
  <si>
    <t>Bogle section</t>
  </si>
  <si>
    <t>LFRR04CS</t>
  </si>
  <si>
    <t>LF River B4 CS</t>
  </si>
  <si>
    <t>LFRR05MP</t>
  </si>
  <si>
    <t>LF River B5 MP</t>
  </si>
  <si>
    <t>MP</t>
  </si>
  <si>
    <t>1-15</t>
  </si>
  <si>
    <t>16-end</t>
  </si>
  <si>
    <t>LFRR06AG</t>
  </si>
  <si>
    <t>LF River B6 AG</t>
  </si>
  <si>
    <t>AG</t>
  </si>
  <si>
    <t>FPS 02.1 (VCR 07)</t>
  </si>
  <si>
    <t>LFRR07PB</t>
  </si>
  <si>
    <t>LF River B7 PB</t>
  </si>
  <si>
    <t>PB</t>
  </si>
  <si>
    <t>LFRR08GB</t>
  </si>
  <si>
    <t>LF River B8 GB</t>
  </si>
  <si>
    <t>GB</t>
  </si>
  <si>
    <t>LFRT02PR</t>
  </si>
  <si>
    <t>LF Redtail B2 PR</t>
  </si>
  <si>
    <t>LFRT03AN</t>
  </si>
  <si>
    <t>LF Redtail B3 AN</t>
  </si>
  <si>
    <t>AN</t>
  </si>
  <si>
    <t>FPS 01</t>
  </si>
  <si>
    <t>LFTO01CS</t>
  </si>
  <si>
    <t>LF Twin Oaks B1 CS</t>
  </si>
  <si>
    <t>O309-16/GRN4</t>
  </si>
  <si>
    <t>LFTO02SB</t>
  </si>
  <si>
    <t>LF Twin Oaks B2 SB</t>
  </si>
  <si>
    <t>LFW104CS</t>
  </si>
  <si>
    <t>LF Woods 1 B4 CS</t>
  </si>
  <si>
    <t>MZ/JT</t>
  </si>
  <si>
    <t>Bogle Section rows 1-27</t>
  </si>
  <si>
    <t>LFW105CH</t>
  </si>
  <si>
    <t>LF Woods 1 B5 CH</t>
  </si>
  <si>
    <t>DEV</t>
  </si>
  <si>
    <t>LFW106KU</t>
  </si>
  <si>
    <t>LF Woods 1 B6 KU</t>
  </si>
  <si>
    <t>KU</t>
  </si>
  <si>
    <t>LFW301CS</t>
  </si>
  <si>
    <t>LF Woods 3 B1 CS</t>
  </si>
  <si>
    <t>4;337;15</t>
  </si>
  <si>
    <t>3309C</t>
  </si>
  <si>
    <t>LFW302SB</t>
  </si>
  <si>
    <t>LF Woods 3 B2 SB</t>
  </si>
  <si>
    <t>Musque</t>
  </si>
  <si>
    <t>MEJA03CS</t>
  </si>
  <si>
    <t>Mendonca B3 CS</t>
  </si>
  <si>
    <t>MKJA04CS</t>
  </si>
  <si>
    <t>Kidd B4 CS</t>
  </si>
  <si>
    <t>8.1/7.1</t>
  </si>
  <si>
    <t>MUMU01SB</t>
  </si>
  <si>
    <t>Muchmore B1 SB</t>
  </si>
  <si>
    <t>MUMU02PG</t>
  </si>
  <si>
    <t>Muchmore B2 PG</t>
  </si>
  <si>
    <t>RING01CS</t>
  </si>
  <si>
    <t>Ring B1 CS</t>
  </si>
  <si>
    <t>SEJA01CS</t>
  </si>
  <si>
    <t>Seibly Jahant B1 CS</t>
  </si>
  <si>
    <t>1103P/GRN2</t>
  </si>
  <si>
    <t>SLHM01TD</t>
  </si>
  <si>
    <t>Stanton B1 TD</t>
  </si>
  <si>
    <t>SLHM02VI</t>
  </si>
  <si>
    <t>Stanton B2 VI</t>
  </si>
  <si>
    <t>Current estimate with weights 6.01 TPA</t>
  </si>
  <si>
    <t>SLHM03CH</t>
  </si>
  <si>
    <t>Stanton B3 CH</t>
  </si>
  <si>
    <t>SLHM04SB</t>
  </si>
  <si>
    <t>Stanton B4 SB</t>
  </si>
  <si>
    <t>30.1/1.1</t>
  </si>
  <si>
    <t>O39-16/GRN1</t>
  </si>
  <si>
    <t>SLHM05PN</t>
  </si>
  <si>
    <t>Stanton B5 PN</t>
  </si>
  <si>
    <t>2x / spur and leaving something in open areas</t>
  </si>
  <si>
    <t>need to recount</t>
  </si>
  <si>
    <t>SLHM06ZN</t>
  </si>
  <si>
    <t xml:space="preserve">Stanton B6 ZN </t>
  </si>
  <si>
    <t>Lucas Zinstar</t>
  </si>
  <si>
    <t>SLHM08PR</t>
  </si>
  <si>
    <t>Stanton B8 PR</t>
  </si>
  <si>
    <t>SVDU01CH</t>
  </si>
  <si>
    <t>Shimozaki Dustin B1 CH</t>
  </si>
  <si>
    <t>SVDU02ZN</t>
  </si>
  <si>
    <t>Shimozaki Dustin B2 ZN</t>
  </si>
  <si>
    <t>VKDD01CH</t>
  </si>
  <si>
    <t>Doddington B1 CH</t>
  </si>
  <si>
    <t>04</t>
  </si>
  <si>
    <t>DOne</t>
  </si>
  <si>
    <t xml:space="preserve">North half aggressive </t>
  </si>
  <si>
    <t>Vineyard</t>
  </si>
  <si>
    <t>Vine #</t>
  </si>
  <si>
    <t>Area</t>
  </si>
  <si>
    <t>Clusters</t>
  </si>
  <si>
    <t>Weight (lb)</t>
  </si>
  <si>
    <t>Avg Cluster Weight (lb)</t>
  </si>
  <si>
    <t>Lag Factor</t>
  </si>
  <si>
    <t>Expected Crop Weight</t>
  </si>
  <si>
    <t>Expected Cluster Weight</t>
  </si>
  <si>
    <r>
      <rPr>
        <sz val="11"/>
        <color rgb="FF000000"/>
        <rFont val="Arial Narrow"/>
        <family val="2"/>
      </rPr>
      <t xml:space="preserve">TPA at Current Weight </t>
    </r>
    <r>
      <rPr>
        <b/>
        <sz val="11"/>
        <color rgb="FF000000"/>
        <rFont val="Arial Narrow"/>
        <family val="2"/>
      </rPr>
      <t>(No Multiplier)</t>
    </r>
  </si>
  <si>
    <t>Expected  TPA</t>
  </si>
  <si>
    <t>Target TPA</t>
  </si>
  <si>
    <t>Clusters to Remove</t>
  </si>
  <si>
    <t>Average:</t>
  </si>
  <si>
    <t>Average Cluster Count (Crop Est Sheet):</t>
  </si>
  <si>
    <t>5-YR Avg</t>
  </si>
  <si>
    <t>2025 Shoot Thin Rule</t>
  </si>
  <si>
    <t>Post Crop Thin?</t>
  </si>
  <si>
    <t>2025 Actual Cluster Weight (lb)</t>
  </si>
  <si>
    <t>Cluster Weight by Variety  (lb)</t>
  </si>
  <si>
    <t>2025 Est Total Tons</t>
  </si>
  <si>
    <t>2025 Est TPA</t>
  </si>
  <si>
    <t>% Change From 2024</t>
  </si>
  <si>
    <t>Actual 2025 TPA</t>
  </si>
  <si>
    <t>Back Calculated Cluster Weight</t>
  </si>
  <si>
    <t>Tons to Remove</t>
  </si>
  <si>
    <t>TPA to Remove</t>
  </si>
  <si>
    <t>Target Clusters</t>
  </si>
  <si>
    <t>Clusters to Remove / Vine</t>
  </si>
  <si>
    <t>Winery</t>
  </si>
  <si>
    <t>LTW Expected Tons</t>
  </si>
  <si>
    <t>LTW Expected Tons +/-</t>
  </si>
  <si>
    <t>LTW</t>
  </si>
  <si>
    <t>Clusters look smaller this year compared to last?</t>
  </si>
  <si>
    <t xml:space="preserve"> </t>
  </si>
  <si>
    <t>Uriel thinks 8-9 TPA</t>
  </si>
  <si>
    <t>outlier?</t>
  </si>
  <si>
    <t xml:space="preserve">2-3 shoots/spur - Clean the base </t>
  </si>
  <si>
    <t xml:space="preserve">N heavy? South light? </t>
  </si>
  <si>
    <t>Clusters look smaller this year compared to last</t>
  </si>
  <si>
    <t>BSHMOHCS</t>
  </si>
  <si>
    <t>Blue Star OH CS</t>
  </si>
  <si>
    <t>CL3A01PV</t>
  </si>
  <si>
    <t>AAA B1 PV</t>
  </si>
  <si>
    <t>CL3A04PV</t>
  </si>
  <si>
    <t>AAA B4 PV</t>
  </si>
  <si>
    <t>CLAT01CS</t>
  </si>
  <si>
    <t>Atkins B1 CS</t>
  </si>
  <si>
    <t>Atkins B1 CS - N.CS Main EW</t>
  </si>
  <si>
    <t>Atkins B1 CS - N.CS NS Rows</t>
  </si>
  <si>
    <t>CLAT02CH</t>
  </si>
  <si>
    <t>Atkins B2 CH</t>
  </si>
  <si>
    <t>CLMN02PV</t>
  </si>
  <si>
    <t>Moren B2 PV</t>
  </si>
  <si>
    <t xml:space="preserve">4-6/spur, clean all small shoot from base </t>
  </si>
  <si>
    <t>CLPC03ME</t>
  </si>
  <si>
    <t>Paddy Creek B3 ME</t>
  </si>
  <si>
    <t>CLPC06PR</t>
  </si>
  <si>
    <t>Paddy Creek B6 PR - South</t>
  </si>
  <si>
    <t>Need to revist</t>
  </si>
  <si>
    <t>Row 1-70 (2022 plant)</t>
  </si>
  <si>
    <t>Row 70-end (2023 plant)</t>
  </si>
  <si>
    <t>CO8802CH</t>
  </si>
  <si>
    <t xml:space="preserve">Cook - South B2 CH </t>
  </si>
  <si>
    <t>GZWESOCH</t>
  </si>
  <si>
    <t xml:space="preserve">Webster (Garliepp / Zolezzi) South </t>
  </si>
  <si>
    <t>2/spur with 3 shoots, rest 2 shoot / spur</t>
  </si>
  <si>
    <t>PPBR04PN</t>
  </si>
  <si>
    <t>Proplant - Betsy Rose B4 PN</t>
  </si>
  <si>
    <t>Shoot position</t>
  </si>
  <si>
    <t>RSR102CS</t>
  </si>
  <si>
    <t>Rootstock 1 B2 CS (Teardrop)</t>
  </si>
  <si>
    <t>2/spur on fork spur only 3 shoots if too crowded</t>
  </si>
  <si>
    <t>B1 18 RPM / Upper 40 / Lower 50</t>
  </si>
  <si>
    <t>US/JT</t>
  </si>
  <si>
    <t>DVDU06VI</t>
  </si>
  <si>
    <t>Dutra B6 VI</t>
  </si>
  <si>
    <t>2/spur on cordon remove cuatas</t>
  </si>
  <si>
    <t>MG/MZ/JT</t>
  </si>
  <si>
    <t>Dutra B7 MC - Grafted</t>
  </si>
  <si>
    <t>MG/MZ</t>
  </si>
  <si>
    <t>Shoot thinned WH special</t>
  </si>
  <si>
    <t>ALL CLONE 23 (EAST AND WEST)</t>
  </si>
  <si>
    <t>Shoot thinned</t>
  </si>
  <si>
    <t>B1 18 RPM / Upper 50 lower 40</t>
  </si>
  <si>
    <t>B1 18 RPM / Upper 50 lower 50 - rows 37-60</t>
  </si>
  <si>
    <t>strip weights row 48 MZ</t>
  </si>
  <si>
    <t xml:space="preserve">Still a little early </t>
  </si>
  <si>
    <t>FFRY07CB</t>
  </si>
  <si>
    <t>Foley South B7 CB</t>
  </si>
  <si>
    <t>B1 18 RPM / Upper 40 lower 40</t>
  </si>
  <si>
    <t>B1 18 RPM / Upper 50 / Lower 40</t>
  </si>
  <si>
    <t>2/spur + 3/spur in open areas + xtra in head when open</t>
  </si>
  <si>
    <t>MFRN01PN</t>
  </si>
  <si>
    <t>Runyon B1 PN</t>
  </si>
  <si>
    <t xml:space="preserve">3x pico o doble depende los espacios y remplazar los brazos </t>
  </si>
  <si>
    <t>limpiar la babeza y algo extra si no hay pico</t>
  </si>
  <si>
    <t>MJMJ01CH</t>
  </si>
  <si>
    <t>MJ B1 CH</t>
  </si>
  <si>
    <t>Retrain section</t>
  </si>
  <si>
    <t>1 rama por pico</t>
  </si>
  <si>
    <t>MG/EM</t>
  </si>
  <si>
    <t>Removal</t>
  </si>
  <si>
    <t>Deja dos ramas por pico y en espacios un tercero y algo nuevo si no hay posicion</t>
  </si>
  <si>
    <t>First 10 E / then next 10 W</t>
  </si>
  <si>
    <t>2/spur, 3/spur in open areas, leave extra to fill in arms, sucker</t>
  </si>
  <si>
    <t>Reserve</t>
  </si>
  <si>
    <t>PRHZ05CB</t>
  </si>
  <si>
    <t>Prince B5 CB</t>
  </si>
  <si>
    <t>Wente</t>
  </si>
  <si>
    <t>PRHZ06CB</t>
  </si>
  <si>
    <t>Prince B6 CB</t>
  </si>
  <si>
    <t>PRHZ08CB</t>
  </si>
  <si>
    <t>Prince B8 CB</t>
  </si>
  <si>
    <t>1 rama por pico y 1 or 2 dobles por brazo</t>
  </si>
  <si>
    <t xml:space="preserve">1x Pico y doble si hay espacio </t>
  </si>
  <si>
    <t>2 por pico y 1 de 3 en cada brazo</t>
  </si>
  <si>
    <t>2x pico y espacios grandes de 3</t>
  </si>
  <si>
    <t>PRHZ7ASB</t>
  </si>
  <si>
    <t>Prince B7A SB</t>
  </si>
  <si>
    <t>PRHZ7BSB</t>
  </si>
  <si>
    <t>Prince B7B SB</t>
  </si>
  <si>
    <t>Yes</t>
  </si>
  <si>
    <t>Limpiar la base de cordon solamente</t>
  </si>
  <si>
    <t>71 &gt; 127</t>
  </si>
  <si>
    <t>1 &gt; 70</t>
  </si>
  <si>
    <t>ONEILL</t>
  </si>
  <si>
    <t>Remove doubles</t>
  </si>
  <si>
    <t>Need to recheck</t>
  </si>
  <si>
    <t>FDJA06TA</t>
  </si>
  <si>
    <t>Ford B6 TA</t>
  </si>
  <si>
    <t>TA</t>
  </si>
  <si>
    <t>Gallo</t>
  </si>
  <si>
    <t xml:space="preserve">Still too early? </t>
  </si>
  <si>
    <t>post crop thin - actual cluster weights from strip</t>
  </si>
  <si>
    <t>3/SPUR</t>
  </si>
  <si>
    <t>Post harvest note: LOTS of shatter</t>
  </si>
  <si>
    <t>Post leafing</t>
  </si>
  <si>
    <t>North only NOT LEAFED</t>
  </si>
  <si>
    <t>SW corner only NOT LEAFED</t>
  </si>
  <si>
    <t>NORTH 2 rows POST LEAF test</t>
  </si>
  <si>
    <t>SW POST LEAF test</t>
  </si>
  <si>
    <t>SE POST LEAF test</t>
  </si>
  <si>
    <t>South post leaf complete</t>
  </si>
  <si>
    <t>North post leaf complete</t>
  </si>
  <si>
    <t>LTW / Copper Cane</t>
  </si>
  <si>
    <t>Zone 1 (north of pump) 22 ac</t>
  </si>
  <si>
    <t>Pre leafing</t>
  </si>
  <si>
    <t>Zone 2 (SW) 13 ac</t>
  </si>
  <si>
    <t>Zone 3 14.1 ac</t>
  </si>
  <si>
    <t xml:space="preserve">Zone 1 (north) post leafing complete </t>
  </si>
  <si>
    <t>LF8002PV</t>
  </si>
  <si>
    <t>LF 80 Acres B2 PV</t>
  </si>
  <si>
    <t>will confirm this</t>
  </si>
  <si>
    <t xml:space="preserve">Row 109 to the south </t>
  </si>
  <si>
    <t>Row 1-89</t>
  </si>
  <si>
    <t>Row 90- end</t>
  </si>
  <si>
    <t>All</t>
  </si>
  <si>
    <t>JT/JL</t>
  </si>
  <si>
    <t>Old</t>
  </si>
  <si>
    <t>NT</t>
  </si>
  <si>
    <t>LFRT01ND</t>
  </si>
  <si>
    <t>LF Redtail B1 ND</t>
  </si>
  <si>
    <t>LFW202TD</t>
  </si>
  <si>
    <t>LF Woods 2 B2 TD</t>
  </si>
  <si>
    <t xml:space="preserve">Early spring counts are lower than last year </t>
  </si>
  <si>
    <t>Doen</t>
  </si>
  <si>
    <t xml:space="preserve">Estimate is high, visually heavier than last year - will come back post set. </t>
  </si>
  <si>
    <t>SERA01PN</t>
  </si>
  <si>
    <t>Seibly Ray B1 PN</t>
  </si>
  <si>
    <t>Mid/South</t>
  </si>
  <si>
    <t xml:space="preserve">Whole block  but doesn’t include the last 2 rows </t>
  </si>
  <si>
    <t>heaviest vines only</t>
  </si>
  <si>
    <t>Block</t>
  </si>
  <si>
    <t>Cultivar Average</t>
  </si>
  <si>
    <t>Average</t>
  </si>
  <si>
    <t>2026 Measured</t>
  </si>
  <si>
    <t>2025 Measured</t>
  </si>
  <si>
    <t>2025 Back Calculated</t>
  </si>
  <si>
    <t>2024 Measured</t>
  </si>
  <si>
    <t>2024 Back Calculated</t>
  </si>
  <si>
    <t>2023 Measured</t>
  </si>
  <si>
    <t>2023 Back calculated</t>
  </si>
  <si>
    <t xml:space="preserve">2022 Measured </t>
  </si>
  <si>
    <t>2022 Back Calculated</t>
  </si>
  <si>
    <t>CLEMENTS</t>
  </si>
  <si>
    <t>98 Oaks B6 CS (Phase 2)</t>
  </si>
  <si>
    <t>98 Oaks B7 ME (Phase 2)</t>
  </si>
  <si>
    <t>98 Oaks B8 PS (Phase 2)</t>
  </si>
  <si>
    <t>98 Oaks B9 CS (Phase 2)</t>
  </si>
  <si>
    <t>98 Oaks B10 ZN (Phase 2)</t>
  </si>
  <si>
    <t>98 Oaks B11 CF (Phase 2)</t>
  </si>
  <si>
    <t>Clements AAA B1 PV</t>
  </si>
  <si>
    <t>Clements AAA B2 SB</t>
  </si>
  <si>
    <t>CL3A03CS</t>
  </si>
  <si>
    <t>Clements AAA B3 CS</t>
  </si>
  <si>
    <t>Clements AAA B4 PV</t>
  </si>
  <si>
    <t>CL3A05ZN</t>
  </si>
  <si>
    <t xml:space="preserve">Clements AAA B5 ZN </t>
  </si>
  <si>
    <t>Clements Atkins B1 CS</t>
  </si>
  <si>
    <t>Clements Atkins B2 CH</t>
  </si>
  <si>
    <t>CLAT03CH</t>
  </si>
  <si>
    <t>Clements Atkins B3 CH</t>
  </si>
  <si>
    <t>CLAT04CH</t>
  </si>
  <si>
    <t xml:space="preserve">Clements Atkins B4 CH </t>
  </si>
  <si>
    <t>Clements Atkins B5 CS</t>
  </si>
  <si>
    <t>Clements Bear Creek B0 VD</t>
  </si>
  <si>
    <t xml:space="preserve">Clements Bear Creek B1 PG </t>
  </si>
  <si>
    <t>Clements Bear Creek B2 CH</t>
  </si>
  <si>
    <t>Clements Lane B1 ME</t>
  </si>
  <si>
    <t>Clements Moren B1 SY</t>
  </si>
  <si>
    <t>Clements Moren B2 PV</t>
  </si>
  <si>
    <t>Clements Moren B3 PS</t>
  </si>
  <si>
    <t>Clements Moren B4 PS</t>
  </si>
  <si>
    <t>Clements Moren B5 PS</t>
  </si>
  <si>
    <t>Clements Mohr B1 BA</t>
  </si>
  <si>
    <t>Clements Norgaard B1 CS</t>
  </si>
  <si>
    <t>Clements Three Oaks B1 ME</t>
  </si>
  <si>
    <t>CLOK02CS</t>
  </si>
  <si>
    <t>Clements Three Oaks B2 CS</t>
  </si>
  <si>
    <t>CLPC01ME</t>
  </si>
  <si>
    <t>Clements Paddy Creek B1 ME</t>
  </si>
  <si>
    <t>Clements Paddy Creek B2 BA</t>
  </si>
  <si>
    <t>Clements Paddy Creek B3 ME</t>
  </si>
  <si>
    <t>CLPC05ME</t>
  </si>
  <si>
    <t>Clements Paddy Creek B5 ME</t>
  </si>
  <si>
    <t>Clements Paddy Creek B6 PR</t>
  </si>
  <si>
    <t>Clements Paddy Creek B7 CS</t>
  </si>
  <si>
    <t>Clements Paddy Creek B4B CH</t>
  </si>
  <si>
    <t>Clements Peters B1 CS</t>
  </si>
  <si>
    <t>CLR101ME</t>
  </si>
  <si>
    <t xml:space="preserve">Clements Rose 1 B1 ME </t>
  </si>
  <si>
    <t>Clements Rose 2 B1 MA</t>
  </si>
  <si>
    <t xml:space="preserve">Clements Rose 2 B2 CH </t>
  </si>
  <si>
    <t>CO8801CS</t>
  </si>
  <si>
    <t>Cook - North B1 CS</t>
  </si>
  <si>
    <t>DBAI01CS</t>
  </si>
  <si>
    <t>Donald Airport B1 (Old Cab)</t>
  </si>
  <si>
    <t>Donald Airport B4 (New Cab)</t>
  </si>
  <si>
    <t>DFDA01CS</t>
  </si>
  <si>
    <t>Donald Davis B1 CS</t>
  </si>
  <si>
    <t>DFDA06CS</t>
  </si>
  <si>
    <t>Donald Davis B6 CS</t>
  </si>
  <si>
    <t>Diablo Dutra B2 SB</t>
  </si>
  <si>
    <t>DVDU03SB</t>
  </si>
  <si>
    <t>Diablo Dutra B3 SB</t>
  </si>
  <si>
    <t>DVDU04SB</t>
  </si>
  <si>
    <t>Diablo Dutra B4 SB</t>
  </si>
  <si>
    <t>Diablo Dutra B6 VI</t>
  </si>
  <si>
    <t>Diablo Dutra B7 MC</t>
  </si>
  <si>
    <t>DVDU08PN</t>
  </si>
  <si>
    <t>Diablo Dutra B8 PN</t>
  </si>
  <si>
    <t>Diablo Dutra B1C SB</t>
  </si>
  <si>
    <t>Diablo Maria B1 PN</t>
  </si>
  <si>
    <t>Diablo Maria B1 PN - 115</t>
  </si>
  <si>
    <t>Diablo Maria B1 PN - 23</t>
  </si>
  <si>
    <t>Diablo Maria B1 PN - 667</t>
  </si>
  <si>
    <t>Diablo Maria B1 PN - 777</t>
  </si>
  <si>
    <t>Diablo Maria B2 PG</t>
  </si>
  <si>
    <t>Ford B3 MA</t>
  </si>
  <si>
    <t>Foley Family B1 PN</t>
  </si>
  <si>
    <t>Foley Family B2 PN</t>
  </si>
  <si>
    <t>FFRY03CH</t>
  </si>
  <si>
    <t>Foley Family B3 CH</t>
  </si>
  <si>
    <t>Foley Family B4 CH</t>
  </si>
  <si>
    <t>Foley Family B5 CH</t>
  </si>
  <si>
    <t>FFRY06CH</t>
  </si>
  <si>
    <t>Foley Family B6 CH</t>
  </si>
  <si>
    <t>Foley Family B7 CB</t>
  </si>
  <si>
    <t>FFRY08SM</t>
  </si>
  <si>
    <t>Foley Family B8 SM</t>
  </si>
  <si>
    <t>SM</t>
  </si>
  <si>
    <t>Foley Family B9 PN</t>
  </si>
  <si>
    <t>Foley Family B10 PN</t>
  </si>
  <si>
    <t>FFRY11PN</t>
  </si>
  <si>
    <t>Foley Family B11 PN</t>
  </si>
  <si>
    <t>FFRY12PN</t>
  </si>
  <si>
    <t>Foley Family B12 PN</t>
  </si>
  <si>
    <t>FFRY13PG</t>
  </si>
  <si>
    <t xml:space="preserve">Foley Family B13 PG </t>
  </si>
  <si>
    <t>FFRY14VI</t>
  </si>
  <si>
    <t>Foley Family B14 VI</t>
  </si>
  <si>
    <t>FFRY15CB</t>
  </si>
  <si>
    <t>Foley Family B15 CB</t>
  </si>
  <si>
    <t>FFRY2BCH</t>
  </si>
  <si>
    <t>Foley Family B2B CH</t>
  </si>
  <si>
    <t>Foley Family B3B AL</t>
  </si>
  <si>
    <t>IWHM01CS</t>
  </si>
  <si>
    <t>Iffi Wahla</t>
  </si>
  <si>
    <t>LAPR01MA</t>
  </si>
  <si>
    <t>La Prima B1 MA</t>
  </si>
  <si>
    <t>LF 38 Acres B1 CS</t>
  </si>
  <si>
    <t>LF8003PS</t>
  </si>
  <si>
    <t>LF 80 Acres B3 PS</t>
  </si>
  <si>
    <t>LF 80 Acres B4 CH</t>
  </si>
  <si>
    <t>LF Bender 60 B1 CS</t>
  </si>
  <si>
    <t>LF Blacktail B1 CH - Clone 4</t>
  </si>
  <si>
    <t>LF Blacktail B1 CH - Clone 69</t>
  </si>
  <si>
    <t>LFDA03CH</t>
  </si>
  <si>
    <t>LF Davis B3 CH</t>
  </si>
  <si>
    <t>LFRA01CS</t>
  </si>
  <si>
    <t>LF Railroad B1 CS</t>
  </si>
  <si>
    <t>LFRR01PV</t>
  </si>
  <si>
    <t>LF River B1 PV</t>
  </si>
  <si>
    <t>LFW101PV</t>
  </si>
  <si>
    <t>LF Woods 1 B1 PV</t>
  </si>
  <si>
    <t>LFW201ME</t>
  </si>
  <si>
    <t>LF Woods 2 B1 ME</t>
  </si>
  <si>
    <t>LFW203PR</t>
  </si>
  <si>
    <t>LF Woods 2 B3 PR</t>
  </si>
  <si>
    <t>Merrill-Johnson B1 CH</t>
  </si>
  <si>
    <t>Merrill-Johnson B2 PG</t>
  </si>
  <si>
    <t>Merrill-Johnson B3 CB</t>
  </si>
  <si>
    <t>PPCR02CH</t>
  </si>
  <si>
    <t>Proplant - Hailey Rae B2 CH</t>
  </si>
  <si>
    <t>Prince B99 VV</t>
  </si>
  <si>
    <t>Row Labels</t>
  </si>
  <si>
    <t>Average of 2025 Est TPA</t>
  </si>
  <si>
    <t>Grand Total</t>
  </si>
  <si>
    <t>(Multiple Items)</t>
  </si>
  <si>
    <t>(All)</t>
  </si>
  <si>
    <t>Average of % Change From 2024</t>
  </si>
  <si>
    <t>Count of 2025 Est TPA</t>
  </si>
  <si>
    <t>LF Blacktail B1 CH - Clone 38</t>
  </si>
  <si>
    <t>Seibly Jahant B1 CS - North 1103P</t>
  </si>
  <si>
    <t>Seibly Jahant B1 CS - South GRN2</t>
  </si>
  <si>
    <t xml:space="preserve">Moren B1 SY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</si>
</sst>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5">
    <font>
      <sz val="11"/>
      <color theme="1"/>
      <name val="Calibri"/>
      <family val="2"/>
      <scheme val="minor"/>
    </font>
    <font>
      <sz val="11"/>
      <color theme="1"/>
      <name val="Calibri"/>
      <family val="2"/>
      <scheme val="minor"/>
    </font>
    <font>
      <sz val="12"/>
      <name val="Arial"/>
      <family val="2"/>
    </font>
    <font>
      <b/>
      <sz val="11"/>
      <color theme="1"/>
      <name val="Arial Narrow"/>
      <family val="2"/>
    </font>
    <font>
      <sz val="10"/>
      <name val="Arial Narrow"/>
      <family val="2"/>
    </font>
    <font>
      <sz val="10"/>
      <color theme="1"/>
      <name val="Arial Narrow"/>
      <family val="2"/>
    </font>
    <font>
      <sz val="11"/>
      <color theme="1"/>
      <name val="Arial Narrow"/>
      <family val="2"/>
    </font>
    <font>
      <sz val="10"/>
      <color rgb="FF000000"/>
      <name val="Arial Narrow"/>
      <family val="2"/>
    </font>
    <font>
      <i/>
      <sz val="10"/>
      <name val="Arial Narrow"/>
      <family val="2"/>
    </font>
    <font>
      <b/>
      <i/>
      <sz val="10"/>
      <color theme="1"/>
      <name val="Arial Narrow"/>
      <family val="2"/>
    </font>
    <font>
      <b/>
      <sz val="11"/>
      <color theme="0"/>
      <name val="Arial Narrow"/>
      <family val="2"/>
    </font>
    <font>
      <sz val="10"/>
      <color indexed="8"/>
      <name val="Arial"/>
      <family val="2"/>
    </font>
    <font>
      <b/>
      <sz val="11"/>
      <color rgb="FF000000"/>
      <name val="Arial Narrow"/>
      <family val="2"/>
    </font>
    <font>
      <b/>
      <sz val="10"/>
      <color theme="1"/>
      <name val="Arial Narrow"/>
      <family val="2"/>
    </font>
    <font>
      <sz val="11"/>
      <color rgb="FF000000"/>
      <name val="Arial Narrow"/>
      <family val="2"/>
    </font>
    <font>
      <sz val="8"/>
      <name val="Calibri"/>
      <family val="2"/>
      <scheme val="minor"/>
    </font>
    <font>
      <b/>
      <sz val="10"/>
      <color theme="0"/>
      <name val="Arial Narrow"/>
      <family val="2"/>
    </font>
    <font>
      <b/>
      <sz val="10"/>
      <name val="Arial Narrow"/>
      <family val="2"/>
    </font>
    <font>
      <b/>
      <i/>
      <sz val="10"/>
      <name val="Arial Narrow"/>
      <family val="2"/>
    </font>
    <font>
      <sz val="10"/>
      <color rgb="FFFF0000"/>
      <name val="Arial Narrow"/>
      <family val="2"/>
    </font>
    <font>
      <sz val="14"/>
      <color theme="1"/>
      <name val="Arial Narrow"/>
      <family val="2"/>
    </font>
    <font>
      <sz val="10"/>
      <name val="Arial"/>
      <family val="2"/>
    </font>
    <font>
      <b/>
      <sz val="10"/>
      <color rgb="FFFF0000"/>
      <name val="Arial Narrow"/>
      <family val="2"/>
    </font>
    <font>
      <b/>
      <sz val="10"/>
      <color rgb="FF00B050"/>
      <name val="Arial Narrow"/>
      <family val="2"/>
    </font>
    <font>
      <b/>
      <sz val="10"/>
      <color theme="9"/>
      <name val="Arial Narrow"/>
      <family val="2"/>
    </font>
  </fonts>
  <fills count="23">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rgb="FF92D050"/>
        <bgColor indexed="64"/>
      </patternFill>
    </fill>
    <fill>
      <patternFill patternType="solid">
        <fgColor rgb="FF0070C0"/>
        <bgColor indexed="64"/>
      </patternFill>
    </fill>
    <fill>
      <patternFill patternType="solid">
        <fgColor rgb="FF66FFFF"/>
        <bgColor indexed="64"/>
      </patternFill>
    </fill>
    <fill>
      <patternFill patternType="solid">
        <fgColor theme="0" tint="-4.9989318521683403E-2"/>
        <bgColor indexed="64"/>
      </patternFill>
    </fill>
    <fill>
      <patternFill patternType="solid">
        <fgColor rgb="FFFF330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2"/>
        <bgColor indexed="64"/>
      </patternFill>
    </fill>
    <fill>
      <patternFill patternType="solid">
        <fgColor rgb="FFD9D9D9"/>
        <bgColor rgb="FFD9D9D9"/>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0.499984740745262"/>
        <bgColor indexed="64"/>
      </patternFill>
    </fill>
  </fills>
  <borders count="2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bottom/>
      <diagonal/>
    </border>
    <border>
      <left/>
      <right/>
      <top style="thin">
        <color indexed="64"/>
      </top>
      <bottom style="thin">
        <color indexed="64"/>
      </bottom>
      <diagonal/>
    </border>
    <border>
      <left/>
      <right style="thin">
        <color indexed="64"/>
      </right>
      <top/>
      <bottom style="thin">
        <color indexed="64"/>
      </bottom>
      <diagonal/>
    </border>
    <border>
      <left style="medium">
        <color rgb="FF000000"/>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rgb="FF000000"/>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s>
  <cellStyleXfs count="4">
    <xf numFmtId="0" fontId="0" fillId="0" borderId="0"/>
    <xf numFmtId="0" fontId="2" fillId="0" borderId="0"/>
    <xf numFmtId="0" fontId="11" fillId="0" borderId="0">
      <alignment vertical="top"/>
    </xf>
    <xf numFmtId="9" fontId="1" fillId="0" borderId="0" applyFont="0" applyFill="0" applyBorder="0" applyAlignment="0" applyProtection="0"/>
  </cellStyleXfs>
  <cellXfs count="46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4" fillId="0" borderId="0" xfId="1" applyFont="1" applyAlignment="1">
      <alignment horizontal="left" vertical="center"/>
    </xf>
    <xf numFmtId="0" fontId="5" fillId="0" borderId="0" xfId="0" applyFont="1" applyAlignment="1">
      <alignment vertical="center"/>
    </xf>
    <xf numFmtId="0" fontId="4" fillId="0" borderId="0" xfId="1" applyFont="1" applyAlignment="1">
      <alignment horizontal="center" vertical="center"/>
    </xf>
    <xf numFmtId="43" fontId="4" fillId="0" borderId="0" xfId="1" applyNumberFormat="1" applyFont="1" applyAlignment="1">
      <alignment vertical="center"/>
    </xf>
    <xf numFmtId="1" fontId="4" fillId="0" borderId="0" xfId="1" applyNumberFormat="1" applyFont="1" applyAlignment="1">
      <alignment horizontal="center" vertical="center"/>
    </xf>
    <xf numFmtId="2" fontId="8" fillId="0" borderId="0" xfId="1" applyNumberFormat="1" applyFont="1" applyAlignment="1">
      <alignment horizontal="center" vertical="center"/>
    </xf>
    <xf numFmtId="0" fontId="5" fillId="0" borderId="0" xfId="0" applyFont="1" applyAlignment="1">
      <alignment horizontal="center" vertical="center"/>
    </xf>
    <xf numFmtId="2" fontId="5" fillId="0" borderId="0" xfId="0" applyNumberFormat="1" applyFont="1" applyAlignment="1">
      <alignment horizontal="center" vertical="center"/>
    </xf>
    <xf numFmtId="1" fontId="5" fillId="0" borderId="0" xfId="0" applyNumberFormat="1" applyFont="1" applyAlignment="1">
      <alignment horizontal="center" vertical="center"/>
    </xf>
    <xf numFmtId="43" fontId="5" fillId="0" borderId="0" xfId="1" applyNumberFormat="1" applyFont="1" applyAlignment="1">
      <alignment horizontal="left" vertical="center"/>
    </xf>
    <xf numFmtId="0" fontId="5" fillId="4" borderId="2" xfId="0" applyFont="1" applyFill="1" applyBorder="1" applyAlignment="1">
      <alignment vertical="center"/>
    </xf>
    <xf numFmtId="0" fontId="4" fillId="4" borderId="2" xfId="0" applyFont="1" applyFill="1" applyBorder="1" applyAlignment="1">
      <alignment vertical="center"/>
    </xf>
    <xf numFmtId="0" fontId="4" fillId="4" borderId="2" xfId="1" applyFont="1" applyFill="1" applyBorder="1" applyAlignment="1">
      <alignment horizontal="center" vertical="center"/>
    </xf>
    <xf numFmtId="0" fontId="4" fillId="4" borderId="2" xfId="1" applyFont="1" applyFill="1" applyBorder="1" applyAlignment="1">
      <alignment horizontal="left" vertical="center"/>
    </xf>
    <xf numFmtId="1" fontId="4" fillId="4" borderId="2" xfId="1" applyNumberFormat="1" applyFont="1" applyFill="1" applyBorder="1" applyAlignment="1">
      <alignment horizontal="center" vertical="center"/>
    </xf>
    <xf numFmtId="2" fontId="4" fillId="4" borderId="2" xfId="0" applyNumberFormat="1" applyFont="1" applyFill="1" applyBorder="1" applyAlignment="1">
      <alignment horizontal="center" vertical="center"/>
    </xf>
    <xf numFmtId="1" fontId="4" fillId="4" borderId="2" xfId="0" applyNumberFormat="1" applyFont="1" applyFill="1" applyBorder="1" applyAlignment="1">
      <alignment horizontal="center" vertical="center"/>
    </xf>
    <xf numFmtId="9" fontId="4" fillId="4" borderId="2" xfId="3" applyFont="1" applyFill="1" applyBorder="1" applyAlignment="1">
      <alignment horizontal="center" vertical="center"/>
    </xf>
    <xf numFmtId="164" fontId="4" fillId="4" borderId="2" xfId="0" applyNumberFormat="1" applyFont="1" applyFill="1" applyBorder="1" applyAlignment="1">
      <alignment horizontal="center" vertical="center"/>
    </xf>
    <xf numFmtId="2" fontId="5" fillId="4" borderId="2" xfId="0" applyNumberFormat="1" applyFont="1" applyFill="1" applyBorder="1" applyAlignment="1">
      <alignment horizontal="center" vertical="center"/>
    </xf>
    <xf numFmtId="0" fontId="5" fillId="4" borderId="2" xfId="0" applyFont="1" applyFill="1" applyBorder="1" applyAlignment="1">
      <alignment horizontal="center" vertical="center"/>
    </xf>
    <xf numFmtId="2" fontId="9" fillId="4" borderId="2" xfId="0" applyNumberFormat="1" applyFont="1" applyFill="1" applyBorder="1" applyAlignment="1">
      <alignment horizontal="center" vertical="center"/>
    </xf>
    <xf numFmtId="14" fontId="5" fillId="4" borderId="2" xfId="0" applyNumberFormat="1" applyFont="1" applyFill="1" applyBorder="1" applyAlignment="1">
      <alignment horizontal="center" vertical="center"/>
    </xf>
    <xf numFmtId="164" fontId="5" fillId="4" borderId="2" xfId="0" applyNumberFormat="1" applyFont="1" applyFill="1" applyBorder="1" applyAlignment="1">
      <alignment horizontal="center" vertical="center"/>
    </xf>
    <xf numFmtId="1" fontId="5" fillId="4" borderId="2" xfId="0" applyNumberFormat="1" applyFont="1" applyFill="1" applyBorder="1" applyAlignment="1">
      <alignment horizontal="center" vertical="center"/>
    </xf>
    <xf numFmtId="2" fontId="4" fillId="4" borderId="2" xfId="1" applyNumberFormat="1" applyFont="1" applyFill="1" applyBorder="1" applyAlignment="1">
      <alignment horizontal="center" vertical="center"/>
    </xf>
    <xf numFmtId="2" fontId="4" fillId="4" borderId="9" xfId="1" applyNumberFormat="1" applyFont="1" applyFill="1" applyBorder="1" applyAlignment="1">
      <alignment horizontal="center" vertical="center"/>
    </xf>
    <xf numFmtId="2" fontId="5" fillId="4" borderId="9" xfId="0" applyNumberFormat="1" applyFont="1" applyFill="1" applyBorder="1" applyAlignment="1">
      <alignment horizontal="center" vertical="center"/>
    </xf>
    <xf numFmtId="2" fontId="8" fillId="0" borderId="10" xfId="1" applyNumberFormat="1" applyFont="1" applyBorder="1" applyAlignment="1">
      <alignment horizontal="center" vertical="center"/>
    </xf>
    <xf numFmtId="2" fontId="9" fillId="0" borderId="0" xfId="0" applyNumberFormat="1" applyFont="1" applyAlignment="1">
      <alignment horizontal="center" vertical="center"/>
    </xf>
    <xf numFmtId="14" fontId="9" fillId="0" borderId="0" xfId="0" applyNumberFormat="1" applyFont="1" applyAlignment="1">
      <alignment horizontal="center" vertical="center"/>
    </xf>
    <xf numFmtId="164" fontId="5" fillId="0" borderId="0" xfId="0" applyNumberFormat="1" applyFont="1" applyAlignment="1">
      <alignment horizontal="center" vertical="center"/>
    </xf>
    <xf numFmtId="0" fontId="10" fillId="6" borderId="4" xfId="0" applyFont="1" applyFill="1" applyBorder="1" applyAlignment="1">
      <alignment horizontal="left"/>
    </xf>
    <xf numFmtId="0" fontId="3" fillId="2" borderId="11" xfId="0" applyFont="1" applyFill="1" applyBorder="1" applyAlignment="1">
      <alignment horizontal="center"/>
    </xf>
    <xf numFmtId="14" fontId="3" fillId="2" borderId="11" xfId="0" applyNumberFormat="1" applyFont="1" applyFill="1" applyBorder="1" applyAlignment="1">
      <alignment horizontal="left"/>
    </xf>
    <xf numFmtId="0" fontId="6" fillId="4" borderId="6" xfId="0" applyFont="1" applyFill="1" applyBorder="1" applyAlignment="1">
      <alignment horizontal="center"/>
    </xf>
    <xf numFmtId="0" fontId="6" fillId="4" borderId="0" xfId="0" applyFont="1" applyFill="1" applyAlignment="1">
      <alignment horizontal="center"/>
    </xf>
    <xf numFmtId="2" fontId="6" fillId="4" borderId="0" xfId="0" applyNumberFormat="1" applyFont="1" applyFill="1" applyAlignment="1">
      <alignment horizontal="center"/>
    </xf>
    <xf numFmtId="164" fontId="6" fillId="4" borderId="0" xfId="0" applyNumberFormat="1" applyFont="1" applyFill="1" applyAlignment="1">
      <alignment horizontal="center"/>
    </xf>
    <xf numFmtId="164" fontId="6" fillId="4" borderId="7" xfId="0" applyNumberFormat="1" applyFont="1" applyFill="1" applyBorder="1" applyAlignment="1">
      <alignment horizontal="center"/>
    </xf>
    <xf numFmtId="164" fontId="3" fillId="4" borderId="11" xfId="0" applyNumberFormat="1" applyFont="1" applyFill="1" applyBorder="1" applyAlignment="1">
      <alignment horizontal="center"/>
    </xf>
    <xf numFmtId="2" fontId="3" fillId="4" borderId="11" xfId="0" applyNumberFormat="1" applyFont="1" applyFill="1" applyBorder="1" applyAlignment="1">
      <alignment horizontal="center"/>
    </xf>
    <xf numFmtId="0" fontId="0" fillId="2" borderId="11" xfId="0" applyFill="1" applyBorder="1"/>
    <xf numFmtId="14" fontId="3" fillId="2" borderId="11" xfId="0" applyNumberFormat="1" applyFont="1" applyFill="1" applyBorder="1"/>
    <xf numFmtId="0" fontId="4" fillId="4" borderId="2" xfId="0" applyFont="1" applyFill="1" applyBorder="1" applyAlignment="1">
      <alignment horizontal="center" vertical="center"/>
    </xf>
    <xf numFmtId="43" fontId="5" fillId="0" borderId="0" xfId="1" applyNumberFormat="1" applyFont="1" applyAlignment="1">
      <alignment horizontal="center" vertical="center"/>
    </xf>
    <xf numFmtId="0" fontId="6" fillId="10"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14" fontId="3" fillId="2" borderId="8" xfId="0" applyNumberFormat="1" applyFont="1" applyFill="1" applyBorder="1" applyAlignment="1">
      <alignment horizontal="center"/>
    </xf>
    <xf numFmtId="2" fontId="4" fillId="4" borderId="8" xfId="1" applyNumberFormat="1" applyFont="1" applyFill="1" applyBorder="1" applyAlignment="1">
      <alignment horizontal="center" vertical="center"/>
    </xf>
    <xf numFmtId="2" fontId="5" fillId="4" borderId="8"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16" fontId="4" fillId="4" borderId="2" xfId="1" applyNumberFormat="1" applyFont="1" applyFill="1" applyBorder="1" applyAlignment="1">
      <alignment horizontal="left" vertical="center"/>
    </xf>
    <xf numFmtId="164" fontId="4" fillId="4" borderId="2" xfId="1" applyNumberFormat="1" applyFont="1" applyFill="1" applyBorder="1" applyAlignment="1">
      <alignment horizontal="center" vertical="center"/>
    </xf>
    <xf numFmtId="43" fontId="4" fillId="4" borderId="2" xfId="1" applyNumberFormat="1" applyFont="1" applyFill="1" applyBorder="1" applyAlignment="1">
      <alignment horizontal="center" vertical="center"/>
    </xf>
    <xf numFmtId="16" fontId="5" fillId="4" borderId="2" xfId="0" applyNumberFormat="1" applyFont="1" applyFill="1" applyBorder="1" applyAlignment="1">
      <alignment horizontal="center" vertical="center"/>
    </xf>
    <xf numFmtId="0" fontId="5" fillId="16" borderId="2" xfId="0" applyFont="1" applyFill="1" applyBorder="1" applyAlignment="1">
      <alignment vertical="center"/>
    </xf>
    <xf numFmtId="0" fontId="4" fillId="16" borderId="2" xfId="0" applyFont="1" applyFill="1" applyBorder="1" applyAlignment="1">
      <alignment vertical="center"/>
    </xf>
    <xf numFmtId="0" fontId="4" fillId="16" borderId="2" xfId="0" applyFont="1" applyFill="1" applyBorder="1" applyAlignment="1">
      <alignment horizontal="center" vertical="center"/>
    </xf>
    <xf numFmtId="0" fontId="4" fillId="16" borderId="2" xfId="1" applyFont="1" applyFill="1" applyBorder="1" applyAlignment="1">
      <alignment horizontal="center" vertical="center"/>
    </xf>
    <xf numFmtId="49" fontId="4" fillId="16" borderId="2" xfId="1" applyNumberFormat="1" applyFont="1" applyFill="1" applyBorder="1" applyAlignment="1">
      <alignment horizontal="left" vertical="center"/>
    </xf>
    <xf numFmtId="0" fontId="4" fillId="16" borderId="2" xfId="1" applyFont="1" applyFill="1" applyBorder="1" applyAlignment="1">
      <alignment horizontal="left" vertical="center"/>
    </xf>
    <xf numFmtId="1" fontId="4" fillId="16" borderId="2" xfId="1" applyNumberFormat="1" applyFont="1" applyFill="1" applyBorder="1" applyAlignment="1">
      <alignment horizontal="center" vertical="center"/>
    </xf>
    <xf numFmtId="2" fontId="4" fillId="16" borderId="2" xfId="0" applyNumberFormat="1" applyFont="1" applyFill="1" applyBorder="1" applyAlignment="1">
      <alignment horizontal="center" vertical="center"/>
    </xf>
    <xf numFmtId="1" fontId="4" fillId="16" borderId="2" xfId="0" applyNumberFormat="1" applyFont="1" applyFill="1" applyBorder="1" applyAlignment="1">
      <alignment horizontal="center" vertical="center"/>
    </xf>
    <xf numFmtId="9" fontId="4" fillId="16" borderId="2" xfId="3" applyFont="1" applyFill="1" applyBorder="1" applyAlignment="1">
      <alignment horizontal="center" vertical="center"/>
    </xf>
    <xf numFmtId="164" fontId="4" fillId="16" borderId="2" xfId="0" applyNumberFormat="1" applyFont="1" applyFill="1" applyBorder="1" applyAlignment="1">
      <alignment horizontal="center" vertical="center"/>
    </xf>
    <xf numFmtId="2" fontId="4" fillId="16" borderId="2" xfId="1" applyNumberFormat="1" applyFont="1" applyFill="1" applyBorder="1" applyAlignment="1">
      <alignment horizontal="center" vertical="center"/>
    </xf>
    <xf numFmtId="2" fontId="4" fillId="16" borderId="8" xfId="1" applyNumberFormat="1" applyFont="1" applyFill="1" applyBorder="1" applyAlignment="1">
      <alignment horizontal="center" vertical="center"/>
    </xf>
    <xf numFmtId="2" fontId="4" fillId="16" borderId="9" xfId="1" applyNumberFormat="1" applyFont="1" applyFill="1" applyBorder="1" applyAlignment="1">
      <alignment horizontal="center" vertical="center"/>
    </xf>
    <xf numFmtId="0" fontId="5" fillId="16" borderId="2" xfId="0" applyFont="1" applyFill="1" applyBorder="1" applyAlignment="1">
      <alignment horizontal="center" vertical="center"/>
    </xf>
    <xf numFmtId="2" fontId="9" fillId="16" borderId="2" xfId="0" applyNumberFormat="1" applyFont="1" applyFill="1" applyBorder="1" applyAlignment="1">
      <alignment horizontal="center" vertical="center"/>
    </xf>
    <xf numFmtId="2" fontId="5" fillId="16" borderId="2" xfId="0" applyNumberFormat="1" applyFont="1" applyFill="1" applyBorder="1" applyAlignment="1">
      <alignment horizontal="center" vertical="center"/>
    </xf>
    <xf numFmtId="14" fontId="5" fillId="16" borderId="2" xfId="0" applyNumberFormat="1" applyFont="1" applyFill="1" applyBorder="1" applyAlignment="1">
      <alignment horizontal="center" vertical="center"/>
    </xf>
    <xf numFmtId="164" fontId="5" fillId="16" borderId="2" xfId="0" applyNumberFormat="1" applyFont="1" applyFill="1" applyBorder="1" applyAlignment="1">
      <alignment horizontal="center" vertical="center"/>
    </xf>
    <xf numFmtId="1" fontId="5" fillId="16" borderId="2" xfId="0" applyNumberFormat="1" applyFont="1" applyFill="1" applyBorder="1" applyAlignment="1">
      <alignment horizontal="center" vertical="center"/>
    </xf>
    <xf numFmtId="2" fontId="7" fillId="16" borderId="2" xfId="0" applyNumberFormat="1" applyFont="1" applyFill="1" applyBorder="1" applyAlignment="1">
      <alignment horizontal="center" vertical="center"/>
    </xf>
    <xf numFmtId="2" fontId="5" fillId="16" borderId="8" xfId="0" applyNumberFormat="1" applyFont="1" applyFill="1" applyBorder="1" applyAlignment="1">
      <alignment horizontal="center" vertical="center"/>
    </xf>
    <xf numFmtId="2" fontId="5" fillId="16" borderId="9" xfId="0" applyNumberFormat="1" applyFont="1" applyFill="1" applyBorder="1" applyAlignment="1">
      <alignment horizontal="center" vertical="center"/>
    </xf>
    <xf numFmtId="164" fontId="4" fillId="16" borderId="2" xfId="1" applyNumberFormat="1" applyFont="1" applyFill="1" applyBorder="1" applyAlignment="1">
      <alignment horizontal="center" vertical="center"/>
    </xf>
    <xf numFmtId="0" fontId="5" fillId="16" borderId="2" xfId="0" applyFont="1" applyFill="1" applyBorder="1" applyAlignment="1">
      <alignment horizontal="right" vertical="center"/>
    </xf>
    <xf numFmtId="43" fontId="4" fillId="16" borderId="2" xfId="1" applyNumberFormat="1" applyFont="1" applyFill="1" applyBorder="1" applyAlignment="1">
      <alignment horizontal="center" vertical="center"/>
    </xf>
    <xf numFmtId="2" fontId="7" fillId="16" borderId="2" xfId="1" applyNumberFormat="1" applyFont="1" applyFill="1" applyBorder="1" applyAlignment="1">
      <alignment horizontal="center" vertical="center"/>
    </xf>
    <xf numFmtId="0" fontId="4" fillId="16" borderId="2" xfId="0" applyFont="1" applyFill="1" applyBorder="1" applyAlignment="1">
      <alignment horizontal="left" vertical="center"/>
    </xf>
    <xf numFmtId="0" fontId="7" fillId="16" borderId="2" xfId="1" applyFont="1" applyFill="1" applyBorder="1" applyAlignment="1">
      <alignment horizontal="left" vertical="center"/>
    </xf>
    <xf numFmtId="1" fontId="4" fillId="16" borderId="2" xfId="1" applyNumberFormat="1" applyFont="1" applyFill="1" applyBorder="1" applyAlignment="1">
      <alignment horizontal="center" vertical="center" wrapText="1"/>
    </xf>
    <xf numFmtId="9" fontId="4" fillId="16" borderId="2" xfId="3" applyFont="1" applyFill="1" applyBorder="1" applyAlignment="1">
      <alignment horizontal="center" vertical="center" wrapText="1"/>
    </xf>
    <xf numFmtId="164" fontId="4" fillId="16" borderId="2" xfId="1" applyNumberFormat="1" applyFont="1" applyFill="1" applyBorder="1" applyAlignment="1">
      <alignment horizontal="center" vertical="center" wrapText="1"/>
    </xf>
    <xf numFmtId="14" fontId="4" fillId="16" borderId="2" xfId="1" applyNumberFormat="1" applyFont="1" applyFill="1" applyBorder="1" applyAlignment="1">
      <alignment horizontal="left" vertical="center"/>
    </xf>
    <xf numFmtId="0" fontId="16" fillId="8" borderId="2" xfId="1" applyFont="1" applyFill="1" applyBorder="1" applyAlignment="1">
      <alignment horizontal="center" vertical="center" wrapText="1"/>
    </xf>
    <xf numFmtId="43" fontId="16" fillId="8" borderId="2" xfId="1" applyNumberFormat="1" applyFont="1" applyFill="1" applyBorder="1" applyAlignment="1">
      <alignment horizontal="center" vertical="center" wrapText="1"/>
    </xf>
    <xf numFmtId="1" fontId="16" fillId="8" borderId="2" xfId="1" applyNumberFormat="1" applyFont="1" applyFill="1" applyBorder="1" applyAlignment="1">
      <alignment horizontal="center" vertical="center" wrapText="1"/>
    </xf>
    <xf numFmtId="2" fontId="17" fillId="9" borderId="2" xfId="1" applyNumberFormat="1" applyFont="1" applyFill="1" applyBorder="1" applyAlignment="1">
      <alignment horizontal="center" vertical="center" wrapText="1"/>
    </xf>
    <xf numFmtId="2" fontId="17" fillId="9" borderId="8" xfId="1" applyNumberFormat="1" applyFont="1" applyFill="1" applyBorder="1" applyAlignment="1">
      <alignment horizontal="center" vertical="center" wrapText="1"/>
    </xf>
    <xf numFmtId="2" fontId="17" fillId="9" borderId="9" xfId="1" applyNumberFormat="1" applyFont="1" applyFill="1" applyBorder="1" applyAlignment="1">
      <alignment horizontal="center" vertical="center" wrapText="1"/>
    </xf>
    <xf numFmtId="2" fontId="17" fillId="7" borderId="2" xfId="1" applyNumberFormat="1" applyFont="1" applyFill="1" applyBorder="1" applyAlignment="1">
      <alignment horizontal="center" vertical="center" wrapText="1"/>
    </xf>
    <xf numFmtId="2" fontId="18" fillId="9" borderId="2" xfId="1" applyNumberFormat="1" applyFont="1" applyFill="1" applyBorder="1" applyAlignment="1">
      <alignment horizontal="center" vertical="center" wrapText="1"/>
    </xf>
    <xf numFmtId="14" fontId="18" fillId="9" borderId="2" xfId="1" applyNumberFormat="1" applyFont="1" applyFill="1" applyBorder="1" applyAlignment="1">
      <alignment horizontal="center" vertical="center" wrapText="1"/>
    </xf>
    <xf numFmtId="164" fontId="17" fillId="9" borderId="2" xfId="1" applyNumberFormat="1" applyFont="1" applyFill="1" applyBorder="1" applyAlignment="1">
      <alignment horizontal="center" vertical="center" wrapText="1"/>
    </xf>
    <xf numFmtId="164" fontId="17" fillId="3" borderId="2" xfId="1" applyNumberFormat="1" applyFont="1" applyFill="1" applyBorder="1" applyAlignment="1">
      <alignment horizontal="center" vertical="center" wrapText="1"/>
    </xf>
    <xf numFmtId="2" fontId="17" fillId="12" borderId="2" xfId="1" applyNumberFormat="1" applyFont="1" applyFill="1" applyBorder="1" applyAlignment="1">
      <alignment horizontal="center" vertical="center" wrapText="1"/>
    </xf>
    <xf numFmtId="2" fontId="17" fillId="11" borderId="2" xfId="1" applyNumberFormat="1" applyFont="1" applyFill="1" applyBorder="1" applyAlignment="1">
      <alignment horizontal="center" vertical="center" wrapText="1"/>
    </xf>
    <xf numFmtId="1" fontId="17" fillId="11" borderId="2" xfId="1" applyNumberFormat="1" applyFont="1" applyFill="1" applyBorder="1" applyAlignment="1">
      <alignment horizontal="center" vertical="center" wrapText="1"/>
    </xf>
    <xf numFmtId="1" fontId="17" fillId="3" borderId="2" xfId="1" applyNumberFormat="1" applyFont="1" applyFill="1" applyBorder="1" applyAlignment="1">
      <alignment horizontal="center" vertical="center" wrapText="1"/>
    </xf>
    <xf numFmtId="1" fontId="17" fillId="13" borderId="2" xfId="1" applyNumberFormat="1" applyFont="1" applyFill="1" applyBorder="1" applyAlignment="1">
      <alignment horizontal="center" vertical="center" wrapText="1"/>
    </xf>
    <xf numFmtId="2" fontId="17" fillId="2" borderId="2" xfId="1" applyNumberFormat="1" applyFont="1" applyFill="1" applyBorder="1" applyAlignment="1">
      <alignment horizontal="center" vertical="center" wrapText="1"/>
    </xf>
    <xf numFmtId="0" fontId="5" fillId="0" borderId="2" xfId="0" applyFont="1" applyBorder="1" applyAlignment="1">
      <alignment vertical="center"/>
    </xf>
    <xf numFmtId="0" fontId="4" fillId="0" borderId="2" xfId="0" applyFont="1" applyBorder="1" applyAlignment="1">
      <alignment vertical="center"/>
    </xf>
    <xf numFmtId="0" fontId="5" fillId="0" borderId="2" xfId="0" applyFont="1" applyBorder="1" applyAlignment="1">
      <alignment horizontal="center" vertical="center"/>
    </xf>
    <xf numFmtId="1" fontId="5" fillId="0" borderId="2" xfId="0" applyNumberFormat="1" applyFont="1" applyBorder="1" applyAlignment="1">
      <alignment horizontal="center" vertical="center"/>
    </xf>
    <xf numFmtId="164" fontId="5" fillId="0" borderId="2" xfId="0" applyNumberFormat="1" applyFont="1" applyBorder="1" applyAlignment="1">
      <alignment horizontal="center" vertical="center"/>
    </xf>
    <xf numFmtId="2" fontId="5" fillId="0" borderId="2" xfId="0" applyNumberFormat="1" applyFont="1" applyBorder="1" applyAlignment="1">
      <alignment horizontal="center" vertical="center"/>
    </xf>
    <xf numFmtId="14" fontId="5" fillId="0" borderId="2" xfId="0" applyNumberFormat="1" applyFont="1" applyBorder="1" applyAlignment="1">
      <alignment horizontal="center" vertical="center"/>
    </xf>
    <xf numFmtId="2" fontId="9" fillId="0" borderId="2" xfId="0" applyNumberFormat="1" applyFont="1" applyBorder="1" applyAlignment="1">
      <alignment horizontal="center" vertical="center"/>
    </xf>
    <xf numFmtId="2" fontId="5" fillId="0" borderId="9" xfId="0" applyNumberFormat="1" applyFont="1" applyBorder="1" applyAlignment="1">
      <alignment horizontal="center" vertical="center"/>
    </xf>
    <xf numFmtId="164" fontId="4" fillId="0" borderId="2" xfId="1" applyNumberFormat="1" applyFont="1" applyBorder="1" applyAlignment="1">
      <alignment horizontal="center" vertical="center"/>
    </xf>
    <xf numFmtId="1" fontId="4" fillId="0" borderId="2" xfId="1" applyNumberFormat="1" applyFont="1" applyBorder="1" applyAlignment="1">
      <alignment horizontal="center" vertical="center"/>
    </xf>
    <xf numFmtId="9" fontId="4" fillId="0" borderId="2" xfId="3" applyFont="1" applyFill="1" applyBorder="1" applyAlignment="1">
      <alignment horizontal="center" vertical="center"/>
    </xf>
    <xf numFmtId="2" fontId="4" fillId="0" borderId="2" xfId="1" applyNumberFormat="1" applyFont="1" applyBorder="1" applyAlignment="1">
      <alignment horizontal="center" vertical="center"/>
    </xf>
    <xf numFmtId="0" fontId="4" fillId="0" borderId="2" xfId="1" applyFont="1" applyBorder="1" applyAlignment="1">
      <alignment horizontal="left" vertical="center"/>
    </xf>
    <xf numFmtId="0" fontId="4" fillId="0" borderId="2" xfId="1" applyFont="1" applyBorder="1" applyAlignment="1">
      <alignment horizontal="center" vertical="center"/>
    </xf>
    <xf numFmtId="0" fontId="4" fillId="0" borderId="2" xfId="0" applyFont="1" applyBorder="1" applyAlignment="1">
      <alignment horizontal="center" vertical="center"/>
    </xf>
    <xf numFmtId="2" fontId="4" fillId="0" borderId="9" xfId="1" applyNumberFormat="1" applyFont="1" applyBorder="1" applyAlignment="1">
      <alignment horizontal="center" vertical="center"/>
    </xf>
    <xf numFmtId="0" fontId="4" fillId="0" borderId="2" xfId="0" applyFont="1" applyBorder="1" applyAlignment="1">
      <alignment horizontal="left" vertical="center"/>
    </xf>
    <xf numFmtId="2" fontId="7" fillId="0" borderId="2" xfId="1" applyNumberFormat="1" applyFont="1" applyBorder="1" applyAlignment="1">
      <alignment horizontal="center" vertical="center"/>
    </xf>
    <xf numFmtId="49" fontId="4" fillId="0" borderId="2" xfId="1" applyNumberFormat="1" applyFont="1" applyBorder="1" applyAlignment="1">
      <alignment horizontal="left" vertical="center"/>
    </xf>
    <xf numFmtId="43" fontId="4" fillId="0" borderId="2" xfId="1" applyNumberFormat="1" applyFont="1" applyBorder="1" applyAlignment="1">
      <alignment horizontal="center" vertical="center"/>
    </xf>
    <xf numFmtId="0" fontId="7" fillId="0" borderId="2" xfId="1" applyFont="1" applyBorder="1" applyAlignment="1">
      <alignment horizontal="left" vertical="center"/>
    </xf>
    <xf numFmtId="0" fontId="5" fillId="0" borderId="2" xfId="0" applyFont="1" applyBorder="1" applyAlignment="1">
      <alignment horizontal="right" vertical="center"/>
    </xf>
    <xf numFmtId="0" fontId="5" fillId="16" borderId="1" xfId="0" applyFont="1" applyFill="1" applyBorder="1" applyAlignment="1">
      <alignment vertical="center"/>
    </xf>
    <xf numFmtId="0" fontId="4" fillId="16" borderId="1" xfId="0" applyFont="1" applyFill="1" applyBorder="1" applyAlignment="1">
      <alignment vertical="center"/>
    </xf>
    <xf numFmtId="0" fontId="4" fillId="16" borderId="1" xfId="0" applyFont="1" applyFill="1" applyBorder="1" applyAlignment="1">
      <alignment horizontal="center" vertical="center"/>
    </xf>
    <xf numFmtId="0" fontId="4" fillId="16" borderId="1" xfId="1" applyFont="1" applyFill="1" applyBorder="1" applyAlignment="1">
      <alignment horizontal="center" vertical="center"/>
    </xf>
    <xf numFmtId="0" fontId="4" fillId="16" borderId="1" xfId="1" applyFont="1" applyFill="1" applyBorder="1" applyAlignment="1">
      <alignment horizontal="left" vertical="center"/>
    </xf>
    <xf numFmtId="1" fontId="4" fillId="16" borderId="1" xfId="1" applyNumberFormat="1" applyFont="1" applyFill="1" applyBorder="1" applyAlignment="1">
      <alignment horizontal="center" vertical="center"/>
    </xf>
    <xf numFmtId="2" fontId="4" fillId="16" borderId="1" xfId="1" applyNumberFormat="1" applyFont="1" applyFill="1" applyBorder="1" applyAlignment="1">
      <alignment horizontal="center" vertical="center"/>
    </xf>
    <xf numFmtId="9" fontId="4" fillId="16" borderId="1" xfId="3" applyFont="1" applyFill="1" applyBorder="1" applyAlignment="1">
      <alignment horizontal="center" vertical="center"/>
    </xf>
    <xf numFmtId="164" fontId="4" fillId="16" borderId="1" xfId="1" applyNumberFormat="1" applyFont="1" applyFill="1" applyBorder="1" applyAlignment="1">
      <alignment horizontal="center" vertical="center"/>
    </xf>
    <xf numFmtId="2" fontId="5" fillId="16" borderId="1" xfId="0" applyNumberFormat="1" applyFont="1" applyFill="1" applyBorder="1" applyAlignment="1">
      <alignment horizontal="center" vertical="center"/>
    </xf>
    <xf numFmtId="2" fontId="5" fillId="16" borderId="12" xfId="0" applyNumberFormat="1" applyFont="1" applyFill="1" applyBorder="1" applyAlignment="1">
      <alignment horizontal="center" vertical="center"/>
    </xf>
    <xf numFmtId="2" fontId="5" fillId="16" borderId="13" xfId="0" applyNumberFormat="1" applyFont="1" applyFill="1" applyBorder="1" applyAlignment="1">
      <alignment horizontal="center" vertical="center"/>
    </xf>
    <xf numFmtId="0" fontId="5" fillId="16" borderId="1" xfId="0" applyFont="1" applyFill="1" applyBorder="1" applyAlignment="1">
      <alignment horizontal="center" vertical="center"/>
    </xf>
    <xf numFmtId="2" fontId="9" fillId="16" borderId="1" xfId="0" applyNumberFormat="1" applyFont="1" applyFill="1" applyBorder="1" applyAlignment="1">
      <alignment horizontal="center" vertical="center"/>
    </xf>
    <xf numFmtId="14" fontId="5" fillId="16" borderId="1" xfId="0" applyNumberFormat="1" applyFont="1" applyFill="1" applyBorder="1" applyAlignment="1">
      <alignment horizontal="center" vertical="center"/>
    </xf>
    <xf numFmtId="1" fontId="5" fillId="16" borderId="1" xfId="0" applyNumberFormat="1" applyFont="1" applyFill="1" applyBorder="1" applyAlignment="1">
      <alignment horizontal="center" vertical="center"/>
    </xf>
    <xf numFmtId="16" fontId="5" fillId="16" borderId="2" xfId="0" applyNumberFormat="1" applyFont="1" applyFill="1" applyBorder="1" applyAlignment="1">
      <alignment horizontal="center" vertical="center"/>
    </xf>
    <xf numFmtId="2" fontId="5" fillId="0" borderId="8" xfId="0" applyNumberFormat="1" applyFont="1" applyBorder="1" applyAlignment="1">
      <alignment horizontal="center" vertical="center"/>
    </xf>
    <xf numFmtId="2" fontId="4" fillId="0" borderId="8" xfId="1" applyNumberFormat="1" applyFont="1" applyBorder="1" applyAlignment="1">
      <alignment horizontal="center" vertical="center"/>
    </xf>
    <xf numFmtId="1" fontId="4" fillId="0" borderId="2" xfId="1" applyNumberFormat="1" applyFont="1" applyBorder="1" applyAlignment="1">
      <alignment horizontal="center" vertical="center" wrapText="1"/>
    </xf>
    <xf numFmtId="9" fontId="4" fillId="0" borderId="2" xfId="3" applyFont="1" applyFill="1" applyBorder="1" applyAlignment="1">
      <alignment horizontal="center" vertical="center" wrapText="1"/>
    </xf>
    <xf numFmtId="164" fontId="4" fillId="0" borderId="2" xfId="1" applyNumberFormat="1" applyFont="1" applyBorder="1" applyAlignment="1">
      <alignment horizontal="center" vertical="center" wrapText="1"/>
    </xf>
    <xf numFmtId="0" fontId="5" fillId="0" borderId="1" xfId="0" applyFont="1" applyBorder="1" applyAlignment="1">
      <alignment vertical="center"/>
    </xf>
    <xf numFmtId="43" fontId="4" fillId="0" borderId="2" xfId="1" applyNumberFormat="1" applyFont="1" applyBorder="1" applyAlignment="1">
      <alignment horizontal="left" vertical="center"/>
    </xf>
    <xf numFmtId="2" fontId="5" fillId="0" borderId="2" xfId="0" applyNumberFormat="1" applyFont="1" applyBorder="1" applyAlignment="1">
      <alignment horizontal="center" vertical="center" wrapText="1"/>
    </xf>
    <xf numFmtId="0" fontId="4" fillId="0" borderId="2" xfId="1" applyFont="1" applyBorder="1" applyAlignment="1">
      <alignment horizontal="left" vertical="center" wrapText="1"/>
    </xf>
    <xf numFmtId="49" fontId="4" fillId="16" borderId="2" xfId="1" applyNumberFormat="1" applyFont="1" applyFill="1" applyBorder="1" applyAlignment="1">
      <alignment horizontal="left" vertical="center" wrapText="1"/>
    </xf>
    <xf numFmtId="43" fontId="7" fillId="16" borderId="2" xfId="1" applyNumberFormat="1" applyFont="1" applyFill="1" applyBorder="1" applyAlignment="1">
      <alignment horizontal="left" vertical="center"/>
    </xf>
    <xf numFmtId="0" fontId="5" fillId="16" borderId="2" xfId="0" applyFont="1" applyFill="1" applyBorder="1" applyAlignment="1">
      <alignment horizontal="left" vertical="top"/>
    </xf>
    <xf numFmtId="0" fontId="5" fillId="16" borderId="2" xfId="0" applyFont="1" applyFill="1" applyBorder="1" applyAlignment="1">
      <alignment horizontal="center" vertical="top"/>
    </xf>
    <xf numFmtId="49" fontId="4" fillId="4" borderId="2" xfId="1" applyNumberFormat="1" applyFont="1" applyFill="1" applyBorder="1" applyAlignment="1">
      <alignment horizontal="left" vertical="center"/>
    </xf>
    <xf numFmtId="9" fontId="5" fillId="16" borderId="2" xfId="3" applyFont="1" applyFill="1" applyBorder="1" applyAlignment="1">
      <alignment horizontal="center" vertical="center"/>
    </xf>
    <xf numFmtId="9" fontId="5" fillId="0" borderId="0" xfId="3" applyFont="1" applyBorder="1" applyAlignment="1">
      <alignment horizontal="center" vertical="center"/>
    </xf>
    <xf numFmtId="9" fontId="17" fillId="3" borderId="2" xfId="3" applyFont="1" applyFill="1" applyBorder="1" applyAlignment="1">
      <alignment horizontal="center" vertical="center" wrapText="1"/>
    </xf>
    <xf numFmtId="9" fontId="5" fillId="0" borderId="2" xfId="3" applyFont="1" applyBorder="1" applyAlignment="1">
      <alignment horizontal="center" vertical="center"/>
    </xf>
    <xf numFmtId="9" fontId="5" fillId="4" borderId="2" xfId="3" applyFont="1" applyFill="1" applyBorder="1" applyAlignment="1">
      <alignment horizontal="center" vertical="center"/>
    </xf>
    <xf numFmtId="0" fontId="20" fillId="4" borderId="0" xfId="0" applyFont="1" applyFill="1"/>
    <xf numFmtId="164" fontId="5" fillId="16" borderId="1" xfId="0" applyNumberFormat="1" applyFont="1" applyFill="1" applyBorder="1" applyAlignment="1">
      <alignment horizontal="center" vertical="center"/>
    </xf>
    <xf numFmtId="9" fontId="5" fillId="16" borderId="1" xfId="3" applyFont="1" applyFill="1" applyBorder="1" applyAlignment="1">
      <alignment horizontal="center" vertical="center"/>
    </xf>
    <xf numFmtId="0" fontId="19" fillId="0" borderId="2" xfId="0" applyFont="1" applyBorder="1" applyAlignment="1">
      <alignment vertical="center"/>
    </xf>
    <xf numFmtId="0" fontId="19" fillId="16" borderId="2" xfId="0" applyFont="1" applyFill="1" applyBorder="1" applyAlignment="1">
      <alignment vertical="center"/>
    </xf>
    <xf numFmtId="0" fontId="5" fillId="10" borderId="2" xfId="0" applyFont="1" applyFill="1" applyBorder="1" applyAlignment="1">
      <alignment vertical="center"/>
    </xf>
    <xf numFmtId="0" fontId="4" fillId="10" borderId="2" xfId="0" applyFont="1" applyFill="1" applyBorder="1" applyAlignment="1">
      <alignment horizontal="left" vertical="center"/>
    </xf>
    <xf numFmtId="0" fontId="4" fillId="10" borderId="2" xfId="0" applyFont="1" applyFill="1" applyBorder="1" applyAlignment="1">
      <alignment horizontal="center" vertical="center"/>
    </xf>
    <xf numFmtId="0" fontId="4" fillId="10" borderId="2" xfId="1" applyFont="1" applyFill="1" applyBorder="1" applyAlignment="1">
      <alignment horizontal="center" vertical="center"/>
    </xf>
    <xf numFmtId="0" fontId="4" fillId="10" borderId="2" xfId="1" applyFont="1" applyFill="1" applyBorder="1" applyAlignment="1">
      <alignment horizontal="left" vertical="center"/>
    </xf>
    <xf numFmtId="1" fontId="4" fillId="10" borderId="2" xfId="1" applyNumberFormat="1" applyFont="1" applyFill="1" applyBorder="1" applyAlignment="1">
      <alignment horizontal="center" vertical="center"/>
    </xf>
    <xf numFmtId="2" fontId="4" fillId="10" borderId="2" xfId="1" applyNumberFormat="1" applyFont="1" applyFill="1" applyBorder="1" applyAlignment="1">
      <alignment horizontal="center" vertical="center"/>
    </xf>
    <xf numFmtId="9" fontId="4" fillId="10" borderId="2" xfId="3" applyFont="1" applyFill="1" applyBorder="1" applyAlignment="1">
      <alignment horizontal="center" vertical="center"/>
    </xf>
    <xf numFmtId="164" fontId="4" fillId="10" borderId="2" xfId="1" applyNumberFormat="1" applyFont="1" applyFill="1" applyBorder="1" applyAlignment="1">
      <alignment horizontal="center" vertical="center"/>
    </xf>
    <xf numFmtId="2" fontId="4" fillId="10" borderId="8" xfId="1" applyNumberFormat="1" applyFont="1" applyFill="1" applyBorder="1" applyAlignment="1">
      <alignment horizontal="center" vertical="center"/>
    </xf>
    <xf numFmtId="2" fontId="4" fillId="10" borderId="9" xfId="1" applyNumberFormat="1" applyFont="1" applyFill="1" applyBorder="1" applyAlignment="1">
      <alignment horizontal="center" vertical="center"/>
    </xf>
    <xf numFmtId="0" fontId="5" fillId="10" borderId="2" xfId="0" applyFont="1" applyFill="1" applyBorder="1" applyAlignment="1">
      <alignment horizontal="center" vertical="center"/>
    </xf>
    <xf numFmtId="2" fontId="9" fillId="10" borderId="2" xfId="0" applyNumberFormat="1" applyFont="1" applyFill="1" applyBorder="1" applyAlignment="1">
      <alignment horizontal="center" vertical="center"/>
    </xf>
    <xf numFmtId="2" fontId="5" fillId="10" borderId="2" xfId="0" applyNumberFormat="1" applyFont="1" applyFill="1" applyBorder="1" applyAlignment="1">
      <alignment horizontal="center" vertical="center"/>
    </xf>
    <xf numFmtId="14" fontId="5" fillId="10" borderId="2" xfId="0" applyNumberFormat="1" applyFont="1" applyFill="1" applyBorder="1" applyAlignment="1">
      <alignment horizontal="center" vertical="center"/>
    </xf>
    <xf numFmtId="164" fontId="5" fillId="10" borderId="2" xfId="0" applyNumberFormat="1" applyFont="1" applyFill="1" applyBorder="1" applyAlignment="1">
      <alignment horizontal="center" vertical="center"/>
    </xf>
    <xf numFmtId="9" fontId="5" fillId="10" borderId="2" xfId="3" applyFont="1" applyFill="1" applyBorder="1" applyAlignment="1">
      <alignment horizontal="center" vertical="center"/>
    </xf>
    <xf numFmtId="1" fontId="5" fillId="10" borderId="2" xfId="0" applyNumberFormat="1" applyFont="1" applyFill="1" applyBorder="1" applyAlignment="1">
      <alignment horizontal="center" vertical="center"/>
    </xf>
    <xf numFmtId="0" fontId="19" fillId="4" borderId="2" xfId="0" applyFont="1" applyFill="1" applyBorder="1" applyAlignment="1">
      <alignment vertical="center"/>
    </xf>
    <xf numFmtId="0" fontId="21" fillId="17" borderId="0" xfId="0" applyFont="1" applyFill="1"/>
    <xf numFmtId="0" fontId="5" fillId="18" borderId="2" xfId="0" applyFont="1" applyFill="1" applyBorder="1" applyAlignment="1">
      <alignment vertical="center"/>
    </xf>
    <xf numFmtId="0" fontId="4" fillId="18" borderId="2" xfId="0" applyFont="1" applyFill="1" applyBorder="1" applyAlignment="1">
      <alignment vertical="center"/>
    </xf>
    <xf numFmtId="0" fontId="4" fillId="18" borderId="2" xfId="0" applyFont="1" applyFill="1" applyBorder="1" applyAlignment="1">
      <alignment horizontal="center" vertical="center"/>
    </xf>
    <xf numFmtId="0" fontId="4" fillId="18" borderId="2" xfId="1" applyFont="1" applyFill="1" applyBorder="1" applyAlignment="1">
      <alignment horizontal="center" vertical="center"/>
    </xf>
    <xf numFmtId="0" fontId="4" fillId="18" borderId="2" xfId="1" applyFont="1" applyFill="1" applyBorder="1" applyAlignment="1">
      <alignment horizontal="left" vertical="center"/>
    </xf>
    <xf numFmtId="1" fontId="4" fillId="18" borderId="2" xfId="1" applyNumberFormat="1" applyFont="1" applyFill="1" applyBorder="1" applyAlignment="1">
      <alignment horizontal="center" vertical="center"/>
    </xf>
    <xf numFmtId="2" fontId="4" fillId="18" borderId="2" xfId="1" applyNumberFormat="1" applyFont="1" applyFill="1" applyBorder="1" applyAlignment="1">
      <alignment horizontal="center" vertical="center"/>
    </xf>
    <xf numFmtId="9" fontId="4" fillId="18" borderId="2" xfId="3" applyFont="1" applyFill="1" applyBorder="1" applyAlignment="1">
      <alignment horizontal="center" vertical="center"/>
    </xf>
    <xf numFmtId="164" fontId="4" fillId="18" borderId="2" xfId="1" applyNumberFormat="1" applyFont="1" applyFill="1" applyBorder="1" applyAlignment="1">
      <alignment horizontal="center" vertical="center"/>
    </xf>
    <xf numFmtId="2" fontId="5" fillId="18" borderId="2" xfId="0" applyNumberFormat="1" applyFont="1" applyFill="1" applyBorder="1" applyAlignment="1">
      <alignment horizontal="center" vertical="center"/>
    </xf>
    <xf numFmtId="2" fontId="5" fillId="18" borderId="8" xfId="0" applyNumberFormat="1" applyFont="1" applyFill="1" applyBorder="1" applyAlignment="1">
      <alignment horizontal="center" vertical="center"/>
    </xf>
    <xf numFmtId="2" fontId="5" fillId="18" borderId="9" xfId="0" applyNumberFormat="1" applyFont="1" applyFill="1" applyBorder="1" applyAlignment="1">
      <alignment horizontal="center" vertical="center"/>
    </xf>
    <xf numFmtId="0" fontId="5" fillId="18" borderId="2" xfId="0" applyFont="1" applyFill="1" applyBorder="1" applyAlignment="1">
      <alignment horizontal="center" vertical="center"/>
    </xf>
    <xf numFmtId="2" fontId="9" fillId="18" borderId="2" xfId="0" applyNumberFormat="1" applyFont="1" applyFill="1" applyBorder="1" applyAlignment="1">
      <alignment horizontal="center" vertical="center"/>
    </xf>
    <xf numFmtId="14" fontId="5" fillId="18" borderId="2" xfId="0" applyNumberFormat="1" applyFont="1" applyFill="1" applyBorder="1" applyAlignment="1">
      <alignment horizontal="center" vertical="center"/>
    </xf>
    <xf numFmtId="164" fontId="5" fillId="18" borderId="2" xfId="0" applyNumberFormat="1" applyFont="1" applyFill="1" applyBorder="1" applyAlignment="1">
      <alignment horizontal="center" vertical="center"/>
    </xf>
    <xf numFmtId="9" fontId="5" fillId="18" borderId="2" xfId="3" applyFont="1" applyFill="1" applyBorder="1" applyAlignment="1">
      <alignment horizontal="center" vertical="center"/>
    </xf>
    <xf numFmtId="1" fontId="5" fillId="18" borderId="2" xfId="0" applyNumberFormat="1" applyFont="1" applyFill="1" applyBorder="1" applyAlignment="1">
      <alignment horizontal="center" vertical="center"/>
    </xf>
    <xf numFmtId="0" fontId="5" fillId="19" borderId="2" xfId="0" applyFont="1" applyFill="1" applyBorder="1" applyAlignment="1">
      <alignment vertical="center"/>
    </xf>
    <xf numFmtId="0" fontId="4" fillId="19" borderId="2" xfId="1" applyFont="1" applyFill="1" applyBorder="1" applyAlignment="1">
      <alignment horizontal="left" vertical="center"/>
    </xf>
    <xf numFmtId="0" fontId="4" fillId="19" borderId="2" xfId="0" applyFont="1" applyFill="1" applyBorder="1" applyAlignment="1">
      <alignment vertical="center"/>
    </xf>
    <xf numFmtId="0" fontId="4" fillId="19" borderId="2" xfId="0" applyFont="1" applyFill="1" applyBorder="1" applyAlignment="1">
      <alignment horizontal="center" vertical="center"/>
    </xf>
    <xf numFmtId="0" fontId="4" fillId="19" borderId="2" xfId="1" applyFont="1" applyFill="1" applyBorder="1" applyAlignment="1">
      <alignment horizontal="center" vertical="center"/>
    </xf>
    <xf numFmtId="1" fontId="4" fillId="19" borderId="2" xfId="1" applyNumberFormat="1" applyFont="1" applyFill="1" applyBorder="1" applyAlignment="1">
      <alignment horizontal="center" vertical="center"/>
    </xf>
    <xf numFmtId="2" fontId="4" fillId="19" borderId="2" xfId="1" applyNumberFormat="1" applyFont="1" applyFill="1" applyBorder="1" applyAlignment="1">
      <alignment horizontal="center" vertical="center"/>
    </xf>
    <xf numFmtId="9" fontId="4" fillId="19" borderId="2" xfId="3" applyFont="1" applyFill="1" applyBorder="1" applyAlignment="1">
      <alignment horizontal="center" vertical="center"/>
    </xf>
    <xf numFmtId="164" fontId="4" fillId="19" borderId="2" xfId="1" applyNumberFormat="1" applyFont="1" applyFill="1" applyBorder="1" applyAlignment="1">
      <alignment horizontal="center" vertical="center"/>
    </xf>
    <xf numFmtId="2" fontId="5" fillId="19" borderId="2" xfId="0" applyNumberFormat="1" applyFont="1" applyFill="1" applyBorder="1" applyAlignment="1">
      <alignment horizontal="center" vertical="center"/>
    </xf>
    <xf numFmtId="2" fontId="5" fillId="19" borderId="8" xfId="0" applyNumberFormat="1" applyFont="1" applyFill="1" applyBorder="1" applyAlignment="1">
      <alignment horizontal="center" vertical="center"/>
    </xf>
    <xf numFmtId="2" fontId="5" fillId="19" borderId="9" xfId="0" applyNumberFormat="1" applyFont="1" applyFill="1" applyBorder="1" applyAlignment="1">
      <alignment horizontal="center" vertical="center"/>
    </xf>
    <xf numFmtId="0" fontId="5" fillId="19" borderId="2" xfId="0" applyFont="1" applyFill="1" applyBorder="1" applyAlignment="1">
      <alignment horizontal="center" vertical="center"/>
    </xf>
    <xf numFmtId="2" fontId="9" fillId="19" borderId="2" xfId="0" applyNumberFormat="1" applyFont="1" applyFill="1" applyBorder="1" applyAlignment="1">
      <alignment horizontal="center" vertical="center"/>
    </xf>
    <xf numFmtId="14" fontId="5" fillId="19" borderId="2" xfId="0" applyNumberFormat="1" applyFont="1" applyFill="1" applyBorder="1" applyAlignment="1">
      <alignment horizontal="center" vertical="center"/>
    </xf>
    <xf numFmtId="164" fontId="5" fillId="19" borderId="2" xfId="0" applyNumberFormat="1" applyFont="1" applyFill="1" applyBorder="1" applyAlignment="1">
      <alignment horizontal="center" vertical="center"/>
    </xf>
    <xf numFmtId="9" fontId="5" fillId="19" borderId="2" xfId="3" applyFont="1" applyFill="1" applyBorder="1" applyAlignment="1">
      <alignment horizontal="center" vertical="center"/>
    </xf>
    <xf numFmtId="0" fontId="19" fillId="19" borderId="2" xfId="0" applyFont="1" applyFill="1" applyBorder="1" applyAlignment="1">
      <alignment vertical="center"/>
    </xf>
    <xf numFmtId="164" fontId="5" fillId="2" borderId="2" xfId="0" applyNumberFormat="1" applyFont="1" applyFill="1" applyBorder="1" applyAlignment="1">
      <alignment horizontal="center" vertical="center"/>
    </xf>
    <xf numFmtId="9" fontId="5" fillId="2" borderId="2" xfId="3" applyFont="1" applyFill="1" applyBorder="1" applyAlignment="1">
      <alignment horizontal="center" vertical="center"/>
    </xf>
    <xf numFmtId="0" fontId="22" fillId="0" borderId="2" xfId="0" applyFont="1" applyBorder="1" applyAlignment="1">
      <alignment vertical="center"/>
    </xf>
    <xf numFmtId="0" fontId="23" fillId="0" borderId="2" xfId="0" applyFont="1" applyBorder="1" applyAlignment="1">
      <alignment vertical="center"/>
    </xf>
    <xf numFmtId="9" fontId="4" fillId="2" borderId="2" xfId="3" applyFont="1" applyFill="1" applyBorder="1" applyAlignment="1">
      <alignment horizontal="center" vertical="center"/>
    </xf>
    <xf numFmtId="0" fontId="5" fillId="16" borderId="14" xfId="0" applyFont="1" applyFill="1" applyBorder="1" applyAlignment="1">
      <alignment vertical="center"/>
    </xf>
    <xf numFmtId="0" fontId="4" fillId="16" borderId="14" xfId="0" applyFont="1" applyFill="1" applyBorder="1" applyAlignment="1">
      <alignment vertical="center"/>
    </xf>
    <xf numFmtId="0" fontId="4" fillId="16" borderId="14" xfId="0" applyFont="1" applyFill="1" applyBorder="1" applyAlignment="1">
      <alignment horizontal="center" vertical="center"/>
    </xf>
    <xf numFmtId="0" fontId="4" fillId="16" borderId="14" xfId="1" applyFont="1" applyFill="1" applyBorder="1" applyAlignment="1">
      <alignment horizontal="center" vertical="center"/>
    </xf>
    <xf numFmtId="0" fontId="4" fillId="16" borderId="14" xfId="1" applyFont="1" applyFill="1" applyBorder="1" applyAlignment="1">
      <alignment horizontal="left" vertical="center"/>
    </xf>
    <xf numFmtId="1" fontId="4" fillId="16" borderId="14" xfId="1" applyNumberFormat="1" applyFont="1" applyFill="1" applyBorder="1" applyAlignment="1">
      <alignment horizontal="center" vertical="center"/>
    </xf>
    <xf numFmtId="2" fontId="4" fillId="16" borderId="14" xfId="1" applyNumberFormat="1" applyFont="1" applyFill="1" applyBorder="1" applyAlignment="1">
      <alignment horizontal="center" vertical="center"/>
    </xf>
    <xf numFmtId="9" fontId="4" fillId="16" borderId="14" xfId="3" applyFont="1" applyFill="1" applyBorder="1" applyAlignment="1">
      <alignment horizontal="center" vertical="center"/>
    </xf>
    <xf numFmtId="164" fontId="4" fillId="16" borderId="14" xfId="1" applyNumberFormat="1" applyFont="1" applyFill="1" applyBorder="1" applyAlignment="1">
      <alignment horizontal="center" vertical="center"/>
    </xf>
    <xf numFmtId="2" fontId="5" fillId="16" borderId="14" xfId="0" applyNumberFormat="1" applyFont="1" applyFill="1" applyBorder="1" applyAlignment="1">
      <alignment horizontal="center" vertical="center"/>
    </xf>
    <xf numFmtId="0" fontId="5" fillId="16" borderId="14" xfId="0" applyFont="1" applyFill="1" applyBorder="1" applyAlignment="1">
      <alignment horizontal="center" vertical="center"/>
    </xf>
    <xf numFmtId="2" fontId="9" fillId="16" borderId="14" xfId="0" applyNumberFormat="1" applyFont="1" applyFill="1" applyBorder="1" applyAlignment="1">
      <alignment horizontal="center" vertical="center"/>
    </xf>
    <xf numFmtId="14" fontId="5" fillId="16" borderId="14" xfId="0" applyNumberFormat="1" applyFont="1" applyFill="1" applyBorder="1" applyAlignment="1">
      <alignment horizontal="center" vertical="center"/>
    </xf>
    <xf numFmtId="164" fontId="5" fillId="16" borderId="14" xfId="0" applyNumberFormat="1" applyFont="1" applyFill="1" applyBorder="1" applyAlignment="1">
      <alignment horizontal="center" vertical="center"/>
    </xf>
    <xf numFmtId="9" fontId="5" fillId="16" borderId="14" xfId="3" applyFont="1" applyFill="1" applyBorder="1" applyAlignment="1">
      <alignment horizontal="center" vertical="center"/>
    </xf>
    <xf numFmtId="1" fontId="5" fillId="16" borderId="14" xfId="0" applyNumberFormat="1" applyFont="1" applyFill="1" applyBorder="1" applyAlignment="1">
      <alignment horizontal="center" vertical="center"/>
    </xf>
    <xf numFmtId="0" fontId="24" fillId="16" borderId="2" xfId="0" applyFont="1" applyFill="1" applyBorder="1" applyAlignment="1">
      <alignment vertical="center"/>
    </xf>
    <xf numFmtId="0" fontId="9" fillId="0" borderId="2" xfId="0" applyFont="1" applyBorder="1" applyAlignment="1">
      <alignment horizontal="center" vertical="center"/>
    </xf>
    <xf numFmtId="9" fontId="4" fillId="0" borderId="2" xfId="3" applyFont="1" applyBorder="1" applyAlignment="1">
      <alignment horizontal="center" vertical="center"/>
    </xf>
    <xf numFmtId="0" fontId="20" fillId="4" borderId="0" xfId="0" applyFont="1" applyFill="1" applyAlignment="1">
      <alignment horizontal="left"/>
    </xf>
    <xf numFmtId="164" fontId="20" fillId="4" borderId="0" xfId="0" applyNumberFormat="1" applyFont="1" applyFill="1" applyAlignment="1">
      <alignment horizontal="center" vertical="center"/>
    </xf>
    <xf numFmtId="10" fontId="20" fillId="4" borderId="0" xfId="0" applyNumberFormat="1" applyFont="1" applyFill="1" applyAlignment="1">
      <alignment horizontal="center" vertical="center"/>
    </xf>
    <xf numFmtId="0" fontId="20" fillId="4" borderId="0" xfId="0" applyFont="1" applyFill="1" applyAlignment="1">
      <alignment horizontal="center" vertical="center"/>
    </xf>
    <xf numFmtId="0" fontId="20" fillId="4" borderId="0" xfId="0" applyFont="1" applyFill="1" applyAlignment="1">
      <alignment horizontal="left" indent="1"/>
    </xf>
    <xf numFmtId="0" fontId="17" fillId="3" borderId="2" xfId="3" applyNumberFormat="1" applyFont="1" applyFill="1" applyBorder="1" applyAlignment="1">
      <alignment horizontal="center" vertical="center" wrapText="1"/>
    </xf>
    <xf numFmtId="0" fontId="5" fillId="4" borderId="2" xfId="3" applyNumberFormat="1" applyFont="1" applyFill="1" applyBorder="1" applyAlignment="1">
      <alignment horizontal="center" vertical="center"/>
    </xf>
    <xf numFmtId="0" fontId="5" fillId="16" borderId="2" xfId="3" applyNumberFormat="1" applyFont="1" applyFill="1" applyBorder="1" applyAlignment="1">
      <alignment horizontal="center" vertical="center"/>
    </xf>
    <xf numFmtId="0" fontId="5" fillId="0" borderId="2" xfId="3" applyNumberFormat="1" applyFont="1" applyBorder="1" applyAlignment="1">
      <alignment horizontal="center" vertical="center"/>
    </xf>
    <xf numFmtId="0" fontId="5" fillId="16" borderId="14" xfId="3" applyNumberFormat="1" applyFont="1" applyFill="1" applyBorder="1" applyAlignment="1">
      <alignment horizontal="center" vertical="center"/>
    </xf>
    <xf numFmtId="0" fontId="5" fillId="16" borderId="1" xfId="3" applyNumberFormat="1" applyFont="1" applyFill="1" applyBorder="1" applyAlignment="1">
      <alignment horizontal="center" vertical="center"/>
    </xf>
    <xf numFmtId="0" fontId="5" fillId="18" borderId="2" xfId="3" applyNumberFormat="1" applyFont="1" applyFill="1" applyBorder="1" applyAlignment="1">
      <alignment horizontal="center" vertical="center"/>
    </xf>
    <xf numFmtId="0" fontId="5" fillId="10" borderId="2" xfId="3" applyNumberFormat="1" applyFont="1" applyFill="1" applyBorder="1" applyAlignment="1">
      <alignment horizontal="center" vertical="center"/>
    </xf>
    <xf numFmtId="0" fontId="5" fillId="2" borderId="2" xfId="3" applyNumberFormat="1" applyFont="1" applyFill="1" applyBorder="1" applyAlignment="1">
      <alignment horizontal="center" vertical="center"/>
    </xf>
    <xf numFmtId="0" fontId="5" fillId="19" borderId="2" xfId="3" applyNumberFormat="1" applyFont="1" applyFill="1" applyBorder="1" applyAlignment="1">
      <alignment horizontal="center" vertical="center"/>
    </xf>
    <xf numFmtId="0" fontId="5" fillId="0" borderId="0" xfId="3" applyNumberFormat="1"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1" applyFont="1" applyBorder="1" applyAlignment="1">
      <alignment horizontal="center" vertical="center"/>
    </xf>
    <xf numFmtId="0" fontId="4" fillId="0" borderId="1" xfId="1" applyFont="1" applyBorder="1" applyAlignment="1">
      <alignment horizontal="left" vertical="center"/>
    </xf>
    <xf numFmtId="1" fontId="4" fillId="0" borderId="1" xfId="1" applyNumberFormat="1" applyFont="1" applyBorder="1" applyAlignment="1">
      <alignment horizontal="center" vertical="center"/>
    </xf>
    <xf numFmtId="2" fontId="4"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9" fontId="4" fillId="0" borderId="1" xfId="3" applyFont="1" applyFill="1" applyBorder="1" applyAlignment="1">
      <alignment horizontal="center" vertical="center"/>
    </xf>
    <xf numFmtId="164" fontId="4" fillId="0" borderId="1" xfId="0" applyNumberFormat="1" applyFont="1" applyBorder="1" applyAlignment="1">
      <alignment horizontal="center" vertical="center"/>
    </xf>
    <xf numFmtId="2" fontId="4" fillId="0" borderId="1" xfId="1" applyNumberFormat="1" applyFont="1" applyBorder="1" applyAlignment="1">
      <alignment horizontal="center" vertical="center"/>
    </xf>
    <xf numFmtId="2" fontId="4" fillId="0" borderId="12" xfId="1" applyNumberFormat="1" applyFont="1" applyBorder="1" applyAlignment="1">
      <alignment horizontal="center" vertical="center"/>
    </xf>
    <xf numFmtId="2" fontId="4" fillId="0" borderId="13" xfId="1" applyNumberFormat="1" applyFont="1" applyBorder="1" applyAlignment="1">
      <alignment horizontal="center" vertical="center"/>
    </xf>
    <xf numFmtId="0" fontId="5" fillId="0" borderId="1" xfId="0" applyFont="1" applyBorder="1" applyAlignment="1">
      <alignment horizontal="center" vertical="center"/>
    </xf>
    <xf numFmtId="2" fontId="9"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9" fontId="5" fillId="0" borderId="1" xfId="3" applyFont="1" applyBorder="1" applyAlignment="1">
      <alignment horizontal="center" vertical="center"/>
    </xf>
    <xf numFmtId="0" fontId="5" fillId="0" borderId="1" xfId="3" applyNumberFormat="1" applyFont="1" applyBorder="1" applyAlignment="1">
      <alignment horizontal="center" vertical="center"/>
    </xf>
    <xf numFmtId="1" fontId="5" fillId="0" borderId="1" xfId="0" applyNumberFormat="1" applyFont="1" applyBorder="1" applyAlignment="1">
      <alignment horizontal="center" vertical="center"/>
    </xf>
    <xf numFmtId="2" fontId="5" fillId="16" borderId="15" xfId="0" applyNumberFormat="1" applyFont="1" applyFill="1" applyBorder="1" applyAlignment="1">
      <alignment horizontal="center" vertical="center"/>
    </xf>
    <xf numFmtId="2" fontId="5" fillId="16" borderId="16" xfId="0" applyNumberFormat="1" applyFont="1" applyFill="1" applyBorder="1" applyAlignment="1">
      <alignment horizontal="center" vertical="center"/>
    </xf>
    <xf numFmtId="0" fontId="5" fillId="0" borderId="14" xfId="0" applyFont="1" applyBorder="1" applyAlignment="1">
      <alignment vertical="center"/>
    </xf>
    <xf numFmtId="0" fontId="5" fillId="2" borderId="2" xfId="0" applyFont="1" applyFill="1" applyBorder="1" applyAlignment="1">
      <alignment vertical="center"/>
    </xf>
    <xf numFmtId="0" fontId="4" fillId="2" borderId="2" xfId="1" applyFont="1" applyFill="1" applyBorder="1" applyAlignment="1">
      <alignment horizontal="lef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0" fontId="4" fillId="2" borderId="2" xfId="1" applyFont="1" applyFill="1" applyBorder="1" applyAlignment="1">
      <alignment horizontal="center" vertical="center"/>
    </xf>
    <xf numFmtId="1" fontId="4" fillId="2" borderId="2" xfId="1" applyNumberFormat="1" applyFont="1" applyFill="1" applyBorder="1" applyAlignment="1">
      <alignment horizontal="center" vertical="center"/>
    </xf>
    <xf numFmtId="2" fontId="4" fillId="2" borderId="2" xfId="1" applyNumberFormat="1" applyFont="1" applyFill="1" applyBorder="1" applyAlignment="1">
      <alignment horizontal="center" vertical="center"/>
    </xf>
    <xf numFmtId="164" fontId="4" fillId="2" borderId="2" xfId="1" applyNumberFormat="1" applyFont="1" applyFill="1" applyBorder="1" applyAlignment="1">
      <alignment horizontal="center" vertical="center"/>
    </xf>
    <xf numFmtId="2" fontId="5" fillId="2" borderId="2" xfId="0" applyNumberFormat="1" applyFont="1" applyFill="1" applyBorder="1" applyAlignment="1">
      <alignment horizontal="center" vertical="center"/>
    </xf>
    <xf numFmtId="2" fontId="5" fillId="2" borderId="8" xfId="0" applyNumberFormat="1" applyFont="1" applyFill="1" applyBorder="1" applyAlignment="1">
      <alignment horizontal="center" vertical="center"/>
    </xf>
    <xf numFmtId="0" fontId="5" fillId="2" borderId="2" xfId="0" applyFont="1" applyFill="1" applyBorder="1" applyAlignment="1">
      <alignment horizontal="center" vertical="center"/>
    </xf>
    <xf numFmtId="2" fontId="9" fillId="2" borderId="2" xfId="0" applyNumberFormat="1" applyFont="1" applyFill="1" applyBorder="1" applyAlignment="1">
      <alignment horizontal="center" vertical="center"/>
    </xf>
    <xf numFmtId="0" fontId="19" fillId="2" borderId="2" xfId="0" applyFont="1" applyFill="1" applyBorder="1" applyAlignment="1">
      <alignment vertical="center"/>
    </xf>
    <xf numFmtId="2" fontId="4"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2" fontId="7" fillId="0" borderId="2" xfId="0" applyNumberFormat="1" applyFont="1" applyBorder="1" applyAlignment="1">
      <alignment horizontal="center" vertical="center"/>
    </xf>
    <xf numFmtId="16" fontId="4" fillId="0" borderId="2" xfId="1" applyNumberFormat="1" applyFont="1" applyBorder="1" applyAlignment="1">
      <alignment horizontal="left" vertical="center"/>
    </xf>
    <xf numFmtId="0" fontId="24" fillId="0" borderId="2" xfId="0" applyFont="1" applyBorder="1" applyAlignment="1">
      <alignment vertical="center"/>
    </xf>
    <xf numFmtId="16" fontId="5" fillId="0" borderId="2" xfId="0" applyNumberFormat="1" applyFont="1" applyBorder="1" applyAlignment="1">
      <alignment horizontal="center" vertical="center"/>
    </xf>
    <xf numFmtId="49" fontId="4" fillId="2" borderId="2" xfId="1" applyNumberFormat="1" applyFont="1" applyFill="1" applyBorder="1" applyAlignment="1">
      <alignment horizontal="left" vertical="center"/>
    </xf>
    <xf numFmtId="2" fontId="4" fillId="2" borderId="2" xfId="0" applyNumberFormat="1" applyFont="1" applyFill="1" applyBorder="1" applyAlignment="1">
      <alignment horizontal="center" vertical="center"/>
    </xf>
    <xf numFmtId="1" fontId="4" fillId="2" borderId="2" xfId="0" applyNumberFormat="1" applyFont="1" applyFill="1" applyBorder="1" applyAlignment="1">
      <alignment horizontal="center" vertical="center"/>
    </xf>
    <xf numFmtId="164" fontId="4" fillId="2" borderId="2" xfId="0" applyNumberFormat="1" applyFont="1" applyFill="1" applyBorder="1" applyAlignment="1">
      <alignment horizontal="center" vertical="center"/>
    </xf>
    <xf numFmtId="2" fontId="4" fillId="2" borderId="8" xfId="1" applyNumberFormat="1" applyFont="1" applyFill="1" applyBorder="1" applyAlignment="1">
      <alignment horizontal="center" vertical="center"/>
    </xf>
    <xf numFmtId="2" fontId="7" fillId="2" borderId="2" xfId="0" applyNumberFormat="1" applyFont="1" applyFill="1" applyBorder="1" applyAlignment="1">
      <alignment horizontal="center" vertical="center"/>
    </xf>
    <xf numFmtId="0" fontId="5" fillId="2" borderId="2" xfId="0" applyFont="1" applyFill="1" applyBorder="1" applyAlignment="1">
      <alignment horizontal="right" vertical="center"/>
    </xf>
    <xf numFmtId="49" fontId="4" fillId="2" borderId="2" xfId="1" applyNumberFormat="1" applyFont="1" applyFill="1" applyBorder="1" applyAlignment="1">
      <alignment horizontal="left" vertical="center" wrapText="1"/>
    </xf>
    <xf numFmtId="1" fontId="4" fillId="2" borderId="2" xfId="1" applyNumberFormat="1" applyFont="1" applyFill="1" applyBorder="1" applyAlignment="1">
      <alignment horizontal="center" vertical="center" wrapText="1"/>
    </xf>
    <xf numFmtId="9" fontId="4" fillId="2" borderId="2" xfId="3" applyFont="1" applyFill="1" applyBorder="1" applyAlignment="1">
      <alignment horizontal="center" vertical="center" wrapText="1"/>
    </xf>
    <xf numFmtId="164" fontId="4" fillId="2" borderId="2" xfId="1" applyNumberFormat="1" applyFont="1" applyFill="1" applyBorder="1" applyAlignment="1">
      <alignment horizontal="center" vertical="center" wrapText="1"/>
    </xf>
    <xf numFmtId="0" fontId="5" fillId="2" borderId="1" xfId="0" applyFont="1" applyFill="1" applyBorder="1" applyAlignment="1">
      <alignment vertical="center"/>
    </xf>
    <xf numFmtId="0" fontId="4" fillId="2" borderId="1" xfId="0" applyFont="1" applyFill="1" applyBorder="1" applyAlignment="1">
      <alignment vertical="center"/>
    </xf>
    <xf numFmtId="0" fontId="4" fillId="2" borderId="1" xfId="0" applyFont="1" applyFill="1" applyBorder="1" applyAlignment="1">
      <alignment horizontal="center" vertical="center"/>
    </xf>
    <xf numFmtId="0" fontId="4" fillId="2" borderId="1" xfId="1" applyFont="1" applyFill="1" applyBorder="1" applyAlignment="1">
      <alignment horizontal="center" vertical="center"/>
    </xf>
    <xf numFmtId="0" fontId="4" fillId="2" borderId="1" xfId="1" applyFont="1" applyFill="1" applyBorder="1" applyAlignment="1">
      <alignment horizontal="left" vertical="center"/>
    </xf>
    <xf numFmtId="1" fontId="4" fillId="2" borderId="1" xfId="1" applyNumberFormat="1" applyFont="1" applyFill="1" applyBorder="1" applyAlignment="1">
      <alignment horizontal="center" vertical="center"/>
    </xf>
    <xf numFmtId="2" fontId="4" fillId="2" borderId="1" xfId="1" applyNumberFormat="1" applyFont="1" applyFill="1" applyBorder="1" applyAlignment="1">
      <alignment horizontal="center" vertical="center"/>
    </xf>
    <xf numFmtId="9" fontId="4" fillId="2" borderId="1" xfId="3" applyFont="1" applyFill="1" applyBorder="1" applyAlignment="1">
      <alignment horizontal="center" vertical="center"/>
    </xf>
    <xf numFmtId="164" fontId="4" fillId="2" borderId="1" xfId="1" applyNumberFormat="1" applyFont="1" applyFill="1" applyBorder="1" applyAlignment="1">
      <alignment horizontal="center" vertical="center"/>
    </xf>
    <xf numFmtId="2" fontId="5" fillId="2" borderId="1" xfId="0" applyNumberFormat="1" applyFont="1" applyFill="1" applyBorder="1" applyAlignment="1">
      <alignment horizontal="center" vertical="center"/>
    </xf>
    <xf numFmtId="2" fontId="5" fillId="2" borderId="12" xfId="0" applyNumberFormat="1" applyFont="1" applyFill="1" applyBorder="1" applyAlignment="1">
      <alignment horizontal="center" vertical="center"/>
    </xf>
    <xf numFmtId="0" fontId="5" fillId="2" borderId="1" xfId="0" applyFont="1" applyFill="1" applyBorder="1" applyAlignment="1">
      <alignment horizontal="center" vertical="center"/>
    </xf>
    <xf numFmtId="2" fontId="9" fillId="2" borderId="1"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43" fontId="4" fillId="2" borderId="2" xfId="1" applyNumberFormat="1" applyFont="1" applyFill="1" applyBorder="1" applyAlignment="1">
      <alignment horizontal="center" vertical="center"/>
    </xf>
    <xf numFmtId="43" fontId="4" fillId="2" borderId="2" xfId="1" applyNumberFormat="1" applyFont="1" applyFill="1" applyBorder="1" applyAlignment="1">
      <alignment horizontal="left" vertical="center"/>
    </xf>
    <xf numFmtId="2" fontId="5" fillId="2" borderId="2" xfId="0" applyNumberFormat="1" applyFont="1" applyFill="1" applyBorder="1" applyAlignment="1">
      <alignment horizontal="center" vertical="center" wrapText="1"/>
    </xf>
    <xf numFmtId="2" fontId="7" fillId="2" borderId="2" xfId="1" applyNumberFormat="1" applyFont="1" applyFill="1" applyBorder="1" applyAlignment="1">
      <alignment horizontal="center" vertical="center"/>
    </xf>
    <xf numFmtId="0" fontId="4" fillId="2" borderId="2" xfId="0" applyFont="1" applyFill="1" applyBorder="1" applyAlignment="1">
      <alignment horizontal="left" vertical="center"/>
    </xf>
    <xf numFmtId="14" fontId="4" fillId="2" borderId="2" xfId="1" applyNumberFormat="1" applyFont="1" applyFill="1" applyBorder="1" applyAlignment="1">
      <alignment horizontal="left" vertical="center"/>
    </xf>
    <xf numFmtId="0" fontId="5" fillId="2" borderId="14" xfId="0" applyFont="1" applyFill="1" applyBorder="1" applyAlignment="1">
      <alignment vertical="center"/>
    </xf>
    <xf numFmtId="0" fontId="4" fillId="2" borderId="14" xfId="0" applyFont="1" applyFill="1" applyBorder="1" applyAlignment="1">
      <alignment vertical="center"/>
    </xf>
    <xf numFmtId="0" fontId="4" fillId="2" borderId="14" xfId="0" applyFont="1" applyFill="1" applyBorder="1" applyAlignment="1">
      <alignment horizontal="center" vertical="center"/>
    </xf>
    <xf numFmtId="0" fontId="4" fillId="2" borderId="14" xfId="1" applyFont="1" applyFill="1" applyBorder="1" applyAlignment="1">
      <alignment horizontal="center" vertical="center"/>
    </xf>
    <xf numFmtId="0" fontId="4" fillId="2" borderId="14" xfId="1" applyFont="1" applyFill="1" applyBorder="1" applyAlignment="1">
      <alignment horizontal="left" vertical="center"/>
    </xf>
    <xf numFmtId="1" fontId="4" fillId="2" borderId="14" xfId="1" applyNumberFormat="1" applyFont="1" applyFill="1" applyBorder="1" applyAlignment="1">
      <alignment horizontal="center" vertical="center"/>
    </xf>
    <xf numFmtId="2" fontId="4" fillId="2" borderId="14" xfId="1" applyNumberFormat="1" applyFont="1" applyFill="1" applyBorder="1" applyAlignment="1">
      <alignment horizontal="center" vertical="center"/>
    </xf>
    <xf numFmtId="9" fontId="4" fillId="2" borderId="14" xfId="3" applyFont="1" applyFill="1" applyBorder="1" applyAlignment="1">
      <alignment horizontal="center" vertical="center"/>
    </xf>
    <xf numFmtId="164" fontId="4" fillId="2" borderId="14" xfId="1" applyNumberFormat="1" applyFont="1" applyFill="1" applyBorder="1" applyAlignment="1">
      <alignment horizontal="center" vertical="center"/>
    </xf>
    <xf numFmtId="2" fontId="5" fillId="2" borderId="14" xfId="0" applyNumberFormat="1" applyFont="1" applyFill="1" applyBorder="1" applyAlignment="1">
      <alignment horizontal="center" vertical="center"/>
    </xf>
    <xf numFmtId="2" fontId="5" fillId="2" borderId="15" xfId="0" applyNumberFormat="1" applyFont="1" applyFill="1" applyBorder="1" applyAlignment="1">
      <alignment horizontal="center" vertical="center"/>
    </xf>
    <xf numFmtId="0" fontId="5" fillId="2" borderId="14" xfId="0" applyFont="1" applyFill="1" applyBorder="1" applyAlignment="1">
      <alignment horizontal="center" vertical="center"/>
    </xf>
    <xf numFmtId="2" fontId="9" fillId="2" borderId="14" xfId="0" applyNumberFormat="1" applyFont="1" applyFill="1" applyBorder="1" applyAlignment="1">
      <alignment horizontal="center" vertical="center"/>
    </xf>
    <xf numFmtId="164" fontId="5" fillId="2" borderId="14" xfId="0" applyNumberFormat="1" applyFont="1" applyFill="1" applyBorder="1" applyAlignment="1">
      <alignment horizontal="center" vertical="center"/>
    </xf>
    <xf numFmtId="43" fontId="7" fillId="2" borderId="2" xfId="1" applyNumberFormat="1" applyFont="1" applyFill="1" applyBorder="1" applyAlignment="1">
      <alignment horizontal="left" vertical="center"/>
    </xf>
    <xf numFmtId="0" fontId="5" fillId="2" borderId="2" xfId="0" applyFont="1" applyFill="1" applyBorder="1" applyAlignment="1">
      <alignment horizontal="left" vertical="top"/>
    </xf>
    <xf numFmtId="0" fontId="5" fillId="2" borderId="2" xfId="0" applyFont="1" applyFill="1" applyBorder="1" applyAlignment="1">
      <alignment horizontal="center" vertical="top"/>
    </xf>
    <xf numFmtId="0" fontId="4" fillId="2" borderId="2" xfId="1" applyFont="1" applyFill="1" applyBorder="1" applyAlignment="1">
      <alignment horizontal="left" vertical="center" wrapText="1"/>
    </xf>
    <xf numFmtId="16" fontId="5" fillId="2" borderId="2" xfId="0" applyNumberFormat="1" applyFont="1" applyFill="1" applyBorder="1" applyAlignment="1">
      <alignment horizontal="center" vertical="center"/>
    </xf>
    <xf numFmtId="0" fontId="5" fillId="0" borderId="17" xfId="0" applyFont="1" applyBorder="1" applyAlignment="1">
      <alignment vertical="center"/>
    </xf>
    <xf numFmtId="0" fontId="4" fillId="0" borderId="17" xfId="0" applyFont="1" applyBorder="1" applyAlignment="1">
      <alignment vertical="center"/>
    </xf>
    <xf numFmtId="0" fontId="4" fillId="0" borderId="17" xfId="0" applyFont="1" applyBorder="1" applyAlignment="1">
      <alignment horizontal="center" vertical="center"/>
    </xf>
    <xf numFmtId="0" fontId="4" fillId="0" borderId="17" xfId="1" applyFont="1" applyBorder="1" applyAlignment="1">
      <alignment horizontal="center" vertical="center"/>
    </xf>
    <xf numFmtId="0" fontId="4" fillId="0" borderId="17" xfId="1" applyFont="1" applyBorder="1" applyAlignment="1">
      <alignment horizontal="left" vertical="center"/>
    </xf>
    <xf numFmtId="1" fontId="4" fillId="0" borderId="17" xfId="1" applyNumberFormat="1" applyFont="1" applyBorder="1" applyAlignment="1">
      <alignment horizontal="center" vertical="center"/>
    </xf>
    <xf numFmtId="2" fontId="4" fillId="0" borderId="17" xfId="1" applyNumberFormat="1" applyFont="1" applyBorder="1" applyAlignment="1">
      <alignment horizontal="center" vertical="center"/>
    </xf>
    <xf numFmtId="9" fontId="4" fillId="0" borderId="17" xfId="3" applyFont="1" applyFill="1" applyBorder="1" applyAlignment="1">
      <alignment horizontal="center" vertical="center"/>
    </xf>
    <xf numFmtId="164" fontId="4" fillId="0" borderId="17" xfId="1" applyNumberFormat="1" applyFont="1" applyBorder="1" applyAlignment="1">
      <alignment horizontal="center" vertical="center"/>
    </xf>
    <xf numFmtId="2" fontId="5" fillId="0" borderId="17" xfId="0" applyNumberFormat="1" applyFont="1" applyBorder="1" applyAlignment="1">
      <alignment horizontal="center" vertical="center"/>
    </xf>
    <xf numFmtId="0" fontId="5" fillId="0" borderId="17" xfId="0" applyFont="1" applyBorder="1" applyAlignment="1">
      <alignment horizontal="center" vertical="center"/>
    </xf>
    <xf numFmtId="2" fontId="9" fillId="0" borderId="17" xfId="0" applyNumberFormat="1" applyFont="1" applyBorder="1" applyAlignment="1">
      <alignment horizontal="center" vertical="center"/>
    </xf>
    <xf numFmtId="164" fontId="5" fillId="0" borderId="17" xfId="0" applyNumberFormat="1" applyFont="1" applyBorder="1" applyAlignment="1">
      <alignment horizontal="center" vertical="center"/>
    </xf>
    <xf numFmtId="0" fontId="5" fillId="20" borderId="2" xfId="0" applyFont="1" applyFill="1" applyBorder="1" applyAlignment="1">
      <alignment horizontal="center"/>
    </xf>
    <xf numFmtId="2" fontId="5" fillId="14" borderId="2" xfId="0" applyNumberFormat="1" applyFont="1" applyFill="1" applyBorder="1" applyAlignment="1">
      <alignment horizontal="center"/>
    </xf>
    <xf numFmtId="0" fontId="4" fillId="21" borderId="2" xfId="0" applyFont="1" applyFill="1" applyBorder="1" applyAlignment="1">
      <alignment horizontal="center"/>
    </xf>
    <xf numFmtId="2" fontId="4" fillId="3" borderId="2" xfId="0" applyNumberFormat="1" applyFont="1" applyFill="1" applyBorder="1" applyAlignment="1">
      <alignment horizontal="center"/>
    </xf>
    <xf numFmtId="0" fontId="4" fillId="0" borderId="2" xfId="0" applyFont="1" applyBorder="1" applyAlignment="1">
      <alignment horizontal="center"/>
    </xf>
    <xf numFmtId="0" fontId="7" fillId="0" borderId="2" xfId="0" applyFont="1" applyBorder="1" applyAlignment="1">
      <alignment horizontal="center"/>
    </xf>
    <xf numFmtId="2" fontId="4" fillId="21" borderId="2" xfId="0" applyNumberFormat="1" applyFont="1" applyFill="1" applyBorder="1" applyAlignment="1">
      <alignment horizontal="center"/>
    </xf>
    <xf numFmtId="2" fontId="4" fillId="0" borderId="2" xfId="0" applyNumberFormat="1" applyFont="1" applyBorder="1" applyAlignment="1">
      <alignment horizontal="center"/>
    </xf>
    <xf numFmtId="0" fontId="17" fillId="20" borderId="2" xfId="0" applyFont="1" applyFill="1" applyBorder="1" applyAlignment="1">
      <alignment horizontal="center" vertical="center" wrapText="1"/>
    </xf>
    <xf numFmtId="0" fontId="13" fillId="14" borderId="2" xfId="0" applyFont="1" applyFill="1" applyBorder="1" applyAlignment="1">
      <alignment horizontal="center" vertical="center" wrapText="1"/>
    </xf>
    <xf numFmtId="0" fontId="17" fillId="21" borderId="2"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0" borderId="2" xfId="0" applyFont="1" applyBorder="1" applyAlignment="1">
      <alignment horizontal="center" vertical="center" wrapText="1"/>
    </xf>
    <xf numFmtId="0" fontId="4" fillId="0" borderId="2" xfId="0" applyFont="1" applyBorder="1" applyAlignment="1">
      <alignment horizontal="left"/>
    </xf>
    <xf numFmtId="164" fontId="5" fillId="2" borderId="17" xfId="0" applyNumberFormat="1" applyFont="1" applyFill="1" applyBorder="1" applyAlignment="1">
      <alignment horizontal="center" vertical="center"/>
    </xf>
    <xf numFmtId="0" fontId="21" fillId="0" borderId="2" xfId="0" applyFont="1" applyBorder="1"/>
    <xf numFmtId="164" fontId="5" fillId="0" borderId="18" xfId="0" applyNumberFormat="1" applyFont="1" applyBorder="1" applyAlignment="1">
      <alignment horizontal="center" vertical="center"/>
    </xf>
    <xf numFmtId="0" fontId="5" fillId="22" borderId="2" xfId="0" applyFont="1" applyFill="1" applyBorder="1" applyAlignment="1">
      <alignment vertical="center"/>
    </xf>
    <xf numFmtId="0" fontId="4" fillId="22" borderId="2" xfId="0" applyFont="1" applyFill="1" applyBorder="1" applyAlignment="1">
      <alignment vertical="center"/>
    </xf>
    <xf numFmtId="0" fontId="4" fillId="22" borderId="2" xfId="0" applyFont="1" applyFill="1" applyBorder="1" applyAlignment="1">
      <alignment horizontal="center" vertical="center"/>
    </xf>
    <xf numFmtId="0" fontId="4" fillId="22" borderId="2" xfId="1" applyFont="1" applyFill="1" applyBorder="1" applyAlignment="1">
      <alignment horizontal="center" vertical="center"/>
    </xf>
    <xf numFmtId="0" fontId="4" fillId="22" borderId="2" xfId="1" applyFont="1" applyFill="1" applyBorder="1" applyAlignment="1">
      <alignment horizontal="left" vertical="center"/>
    </xf>
    <xf numFmtId="1" fontId="4" fillId="22" borderId="2" xfId="1" applyNumberFormat="1" applyFont="1" applyFill="1" applyBorder="1" applyAlignment="1">
      <alignment horizontal="center" vertical="center"/>
    </xf>
    <xf numFmtId="2" fontId="4" fillId="22" borderId="2" xfId="1" applyNumberFormat="1" applyFont="1" applyFill="1" applyBorder="1" applyAlignment="1">
      <alignment horizontal="center" vertical="center"/>
    </xf>
    <xf numFmtId="9" fontId="4" fillId="22" borderId="2" xfId="3" applyFont="1" applyFill="1" applyBorder="1" applyAlignment="1">
      <alignment horizontal="center" vertical="center"/>
    </xf>
    <xf numFmtId="164" fontId="4" fillId="22" borderId="2" xfId="1" applyNumberFormat="1" applyFont="1" applyFill="1" applyBorder="1" applyAlignment="1">
      <alignment horizontal="center" vertical="center"/>
    </xf>
    <xf numFmtId="2" fontId="4" fillId="22" borderId="8" xfId="1" applyNumberFormat="1" applyFont="1" applyFill="1" applyBorder="1" applyAlignment="1">
      <alignment horizontal="center" vertical="center"/>
    </xf>
    <xf numFmtId="0" fontId="5" fillId="22" borderId="2" xfId="0" applyFont="1" applyFill="1" applyBorder="1" applyAlignment="1">
      <alignment horizontal="center" vertical="center"/>
    </xf>
    <xf numFmtId="2" fontId="9" fillId="22" borderId="2" xfId="0" applyNumberFormat="1" applyFont="1" applyFill="1" applyBorder="1" applyAlignment="1">
      <alignment horizontal="center" vertical="center"/>
    </xf>
    <xf numFmtId="2" fontId="5" fillId="22" borderId="2" xfId="0" applyNumberFormat="1" applyFont="1" applyFill="1" applyBorder="1" applyAlignment="1">
      <alignment horizontal="center" vertical="center"/>
    </xf>
    <xf numFmtId="164" fontId="5" fillId="22" borderId="2" xfId="0" applyNumberFormat="1" applyFont="1" applyFill="1" applyBorder="1" applyAlignment="1">
      <alignment horizontal="center" vertical="center"/>
    </xf>
    <xf numFmtId="2" fontId="5" fillId="16" borderId="2" xfId="3" applyNumberFormat="1" applyFont="1" applyFill="1" applyBorder="1" applyAlignment="1">
      <alignment horizontal="center" vertical="center"/>
    </xf>
    <xf numFmtId="2" fontId="5" fillId="10" borderId="2" xfId="3" applyNumberFormat="1" applyFont="1" applyFill="1" applyBorder="1" applyAlignment="1">
      <alignment horizontal="center" vertical="center"/>
    </xf>
    <xf numFmtId="2" fontId="5" fillId="0" borderId="2" xfId="3" applyNumberFormat="1" applyFont="1" applyBorder="1" applyAlignment="1">
      <alignment horizontal="center" vertical="center"/>
    </xf>
    <xf numFmtId="0" fontId="5" fillId="13" borderId="2" xfId="0" applyFont="1" applyFill="1" applyBorder="1" applyAlignment="1">
      <alignment vertical="center"/>
    </xf>
    <xf numFmtId="0" fontId="4" fillId="13" borderId="2" xfId="0" applyFont="1" applyFill="1" applyBorder="1" applyAlignment="1">
      <alignment horizontal="left" vertical="center"/>
    </xf>
    <xf numFmtId="0" fontId="4" fillId="13" borderId="2" xfId="0" applyFont="1" applyFill="1" applyBorder="1" applyAlignment="1">
      <alignment horizontal="center" vertical="center"/>
    </xf>
    <xf numFmtId="0" fontId="4" fillId="13" borderId="2" xfId="1" applyFont="1" applyFill="1" applyBorder="1" applyAlignment="1">
      <alignment horizontal="center" vertical="center"/>
    </xf>
    <xf numFmtId="0" fontId="4" fillId="13" borderId="2" xfId="1" applyFont="1" applyFill="1" applyBorder="1" applyAlignment="1">
      <alignment horizontal="left" vertical="center"/>
    </xf>
    <xf numFmtId="1" fontId="4" fillId="13" borderId="2" xfId="1" applyNumberFormat="1" applyFont="1" applyFill="1" applyBorder="1" applyAlignment="1">
      <alignment horizontal="center" vertical="center"/>
    </xf>
    <xf numFmtId="2" fontId="4" fillId="13" borderId="2" xfId="1" applyNumberFormat="1" applyFont="1" applyFill="1" applyBorder="1" applyAlignment="1">
      <alignment horizontal="center" vertical="center"/>
    </xf>
    <xf numFmtId="9" fontId="4" fillId="13" borderId="2" xfId="3" applyFont="1" applyFill="1" applyBorder="1" applyAlignment="1">
      <alignment horizontal="center" vertical="center"/>
    </xf>
    <xf numFmtId="164" fontId="4" fillId="13" borderId="2" xfId="1" applyNumberFormat="1" applyFont="1" applyFill="1" applyBorder="1" applyAlignment="1">
      <alignment horizontal="center" vertical="center"/>
    </xf>
    <xf numFmtId="2" fontId="4" fillId="13" borderId="8" xfId="1" applyNumberFormat="1" applyFont="1" applyFill="1" applyBorder="1" applyAlignment="1">
      <alignment horizontal="center" vertical="center"/>
    </xf>
    <xf numFmtId="0" fontId="5" fillId="13" borderId="2" xfId="0" applyFont="1" applyFill="1" applyBorder="1" applyAlignment="1">
      <alignment horizontal="center" vertical="center"/>
    </xf>
    <xf numFmtId="2" fontId="9" fillId="13" borderId="2" xfId="0" applyNumberFormat="1" applyFont="1" applyFill="1" applyBorder="1" applyAlignment="1">
      <alignment horizontal="center" vertical="center"/>
    </xf>
    <xf numFmtId="2" fontId="5" fillId="13" borderId="2" xfId="0" applyNumberFormat="1" applyFont="1" applyFill="1" applyBorder="1" applyAlignment="1">
      <alignment horizontal="center" vertical="center"/>
    </xf>
    <xf numFmtId="164" fontId="5" fillId="13" borderId="2" xfId="0" applyNumberFormat="1" applyFont="1" applyFill="1" applyBorder="1" applyAlignment="1">
      <alignment horizontal="center" vertical="center"/>
    </xf>
    <xf numFmtId="164" fontId="5" fillId="2" borderId="19" xfId="0" applyNumberFormat="1" applyFont="1" applyFill="1" applyBorder="1" applyAlignment="1">
      <alignment horizontal="center" vertical="center"/>
    </xf>
    <xf numFmtId="164" fontId="5" fillId="2" borderId="4" xfId="0" applyNumberFormat="1" applyFont="1" applyFill="1" applyBorder="1" applyAlignment="1">
      <alignment horizontal="center" vertical="center"/>
    </xf>
    <xf numFmtId="164" fontId="5" fillId="0" borderId="5" xfId="0" applyNumberFormat="1" applyFont="1" applyBorder="1" applyAlignment="1">
      <alignment horizontal="center" vertical="center"/>
    </xf>
    <xf numFmtId="14" fontId="5" fillId="0" borderId="2" xfId="0" applyNumberFormat="1" applyFont="1" applyBorder="1" applyAlignment="1">
      <alignment horizontal="left" vertical="center"/>
    </xf>
    <xf numFmtId="14" fontId="5" fillId="2" borderId="2" xfId="0" applyNumberFormat="1" applyFont="1" applyFill="1" applyBorder="1" applyAlignment="1">
      <alignment horizontal="left" vertical="center"/>
    </xf>
    <xf numFmtId="14" fontId="5" fillId="0" borderId="17" xfId="0" applyNumberFormat="1" applyFont="1" applyBorder="1" applyAlignment="1">
      <alignment horizontal="left" vertical="center"/>
    </xf>
    <xf numFmtId="14" fontId="5" fillId="2" borderId="1" xfId="0" applyNumberFormat="1" applyFont="1" applyFill="1" applyBorder="1" applyAlignment="1">
      <alignment horizontal="left" vertical="center"/>
    </xf>
    <xf numFmtId="14" fontId="5" fillId="10" borderId="2" xfId="0" applyNumberFormat="1" applyFont="1" applyFill="1" applyBorder="1" applyAlignment="1">
      <alignment horizontal="left" vertical="center"/>
    </xf>
    <xf numFmtId="14" fontId="5" fillId="13" borderId="2" xfId="0" applyNumberFormat="1" applyFont="1" applyFill="1" applyBorder="1" applyAlignment="1">
      <alignment horizontal="left" vertical="center"/>
    </xf>
    <xf numFmtId="14" fontId="5" fillId="22" borderId="2" xfId="0" applyNumberFormat="1" applyFont="1" applyFill="1" applyBorder="1" applyAlignment="1">
      <alignment horizontal="left" vertical="center"/>
    </xf>
    <xf numFmtId="14" fontId="5" fillId="2" borderId="14" xfId="0" applyNumberFormat="1" applyFont="1" applyFill="1" applyBorder="1" applyAlignment="1">
      <alignment horizontal="left" vertical="center"/>
    </xf>
    <xf numFmtId="14" fontId="5" fillId="0" borderId="1" xfId="0" applyNumberFormat="1" applyFont="1" applyBorder="1" applyAlignment="1">
      <alignment horizontal="left" vertical="center"/>
    </xf>
    <xf numFmtId="14" fontId="5" fillId="4" borderId="2" xfId="0" applyNumberFormat="1" applyFont="1" applyFill="1" applyBorder="1" applyAlignment="1">
      <alignment horizontal="left" vertical="center"/>
    </xf>
    <xf numFmtId="14" fontId="9" fillId="0" borderId="0" xfId="0" applyNumberFormat="1" applyFont="1" applyAlignment="1">
      <alignment horizontal="left" vertical="center"/>
    </xf>
    <xf numFmtId="164" fontId="5" fillId="0" borderId="19" xfId="0" applyNumberFormat="1" applyFont="1" applyBorder="1" applyAlignment="1">
      <alignment horizontal="center" vertical="center"/>
    </xf>
    <xf numFmtId="164" fontId="5" fillId="0" borderId="20" xfId="0" applyNumberFormat="1" applyFont="1" applyBorder="1" applyAlignment="1">
      <alignment horizontal="center" vertical="center"/>
    </xf>
    <xf numFmtId="164" fontId="5" fillId="2" borderId="21" xfId="0" applyNumberFormat="1" applyFont="1" applyFill="1" applyBorder="1" applyAlignment="1">
      <alignment horizontal="center" vertical="center"/>
    </xf>
    <xf numFmtId="164" fontId="5" fillId="0" borderId="22" xfId="0" applyNumberFormat="1" applyFont="1" applyBorder="1" applyAlignment="1">
      <alignment horizontal="center" vertical="center"/>
    </xf>
    <xf numFmtId="164" fontId="5" fillId="0" borderId="4" xfId="0" applyNumberFormat="1" applyFont="1" applyBorder="1" applyAlignment="1">
      <alignment horizontal="center" vertical="center"/>
    </xf>
    <xf numFmtId="49" fontId="5" fillId="0" borderId="2" xfId="0" applyNumberFormat="1" applyFont="1" applyBorder="1" applyAlignment="1">
      <alignment vertical="center"/>
    </xf>
    <xf numFmtId="9" fontId="5" fillId="0" borderId="2" xfId="0" applyNumberFormat="1" applyFont="1" applyBorder="1" applyAlignment="1">
      <alignment horizontal="center" vertical="center"/>
    </xf>
    <xf numFmtId="9" fontId="5" fillId="2" borderId="2" xfId="0" applyNumberFormat="1" applyFont="1" applyFill="1" applyBorder="1" applyAlignment="1">
      <alignment horizontal="center" vertical="center"/>
    </xf>
    <xf numFmtId="9" fontId="5" fillId="0" borderId="17" xfId="0" applyNumberFormat="1" applyFont="1" applyBorder="1" applyAlignment="1">
      <alignment horizontal="center" vertical="center"/>
    </xf>
    <xf numFmtId="9" fontId="5" fillId="2" borderId="1" xfId="0" applyNumberFormat="1" applyFont="1" applyFill="1" applyBorder="1" applyAlignment="1">
      <alignment horizontal="center" vertical="center"/>
    </xf>
    <xf numFmtId="9" fontId="5" fillId="10" borderId="2" xfId="0" applyNumberFormat="1" applyFont="1" applyFill="1" applyBorder="1" applyAlignment="1">
      <alignment horizontal="center" vertical="center"/>
    </xf>
    <xf numFmtId="9" fontId="5" fillId="13" borderId="2" xfId="0" applyNumberFormat="1" applyFont="1" applyFill="1" applyBorder="1" applyAlignment="1">
      <alignment horizontal="center" vertical="center"/>
    </xf>
    <xf numFmtId="9" fontId="5" fillId="22" borderId="2" xfId="0" applyNumberFormat="1" applyFont="1" applyFill="1" applyBorder="1" applyAlignment="1">
      <alignment horizontal="center" vertical="center"/>
    </xf>
    <xf numFmtId="9" fontId="5" fillId="2" borderId="14" xfId="0" applyNumberFormat="1" applyFont="1" applyFill="1" applyBorder="1" applyAlignment="1">
      <alignment horizontal="center" vertical="center"/>
    </xf>
    <xf numFmtId="9" fontId="5" fillId="0" borderId="1" xfId="0" applyNumberFormat="1" applyFont="1" applyBorder="1" applyAlignment="1">
      <alignment horizontal="center" vertical="center"/>
    </xf>
    <xf numFmtId="9" fontId="5" fillId="4" borderId="2" xfId="0" applyNumberFormat="1" applyFont="1" applyFill="1" applyBorder="1" applyAlignment="1">
      <alignment horizontal="center" vertical="center"/>
    </xf>
    <xf numFmtId="9" fontId="5" fillId="0" borderId="5" xfId="0" applyNumberFormat="1" applyFont="1" applyBorder="1" applyAlignment="1">
      <alignment horizontal="center" vertical="center"/>
    </xf>
    <xf numFmtId="9" fontId="5" fillId="0" borderId="0" xfId="0" applyNumberFormat="1" applyFont="1" applyAlignment="1">
      <alignment horizontal="center" vertical="center"/>
    </xf>
    <xf numFmtId="9" fontId="5" fillId="2" borderId="0" xfId="0" applyNumberFormat="1" applyFont="1" applyFill="1" applyAlignment="1">
      <alignment horizontal="center" vertical="center"/>
    </xf>
    <xf numFmtId="9" fontId="17" fillId="3" borderId="2" xfId="1" applyNumberFormat="1" applyFont="1" applyFill="1" applyBorder="1" applyAlignment="1">
      <alignment horizontal="center" vertical="center" wrapText="1"/>
    </xf>
    <xf numFmtId="164" fontId="6" fillId="4" borderId="5" xfId="0" applyNumberFormat="1" applyFont="1" applyFill="1" applyBorder="1" applyAlignment="1">
      <alignment horizontal="left" vertical="center" wrapText="1"/>
    </xf>
    <xf numFmtId="164" fontId="6" fillId="4" borderId="3" xfId="0" applyNumberFormat="1" applyFont="1" applyFill="1" applyBorder="1" applyAlignment="1">
      <alignment horizontal="left" vertical="center" wrapText="1"/>
    </xf>
    <xf numFmtId="164" fontId="6" fillId="4" borderId="1" xfId="0" applyNumberFormat="1" applyFont="1" applyFill="1" applyBorder="1" applyAlignment="1">
      <alignment horizontal="left" vertical="center" wrapText="1"/>
    </xf>
    <xf numFmtId="0" fontId="13" fillId="4" borderId="4" xfId="0" applyFont="1" applyFill="1" applyBorder="1" applyAlignment="1">
      <alignment horizontal="left"/>
    </xf>
    <xf numFmtId="0" fontId="13" fillId="4" borderId="11" xfId="0" applyFont="1" applyFill="1" applyBorder="1" applyAlignment="1">
      <alignment horizontal="left"/>
    </xf>
    <xf numFmtId="0" fontId="3" fillId="4" borderId="4" xfId="0" applyFont="1" applyFill="1" applyBorder="1" applyAlignment="1">
      <alignment horizontal="left"/>
    </xf>
    <xf numFmtId="0" fontId="3" fillId="4" borderId="11" xfId="0" applyFont="1" applyFill="1" applyBorder="1" applyAlignment="1">
      <alignment horizontal="left"/>
    </xf>
  </cellXfs>
  <cellStyles count="4">
    <cellStyle name="Normal" xfId="0" builtinId="0"/>
    <cellStyle name="Normal 2" xfId="1" xr:uid="{AA7C8B35-0D46-4AE2-9F23-892E8B4F457D}"/>
    <cellStyle name="Normal 3" xfId="2" xr:uid="{D2202FF0-281A-4A15-AE2E-20B4B63960E8}"/>
    <cellStyle name="Percent" xfId="3" builtinId="5"/>
  </cellStyles>
  <dxfs count="20">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sz val="14"/>
      </font>
    </dxf>
    <dxf>
      <font>
        <sz val="14"/>
      </font>
    </dxf>
    <dxf>
      <font>
        <sz val="14"/>
      </font>
    </dxf>
    <dxf>
      <font>
        <sz val="14"/>
      </font>
    </dxf>
    <dxf>
      <font>
        <sz val="14"/>
      </font>
    </dxf>
    <dxf>
      <font>
        <sz val="14"/>
      </font>
    </dxf>
    <dxf>
      <alignment vertical="center"/>
    </dxf>
    <dxf>
      <alignment horizontal="center"/>
    </dxf>
  </dxfs>
  <tableStyles count="0" defaultTableStyle="TableStyleMedium2" defaultPivotStyle="PivotStyleLight16"/>
  <colors>
    <mruColors>
      <color rgb="FFFFA7FF"/>
      <color rgb="FF66FFFF"/>
      <color rgb="FFFF33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Crop Estimation.xlsx]2025 Yield 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'2025 Yield Dashboard'!$B$5</c:f>
              <c:strCache>
                <c:ptCount val="1"/>
                <c:pt idx="0">
                  <c:v>Total</c:v>
                </c:pt>
              </c:strCache>
            </c:strRef>
          </c:tx>
          <c:spPr>
            <a:solidFill>
              <a:schemeClr val="accent1"/>
            </a:solidFill>
            <a:ln>
              <a:noFill/>
            </a:ln>
            <a:effectLst/>
          </c:spPr>
          <c:invertIfNegative val="0"/>
          <c:cat>
            <c:multiLvlStrRef>
              <c:f>'2025 Yield Dashboard'!$A$6:$A$16</c:f>
              <c:multiLvlStrCache>
                <c:ptCount val="5"/>
                <c:lvl>
                  <c:pt idx="0">
                    <c:v>CS</c:v>
                  </c:pt>
                  <c:pt idx="1">
                    <c:v>CS</c:v>
                  </c:pt>
                  <c:pt idx="2">
                    <c:v>CS</c:v>
                  </c:pt>
                  <c:pt idx="3">
                    <c:v>CS</c:v>
                  </c:pt>
                  <c:pt idx="4">
                    <c:v>CS</c:v>
                  </c:pt>
                </c:lvl>
                <c:lvl>
                  <c:pt idx="0">
                    <c:v>Miller B1 CS</c:v>
                  </c:pt>
                  <c:pt idx="1">
                    <c:v>Miller B2 CS</c:v>
                  </c:pt>
                  <c:pt idx="2">
                    <c:v>Miller B3A CS</c:v>
                  </c:pt>
                  <c:pt idx="3">
                    <c:v>Miller B5 CS</c:v>
                  </c:pt>
                  <c:pt idx="4">
                    <c:v>Miller B6 CS</c:v>
                  </c:pt>
                </c:lvl>
              </c:multiLvlStrCache>
            </c:multiLvlStrRef>
          </c:cat>
          <c:val>
            <c:numRef>
              <c:f>'2025 Yield Dashboard'!$B$6:$B$16</c:f>
              <c:numCache>
                <c:formatCode>General</c:formatCode>
                <c:ptCount val="5"/>
                <c:pt idx="0">
                  <c:v>9.7274897718885516</c:v>
                </c:pt>
                <c:pt idx="1">
                  <c:v>9.6974743269783783</c:v>
                </c:pt>
                <c:pt idx="2">
                  <c:v>11.229049600912202</c:v>
                </c:pt>
                <c:pt idx="3">
                  <c:v>11.72412407168839</c:v>
                </c:pt>
                <c:pt idx="4">
                  <c:v>10.809781432240017</c:v>
                </c:pt>
              </c:numCache>
            </c:numRef>
          </c:val>
          <c:extLst>
            <c:ext xmlns:c16="http://schemas.microsoft.com/office/drawing/2014/chart" uri="{C3380CC4-5D6E-409C-BE32-E72D297353CC}">
              <c16:uniqueId val="{00000000-AE79-41B4-9764-9AB4E470F4E3}"/>
            </c:ext>
          </c:extLst>
        </c:ser>
        <c:dLbls>
          <c:showLegendKey val="0"/>
          <c:showVal val="0"/>
          <c:showCatName val="0"/>
          <c:showSerName val="0"/>
          <c:showPercent val="0"/>
          <c:showBubbleSize val="0"/>
        </c:dLbls>
        <c:gapWidth val="219"/>
        <c:overlap val="-27"/>
        <c:axId val="673555936"/>
        <c:axId val="673556416"/>
      </c:barChart>
      <c:catAx>
        <c:axId val="67355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56416"/>
        <c:crosses val="autoZero"/>
        <c:auto val="1"/>
        <c:lblAlgn val="ctr"/>
        <c:lblOffset val="100"/>
        <c:noMultiLvlLbl val="0"/>
      </c:catAx>
      <c:valAx>
        <c:axId val="67355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5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7144</xdr:rowOff>
    </xdr:from>
    <xdr:to>
      <xdr:col>36</xdr:col>
      <xdr:colOff>0</xdr:colOff>
      <xdr:row>2</xdr:row>
      <xdr:rowOff>95250</xdr:rowOff>
    </xdr:to>
    <xdr:sp macro="" textlink="">
      <xdr:nvSpPr>
        <xdr:cNvPr id="3" name="TextBox 2">
          <a:extLst>
            <a:ext uri="{FF2B5EF4-FFF2-40B4-BE49-F238E27FC236}">
              <a16:creationId xmlns:a16="http://schemas.microsoft.com/office/drawing/2014/main" id="{F8B3EB7A-0F68-B361-3D66-67EF0D699C5B}"/>
            </a:ext>
          </a:extLst>
        </xdr:cNvPr>
        <xdr:cNvSpPr txBox="1"/>
      </xdr:nvSpPr>
      <xdr:spPr>
        <a:xfrm>
          <a:off x="0" y="7144"/>
          <a:ext cx="21859875" cy="469106"/>
        </a:xfrm>
        <a:prstGeom prst="rect">
          <a:avLst/>
        </a:prstGeom>
        <a:solidFill>
          <a:srgbClr val="0070C0"/>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2400" b="1">
              <a:solidFill>
                <a:schemeClr val="bg1"/>
              </a:solidFill>
              <a:latin typeface="Arial Narrow" panose="020B0606020202030204" pitchFamily="34" charset="0"/>
            </a:rPr>
            <a:t>2025 Yield Dashboard</a:t>
          </a:r>
        </a:p>
      </xdr:txBody>
    </xdr:sp>
    <xdr:clientData/>
  </xdr:twoCellAnchor>
  <xdr:twoCellAnchor>
    <xdr:from>
      <xdr:col>10</xdr:col>
      <xdr:colOff>21590</xdr:colOff>
      <xdr:row>4</xdr:row>
      <xdr:rowOff>104457</xdr:rowOff>
    </xdr:from>
    <xdr:to>
      <xdr:col>35</xdr:col>
      <xdr:colOff>21590</xdr:colOff>
      <xdr:row>37</xdr:row>
      <xdr:rowOff>63500</xdr:rowOff>
    </xdr:to>
    <xdr:graphicFrame macro="">
      <xdr:nvGraphicFramePr>
        <xdr:cNvPr id="5" name="Chart 4">
          <a:extLst>
            <a:ext uri="{FF2B5EF4-FFF2-40B4-BE49-F238E27FC236}">
              <a16:creationId xmlns:a16="http://schemas.microsoft.com/office/drawing/2014/main" id="{D090339B-B72D-6195-ABCC-866CCED84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473075</xdr:colOff>
      <xdr:row>4</xdr:row>
      <xdr:rowOff>133985</xdr:rowOff>
    </xdr:from>
    <xdr:to>
      <xdr:col>9</xdr:col>
      <xdr:colOff>396875</xdr:colOff>
      <xdr:row>19</xdr:row>
      <xdr:rowOff>18415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4561D6C-A33E-56E7-E2A6-A91B67B71D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54010" y="828675"/>
              <a:ext cx="1824990" cy="2519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454025</xdr:colOff>
      <xdr:row>4</xdr:row>
      <xdr:rowOff>158750</xdr:rowOff>
    </xdr:from>
    <xdr:to>
      <xdr:col>6</xdr:col>
      <xdr:colOff>377825</xdr:colOff>
      <xdr:row>19</xdr:row>
      <xdr:rowOff>15875</xdr:rowOff>
    </xdr:to>
    <mc:AlternateContent xmlns:mc="http://schemas.openxmlformats.org/markup-compatibility/2006" xmlns:a14="http://schemas.microsoft.com/office/drawing/2010/main">
      <mc:Choice Requires="a14">
        <xdr:graphicFrame macro="">
          <xdr:nvGraphicFramePr>
            <xdr:cNvPr id="8" name="Variety">
              <a:extLst>
                <a:ext uri="{FF2B5EF4-FFF2-40B4-BE49-F238E27FC236}">
                  <a16:creationId xmlns:a16="http://schemas.microsoft.com/office/drawing/2014/main" id="{F78EDD46-7726-8054-87FD-4D13663C5800}"/>
                </a:ext>
              </a:extLst>
            </xdr:cNvPr>
            <xdr:cNvGraphicFramePr/>
          </xdr:nvGraphicFramePr>
          <xdr:xfrm>
            <a:off x="0" y="0"/>
            <a:ext cx="0" cy="0"/>
          </xdr:xfrm>
          <a:graphic>
            <a:graphicData uri="http://schemas.microsoft.com/office/drawing/2010/slicer">
              <sle:slicer xmlns:sle="http://schemas.microsoft.com/office/drawing/2010/slicer" name="Variety"/>
            </a:graphicData>
          </a:graphic>
        </xdr:graphicFrame>
      </mc:Choice>
      <mc:Fallback xmlns="">
        <xdr:sp macro="" textlink="">
          <xdr:nvSpPr>
            <xdr:cNvPr id="0" name=""/>
            <xdr:cNvSpPr>
              <a:spLocks noTextEdit="1"/>
            </xdr:cNvSpPr>
          </xdr:nvSpPr>
          <xdr:spPr>
            <a:xfrm>
              <a:off x="6026150" y="859155"/>
              <a:ext cx="1828800" cy="247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446404</xdr:colOff>
      <xdr:row>20</xdr:row>
      <xdr:rowOff>93345</xdr:rowOff>
    </xdr:from>
    <xdr:to>
      <xdr:col>9</xdr:col>
      <xdr:colOff>440689</xdr:colOff>
      <xdr:row>30</xdr:row>
      <xdr:rowOff>91440</xdr:rowOff>
    </xdr:to>
    <mc:AlternateContent xmlns:mc="http://schemas.openxmlformats.org/markup-compatibility/2006" xmlns:a14="http://schemas.microsoft.com/office/drawing/2010/main">
      <mc:Choice Requires="a14">
        <xdr:graphicFrame macro="">
          <xdr:nvGraphicFramePr>
            <xdr:cNvPr id="9" name="ST Status">
              <a:extLst>
                <a:ext uri="{FF2B5EF4-FFF2-40B4-BE49-F238E27FC236}">
                  <a16:creationId xmlns:a16="http://schemas.microsoft.com/office/drawing/2014/main" id="{406C4BCB-4C4A-67B8-B8FC-2F5382341ED5}"/>
                </a:ext>
              </a:extLst>
            </xdr:cNvPr>
            <xdr:cNvGraphicFramePr/>
          </xdr:nvGraphicFramePr>
          <xdr:xfrm>
            <a:off x="0" y="0"/>
            <a:ext cx="0" cy="0"/>
          </xdr:xfrm>
          <a:graphic>
            <a:graphicData uri="http://schemas.microsoft.com/office/drawing/2010/slicer">
              <sle:slicer xmlns:sle="http://schemas.microsoft.com/office/drawing/2010/slicer" name="ST Status"/>
            </a:graphicData>
          </a:graphic>
        </xdr:graphicFrame>
      </mc:Choice>
      <mc:Fallback xmlns="">
        <xdr:sp macro="" textlink="">
          <xdr:nvSpPr>
            <xdr:cNvPr id="0" name=""/>
            <xdr:cNvSpPr>
              <a:spLocks noTextEdit="1"/>
            </xdr:cNvSpPr>
          </xdr:nvSpPr>
          <xdr:spPr>
            <a:xfrm>
              <a:off x="6016624" y="3589655"/>
              <a:ext cx="3806190" cy="1740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Zumkeller" refreshedDate="45789.478680324071" createdVersion="8" refreshedVersion="8" minRefreshableVersion="3" recordCount="296" xr:uid="{3248EE84-5096-42FD-B3FF-97253D6DA233}">
  <cacheSource type="worksheet">
    <worksheetSource ref="A2:AN506" sheet="2025 Crop Estimation"/>
  </cacheSource>
  <cacheFields count="38">
    <cacheField name="Region" numFmtId="0">
      <sharedItems count="3">
        <s v="CLEM"/>
        <s v="DELTA"/>
        <s v="LODI"/>
      </sharedItems>
    </cacheField>
    <cacheField name="Code" numFmtId="0">
      <sharedItems/>
    </cacheField>
    <cacheField name="Block - Sub block" numFmtId="0">
      <sharedItems count="228">
        <s v="98 Oaks B1 CS"/>
        <s v="98 Oaks B2 CS"/>
        <s v="98 Oaks B3 MA"/>
        <s v="98 Oaks B4 CS"/>
        <s v="98 Oaks B5 CS"/>
        <s v="98 Oaks B6 CS"/>
        <s v="98 Oaks B7 ME"/>
        <s v="98 Oaks B8 PS"/>
        <s v="98 Oaks B9 CS"/>
        <s v="98 Oaks B10 ZN"/>
        <s v="98 Oaks B11 CF"/>
        <s v="Baum Victor B1 ZN"/>
        <s v="Baum Victor B2 PR"/>
        <s v="Birmingham Clements Hills B1 CS"/>
        <s v="Blue Star OH CS"/>
        <s v="AAA B1 PV"/>
        <s v="AAA B2 SB"/>
        <s v="AAA B4 PV"/>
        <s v="Atkins B1 CS"/>
        <s v="Atkins B1 CS - N.CS Main EW"/>
        <s v="Atkins B1 CS - N.CS NS Rows"/>
        <s v="Atkins B2 CH"/>
        <s v="Atkins B5 CS"/>
        <s v="Bear Creek B0 VD"/>
        <s v="Bear Creek B1 PG "/>
        <s v="Bear Creek B2 CH"/>
        <s v="Lane B1 ME"/>
        <s v="Moren B1 SY - East"/>
        <s v="Moren B1 SY - West"/>
        <s v="Moren B1 SY "/>
        <s v="Moren B2 PV"/>
        <s v="Moren B3 PS"/>
        <s v="Moren B4 PS"/>
        <s v="Moren B5 PS"/>
        <s v="Mohr B1 BA"/>
        <s v="Norgaard B1 CS"/>
        <s v="Three Oaks B1 ME"/>
        <s v="Paddy Creek B2 BA"/>
        <s v="Paddy Creek B3 ME"/>
        <s v="Paddy Creek B6 PR - South"/>
        <s v="Paddy Creek B7 CS"/>
        <s v="Paddy Creek B4A PR - 2022"/>
        <s v="Paddy Creek B4B CH"/>
        <s v="Peters B1 CS"/>
        <s v="Rose 2 B1 MA"/>
        <s v="Rose 2 B2 CH "/>
        <s v="Cook - South B2 CH "/>
        <s v="Webster (Georgatos) North "/>
        <s v="Webster (Garliepp / Zolezzi) South "/>
        <s v="Bohn Ridge B1 ZN"/>
        <s v="Bohn Ridge B2 TD "/>
        <s v="Liberty Oaks B1 PG"/>
        <s v="Liberty Oaks B2 TE"/>
        <s v="MRP B1 CS"/>
        <s v="Patriot Oaks - Hillltop B3 CS"/>
        <s v="Patriot Oaks - Home B1 PV"/>
        <s v="Proplant - Betsy Rose B3 CH"/>
        <s v="Proplant - Betsy Rose B4 PN"/>
        <s v="Proplant - Craig Merlot B1 ME"/>
        <s v="Rootstock 1 B1 CH"/>
        <s v="Rootstock 1 B2 CS (Teardrop)"/>
        <s v="Rootstock 1 B3 CH (Driveway)"/>
        <s v="Rootstock 2 B3 CH"/>
        <s v="Smith B1 ME"/>
        <s v="Shimozaki Victor B1 ZN"/>
        <s v="Shimozaki Victor B2 ZN"/>
        <s v="Lauchland B1 CS"/>
        <s v="Sowles B1 PN"/>
        <s v="Dutra B2 SB"/>
        <s v="Dutra B5 CH"/>
        <s v="Dutra B6 VI"/>
        <s v="Dutra B7 MC - Old"/>
        <s v="Dutra B7 MC - Grafted"/>
        <s v="Dutra B7 MC - All"/>
        <s v="Dutra B1C SB"/>
        <s v="Maria B1 PN - West"/>
        <s v="Maria B1 PN - East"/>
        <s v="Maria B1 PN - Row 14-17 (23)"/>
        <s v="Maria B1 PN - Row 19-25 (115)"/>
        <s v="Maria B1 PN - Row 1-7 (777)"/>
        <s v="Maria B1 PN - Row 8-13,18 (667)"/>
        <s v="Maria B2 PG - West"/>
        <s v="Maria B2 PG - East"/>
        <s v="Maria B2 PG - South"/>
        <s v="Foley South B1 PN"/>
        <s v="Foley South B2 PN"/>
        <s v="Foley South B4 CH "/>
        <s v="Foley South B5 CH"/>
        <s v="Foley South B7 CB"/>
        <s v="Foley South B9 PN"/>
        <s v="Foley South B10 PN"/>
        <s v="Foley South B3B AL"/>
        <s v="Foley South B3B AL - North"/>
        <s v="Foley North B99 PN"/>
        <s v="Runyon B0 PN"/>
        <s v="Runyon B1 PN"/>
        <s v="Runyon B2 PN"/>
        <s v="Runyon B3 PG"/>
        <s v="MJ B1 CH"/>
        <s v="MJ B2 PG"/>
        <s v="MJ B2 PG - Retrain"/>
        <s v="MJ B3 CB"/>
        <s v="MJ B4 CB"/>
        <s v="Miller B1 CS"/>
        <s v="Miller B2 CS"/>
        <s v="Miller B5 CS"/>
        <s v="Miller B6 CS"/>
        <s v="Miller B7 ME "/>
        <s v="Miller B8 ME "/>
        <s v="Miller B9 CH"/>
        <s v="Miller B3A CS"/>
        <s v="Prince B1 CH"/>
        <s v="Prince B2 PN"/>
        <s v="Prince B3 PN"/>
        <s v="Prince B5 CB"/>
        <s v="Prince B6 CB"/>
        <s v="Prince B8 CB"/>
        <s v="Prince B11 CB"/>
        <s v="Prince B14 CB"/>
        <s v="Prince B15 CB"/>
        <s v="Prince B16 CB"/>
        <s v="Prince B17 CB"/>
        <s v="Prince B18 PS"/>
        <s v="Prince B21 CH"/>
        <s v="Prince B22 CB"/>
        <s v="Prince B7A SB"/>
        <s v="Prince B7B SB"/>
        <s v="Prince B99 VV - Chenin Blanc"/>
        <s v="Prince B99 VV - Malbec Old North"/>
        <s v="Prince B99 VV - Malbec Old South"/>
        <s v="Prince B99 VV - Malbec Grafted"/>
        <s v="Prince B99 VV - Malbec Old (all)"/>
        <s v="Prince B99 VV - Sauvignon Blanc"/>
        <s v="Wheelhouse B1 GE"/>
        <s v="Wheelhouse B2 PG"/>
        <s v="Wheelhouse B3 AL"/>
        <s v="A&amp;R Davis B1 CS"/>
        <s v="Baum Peltier B1 CH"/>
        <s v="Bender Ranch (Burlington) B1 ME"/>
        <s v="Donald Airport B2 SA"/>
        <s v="Donald Airport B3 ZN"/>
        <s v="Donald Airport B4 CS"/>
        <s v="Donald Davis B5 CH"/>
        <s v="Donald Davis B4 ZN"/>
        <s v="Donald Davis B7 ND"/>
        <s v="Ford B1 TO"/>
        <s v="Ford B2 TE"/>
        <s v="Ford B3 MA - North"/>
        <s v="Ford B3 MA - South"/>
        <s v="Ford B4 ME"/>
        <s v="Ford B4 ME - North"/>
        <s v="Ford B4 ME - South"/>
        <s v="Ford B5 ME"/>
        <s v="Ford B6 TA"/>
        <s v="Henretty B1 CS"/>
        <s v="Hilder B4 CS"/>
        <s v="Hilder B5 PS"/>
        <s v="North River B1 CH"/>
        <s v="North River B2 SB"/>
        <s v="North River B3 GV"/>
        <s v="North River B3 GG - Garnacha Gris"/>
        <s v="La Prima B2 CH"/>
        <s v="La Prima B3 ME"/>
        <s v="La Prima B4 PS"/>
        <s v="La Prima B5 CS"/>
        <s v="LF 100 Acres B1 CS"/>
        <s v="LF 100 Acres B2 PS"/>
        <s v="LF 38 Acres B1 CS"/>
        <s v="LF 38 Acres B1 CS - SPRAWL (North)"/>
        <s v="LF 38 Acres B1 CS - VSP (South)"/>
        <s v="LF 80 Acres B1 TD"/>
        <s v="LF 80 Acres B2 PV"/>
        <s v="LF 80 Acres B4 CH - 70"/>
        <s v="LF 80 Acres B4 CH - Rosa"/>
        <s v="LF 80 Acres B4 CH"/>
        <s v="LF Bender 60 B1 CS"/>
        <s v="LF Bender 60 B1 CS - South"/>
        <s v="LF Bender 60 B1 CS - North"/>
        <s v="LF Bender B2 VI"/>
        <s v="LF Blacktail B1 CH"/>
        <s v="LF Blacktail B1 CH - Clone 38"/>
        <s v="LF Blacktail B1 CH - Clone 69"/>
        <s v="LF Blacktail B2 SB"/>
        <s v="LF Davis B2 PG"/>
        <s v="LF Exotics B1 SA"/>
        <s v="LF Exotics B2 SY"/>
        <s v="LF Exotics B3 VI"/>
        <s v="LF Exotics B4 VI"/>
        <s v="LF Gill Creek B1 CS"/>
        <s v="LF Gill Creek B1 CS - North"/>
        <s v="LF Gill Creek B1 CS - South"/>
        <s v="LF Railroad B2 CF"/>
        <s v="LF River B2 CS"/>
        <s v="LF River B3 CS"/>
        <s v="LF River B4 CS"/>
        <s v="LF River B5 MP"/>
        <s v="LF River B6 AG"/>
        <s v="LF River B7 PB"/>
        <s v="LF River B8 GB"/>
        <s v="LF Redtail B1 ND"/>
        <s v="LF Redtail B2 PR"/>
        <s v="LF Redtail B3 AN"/>
        <s v="LF Twin Oaks B1 CS"/>
        <s v="LF Twin Oaks B2 SB"/>
        <s v="LF Woods 1 B4 CS"/>
        <s v="LF Woods 2 B2 TD"/>
        <s v="LF Woods 3 B1 CS"/>
        <s v="LF Woods 3 B2 SB"/>
        <s v="Mendonca B3 CS"/>
        <s v="Kidd B4 CS"/>
        <s v="Muchmore B1 SB"/>
        <s v="Muchmore B2 PG"/>
        <s v="Ring B1 CS"/>
        <s v="Seibly Jahant B1 CS"/>
        <s v="Seibly Jahant B1 CS - North 1103P"/>
        <s v="Seibly Jahant B1 CS - South GRN2"/>
        <s v="Seibly Ray B1 PN"/>
        <s v="Stanton B1 TD"/>
        <s v="Stanton B2 VI"/>
        <s v="Stanton B3 CH"/>
        <s v="Stanton B4 SB"/>
        <s v="Stanton B5 PN"/>
        <s v="Stanton B6 ZN "/>
        <s v="Stanton B8 PR"/>
        <s v="Shimozaki Dustin B1 CH"/>
        <s v="Shimozaki Dustin B2 ZN"/>
        <s v="Doddington B1 CH"/>
        <s v="Paddy Creek B6 PR - North" u="1"/>
      </sharedItems>
    </cacheField>
    <cacheField name="Development Status" numFmtId="0">
      <sharedItems count="3">
        <s v="EST"/>
        <s v="YR2"/>
        <s v="YR1"/>
      </sharedItems>
    </cacheField>
    <cacheField name="Variety" numFmtId="0">
      <sharedItems count="32">
        <s v="CS"/>
        <s v="MA"/>
        <s v="ME"/>
        <s v="PS"/>
        <s v="ZN"/>
        <s v="CF"/>
        <s v="PV"/>
        <s v="SB"/>
        <s v="CH"/>
        <s v="VD"/>
        <s v="PG"/>
        <s v="SY"/>
        <s v="BA"/>
        <s v="PR"/>
        <s v="TD"/>
        <s v="TE"/>
        <s v="PN"/>
        <s v="VI"/>
        <s v="MC"/>
        <s v="CB"/>
        <s v="AL"/>
        <s v="GE"/>
        <s v="SA"/>
        <s v="ND"/>
        <s v="TO"/>
        <s v="TA"/>
        <s v="GV"/>
        <s v="MP"/>
        <s v="AG"/>
        <s v="PB"/>
        <s v="GB"/>
        <s v="AN"/>
      </sharedItems>
    </cacheField>
    <cacheField name="Clone" numFmtId="0">
      <sharedItems containsBlank="1" containsMixedTypes="1" containsNumber="1" containsInteger="1" minValue="1" maxValue="777"/>
    </cacheField>
    <cacheField name="Rootstock" numFmtId="0">
      <sharedItems containsBlank="1"/>
    </cacheField>
    <cacheField name="VPA" numFmtId="1">
      <sharedItems containsSemiMixedTypes="0" containsString="0" containsNumber="1" minValue="453.75" maxValue="968"/>
    </cacheField>
    <cacheField name="Net Vine Acres" numFmtId="2">
      <sharedItems containsSemiMixedTypes="0" containsString="0" containsNumber="1" minValue="0.18078512396694216" maxValue="102.93"/>
    </cacheField>
    <cacheField name="Actual Vine Count" numFmtId="1">
      <sharedItems containsString="0" containsBlank="1" containsNumber="1" minValue="125" maxValue="94178"/>
    </cacheField>
    <cacheField name="Missing Vine %" numFmtId="9">
      <sharedItems containsString="0" containsBlank="1" containsNumber="1" minValue="0" maxValue="0.3"/>
    </cacheField>
    <cacheField name="Adjusted Vine Count" numFmtId="1">
      <sharedItems containsString="0" containsBlank="1" containsNumber="1" minValue="0" maxValue="94178"/>
    </cacheField>
    <cacheField name="Adjusted Vine Count Acres" numFmtId="164">
      <sharedItems containsString="0" containsBlank="1" containsNumber="1" minValue="0" maxValue="103.77741046831956"/>
    </cacheField>
    <cacheField name="2019 TPA" numFmtId="2">
      <sharedItems containsString="0" containsBlank="1" containsNumber="1" minValue="2.88" maxValue="13.26"/>
    </cacheField>
    <cacheField name="2020 TPA" numFmtId="2">
      <sharedItems containsString="0" containsBlank="1" containsNumber="1" minValue="2.15" maxValue="14.55"/>
    </cacheField>
    <cacheField name="2021 TPA" numFmtId="2">
      <sharedItems containsString="0" containsBlank="1" containsNumber="1" minValue="1.42" maxValue="16.91"/>
    </cacheField>
    <cacheField name="2022 TPA" numFmtId="2">
      <sharedItems containsString="0" containsBlank="1" containsNumber="1" minValue="0.33" maxValue="14.03"/>
    </cacheField>
    <cacheField name="2023 TPA" numFmtId="2">
      <sharedItems containsString="0" containsBlank="1" containsNumber="1" minValue="1.8" maxValue="16.46"/>
    </cacheField>
    <cacheField name="2024 TPA" numFmtId="2">
      <sharedItems containsString="0" containsBlank="1" containsNumber="1" minValue="0.98" maxValue="15.4"/>
    </cacheField>
    <cacheField name="5-YR Avg" numFmtId="2">
      <sharedItems containsString="0" containsBlank="1" containsNumber="1" minValue="1.8" maxValue="14.97"/>
    </cacheField>
    <cacheField name="2025 Shoot Thin Rule" numFmtId="0">
      <sharedItems containsBlank="1"/>
    </cacheField>
    <cacheField name="ST Status" numFmtId="0">
      <sharedItems containsBlank="1" count="6">
        <s v="Done"/>
        <m/>
        <s v="N"/>
        <s v="Test"/>
        <s v="NST" u="1"/>
        <s v="Y" u="1"/>
      </sharedItems>
    </cacheField>
    <cacheField name="Post Crop Thin?" numFmtId="0">
      <sharedItems containsNonDate="0" containsString="0" containsBlank="1"/>
    </cacheField>
    <cacheField name="Historic Avg Cluster Weight (lb)" numFmtId="2">
      <sharedItems containsString="0" containsBlank="1" containsNumber="1" minValue="0.22" maxValue="0.78"/>
    </cacheField>
    <cacheField name="2025 Actual Cluster Weight (lb)" numFmtId="2">
      <sharedItems containsNonDate="0" containsString="0" containsBlank="1"/>
    </cacheField>
    <cacheField name="Cluster Weight by Variety  (lb)" numFmtId="2">
      <sharedItems containsString="0" containsBlank="1" containsNumber="1" minValue="0.27" maxValue="0.55000000000000004"/>
    </cacheField>
    <cacheField name="Date of Count" numFmtId="14">
      <sharedItems containsNonDate="0" containsDate="1" containsString="0" containsBlank="1" minDate="2025-04-12T00:00:00" maxDate="2025-05-10T00:00:00"/>
    </cacheField>
    <cacheField name="Avg Clusters/Vine" numFmtId="164">
      <sharedItems containsString="0" containsBlank="1" containsNumber="1" minValue="0" maxValue="218.07692307692307"/>
    </cacheField>
    <cacheField name="Est Lbs/Vine" numFmtId="164">
      <sharedItems containsString="0" containsBlank="1" containsNumber="1" minValue="0" maxValue="56.248750000000001"/>
    </cacheField>
    <cacheField name="2025 Est Total Tons" numFmtId="164">
      <sharedItems containsSemiMixedTypes="0" containsString="0" containsNumber="1" minValue="0" maxValue="1469.0777516666665"/>
    </cacheField>
    <cacheField name="2025 Est TPA" numFmtId="164">
      <sharedItems containsString="0" containsBlank="1" containsNumber="1" minValue="0" maxValue="17.434353846153844"/>
    </cacheField>
    <cacheField name="% Change From 2024" numFmtId="9">
      <sharedItems containsBlank="1" containsMixedTypes="1" containsNumber="1" minValue="-0.40503181072117617" maxValue="1"/>
    </cacheField>
    <cacheField name="Target TPA" numFmtId="0">
      <sharedItems containsBlank="1" containsMixedTypes="1" containsNumber="1" minValue="8" maxValue="12"/>
    </cacheField>
    <cacheField name="Tons to Remove" numFmtId="2">
      <sharedItems containsString="0" containsBlank="1" containsNumber="1" minValue="-161.941182215" maxValue="1469.0777516666665"/>
    </cacheField>
    <cacheField name="TPA to Remove" numFmtId="0">
      <sharedItems containsString="0" containsBlank="1" containsNumber="1" minValue="-8.5" maxValue="17.434353846153844"/>
    </cacheField>
    <cacheField name="Target Clusters" numFmtId="0">
      <sharedItems containsString="0" containsBlank="1" containsNumber="1" minValue="40.570999248685197" maxValue="100.43617998163452"/>
    </cacheField>
    <cacheField name="Clusters to Remove / Vine" numFmtId="0">
      <sharedItems containsBlank="1" containsMixedTypes="1" containsNumber="1" minValue="-62.155976899900203" maxValue="180.44135802469131"/>
    </cacheField>
    <cacheField name="Winery" numFmtId="0">
      <sharedItems containsBlank="1" count="3">
        <s v="LTW"/>
        <m/>
        <s v="ONEILL/LTW"/>
      </sharedItems>
    </cacheField>
  </cacheFields>
  <extLst>
    <ext xmlns:x14="http://schemas.microsoft.com/office/spreadsheetml/2009/9/main" uri="{725AE2AE-9491-48be-B2B4-4EB974FC3084}">
      <x14:pivotCacheDefinition pivotCacheId="992423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x v="0"/>
    <s v="98OK01CS"/>
    <x v="0"/>
    <x v="0"/>
    <x v="0"/>
    <s v="43.1/8.1"/>
    <s v="5BB"/>
    <n v="726"/>
    <n v="22.94568353"/>
    <n v="16379"/>
    <m/>
    <n v="16379"/>
    <n v="22.560606060606062"/>
    <m/>
    <m/>
    <m/>
    <n v="5.17"/>
    <n v="9.48"/>
    <n v="7.96"/>
    <n v="7.3250000000000002"/>
    <s v="No thin"/>
    <x v="0"/>
    <m/>
    <n v="0.25"/>
    <m/>
    <n v="0.33"/>
    <d v="2025-05-02T00:00:00"/>
    <n v="110"/>
    <n v="27.5"/>
    <n v="225.21125000000001"/>
    <n v="9.8149723762009895"/>
    <n v="0.1889941514964284"/>
    <m/>
    <n v="225.21125000000001"/>
    <n v="9.8149723762009895"/>
    <m/>
    <n v="83.333333333333329"/>
    <x v="0"/>
  </r>
  <r>
    <x v="0"/>
    <s v="98OK02CS"/>
    <x v="1"/>
    <x v="0"/>
    <x v="0"/>
    <s v="7/8"/>
    <s v="1103P"/>
    <n v="726"/>
    <n v="15.910719889999999"/>
    <n v="11178"/>
    <m/>
    <n v="11178"/>
    <n v="15.396694214876034"/>
    <m/>
    <m/>
    <m/>
    <n v="4.4800000000000004"/>
    <n v="8.68"/>
    <n v="7.09"/>
    <n v="6.58"/>
    <s v="No thin"/>
    <x v="0"/>
    <m/>
    <n v="0.25"/>
    <m/>
    <n v="0.33"/>
    <d v="2025-05-02T00:00:00"/>
    <n v="114.625"/>
    <n v="28.65625"/>
    <n v="160.15978125000001"/>
    <n v="10.066155545272441"/>
    <n v="0.29565960230668092"/>
    <m/>
    <n v="160.15978125000001"/>
    <n v="10.066155545272441"/>
    <m/>
    <n v="86.837121212121204"/>
    <x v="0"/>
  </r>
  <r>
    <x v="0"/>
    <s v="98OK03MA"/>
    <x v="2"/>
    <x v="0"/>
    <x v="1"/>
    <s v="598/595"/>
    <s v="1103P"/>
    <n v="691.42857142857144"/>
    <n v="19.051903790000001"/>
    <n v="13027"/>
    <n v="0"/>
    <n v="13027"/>
    <n v="18.840702479338841"/>
    <m/>
    <m/>
    <m/>
    <n v="6.45"/>
    <n v="7.27"/>
    <n v="6.5"/>
    <n v="6.8599999999999994"/>
    <s v="No thin"/>
    <x v="0"/>
    <m/>
    <n v="0.4"/>
    <m/>
    <n v="0.4"/>
    <d v="2025-05-02T00:00:00"/>
    <n v="94.4375"/>
    <n v="37.774999999999999"/>
    <n v="246.04746249999999"/>
    <n v="12.914586658218685"/>
    <n v="0.49669314457977798"/>
    <n v="8.5"/>
    <n v="84.106280284999997"/>
    <n v="4.4145866582186848"/>
    <n v="61.466942148760324"/>
    <n v="32.28152310009979"/>
    <x v="0"/>
  </r>
  <r>
    <x v="0"/>
    <s v="98OK03MA"/>
    <x v="2"/>
    <x v="0"/>
    <x v="1"/>
    <s v="598/595"/>
    <s v="1103P"/>
    <n v="691.42857142857144"/>
    <n v="19.051903790000001"/>
    <n v="13027"/>
    <n v="0"/>
    <n v="13027"/>
    <n v="18.840702479338841"/>
    <m/>
    <m/>
    <m/>
    <n v="6.45"/>
    <n v="7.27"/>
    <n v="6.5"/>
    <n v="6.8599999999999994"/>
    <s v="Post thin"/>
    <x v="0"/>
    <m/>
    <n v="0.4"/>
    <m/>
    <n v="0.4"/>
    <m/>
    <n v="0"/>
    <n v="0"/>
    <n v="0"/>
    <n v="0"/>
    <s v=""/>
    <n v="8.5"/>
    <n v="-161.941182215"/>
    <n v="-8.5"/>
    <n v="61.466942148760324"/>
    <n v="-62.155976899900203"/>
    <x v="0"/>
  </r>
  <r>
    <x v="0"/>
    <s v="98OK04CS"/>
    <x v="3"/>
    <x v="0"/>
    <x v="0"/>
    <n v="337"/>
    <s v="1103P"/>
    <n v="691.42857142857144"/>
    <n v="26.525628619999999"/>
    <n v="18124"/>
    <n v="0"/>
    <n v="18124"/>
    <n v="26.212396694214874"/>
    <m/>
    <m/>
    <m/>
    <n v="4.59"/>
    <n v="9.11"/>
    <n v="5.1100000000000003"/>
    <n v="6.85"/>
    <m/>
    <x v="0"/>
    <m/>
    <n v="0.3"/>
    <m/>
    <n v="0.33"/>
    <d v="2025-05-02T00:00:00"/>
    <n v="100.5"/>
    <n v="30.15"/>
    <n v="273.21929999999998"/>
    <n v="10.300200757315737"/>
    <n v="0.50389316476471457"/>
    <m/>
    <n v="273.21929999999998"/>
    <n v="10.300200757315737"/>
    <m/>
    <n v="91.36363636363636"/>
    <x v="0"/>
  </r>
  <r>
    <x v="0"/>
    <s v="98OK05CS"/>
    <x v="4"/>
    <x v="0"/>
    <x v="0"/>
    <n v="7"/>
    <s v="5BB"/>
    <n v="691.42857142857144"/>
    <n v="20.232599889999999"/>
    <n v="13746"/>
    <m/>
    <n v="13746"/>
    <n v="19.880578512396692"/>
    <m/>
    <m/>
    <m/>
    <n v="4.16"/>
    <n v="8.6999999999999993"/>
    <n v="5.91"/>
    <n v="6.43"/>
    <m/>
    <x v="0"/>
    <m/>
    <n v="0.3"/>
    <m/>
    <n v="0.33"/>
    <d v="2025-05-02T00:00:00"/>
    <n v="92.5"/>
    <n v="27.75"/>
    <n v="190.72575000000001"/>
    <n v="9.4266555478253959"/>
    <n v="0.37305442317096665"/>
    <m/>
    <n v="190.72575000000001"/>
    <n v="9.4266555478253959"/>
    <m/>
    <n v="84.090909090909079"/>
    <x v="0"/>
  </r>
  <r>
    <x v="0"/>
    <s v="98OK06CS"/>
    <x v="5"/>
    <x v="1"/>
    <x v="0"/>
    <n v="181"/>
    <s v="1103P"/>
    <n v="691.42857142857144"/>
    <n v="24.5"/>
    <n v="15567"/>
    <m/>
    <n v="15567"/>
    <n v="22.514256198347105"/>
    <m/>
    <m/>
    <m/>
    <m/>
    <n v="1.8"/>
    <n v="6.51"/>
    <n v="1.8"/>
    <m/>
    <x v="0"/>
    <m/>
    <n v="0.31"/>
    <m/>
    <n v="0.33"/>
    <d v="2025-05-02T00:00:00"/>
    <n v="76.650000000000006"/>
    <n v="23.761500000000002"/>
    <n v="184.94763525000002"/>
    <n v="7.5488830714285724"/>
    <n v="0.13762076609195265"/>
    <m/>
    <n v="184.94763525000002"/>
    <n v="7.5488830714285724"/>
    <m/>
    <n v="72.004545454545465"/>
    <x v="0"/>
  </r>
  <r>
    <x v="0"/>
    <s v="98OK07ME"/>
    <x v="6"/>
    <x v="1"/>
    <x v="2"/>
    <n v="181"/>
    <s v="1103P"/>
    <n v="691.42857142857144"/>
    <n v="37.6"/>
    <n v="25345"/>
    <m/>
    <n v="25345"/>
    <n v="36.655991735537192"/>
    <m/>
    <m/>
    <m/>
    <m/>
    <n v="4.13"/>
    <n v="6.66"/>
    <n v="4.13"/>
    <s v="No thin"/>
    <x v="0"/>
    <m/>
    <n v="0.34"/>
    <m/>
    <n v="0.38"/>
    <d v="2025-04-23T00:00:00"/>
    <n v="70.05"/>
    <n v="23.817"/>
    <n v="301.82093249999997"/>
    <n v="8.0271524601063824"/>
    <n v="0.17031599523005242"/>
    <m/>
    <n v="301.82093249999997"/>
    <n v="8.0271524601063824"/>
    <m/>
    <n v="62.676315789473684"/>
    <x v="0"/>
  </r>
  <r>
    <x v="0"/>
    <s v="98OK07ME"/>
    <x v="6"/>
    <x v="1"/>
    <x v="2"/>
    <n v="181"/>
    <s v="1103P"/>
    <n v="691.42857142857144"/>
    <n v="37.6"/>
    <n v="25345"/>
    <m/>
    <n v="25345"/>
    <n v="36.655991735537192"/>
    <m/>
    <m/>
    <m/>
    <m/>
    <n v="4.13"/>
    <n v="6.66"/>
    <n v="4.13"/>
    <s v="No thin"/>
    <x v="0"/>
    <m/>
    <n v="0.34"/>
    <m/>
    <n v="0.38"/>
    <d v="2025-04-28T00:00:00"/>
    <n v="75"/>
    <n v="25.500000000000004"/>
    <n v="323.14875000000006"/>
    <n v="8.5943816489361708"/>
    <n v="0.22507513954486907"/>
    <m/>
    <n v="323.14875000000006"/>
    <n v="8.5943816489361708"/>
    <m/>
    <n v="67.105263157894754"/>
    <x v="0"/>
  </r>
  <r>
    <x v="0"/>
    <s v="98OK08PS"/>
    <x v="7"/>
    <x v="1"/>
    <x v="3"/>
    <s v="Durif 5"/>
    <s v="110R"/>
    <n v="691.42857142857144"/>
    <n v="24.5"/>
    <n v="16485"/>
    <m/>
    <n v="16485"/>
    <n v="23.841942148760332"/>
    <m/>
    <m/>
    <m/>
    <m/>
    <n v="3.84"/>
    <n v="7.21"/>
    <n v="3.84"/>
    <m/>
    <x v="0"/>
    <m/>
    <n v="0.7"/>
    <m/>
    <n v="0.52"/>
    <d v="2025-04-28T00:00:00"/>
    <n v="38.666666666666664"/>
    <n v="27.066666666666663"/>
    <n v="223.09699999999998"/>
    <n v="9.1059999999999999"/>
    <n v="0.20821436415550185"/>
    <m/>
    <n v="223.09699999999998"/>
    <n v="9.1059999999999999"/>
    <m/>
    <n v="52.051282051282044"/>
    <x v="0"/>
  </r>
  <r>
    <x v="0"/>
    <s v="98OK09CS"/>
    <x v="8"/>
    <x v="1"/>
    <x v="0"/>
    <n v="7"/>
    <s v="1103P/1616C"/>
    <n v="726"/>
    <n v="39.200000000000003"/>
    <n v="27935"/>
    <m/>
    <n v="27935"/>
    <n v="38.477961432506888"/>
    <m/>
    <m/>
    <m/>
    <m/>
    <n v="4.1900000000000004"/>
    <n v="7.7"/>
    <n v="4.1900000000000004"/>
    <m/>
    <x v="1"/>
    <m/>
    <n v="0.3"/>
    <m/>
    <n v="0.33"/>
    <d v="2025-05-06T00:00:00"/>
    <n v="88.333333333333329"/>
    <n v="26.499999999999996"/>
    <n v="370.13874999999996"/>
    <m/>
    <m/>
    <m/>
    <n v="370.13874999999996"/>
    <n v="9.4423150510204064"/>
    <m/>
    <n v="80.303030303030283"/>
    <x v="0"/>
  </r>
  <r>
    <x v="0"/>
    <s v="98OK10ZN"/>
    <x v="9"/>
    <x v="1"/>
    <x v="4"/>
    <n v="3"/>
    <s v="1103P"/>
    <n v="691.42857142857144"/>
    <n v="18.8"/>
    <n v="12621"/>
    <m/>
    <n v="12621"/>
    <n v="18.253512396694216"/>
    <m/>
    <m/>
    <m/>
    <m/>
    <n v="4.24"/>
    <n v="5.04"/>
    <n v="4.24"/>
    <s v="No thin"/>
    <x v="0"/>
    <m/>
    <n v="0.5"/>
    <m/>
    <n v="0.45"/>
    <d v="2025-04-29T00:00:00"/>
    <n v="66.933333333333337"/>
    <n v="33.466666666666669"/>
    <n v="211.19140000000002"/>
    <n v="11.233585106382979"/>
    <n v="0.55134536728294803"/>
    <n v="9.5"/>
    <n v="32.591400000000021"/>
    <n v="1.7335851063829797"/>
    <n v="61.065197428833798"/>
    <n v="11.476956395425622"/>
    <x v="0"/>
  </r>
  <r>
    <x v="0"/>
    <s v="98OK10ZN"/>
    <x v="9"/>
    <x v="1"/>
    <x v="4"/>
    <n v="3"/>
    <s v="1103P"/>
    <n v="691.42857142857144"/>
    <n v="18.8"/>
    <n v="12621"/>
    <m/>
    <n v="12621"/>
    <n v="18.253512396694216"/>
    <m/>
    <m/>
    <m/>
    <m/>
    <n v="4.24"/>
    <n v="5.04"/>
    <n v="4.24"/>
    <s v="Clean the base "/>
    <x v="0"/>
    <m/>
    <n v="0.5"/>
    <m/>
    <n v="0.45"/>
    <d v="2025-05-05T00:00:00"/>
    <n v="57.8125"/>
    <n v="28.90625"/>
    <n v="182.41289062499999"/>
    <n v="9.7028133311170208"/>
    <n v="0.48056302558798397"/>
    <n v="9.5"/>
    <n v="3.8128906249999943"/>
    <n v="0.20281333111702096"/>
    <n v="61.065197428833798"/>
    <n v="1.342697136166352"/>
    <x v="0"/>
  </r>
  <r>
    <x v="0"/>
    <s v="98OK11CF"/>
    <x v="10"/>
    <x v="1"/>
    <x v="5"/>
    <s v="11;12"/>
    <s v="5BB/125AA/420A"/>
    <n v="806.66666666666663"/>
    <n v="21"/>
    <n v="16549"/>
    <m/>
    <n v="16549"/>
    <n v="20.515289256198347"/>
    <m/>
    <m/>
    <m/>
    <m/>
    <n v="3.55"/>
    <n v="7"/>
    <n v="3.55"/>
    <m/>
    <x v="1"/>
    <m/>
    <n v="0.32"/>
    <m/>
    <n v="0.33"/>
    <d v="2025-05-05T00:00:00"/>
    <n v="62.8125"/>
    <n v="20.100000000000001"/>
    <n v="166.31745000000001"/>
    <n v="7.9198785714285718"/>
    <n v="0.11614806504067977"/>
    <m/>
    <n v="166.31745000000001"/>
    <n v="7.9198785714285718"/>
    <m/>
    <n v="60.909090909090914"/>
    <x v="0"/>
  </r>
  <r>
    <x v="0"/>
    <s v="BAVC01ZN"/>
    <x v="11"/>
    <x v="0"/>
    <x v="4"/>
    <m/>
    <s v="O39-16"/>
    <n v="622.28571428571433"/>
    <n v="17.14"/>
    <n v="10298"/>
    <m/>
    <n v="10298"/>
    <n v="16.548668503213957"/>
    <n v="6.35"/>
    <n v="5.49"/>
    <n v="5.16"/>
    <n v="6.83"/>
    <n v="7.27"/>
    <n v="7.28"/>
    <n v="6.3966666666666656"/>
    <m/>
    <x v="0"/>
    <m/>
    <n v="0.43"/>
    <m/>
    <n v="0.45"/>
    <d v="2025-04-23T00:00:00"/>
    <n v="40.111111111111114"/>
    <n v="17.247777777777777"/>
    <n v="88.808807777777787"/>
    <n v="5.1813773499286926"/>
    <n v="-0.40503181072117617"/>
    <m/>
    <n v="88.808807777777787"/>
    <n v="5.1813773499286926"/>
    <m/>
    <n v="38.328395061728401"/>
    <x v="0"/>
  </r>
  <r>
    <x v="0"/>
    <s v="BAVC01ZN"/>
    <x v="11"/>
    <x v="0"/>
    <x v="4"/>
    <m/>
    <s v="O39-16"/>
    <n v="622.28571428571433"/>
    <n v="17.14"/>
    <n v="10298"/>
    <m/>
    <n v="10298"/>
    <n v="16.548668503213957"/>
    <n v="6.35"/>
    <n v="5.49"/>
    <n v="5.16"/>
    <n v="6.83"/>
    <n v="7.27"/>
    <n v="7.28"/>
    <n v="6.3966666666666656"/>
    <m/>
    <x v="0"/>
    <m/>
    <n v="0.43"/>
    <m/>
    <n v="0.45"/>
    <d v="2025-05-08T00:00:00"/>
    <n v="48.294117647058826"/>
    <n v="20.766470588235293"/>
    <n v="106.92655705882353"/>
    <n v="6.2384222321367284"/>
    <n v="-0.16696172992229799"/>
    <m/>
    <n v="106.92655705882353"/>
    <n v="6.2384222321367284"/>
    <m/>
    <n v="46.147712418300657"/>
    <x v="0"/>
  </r>
  <r>
    <x v="0"/>
    <s v="BAVC02PR"/>
    <x v="12"/>
    <x v="0"/>
    <x v="4"/>
    <m/>
    <s v="O39-16"/>
    <n v="622.28571428571433"/>
    <n v="11.79"/>
    <n v="7170"/>
    <m/>
    <n v="7170"/>
    <n v="11.522038567493112"/>
    <n v="5.89"/>
    <n v="6.89"/>
    <n v="6.35"/>
    <n v="5.93"/>
    <n v="7.78"/>
    <n v="8.34"/>
    <n v="6.8633333333333324"/>
    <m/>
    <x v="0"/>
    <m/>
    <n v="0.43"/>
    <m/>
    <n v="0.45"/>
    <d v="2025-04-23T00:00:00"/>
    <n v="57.55"/>
    <n v="24.746499999999997"/>
    <n v="88.71620249999998"/>
    <n v="7.5246991094147573"/>
    <n v="-0.1083499657235668"/>
    <m/>
    <n v="88.71620249999998"/>
    <n v="7.5246991094147573"/>
    <m/>
    <n v="54.992222222222217"/>
    <x v="0"/>
  </r>
  <r>
    <x v="0"/>
    <s v="BAVC02PR"/>
    <x v="12"/>
    <x v="0"/>
    <x v="4"/>
    <m/>
    <s v="O39-16"/>
    <n v="622.28571428571433"/>
    <n v="11.79"/>
    <n v="7170"/>
    <m/>
    <n v="7170"/>
    <n v="11.522038567493112"/>
    <n v="5.89"/>
    <n v="6.89"/>
    <n v="6.35"/>
    <n v="5.93"/>
    <n v="7.78"/>
    <n v="8.34"/>
    <n v="6.8633333333333324"/>
    <m/>
    <x v="0"/>
    <m/>
    <n v="0.43"/>
    <m/>
    <n v="0.45"/>
    <d v="2025-05-08T00:00:00"/>
    <n v="0"/>
    <n v="0"/>
    <n v="0"/>
    <n v="0"/>
    <s v=""/>
    <m/>
    <n v="0"/>
    <n v="0"/>
    <m/>
    <n v="0"/>
    <x v="0"/>
  </r>
  <r>
    <x v="0"/>
    <s v="BHCH01CS"/>
    <x v="13"/>
    <x v="0"/>
    <x v="0"/>
    <n v="8"/>
    <s v="Freedom"/>
    <n v="622.28571428571433"/>
    <n v="45.32"/>
    <n v="27216"/>
    <m/>
    <n v="27216"/>
    <n v="43.735537190082638"/>
    <n v="9.4700000000000006"/>
    <n v="8.81"/>
    <n v="10.17"/>
    <n v="7.74"/>
    <n v="11.09"/>
    <n v="7.34"/>
    <n v="9.1033333333333335"/>
    <m/>
    <x v="1"/>
    <m/>
    <m/>
    <m/>
    <n v="0.33"/>
    <m/>
    <n v="0"/>
    <n v="0"/>
    <n v="0"/>
    <m/>
    <m/>
    <m/>
    <n v="0"/>
    <n v="0"/>
    <m/>
    <n v="0"/>
    <x v="1"/>
  </r>
  <r>
    <x v="0"/>
    <s v="BSHMOHCS"/>
    <x v="14"/>
    <x v="0"/>
    <x v="0"/>
    <m/>
    <s v="unknown"/>
    <n v="605"/>
    <n v="5"/>
    <n v="2554"/>
    <n v="0.05"/>
    <n v="2426.3000000000002"/>
    <n v="4.0104132231404961"/>
    <n v="5.76"/>
    <n v="4.3099999999999996"/>
    <n v="4.8899999999999997"/>
    <n v="4.54"/>
    <m/>
    <n v="4.4400000000000004"/>
    <n v="4.7880000000000003"/>
    <s v="Pre thin"/>
    <x v="2"/>
    <m/>
    <n v="0.25"/>
    <m/>
    <n v="0.33"/>
    <d v="2025-04-28T00:00:00"/>
    <n v="133.875"/>
    <n v="33.46875"/>
    <n v="40.602614062500002"/>
    <n v="8.1205228125000009"/>
    <n v="0.45323717419210197"/>
    <m/>
    <n v="40.602614062500002"/>
    <n v="8.1205228125000009"/>
    <m/>
    <n v="96.349431818181827"/>
    <x v="1"/>
  </r>
  <r>
    <x v="0"/>
    <s v="BSHMOHCS"/>
    <x v="14"/>
    <x v="0"/>
    <x v="0"/>
    <m/>
    <s v="unknown"/>
    <n v="605"/>
    <n v="5"/>
    <n v="2554"/>
    <n v="0.05"/>
    <n v="2426.3000000000002"/>
    <n v="4.0104132231404961"/>
    <n v="5.76"/>
    <n v="4.3099999999999996"/>
    <n v="4.8899999999999997"/>
    <n v="4.54"/>
    <m/>
    <n v="4.4400000000000004"/>
    <n v="4.7880000000000003"/>
    <s v="Pre thin"/>
    <x v="2"/>
    <m/>
    <n v="0.25"/>
    <m/>
    <n v="0.33"/>
    <d v="2025-05-07T00:00:00"/>
    <n v="218.07692307692307"/>
    <n v="54.519230769230766"/>
    <n v="66.140004807692307"/>
    <n v="13.228000961538461"/>
    <n v="0.66434837637904043"/>
    <m/>
    <n v="66.140004807692307"/>
    <n v="13.228000961538461"/>
    <m/>
    <n v="156.94930069930069"/>
    <x v="1"/>
  </r>
  <r>
    <x v="0"/>
    <s v="CL3A01PV"/>
    <x v="15"/>
    <x v="0"/>
    <x v="6"/>
    <n v="2"/>
    <s v="Freedom"/>
    <n v="680.625"/>
    <n v="87.33"/>
    <n v="60308"/>
    <n v="0.05"/>
    <n v="57292.6"/>
    <n v="84.176455463728189"/>
    <n v="9.9499999999999993"/>
    <n v="8.58"/>
    <n v="11.61"/>
    <n v="12.64"/>
    <n v="11.24"/>
    <n v="9.52"/>
    <n v="10.590000000000002"/>
    <m/>
    <x v="1"/>
    <m/>
    <n v="0.25"/>
    <m/>
    <n v="0.27"/>
    <d v="2025-04-25T00:00:00"/>
    <n v="205.13333333333333"/>
    <n v="51.283333333333331"/>
    <n v="1469.0777516666665"/>
    <n v="16.822143039810676"/>
    <n v="0.43407923844956547"/>
    <m/>
    <n v="1469.0777516666665"/>
    <n v="16.822143039810676"/>
    <m/>
    <n v="180.44135802469131"/>
    <x v="1"/>
  </r>
  <r>
    <x v="0"/>
    <s v="CL3A02SB"/>
    <x v="16"/>
    <x v="0"/>
    <x v="7"/>
    <n v="30"/>
    <s v="5BB"/>
    <n v="622.28571428571433"/>
    <n v="50.74"/>
    <n v="30664"/>
    <m/>
    <n v="30664"/>
    <n v="49.276400367309456"/>
    <m/>
    <m/>
    <n v="1.42"/>
    <n v="6.47"/>
    <n v="11.4"/>
    <n v="9.8000000000000007"/>
    <n v="7.2725"/>
    <m/>
    <x v="1"/>
    <m/>
    <n v="0.31"/>
    <m/>
    <n v="0.35"/>
    <d v="2025-04-25T00:00:00"/>
    <n v="123.26666666666667"/>
    <n v="38.212666666666664"/>
    <n v="585.87660533333326"/>
    <n v="11.546641807909603"/>
    <n v="0.15126838062241871"/>
    <m/>
    <n v="585.87660533333326"/>
    <n v="11.546641807909603"/>
    <m/>
    <n v="109.17904761904761"/>
    <x v="1"/>
  </r>
  <r>
    <x v="0"/>
    <s v="CL3A04PV"/>
    <x v="17"/>
    <x v="0"/>
    <x v="6"/>
    <n v="2"/>
    <s v="Freedom"/>
    <n v="680.625"/>
    <n v="53.76"/>
    <n v="36152"/>
    <n v="0.05"/>
    <n v="34344.400000000001"/>
    <n v="50.460091827364558"/>
    <n v="8.09"/>
    <n v="8.02"/>
    <n v="8.1199999999999992"/>
    <n v="8.9600000000000009"/>
    <n v="8.4700000000000006"/>
    <n v="7.61"/>
    <n v="8.211666666666666"/>
    <m/>
    <x v="1"/>
    <m/>
    <n v="0.25"/>
    <m/>
    <n v="0.27"/>
    <d v="2025-04-25T00:00:00"/>
    <n v="147.80000000000001"/>
    <n v="36.950000000000003"/>
    <n v="634.51279"/>
    <n v="11.802693266369047"/>
    <n v="0.35523190950965694"/>
    <m/>
    <n v="634.51279"/>
    <n v="11.802693266369047"/>
    <m/>
    <n v="130.00925925925927"/>
    <x v="1"/>
  </r>
  <r>
    <x v="0"/>
    <s v="CLAT01CS"/>
    <x v="18"/>
    <x v="0"/>
    <x v="0"/>
    <n v="8"/>
    <s v="1103P"/>
    <n v="680.625"/>
    <n v="39.83"/>
    <n v="2753"/>
    <m/>
    <n v="2753"/>
    <n v="4.0448117539026631"/>
    <n v="8.41"/>
    <n v="8.0299999999999994"/>
    <n v="7.79"/>
    <n v="6.48"/>
    <n v="9.89"/>
    <n v="5.59"/>
    <n v="7.6983333333333333"/>
    <m/>
    <x v="1"/>
    <m/>
    <m/>
    <m/>
    <n v="0.33"/>
    <m/>
    <n v="0"/>
    <n v="0"/>
    <n v="0"/>
    <m/>
    <m/>
    <m/>
    <n v="0"/>
    <n v="0"/>
    <m/>
    <n v="0"/>
    <x v="1"/>
  </r>
  <r>
    <x v="0"/>
    <s v="CLAT01CS"/>
    <x v="19"/>
    <x v="0"/>
    <x v="0"/>
    <n v="8"/>
    <s v="1103P"/>
    <n v="680.625"/>
    <n v="39.83"/>
    <n v="2753"/>
    <m/>
    <n v="2753"/>
    <n v="4.0448117539026631"/>
    <m/>
    <m/>
    <m/>
    <m/>
    <m/>
    <n v="5.59"/>
    <m/>
    <m/>
    <x v="1"/>
    <m/>
    <m/>
    <m/>
    <n v="0.33"/>
    <m/>
    <n v="0"/>
    <n v="0"/>
    <n v="0"/>
    <m/>
    <m/>
    <m/>
    <n v="0"/>
    <n v="0"/>
    <m/>
    <n v="0"/>
    <x v="1"/>
  </r>
  <r>
    <x v="0"/>
    <s v="CLAT01CS"/>
    <x v="20"/>
    <x v="0"/>
    <x v="0"/>
    <n v="8"/>
    <s v="1103P"/>
    <n v="680.625"/>
    <n v="39.83"/>
    <n v="2753"/>
    <m/>
    <n v="2753"/>
    <n v="4.0448117539026631"/>
    <m/>
    <m/>
    <m/>
    <m/>
    <m/>
    <n v="5.59"/>
    <m/>
    <m/>
    <x v="1"/>
    <m/>
    <m/>
    <m/>
    <n v="0.33"/>
    <m/>
    <n v="0"/>
    <n v="0"/>
    <n v="0"/>
    <m/>
    <m/>
    <m/>
    <n v="0"/>
    <n v="0"/>
    <m/>
    <n v="0"/>
    <x v="1"/>
  </r>
  <r>
    <x v="0"/>
    <s v="CLAT02CH"/>
    <x v="21"/>
    <x v="0"/>
    <x v="8"/>
    <n v="4"/>
    <s v="various"/>
    <n v="680.625"/>
    <n v="82.73"/>
    <n v="55701"/>
    <n v="0.08"/>
    <n v="51244.92"/>
    <n v="75.290975206611563"/>
    <n v="8.4600000000000009"/>
    <n v="6.39"/>
    <n v="6.03"/>
    <n v="7.26"/>
    <n v="8.43"/>
    <n v="6.58"/>
    <n v="7.1916666666666664"/>
    <m/>
    <x v="1"/>
    <m/>
    <n v="0.35"/>
    <m/>
    <n v="0.4"/>
    <m/>
    <n v="0"/>
    <n v="0"/>
    <n v="0"/>
    <m/>
    <m/>
    <m/>
    <n v="0"/>
    <n v="0"/>
    <m/>
    <n v="0"/>
    <x v="1"/>
  </r>
  <r>
    <x v="0"/>
    <s v="CLAT05CS"/>
    <x v="22"/>
    <x v="0"/>
    <x v="0"/>
    <n v="8"/>
    <s v="1103P"/>
    <n v="680.625"/>
    <n v="34.92"/>
    <n v="23399"/>
    <m/>
    <n v="23399"/>
    <n v="34.378696051423326"/>
    <n v="8.41"/>
    <n v="8.0299999999999994"/>
    <n v="7.79"/>
    <n v="6.38"/>
    <n v="9.2799999999999994"/>
    <n v="5.29"/>
    <n v="7.5299999999999985"/>
    <m/>
    <x v="1"/>
    <m/>
    <m/>
    <m/>
    <n v="0.33"/>
    <m/>
    <n v="0"/>
    <n v="0"/>
    <n v="0"/>
    <m/>
    <m/>
    <m/>
    <n v="0"/>
    <n v="0"/>
    <m/>
    <n v="0"/>
    <x v="1"/>
  </r>
  <r>
    <x v="0"/>
    <s v="CLBC00VD"/>
    <x v="23"/>
    <x v="0"/>
    <x v="9"/>
    <m/>
    <s v="Freedom"/>
    <n v="680.625"/>
    <n v="7.1"/>
    <n v="4658"/>
    <m/>
    <n v="4658"/>
    <n v="6.8437098255280073"/>
    <n v="8.31"/>
    <n v="10.41"/>
    <n v="9.9700000000000006"/>
    <n v="7.52"/>
    <n v="9.91"/>
    <n v="9.17"/>
    <n v="9.2149999999999981"/>
    <m/>
    <x v="1"/>
    <m/>
    <n v="0.33"/>
    <m/>
    <n v="0.34"/>
    <m/>
    <n v="0"/>
    <n v="0"/>
    <n v="0"/>
    <m/>
    <m/>
    <m/>
    <n v="0"/>
    <n v="0"/>
    <m/>
    <n v="0"/>
    <x v="1"/>
  </r>
  <r>
    <x v="0"/>
    <s v="CLBC01PG"/>
    <x v="24"/>
    <x v="0"/>
    <x v="10"/>
    <s v="vino"/>
    <s v="Freedom"/>
    <n v="680.625"/>
    <n v="39.340000000000003"/>
    <n v="26421"/>
    <n v="0.02"/>
    <n v="25892.58"/>
    <n v="38.042358126721766"/>
    <n v="8.18"/>
    <n v="9.76"/>
    <n v="7.39"/>
    <n v="7.21"/>
    <n v="9.15"/>
    <n v="7.84"/>
    <n v="8.2550000000000008"/>
    <m/>
    <x v="1"/>
    <m/>
    <m/>
    <m/>
    <n v="0.32"/>
    <d v="2025-05-02T00:00:00"/>
    <n v="79.928571428571431"/>
    <n v="25.57714285714286"/>
    <n v="331.12910880000004"/>
    <n v="8.4171100355871893"/>
    <m/>
    <m/>
    <n v="331.12910880000004"/>
    <n v="8.4171100355871893"/>
    <m/>
    <n v="78.330000000000013"/>
    <x v="1"/>
  </r>
  <r>
    <x v="0"/>
    <s v="CLBC02CH"/>
    <x v="25"/>
    <x v="0"/>
    <x v="8"/>
    <n v="4"/>
    <s v="Freedom"/>
    <n v="680.625"/>
    <n v="59.54"/>
    <n v="40343"/>
    <n v="0.1"/>
    <n v="36308.699999999997"/>
    <n v="53.346115702479338"/>
    <n v="8.93"/>
    <n v="7.43"/>
    <n v="6.49"/>
    <n v="5.69"/>
    <n v="7.09"/>
    <n v="7.25"/>
    <n v="7.1466666666666674"/>
    <s v="No thin"/>
    <x v="0"/>
    <m/>
    <n v="0.35"/>
    <m/>
    <n v="0.4"/>
    <d v="2025-04-25T00:00:00"/>
    <n v="55.5"/>
    <n v="19.424999999999997"/>
    <n v="352.64824874999994"/>
    <n v="5.922879555760832"/>
    <n v="-0.22406676207831325"/>
    <m/>
    <n v="352.64824874999994"/>
    <n v="5.922879555760832"/>
    <m/>
    <n v="43.706249999999983"/>
    <x v="1"/>
  </r>
  <r>
    <x v="0"/>
    <s v="CLLA01ME"/>
    <x v="26"/>
    <x v="0"/>
    <x v="2"/>
    <n v="181"/>
    <s v="110R "/>
    <n v="680.625"/>
    <n v="72.66"/>
    <n v="49099"/>
    <m/>
    <n v="49099"/>
    <n v="72.138108356290175"/>
    <n v="11.37"/>
    <n v="11.02"/>
    <n v="9.4"/>
    <n v="9.01"/>
    <n v="9.84"/>
    <n v="11.51"/>
    <n v="10.358333333333333"/>
    <m/>
    <x v="1"/>
    <m/>
    <n v="0.34"/>
    <m/>
    <n v="0.38"/>
    <m/>
    <n v="0"/>
    <n v="0"/>
    <n v="0"/>
    <m/>
    <m/>
    <m/>
    <n v="0"/>
    <n v="0"/>
    <m/>
    <n v="0"/>
    <x v="0"/>
  </r>
  <r>
    <x v="0"/>
    <s v="CLMN01SY"/>
    <x v="27"/>
    <x v="0"/>
    <x v="11"/>
    <s v="various"/>
    <s v="various"/>
    <n v="622.28571428571433"/>
    <n v="60.52"/>
    <n v="36996"/>
    <m/>
    <n v="36996"/>
    <n v="59.451790633608809"/>
    <n v="5.97"/>
    <n v="7.19"/>
    <n v="6.85"/>
    <n v="5.2"/>
    <n v="7.27"/>
    <n v="6.53"/>
    <n v="6.501666666666666"/>
    <m/>
    <x v="1"/>
    <m/>
    <m/>
    <m/>
    <n v="0.34"/>
    <m/>
    <n v="0"/>
    <n v="0"/>
    <n v="0"/>
    <m/>
    <m/>
    <m/>
    <n v="0"/>
    <n v="0"/>
    <m/>
    <n v="0"/>
    <x v="0"/>
  </r>
  <r>
    <x v="0"/>
    <s v="CLMN01SY"/>
    <x v="28"/>
    <x v="0"/>
    <x v="11"/>
    <s v="various"/>
    <s v="various"/>
    <n v="622.28571428571433"/>
    <n v="60.52"/>
    <n v="36996"/>
    <m/>
    <n v="36996"/>
    <n v="59.451790633608809"/>
    <n v="5.97"/>
    <n v="7.19"/>
    <n v="6.85"/>
    <n v="5.2"/>
    <n v="7.27"/>
    <n v="6.53"/>
    <n v="6.501666666666666"/>
    <m/>
    <x v="1"/>
    <m/>
    <m/>
    <m/>
    <n v="0.34"/>
    <m/>
    <n v="0"/>
    <n v="0"/>
    <n v="0"/>
    <m/>
    <m/>
    <m/>
    <n v="0"/>
    <n v="0"/>
    <m/>
    <n v="0"/>
    <x v="0"/>
  </r>
  <r>
    <x v="0"/>
    <s v="CLMN01SY"/>
    <x v="29"/>
    <x v="0"/>
    <x v="11"/>
    <s v="various"/>
    <s v="various"/>
    <n v="622.28571428571433"/>
    <n v="60.52"/>
    <n v="36996"/>
    <m/>
    <n v="36996"/>
    <n v="59.451790633608809"/>
    <n v="5.97"/>
    <n v="7.19"/>
    <n v="6.85"/>
    <n v="5.2"/>
    <n v="7.27"/>
    <n v="6.53"/>
    <n v="6.501666666666666"/>
    <m/>
    <x v="1"/>
    <m/>
    <n v="0.33"/>
    <m/>
    <n v="0.34"/>
    <m/>
    <n v="0"/>
    <n v="0"/>
    <n v="0"/>
    <m/>
    <m/>
    <m/>
    <n v="0"/>
    <n v="0"/>
    <m/>
    <n v="0"/>
    <x v="0"/>
  </r>
  <r>
    <x v="0"/>
    <s v="CLMN02PV"/>
    <x v="30"/>
    <x v="0"/>
    <x v="6"/>
    <n v="2"/>
    <s v="110R "/>
    <n v="622.28571428571433"/>
    <n v="14.84"/>
    <n v="9103"/>
    <m/>
    <n v="9103"/>
    <n v="14.628328741965104"/>
    <n v="10.06"/>
    <n v="7.58"/>
    <n v="7.1"/>
    <n v="7.32"/>
    <n v="9.1300000000000008"/>
    <m/>
    <n v="8.2380000000000013"/>
    <m/>
    <x v="1"/>
    <m/>
    <n v="0.27"/>
    <m/>
    <n v="0.27"/>
    <m/>
    <n v="0"/>
    <n v="0"/>
    <n v="0"/>
    <m/>
    <m/>
    <m/>
    <n v="0"/>
    <n v="0"/>
    <m/>
    <n v="0"/>
    <x v="1"/>
  </r>
  <r>
    <x v="0"/>
    <s v="CLMN03PS"/>
    <x v="31"/>
    <x v="0"/>
    <x v="3"/>
    <n v="3"/>
    <s v="1103P"/>
    <n v="622.28571428571433"/>
    <n v="4.97"/>
    <n v="3004"/>
    <n v="0.02"/>
    <n v="2943.92"/>
    <n v="4.7308172635445356"/>
    <n v="8.17"/>
    <n v="6.45"/>
    <n v="5.82"/>
    <n v="6.71"/>
    <n v="9.4"/>
    <n v="6.73"/>
    <n v="7.2133333333333338"/>
    <m/>
    <x v="1"/>
    <m/>
    <n v="0.42"/>
    <m/>
    <n v="0.52"/>
    <d v="2025-05-08T00:00:00"/>
    <n v="48.8125"/>
    <n v="20.501249999999999"/>
    <n v="30.177019949999998"/>
    <n v="6.0718350000000001"/>
    <n v="-0.10839639087689312"/>
    <m/>
    <n v="30.177019949999998"/>
    <n v="6.0718350000000001"/>
    <m/>
    <n v="38.636971153846154"/>
    <x v="1"/>
  </r>
  <r>
    <x v="0"/>
    <s v="CLMN04PS"/>
    <x v="32"/>
    <x v="0"/>
    <x v="3"/>
    <n v="3"/>
    <s v="1103P"/>
    <n v="622.28571428571433"/>
    <n v="12.29"/>
    <n v="7450"/>
    <n v="0.05"/>
    <n v="7077.5"/>
    <n v="11.373393021120293"/>
    <n v="8.17"/>
    <n v="6.45"/>
    <n v="5.82"/>
    <n v="6.71"/>
    <n v="6.12"/>
    <n v="6.73"/>
    <n v="6.666666666666667"/>
    <m/>
    <x v="1"/>
    <m/>
    <n v="0.42"/>
    <m/>
    <n v="0.52"/>
    <d v="2025-05-08T00:00:00"/>
    <n v="76.2"/>
    <n v="32.003999999999998"/>
    <n v="113.254155"/>
    <n v="9.215146867371848"/>
    <n v="0.26968065763238447"/>
    <m/>
    <n v="113.254155"/>
    <n v="9.215146867371848"/>
    <m/>
    <n v="58.468846153846151"/>
    <x v="1"/>
  </r>
  <r>
    <x v="0"/>
    <s v="CLMN05PS"/>
    <x v="33"/>
    <x v="0"/>
    <x v="3"/>
    <s v="various"/>
    <s v="various"/>
    <n v="622.28571428571433"/>
    <n v="16.22"/>
    <n v="9900"/>
    <n v="0.05"/>
    <n v="9405"/>
    <n v="15.113636363636363"/>
    <n v="8.9499999999999993"/>
    <n v="6.45"/>
    <n v="5.82"/>
    <n v="6.71"/>
    <n v="8.48"/>
    <n v="6.73"/>
    <n v="7.19"/>
    <m/>
    <x v="1"/>
    <m/>
    <n v="0.42"/>
    <m/>
    <n v="0.52"/>
    <d v="2025-05-08T00:00:00"/>
    <n v="75.13333333333334"/>
    <n v="31.556000000000001"/>
    <n v="148.39209"/>
    <n v="9.1487108508014803"/>
    <n v="0.2643772319670139"/>
    <m/>
    <n v="148.39209"/>
    <n v="9.1487108508014803"/>
    <m/>
    <n v="57.65038461538461"/>
    <x v="1"/>
  </r>
  <r>
    <x v="0"/>
    <s v="CLMO01BA"/>
    <x v="34"/>
    <x v="0"/>
    <x v="12"/>
    <s v="unknown"/>
    <s v="5BB"/>
    <n v="680.625"/>
    <n v="34.409999999999997"/>
    <n v="22973"/>
    <m/>
    <n v="22973"/>
    <n v="33.752800734618916"/>
    <n v="7.59"/>
    <n v="7.65"/>
    <n v="5.54"/>
    <n v="7.68"/>
    <n v="9.09"/>
    <n v="6.31"/>
    <n v="7.31"/>
    <s v="No thin"/>
    <x v="2"/>
    <m/>
    <n v="0.33"/>
    <m/>
    <n v="0.45"/>
    <d v="2025-04-18T00:00:00"/>
    <n v="74.307692307692307"/>
    <n v="24.521538461538462"/>
    <n v="281.66665153846156"/>
    <n v="8.1856045201529088"/>
    <n v="0.229134514810138"/>
    <m/>
    <m/>
    <m/>
    <m/>
    <m/>
    <x v="0"/>
  </r>
  <r>
    <x v="0"/>
    <s v="CLMO01BA"/>
    <x v="34"/>
    <x v="0"/>
    <x v="12"/>
    <s v="unknown"/>
    <s v="5BB"/>
    <n v="680.625"/>
    <n v="34.409999999999997"/>
    <n v="22973"/>
    <m/>
    <n v="22973"/>
    <n v="33.752800734618916"/>
    <n v="7.59"/>
    <n v="7.65"/>
    <n v="5.54"/>
    <n v="7.68"/>
    <n v="9.09"/>
    <n v="6.31"/>
    <n v="7.31"/>
    <s v="4-6/spur, clean all small shoot from base "/>
    <x v="0"/>
    <m/>
    <n v="0.33"/>
    <m/>
    <n v="0.45"/>
    <d v="2025-04-24T00:00:00"/>
    <n v="76.307692307692307"/>
    <n v="25.181538461538462"/>
    <n v="289.24774153846153"/>
    <n v="8.4059209979209992"/>
    <n v="0.24933865051067872"/>
    <m/>
    <m/>
    <m/>
    <m/>
    <m/>
    <x v="0"/>
  </r>
  <r>
    <x v="0"/>
    <s v="CLNR01CS"/>
    <x v="35"/>
    <x v="0"/>
    <x v="0"/>
    <n v="7"/>
    <s v="5BB"/>
    <n v="726"/>
    <n v="59.72"/>
    <n v="43036"/>
    <m/>
    <n v="43036"/>
    <n v="59.278236914600548"/>
    <m/>
    <m/>
    <m/>
    <n v="5.13"/>
    <n v="7.39"/>
    <n v="9.33"/>
    <n v="6.26"/>
    <m/>
    <x v="1"/>
    <m/>
    <m/>
    <m/>
    <n v="0.33"/>
    <m/>
    <n v="0"/>
    <n v="0"/>
    <n v="0"/>
    <m/>
    <m/>
    <m/>
    <n v="0"/>
    <n v="0"/>
    <m/>
    <n v="0"/>
    <x v="1"/>
  </r>
  <r>
    <x v="0"/>
    <s v="CLOK01ME"/>
    <x v="36"/>
    <x v="0"/>
    <x v="2"/>
    <s v="various"/>
    <s v="Freedom"/>
    <n v="680.625"/>
    <n v="50.38"/>
    <m/>
    <m/>
    <n v="0"/>
    <n v="0"/>
    <n v="8.7200000000000006"/>
    <n v="6.1"/>
    <n v="9.1300000000000008"/>
    <n v="7.76"/>
    <n v="7.73"/>
    <m/>
    <n v="7.8879999999999999"/>
    <m/>
    <x v="1"/>
    <m/>
    <m/>
    <m/>
    <n v="0.38"/>
    <m/>
    <n v="0"/>
    <n v="0"/>
    <n v="0"/>
    <m/>
    <m/>
    <m/>
    <n v="0"/>
    <n v="0"/>
    <m/>
    <e v="#DIV/0!"/>
    <x v="1"/>
  </r>
  <r>
    <x v="0"/>
    <s v="CLPC02BA"/>
    <x v="37"/>
    <x v="0"/>
    <x v="12"/>
    <n v="2"/>
    <s v="1103P"/>
    <n v="680.625"/>
    <n v="28.07"/>
    <n v="18907"/>
    <n v="0.04"/>
    <n v="18150.72"/>
    <n v="26.667724517906336"/>
    <n v="8.48"/>
    <n v="6.9"/>
    <n v="7.68"/>
    <n v="7.97"/>
    <n v="11.71"/>
    <n v="6.84"/>
    <n v="8.2633333333333336"/>
    <s v="No thin"/>
    <x v="2"/>
    <m/>
    <n v="0.44"/>
    <m/>
    <n v="0.48"/>
    <d v="2025-04-22T00:00:00"/>
    <n v="88.4"/>
    <n v="38.896000000000001"/>
    <n v="352.99520256"/>
    <n v="12.575532688279301"/>
    <n v="0.4560866589472552"/>
    <n v="8"/>
    <n v="128.43520255999999"/>
    <n v="4.575532688279301"/>
    <n v="48.974594429139884"/>
    <n v="28.304155991608045"/>
    <x v="1"/>
  </r>
  <r>
    <x v="0"/>
    <s v="CLPC02BA"/>
    <x v="37"/>
    <x v="0"/>
    <x v="12"/>
    <n v="2"/>
    <s v="1103P"/>
    <n v="680.625"/>
    <n v="28.07"/>
    <n v="18907"/>
    <n v="0.04"/>
    <n v="18150.72"/>
    <n v="26.667724517906336"/>
    <n v="8.48"/>
    <n v="6.9"/>
    <n v="7.68"/>
    <n v="7.97"/>
    <n v="11.71"/>
    <n v="6.84"/>
    <n v="8.2633333333333336"/>
    <s v="Post thin"/>
    <x v="0"/>
    <m/>
    <n v="0.44"/>
    <m/>
    <n v="0.48"/>
    <d v="2025-04-22T00:00:00"/>
    <n v="66.944444444444443"/>
    <n v="29.455555555555556"/>
    <n v="267.31977066666667"/>
    <n v="9.5233263507896933"/>
    <n v="0.28176356159076565"/>
    <n v="8"/>
    <n v="42.759770666666668"/>
    <n v="1.5233263507896924"/>
    <n v="48.974594429139884"/>
    <n v="9.4232671027191586"/>
    <x v="1"/>
  </r>
  <r>
    <x v="0"/>
    <s v="CLPC02BA"/>
    <x v="37"/>
    <x v="0"/>
    <x v="12"/>
    <n v="2"/>
    <s v="1103P"/>
    <n v="680.625"/>
    <n v="28.07"/>
    <n v="18907"/>
    <n v="0.04"/>
    <n v="18150.72"/>
    <n v="26.667724517906336"/>
    <n v="8.48"/>
    <n v="6.9"/>
    <n v="7.68"/>
    <n v="7.97"/>
    <n v="11.71"/>
    <n v="6.84"/>
    <n v="8.2633333333333336"/>
    <s v="Post thin"/>
    <x v="0"/>
    <m/>
    <n v="0.44"/>
    <m/>
    <n v="0.48"/>
    <d v="2025-04-23T00:00:00"/>
    <n v="65.916666666666671"/>
    <n v="29.003333333333334"/>
    <n v="263.21569119999998"/>
    <n v="9.3771176059850365"/>
    <n v="0.27056476335176777"/>
    <n v="8"/>
    <n v="38.655691199999978"/>
    <n v="1.3771176059850365"/>
    <n v="48.974594429139884"/>
    <n v="8.5188226582747095"/>
    <x v="1"/>
  </r>
  <r>
    <x v="0"/>
    <s v="CLPC02BA"/>
    <x v="37"/>
    <x v="0"/>
    <x v="12"/>
    <n v="2"/>
    <s v="1103P"/>
    <n v="680.625"/>
    <n v="28.07"/>
    <n v="18907"/>
    <m/>
    <n v="18907"/>
    <n v="27.778879706152434"/>
    <n v="8.48"/>
    <n v="6.9"/>
    <n v="7.68"/>
    <n v="7.97"/>
    <n v="11.71"/>
    <n v="6.84"/>
    <n v="8.2633333333333336"/>
    <m/>
    <x v="1"/>
    <m/>
    <n v="0.5"/>
    <m/>
    <n v="0.48"/>
    <m/>
    <n v="0"/>
    <n v="0"/>
    <n v="0"/>
    <m/>
    <m/>
    <m/>
    <n v="0"/>
    <n v="0"/>
    <m/>
    <n v="0"/>
    <x v="1"/>
  </r>
  <r>
    <x v="0"/>
    <s v="CLPC03ME"/>
    <x v="38"/>
    <x v="0"/>
    <x v="2"/>
    <s v="various"/>
    <s v="various"/>
    <n v="680.625"/>
    <n v="43.28"/>
    <m/>
    <m/>
    <n v="0"/>
    <n v="0"/>
    <n v="8.2899999999999991"/>
    <n v="7.08"/>
    <n v="5.94"/>
    <n v="8.44"/>
    <n v="6.38"/>
    <n v="9.0500000000000007"/>
    <n v="7.5300000000000011"/>
    <m/>
    <x v="1"/>
    <m/>
    <m/>
    <m/>
    <n v="0.38"/>
    <m/>
    <n v="0"/>
    <n v="0"/>
    <n v="0"/>
    <m/>
    <m/>
    <m/>
    <n v="0"/>
    <n v="0"/>
    <m/>
    <e v="#DIV/0!"/>
    <x v="1"/>
  </r>
  <r>
    <x v="0"/>
    <s v="CLPC06PR"/>
    <x v="39"/>
    <x v="0"/>
    <x v="13"/>
    <n v="3"/>
    <s v="1103P"/>
    <n v="681"/>
    <n v="39.97"/>
    <n v="27064"/>
    <n v="0.12"/>
    <n v="23816.32"/>
    <n v="34.972569750367107"/>
    <m/>
    <m/>
    <m/>
    <m/>
    <n v="6.28"/>
    <n v="5.43"/>
    <n v="6.28"/>
    <m/>
    <x v="1"/>
    <m/>
    <n v="0.36"/>
    <m/>
    <n v="0.45"/>
    <d v="2025-05-06T00:00:00"/>
    <n v="98.2"/>
    <n v="35.351999999999997"/>
    <n v="420.97727231999994"/>
    <n v="10.532331056292218"/>
    <n v="0.48444461430444569"/>
    <m/>
    <n v="420.97727231999994"/>
    <n v="10.532331056292218"/>
    <m/>
    <n v="69.132799999999989"/>
    <x v="1"/>
  </r>
  <r>
    <x v="0"/>
    <s v="CLPC07CS"/>
    <x v="40"/>
    <x v="0"/>
    <x v="0"/>
    <n v="8"/>
    <s v="1103P"/>
    <n v="680.625"/>
    <n v="86.1"/>
    <n v="51444"/>
    <m/>
    <n v="51444"/>
    <n v="75.583471074380171"/>
    <n v="7.83"/>
    <n v="7.8"/>
    <n v="6.65"/>
    <n v="7.75"/>
    <n v="9.3699999999999992"/>
    <n v="8.0399999999999991"/>
    <n v="7.9066666666666663"/>
    <m/>
    <x v="1"/>
    <m/>
    <n v="0.33"/>
    <m/>
    <n v="0.33"/>
    <m/>
    <n v="0"/>
    <n v="0"/>
    <n v="0"/>
    <m/>
    <m/>
    <m/>
    <n v="0"/>
    <n v="0"/>
    <m/>
    <n v="0"/>
    <x v="1"/>
  </r>
  <r>
    <x v="0"/>
    <s v="CLPC4APR"/>
    <x v="41"/>
    <x v="2"/>
    <x v="13"/>
    <n v="3"/>
    <s v="1103P/1616C"/>
    <n v="807"/>
    <n v="57.989999999999995"/>
    <n v="46215"/>
    <m/>
    <n v="46215"/>
    <n v="57.267657992565056"/>
    <m/>
    <m/>
    <m/>
    <m/>
    <m/>
    <n v="3.61"/>
    <m/>
    <s v="Pre thin"/>
    <x v="2"/>
    <m/>
    <n v="0.43"/>
    <m/>
    <n v="0.48"/>
    <d v="2025-05-06T00:00:00"/>
    <n v="75.5"/>
    <n v="32.464999999999996"/>
    <n v="750.18498749999992"/>
    <n v="12.936454345576823"/>
    <n v="0.72094362925384459"/>
    <m/>
    <n v="750.18498749999992"/>
    <n v="12.936454345576823"/>
    <m/>
    <n v="67.635416666666671"/>
    <x v="1"/>
  </r>
  <r>
    <x v="0"/>
    <s v="CLPC4APR"/>
    <x v="41"/>
    <x v="2"/>
    <x v="13"/>
    <n v="3"/>
    <s v="1103P/1616C"/>
    <n v="807"/>
    <n v="57.989999999999995"/>
    <n v="46215"/>
    <m/>
    <n v="46215"/>
    <n v="57.267657992565056"/>
    <m/>
    <m/>
    <m/>
    <m/>
    <m/>
    <n v="3.61"/>
    <m/>
    <s v="Post thin"/>
    <x v="0"/>
    <m/>
    <n v="0.43"/>
    <m/>
    <n v="0.48"/>
    <d v="2025-05-07T00:00:00"/>
    <n v="56.5"/>
    <n v="24.294999999999998"/>
    <n v="561.39671249999992"/>
    <n v="9.6809227884117952"/>
    <n v="0.62710166387018174"/>
    <m/>
    <n v="561.39671249999992"/>
    <n v="9.6809227884117952"/>
    <m/>
    <n v="50.614583333333321"/>
    <x v="1"/>
  </r>
  <r>
    <x v="0"/>
    <s v="CLPC4BCH"/>
    <x v="42"/>
    <x v="1"/>
    <x v="8"/>
    <n v="4"/>
    <s v="1103P"/>
    <n v="726"/>
    <n v="60.57"/>
    <n v="43649"/>
    <m/>
    <n v="43649"/>
    <n v="60.12258953168044"/>
    <m/>
    <m/>
    <m/>
    <m/>
    <n v="3.03"/>
    <n v="6.72"/>
    <n v="3.03"/>
    <s v="No thin"/>
    <x v="0"/>
    <m/>
    <n v="0.38"/>
    <m/>
    <n v="0.4"/>
    <d v="2025-05-07T00:00:00"/>
    <n v="71.0625"/>
    <n v="27.00375"/>
    <n v="589.34334187500008"/>
    <n v="9.7299544638434874"/>
    <n v="0.30934928575755199"/>
    <m/>
    <n v="589.34334187500008"/>
    <n v="9.7299544638434874"/>
    <m/>
    <n v="67.509375000000006"/>
    <x v="1"/>
  </r>
  <r>
    <x v="0"/>
    <s v="CLPT01CS"/>
    <x v="43"/>
    <x v="0"/>
    <x v="0"/>
    <n v="8"/>
    <s v="various"/>
    <n v="680.625"/>
    <n v="83.51"/>
    <n v="56217"/>
    <n v="0.03"/>
    <n v="54530.49"/>
    <n v="80.118258953168038"/>
    <n v="8.1199999999999992"/>
    <n v="6.68"/>
    <n v="6.51"/>
    <n v="7.56"/>
    <n v="10.01"/>
    <n v="8.06"/>
    <n v="7.8233333333333333"/>
    <m/>
    <x v="1"/>
    <m/>
    <n v="0.33"/>
    <m/>
    <n v="0.33"/>
    <m/>
    <n v="0"/>
    <n v="0"/>
    <n v="0"/>
    <m/>
    <m/>
    <m/>
    <n v="0"/>
    <n v="0"/>
    <m/>
    <n v="0"/>
    <x v="1"/>
  </r>
  <r>
    <x v="0"/>
    <s v="CLR201MA"/>
    <x v="44"/>
    <x v="0"/>
    <x v="1"/>
    <n v="7"/>
    <s v="101-14"/>
    <n v="680.625"/>
    <n v="35.56"/>
    <n v="22011"/>
    <n v="0.05"/>
    <n v="20910.45"/>
    <n v="30.722424242424243"/>
    <n v="9.49"/>
    <n v="9.9"/>
    <n v="5.96"/>
    <n v="5.87"/>
    <n v="9.86"/>
    <n v="8.8000000000000007"/>
    <n v="8.3133333333333326"/>
    <m/>
    <x v="1"/>
    <m/>
    <n v="0.4"/>
    <m/>
    <n v="0.44"/>
    <m/>
    <n v="0"/>
    <n v="0"/>
    <n v="0"/>
    <m/>
    <m/>
    <m/>
    <n v="0"/>
    <n v="0"/>
    <m/>
    <n v="0"/>
    <x v="0"/>
  </r>
  <r>
    <x v="0"/>
    <s v="CLR202CH"/>
    <x v="45"/>
    <x v="0"/>
    <x v="8"/>
    <s v="4; 76-Wente"/>
    <s v="various"/>
    <n v="680.625"/>
    <n v="70.349999999999994"/>
    <n v="47208"/>
    <n v="0.1"/>
    <n v="42487.199999999997"/>
    <n v="62.423801652892557"/>
    <n v="9.89"/>
    <n v="8.66"/>
    <n v="6.35"/>
    <n v="7.74"/>
    <n v="7.79"/>
    <n v="8.33"/>
    <n v="8.1266666666666669"/>
    <m/>
    <x v="1"/>
    <m/>
    <n v="0.35"/>
    <m/>
    <n v="0.4"/>
    <d v="2025-05-05T00:00:00"/>
    <n v="61.55"/>
    <n v="21.542499999999997"/>
    <n v="457.64025299999992"/>
    <n v="6.5051919402985066"/>
    <n v="-0.28051563680959701"/>
    <m/>
    <n v="457.64025299999992"/>
    <n v="6.5051919402985066"/>
    <m/>
    <n v="48.470624999999984"/>
    <x v="0"/>
  </r>
  <r>
    <x v="0"/>
    <s v="CO8802CH"/>
    <x v="46"/>
    <x v="0"/>
    <x v="8"/>
    <n v="4"/>
    <s v="Freedom"/>
    <n v="622.28571428571433"/>
    <n v="32.03"/>
    <n v="19702"/>
    <n v="0.02"/>
    <n v="19307.96"/>
    <n v="31.027483930211201"/>
    <n v="8.7899999999999991"/>
    <n v="5.21"/>
    <n v="7.53"/>
    <n v="9.25"/>
    <n v="8.1199999999999992"/>
    <n v="6.37"/>
    <n v="7.544999999999999"/>
    <m/>
    <x v="1"/>
    <m/>
    <n v="0.31"/>
    <m/>
    <n v="0.4"/>
    <d v="2025-05-05T00:00:00"/>
    <n v="67.3125"/>
    <n v="20.866875"/>
    <n v="201.44839391249999"/>
    <n v="6.2893660291133306"/>
    <n v="-1.2820683438269719E-2"/>
    <m/>
    <n v="201.44839391249999"/>
    <n v="6.2893660291133306"/>
    <m/>
    <n v="51.123843749999999"/>
    <x v="1"/>
  </r>
  <r>
    <x v="0"/>
    <s v="GEWENOCH"/>
    <x v="47"/>
    <x v="0"/>
    <x v="8"/>
    <n v="4"/>
    <s v="Freedom"/>
    <n v="622.28571428571433"/>
    <n v="26.24"/>
    <n v="15945"/>
    <n v="0.01"/>
    <n v="15785.55"/>
    <n v="25.367045454545451"/>
    <n v="8.81"/>
    <n v="7.11"/>
    <n v="7.55"/>
    <n v="9.15"/>
    <n v="7.57"/>
    <n v="6.45"/>
    <n v="7.7733333333333343"/>
    <m/>
    <x v="1"/>
    <m/>
    <n v="0.31"/>
    <m/>
    <n v="0.4"/>
    <m/>
    <m/>
    <m/>
    <n v="0"/>
    <m/>
    <m/>
    <m/>
    <n v="0"/>
    <n v="0"/>
    <m/>
    <n v="0"/>
    <x v="1"/>
  </r>
  <r>
    <x v="0"/>
    <s v="GZWESOCH"/>
    <x v="48"/>
    <x v="0"/>
    <x v="8"/>
    <n v="4"/>
    <s v="Freedom"/>
    <n v="622.28571428571433"/>
    <n v="26.79"/>
    <n v="16618"/>
    <n v="0.01"/>
    <n v="16451.82"/>
    <n v="26.437727272727269"/>
    <n v="9.44"/>
    <n v="7.81"/>
    <n v="7.73"/>
    <n v="8.8000000000000007"/>
    <n v="7.61"/>
    <n v="6"/>
    <n v="7.8983333333333334"/>
    <m/>
    <x v="1"/>
    <m/>
    <n v="0.31"/>
    <m/>
    <n v="0.4"/>
    <m/>
    <m/>
    <m/>
    <n v="0"/>
    <m/>
    <m/>
    <m/>
    <n v="0"/>
    <n v="0"/>
    <m/>
    <n v="0"/>
    <x v="1"/>
  </r>
  <r>
    <x v="0"/>
    <s v="KBBR01ZN"/>
    <x v="49"/>
    <x v="0"/>
    <x v="4"/>
    <n v="3"/>
    <s v="110R "/>
    <n v="622.28571428571433"/>
    <n v="29.27"/>
    <n v="17569"/>
    <m/>
    <n v="17569"/>
    <n v="28.233011937557389"/>
    <n v="6.76"/>
    <n v="7.35"/>
    <n v="6.87"/>
    <n v="7.92"/>
    <n v="7.36"/>
    <n v="7.25"/>
    <n v="7.251666666666666"/>
    <s v="2/spur"/>
    <x v="3"/>
    <m/>
    <n v="0.45"/>
    <m/>
    <n v="0.45"/>
    <d v="2025-04-29T00:00:00"/>
    <n v="54.75"/>
    <n v="24.637499999999999"/>
    <n v="216.42811874999998"/>
    <n v="7.3941960625213525"/>
    <n v="1.950124953437913E-2"/>
    <n v="8.5"/>
    <n v="-32.366881250000006"/>
    <n v="-1.1058039374786472"/>
    <n v="60.708091011121297"/>
    <n v="-8.1878766893707997"/>
    <x v="0"/>
  </r>
  <r>
    <x v="0"/>
    <s v="KBBR01ZN"/>
    <x v="49"/>
    <x v="0"/>
    <x v="4"/>
    <n v="3"/>
    <s v="110R "/>
    <n v="622.28571428571433"/>
    <n v="29.27"/>
    <n v="17569"/>
    <m/>
    <n v="17569"/>
    <n v="28.233011937557389"/>
    <n v="6.76"/>
    <n v="7.35"/>
    <n v="6.87"/>
    <n v="7.92"/>
    <n v="7.36"/>
    <n v="7.25"/>
    <n v="7.251666666666666"/>
    <s v="2/spur with 3 shoots, rest 2 shoot / spur"/>
    <x v="0"/>
    <m/>
    <n v="0.45"/>
    <m/>
    <n v="0.45"/>
    <d v="2025-05-01T00:00:00"/>
    <n v="59.93181818181818"/>
    <n v="26.969318181818181"/>
    <n v="236.91197556818182"/>
    <n v="8.0940203473926147"/>
    <n v="0.10427702318100857"/>
    <n v="8.5"/>
    <n v="-11.883024431818171"/>
    <n v="-0.40597965260738544"/>
    <n v="60.708091011121297"/>
    <n v="-3.0060585075526136"/>
    <x v="0"/>
  </r>
  <r>
    <x v="0"/>
    <s v="KBBR02TD"/>
    <x v="50"/>
    <x v="0"/>
    <x v="14"/>
    <s v="Trinchero"/>
    <s v="Freedom"/>
    <n v="691.42857142857144"/>
    <n v="22.59"/>
    <n v="15293"/>
    <m/>
    <n v="15293"/>
    <n v="22.117975206611568"/>
    <n v="10.07"/>
    <n v="8.44"/>
    <n v="9.15"/>
    <n v="5.43"/>
    <n v="10.3"/>
    <n v="8.2200000000000006"/>
    <n v="8.6016666666666666"/>
    <m/>
    <x v="1"/>
    <m/>
    <n v="0.45"/>
    <m/>
    <n v="0.55000000000000004"/>
    <m/>
    <n v="0"/>
    <m/>
    <n v="0"/>
    <m/>
    <m/>
    <m/>
    <n v="0"/>
    <n v="0"/>
    <m/>
    <n v="0"/>
    <x v="1"/>
  </r>
  <r>
    <x v="0"/>
    <s v="MFLO01PG"/>
    <x v="51"/>
    <x v="0"/>
    <x v="10"/>
    <s v="146/152"/>
    <s v="5BB"/>
    <n v="907.5"/>
    <n v="42.4"/>
    <n v="37921"/>
    <m/>
    <n v="37921"/>
    <n v="41.786225895316804"/>
    <m/>
    <m/>
    <m/>
    <n v="8.08"/>
    <n v="10.029999999999999"/>
    <n v="7.76"/>
    <n v="9.0549999999999997"/>
    <m/>
    <x v="1"/>
    <m/>
    <m/>
    <m/>
    <n v="0.32"/>
    <m/>
    <n v="0"/>
    <m/>
    <n v="0"/>
    <m/>
    <m/>
    <m/>
    <n v="0"/>
    <n v="0"/>
    <m/>
    <n v="0"/>
    <x v="1"/>
  </r>
  <r>
    <x v="0"/>
    <s v="MFLO02TE"/>
    <x v="52"/>
    <x v="0"/>
    <x v="15"/>
    <s v="Ribera del duero"/>
    <s v="5BB"/>
    <n v="777.85714285714289"/>
    <n v="22.37"/>
    <n v="17071"/>
    <m/>
    <n v="17071"/>
    <n v="21.946189164370981"/>
    <m/>
    <m/>
    <m/>
    <n v="12.4"/>
    <n v="10.81"/>
    <n v="5.87"/>
    <n v="11.605"/>
    <m/>
    <x v="1"/>
    <m/>
    <n v="0.37"/>
    <m/>
    <n v="0.4"/>
    <m/>
    <n v="0"/>
    <m/>
    <n v="0"/>
    <m/>
    <m/>
    <m/>
    <n v="0"/>
    <n v="0"/>
    <m/>
    <n v="0"/>
    <x v="1"/>
  </r>
  <r>
    <x v="0"/>
    <s v="MRPR01CS"/>
    <x v="53"/>
    <x v="0"/>
    <x v="0"/>
    <s v="7;8"/>
    <s v="1103P"/>
    <n v="605"/>
    <n v="35.04"/>
    <n v="20970"/>
    <m/>
    <n v="20970"/>
    <n v="34.66115702479339"/>
    <n v="10.99"/>
    <n v="8.3800000000000008"/>
    <n v="8.1999999999999993"/>
    <n v="8.61"/>
    <n v="11.58"/>
    <n v="8.18"/>
    <n v="9.3233333333333324"/>
    <m/>
    <x v="1"/>
    <m/>
    <n v="0.33"/>
    <m/>
    <n v="0.33"/>
    <m/>
    <n v="0"/>
    <m/>
    <n v="0"/>
    <m/>
    <m/>
    <m/>
    <n v="0"/>
    <n v="0"/>
    <m/>
    <n v="0"/>
    <x v="1"/>
  </r>
  <r>
    <x v="0"/>
    <s v="POCR03CS"/>
    <x v="54"/>
    <x v="0"/>
    <x v="0"/>
    <n v="8"/>
    <s v="1103P"/>
    <n v="680.625"/>
    <n v="59.66"/>
    <n v="40476"/>
    <m/>
    <n v="40476"/>
    <n v="59.46887052341598"/>
    <n v="10.050000000000001"/>
    <n v="7.79"/>
    <n v="7.48"/>
    <n v="6.68"/>
    <n v="11.37"/>
    <n v="8.5"/>
    <n v="8.6449999999999996"/>
    <m/>
    <x v="1"/>
    <m/>
    <m/>
    <m/>
    <n v="0.33"/>
    <m/>
    <n v="0"/>
    <m/>
    <n v="0"/>
    <m/>
    <m/>
    <m/>
    <n v="0"/>
    <n v="0"/>
    <m/>
    <n v="0"/>
    <x v="1"/>
  </r>
  <r>
    <x v="0"/>
    <s v="POHM01PV"/>
    <x v="55"/>
    <x v="0"/>
    <x v="6"/>
    <n v="2"/>
    <s v="110R "/>
    <n v="968"/>
    <n v="15"/>
    <n v="14150"/>
    <m/>
    <n v="14150"/>
    <n v="14.617768595041323"/>
    <m/>
    <n v="8.0399999999999991"/>
    <n v="8.5299999999999994"/>
    <n v="5.72"/>
    <n v="7.88"/>
    <n v="6.38"/>
    <n v="7.31"/>
    <m/>
    <x v="1"/>
    <m/>
    <m/>
    <m/>
    <n v="0.27"/>
    <m/>
    <n v="0"/>
    <m/>
    <n v="0"/>
    <m/>
    <m/>
    <m/>
    <n v="0"/>
    <n v="0"/>
    <m/>
    <n v="0"/>
    <x v="1"/>
  </r>
  <r>
    <x v="0"/>
    <s v="PPBR03CH"/>
    <x v="56"/>
    <x v="0"/>
    <x v="8"/>
    <n v="4"/>
    <s v="Freedom"/>
    <n v="622.28571428571433"/>
    <n v="41.7"/>
    <n v="20700"/>
    <m/>
    <n v="20700"/>
    <n v="33.264462809917354"/>
    <n v="8.2200000000000006"/>
    <n v="14.55"/>
    <n v="11.2"/>
    <n v="8.32"/>
    <n v="16.46"/>
    <n v="9.3000000000000007"/>
    <n v="11.341666666666667"/>
    <m/>
    <x v="1"/>
    <m/>
    <n v="0.4"/>
    <m/>
    <n v="0.41"/>
    <d v="2025-04-29T00:00:00"/>
    <n v="127.22222222222223"/>
    <n v="50.888888888888893"/>
    <n v="526.70000000000005"/>
    <n v="12.630695443645084"/>
    <n v="0.26369850009493068"/>
    <m/>
    <n v="526.70000000000005"/>
    <n v="12.630695443645084"/>
    <m/>
    <n v="124.11924119241193"/>
    <x v="1"/>
  </r>
  <r>
    <x v="0"/>
    <s v="PPBR04PN"/>
    <x v="57"/>
    <x v="0"/>
    <x v="16"/>
    <n v="23"/>
    <s v="Freedom"/>
    <n v="622.28571428571433"/>
    <n v="42.9"/>
    <n v="26332"/>
    <m/>
    <n v="26332"/>
    <n v="42.314967860422399"/>
    <n v="9.15"/>
    <n v="9.18"/>
    <n v="10.41"/>
    <n v="14.03"/>
    <n v="14.69"/>
    <n v="11.11"/>
    <n v="11.428333333333333"/>
    <s v="No thin"/>
    <x v="0"/>
    <m/>
    <n v="0.32"/>
    <m/>
    <n v="0.38"/>
    <d v="2025-04-22T00:00:00"/>
    <n v="171.28571428571428"/>
    <n v="54.811428571428571"/>
    <n v="721.64726857142864"/>
    <n v="16.821614652014656"/>
    <n v="0.33954021478732421"/>
    <m/>
    <n v="721.64726857142864"/>
    <n v="16.821614652014656"/>
    <m/>
    <n v="144.24060150375939"/>
    <x v="1"/>
  </r>
  <r>
    <x v="0"/>
    <s v="PPBR04PN"/>
    <x v="57"/>
    <x v="0"/>
    <x v="16"/>
    <n v="23"/>
    <s v="Freedom"/>
    <n v="622.28571428571433"/>
    <n v="42.9"/>
    <n v="26332"/>
    <m/>
    <n v="26332"/>
    <n v="42.314967860422399"/>
    <n v="9.15"/>
    <n v="9.18"/>
    <n v="10.41"/>
    <n v="14.03"/>
    <n v="14.69"/>
    <n v="11.11"/>
    <n v="11.428333333333333"/>
    <s v="No thin"/>
    <x v="0"/>
    <m/>
    <n v="0.32"/>
    <m/>
    <n v="0.38"/>
    <d v="2025-04-23T00:00:00"/>
    <n v="159"/>
    <n v="50.88"/>
    <n v="669.88608000000011"/>
    <n v="15.615060139860143"/>
    <n v="0.28850738322551817"/>
    <m/>
    <n v="669.88608000000011"/>
    <n v="15.615060139860143"/>
    <m/>
    <n v="133.89473684210526"/>
    <x v="1"/>
  </r>
  <r>
    <x v="0"/>
    <s v="PPCR01ME"/>
    <x v="58"/>
    <x v="0"/>
    <x v="2"/>
    <n v="3"/>
    <s v="1103P"/>
    <n v="680.625"/>
    <n v="34.08"/>
    <n v="22610"/>
    <m/>
    <n v="22610"/>
    <n v="33.219467401285584"/>
    <n v="8.7799999999999994"/>
    <n v="8.4"/>
    <n v="9.4"/>
    <n v="10.56"/>
    <n v="11"/>
    <m/>
    <n v="9.6280000000000001"/>
    <m/>
    <x v="1"/>
    <m/>
    <m/>
    <m/>
    <n v="0.38"/>
    <m/>
    <n v="0"/>
    <n v="0"/>
    <n v="0"/>
    <m/>
    <m/>
    <m/>
    <n v="0"/>
    <n v="0"/>
    <m/>
    <n v="0"/>
    <x v="1"/>
  </r>
  <r>
    <x v="0"/>
    <s v="RSR101CH"/>
    <x v="59"/>
    <x v="2"/>
    <x v="8"/>
    <s v="4"/>
    <s v="1103P"/>
    <n v="726"/>
    <n v="27.32"/>
    <n v="19093"/>
    <n v="0.3"/>
    <n v="13365.1"/>
    <n v="18.409228650137742"/>
    <m/>
    <m/>
    <m/>
    <m/>
    <m/>
    <n v="2.17"/>
    <m/>
    <s v="Shoot position"/>
    <x v="0"/>
    <m/>
    <n v="0.41"/>
    <m/>
    <n v="0.4"/>
    <d v="2025-05-05T00:00:00"/>
    <n v="59.5625"/>
    <n v="24.420624999999998"/>
    <n v="163.19204759375"/>
    <n v="5.9733545971357982"/>
    <m/>
    <m/>
    <n v="163.19204759375"/>
    <n v="5.9733545971357982"/>
    <m/>
    <n v="42.736093749999995"/>
    <x v="0"/>
  </r>
  <r>
    <x v="0"/>
    <s v="RSR102CS"/>
    <x v="60"/>
    <x v="0"/>
    <x v="0"/>
    <m/>
    <s v="unknown"/>
    <n v="680.625"/>
    <n v="4.2300000000000004"/>
    <n v="2540"/>
    <n v="0.08"/>
    <n v="2336.8000000000002"/>
    <n v="3.4333149678604227"/>
    <n v="7.89"/>
    <n v="5.26"/>
    <n v="5.52"/>
    <n v="4.53"/>
    <n v="5.83"/>
    <n v="5.08"/>
    <n v="5.6849999999999996"/>
    <m/>
    <x v="1"/>
    <m/>
    <n v="0.32"/>
    <m/>
    <n v="0.33"/>
    <m/>
    <n v="0"/>
    <m/>
    <n v="0"/>
    <m/>
    <m/>
    <m/>
    <n v="0"/>
    <n v="0"/>
    <m/>
    <n v="0"/>
    <x v="0"/>
  </r>
  <r>
    <x v="0"/>
    <s v="RSR103CH"/>
    <x v="61"/>
    <x v="0"/>
    <x v="8"/>
    <n v="4"/>
    <s v="Freedom"/>
    <n v="565.71428571428567"/>
    <n v="8.84"/>
    <n v="5003.4399999999996"/>
    <n v="0.05"/>
    <n v="4753.268"/>
    <n v="8.4022414141414146"/>
    <n v="8.11"/>
    <n v="9.5"/>
    <n v="4.6500000000000004"/>
    <n v="5.91"/>
    <n v="7.19"/>
    <n v="5.3"/>
    <n v="6.7766666666666664"/>
    <s v="No thin"/>
    <x v="0"/>
    <m/>
    <n v="0.3"/>
    <m/>
    <n v="0.4"/>
    <d v="2025-04-24T00:00:00"/>
    <n v="89.666666666666671"/>
    <n v="26.900000000000002"/>
    <n v="63.931454600000002"/>
    <n v="7.2320650000000004"/>
    <n v="0.26715260440828453"/>
    <m/>
    <n v="63.931454600000002"/>
    <n v="7.2320650000000004"/>
    <m/>
    <n v="63.887500000000003"/>
    <x v="0"/>
  </r>
  <r>
    <x v="0"/>
    <s v="RSR203CH"/>
    <x v="62"/>
    <x v="0"/>
    <x v="8"/>
    <n v="4"/>
    <s v="Freedom"/>
    <n v="680.625"/>
    <n v="23.25"/>
    <n v="15807"/>
    <n v="0.12"/>
    <n v="13910.16"/>
    <n v="20.437333333333331"/>
    <n v="8.56"/>
    <n v="7.86"/>
    <n v="6.38"/>
    <n v="7.41"/>
    <n v="6.9"/>
    <n v="6.89"/>
    <n v="7.333333333333333"/>
    <s v="No thin"/>
    <x v="0"/>
    <m/>
    <n v="0.34"/>
    <m/>
    <n v="0.4"/>
    <d v="2025-04-24T00:00:00"/>
    <n v="55.65"/>
    <n v="18.920999999999999"/>
    <n v="131.59706868000001"/>
    <n v="5.6600889754838715"/>
    <n v="-0.21729535168852804"/>
    <m/>
    <n v="131.59706868000001"/>
    <n v="5.6600889754838715"/>
    <m/>
    <n v="41.62619999999999"/>
    <x v="1"/>
  </r>
  <r>
    <x v="0"/>
    <s v="SMSM01ME"/>
    <x v="63"/>
    <x v="0"/>
    <x v="2"/>
    <n v="3"/>
    <s v="1103P"/>
    <n v="680.625"/>
    <n v="23.13"/>
    <n v="15414"/>
    <n v="0.01"/>
    <n v="15259.86"/>
    <n v="22.420363636363636"/>
    <n v="8.09"/>
    <n v="8.61"/>
    <n v="9.0500000000000007"/>
    <n v="8.69"/>
    <n v="6.32"/>
    <n v="9.3699999999999992"/>
    <n v="8.3549999999999986"/>
    <m/>
    <x v="1"/>
    <m/>
    <n v="0.3"/>
    <m/>
    <n v="0.38"/>
    <d v="2025-05-08T00:00:00"/>
    <n v="122.5625"/>
    <n v="36.768749999999997"/>
    <n v="280.54298868749999"/>
    <n v="12.128966220817121"/>
    <n v="0.22746919816479233"/>
    <m/>
    <n v="280.54298868749999"/>
    <n v="12.128966220817121"/>
    <m/>
    <n v="95.792269736842101"/>
    <x v="0"/>
  </r>
  <r>
    <x v="0"/>
    <s v="SZVC01ZN"/>
    <x v="64"/>
    <x v="0"/>
    <x v="4"/>
    <m/>
    <m/>
    <n v="691"/>
    <n v="10.65"/>
    <n v="7055"/>
    <m/>
    <n v="7055"/>
    <n v="10.209840810419681"/>
    <m/>
    <m/>
    <m/>
    <m/>
    <m/>
    <m/>
    <m/>
    <s v="No thin"/>
    <x v="2"/>
    <m/>
    <m/>
    <m/>
    <n v="0.42"/>
    <d v="2025-04-22T00:00:00"/>
    <n v="88.933333333333337"/>
    <n v="37.351999999999997"/>
    <n v="131.75917999999999"/>
    <n v="12.371753990610326"/>
    <m/>
    <m/>
    <m/>
    <m/>
    <m/>
    <m/>
    <x v="1"/>
  </r>
  <r>
    <x v="0"/>
    <s v="SZVC01ZN"/>
    <x v="64"/>
    <x v="0"/>
    <x v="4"/>
    <m/>
    <m/>
    <n v="691"/>
    <n v="10.65"/>
    <n v="7055"/>
    <m/>
    <n v="7055"/>
    <n v="10.209840810419681"/>
    <m/>
    <m/>
    <m/>
    <m/>
    <m/>
    <m/>
    <m/>
    <s v="2/spur on fork spur only 3 shoots if too crowded"/>
    <x v="0"/>
    <m/>
    <m/>
    <m/>
    <n v="0.45"/>
    <d v="2025-04-22T00:00:00"/>
    <n v="53.533333333333331"/>
    <n v="24.09"/>
    <n v="84.977475000000013"/>
    <n v="7.9791056338028179"/>
    <m/>
    <m/>
    <m/>
    <m/>
    <m/>
    <m/>
    <x v="1"/>
  </r>
  <r>
    <x v="0"/>
    <s v="SZVC02ZN"/>
    <x v="65"/>
    <x v="0"/>
    <x v="4"/>
    <m/>
    <m/>
    <n v="545"/>
    <n v="12.09"/>
    <n v="5777"/>
    <m/>
    <n v="5777"/>
    <n v="10.6"/>
    <m/>
    <m/>
    <m/>
    <m/>
    <m/>
    <m/>
    <m/>
    <s v="No thin"/>
    <x v="0"/>
    <m/>
    <m/>
    <m/>
    <n v="0.45"/>
    <d v="2025-04-24T00:00:00"/>
    <n v="67.75"/>
    <n v="30.487500000000001"/>
    <n v="88.063143750000009"/>
    <n v="7.2839655707196034"/>
    <m/>
    <m/>
    <m/>
    <m/>
    <m/>
    <m/>
    <x v="1"/>
  </r>
  <r>
    <x v="0"/>
    <s v="ZLLAOHCS"/>
    <x v="66"/>
    <x v="0"/>
    <x v="0"/>
    <n v="7"/>
    <s v="Freedom"/>
    <n v="622.28571428571433"/>
    <n v="44"/>
    <n v="27017"/>
    <m/>
    <n v="27017"/>
    <n v="43.415748393021119"/>
    <n v="10.81"/>
    <n v="9.56"/>
    <n v="9.81"/>
    <n v="8.14"/>
    <n v="11.21"/>
    <n v="8.27"/>
    <n v="9.6333333333333329"/>
    <m/>
    <x v="1"/>
    <m/>
    <m/>
    <m/>
    <n v="0.33"/>
    <m/>
    <n v="0"/>
    <n v="0"/>
    <n v="0"/>
    <m/>
    <m/>
    <m/>
    <n v="0"/>
    <n v="0"/>
    <m/>
    <n v="0"/>
    <x v="1"/>
  </r>
  <r>
    <x v="0"/>
    <s v="ZLSO01PN"/>
    <x v="67"/>
    <x v="0"/>
    <x v="16"/>
    <n v="23"/>
    <s v="5BB"/>
    <n v="622.28571428571433"/>
    <n v="83.24"/>
    <n v="51248"/>
    <n v="0.15"/>
    <n v="43560.800000000003"/>
    <n v="70.001285583103765"/>
    <n v="9.0399999999999991"/>
    <n v="8.84"/>
    <n v="8.7799999999999994"/>
    <n v="10.87"/>
    <n v="9.77"/>
    <n v="8.2100000000000009"/>
    <n v="9.2516666666666669"/>
    <s v="No thin"/>
    <x v="2"/>
    <m/>
    <n v="0.31"/>
    <m/>
    <n v="0.38"/>
    <d v="2025-04-21T00:00:00"/>
    <n v="146.93333333333334"/>
    <n v="45.549333333333337"/>
    <n v="992.08269973333347"/>
    <n v="11.918340938651292"/>
    <n v="0.31114573393559392"/>
    <m/>
    <n v="992.08269973333347"/>
    <n v="11.918340938651292"/>
    <m/>
    <n v="101.88666666666667"/>
    <x v="1"/>
  </r>
  <r>
    <x v="0"/>
    <s v="ZLSO01PN"/>
    <x v="67"/>
    <x v="0"/>
    <x v="16"/>
    <n v="23"/>
    <s v="5BB"/>
    <n v="622.28571428571433"/>
    <n v="83.24"/>
    <n v="51248"/>
    <n v="0.15"/>
    <n v="43560.800000000003"/>
    <n v="70.001285583103765"/>
    <n v="9.0399999999999991"/>
    <n v="8.84"/>
    <n v="8.7799999999999994"/>
    <n v="10.87"/>
    <n v="9.77"/>
    <n v="8.2100000000000009"/>
    <n v="9.2516666666666669"/>
    <s v="B1 18 RPM / Upper 40 / Lower 50"/>
    <x v="0"/>
    <m/>
    <n v="0.31"/>
    <m/>
    <n v="0.38"/>
    <d v="2025-04-28T00:00:00"/>
    <n v="126"/>
    <n v="39.06"/>
    <n v="850.74242400000014"/>
    <n v="10.220355886592987"/>
    <n v="0.19670116274817409"/>
    <m/>
    <n v="850.74242400000014"/>
    <n v="10.220355886592987"/>
    <m/>
    <n v="87.371052631578962"/>
    <x v="1"/>
  </r>
  <r>
    <x v="0"/>
    <s v="ZLSO01PN"/>
    <x v="67"/>
    <x v="0"/>
    <x v="16"/>
    <n v="23"/>
    <s v="5BB"/>
    <n v="622.28571428571433"/>
    <n v="83.24"/>
    <n v="51248"/>
    <n v="0.15"/>
    <n v="43560.800000000003"/>
    <n v="70.001285583103765"/>
    <n v="9.0399999999999991"/>
    <n v="8.84"/>
    <n v="8.7799999999999994"/>
    <n v="10.87"/>
    <n v="9.77"/>
    <n v="8.2100000000000009"/>
    <n v="9.2516666666666669"/>
    <s v="B1 18 RPM / Upper 40 / Lower 50"/>
    <x v="0"/>
    <m/>
    <n v="0.31"/>
    <m/>
    <n v="0.38"/>
    <d v="2025-04-30T00:00:00"/>
    <n v="120.30434782608695"/>
    <n v="37.294347826086955"/>
    <n v="812.28581339130437"/>
    <n v="9.7583591229133155"/>
    <n v="0.15867002878359521"/>
    <m/>
    <n v="812.28581339130437"/>
    <n v="9.7583591229133155"/>
    <m/>
    <n v="83.421567505720816"/>
    <x v="1"/>
  </r>
  <r>
    <x v="1"/>
    <s v="DVDU02SB"/>
    <x v="68"/>
    <x v="0"/>
    <x v="7"/>
    <n v="1"/>
    <s v="1616C"/>
    <n v="726"/>
    <n v="39.42"/>
    <n v="28200"/>
    <m/>
    <n v="28200"/>
    <n v="38.84297520661157"/>
    <m/>
    <n v="5.49"/>
    <n v="11.02"/>
    <n v="11.67"/>
    <n v="11.78"/>
    <n v="12.03"/>
    <n v="10.398"/>
    <s v="No thin"/>
    <x v="0"/>
    <m/>
    <n v="0.37"/>
    <m/>
    <n v="0.35"/>
    <d v="2025-04-22T00:00:00"/>
    <n v="84.666666666666671"/>
    <n v="31.326666666666668"/>
    <n v="441.70600000000002"/>
    <n v="11.205124302384576"/>
    <n v="-7.3615934580920347E-2"/>
    <m/>
    <n v="441.70600000000002"/>
    <n v="11.205124302384576"/>
    <m/>
    <n v="89.504761904761907"/>
    <x v="1"/>
  </r>
  <r>
    <x v="1"/>
    <s v="DVDU05CH"/>
    <x v="69"/>
    <x v="2"/>
    <x v="8"/>
    <n v="4"/>
    <s v="1103P"/>
    <n v="622"/>
    <n v="42.04"/>
    <n v="36095"/>
    <n v="0.2"/>
    <n v="28876"/>
    <n v="46.424437299035368"/>
    <m/>
    <m/>
    <m/>
    <m/>
    <m/>
    <n v="0.98"/>
    <m/>
    <s v="Shoot position"/>
    <x v="0"/>
    <m/>
    <m/>
    <m/>
    <n v="0.4"/>
    <d v="2025-04-16T00:00:00"/>
    <n v="85.083333333333329"/>
    <n v="34.033333333333331"/>
    <n v="491.37326666666667"/>
    <n v="11.688231842689502"/>
    <n v="0.91615498279040819"/>
    <n v="8"/>
    <n v="155.05326666666667"/>
    <n v="3.6882318426895022"/>
    <n v="64.308681672025713"/>
    <n v="21.478496560003691"/>
    <x v="0"/>
  </r>
  <r>
    <x v="1"/>
    <s v="DVDU05CH"/>
    <x v="69"/>
    <x v="2"/>
    <x v="8"/>
    <n v="4"/>
    <s v="1103P"/>
    <n v="622"/>
    <n v="42.04"/>
    <n v="36095"/>
    <n v="0.2"/>
    <n v="28876"/>
    <n v="46.424437299035368"/>
    <m/>
    <m/>
    <m/>
    <m/>
    <m/>
    <n v="0.98"/>
    <m/>
    <s v="Shoot position"/>
    <x v="0"/>
    <m/>
    <m/>
    <m/>
    <n v="0.4"/>
    <d v="2025-04-17T00:00:00"/>
    <n v="86.63636363636364"/>
    <n v="34.654545454545456"/>
    <n v="500.34232727272729"/>
    <n v="11.901577718190469"/>
    <n v="0.9176579758411223"/>
    <n v="8"/>
    <n v="164.0223272727273"/>
    <n v="3.9015777181904685"/>
    <n v="64.308681672025713"/>
    <n v="22.720920802427941"/>
    <x v="0"/>
  </r>
  <r>
    <x v="1"/>
    <s v="DVDU06VI"/>
    <x v="70"/>
    <x v="0"/>
    <x v="17"/>
    <n v="1"/>
    <s v="SO4"/>
    <n v="545"/>
    <n v="5"/>
    <n v="2755"/>
    <n v="0.15"/>
    <n v="2341.75"/>
    <n v="4.2967889908256884"/>
    <n v="4.68"/>
    <n v="6.5"/>
    <n v="5.84"/>
    <m/>
    <n v="3.33"/>
    <n v="4.68"/>
    <n v="5.0060000000000002"/>
    <s v="2/spur on cordon remove cuatas"/>
    <x v="0"/>
    <m/>
    <n v="0.45"/>
    <m/>
    <n v="0.3"/>
    <d v="2025-04-14T00:00:00"/>
    <n v="60.222222222222221"/>
    <n v="27.1"/>
    <n v="31.730712500000003"/>
    <n v="6.3461425000000009"/>
    <n v="0.26254413606375859"/>
    <m/>
    <n v="31.730712500000003"/>
    <n v="6.3461425000000009"/>
    <m/>
    <n v="76.783333333333331"/>
    <x v="0"/>
  </r>
  <r>
    <x v="1"/>
    <s v="DVDU07MC"/>
    <x v="71"/>
    <x v="0"/>
    <x v="18"/>
    <n v="1"/>
    <s v="SO4"/>
    <n v="544.5"/>
    <n v="28.51"/>
    <n v="15354"/>
    <m/>
    <n v="15354"/>
    <n v="28.198347107438018"/>
    <m/>
    <m/>
    <m/>
    <m/>
    <m/>
    <n v="4.7699999999999996"/>
    <m/>
    <s v="No thin"/>
    <x v="0"/>
    <m/>
    <n v="0.6"/>
    <m/>
    <n v="0.45"/>
    <d v="2025-04-16T00:00:00"/>
    <n v="37.333333333333336"/>
    <n v="22.400000000000002"/>
    <n v="171.96480000000003"/>
    <n v="6.0317362329007373"/>
    <n v="0.20918292580807252"/>
    <m/>
    <n v="171.96480000000003"/>
    <n v="6.0317362329007373"/>
    <m/>
    <n v="49.777777777777786"/>
    <x v="0"/>
  </r>
  <r>
    <x v="1"/>
    <s v="DVDU07MC"/>
    <x v="72"/>
    <x v="0"/>
    <x v="18"/>
    <n v="1"/>
    <s v="SO4"/>
    <n v="544.5"/>
    <n v="28.51"/>
    <n v="15354"/>
    <m/>
    <n v="15354"/>
    <n v="28.198347107438018"/>
    <m/>
    <m/>
    <m/>
    <m/>
    <m/>
    <n v="4.7699999999999996"/>
    <m/>
    <s v="No thin"/>
    <x v="0"/>
    <m/>
    <n v="0.6"/>
    <m/>
    <n v="0.45"/>
    <d v="2025-04-16T00:00:00"/>
    <n v="37.416666666666664"/>
    <n v="22.45"/>
    <n v="172.34864999999999"/>
    <n v="6.0451999298491748"/>
    <n v="0.21094421105126143"/>
    <m/>
    <n v="172.34864999999999"/>
    <n v="6.0451999298491748"/>
    <m/>
    <n v="49.888888888888886"/>
    <x v="0"/>
  </r>
  <r>
    <x v="1"/>
    <s v="DVDU07MC"/>
    <x v="73"/>
    <x v="0"/>
    <x v="18"/>
    <n v="1"/>
    <s v="SO4"/>
    <n v="544.5"/>
    <n v="28.51"/>
    <n v="15354"/>
    <m/>
    <n v="15354"/>
    <n v="28.198347107438018"/>
    <n v="6.03"/>
    <n v="5.49"/>
    <n v="9.56"/>
    <n v="3.51"/>
    <n v="7.57"/>
    <n v="4.7699999999999996"/>
    <n v="6.1549999999999985"/>
    <m/>
    <x v="1"/>
    <m/>
    <n v="0.57999999999999996"/>
    <m/>
    <n v="0.45"/>
    <m/>
    <n v="0"/>
    <m/>
    <n v="0"/>
    <m/>
    <m/>
    <m/>
    <n v="0"/>
    <n v="0"/>
    <m/>
    <n v="0"/>
    <x v="0"/>
  </r>
  <r>
    <x v="1"/>
    <s v="DVDU1CSB"/>
    <x v="74"/>
    <x v="0"/>
    <x v="7"/>
    <n v="1"/>
    <s v="1616C"/>
    <n v="726"/>
    <n v="45.21"/>
    <n v="32514"/>
    <m/>
    <n v="32514"/>
    <n v="44.785123966942152"/>
    <m/>
    <m/>
    <n v="7.99"/>
    <n v="4.97"/>
    <n v="9.99"/>
    <n v="7.66"/>
    <n v="7.6525000000000007"/>
    <s v="No thin"/>
    <x v="0"/>
    <m/>
    <m/>
    <m/>
    <n v="0.35"/>
    <d v="2025-04-22T00:00:00"/>
    <n v="71.166666666666671"/>
    <n v="24.908333333333335"/>
    <n v="404.934775"/>
    <n v="8.9567523777925242"/>
    <n v="0.14477930427190405"/>
    <m/>
    <n v="404.934775"/>
    <n v="8.9567523777925242"/>
    <m/>
    <n v="71.166666666666686"/>
    <x v="1"/>
  </r>
  <r>
    <x v="1"/>
    <s v="DVMA01PN"/>
    <x v="75"/>
    <x v="0"/>
    <x v="16"/>
    <s v="various"/>
    <s v="101-14"/>
    <n v="691.42857142857144"/>
    <n v="25.68"/>
    <n v="22760"/>
    <m/>
    <n v="22760"/>
    <n v="32.917355371900825"/>
    <m/>
    <m/>
    <m/>
    <m/>
    <m/>
    <n v="8.69"/>
    <m/>
    <s v="No thin"/>
    <x v="0"/>
    <m/>
    <n v="0.31"/>
    <m/>
    <n v="0.38"/>
    <d v="2025-04-16T00:00:00"/>
    <n v="88.05"/>
    <n v="27.295500000000001"/>
    <n v="310.62278999999995"/>
    <n v="12.095903037383176"/>
    <n v="0.28157492887112362"/>
    <n v="8"/>
    <n v="105.18278999999995"/>
    <n v="4.0959030373831755"/>
    <m/>
    <n v="29.81540620216564"/>
    <x v="0"/>
  </r>
  <r>
    <x v="1"/>
    <s v="DVMA01PN"/>
    <x v="75"/>
    <x v="0"/>
    <x v="16"/>
    <s v="various"/>
    <s v="101-14"/>
    <n v="691.42857142857144"/>
    <n v="25.68"/>
    <n v="22760"/>
    <m/>
    <n v="22760"/>
    <n v="32.917355371900825"/>
    <m/>
    <m/>
    <m/>
    <m/>
    <m/>
    <n v="8.69"/>
    <m/>
    <s v="No thin"/>
    <x v="0"/>
    <m/>
    <n v="0.31"/>
    <m/>
    <n v="0.38"/>
    <d v="2025-05-09T00:00:00"/>
    <n v="62"/>
    <n v="19.22"/>
    <n v="218.72359999999998"/>
    <n v="8.5172741433021795"/>
    <n v="-2.0279476014476806E-2"/>
    <n v="8"/>
    <n v="13.283599999999979"/>
    <n v="0.5172741433021798"/>
    <m/>
    <n v="3.7654062021656496"/>
    <x v="0"/>
  </r>
  <r>
    <x v="1"/>
    <s v="DVMA01PN"/>
    <x v="76"/>
    <x v="0"/>
    <x v="16"/>
    <s v="various"/>
    <s v="101-14"/>
    <n v="691.42857142857144"/>
    <n v="11.48"/>
    <n v="7826"/>
    <m/>
    <n v="7826"/>
    <n v="11.318595041322315"/>
    <m/>
    <m/>
    <m/>
    <m/>
    <m/>
    <n v="8.69"/>
    <m/>
    <m/>
    <x v="1"/>
    <m/>
    <n v="0.32"/>
    <m/>
    <n v="0.38"/>
    <m/>
    <n v="0"/>
    <m/>
    <n v="0"/>
    <m/>
    <m/>
    <m/>
    <n v="0"/>
    <n v="0"/>
    <m/>
    <n v="0"/>
    <x v="0"/>
  </r>
  <r>
    <x v="1"/>
    <s v="DVMA01PN"/>
    <x v="77"/>
    <x v="0"/>
    <x v="16"/>
    <s v="various"/>
    <s v="101-14"/>
    <n v="691.42857142857144"/>
    <n v="0.18078512396694216"/>
    <n v="125"/>
    <m/>
    <n v="125"/>
    <n v="0.18078512396694216"/>
    <m/>
    <m/>
    <m/>
    <m/>
    <m/>
    <n v="8.69"/>
    <m/>
    <m/>
    <x v="1"/>
    <m/>
    <n v="0.3"/>
    <m/>
    <n v="0.36"/>
    <m/>
    <n v="0"/>
    <m/>
    <n v="0"/>
    <m/>
    <m/>
    <m/>
    <n v="0"/>
    <n v="0"/>
    <m/>
    <n v="0"/>
    <x v="0"/>
  </r>
  <r>
    <x v="1"/>
    <s v="DVMA01PN"/>
    <x v="78"/>
    <x v="0"/>
    <x v="16"/>
    <s v="various"/>
    <s v="101-14"/>
    <n v="691.42857142857144"/>
    <n v="2.8911157024793388"/>
    <n v="1999"/>
    <m/>
    <n v="1999"/>
    <n v="2.8911157024793388"/>
    <m/>
    <m/>
    <m/>
    <m/>
    <m/>
    <n v="8.69"/>
    <m/>
    <m/>
    <x v="1"/>
    <m/>
    <n v="0.32"/>
    <m/>
    <n v="0.38"/>
    <m/>
    <n v="0"/>
    <m/>
    <n v="0"/>
    <m/>
    <m/>
    <m/>
    <n v="0"/>
    <n v="0"/>
    <m/>
    <n v="0"/>
    <x v="0"/>
  </r>
  <r>
    <x v="1"/>
    <s v="DVMA01PN"/>
    <x v="79"/>
    <x v="0"/>
    <x v="16"/>
    <s v="various"/>
    <s v="101-14"/>
    <n v="691.42857142857144"/>
    <n v="2.8882231404958678"/>
    <n v="1997"/>
    <m/>
    <n v="1997"/>
    <n v="2.8882231404958678"/>
    <m/>
    <m/>
    <m/>
    <m/>
    <m/>
    <n v="8.69"/>
    <m/>
    <m/>
    <x v="1"/>
    <m/>
    <n v="0.32"/>
    <m/>
    <n v="0.38"/>
    <m/>
    <n v="0"/>
    <m/>
    <n v="0"/>
    <m/>
    <m/>
    <m/>
    <n v="0"/>
    <n v="0"/>
    <m/>
    <n v="0"/>
    <x v="0"/>
  </r>
  <r>
    <x v="1"/>
    <s v="DVMA01PN"/>
    <x v="80"/>
    <x v="0"/>
    <x v="16"/>
    <s v="various"/>
    <s v="101-14"/>
    <n v="691.42857142857144"/>
    <n v="2.9576446280991733"/>
    <n v="2045"/>
    <m/>
    <n v="2045"/>
    <n v="2.9576446280991733"/>
    <m/>
    <m/>
    <m/>
    <m/>
    <m/>
    <n v="8.69"/>
    <m/>
    <m/>
    <x v="1"/>
    <m/>
    <n v="0.32"/>
    <m/>
    <n v="0.38"/>
    <m/>
    <n v="0"/>
    <m/>
    <n v="0"/>
    <m/>
    <m/>
    <m/>
    <n v="0"/>
    <n v="0"/>
    <m/>
    <n v="0"/>
    <x v="0"/>
  </r>
  <r>
    <x v="1"/>
    <s v="DVMA02PG"/>
    <x v="81"/>
    <x v="0"/>
    <x v="10"/>
    <s v="various"/>
    <s v="various"/>
    <n v="907.5"/>
    <n v="102.93"/>
    <n v="94178"/>
    <m/>
    <n v="94178"/>
    <n v="103.77741046831956"/>
    <n v="10.08"/>
    <n v="9.42"/>
    <n v="11.05"/>
    <n v="11.43"/>
    <n v="11.15"/>
    <n v="6.66"/>
    <n v="9.9650000000000016"/>
    <m/>
    <x v="1"/>
    <m/>
    <m/>
    <m/>
    <m/>
    <m/>
    <m/>
    <m/>
    <n v="0"/>
    <m/>
    <m/>
    <m/>
    <n v="0"/>
    <n v="0"/>
    <m/>
    <e v="#DIV/0!"/>
    <x v="1"/>
  </r>
  <r>
    <x v="1"/>
    <s v="DVMA02PG"/>
    <x v="82"/>
    <x v="0"/>
    <x v="10"/>
    <s v="various"/>
    <s v="various"/>
    <n v="907.5"/>
    <n v="39.11"/>
    <n v="35492.324999999997"/>
    <m/>
    <n v="35492.324999999997"/>
    <n v="39.11"/>
    <n v="10.08"/>
    <n v="9.42"/>
    <n v="11.05"/>
    <n v="11.43"/>
    <n v="11.15"/>
    <n v="6.66"/>
    <n v="9.9650000000000016"/>
    <m/>
    <x v="1"/>
    <m/>
    <n v="0.32"/>
    <m/>
    <n v="0.32"/>
    <m/>
    <n v="0"/>
    <m/>
    <n v="0"/>
    <m/>
    <m/>
    <m/>
    <n v="0"/>
    <n v="0"/>
    <m/>
    <n v="0"/>
    <x v="1"/>
  </r>
  <r>
    <x v="1"/>
    <s v="DVMA02PG"/>
    <x v="83"/>
    <x v="0"/>
    <x v="10"/>
    <s v="various"/>
    <s v="various"/>
    <n v="907.5"/>
    <n v="43.2"/>
    <n v="39204"/>
    <m/>
    <n v="39204"/>
    <n v="43.2"/>
    <n v="10.08"/>
    <n v="9.42"/>
    <n v="11.05"/>
    <n v="11.43"/>
    <n v="11.15"/>
    <n v="6.66"/>
    <n v="9.9650000000000016"/>
    <m/>
    <x v="1"/>
    <m/>
    <n v="0.32"/>
    <m/>
    <n v="0.32"/>
    <m/>
    <n v="0"/>
    <m/>
    <n v="0"/>
    <m/>
    <m/>
    <m/>
    <n v="0"/>
    <n v="0"/>
    <m/>
    <n v="0"/>
    <x v="1"/>
  </r>
  <r>
    <x v="1"/>
    <s v="FFRY01PN"/>
    <x v="84"/>
    <x v="0"/>
    <x v="16"/>
    <m/>
    <s v="101-14"/>
    <n v="622.28571428571433"/>
    <n v="38.21"/>
    <n v="23319"/>
    <n v="0.02"/>
    <n v="22852.62"/>
    <n v="36.723677685950406"/>
    <m/>
    <n v="2.15"/>
    <n v="5.5"/>
    <n v="5.82"/>
    <n v="8.83"/>
    <n v="8.9499999999999993"/>
    <n v="6.25"/>
    <s v="No thin"/>
    <x v="2"/>
    <m/>
    <n v="0.34"/>
    <m/>
    <n v="0.32"/>
    <d v="2025-04-16T00:00:00"/>
    <n v="165.4375"/>
    <n v="56.248750000000001"/>
    <n v="642.71565461249997"/>
    <n v="16.820613834401989"/>
    <n v="0.46791478074984344"/>
    <n v="10"/>
    <n v="260.61565461249995"/>
    <n v="6.8206138344019873"/>
    <n v="100.43617998163452"/>
    <n v="69.8506728988432"/>
    <x v="1"/>
  </r>
  <r>
    <x v="1"/>
    <s v="FFRY01PN"/>
    <x v="84"/>
    <x v="0"/>
    <x v="16"/>
    <m/>
    <s v="101-14"/>
    <n v="622.28571428571433"/>
    <n v="38.21"/>
    <n v="23319"/>
    <n v="0.02"/>
    <n v="22852.62"/>
    <n v="36.723677685950406"/>
    <m/>
    <n v="2.15"/>
    <n v="5.5"/>
    <n v="5.82"/>
    <n v="8.83"/>
    <n v="8.9499999999999993"/>
    <n v="5.5750000000000002"/>
    <s v="B1 18 RPM / Upper 50 lower 40"/>
    <x v="0"/>
    <m/>
    <n v="0.34"/>
    <m/>
    <n v="0.32"/>
    <d v="2025-04-22T00:00:00"/>
    <n v="113.1875"/>
    <n v="38.483750000000001"/>
    <n v="439.72725746250001"/>
    <n v="11.508172139819418"/>
    <n v="0.22229178610979319"/>
    <n v="10"/>
    <n v="57.627257462499983"/>
    <n v="1.5081721398194186"/>
    <n v="100.43617998163452"/>
    <n v="15.445360398843212"/>
    <x v="1"/>
  </r>
  <r>
    <x v="1"/>
    <s v="FFRY01PN"/>
    <x v="84"/>
    <x v="0"/>
    <x v="16"/>
    <m/>
    <s v="101-14"/>
    <n v="622.28571428571433"/>
    <n v="38.21"/>
    <n v="23319"/>
    <n v="0.02"/>
    <n v="22852.62"/>
    <n v="36.723677685950406"/>
    <m/>
    <n v="2.15"/>
    <n v="5.5"/>
    <n v="5.82"/>
    <n v="8.83"/>
    <n v="8.9499999999999993"/>
    <n v="5.5750000000000002"/>
    <s v="B1 18 RPM / Upper 50 lower 50 - rows 37-60"/>
    <x v="0"/>
    <m/>
    <n v="0.34"/>
    <m/>
    <n v="0.32"/>
    <d v="2025-04-22T00:00:00"/>
    <n v="95.2"/>
    <n v="32.368000000000002"/>
    <n v="369.84680207999997"/>
    <n v="9.6793196042920684"/>
    <n v="7.5348230465359295E-2"/>
    <n v="10"/>
    <n v="-12.253197920000048"/>
    <n v="-0.32068039570793111"/>
    <n v="100.43617998163452"/>
    <n v="-3.2841239761567951"/>
    <x v="1"/>
  </r>
  <r>
    <x v="1"/>
    <s v="FFRY02PN"/>
    <x v="85"/>
    <x v="0"/>
    <x v="16"/>
    <n v="23"/>
    <s v="101-14"/>
    <n v="622.28571428571433"/>
    <n v="15.18"/>
    <n v="9294"/>
    <n v="0.01"/>
    <n v="9201.06"/>
    <n v="14.785909090909088"/>
    <n v="8"/>
    <n v="7.5"/>
    <n v="9.74"/>
    <n v="8.56"/>
    <n v="7.79"/>
    <n v="8.2200000000000006"/>
    <n v="8.3016666666666676"/>
    <s v="No thin"/>
    <x v="0"/>
    <m/>
    <n v="0.3"/>
    <m/>
    <n v="0.38"/>
    <d v="2025-04-16T00:00:00"/>
    <n v="89.066666666666663"/>
    <n v="26.72"/>
    <n v="122.92616159999999"/>
    <n v="8.0979026086956516"/>
    <n v="-1.5077656178926998E-2"/>
    <m/>
    <n v="122.92616159999999"/>
    <n v="8.0979026086956516"/>
    <m/>
    <n v="69.612631578947358"/>
    <x v="1"/>
  </r>
  <r>
    <x v="1"/>
    <s v="FFRY04CH"/>
    <x v="86"/>
    <x v="0"/>
    <x v="8"/>
    <n v="4"/>
    <s v="SO4"/>
    <n v="565.71428571428567"/>
    <n v="15.95"/>
    <n v="8947"/>
    <m/>
    <n v="8947"/>
    <n v="15.815404040404042"/>
    <m/>
    <m/>
    <m/>
    <m/>
    <m/>
    <n v="5.93"/>
    <m/>
    <s v="No thin"/>
    <x v="0"/>
    <m/>
    <m/>
    <m/>
    <n v="0.4"/>
    <d v="2025-04-22T00:00:00"/>
    <n v="70.875"/>
    <n v="28.35"/>
    <n v="126.82372500000001"/>
    <n v="7.9513307210031359"/>
    <n v="0.25421288485257798"/>
    <m/>
    <n v="126.82372500000001"/>
    <n v="7.9513307210031359"/>
    <m/>
    <n v="70.875"/>
    <x v="1"/>
  </r>
  <r>
    <x v="1"/>
    <s v="FFRY05CH"/>
    <x v="87"/>
    <x v="0"/>
    <x v="8"/>
    <m/>
    <s v="101-14"/>
    <n v="622.28571428571433"/>
    <n v="24.82"/>
    <n v="15330"/>
    <m/>
    <n v="15330"/>
    <n v="24.634986225895315"/>
    <n v="10.95"/>
    <n v="6.35"/>
    <n v="11"/>
    <n v="8.4499999999999993"/>
    <n v="6.95"/>
    <n v="8.1199999999999992"/>
    <n v="8.6366666666666667"/>
    <s v="No thin"/>
    <x v="0"/>
    <m/>
    <n v="0.42"/>
    <m/>
    <n v="0.4"/>
    <d v="2025-04-16T00:00:00"/>
    <n v="53.733333333333334"/>
    <n v="22.567999999999998"/>
    <n v="172.98371999999998"/>
    <n v="6.9695294117647046"/>
    <n v="-0.16507148765213292"/>
    <m/>
    <n v="172.98371999999998"/>
    <n v="6.9695294117647046"/>
    <m/>
    <n v="56.419999999999987"/>
    <x v="1"/>
  </r>
  <r>
    <x v="1"/>
    <s v="FFRY07CB"/>
    <x v="88"/>
    <x v="0"/>
    <x v="19"/>
    <m/>
    <s v="5C"/>
    <n v="565.71428571428567"/>
    <n v="16.46"/>
    <n v="9250"/>
    <m/>
    <n v="9250"/>
    <n v="16.351010101010104"/>
    <n v="8.6"/>
    <n v="7.65"/>
    <n v="9.1"/>
    <n v="6.4"/>
    <n v="3.04"/>
    <m/>
    <n v="6.9580000000000002"/>
    <m/>
    <x v="1"/>
    <m/>
    <m/>
    <m/>
    <n v="0.55000000000000004"/>
    <m/>
    <n v="0"/>
    <m/>
    <n v="0"/>
    <m/>
    <m/>
    <m/>
    <n v="0"/>
    <n v="0"/>
    <m/>
    <n v="0"/>
    <x v="1"/>
  </r>
  <r>
    <x v="1"/>
    <s v="FFRY09PN"/>
    <x v="89"/>
    <x v="0"/>
    <x v="16"/>
    <n v="71"/>
    <s v="101-14"/>
    <n v="622.28571428571433"/>
    <n v="4.53"/>
    <n v="2749"/>
    <m/>
    <n v="2749"/>
    <n v="4.4175849403122127"/>
    <m/>
    <n v="2.38"/>
    <n v="5.48"/>
    <n v="6.08"/>
    <n v="6.85"/>
    <n v="8.89"/>
    <n v="5.9359999999999999"/>
    <s v="B1 18 RPM / Upper 40 lower 40"/>
    <x v="0"/>
    <m/>
    <n v="0.3"/>
    <m/>
    <n v="0.38"/>
    <d v="2025-04-16T00:00:00"/>
    <n v="136.06666666666666"/>
    <n v="40.82"/>
    <n v="56.107090000000007"/>
    <n v="12.385671081677705"/>
    <n v="0.28223509720429274"/>
    <m/>
    <n v="56.107090000000007"/>
    <n v="12.385671081677705"/>
    <m/>
    <n v="107.42105263157896"/>
    <x v="1"/>
  </r>
  <r>
    <x v="1"/>
    <s v="FFRY09PN"/>
    <x v="89"/>
    <x v="0"/>
    <x v="16"/>
    <n v="71"/>
    <s v="101-14"/>
    <n v="622.28571428571433"/>
    <n v="4.53"/>
    <n v="2749"/>
    <m/>
    <n v="2749"/>
    <n v="4.4175849403122127"/>
    <m/>
    <n v="2.38"/>
    <n v="5.48"/>
    <n v="6.08"/>
    <n v="6.85"/>
    <n v="8.89"/>
    <n v="5.9359999999999999"/>
    <s v="No thin"/>
    <x v="2"/>
    <m/>
    <n v="0.3"/>
    <m/>
    <n v="0.38"/>
    <d v="2025-04-16T00:00:00"/>
    <n v="136.06666666666666"/>
    <n v="40.82"/>
    <n v="56.107090000000007"/>
    <n v="12.385671081677705"/>
    <n v="0.28223509720429274"/>
    <m/>
    <n v="56.107090000000007"/>
    <n v="12.385671081677705"/>
    <m/>
    <n v="107.42105263157896"/>
    <x v="1"/>
  </r>
  <r>
    <x v="1"/>
    <s v="FFRY10PN"/>
    <x v="90"/>
    <x v="0"/>
    <x v="16"/>
    <n v="71"/>
    <s v="101-14"/>
    <n v="622.28571428571433"/>
    <n v="9.48"/>
    <n v="5853"/>
    <m/>
    <n v="5853"/>
    <n v="9.4056473829201099"/>
    <m/>
    <n v="5.69"/>
    <n v="7.96"/>
    <n v="9.02"/>
    <n v="8.17"/>
    <n v="8.91"/>
    <n v="7.95"/>
    <s v="No thin"/>
    <x v="2"/>
    <m/>
    <n v="0.3"/>
    <m/>
    <n v="0.38"/>
    <d v="2025-04-16T00:00:00"/>
    <n v="178.375"/>
    <n v="53.512499999999996"/>
    <n v="156.60433125"/>
    <n v="16.519444224683543"/>
    <n v="0.46063560742034071"/>
    <m/>
    <n v="156.60433125"/>
    <n v="16.519444224683543"/>
    <m/>
    <n v="140.82236842105263"/>
    <x v="1"/>
  </r>
  <r>
    <x v="1"/>
    <s v="FFRY10PN"/>
    <x v="90"/>
    <x v="0"/>
    <x v="16"/>
    <n v="71"/>
    <s v="101-14"/>
    <n v="622.28571428571433"/>
    <n v="9.48"/>
    <n v="5853"/>
    <m/>
    <n v="5853"/>
    <n v="9.4056473829201099"/>
    <m/>
    <n v="5.69"/>
    <n v="7.96"/>
    <n v="9.02"/>
    <n v="8.17"/>
    <n v="8.91"/>
    <n v="7.95"/>
    <s v="B1 18 RPM / Upper 50 / Lower 40"/>
    <x v="0"/>
    <m/>
    <n v="0.3"/>
    <m/>
    <n v="0.38"/>
    <d v="2025-04-22T00:00:00"/>
    <n v="115.81818181818181"/>
    <n v="34.745454545454542"/>
    <n v="101.68257272727273"/>
    <n v="10.726009781357883"/>
    <n v="0.1693089805413156"/>
    <m/>
    <n v="101.68257272727273"/>
    <n v="10.726009781357883"/>
    <m/>
    <n v="91.435406698564577"/>
    <x v="1"/>
  </r>
  <r>
    <x v="1"/>
    <s v="FFRY3BAL"/>
    <x v="91"/>
    <x v="0"/>
    <x v="20"/>
    <n v="1"/>
    <s v="101-14"/>
    <n v="806.66666666666663"/>
    <n v="19.96"/>
    <n v="15190"/>
    <m/>
    <n v="15190"/>
    <n v="18.830578512396695"/>
    <n v="9.82"/>
    <n v="8.7899999999999991"/>
    <n v="10.78"/>
    <n v="9.7799999999999994"/>
    <n v="8.25"/>
    <n v="9.48"/>
    <n v="9.4833333333333343"/>
    <m/>
    <x v="1"/>
    <m/>
    <m/>
    <m/>
    <n v="0.3"/>
    <m/>
    <n v="0"/>
    <m/>
    <n v="0"/>
    <m/>
    <m/>
    <m/>
    <n v="0"/>
    <n v="0"/>
    <m/>
    <n v="0"/>
    <x v="1"/>
  </r>
  <r>
    <x v="1"/>
    <s v="FFRY3BAL"/>
    <x v="92"/>
    <x v="0"/>
    <x v="20"/>
    <n v="1"/>
    <s v="101-14"/>
    <n v="806.66666666666663"/>
    <n v="19.96"/>
    <n v="15190"/>
    <m/>
    <n v="15190"/>
    <n v="18.830578512396695"/>
    <m/>
    <m/>
    <m/>
    <m/>
    <m/>
    <n v="9.48"/>
    <m/>
    <m/>
    <x v="1"/>
    <m/>
    <m/>
    <m/>
    <n v="0.3"/>
    <m/>
    <n v="0"/>
    <m/>
    <n v="0"/>
    <m/>
    <m/>
    <m/>
    <n v="0"/>
    <n v="0"/>
    <m/>
    <n v="0"/>
    <x v="1"/>
  </r>
  <r>
    <x v="1"/>
    <s v="FFRY99PN"/>
    <x v="93"/>
    <x v="0"/>
    <x v="16"/>
    <m/>
    <m/>
    <n v="871"/>
    <n v="18.11"/>
    <n v="11709"/>
    <n v="0.03"/>
    <n v="11357.73"/>
    <n v="13.039873708381171"/>
    <m/>
    <m/>
    <m/>
    <m/>
    <m/>
    <n v="6.87"/>
    <m/>
    <s v="No thin"/>
    <x v="2"/>
    <m/>
    <n v="0.28000000000000003"/>
    <m/>
    <n v="0.38"/>
    <d v="2025-04-17T00:00:00"/>
    <n v="141.41666666666666"/>
    <n v="39.596666666666671"/>
    <n v="224.86412444999999"/>
    <n v="12.416572305356157"/>
    <n v="0.44670720460940117"/>
    <n v="8"/>
    <n v="79.984124449999996"/>
    <n v="4.4165723053561567"/>
    <m/>
    <n v="35.952607058897563"/>
    <x v="1"/>
  </r>
  <r>
    <x v="1"/>
    <s v="FFRY99PN"/>
    <x v="93"/>
    <x v="0"/>
    <x v="16"/>
    <m/>
    <m/>
    <n v="871"/>
    <n v="18.11"/>
    <n v="11709"/>
    <n v="0.03"/>
    <n v="11357.73"/>
    <n v="13.039873708381171"/>
    <m/>
    <m/>
    <m/>
    <m/>
    <m/>
    <n v="6.87"/>
    <m/>
    <s v="2/spur + 3/spur in open areas + xtra in head when open"/>
    <x v="0"/>
    <m/>
    <n v="0.28000000000000003"/>
    <m/>
    <n v="0.38"/>
    <d v="2025-04-17T00:00:00"/>
    <n v="116"/>
    <n v="32.480000000000004"/>
    <n v="184.44953520000001"/>
    <n v="10.184955008282717"/>
    <n v="0.32547566538947831"/>
    <n v="8"/>
    <n v="39.569535200000018"/>
    <n v="2.1849550082827176"/>
    <m/>
    <n v="17.786378988722134"/>
    <x v="1"/>
  </r>
  <r>
    <x v="1"/>
    <s v="MFRN00PN"/>
    <x v="94"/>
    <x v="0"/>
    <x v="16"/>
    <m/>
    <m/>
    <n v="807"/>
    <n v="4.5999999999999996"/>
    <n v="3709"/>
    <m/>
    <n v="3709"/>
    <n v="4.596034696406444"/>
    <m/>
    <m/>
    <m/>
    <m/>
    <m/>
    <n v="6.77"/>
    <m/>
    <m/>
    <x v="1"/>
    <m/>
    <m/>
    <m/>
    <m/>
    <m/>
    <m/>
    <m/>
    <n v="0"/>
    <m/>
    <m/>
    <m/>
    <n v="0"/>
    <n v="0"/>
    <m/>
    <m/>
    <x v="1"/>
  </r>
  <r>
    <x v="1"/>
    <s v="MFRN01PN"/>
    <x v="95"/>
    <x v="0"/>
    <x v="16"/>
    <n v="667"/>
    <s v="5BB"/>
    <n v="806.66666666666663"/>
    <n v="34.57"/>
    <n v="27381"/>
    <m/>
    <n v="27381"/>
    <n v="33.943388429752069"/>
    <m/>
    <n v="7.95"/>
    <n v="10.97"/>
    <n v="10.23"/>
    <n v="8.6"/>
    <n v="8.48"/>
    <n v="9.2460000000000004"/>
    <s v="No thin"/>
    <x v="0"/>
    <m/>
    <n v="0.31"/>
    <m/>
    <n v="0.38"/>
    <d v="2025-04-22T00:00:00"/>
    <n v="91.3125"/>
    <n v="28.306875000000002"/>
    <n v="387.53527218750003"/>
    <n v="11.210161185637837"/>
    <n v="0.24354343710379892"/>
    <n v="8"/>
    <n v="110.97527218750002"/>
    <n v="3.2101611856378369"/>
    <n v="63.982937883231145"/>
    <n v="21.331594168737837"/>
    <x v="0"/>
  </r>
  <r>
    <x v="1"/>
    <s v="MFRN02PN"/>
    <x v="96"/>
    <x v="0"/>
    <x v="16"/>
    <s v="667/777"/>
    <s v="101-14"/>
    <n v="806.66666666666663"/>
    <n v="45.71"/>
    <n v="36610"/>
    <n v="0.05"/>
    <n v="34779.5"/>
    <n v="43.115082644628103"/>
    <m/>
    <n v="7.1"/>
    <n v="11.32"/>
    <n v="10.95"/>
    <n v="9.01"/>
    <n v="7.29"/>
    <n v="9.1340000000000003"/>
    <s v="No thin"/>
    <x v="2"/>
    <m/>
    <n v="0.33"/>
    <m/>
    <n v="0.38"/>
    <d v="2025-04-15T00:00:00"/>
    <n v="133"/>
    <n v="43.89"/>
    <n v="763.23612750000007"/>
    <n v="16.697355666156202"/>
    <n v="0.56340392180924381"/>
    <n v="8"/>
    <n v="397.55612750000006"/>
    <n v="8.6973556661562039"/>
    <n v="52.19660722053068"/>
    <n v="57.153801449129524"/>
    <x v="0"/>
  </r>
  <r>
    <x v="1"/>
    <s v="MFRN02PN"/>
    <x v="96"/>
    <x v="0"/>
    <x v="16"/>
    <s v="667/777"/>
    <s v="101-14"/>
    <n v="806.66666666666663"/>
    <n v="45.71"/>
    <n v="36610"/>
    <n v="0.05"/>
    <n v="34779.5"/>
    <n v="43.115082644628103"/>
    <m/>
    <n v="7.1"/>
    <n v="11.32"/>
    <n v="10.95"/>
    <n v="9.01"/>
    <n v="7.29"/>
    <n v="9.1340000000000003"/>
    <s v="No thin"/>
    <x v="2"/>
    <m/>
    <n v="0.33"/>
    <m/>
    <n v="0.38"/>
    <d v="2025-04-22T00:00:00"/>
    <n v="118.5625"/>
    <n v="39.125624999999999"/>
    <n v="680.38483734374995"/>
    <n v="14.884813768185298"/>
    <n v="0.51023908571959442"/>
    <n v="8"/>
    <n v="314.70483734374994"/>
    <n v="6.884813768185297"/>
    <n v="52.19660722053068"/>
    <n v="45.242863949129507"/>
    <x v="0"/>
  </r>
  <r>
    <x v="1"/>
    <s v="MFRN02PN"/>
    <x v="96"/>
    <x v="0"/>
    <x v="16"/>
    <s v="667/777"/>
    <s v="101-14"/>
    <n v="806.66666666666663"/>
    <n v="45.71"/>
    <n v="36610"/>
    <n v="0.05"/>
    <n v="34779.5"/>
    <n v="43.115082644628103"/>
    <m/>
    <n v="7.1"/>
    <n v="11.32"/>
    <n v="10.95"/>
    <n v="9.01"/>
    <n v="7.29"/>
    <n v="9.1340000000000003"/>
    <s v="3x pico o doble depende los espacios y remplazar los brazos "/>
    <x v="0"/>
    <m/>
    <n v="0.33"/>
    <m/>
    <n v="0.38"/>
    <d v="2025-04-23T00:00:00"/>
    <n v="87.666666666666671"/>
    <n v="28.930000000000003"/>
    <n v="503.08546750000005"/>
    <n v="11.006026416539051"/>
    <n v="0.33763560761174244"/>
    <n v="8"/>
    <n v="137.40546750000004"/>
    <n v="3.0060264165390516"/>
    <n v="52.19660722053068"/>
    <n v="19.753801449129526"/>
    <x v="0"/>
  </r>
  <r>
    <x v="1"/>
    <s v="MFRN03PG"/>
    <x v="97"/>
    <x v="0"/>
    <x v="10"/>
    <n v="146"/>
    <s v="101-14"/>
    <n v="806.66666666666663"/>
    <n v="45.11"/>
    <n v="36108"/>
    <m/>
    <n v="36108"/>
    <n v="44.76198347107438"/>
    <m/>
    <n v="7.95"/>
    <n v="11.72"/>
    <n v="9.67"/>
    <n v="9.84"/>
    <n v="9.9700000000000006"/>
    <n v="9.8300000000000018"/>
    <s v="limpiar la babeza y algo extra si no hay pico"/>
    <x v="0"/>
    <m/>
    <n v="0.33"/>
    <m/>
    <n v="0.32"/>
    <d v="2025-04-23T00:00:00"/>
    <n v="89.428571428571431"/>
    <n v="29.511428571428574"/>
    <n v="532.79933142857146"/>
    <n v="11.811113532001141"/>
    <n v="0.15587975909407778"/>
    <m/>
    <n v="532.79933142857146"/>
    <n v="11.811113532001141"/>
    <m/>
    <n v="92.223214285714292"/>
    <x v="1"/>
  </r>
  <r>
    <x v="1"/>
    <s v="MJMJ01CH"/>
    <x v="98"/>
    <x v="0"/>
    <x v="8"/>
    <m/>
    <s v="Freedom"/>
    <n v="622.28571428571433"/>
    <n v="29.04"/>
    <n v="17694"/>
    <m/>
    <n v="17694"/>
    <n v="28.43388429752066"/>
    <n v="7.72"/>
    <n v="5.92"/>
    <n v="7.01"/>
    <n v="0.33"/>
    <n v="7.46"/>
    <n v="5.54"/>
    <n v="5.6633333333333331"/>
    <s v="No thin"/>
    <x v="0"/>
    <m/>
    <n v="0.35"/>
    <m/>
    <n v="0.4"/>
    <d v="2025-04-25T00:00:00"/>
    <n v="50.85"/>
    <n v="17.797499999999999"/>
    <n v="157.45448249999998"/>
    <n v="5.4219863119834706"/>
    <n v="-2.1765766496993921E-2"/>
    <m/>
    <n v="157.45448249999998"/>
    <n v="5.4219863119834706"/>
    <m/>
    <n v="44.493749999999991"/>
    <x v="0"/>
  </r>
  <r>
    <x v="1"/>
    <s v="MJMJ02PG"/>
    <x v="99"/>
    <x v="0"/>
    <x v="10"/>
    <n v="4"/>
    <s v="SO4"/>
    <n v="691.42857142857144"/>
    <n v="44"/>
    <n v="30422.857142857145"/>
    <m/>
    <n v="30422.857142857145"/>
    <n v="44"/>
    <n v="10.61"/>
    <n v="9.2899999999999991"/>
    <n v="9.68"/>
    <n v="5.42"/>
    <n v="10.89"/>
    <n v="7.53"/>
    <n v="8.9033333333333342"/>
    <s v="No thin"/>
    <x v="0"/>
    <m/>
    <n v="0.3"/>
    <m/>
    <n v="0.32"/>
    <d v="2025-04-25T00:00:00"/>
    <n v="76.5"/>
    <n v="22.95"/>
    <n v="349.10228571428576"/>
    <n v="7.9341428571428585"/>
    <n v="5.0937179279425399E-2"/>
    <m/>
    <m/>
    <m/>
    <m/>
    <m/>
    <x v="1"/>
  </r>
  <r>
    <x v="1"/>
    <s v="MJMJ02PG"/>
    <x v="99"/>
    <x v="0"/>
    <x v="10"/>
    <n v="4"/>
    <s v="SO4"/>
    <n v="691.42857142857144"/>
    <n v="44"/>
    <n v="30422.857142857145"/>
    <m/>
    <n v="30422.857142857145"/>
    <n v="44"/>
    <n v="10.61"/>
    <n v="9.2899999999999991"/>
    <n v="9.68"/>
    <n v="5.42"/>
    <n v="10.89"/>
    <n v="7.53"/>
    <n v="8.9033333333333342"/>
    <s v="No thin"/>
    <x v="0"/>
    <m/>
    <n v="0.3"/>
    <m/>
    <n v="0.32"/>
    <d v="2025-05-06T00:00:00"/>
    <n v="78.416666666666671"/>
    <n v="23.525000000000002"/>
    <n v="357.84885714285724"/>
    <n v="8.1329285714285735"/>
    <n v="7.4134251411809335E-2"/>
    <m/>
    <m/>
    <m/>
    <m/>
    <m/>
    <x v="1"/>
  </r>
  <r>
    <x v="1"/>
    <s v="MJMJ02PG"/>
    <x v="100"/>
    <x v="2"/>
    <x v="10"/>
    <n v="4"/>
    <s v="SO4"/>
    <n v="691.42857142857144"/>
    <n v="22"/>
    <n v="15211.428571428572"/>
    <m/>
    <n v="15211.428571428572"/>
    <n v="22"/>
    <n v="10.61"/>
    <m/>
    <m/>
    <m/>
    <m/>
    <m/>
    <n v="10.61"/>
    <m/>
    <x v="1"/>
    <m/>
    <n v="0.3"/>
    <m/>
    <n v="0.32"/>
    <m/>
    <n v="0"/>
    <n v="0"/>
    <n v="0"/>
    <n v="0"/>
    <s v=""/>
    <m/>
    <m/>
    <m/>
    <m/>
    <m/>
    <x v="1"/>
  </r>
  <r>
    <x v="1"/>
    <s v="MJMJ03CB"/>
    <x v="101"/>
    <x v="0"/>
    <x v="19"/>
    <n v="6"/>
    <s v="SO4.1"/>
    <n v="726"/>
    <n v="19.38"/>
    <n v="14094"/>
    <m/>
    <n v="14094"/>
    <n v="19.41322314049587"/>
    <m/>
    <m/>
    <m/>
    <n v="7.32"/>
    <n v="12.66"/>
    <n v="15.4"/>
    <n v="9.99"/>
    <s v="1 rama por pico"/>
    <x v="0"/>
    <m/>
    <n v="0.55000000000000004"/>
    <m/>
    <n v="0.45"/>
    <d v="2025-04-17T00:00:00"/>
    <n v="70"/>
    <n v="38.5"/>
    <n v="271.30950000000001"/>
    <n v="13.999458204334367"/>
    <n v="-0.10004257130693903"/>
    <n v="12"/>
    <n v="38.749500000000012"/>
    <n v="1.9994582043343661"/>
    <n v="60.105184072126221"/>
    <n v="12.219384135092952"/>
    <x v="0"/>
  </r>
  <r>
    <x v="1"/>
    <s v="MJMJ03CB"/>
    <x v="101"/>
    <x v="0"/>
    <x v="19"/>
    <n v="6"/>
    <s v="SO4.1"/>
    <n v="726"/>
    <n v="19.38"/>
    <n v="14094"/>
    <m/>
    <n v="14094"/>
    <n v="19.41322314049587"/>
    <m/>
    <m/>
    <m/>
    <n v="7.32"/>
    <n v="12.66"/>
    <n v="15.4"/>
    <n v="9.99"/>
    <s v="1 rama por pico"/>
    <x v="0"/>
    <m/>
    <n v="0.55000000000000004"/>
    <m/>
    <n v="0.45"/>
    <d v="2025-04-18T00:00:00"/>
    <n v="67.615384615384613"/>
    <n v="37.188461538461539"/>
    <n v="262.06708846153845"/>
    <n v="13.522553584186712"/>
    <n v="-0.13883815687066506"/>
    <n v="12"/>
    <n v="29.507088461538444"/>
    <n v="1.5225535841867104"/>
    <n v="60.105184072126221"/>
    <n v="9.304854220563028"/>
    <x v="0"/>
  </r>
  <r>
    <x v="1"/>
    <s v="MJMJ04CB"/>
    <x v="102"/>
    <x v="0"/>
    <x v="19"/>
    <s v="4/1"/>
    <s v="SO4/SO4.1"/>
    <n v="726"/>
    <n v="36.770000000000003"/>
    <n v="26701"/>
    <m/>
    <n v="26701"/>
    <n v="36.778236914600548"/>
    <m/>
    <m/>
    <m/>
    <m/>
    <m/>
    <n v="8.61"/>
    <m/>
    <s v="1 rama por pico"/>
    <x v="0"/>
    <m/>
    <n v="0.55000000000000004"/>
    <m/>
    <n v="0.55000000000000004"/>
    <d v="2025-04-18T00:00:00"/>
    <n v="66.384615384615387"/>
    <n v="36.511538461538464"/>
    <n v="487.44729423076927"/>
    <n v="13.256657444404929"/>
    <n v="0.35051501209047881"/>
    <m/>
    <n v="487.44729423076927"/>
    <n v="13.256657444404929"/>
    <m/>
    <n v="66.384615384615387"/>
    <x v="0"/>
  </r>
  <r>
    <x v="1"/>
    <s v="MJMJ04CB"/>
    <x v="102"/>
    <x v="0"/>
    <x v="19"/>
    <s v="4/1"/>
    <s v="SO4/SO4.1"/>
    <n v="726"/>
    <n v="36.770000000000003"/>
    <n v="26701"/>
    <m/>
    <n v="26701"/>
    <n v="36.778236914600548"/>
    <m/>
    <m/>
    <m/>
    <m/>
    <m/>
    <n v="8.61"/>
    <m/>
    <s v="1 rama por pico"/>
    <x v="0"/>
    <m/>
    <n v="0.55000000000000004"/>
    <m/>
    <n v="0.55000000000000004"/>
    <d v="2025-05-06T00:00:00"/>
    <n v="76.875"/>
    <n v="42.28125"/>
    <n v="564.47582812500002"/>
    <n v="15.351531904405764"/>
    <n v="0.43914392038432337"/>
    <m/>
    <n v="564.47582812500002"/>
    <n v="15.351531904405764"/>
    <m/>
    <n v="76.874999999999986"/>
    <x v="0"/>
  </r>
  <r>
    <x v="1"/>
    <s v="ONMI01CS"/>
    <x v="103"/>
    <x v="1"/>
    <x v="0"/>
    <n v="47"/>
    <s v="GRN2"/>
    <n v="807"/>
    <n v="36.130000000000003"/>
    <n v="28941"/>
    <m/>
    <n v="28941"/>
    <n v="35.862453531598511"/>
    <m/>
    <m/>
    <m/>
    <m/>
    <m/>
    <n v="4.93"/>
    <m/>
    <s v="No thin"/>
    <x v="2"/>
    <m/>
    <n v="0.34"/>
    <m/>
    <n v="0.38"/>
    <d v="2025-04-30T00:00:00"/>
    <n v="69.349999999999994"/>
    <n v="23.579000000000001"/>
    <n v="341.19991950000002"/>
    <n v="9.443673387766399"/>
    <n v="0.47795737976427044"/>
    <m/>
    <n v="341.19991950000002"/>
    <n v="9.443673387766399"/>
    <m/>
    <n v="62.050000000000004"/>
    <x v="1"/>
  </r>
  <r>
    <x v="1"/>
    <s v="ONMI01CS"/>
    <x v="103"/>
    <x v="1"/>
    <x v="0"/>
    <n v="47"/>
    <s v="GRN2"/>
    <n v="807"/>
    <n v="36.130000000000003"/>
    <n v="28941"/>
    <m/>
    <n v="28941"/>
    <n v="35.862453531598511"/>
    <m/>
    <m/>
    <m/>
    <m/>
    <m/>
    <n v="4.93"/>
    <m/>
    <s v="Post thin"/>
    <x v="3"/>
    <m/>
    <n v="0.34"/>
    <m/>
    <n v="0.38"/>
    <d v="2025-05-01T00:00:00"/>
    <n v="64.909090909090907"/>
    <n v="22.06909090909091"/>
    <n v="319.35078000000004"/>
    <n v="8.8389366177691677"/>
    <n v="0.44224059825374473"/>
    <m/>
    <n v="319.35078000000004"/>
    <n v="8.8389366177691677"/>
    <m/>
    <n v="58.076555023923447"/>
    <x v="1"/>
  </r>
  <r>
    <x v="1"/>
    <s v="ONMI01CS"/>
    <x v="103"/>
    <x v="1"/>
    <x v="0"/>
    <n v="47"/>
    <s v="GRN2"/>
    <n v="807"/>
    <n v="36.130000000000003"/>
    <n v="28941"/>
    <m/>
    <n v="28941"/>
    <n v="35.862453531598511"/>
    <m/>
    <m/>
    <m/>
    <m/>
    <m/>
    <n v="4.93"/>
    <m/>
    <s v="No thin"/>
    <x v="2"/>
    <m/>
    <n v="0.34"/>
    <m/>
    <n v="0.38"/>
    <d v="2025-05-02T00:00:00"/>
    <n v="81.111111111111114"/>
    <n v="27.577777777777779"/>
    <n v="399.06423333333333"/>
    <n v="11.045232032475321"/>
    <n v="0.5536535596984512"/>
    <m/>
    <n v="399.06423333333333"/>
    <n v="11.045232032475321"/>
    <m/>
    <n v="72.57309941520468"/>
    <x v="1"/>
  </r>
  <r>
    <x v="1"/>
    <s v="ONMI01CS"/>
    <x v="103"/>
    <x v="1"/>
    <x v="0"/>
    <n v="47"/>
    <s v="GRN2"/>
    <n v="807"/>
    <n v="36.130000000000003"/>
    <n v="28941"/>
    <m/>
    <n v="28941"/>
    <n v="35.862453531598511"/>
    <m/>
    <m/>
    <m/>
    <m/>
    <m/>
    <n v="4.93"/>
    <m/>
    <s v="Post thin"/>
    <x v="0"/>
    <m/>
    <n v="0.34"/>
    <m/>
    <n v="0.38"/>
    <d v="2025-05-06T00:00:00"/>
    <n v="70.36666666666666"/>
    <n v="23.924666666666667"/>
    <n v="346.20188900000005"/>
    <n v="9.5821170495433172"/>
    <n v="0.48549991880604682"/>
    <m/>
    <n v="346.20188900000005"/>
    <n v="9.5821170495433172"/>
    <m/>
    <n v="62.959649122807022"/>
    <x v="1"/>
  </r>
  <r>
    <x v="1"/>
    <s v="ONMI02CS"/>
    <x v="104"/>
    <x v="1"/>
    <x v="0"/>
    <n v="47"/>
    <s v="1103P"/>
    <n v="807"/>
    <n v="41.4"/>
    <n v="33182"/>
    <m/>
    <n v="33182"/>
    <n v="41.117719950433703"/>
    <m/>
    <m/>
    <m/>
    <m/>
    <m/>
    <n v="5.23"/>
    <m/>
    <s v="No thin"/>
    <x v="2"/>
    <m/>
    <n v="0.34"/>
    <m/>
    <n v="0.38"/>
    <d v="2025-05-01T00:00:00"/>
    <n v="71.599999999999994"/>
    <n v="24.344000000000001"/>
    <n v="403.89130399999999"/>
    <n v="9.7558285990338174"/>
    <n v="0.46391022075582988"/>
    <m/>
    <n v="403.89130399999999"/>
    <n v="9.7558285990338174"/>
    <m/>
    <n v="64.063157894736847"/>
    <x v="1"/>
  </r>
  <r>
    <x v="1"/>
    <s v="ONMI02CS"/>
    <x v="104"/>
    <x v="1"/>
    <x v="0"/>
    <n v="47"/>
    <s v="1103P"/>
    <n v="807"/>
    <n v="41.4"/>
    <n v="33182"/>
    <m/>
    <n v="33182"/>
    <n v="41.117719950433703"/>
    <m/>
    <m/>
    <m/>
    <m/>
    <m/>
    <n v="5.23"/>
    <m/>
    <s v="Post thin"/>
    <x v="3"/>
    <m/>
    <n v="0.34"/>
    <m/>
    <n v="0.38"/>
    <d v="2025-05-01T00:00:00"/>
    <n v="64.571428571428569"/>
    <n v="21.954285714285714"/>
    <n v="364.24355428571431"/>
    <n v="8.7981534851621817"/>
    <n v="0.40555708549296893"/>
    <m/>
    <n v="364.24355428571431"/>
    <n v="8.7981534851621817"/>
    <m/>
    <n v="57.774436090225564"/>
    <x v="1"/>
  </r>
  <r>
    <x v="1"/>
    <s v="ONMI02CS"/>
    <x v="104"/>
    <x v="1"/>
    <x v="0"/>
    <n v="47"/>
    <s v="1103P"/>
    <n v="807"/>
    <n v="41.4"/>
    <n v="33182"/>
    <m/>
    <n v="33182"/>
    <n v="41.117719950433703"/>
    <m/>
    <m/>
    <m/>
    <m/>
    <m/>
    <n v="5.23"/>
    <m/>
    <s v="Post thin"/>
    <x v="0"/>
    <m/>
    <n v="0.34"/>
    <m/>
    <n v="0.38"/>
    <d v="2025-05-06T00:00:00"/>
    <n v="77.34375"/>
    <n v="26.296875000000004"/>
    <n v="436.29145312500003"/>
    <n v="10.538440896739132"/>
    <n v="0.50372165567505356"/>
    <m/>
    <n v="436.29145312500003"/>
    <n v="10.538440896739132"/>
    <m/>
    <n v="69.202302631578959"/>
    <x v="1"/>
  </r>
  <r>
    <x v="1"/>
    <s v="ONMI05CS"/>
    <x v="105"/>
    <x v="1"/>
    <x v="0"/>
    <n v="7"/>
    <s v="1616C"/>
    <n v="807"/>
    <n v="32.99"/>
    <n v="26335"/>
    <m/>
    <n v="26335"/>
    <n v="32.633209417596035"/>
    <m/>
    <m/>
    <m/>
    <m/>
    <m/>
    <n v="4.59"/>
    <m/>
    <s v="No thin"/>
    <x v="2"/>
    <m/>
    <n v="0.35"/>
    <m/>
    <n v="0.38"/>
    <d v="2025-04-30T00:00:00"/>
    <n v="99.85"/>
    <n v="34.947499999999998"/>
    <n v="460.17120625000001"/>
    <n v="13.948808919369505"/>
    <n v="0.67093964606352419"/>
    <m/>
    <n v="460.17120625000001"/>
    <n v="13.948808919369505"/>
    <m/>
    <n v="91.96710526315789"/>
    <x v="1"/>
  </r>
  <r>
    <x v="1"/>
    <s v="ONMI05CS"/>
    <x v="105"/>
    <x v="1"/>
    <x v="0"/>
    <n v="7"/>
    <s v="1616C"/>
    <n v="807"/>
    <n v="32.99"/>
    <n v="26335"/>
    <m/>
    <n v="26335"/>
    <n v="32.633209417596035"/>
    <m/>
    <m/>
    <m/>
    <m/>
    <m/>
    <n v="4.59"/>
    <m/>
    <s v="Post thin"/>
    <x v="3"/>
    <m/>
    <n v="0.35"/>
    <m/>
    <n v="0.38"/>
    <d v="2025-05-01T00:00:00"/>
    <n v="68"/>
    <n v="23.799999999999997"/>
    <n v="313.38649999999996"/>
    <n v="9.4994392240072738"/>
    <n v="0.51681358322710136"/>
    <m/>
    <n v="313.38649999999996"/>
    <n v="9.4994392240072738"/>
    <m/>
    <n v="62.631578947368403"/>
    <x v="1"/>
  </r>
  <r>
    <x v="1"/>
    <s v="ONMI06CS"/>
    <x v="106"/>
    <x v="1"/>
    <x v="0"/>
    <n v="7"/>
    <s v="SO4"/>
    <n v="807"/>
    <n v="30.71"/>
    <n v="24570"/>
    <m/>
    <n v="24570"/>
    <n v="30.446096654275092"/>
    <m/>
    <m/>
    <m/>
    <m/>
    <m/>
    <n v="5.31"/>
    <m/>
    <s v="No thin"/>
    <x v="2"/>
    <m/>
    <n v="0.35"/>
    <m/>
    <n v="0.38"/>
    <d v="2025-05-01T00:00:00"/>
    <n v="98"/>
    <n v="34.299999999999997"/>
    <n v="421.37549999999993"/>
    <n v="13.721116900032561"/>
    <n v="0.61300526490030849"/>
    <m/>
    <n v="421.37549999999993"/>
    <n v="13.721116900032561"/>
    <m/>
    <n v="90.263157894736835"/>
    <x v="1"/>
  </r>
  <r>
    <x v="1"/>
    <s v="ONMI06CS"/>
    <x v="106"/>
    <x v="1"/>
    <x v="0"/>
    <n v="7"/>
    <s v="SO4"/>
    <n v="807"/>
    <n v="30.71"/>
    <n v="24570"/>
    <m/>
    <n v="24570"/>
    <n v="30.446096654275092"/>
    <m/>
    <m/>
    <m/>
    <m/>
    <m/>
    <n v="5.31"/>
    <m/>
    <s v="Post thin"/>
    <x v="3"/>
    <m/>
    <n v="0.35"/>
    <m/>
    <n v="0.38"/>
    <d v="2025-05-01T00:00:00"/>
    <n v="64.181818181818187"/>
    <n v="22.463636363636365"/>
    <n v="275.96577272727279"/>
    <n v="8.9861860217281926"/>
    <n v="0.40909302487610882"/>
    <m/>
    <n v="275.96577272727279"/>
    <n v="8.9861860217281926"/>
    <m/>
    <n v="59.114832535885178"/>
    <x v="1"/>
  </r>
  <r>
    <x v="1"/>
    <s v="ONMI06CS"/>
    <x v="106"/>
    <x v="1"/>
    <x v="0"/>
    <n v="7"/>
    <s v="SO4"/>
    <n v="807"/>
    <n v="30.71"/>
    <n v="24570"/>
    <m/>
    <n v="24570"/>
    <n v="30.446096654275092"/>
    <m/>
    <m/>
    <m/>
    <m/>
    <m/>
    <n v="5.31"/>
    <m/>
    <s v="Post thin"/>
    <x v="0"/>
    <m/>
    <n v="0.35"/>
    <m/>
    <n v="0.38"/>
    <d v="2025-05-06T00:00:00"/>
    <n v="69.4375"/>
    <n v="24.303124999999998"/>
    <n v="298.563890625"/>
    <n v="9.7220413749592964"/>
    <n v="0.45381841166848241"/>
    <m/>
    <n v="298.563890625"/>
    <n v="9.7220413749592964"/>
    <m/>
    <n v="63.955592105263158"/>
    <x v="1"/>
  </r>
  <r>
    <x v="1"/>
    <s v="ONMI07ME"/>
    <x v="107"/>
    <x v="2"/>
    <x v="2"/>
    <m/>
    <m/>
    <n v="807"/>
    <n v="38.76"/>
    <n v="30908"/>
    <m/>
    <n v="30908"/>
    <n v="38.299876084262699"/>
    <m/>
    <m/>
    <m/>
    <m/>
    <m/>
    <m/>
    <m/>
    <s v="Post thin"/>
    <x v="3"/>
    <m/>
    <m/>
    <m/>
    <n v="0.35"/>
    <d v="2025-05-01T00:00:00"/>
    <n v="40.25"/>
    <n v="14.087499999999999"/>
    <n v="217.70822499999997"/>
    <n v="5.6168272703818367"/>
    <n v="1"/>
    <m/>
    <n v="217.70822499999997"/>
    <n v="5.6168272703818367"/>
    <m/>
    <n v="40.25"/>
    <x v="1"/>
  </r>
  <r>
    <x v="1"/>
    <s v="ONMI08ME"/>
    <x v="108"/>
    <x v="2"/>
    <x v="2"/>
    <m/>
    <m/>
    <n v="807"/>
    <n v="38.340000000000003"/>
    <n v="30658"/>
    <m/>
    <n v="30658"/>
    <n v="37.990086741016107"/>
    <m/>
    <m/>
    <m/>
    <m/>
    <m/>
    <m/>
    <m/>
    <s v="Post thin"/>
    <x v="3"/>
    <m/>
    <m/>
    <m/>
    <n v="0.35"/>
    <d v="2025-05-01T00:00:00"/>
    <n v="36.916666666666664"/>
    <n v="12.920833333333333"/>
    <n v="198.06345416666667"/>
    <n v="5.1659742870805072"/>
    <n v="1"/>
    <m/>
    <n v="198.06345416666667"/>
    <n v="5.1659742870805072"/>
    <m/>
    <n v="36.916666666666671"/>
    <x v="1"/>
  </r>
  <r>
    <x v="1"/>
    <s v="ONMI09CH"/>
    <x v="109"/>
    <x v="2"/>
    <x v="8"/>
    <m/>
    <m/>
    <n v="807"/>
    <n v="39.130000000000003"/>
    <n v="30210"/>
    <m/>
    <n v="30210"/>
    <n v="37.434944237918216"/>
    <m/>
    <m/>
    <m/>
    <m/>
    <m/>
    <m/>
    <m/>
    <s v="Shoot position"/>
    <x v="3"/>
    <m/>
    <m/>
    <m/>
    <n v="0.4"/>
    <d v="2025-04-16T00:00:00"/>
    <n v="44.75"/>
    <n v="17.900000000000002"/>
    <n v="270.37950000000006"/>
    <n v="6.9097751086123189"/>
    <n v="1"/>
    <m/>
    <m/>
    <m/>
    <m/>
    <m/>
    <x v="1"/>
  </r>
  <r>
    <x v="1"/>
    <s v="ONMI09CH"/>
    <x v="109"/>
    <x v="2"/>
    <x v="8"/>
    <m/>
    <m/>
    <n v="807"/>
    <n v="39.130000000000003"/>
    <n v="30210"/>
    <m/>
    <n v="30210"/>
    <n v="37.434944237918216"/>
    <m/>
    <m/>
    <m/>
    <m/>
    <m/>
    <m/>
    <m/>
    <s v="Shoot position"/>
    <x v="0"/>
    <m/>
    <m/>
    <m/>
    <n v="0.4"/>
    <d v="2025-04-17T00:00:00"/>
    <n v="49"/>
    <n v="19.600000000000001"/>
    <n v="296.05799999999999"/>
    <n v="7.5660107334525932"/>
    <n v="1"/>
    <m/>
    <m/>
    <m/>
    <m/>
    <m/>
    <x v="1"/>
  </r>
  <r>
    <x v="1"/>
    <s v="ONMI09CH"/>
    <x v="109"/>
    <x v="2"/>
    <x v="8"/>
    <m/>
    <m/>
    <n v="807"/>
    <n v="39.130000000000003"/>
    <n v="30210"/>
    <m/>
    <n v="30210"/>
    <n v="37.434944237918216"/>
    <m/>
    <m/>
    <m/>
    <m/>
    <m/>
    <m/>
    <m/>
    <s v="Shoot position"/>
    <x v="0"/>
    <m/>
    <m/>
    <m/>
    <n v="0.4"/>
    <d v="2025-04-18T00:00:00"/>
    <n v="49.5"/>
    <n v="19.8"/>
    <n v="299.07900000000001"/>
    <n v="7.6432149246102732"/>
    <n v="1"/>
    <m/>
    <m/>
    <m/>
    <m/>
    <m/>
    <x v="1"/>
  </r>
  <r>
    <x v="1"/>
    <s v="ONMI3ACS"/>
    <x v="110"/>
    <x v="1"/>
    <x v="0"/>
    <s v="34.1 (F191)"/>
    <s v="SO4"/>
    <n v="807"/>
    <n v="8.77"/>
    <n v="7032"/>
    <m/>
    <n v="7032"/>
    <n v="8.7137546468401492"/>
    <m/>
    <m/>
    <m/>
    <m/>
    <m/>
    <n v="4.0999999999999996"/>
    <m/>
    <s v="No thin"/>
    <x v="2"/>
    <m/>
    <n v="0.35"/>
    <m/>
    <n v="0.33"/>
    <d v="2025-04-30T00:00:00"/>
    <n v="89.65"/>
    <n v="31.377500000000001"/>
    <n v="110.32329000000001"/>
    <n v="12.579622576966935"/>
    <n v="0.67407607224186306"/>
    <m/>
    <n v="110.32329000000001"/>
    <n v="12.579622576966935"/>
    <m/>
    <n v="95.083333333333329"/>
    <x v="1"/>
  </r>
  <r>
    <x v="1"/>
    <s v="ONMI3ACS"/>
    <x v="110"/>
    <x v="1"/>
    <x v="0"/>
    <s v="34.1 (F191)"/>
    <s v="SO4"/>
    <n v="807"/>
    <n v="8.77"/>
    <n v="7032"/>
    <m/>
    <n v="7032"/>
    <n v="8.7137546468401492"/>
    <m/>
    <m/>
    <m/>
    <m/>
    <m/>
    <n v="4.0999999999999996"/>
    <m/>
    <s v="Deja dos ramas por pico y en espacios un tercero y algo nuevo si no hay posicion"/>
    <x v="0"/>
    <m/>
    <n v="0.35"/>
    <m/>
    <n v="0.33"/>
    <d v="2025-05-01T00:00:00"/>
    <n v="70.400000000000006"/>
    <n v="24.64"/>
    <n v="86.634240000000005"/>
    <n v="9.8784766248574698"/>
    <n v="0.58495624824549752"/>
    <m/>
    <n v="86.634240000000005"/>
    <n v="9.8784766248574698"/>
    <m/>
    <n v="74.666666666666671"/>
    <x v="1"/>
  </r>
  <r>
    <x v="1"/>
    <s v="PRHZ01CH"/>
    <x v="111"/>
    <x v="0"/>
    <x v="8"/>
    <s v="76/96"/>
    <s v="5C"/>
    <n v="565.71428571428567"/>
    <n v="12.58"/>
    <n v="6935"/>
    <n v="0.1"/>
    <n v="6241.5"/>
    <n v="11.032954545454546"/>
    <n v="7.97"/>
    <n v="6.9"/>
    <n v="6.89"/>
    <n v="2.04"/>
    <n v="9.5500000000000007"/>
    <n v="4.0999999999999996"/>
    <n v="6.2416666666666671"/>
    <m/>
    <x v="1"/>
    <m/>
    <n v="0.31"/>
    <m/>
    <n v="0.4"/>
    <d v="2025-04-30T00:00:00"/>
    <n v="61.95"/>
    <n v="19.204499999999999"/>
    <n v="59.932443374999998"/>
    <n v="4.7641051967408581"/>
    <n v="0.13939767685969134"/>
    <m/>
    <n v="59.932443374999998"/>
    <n v="4.7641051967408581"/>
    <m/>
    <n v="43.210124999999998"/>
    <x v="1"/>
  </r>
  <r>
    <x v="1"/>
    <s v="PRHZ02PN"/>
    <x v="112"/>
    <x v="0"/>
    <x v="16"/>
    <n v="8"/>
    <s v="SO4"/>
    <n v="691.42857142857144"/>
    <n v="7.27"/>
    <n v="4869"/>
    <n v="0.01"/>
    <n v="4820.3100000000004"/>
    <n v="6.9715227272727276"/>
    <m/>
    <m/>
    <m/>
    <m/>
    <m/>
    <n v="3.69"/>
    <m/>
    <m/>
    <x v="1"/>
    <m/>
    <n v="0.38"/>
    <m/>
    <n v="0.38"/>
    <d v="2025-04-14T00:00:00"/>
    <n v="86.3"/>
    <n v="32.793999999999997"/>
    <n v="79.03862307"/>
    <n v="10.871887629986245"/>
    <n v="0.66059251846731348"/>
    <m/>
    <n v="79.03862307"/>
    <n v="10.871887629986245"/>
    <m/>
    <n v="85.437000000000012"/>
    <x v="1"/>
  </r>
  <r>
    <x v="1"/>
    <s v="PRHZ03PN"/>
    <x v="113"/>
    <x v="0"/>
    <x v="16"/>
    <n v="777"/>
    <s v="SO4"/>
    <n v="691.42857142857144"/>
    <n v="7.06"/>
    <n v="4876"/>
    <n v="1.4999999999999999E-2"/>
    <n v="4802.8599999999997"/>
    <n v="6.9462851239669412"/>
    <m/>
    <m/>
    <m/>
    <n v="4.71"/>
    <n v="5.21"/>
    <n v="7.19"/>
    <n v="4.96"/>
    <m/>
    <x v="1"/>
    <m/>
    <n v="0.38"/>
    <m/>
    <n v="0.38"/>
    <d v="2025-04-14T00:00:00"/>
    <n v="79.599999999999994"/>
    <n v="30.247999999999998"/>
    <n v="72.638454639999992"/>
    <n v="10.288732951841359"/>
    <n v="0.30117731370282896"/>
    <m/>
    <n v="72.638454639999992"/>
    <n v="10.288732951841359"/>
    <m/>
    <n v="78.405999999999992"/>
    <x v="1"/>
  </r>
  <r>
    <x v="1"/>
    <s v="PRHZ05CB"/>
    <x v="114"/>
    <x v="0"/>
    <x v="19"/>
    <s v="Wente"/>
    <s v="5C"/>
    <n v="453.75"/>
    <n v="33.68"/>
    <n v="15154"/>
    <n v="0.08"/>
    <n v="13941.68"/>
    <n v="30.725465564738293"/>
    <n v="8.0500000000000007"/>
    <n v="6.14"/>
    <n v="7.47"/>
    <n v="2.62"/>
    <n v="7.22"/>
    <n v="6.74"/>
    <n v="6.373333333333334"/>
    <m/>
    <x v="1"/>
    <m/>
    <n v="0.48"/>
    <m/>
    <n v="0.55000000000000004"/>
    <m/>
    <n v="0"/>
    <m/>
    <n v="0"/>
    <m/>
    <m/>
    <m/>
    <n v="0"/>
    <n v="0"/>
    <m/>
    <n v="0"/>
    <x v="1"/>
  </r>
  <r>
    <x v="1"/>
    <s v="PRHZ06CB"/>
    <x v="115"/>
    <x v="0"/>
    <x v="19"/>
    <s v="Wente"/>
    <s v="5C"/>
    <n v="518.57142857142856"/>
    <n v="8.5299999999999994"/>
    <n v="4308"/>
    <m/>
    <n v="4308"/>
    <n v="8.3074380165289252"/>
    <n v="6.21"/>
    <n v="5.24"/>
    <n v="5.64"/>
    <n v="5.52"/>
    <n v="5.54"/>
    <n v="6.2"/>
    <n v="5.7250000000000005"/>
    <m/>
    <x v="1"/>
    <m/>
    <m/>
    <m/>
    <n v="0.55000000000000004"/>
    <m/>
    <n v="0"/>
    <m/>
    <n v="0"/>
    <m/>
    <m/>
    <m/>
    <n v="0"/>
    <n v="0"/>
    <m/>
    <n v="0"/>
    <x v="1"/>
  </r>
  <r>
    <x v="1"/>
    <s v="PRHZ08CB"/>
    <x v="116"/>
    <x v="0"/>
    <x v="19"/>
    <s v="Wente"/>
    <s v="5C"/>
    <n v="518.57142857142856"/>
    <n v="5.18"/>
    <n v="2523"/>
    <m/>
    <n v="2523"/>
    <n v="4.8652892561983476"/>
    <n v="11.75"/>
    <n v="12.25"/>
    <n v="11.54"/>
    <n v="8.0299999999999994"/>
    <n v="6.7"/>
    <n v="6.19"/>
    <n v="9.41"/>
    <m/>
    <x v="1"/>
    <m/>
    <m/>
    <m/>
    <n v="0.55000000000000004"/>
    <m/>
    <n v="0"/>
    <m/>
    <n v="0"/>
    <m/>
    <m/>
    <m/>
    <n v="0"/>
    <n v="0"/>
    <m/>
    <n v="0"/>
    <x v="1"/>
  </r>
  <r>
    <x v="1"/>
    <s v="PRHZ11CB"/>
    <x v="117"/>
    <x v="0"/>
    <x v="19"/>
    <s v="1,4"/>
    <s v="SO4"/>
    <n v="726"/>
    <n v="19.86"/>
    <n v="14099"/>
    <n v="0.05"/>
    <n v="13394.05"/>
    <n v="18.449104683195593"/>
    <m/>
    <m/>
    <m/>
    <m/>
    <m/>
    <n v="15.13"/>
    <m/>
    <s v="1x Pico y doble si hay espacio "/>
    <x v="3"/>
    <m/>
    <n v="0.45"/>
    <m/>
    <n v="0.55000000000000004"/>
    <d v="2025-04-23T00:00:00"/>
    <n v="88.277777777777771"/>
    <n v="39.725000000000001"/>
    <n v="266.03931812499997"/>
    <n v="13.395736058660622"/>
    <n v="-0.1294638781881747"/>
    <m/>
    <n v="266.03931812499997"/>
    <n v="13.395736058660622"/>
    <m/>
    <n v="68.615909090909085"/>
    <x v="1"/>
  </r>
  <r>
    <x v="1"/>
    <s v="PRHZ11CB"/>
    <x v="117"/>
    <x v="0"/>
    <x v="19"/>
    <s v="1,4"/>
    <s v="SO4"/>
    <n v="726"/>
    <n v="19.86"/>
    <n v="14099"/>
    <n v="0.05"/>
    <n v="13394.05"/>
    <n v="18.449104683195593"/>
    <m/>
    <m/>
    <m/>
    <m/>
    <m/>
    <n v="15.13"/>
    <m/>
    <s v="1 rama por pico y 1 or 2 dobles por brazo"/>
    <x v="0"/>
    <m/>
    <n v="0.45"/>
    <m/>
    <n v="0.55000000000000004"/>
    <d v="2025-04-21T00:00:00"/>
    <n v="86.75"/>
    <n v="39.037500000000001"/>
    <n v="261.43511343749998"/>
    <n v="13.163902992824772"/>
    <n v="-0.14935517287288474"/>
    <m/>
    <n v="261.43511343749998"/>
    <n v="13.163902992824772"/>
    <m/>
    <n v="67.428409090909071"/>
    <x v="1"/>
  </r>
  <r>
    <x v="1"/>
    <s v="PRHZ14CB"/>
    <x v="118"/>
    <x v="0"/>
    <x v="19"/>
    <m/>
    <m/>
    <n v="660"/>
    <n v="3.03"/>
    <n v="1954"/>
    <m/>
    <n v="1954"/>
    <n v="2.9606060606060605"/>
    <n v="7.18"/>
    <n v="11.11"/>
    <n v="10.97"/>
    <n v="10.36"/>
    <n v="9.9"/>
    <n v="7.7"/>
    <n v="9.5366666666666671"/>
    <m/>
    <x v="1"/>
    <m/>
    <m/>
    <m/>
    <n v="0.55000000000000004"/>
    <m/>
    <n v="0"/>
    <m/>
    <n v="0"/>
    <m/>
    <m/>
    <m/>
    <n v="0"/>
    <n v="0"/>
    <m/>
    <n v="0"/>
    <x v="1"/>
  </r>
  <r>
    <x v="1"/>
    <s v="PRHZ15CB"/>
    <x v="119"/>
    <x v="0"/>
    <x v="19"/>
    <m/>
    <s v="101-14"/>
    <n v="660"/>
    <n v="22.93"/>
    <n v="14817"/>
    <m/>
    <n v="14817"/>
    <n v="22.45"/>
    <n v="11.65"/>
    <n v="12.13"/>
    <n v="15.66"/>
    <n v="12.15"/>
    <n v="14.3"/>
    <n v="11.08"/>
    <n v="12.828333333333333"/>
    <s v="Pre thin"/>
    <x v="2"/>
    <m/>
    <n v="0.5"/>
    <m/>
    <n v="0.55000000000000004"/>
    <d v="2025-04-15T00:00:00"/>
    <n v="90.666666666666671"/>
    <n v="45.333333333333336"/>
    <n v="335.85199999999998"/>
    <n v="14.646838203227212"/>
    <n v="0.24352274216023717"/>
    <m/>
    <n v="335.85199999999998"/>
    <n v="14.646838203227212"/>
    <m/>
    <n v="82.424242424242422"/>
    <x v="1"/>
  </r>
  <r>
    <x v="1"/>
    <s v="PRHZ15CB"/>
    <x v="119"/>
    <x v="0"/>
    <x v="19"/>
    <m/>
    <s v="101-14"/>
    <n v="660"/>
    <n v="22.93"/>
    <n v="14817"/>
    <m/>
    <n v="14817"/>
    <n v="22.45"/>
    <n v="11.65"/>
    <n v="12.13"/>
    <n v="15.66"/>
    <n v="12.15"/>
    <n v="14.3"/>
    <n v="11.08"/>
    <n v="12.828333333333333"/>
    <s v="2 por pico y 1 de 3 en cada brazo"/>
    <x v="0"/>
    <m/>
    <n v="0.5"/>
    <m/>
    <n v="0.55000000000000004"/>
    <d v="2025-04-12T00:00:00"/>
    <n v="90.428571428571431"/>
    <n v="45.214285714285715"/>
    <n v="334.97003571428576"/>
    <n v="14.608374867609497"/>
    <n v="0.24153096423016951"/>
    <m/>
    <n v="334.97003571428576"/>
    <n v="14.608374867609497"/>
    <m/>
    <n v="82.207792207792195"/>
    <x v="1"/>
  </r>
  <r>
    <x v="1"/>
    <s v="PRHZ16CB"/>
    <x v="120"/>
    <x v="0"/>
    <x v="19"/>
    <m/>
    <s v="5C"/>
    <n v="660"/>
    <n v="6.52"/>
    <n v="4148"/>
    <m/>
    <n v="4148"/>
    <n v="6.2848484848484851"/>
    <n v="10.52"/>
    <n v="13.47"/>
    <n v="16.91"/>
    <n v="8.57"/>
    <n v="10.57"/>
    <n v="9.1300000000000008"/>
    <n v="11.528333333333334"/>
    <s v="Post thin"/>
    <x v="0"/>
    <m/>
    <n v="0.5"/>
    <m/>
    <n v="0.55000000000000004"/>
    <d v="2025-04-15T00:00:00"/>
    <n v="94.454545454545453"/>
    <n v="47.227272727272727"/>
    <n v="97.949363636363628"/>
    <n v="15.022908533184607"/>
    <n v="0.39226149318339804"/>
    <m/>
    <m/>
    <m/>
    <m/>
    <m/>
    <x v="1"/>
  </r>
  <r>
    <x v="1"/>
    <s v="PRHZ17CB"/>
    <x v="121"/>
    <x v="0"/>
    <x v="19"/>
    <m/>
    <m/>
    <n v="518.57142857142856"/>
    <n v="7.28"/>
    <n v="3672"/>
    <n v="0.1"/>
    <n v="3304.8"/>
    <n v="6.3728925619834715"/>
    <n v="10.74"/>
    <n v="9.6300000000000008"/>
    <n v="12.11"/>
    <n v="9.2799999999999994"/>
    <n v="12.37"/>
    <n v="10.57"/>
    <n v="10.783333333333333"/>
    <m/>
    <x v="1"/>
    <m/>
    <n v="0.45"/>
    <m/>
    <n v="0.55000000000000004"/>
    <m/>
    <n v="0"/>
    <m/>
    <n v="0"/>
    <m/>
    <m/>
    <m/>
    <n v="0"/>
    <n v="0"/>
    <m/>
    <n v="0"/>
    <x v="1"/>
  </r>
  <r>
    <x v="1"/>
    <s v="PRHZ18PS"/>
    <x v="122"/>
    <x v="0"/>
    <x v="3"/>
    <m/>
    <m/>
    <n v="660"/>
    <n v="9.5500000000000007"/>
    <n v="6131"/>
    <n v="0.3"/>
    <n v="4291.7"/>
    <n v="6.502575757575757"/>
    <n v="5.79"/>
    <n v="4.3899999999999997"/>
    <n v="5.23"/>
    <n v="5.27"/>
    <n v="4.5999999999999996"/>
    <n v="3.78"/>
    <n v="4.8433333333333337"/>
    <s v="2x pico y espacios grandes de 3"/>
    <x v="0"/>
    <m/>
    <n v="0.45"/>
    <m/>
    <n v="0.52"/>
    <d v="2025-04-23T00:00:00"/>
    <n v="56.875"/>
    <n v="25.59375"/>
    <n v="54.920348437499996"/>
    <n v="5.7508218259162298"/>
    <n v="0.34270264069644268"/>
    <m/>
    <n v="54.920348437499996"/>
    <n v="5.7508218259162298"/>
    <m/>
    <n v="34.453124999999993"/>
    <x v="1"/>
  </r>
  <r>
    <x v="1"/>
    <s v="PRHZ21CH"/>
    <x v="123"/>
    <x v="0"/>
    <x v="8"/>
    <n v="4"/>
    <s v="SO4"/>
    <n v="691.42857142857144"/>
    <n v="9.75"/>
    <n v="6586"/>
    <m/>
    <n v="6586"/>
    <n v="9.5252066115702476"/>
    <n v="11.02"/>
    <n v="7.95"/>
    <n v="8.9499999999999993"/>
    <n v="7.78"/>
    <n v="10.99"/>
    <n v="9.4600000000000009"/>
    <n v="9.3583333333333325"/>
    <m/>
    <x v="1"/>
    <m/>
    <n v="0.41"/>
    <m/>
    <n v="0.4"/>
    <d v="2025-04-14T00:00:00"/>
    <n v="51.666666666666664"/>
    <n v="21.18333333333333"/>
    <n v="69.756716666666662"/>
    <n v="7.1545350427350423"/>
    <n v="-0.32223826475013301"/>
    <m/>
    <n v="69.756716666666662"/>
    <n v="7.1545350427350423"/>
    <m/>
    <n v="52.958333333333321"/>
    <x v="1"/>
  </r>
  <r>
    <x v="1"/>
    <s v="PRHZ22CB"/>
    <x v="124"/>
    <x v="0"/>
    <x v="19"/>
    <m/>
    <m/>
    <n v="519"/>
    <n v="3.85"/>
    <n v="2061"/>
    <n v="0.15"/>
    <n v="1751.85"/>
    <n v="3.3754335260115607"/>
    <m/>
    <m/>
    <m/>
    <m/>
    <n v="5.89"/>
    <n v="12.69"/>
    <n v="5.89"/>
    <m/>
    <x v="1"/>
    <m/>
    <n v="0.4"/>
    <m/>
    <n v="0.55000000000000004"/>
    <m/>
    <n v="0"/>
    <m/>
    <n v="0"/>
    <m/>
    <m/>
    <m/>
    <n v="0"/>
    <n v="0"/>
    <m/>
    <n v="0"/>
    <x v="1"/>
  </r>
  <r>
    <x v="1"/>
    <s v="PRHZ7ASB"/>
    <x v="125"/>
    <x v="0"/>
    <x v="7"/>
    <n v="4"/>
    <m/>
    <n v="518.57142857142856"/>
    <n v="10.58"/>
    <n v="5292"/>
    <n v="0.3"/>
    <n v="3704.4"/>
    <n v="7.1434710743801659"/>
    <n v="5.08"/>
    <n v="4.32"/>
    <n v="5.0999999999999996"/>
    <n v="3.68"/>
    <n v="6.48"/>
    <n v="2.93"/>
    <n v="4.5983333333333336"/>
    <m/>
    <x v="1"/>
    <m/>
    <m/>
    <m/>
    <n v="0.35"/>
    <m/>
    <n v="0"/>
    <m/>
    <n v="0"/>
    <m/>
    <m/>
    <m/>
    <n v="0"/>
    <n v="0"/>
    <m/>
    <n v="0"/>
    <x v="1"/>
  </r>
  <r>
    <x v="1"/>
    <s v="PRHZ7BSB"/>
    <x v="126"/>
    <x v="0"/>
    <x v="7"/>
    <m/>
    <m/>
    <n v="660"/>
    <n v="3.91"/>
    <n v="2513"/>
    <n v="0.3"/>
    <n v="1759.1"/>
    <n v="2.6653030303030301"/>
    <n v="9.33"/>
    <n v="7.53"/>
    <n v="3.78"/>
    <n v="3.67"/>
    <n v="4.91"/>
    <n v="4.37"/>
    <n v="5.5983333333333336"/>
    <m/>
    <x v="1"/>
    <m/>
    <m/>
    <m/>
    <n v="0.35"/>
    <m/>
    <n v="0"/>
    <m/>
    <n v="0"/>
    <m/>
    <m/>
    <m/>
    <n v="0"/>
    <n v="0"/>
    <m/>
    <n v="0"/>
    <x v="1"/>
  </r>
  <r>
    <x v="1"/>
    <s v="PRHZ99VV"/>
    <x v="127"/>
    <x v="0"/>
    <x v="19"/>
    <m/>
    <m/>
    <n v="660"/>
    <n v="0.80151515151515151"/>
    <n v="529"/>
    <m/>
    <n v="529"/>
    <n v="0.80151515151515151"/>
    <m/>
    <m/>
    <m/>
    <m/>
    <n v="14.97"/>
    <m/>
    <n v="14.97"/>
    <m/>
    <x v="1"/>
    <m/>
    <m/>
    <m/>
    <n v="0.55000000000000004"/>
    <m/>
    <n v="0"/>
    <m/>
    <n v="0"/>
    <m/>
    <m/>
    <m/>
    <n v="0"/>
    <n v="0"/>
    <m/>
    <n v="0"/>
    <x v="1"/>
  </r>
  <r>
    <x v="1"/>
    <s v="PRHZ99VV"/>
    <x v="128"/>
    <x v="0"/>
    <x v="1"/>
    <m/>
    <m/>
    <n v="660"/>
    <n v="1.2272727272727273"/>
    <n v="810"/>
    <m/>
    <n v="810"/>
    <n v="1.2272727272727273"/>
    <m/>
    <m/>
    <m/>
    <m/>
    <n v="9.8000000000000007"/>
    <m/>
    <n v="9.8000000000000007"/>
    <m/>
    <x v="1"/>
    <m/>
    <n v="0.6"/>
    <m/>
    <n v="0.44"/>
    <m/>
    <n v="0"/>
    <m/>
    <n v="0"/>
    <m/>
    <m/>
    <m/>
    <n v="0"/>
    <n v="0"/>
    <m/>
    <n v="0"/>
    <x v="1"/>
  </r>
  <r>
    <x v="1"/>
    <s v="PRHZ99VV"/>
    <x v="129"/>
    <x v="0"/>
    <x v="1"/>
    <m/>
    <m/>
    <n v="660"/>
    <n v="1.2651515151515151"/>
    <n v="835"/>
    <m/>
    <n v="835"/>
    <n v="1.2651515151515151"/>
    <m/>
    <m/>
    <m/>
    <m/>
    <n v="9.8000000000000007"/>
    <m/>
    <n v="9.8000000000000007"/>
    <m/>
    <x v="1"/>
    <m/>
    <n v="0.6"/>
    <m/>
    <n v="0.44"/>
    <m/>
    <n v="0"/>
    <m/>
    <n v="0"/>
    <m/>
    <m/>
    <m/>
    <n v="0"/>
    <n v="0"/>
    <m/>
    <n v="0"/>
    <x v="1"/>
  </r>
  <r>
    <x v="1"/>
    <s v="PRHZ99VV"/>
    <x v="130"/>
    <x v="0"/>
    <x v="1"/>
    <m/>
    <m/>
    <n v="660"/>
    <n v="6.1878787878787875"/>
    <n v="4084"/>
    <m/>
    <n v="4084"/>
    <n v="6.1878787878787875"/>
    <m/>
    <m/>
    <m/>
    <m/>
    <n v="9.8000000000000007"/>
    <m/>
    <n v="9.8000000000000007"/>
    <m/>
    <x v="1"/>
    <m/>
    <n v="0.6"/>
    <m/>
    <n v="0.44"/>
    <m/>
    <n v="0"/>
    <m/>
    <n v="0"/>
    <m/>
    <m/>
    <m/>
    <n v="0"/>
    <n v="0"/>
    <m/>
    <n v="0"/>
    <x v="1"/>
  </r>
  <r>
    <x v="1"/>
    <s v="PRHZ99VV"/>
    <x v="131"/>
    <x v="0"/>
    <x v="1"/>
    <m/>
    <m/>
    <n v="660"/>
    <n v="2.4924242424242422"/>
    <n v="1645"/>
    <m/>
    <n v="1645"/>
    <n v="2.4924242424242422"/>
    <m/>
    <m/>
    <m/>
    <m/>
    <n v="9.8000000000000007"/>
    <m/>
    <n v="9.8000000000000007"/>
    <m/>
    <x v="1"/>
    <m/>
    <n v="0.6"/>
    <m/>
    <n v="0.44"/>
    <m/>
    <n v="0"/>
    <m/>
    <n v="0"/>
    <m/>
    <m/>
    <m/>
    <n v="0"/>
    <n v="0"/>
    <m/>
    <n v="0"/>
    <x v="1"/>
  </r>
  <r>
    <x v="1"/>
    <s v="PRHZ99VV"/>
    <x v="132"/>
    <x v="0"/>
    <x v="7"/>
    <m/>
    <m/>
    <n v="660"/>
    <n v="1.9333333333333333"/>
    <n v="1276"/>
    <m/>
    <n v="1276"/>
    <n v="1.9333333333333333"/>
    <m/>
    <m/>
    <m/>
    <m/>
    <n v="9.5399999999999991"/>
    <m/>
    <n v="9.5399999999999991"/>
    <m/>
    <x v="1"/>
    <m/>
    <m/>
    <m/>
    <n v="0.35"/>
    <m/>
    <n v="0"/>
    <m/>
    <n v="0"/>
    <m/>
    <m/>
    <m/>
    <n v="0"/>
    <n v="0"/>
    <m/>
    <n v="0"/>
    <x v="1"/>
  </r>
  <r>
    <x v="1"/>
    <s v="WHWH01GE"/>
    <x v="133"/>
    <x v="0"/>
    <x v="21"/>
    <s v="01 / 02 / 04 / 11"/>
    <s v="SO4"/>
    <n v="691.42857142857144"/>
    <n v="38.4"/>
    <n v="26251"/>
    <m/>
    <n v="26251"/>
    <n v="37.966322314049584"/>
    <n v="10.92"/>
    <n v="9.4700000000000006"/>
    <n v="12.38"/>
    <n v="10.67"/>
    <n v="11.39"/>
    <n v="6.95"/>
    <n v="10.296666666666669"/>
    <s v="Limpiar la base de cordon solamente"/>
    <x v="3"/>
    <m/>
    <n v="0.3"/>
    <m/>
    <n v="0.32"/>
    <d v="2025-04-16T00:00:00"/>
    <n v="93"/>
    <n v="27.9"/>
    <n v="366.20144999999997"/>
    <n v="9.5364960937499994"/>
    <n v="0.2712207993714934"/>
    <m/>
    <n v="366.20144999999997"/>
    <n v="9.5364960937499994"/>
    <m/>
    <n v="87.187499999999986"/>
    <x v="0"/>
  </r>
  <r>
    <x v="1"/>
    <s v="WHWH01GE"/>
    <x v="133"/>
    <x v="0"/>
    <x v="21"/>
    <s v="01 / 02 / 04 / 11"/>
    <s v="SO4"/>
    <n v="691.42857142857144"/>
    <n v="38.4"/>
    <n v="26251"/>
    <m/>
    <n v="26251"/>
    <n v="37.966322314049584"/>
    <n v="10.92"/>
    <n v="9.4700000000000006"/>
    <n v="12.38"/>
    <n v="10.67"/>
    <n v="11.39"/>
    <n v="6.95"/>
    <n v="10.296666666666669"/>
    <s v="Limpiar la base de cordon solamente"/>
    <x v="3"/>
    <m/>
    <n v="0.3"/>
    <m/>
    <n v="0.32"/>
    <d v="2025-04-16T00:00:00"/>
    <n v="99.25"/>
    <n v="29.774999999999999"/>
    <n v="390.81176249999993"/>
    <n v="10.177389648437499"/>
    <n v="0.31711369613651269"/>
    <m/>
    <n v="390.81176249999993"/>
    <n v="10.177389648437499"/>
    <m/>
    <n v="93.046874999999986"/>
    <x v="0"/>
  </r>
  <r>
    <x v="1"/>
    <s v="WHWH01GE"/>
    <x v="133"/>
    <x v="0"/>
    <x v="21"/>
    <s v="01 / 02 / 04 / 11"/>
    <s v="SO4"/>
    <n v="691.42857142857144"/>
    <n v="38.4"/>
    <n v="26251"/>
    <m/>
    <n v="26251"/>
    <n v="37.966322314049584"/>
    <n v="10.92"/>
    <n v="9.4700000000000006"/>
    <n v="12.38"/>
    <n v="10.67"/>
    <n v="11.39"/>
    <n v="6.95"/>
    <n v="10.296666666666669"/>
    <s v="Limpiar la base de cordon solamente"/>
    <x v="3"/>
    <m/>
    <n v="0.3"/>
    <m/>
    <n v="0.32"/>
    <d v="2025-04-17T00:00:00"/>
    <n v="101.25"/>
    <n v="30.375"/>
    <n v="398.68706250000002"/>
    <n v="10.382475585937501"/>
    <n v="0.33060280831159405"/>
    <m/>
    <n v="398.68706250000002"/>
    <n v="10.382475585937501"/>
    <m/>
    <n v="94.921875"/>
    <x v="0"/>
  </r>
  <r>
    <x v="1"/>
    <s v="WHWH01GE"/>
    <x v="133"/>
    <x v="0"/>
    <x v="21"/>
    <s v="01 / 02 / 04 / 11"/>
    <s v="SO4"/>
    <n v="691.42857142857144"/>
    <n v="38.4"/>
    <n v="26251"/>
    <m/>
    <n v="26251"/>
    <n v="37.966322314049584"/>
    <n v="10.92"/>
    <n v="9.4700000000000006"/>
    <n v="12.38"/>
    <n v="10.67"/>
    <n v="11.39"/>
    <n v="6.95"/>
    <n v="10.296666666666669"/>
    <s v="Limpiar la base de cordon solamente"/>
    <x v="0"/>
    <m/>
    <n v="0.3"/>
    <m/>
    <n v="0.32"/>
    <d v="2025-04-30T00:00:00"/>
    <n v="97.1"/>
    <n v="29.129999999999995"/>
    <n v="382.34581499999996"/>
    <n v="9.9569222656249998"/>
    <n v="0.30199314460915438"/>
    <m/>
    <n v="382.34581499999996"/>
    <n v="9.9569222656249998"/>
    <m/>
    <n v="91.031249999999986"/>
    <x v="0"/>
  </r>
  <r>
    <x v="1"/>
    <s v="WHWH02PG"/>
    <x v="134"/>
    <x v="0"/>
    <x v="10"/>
    <m/>
    <m/>
    <n v="691.42857142857144"/>
    <n v="34.89"/>
    <n v="23900"/>
    <n v="0.05"/>
    <n v="22705"/>
    <n v="32.837809917355372"/>
    <n v="9.4499999999999993"/>
    <n v="8.7100000000000009"/>
    <n v="7.74"/>
    <n v="4"/>
    <n v="10.41"/>
    <n v="7.38"/>
    <n v="7.9483333333333341"/>
    <s v="No thin"/>
    <x v="0"/>
    <m/>
    <n v="0.31"/>
    <m/>
    <n v="0.32"/>
    <d v="2025-04-30T00:00:00"/>
    <n v="79.099999999999994"/>
    <n v="24.520999999999997"/>
    <n v="278.37465249999997"/>
    <n v="7.9786372169676119"/>
    <n v="7.5030008344599483E-2"/>
    <m/>
    <n v="278.37465249999997"/>
    <n v="7.9786372169676119"/>
    <m/>
    <n v="72.796718749999997"/>
    <x v="1"/>
  </r>
  <r>
    <x v="1"/>
    <s v="WHWH03AL"/>
    <x v="135"/>
    <x v="0"/>
    <x v="20"/>
    <m/>
    <m/>
    <n v="691.42857142857144"/>
    <n v="30.18"/>
    <n v="20669"/>
    <m/>
    <n v="20669"/>
    <n v="29.893181818181816"/>
    <n v="7.93"/>
    <n v="7.93"/>
    <n v="9.73"/>
    <n v="4.2300000000000004"/>
    <n v="10.28"/>
    <n v="5.31"/>
    <n v="7.5683333333333342"/>
    <s v="Post thin"/>
    <x v="0"/>
    <m/>
    <n v="0.27"/>
    <m/>
    <n v="0.3"/>
    <d v="2025-04-30T00:00:00"/>
    <n v="92.55"/>
    <n v="24.988500000000002"/>
    <n v="258.24365325000002"/>
    <n v="8.5567810884691848"/>
    <n v="0.37943954097930965"/>
    <m/>
    <n v="258.24365325000002"/>
    <n v="8.5567810884691848"/>
    <m/>
    <n v="83.295000000000016"/>
    <x v="2"/>
  </r>
  <r>
    <x v="2"/>
    <s v="ARDA01CS"/>
    <x v="136"/>
    <x v="0"/>
    <x v="0"/>
    <n v="7"/>
    <s v="Freedom"/>
    <n v="622"/>
    <n v="36.81"/>
    <n v="22639"/>
    <m/>
    <n v="22639"/>
    <n v="36.39710610932476"/>
    <m/>
    <m/>
    <m/>
    <m/>
    <m/>
    <n v="6.24"/>
    <m/>
    <s v="Remove doubles"/>
    <x v="0"/>
    <m/>
    <n v="0.31"/>
    <m/>
    <n v="0.33"/>
    <d v="2025-04-28T00:00:00"/>
    <n v="101.77777777777777"/>
    <n v="31.551111111111108"/>
    <n v="357.1428022222222"/>
    <n v="9.7023309487156251"/>
    <n v="0.35685558109868032"/>
    <m/>
    <n v="357.1428022222222"/>
    <n v="9.7023309487156251"/>
    <m/>
    <n v="95.609427609427598"/>
    <x v="1"/>
  </r>
  <r>
    <x v="2"/>
    <s v="BAPE01CH"/>
    <x v="137"/>
    <x v="0"/>
    <x v="8"/>
    <s v="04 (Olmo)"/>
    <s v="O39-16"/>
    <n v="726"/>
    <n v="42.12009114"/>
    <n v="30107"/>
    <m/>
    <n v="30107"/>
    <n v="41.469696969696969"/>
    <m/>
    <m/>
    <m/>
    <n v="4.28"/>
    <n v="7.24"/>
    <n v="6.31"/>
    <n v="5.76"/>
    <s v="No thin"/>
    <x v="0"/>
    <m/>
    <n v="0.4"/>
    <m/>
    <n v="0.4"/>
    <d v="2025-04-15T00:00:00"/>
    <n v="65.400000000000006"/>
    <n v="26.160000000000004"/>
    <n v="393.79956000000004"/>
    <n v="9.3494470059686599"/>
    <n v="0.32509377335667938"/>
    <n v="8"/>
    <n v="56.838830880000046"/>
    <n v="1.3494470059686592"/>
    <m/>
    <n v="9.4394710333145184"/>
    <x v="0"/>
  </r>
  <r>
    <x v="2"/>
    <s v="BAPE01CH"/>
    <x v="137"/>
    <x v="0"/>
    <x v="8"/>
    <s v="04 (Olmo)"/>
    <s v="O39-16"/>
    <n v="726"/>
    <n v="42.12009114"/>
    <n v="30107"/>
    <m/>
    <n v="30107"/>
    <n v="41.469696969696969"/>
    <m/>
    <m/>
    <m/>
    <n v="4.28"/>
    <n v="7.24"/>
    <n v="6.31"/>
    <n v="5.76"/>
    <s v="No thin"/>
    <x v="0"/>
    <m/>
    <n v="0.4"/>
    <m/>
    <n v="0.4"/>
    <d v="2025-04-21T00:00:00"/>
    <n v="61.06666666666667"/>
    <n v="24.426666666666669"/>
    <n v="367.7068266666667"/>
    <n v="8.7299627497118166"/>
    <n v="0.27720195596386732"/>
    <n v="8"/>
    <n v="30.746097546666704"/>
    <n v="0.72996274971181607"/>
    <m/>
    <n v="5.1061376999811845"/>
    <x v="0"/>
  </r>
  <r>
    <x v="2"/>
    <s v="BEBU01ME"/>
    <x v="138"/>
    <x v="0"/>
    <x v="2"/>
    <s v="15 (181)"/>
    <s v="1103P"/>
    <n v="806.66666666666663"/>
    <n v="46.96"/>
    <n v="37779"/>
    <m/>
    <n v="37779"/>
    <n v="46.833471074380171"/>
    <m/>
    <m/>
    <m/>
    <m/>
    <n v="6.77"/>
    <n v="6.96"/>
    <n v="6.77"/>
    <s v="Pre thin"/>
    <x v="2"/>
    <m/>
    <n v="0.35"/>
    <m/>
    <n v="0.35"/>
    <d v="2025-04-21T00:00:00"/>
    <n v="77.466666666666669"/>
    <n v="27.113333333333333"/>
    <n v="512.15731000000005"/>
    <n v="10.906245954003408"/>
    <n v="0.36183357414150746"/>
    <n v="10"/>
    <n v="42.55731000000003"/>
    <n v="0.90624595400340779"/>
    <n v="70.838252656434477"/>
    <n v="6.4370319111524585"/>
    <x v="1"/>
  </r>
  <r>
    <x v="2"/>
    <s v="DBAI02SA"/>
    <x v="139"/>
    <x v="0"/>
    <x v="22"/>
    <s v="unknown"/>
    <s v="5C"/>
    <n v="777.85714285714289"/>
    <n v="10.029999999999999"/>
    <n v="7703"/>
    <m/>
    <n v="7703"/>
    <n v="9.9028466483011925"/>
    <n v="12.44"/>
    <n v="7.7"/>
    <n v="13.16"/>
    <n v="13.14"/>
    <n v="11.39"/>
    <n v="13.42"/>
    <n v="11.875"/>
    <s v="No thin"/>
    <x v="0"/>
    <m/>
    <n v="0.49"/>
    <m/>
    <n v="0.5"/>
    <d v="2025-04-14T00:00:00"/>
    <n v="54.93333333333333"/>
    <n v="26.917333333333332"/>
    <n v="103.67210933333332"/>
    <n v="10.33620232635427"/>
    <n v="-0.29834919792378239"/>
    <n v="8"/>
    <n v="23.432109333333329"/>
    <n v="2.3362023263542704"/>
    <m/>
    <n v="12.167783634081959"/>
    <x v="1"/>
  </r>
  <r>
    <x v="2"/>
    <s v="DBAI03ZN"/>
    <x v="140"/>
    <x v="0"/>
    <x v="4"/>
    <s v="Primativo 3"/>
    <s v="1103P"/>
    <n v="622.28571428571433"/>
    <n v="9.27"/>
    <n v="5633"/>
    <n v="0.06"/>
    <n v="5295.02"/>
    <n v="8.5089853076216713"/>
    <n v="4.84"/>
    <n v="7.37"/>
    <n v="6.16"/>
    <n v="5.36"/>
    <m/>
    <n v="7.22"/>
    <n v="6.1899999999999995"/>
    <s v="No thin"/>
    <x v="0"/>
    <m/>
    <n v="0.36"/>
    <m/>
    <n v="0.45"/>
    <d v="2025-04-28T00:00:00"/>
    <n v="51.315789473684212"/>
    <n v="18.473684210526315"/>
    <n v="48.909263684210529"/>
    <n v="5.2760802248339305"/>
    <m/>
    <m/>
    <n v="48.909263684210529"/>
    <n v="5.2760802248339305"/>
    <m/>
    <n v="38.589473684210525"/>
    <x v="1"/>
  </r>
  <r>
    <x v="2"/>
    <s v="DBAI04CS"/>
    <x v="141"/>
    <x v="0"/>
    <x v="0"/>
    <m/>
    <m/>
    <n v="622"/>
    <n v="9.27"/>
    <m/>
    <m/>
    <m/>
    <m/>
    <m/>
    <m/>
    <m/>
    <m/>
    <m/>
    <m/>
    <m/>
    <m/>
    <x v="1"/>
    <m/>
    <m/>
    <m/>
    <m/>
    <m/>
    <m/>
    <m/>
    <n v="0"/>
    <m/>
    <m/>
    <m/>
    <n v="0"/>
    <n v="0"/>
    <m/>
    <m/>
    <x v="0"/>
  </r>
  <r>
    <x v="2"/>
    <s v="DBDA05CH"/>
    <x v="142"/>
    <x v="0"/>
    <x v="8"/>
    <n v="4"/>
    <s v="Freedom"/>
    <n v="622.28571428571433"/>
    <n v="10.07"/>
    <n v="6057"/>
    <n v="0.15"/>
    <n v="5148.45"/>
    <n v="8.2734504132231397"/>
    <n v="10.11"/>
    <n v="7.08"/>
    <n v="8.1"/>
    <n v="8.4"/>
    <n v="8.23"/>
    <n v="5.16"/>
    <n v="7.8466666666666667"/>
    <s v="No thin"/>
    <x v="0"/>
    <m/>
    <n v="0.35"/>
    <m/>
    <n v="0.4"/>
    <d v="2025-04-24T00:00:00"/>
    <n v="58.15"/>
    <n v="20.352499999999999"/>
    <n v="52.391914312499999"/>
    <n v="5.2027720270605755"/>
    <n v="8.2210073472583807E-3"/>
    <m/>
    <n v="52.391914312499999"/>
    <n v="5.2027720270605755"/>
    <m/>
    <n v="43.249062499999994"/>
    <x v="0"/>
  </r>
  <r>
    <x v="2"/>
    <s v="DFDA04ZN"/>
    <x v="143"/>
    <x v="0"/>
    <x v="4"/>
    <n v="2"/>
    <s v="O39-16"/>
    <n v="691.42857142857144"/>
    <n v="8.07"/>
    <n v="5487"/>
    <m/>
    <n v="5487"/>
    <n v="7.9357438016528921"/>
    <n v="2.88"/>
    <n v="7.79"/>
    <n v="8.19"/>
    <n v="7.17"/>
    <n v="8.01"/>
    <n v="9.5399999999999991"/>
    <n v="7.2633333333333328"/>
    <s v="Done"/>
    <x v="0"/>
    <m/>
    <n v="0.48599999999999999"/>
    <m/>
    <n v="0.45"/>
    <d v="2025-04-21T00:00:00"/>
    <n v="59.333333333333336"/>
    <n v="28.836000000000002"/>
    <n v="79.11156600000001"/>
    <n v="9.8031680297397781"/>
    <n v="2.6845202381659539E-2"/>
    <m/>
    <n v="79.11156600000001"/>
    <n v="9.8031680297397781"/>
    <m/>
    <n v="64.08"/>
    <x v="1"/>
  </r>
  <r>
    <x v="2"/>
    <s v="DFDA04ZN"/>
    <x v="143"/>
    <x v="0"/>
    <x v="4"/>
    <n v="2"/>
    <s v="O39-16"/>
    <n v="691.42857142857144"/>
    <n v="8.07"/>
    <n v="5487"/>
    <m/>
    <n v="5487"/>
    <n v="7.9357438016528921"/>
    <n v="2.88"/>
    <n v="7.79"/>
    <n v="8.19"/>
    <n v="7.17"/>
    <n v="8.01"/>
    <n v="9.5399999999999991"/>
    <n v="7.2633333333333328"/>
    <s v="Done"/>
    <x v="0"/>
    <m/>
    <n v="0.48599999999999999"/>
    <m/>
    <n v="0.45"/>
    <d v="2025-04-23T00:00:00"/>
    <n v="57.636363636363633"/>
    <n v="28.011272727272726"/>
    <n v="76.848926727272712"/>
    <n v="9.5227914160189222"/>
    <n v="-1.8070944987967745E-3"/>
    <m/>
    <n v="76.848926727272712"/>
    <n v="9.5227914160189222"/>
    <m/>
    <n v="62.247272727272716"/>
    <x v="1"/>
  </r>
  <r>
    <x v="2"/>
    <s v="DFDA07ND"/>
    <x v="144"/>
    <x v="0"/>
    <x v="23"/>
    <n v="2"/>
    <s v="RS3"/>
    <n v="691.42857142857144"/>
    <n v="6.72"/>
    <n v="4595"/>
    <m/>
    <n v="4595"/>
    <n v="6.6456611570247937"/>
    <m/>
    <m/>
    <n v="6.67"/>
    <n v="7.41"/>
    <n v="12.7"/>
    <n v="8.3000000000000007"/>
    <n v="8.77"/>
    <s v="Post thin"/>
    <x v="0"/>
    <m/>
    <n v="0.5"/>
    <m/>
    <n v="0.43"/>
    <d v="2025-04-15T00:00:00"/>
    <n v="62.444444444444443"/>
    <m/>
    <n v="0"/>
    <m/>
    <m/>
    <m/>
    <n v="0"/>
    <n v="0"/>
    <m/>
    <n v="0"/>
    <x v="1"/>
  </r>
  <r>
    <x v="2"/>
    <s v="FDJA01TO"/>
    <x v="145"/>
    <x v="0"/>
    <x v="24"/>
    <s v="Woodbridge"/>
    <s v="101-14"/>
    <n v="680.625"/>
    <n v="20.25"/>
    <n v="13593"/>
    <m/>
    <n v="13593"/>
    <n v="19.971349862258954"/>
    <n v="7.76"/>
    <n v="7.74"/>
    <n v="9.14"/>
    <n v="8.16"/>
    <n v="10.98"/>
    <n v="7.65"/>
    <n v="8.5716666666666672"/>
    <m/>
    <x v="1"/>
    <m/>
    <m/>
    <m/>
    <n v="0.3"/>
    <m/>
    <n v="0"/>
    <m/>
    <n v="0"/>
    <m/>
    <m/>
    <m/>
    <n v="0"/>
    <n v="0"/>
    <m/>
    <n v="0"/>
    <x v="1"/>
  </r>
  <r>
    <x v="2"/>
    <s v="FDJA02TE"/>
    <x v="146"/>
    <x v="0"/>
    <x v="15"/>
    <s v="Selection"/>
    <s v="Schwarzman"/>
    <n v="680.625"/>
    <n v="20.260000000000002"/>
    <n v="13612"/>
    <n v="0.08"/>
    <n v="12523.04"/>
    <n v="18.399324150596879"/>
    <n v="5.77"/>
    <n v="9.43"/>
    <n v="8.17"/>
    <n v="7.25"/>
    <n v="8.65"/>
    <n v="8.48"/>
    <n v="7.958333333333333"/>
    <m/>
    <x v="1"/>
    <m/>
    <n v="0.54"/>
    <m/>
    <n v="0.4"/>
    <m/>
    <n v="0"/>
    <m/>
    <n v="0"/>
    <m/>
    <m/>
    <m/>
    <n v="0"/>
    <n v="0"/>
    <m/>
    <n v="0"/>
    <x v="1"/>
  </r>
  <r>
    <x v="2"/>
    <s v="FDJA03MA"/>
    <x v="147"/>
    <x v="0"/>
    <x v="1"/>
    <m/>
    <s v="101-14/Schwarzman"/>
    <n v="680.625"/>
    <n v="17.010000000000002"/>
    <n v="11418"/>
    <m/>
    <n v="11418"/>
    <n v="16.775757575757577"/>
    <n v="7.2350000000000003"/>
    <n v="10.469999999999999"/>
    <n v="7.5350000000000001"/>
    <n v="8.64"/>
    <n v="9.7899999999999991"/>
    <n v="10.07"/>
    <n v="8.7339999999999982"/>
    <m/>
    <x v="1"/>
    <m/>
    <n v="0.42"/>
    <m/>
    <n v="0.44"/>
    <m/>
    <n v="0"/>
    <m/>
    <n v="0"/>
    <m/>
    <m/>
    <m/>
    <n v="0"/>
    <n v="0"/>
    <m/>
    <n v="0"/>
    <x v="1"/>
  </r>
  <r>
    <x v="2"/>
    <s v="FDJA03MA"/>
    <x v="148"/>
    <x v="0"/>
    <x v="1"/>
    <m/>
    <s v="101-14/Schwarzman"/>
    <n v="680.625"/>
    <n v="19.239999999999998"/>
    <n v="12983"/>
    <m/>
    <n v="12983"/>
    <n v="19.075114784205692"/>
    <n v="7.2350000000000003"/>
    <n v="10.469999999999999"/>
    <n v="7.5350000000000001"/>
    <n v="8.64"/>
    <n v="9.7899999999999991"/>
    <n v="10.07"/>
    <n v="8.7339999999999982"/>
    <m/>
    <x v="1"/>
    <m/>
    <n v="0.42"/>
    <m/>
    <n v="0.44"/>
    <m/>
    <n v="0"/>
    <m/>
    <n v="0"/>
    <m/>
    <m/>
    <m/>
    <n v="0"/>
    <n v="0"/>
    <m/>
    <n v="0"/>
    <x v="1"/>
  </r>
  <r>
    <x v="2"/>
    <s v="FDJA04ME"/>
    <x v="149"/>
    <x v="0"/>
    <x v="2"/>
    <n v="181"/>
    <s v="Schwarzman"/>
    <n v="680.625"/>
    <n v="41.1"/>
    <n v="29289"/>
    <m/>
    <n v="29289"/>
    <n v="43.032506887052342"/>
    <n v="10.48"/>
    <n v="6.78"/>
    <n v="9.19"/>
    <n v="5.59"/>
    <n v="7.3"/>
    <n v="8.36"/>
    <n v="7.95"/>
    <m/>
    <x v="1"/>
    <m/>
    <m/>
    <m/>
    <n v="0.38"/>
    <m/>
    <n v="0"/>
    <m/>
    <n v="0"/>
    <m/>
    <m/>
    <m/>
    <n v="0"/>
    <n v="0"/>
    <m/>
    <n v="0"/>
    <x v="1"/>
  </r>
  <r>
    <x v="2"/>
    <s v="FDJA04ME"/>
    <x v="150"/>
    <x v="0"/>
    <x v="2"/>
    <n v="181"/>
    <s v="Schwarzman"/>
    <n v="680.625"/>
    <n v="41.1"/>
    <n v="29289"/>
    <m/>
    <n v="29289"/>
    <n v="43.032506887052342"/>
    <m/>
    <m/>
    <m/>
    <m/>
    <m/>
    <n v="8.36"/>
    <m/>
    <m/>
    <x v="1"/>
    <m/>
    <m/>
    <m/>
    <n v="0.38"/>
    <m/>
    <n v="0"/>
    <m/>
    <n v="0"/>
    <m/>
    <m/>
    <m/>
    <n v="0"/>
    <n v="0"/>
    <m/>
    <n v="0"/>
    <x v="1"/>
  </r>
  <r>
    <x v="2"/>
    <s v="FDJA04ME"/>
    <x v="151"/>
    <x v="0"/>
    <x v="2"/>
    <n v="181"/>
    <s v="Schwarzman"/>
    <n v="680.625"/>
    <n v="41.1"/>
    <n v="29289"/>
    <m/>
    <n v="29289"/>
    <n v="43.032506887052342"/>
    <m/>
    <m/>
    <m/>
    <m/>
    <m/>
    <n v="8.36"/>
    <m/>
    <m/>
    <x v="1"/>
    <m/>
    <m/>
    <m/>
    <n v="0.38"/>
    <m/>
    <n v="0"/>
    <m/>
    <n v="0"/>
    <m/>
    <m/>
    <m/>
    <n v="0"/>
    <n v="0"/>
    <m/>
    <n v="0"/>
    <x v="1"/>
  </r>
  <r>
    <x v="2"/>
    <s v="FDJA05ME"/>
    <x v="152"/>
    <x v="0"/>
    <x v="2"/>
    <n v="15"/>
    <s v="101-14"/>
    <n v="777.85714285714289"/>
    <n v="18.39"/>
    <n v="14077"/>
    <m/>
    <n v="14077"/>
    <n v="18.097153351698804"/>
    <n v="10"/>
    <n v="8.59"/>
    <n v="9.56"/>
    <n v="10.1"/>
    <n v="8.52"/>
    <n v="10.41"/>
    <n v="9.5299999999999994"/>
    <m/>
    <x v="1"/>
    <m/>
    <m/>
    <m/>
    <n v="0.38"/>
    <m/>
    <n v="0"/>
    <m/>
    <n v="0"/>
    <m/>
    <m/>
    <m/>
    <n v="0"/>
    <n v="0"/>
    <m/>
    <n v="0"/>
    <x v="1"/>
  </r>
  <r>
    <x v="2"/>
    <s v="FDJA06TA"/>
    <x v="153"/>
    <x v="0"/>
    <x v="25"/>
    <s v="Gallo"/>
    <s v="5BB"/>
    <n v="680.625"/>
    <n v="8.34"/>
    <n v="5471"/>
    <m/>
    <n v="5471"/>
    <n v="8.0382001836547285"/>
    <n v="5.08"/>
    <n v="4.53"/>
    <n v="3.17"/>
    <n v="6.07"/>
    <n v="5.04"/>
    <n v="6.22"/>
    <n v="5.0183333333333335"/>
    <m/>
    <x v="1"/>
    <m/>
    <n v="0.33"/>
    <m/>
    <n v="0.4"/>
    <m/>
    <n v="0"/>
    <m/>
    <n v="0"/>
    <m/>
    <m/>
    <m/>
    <n v="0"/>
    <n v="0"/>
    <m/>
    <n v="0"/>
    <x v="0"/>
  </r>
  <r>
    <x v="2"/>
    <s v="HEBO01CS"/>
    <x v="154"/>
    <x v="0"/>
    <x v="0"/>
    <s v="101 Concannon (7)"/>
    <s v="5BB"/>
    <n v="622.28571428571433"/>
    <n v="17.14"/>
    <n v="10509"/>
    <m/>
    <n v="10509"/>
    <n v="16.887741046831955"/>
    <n v="6.55"/>
    <n v="7.61"/>
    <n v="8.89"/>
    <n v="8.4600000000000009"/>
    <n v="12.57"/>
    <n v="8.8699999999999992"/>
    <n v="8.8249999999999993"/>
    <m/>
    <x v="1"/>
    <m/>
    <n v="0.32"/>
    <m/>
    <n v="0.33"/>
    <d v="2025-05-07T00:00:00"/>
    <n v="114.3"/>
    <n v="36.576000000000001"/>
    <n v="192.188592"/>
    <n v="11.212870011668612"/>
    <n v="0.20894472237977588"/>
    <m/>
    <n v="192.188592"/>
    <n v="11.212870011668612"/>
    <m/>
    <n v="110.83636363636364"/>
    <x v="0"/>
  </r>
  <r>
    <x v="2"/>
    <s v="HIHV04CS"/>
    <x v="155"/>
    <x v="0"/>
    <x v="0"/>
    <n v="7"/>
    <s v="Freedom"/>
    <n v="691.42857142857144"/>
    <n v="44.56"/>
    <n v="30602"/>
    <n v="0.12"/>
    <n v="26929.760000000002"/>
    <n v="38.948"/>
    <n v="6.98"/>
    <n v="5.93"/>
    <n v="6.95"/>
    <n v="7.81"/>
    <n v="9.17"/>
    <n v="7.55"/>
    <n v="7.3983333333333325"/>
    <s v="No thin"/>
    <x v="0"/>
    <m/>
    <n v="0.33"/>
    <m/>
    <n v="0.33"/>
    <d v="2025-04-18T00:00:00"/>
    <n v="83.8"/>
    <n v="27.654"/>
    <n v="372.35779152000003"/>
    <n v="8.3563238671454219"/>
    <n v="9.6492653942680168E-2"/>
    <m/>
    <n v="372.35779152000003"/>
    <n v="8.3563238671454219"/>
    <m/>
    <n v="73.744000000000014"/>
    <x v="1"/>
  </r>
  <r>
    <x v="2"/>
    <s v="HIHV05PS"/>
    <x v="156"/>
    <x v="0"/>
    <x v="3"/>
    <s v="Durif"/>
    <s v="Freedom"/>
    <n v="691.42857142857144"/>
    <n v="57.07"/>
    <n v="39054"/>
    <n v="0.02"/>
    <n v="38272.92"/>
    <n v="55.353396694214872"/>
    <n v="6.76"/>
    <n v="6.51"/>
    <n v="6.15"/>
    <n v="7.01"/>
    <n v="8.16"/>
    <n v="6.91"/>
    <n v="6.916666666666667"/>
    <m/>
    <x v="1"/>
    <m/>
    <n v="0.42"/>
    <m/>
    <n v="0.52"/>
    <m/>
    <n v="0"/>
    <m/>
    <n v="0"/>
    <m/>
    <m/>
    <m/>
    <n v="0"/>
    <n v="0"/>
    <m/>
    <n v="0"/>
    <x v="1"/>
  </r>
  <r>
    <x v="2"/>
    <s v="JONR01CH"/>
    <x v="157"/>
    <x v="0"/>
    <x v="8"/>
    <n v="1"/>
    <s v="SO4"/>
    <n v="605"/>
    <n v="37.82"/>
    <n v="22654"/>
    <m/>
    <n v="22654"/>
    <n v="37.444628099173556"/>
    <n v="8.3699999999999992"/>
    <n v="9.11"/>
    <n v="9.52"/>
    <n v="8.51"/>
    <n v="9.17"/>
    <n v="6.56"/>
    <n v="8.5400000000000009"/>
    <s v="No thin"/>
    <x v="0"/>
    <m/>
    <n v="0.33"/>
    <m/>
    <n v="0.4"/>
    <d v="2025-04-22T00:00:00"/>
    <n v="93.933333333333337"/>
    <n v="30.998000000000001"/>
    <n v="351.11434600000001"/>
    <n v="9.2838272342675836"/>
    <n v="0.29339486458921282"/>
    <m/>
    <n v="351.11434600000001"/>
    <n v="9.2838272342675836"/>
    <m/>
    <n v="77.495000000000005"/>
    <x v="1"/>
  </r>
  <r>
    <x v="2"/>
    <s v="JONR02SB"/>
    <x v="158"/>
    <x v="0"/>
    <x v="7"/>
    <n v="4"/>
    <s v="Freedom,  5BB, SO4"/>
    <n v="726"/>
    <n v="7.06"/>
    <n v="4941"/>
    <m/>
    <n v="4941"/>
    <n v="6.8057851239669418"/>
    <m/>
    <m/>
    <n v="6.93"/>
    <n v="10.01"/>
    <m/>
    <n v="9.33"/>
    <n v="8.4699999999999989"/>
    <s v="Pre thin"/>
    <x v="2"/>
    <m/>
    <n v="0.28000000000000003"/>
    <m/>
    <n v="0.35"/>
    <d v="2025-04-25T00:00:00"/>
    <n v="144.13333333333333"/>
    <n v="40.357333333333337"/>
    <n v="99.702792000000002"/>
    <n v="14.12220849858357"/>
    <n v="0.33933846105332738"/>
    <m/>
    <n v="99.702792000000002"/>
    <n v="14.12220849858357"/>
    <m/>
    <n v="115.30666666666666"/>
    <x v="1"/>
  </r>
  <r>
    <x v="2"/>
    <s v="JONR02SB"/>
    <x v="158"/>
    <x v="0"/>
    <x v="7"/>
    <n v="4"/>
    <s v="Freedom,  5BB, SO4"/>
    <n v="726"/>
    <n v="7.06"/>
    <n v="4941"/>
    <m/>
    <n v="4941"/>
    <n v="6.8057851239669418"/>
    <m/>
    <m/>
    <n v="6.93"/>
    <n v="10.01"/>
    <m/>
    <n v="9.33"/>
    <n v="8.4699999999999989"/>
    <s v="Post thin"/>
    <x v="0"/>
    <m/>
    <n v="0.28000000000000003"/>
    <m/>
    <n v="0.35"/>
    <d v="2025-04-25T00:00:00"/>
    <n v="90.473684210526315"/>
    <n v="25.332631578947371"/>
    <n v="62.584266315789478"/>
    <n v="8.8646269569106906"/>
    <n v="-5.2497758264549839E-2"/>
    <m/>
    <n v="62.584266315789478"/>
    <n v="8.8646269569106906"/>
    <m/>
    <n v="72.378947368421066"/>
    <x v="1"/>
  </r>
  <r>
    <x v="2"/>
    <s v="JONR03GV"/>
    <x v="159"/>
    <x v="0"/>
    <x v="26"/>
    <s v="5.1/3.1/Garnacha gris"/>
    <s v="SO4"/>
    <n v="726"/>
    <n v="4.51"/>
    <n v="3247"/>
    <m/>
    <n v="3247"/>
    <n v="4.4724517906336088"/>
    <m/>
    <m/>
    <m/>
    <n v="1.1599999999999999"/>
    <n v="8.3000000000000007"/>
    <n v="7.95"/>
    <n v="4.7300000000000004"/>
    <m/>
    <x v="1"/>
    <m/>
    <n v="0.48"/>
    <m/>
    <n v="0.5"/>
    <m/>
    <n v="0"/>
    <m/>
    <n v="0"/>
    <m/>
    <m/>
    <m/>
    <n v="0"/>
    <n v="0"/>
    <m/>
    <n v="0"/>
    <x v="0"/>
  </r>
  <r>
    <x v="2"/>
    <s v="JONR03GV"/>
    <x v="160"/>
    <x v="0"/>
    <x v="26"/>
    <s v="5.1/3.1/Garnacha gris"/>
    <s v="SO4"/>
    <n v="726"/>
    <n v="4.51"/>
    <n v="3247"/>
    <m/>
    <n v="3247"/>
    <n v="4.4724517906336088"/>
    <m/>
    <m/>
    <m/>
    <n v="1.1599999999999999"/>
    <n v="8.3000000000000007"/>
    <m/>
    <n v="4.7300000000000004"/>
    <m/>
    <x v="1"/>
    <m/>
    <n v="0.48"/>
    <m/>
    <n v="0.5"/>
    <m/>
    <n v="0"/>
    <m/>
    <n v="0"/>
    <m/>
    <m/>
    <m/>
    <n v="0"/>
    <n v="0"/>
    <m/>
    <n v="0"/>
    <x v="1"/>
  </r>
  <r>
    <x v="2"/>
    <s v="LAPR02CH"/>
    <x v="161"/>
    <x v="0"/>
    <x v="8"/>
    <n v="4"/>
    <s v="GRN4"/>
    <n v="691.42857142857144"/>
    <n v="34.200000000000003"/>
    <n v="23449"/>
    <m/>
    <n v="23449"/>
    <n v="33.913842975206613"/>
    <n v="10.01"/>
    <n v="6.89"/>
    <n v="11.32"/>
    <n v="9"/>
    <n v="10.199999999999999"/>
    <n v="8.0399999999999991"/>
    <n v="9.484"/>
    <s v="No thin"/>
    <x v="0"/>
    <m/>
    <n v="0.43"/>
    <m/>
    <n v="0.4"/>
    <d v="2025-04-14T00:00:00"/>
    <n v="55.629629629629626"/>
    <n v="23.92074074074074"/>
    <n v="280.45872481481479"/>
    <n v="8.2005475092051103"/>
    <n v="1.9577657348475414E-2"/>
    <m/>
    <m/>
    <m/>
    <m/>
    <m/>
    <x v="1"/>
  </r>
  <r>
    <x v="2"/>
    <s v="LAPR02CH"/>
    <x v="161"/>
    <x v="0"/>
    <x v="8"/>
    <n v="4"/>
    <s v="GRN4"/>
    <n v="691.42857142857144"/>
    <n v="34.200000000000003"/>
    <n v="23449"/>
    <m/>
    <n v="23449"/>
    <n v="33.913842975206613"/>
    <n v="10.01"/>
    <n v="6.89"/>
    <n v="11.32"/>
    <n v="9"/>
    <n v="10.199999999999999"/>
    <n v="8.0399999999999991"/>
    <n v="9.2433333333333341"/>
    <s v="No thin"/>
    <x v="0"/>
    <m/>
    <n v="0.43"/>
    <m/>
    <n v="0.4"/>
    <d v="2025-04-14T00:00:00"/>
    <n v="56.3"/>
    <n v="24.209"/>
    <n v="283.83842049999998"/>
    <n v="8.2993690204678359"/>
    <n v="3.1251655376231972E-2"/>
    <m/>
    <m/>
    <m/>
    <m/>
    <m/>
    <x v="1"/>
  </r>
  <r>
    <x v="2"/>
    <s v="LAPR02CH"/>
    <x v="161"/>
    <x v="0"/>
    <x v="8"/>
    <n v="4"/>
    <s v="GRN4"/>
    <n v="691.42857142857144"/>
    <n v="34.200000000000003"/>
    <n v="23449"/>
    <m/>
    <n v="23449"/>
    <n v="33.913842975206613"/>
    <n v="10.01"/>
    <n v="6.89"/>
    <n v="11.32"/>
    <n v="9"/>
    <n v="10.199999999999999"/>
    <n v="8.0399999999999991"/>
    <n v="9.484"/>
    <s v="No thin"/>
    <x v="0"/>
    <m/>
    <n v="0.43"/>
    <m/>
    <n v="0.4"/>
    <d v="2025-04-15T00:00:00"/>
    <n v="61.214285714285715"/>
    <n v="26.322142857142858"/>
    <n v="308.61396392857142"/>
    <n v="9.0238001148705091"/>
    <n v="0.10902281769842011"/>
    <m/>
    <m/>
    <m/>
    <m/>
    <m/>
    <x v="1"/>
  </r>
  <r>
    <x v="2"/>
    <s v="LAPR03ME"/>
    <x v="162"/>
    <x v="0"/>
    <x v="2"/>
    <n v="15"/>
    <s v="GRN2"/>
    <n v="691.42857142857144"/>
    <n v="34.06"/>
    <n v="23354"/>
    <m/>
    <n v="23354"/>
    <n v="33.776446280991735"/>
    <n v="9.5500000000000007"/>
    <n v="7.36"/>
    <n v="8.27"/>
    <n v="8.3699999999999992"/>
    <n v="7.83"/>
    <n v="7.6"/>
    <n v="8.1633333333333322"/>
    <s v="3/SPUR"/>
    <x v="0"/>
    <m/>
    <n v="0.32"/>
    <m/>
    <n v="0.38"/>
    <d v="2025-04-24T00:00:00"/>
    <n v="70.333333333333329"/>
    <n v="22.506666666666664"/>
    <n v="262.81034666666665"/>
    <n v="7.7160994323742402"/>
    <n v="1.504638883826784E-2"/>
    <m/>
    <n v="262.81034666666665"/>
    <n v="7.7160994323742402"/>
    <m/>
    <n v="59.228070175438589"/>
    <x v="1"/>
  </r>
  <r>
    <x v="2"/>
    <s v="LAPR03ME"/>
    <x v="162"/>
    <x v="0"/>
    <x v="2"/>
    <n v="15"/>
    <s v="GRN2"/>
    <n v="691.42857142857144"/>
    <n v="34.06"/>
    <n v="23354"/>
    <m/>
    <n v="23354"/>
    <n v="33.776446280991735"/>
    <n v="9.5500000000000007"/>
    <n v="7.36"/>
    <n v="8.27"/>
    <n v="8.3699999999999992"/>
    <n v="7.83"/>
    <n v="7.6"/>
    <n v="8.1633333333333322"/>
    <s v="3/SPUR"/>
    <x v="0"/>
    <m/>
    <n v="0.32"/>
    <m/>
    <n v="0.38"/>
    <d v="2025-04-24T00:00:00"/>
    <n v="70.884615384615387"/>
    <n v="22.683076923076925"/>
    <n v="264.87028923076929"/>
    <n v="7.776579249288587"/>
    <n v="2.2706545336722582E-2"/>
    <m/>
    <n v="264.87028923076929"/>
    <n v="7.776579249288587"/>
    <m/>
    <n v="59.692307692307701"/>
    <x v="1"/>
  </r>
  <r>
    <x v="2"/>
    <s v="LAPR03ME"/>
    <x v="162"/>
    <x v="0"/>
    <x v="2"/>
    <n v="15"/>
    <s v="GRN2"/>
    <n v="691.42857142857144"/>
    <n v="34.06"/>
    <n v="23354"/>
    <m/>
    <n v="23354"/>
    <n v="33.776446280991735"/>
    <n v="9.5500000000000007"/>
    <n v="7.36"/>
    <n v="8.27"/>
    <n v="8.3699999999999992"/>
    <n v="7.83"/>
    <n v="7.6"/>
    <n v="8.1633333333333322"/>
    <s v="3/SPUR"/>
    <x v="0"/>
    <m/>
    <n v="0.32"/>
    <m/>
    <n v="0.38"/>
    <d v="2025-04-24T00:00:00"/>
    <n v="76.0625"/>
    <n v="24.34"/>
    <n v="284.21818000000002"/>
    <n v="8.3446324133881387"/>
    <n v="8.9234896937275487E-2"/>
    <m/>
    <n v="284.21818000000002"/>
    <n v="8.3446324133881387"/>
    <m/>
    <n v="64.05263157894737"/>
    <x v="1"/>
  </r>
  <r>
    <x v="2"/>
    <s v="LAPR04PS"/>
    <x v="163"/>
    <x v="0"/>
    <x v="3"/>
    <n v="3"/>
    <s v="Schwarzman"/>
    <n v="777.85714285714289"/>
    <n v="43.76"/>
    <n v="33795"/>
    <n v="0.05"/>
    <n v="32105.25"/>
    <n v="41.27396694214876"/>
    <n v="7.24"/>
    <n v="6.34"/>
    <n v="7.09"/>
    <n v="5.52"/>
    <n v="5.76"/>
    <n v="4.83"/>
    <n v="6.13"/>
    <s v="No thin"/>
    <x v="0"/>
    <m/>
    <n v="0.35"/>
    <m/>
    <n v="0.52"/>
    <d v="2025-04-30T00:00:00"/>
    <n v="57.8125"/>
    <n v="20.234375"/>
    <n v="324.81483398437501"/>
    <n v="7.4226424585094843"/>
    <n v="0.34928833942920429"/>
    <m/>
    <n v="324.81483398437501"/>
    <n v="7.4226424585094843"/>
    <m/>
    <n v="36.966646634615387"/>
    <x v="1"/>
  </r>
  <r>
    <x v="2"/>
    <s v="LAPR05CS"/>
    <x v="164"/>
    <x v="0"/>
    <x v="0"/>
    <n v="337"/>
    <s v="Schwarzman"/>
    <n v="777.85714285714289"/>
    <n v="43.1"/>
    <n v="33260"/>
    <m/>
    <n v="33260"/>
    <n v="42.758494031221304"/>
    <n v="5.56"/>
    <n v="6.43"/>
    <n v="7.97"/>
    <n v="7.01"/>
    <n v="8.15"/>
    <n v="7.04"/>
    <n v="7.0266666666666664"/>
    <s v="No thin"/>
    <x v="0"/>
    <m/>
    <n v="0.28999999999999998"/>
    <m/>
    <n v="0.33"/>
    <d v="2025-04-30T00:00:00"/>
    <n v="97.125"/>
    <n v="28.166249999999998"/>
    <n v="468.40473750000001"/>
    <n v="10.867859338747099"/>
    <n v="0.35221833660467616"/>
    <m/>
    <n v="468.40473750000001"/>
    <n v="10.867859338747099"/>
    <m/>
    <n v="85.35227272727272"/>
    <x v="1"/>
  </r>
  <r>
    <x v="2"/>
    <s v="LF1001CS"/>
    <x v="165"/>
    <x v="0"/>
    <x v="0"/>
    <n v="8"/>
    <s v="5BB"/>
    <n v="622.28571428571433"/>
    <n v="49.01"/>
    <n v="30330"/>
    <m/>
    <n v="30330"/>
    <n v="48.739669421487598"/>
    <n v="6.24"/>
    <n v="8.1"/>
    <n v="9.23"/>
    <n v="8.9"/>
    <n v="12.08"/>
    <n v="9.0299999999999994"/>
    <n v="8.93"/>
    <m/>
    <x v="1"/>
    <m/>
    <n v="0.33"/>
    <m/>
    <n v="0.33"/>
    <m/>
    <n v="0"/>
    <m/>
    <n v="0"/>
    <m/>
    <m/>
    <m/>
    <n v="0"/>
    <n v="0"/>
    <m/>
    <n v="0"/>
    <x v="1"/>
  </r>
  <r>
    <x v="2"/>
    <s v="LF1002PS"/>
    <x v="166"/>
    <x v="0"/>
    <x v="3"/>
    <n v="3"/>
    <s v="St. George"/>
    <n v="806.66666666666663"/>
    <n v="49.52"/>
    <n v="39630"/>
    <m/>
    <n v="39630"/>
    <n v="49.128099173553721"/>
    <n v="4.5"/>
    <n v="5.55"/>
    <n v="7.61"/>
    <n v="8.7200000000000006"/>
    <n v="7.39"/>
    <n v="5.81"/>
    <n v="6.5966666666666676"/>
    <s v="No thin"/>
    <x v="0"/>
    <m/>
    <n v="0.47"/>
    <m/>
    <n v="0.52"/>
    <d v="2025-05-09T00:00:00"/>
    <n v="39.5"/>
    <n v="18.564999999999998"/>
    <n v="367.865475"/>
    <n v="7.4286242932148623"/>
    <n v="0.21789018118647857"/>
    <m/>
    <n v="367.865475"/>
    <n v="7.4286242932148623"/>
    <m/>
    <n v="35.701923076923073"/>
    <x v="0"/>
  </r>
  <r>
    <x v="2"/>
    <s v="LF3801CS"/>
    <x v="167"/>
    <x v="0"/>
    <x v="0"/>
    <s v="7;8"/>
    <s v="Freedom"/>
    <n v="622.28571428571433"/>
    <n v="48.52"/>
    <n v="29134"/>
    <n v="0.1"/>
    <n v="26220.6"/>
    <n v="42.135950413223135"/>
    <n v="7.33"/>
    <n v="5.58"/>
    <n v="5.59"/>
    <n v="8.14"/>
    <n v="8.89"/>
    <n v="6.69"/>
    <n v="7.0366666666666662"/>
    <m/>
    <x v="1"/>
    <m/>
    <n v="0.28000000000000003"/>
    <m/>
    <n v="0.33"/>
    <m/>
    <n v="0"/>
    <m/>
    <n v="0"/>
    <m/>
    <m/>
    <m/>
    <n v="0"/>
    <n v="0"/>
    <m/>
    <n v="0"/>
    <x v="0"/>
  </r>
  <r>
    <x v="2"/>
    <s v="LF3801CS"/>
    <x v="168"/>
    <x v="0"/>
    <x v="0"/>
    <s v="7;8"/>
    <s v="Freedom"/>
    <n v="622.28571428571433"/>
    <n v="19.63"/>
    <n v="11789"/>
    <n v="0.1"/>
    <n v="10610.1"/>
    <n v="17.050206611570246"/>
    <n v="7.33"/>
    <n v="5.58"/>
    <n v="5.59"/>
    <n v="8.14"/>
    <n v="8.89"/>
    <n v="6.69"/>
    <n v="7.1059999999999999"/>
    <m/>
    <x v="1"/>
    <m/>
    <n v="0.28000000000000003"/>
    <m/>
    <n v="0.33"/>
    <m/>
    <n v="0"/>
    <m/>
    <n v="0"/>
    <m/>
    <m/>
    <m/>
    <n v="0"/>
    <n v="0"/>
    <m/>
    <n v="0"/>
    <x v="0"/>
  </r>
  <r>
    <x v="2"/>
    <s v="LF3801CS"/>
    <x v="169"/>
    <x v="0"/>
    <x v="0"/>
    <s v="7;8"/>
    <s v="Freedom"/>
    <n v="622.28571428571433"/>
    <n v="28.89"/>
    <n v="17345"/>
    <n v="0.1"/>
    <n v="15610.5"/>
    <n v="25.085743801652889"/>
    <n v="7.33"/>
    <n v="5.58"/>
    <n v="5.59"/>
    <n v="8.14"/>
    <n v="8.89"/>
    <n v="6.69"/>
    <n v="7.1059999999999999"/>
    <m/>
    <x v="1"/>
    <m/>
    <n v="0.28000000000000003"/>
    <m/>
    <n v="0.33"/>
    <m/>
    <n v="0"/>
    <m/>
    <n v="0"/>
    <m/>
    <m/>
    <m/>
    <n v="0"/>
    <n v="0"/>
    <m/>
    <n v="0"/>
    <x v="0"/>
  </r>
  <r>
    <x v="2"/>
    <s v="LF8001TD"/>
    <x v="170"/>
    <x v="0"/>
    <x v="14"/>
    <s v="Trinchero"/>
    <s v="SO4"/>
    <n v="622.28571428571433"/>
    <n v="24.87"/>
    <n v="15349"/>
    <m/>
    <n v="15349"/>
    <n v="24.66551882460973"/>
    <n v="8.51"/>
    <n v="6.99"/>
    <n v="9"/>
    <n v="11.16"/>
    <n v="8.6999999999999993"/>
    <n v="8.64"/>
    <n v="8.8333333333333339"/>
    <m/>
    <x v="1"/>
    <m/>
    <n v="0.55000000000000004"/>
    <m/>
    <n v="0.55000000000000004"/>
    <m/>
    <n v="0"/>
    <n v="0"/>
    <n v="0"/>
    <n v="0"/>
    <m/>
    <m/>
    <n v="0"/>
    <n v="0"/>
    <m/>
    <n v="0"/>
    <x v="0"/>
  </r>
  <r>
    <x v="2"/>
    <s v="LF8002PV"/>
    <x v="171"/>
    <x v="0"/>
    <x v="6"/>
    <n v="2"/>
    <s v="5BB"/>
    <n v="622.28571428571433"/>
    <n v="26.02"/>
    <n v="16062"/>
    <n v="0.15"/>
    <n v="13652.7"/>
    <n v="21.939600550964187"/>
    <n v="10.16"/>
    <n v="10.39"/>
    <n v="10.41"/>
    <n v="12.96"/>
    <n v="11.61"/>
    <n v="8.85"/>
    <n v="10.729999999999999"/>
    <m/>
    <x v="1"/>
    <m/>
    <n v="0.22"/>
    <m/>
    <n v="0.27"/>
    <d v="2025-05-08T00:00:00"/>
    <n v="145.69999999999999"/>
    <n v="32.053999999999995"/>
    <n v="218.81182289999998"/>
    <n v="8.4093705956956182"/>
    <n v="-5.2397429663751528E-2"/>
    <m/>
    <n v="218.81182289999998"/>
    <n v="8.4093705956956182"/>
    <m/>
    <n v="100.91074074074072"/>
    <x v="0"/>
  </r>
  <r>
    <x v="2"/>
    <s v="LF8004CH"/>
    <x v="172"/>
    <x v="0"/>
    <x v="8"/>
    <s v="70.1 (French 96)"/>
    <s v="SO4"/>
    <n v="622.28571428571433"/>
    <n v="9.4019292604501601"/>
    <n v="5848"/>
    <m/>
    <n v="5848"/>
    <n v="9.3976124885215793"/>
    <m/>
    <m/>
    <m/>
    <m/>
    <m/>
    <n v="6.95"/>
    <m/>
    <s v="No thin"/>
    <x v="2"/>
    <m/>
    <n v="0.42"/>
    <m/>
    <n v="0.4"/>
    <d v="2025-04-24T00:00:00"/>
    <n v="74.099999999999994"/>
    <n v="31.121999999999996"/>
    <n v="91.000727999999995"/>
    <n v="9.678942000000001"/>
    <n v="0.28194631190061897"/>
    <m/>
    <n v="91.000727999999995"/>
    <n v="9.678942000000001"/>
    <m/>
    <n v="77.804999999999978"/>
    <x v="0"/>
  </r>
  <r>
    <x v="2"/>
    <s v="LF8004CH"/>
    <x v="173"/>
    <x v="0"/>
    <x v="8"/>
    <s v="70.1 (French 96)"/>
    <s v="SO4"/>
    <n v="622.28571428571433"/>
    <n v="8.979099678456592"/>
    <n v="5585"/>
    <m/>
    <n v="5585"/>
    <n v="8.9749770431588605"/>
    <m/>
    <m/>
    <m/>
    <m/>
    <m/>
    <n v="6.95"/>
    <m/>
    <s v="No thin"/>
    <x v="2"/>
    <m/>
    <n v="0.4"/>
    <m/>
    <n v="0.4"/>
    <d v="2025-04-30T00:00:00"/>
    <n v="93.1875"/>
    <n v="37.274999999999999"/>
    <n v="104.09043749999999"/>
    <n v="11.592524999999998"/>
    <n v="0.40047573759815042"/>
    <n v="9"/>
    <n v="23.278540393890665"/>
    <n v="2.5925249999999989"/>
    <n v="72.314049586776832"/>
    <n v="20.840233118971049"/>
    <x v="0"/>
  </r>
  <r>
    <x v="2"/>
    <s v="LF8004CH"/>
    <x v="174"/>
    <x v="0"/>
    <x v="8"/>
    <s v="70.1 (French 96)"/>
    <s v="SO4"/>
    <n v="622.28571428571433"/>
    <n v="18.48"/>
    <n v="11433"/>
    <m/>
    <n v="11433"/>
    <n v="18.37258953168044"/>
    <m/>
    <m/>
    <m/>
    <n v="4.28"/>
    <n v="8.3699999999999992"/>
    <n v="6.95"/>
    <n v="6.3249999999999993"/>
    <m/>
    <x v="1"/>
    <m/>
    <n v="0.41"/>
    <m/>
    <n v="0.4"/>
    <m/>
    <n v="0"/>
    <m/>
    <n v="0"/>
    <m/>
    <m/>
    <m/>
    <n v="0"/>
    <n v="0"/>
    <m/>
    <n v="0"/>
    <x v="0"/>
  </r>
  <r>
    <x v="2"/>
    <s v="LFBE01CS"/>
    <x v="175"/>
    <x v="2"/>
    <x v="0"/>
    <s v="7.1/35.1"/>
    <s v="GRN4"/>
    <n v="726"/>
    <n v="58.08"/>
    <n v="41905"/>
    <n v="0.01"/>
    <n v="41485.949999999997"/>
    <n v="57.143181818181816"/>
    <m/>
    <m/>
    <m/>
    <m/>
    <m/>
    <n v="5.55"/>
    <m/>
    <m/>
    <x v="1"/>
    <m/>
    <n v="0.33"/>
    <m/>
    <n v="0.33"/>
    <m/>
    <n v="0"/>
    <m/>
    <n v="0"/>
    <m/>
    <m/>
    <m/>
    <n v="0"/>
    <n v="0"/>
    <m/>
    <n v="0"/>
    <x v="0"/>
  </r>
  <r>
    <x v="2"/>
    <s v="LFBE01CS"/>
    <x v="176"/>
    <x v="2"/>
    <x v="0"/>
    <s v="7.1/35.1"/>
    <s v="GRN4"/>
    <n v="726"/>
    <n v="29.35"/>
    <n v="21179"/>
    <n v="0.01"/>
    <n v="20967.21"/>
    <n v="28.880454545454544"/>
    <m/>
    <m/>
    <m/>
    <m/>
    <m/>
    <n v="5.55"/>
    <m/>
    <m/>
    <x v="1"/>
    <m/>
    <n v="0.33"/>
    <m/>
    <n v="0.33"/>
    <m/>
    <m/>
    <m/>
    <n v="0"/>
    <m/>
    <m/>
    <m/>
    <n v="0"/>
    <n v="0"/>
    <m/>
    <n v="0"/>
    <x v="0"/>
  </r>
  <r>
    <x v="2"/>
    <s v="LFBE01CS"/>
    <x v="177"/>
    <x v="2"/>
    <x v="0"/>
    <s v="7.1/35.1"/>
    <s v="GRN4"/>
    <n v="726"/>
    <n v="28.729999999999997"/>
    <n v="20726"/>
    <n v="0.01"/>
    <n v="20518.740000000002"/>
    <n v="28.262727272727275"/>
    <m/>
    <m/>
    <m/>
    <m/>
    <m/>
    <n v="5.55"/>
    <m/>
    <m/>
    <x v="1"/>
    <m/>
    <n v="0.33"/>
    <m/>
    <n v="0.33"/>
    <m/>
    <m/>
    <m/>
    <n v="0"/>
    <m/>
    <m/>
    <m/>
    <n v="0"/>
    <n v="0"/>
    <m/>
    <n v="0"/>
    <x v="0"/>
  </r>
  <r>
    <x v="2"/>
    <s v="LFBE02VI"/>
    <x v="178"/>
    <x v="0"/>
    <x v="17"/>
    <s v="various"/>
    <s v="Schwarzman"/>
    <n v="777.85714285714289"/>
    <n v="38.380000000000003"/>
    <n v="29280"/>
    <m/>
    <n v="29280"/>
    <n v="37.641873278236915"/>
    <n v="8.7100000000000009"/>
    <n v="5.8"/>
    <n v="8.69"/>
    <n v="7.18"/>
    <n v="7.79"/>
    <n v="5.96"/>
    <n v="7.3550000000000004"/>
    <s v="Post thin"/>
    <x v="3"/>
    <m/>
    <n v="0.28000000000000003"/>
    <m/>
    <n v="0.3"/>
    <d v="2025-04-25T00:00:00"/>
    <n v="61.25"/>
    <n v="17.150000000000002"/>
    <n v="251.07600000000002"/>
    <n v="6.5418447107868687"/>
    <n v="8.8941993659290494E-2"/>
    <m/>
    <n v="251.07600000000002"/>
    <n v="6.5418447107868687"/>
    <m/>
    <n v="57.166666666666671"/>
    <x v="1"/>
  </r>
  <r>
    <x v="2"/>
    <s v="LFBE02VI"/>
    <x v="178"/>
    <x v="0"/>
    <x v="17"/>
    <s v="various"/>
    <s v="Schwarzman"/>
    <n v="777.85714285714289"/>
    <n v="38.380000000000003"/>
    <n v="29280"/>
    <m/>
    <n v="29280"/>
    <n v="37.641873278236915"/>
    <n v="8.7100000000000009"/>
    <n v="5.8"/>
    <n v="8.69"/>
    <n v="7.18"/>
    <n v="7.79"/>
    <n v="5.96"/>
    <n v="7.3550000000000004"/>
    <s v="Post thin"/>
    <x v="0"/>
    <m/>
    <n v="0.28000000000000003"/>
    <m/>
    <n v="0.3"/>
    <d v="2025-04-29T00:00:00"/>
    <n v="81.625"/>
    <n v="22.855"/>
    <n v="334.59719999999999"/>
    <n v="8.7180093798853555"/>
    <n v="0.31635769815168796"/>
    <m/>
    <n v="334.59719999999999"/>
    <n v="8.7180093798853555"/>
    <m/>
    <n v="76.183333333333337"/>
    <x v="1"/>
  </r>
  <r>
    <x v="2"/>
    <s v="LFBE02VI"/>
    <x v="178"/>
    <x v="0"/>
    <x v="17"/>
    <s v="various"/>
    <s v="Schwarzman"/>
    <n v="777.85714285714289"/>
    <n v="38.380000000000003"/>
    <n v="29280"/>
    <m/>
    <n v="29280"/>
    <n v="37.641873278236915"/>
    <n v="8.7100000000000009"/>
    <n v="5.8"/>
    <n v="8.69"/>
    <n v="7.18"/>
    <n v="7.79"/>
    <n v="5.96"/>
    <n v="7.3550000000000004"/>
    <s v="Post thin"/>
    <x v="0"/>
    <m/>
    <n v="0.28000000000000003"/>
    <m/>
    <n v="0.3"/>
    <d v="2025-04-29T00:00:00"/>
    <n v="94.9375"/>
    <n v="26.582500000000003"/>
    <n v="389.16780000000006"/>
    <n v="10.139859301719646"/>
    <n v="0.41222064107050999"/>
    <m/>
    <n v="389.16780000000006"/>
    <n v="10.139859301719646"/>
    <m/>
    <n v="88.608333333333348"/>
    <x v="1"/>
  </r>
  <r>
    <x v="2"/>
    <s v="LFBT01CH"/>
    <x v="179"/>
    <x v="1"/>
    <x v="8"/>
    <s v="4.1, 69.1, 38.1"/>
    <s v="1616C"/>
    <n v="806.66666666666663"/>
    <n v="37.340000000000003"/>
    <n v="30338"/>
    <n v="0.01"/>
    <n v="30034.62"/>
    <n v="37.232999999999997"/>
    <m/>
    <m/>
    <m/>
    <m/>
    <n v="4.04"/>
    <n v="7.32"/>
    <n v="4.04"/>
    <s v="No thin"/>
    <x v="0"/>
    <m/>
    <n v="0.38"/>
    <m/>
    <n v="0.4"/>
    <d v="2025-04-15T00:00:00"/>
    <n v="66.7"/>
    <n v="25.346"/>
    <n v="380.62873925999997"/>
    <n v="10.193592374397427"/>
    <n v="0.28190183292151638"/>
    <n v="8"/>
    <n v="81.908739259999948"/>
    <n v="2.1935923743974275"/>
    <n v="49.586776859504134"/>
    <n v="13.499363712176139"/>
    <x v="0"/>
  </r>
  <r>
    <x v="2"/>
    <s v="LFBT01CH"/>
    <x v="180"/>
    <x v="1"/>
    <x v="8"/>
    <s v="4.1, 69.1, 38.1"/>
    <s v="1616C"/>
    <n v="806.66666666666663"/>
    <n v="37.340000000000003"/>
    <n v="15314"/>
    <n v="0.01"/>
    <n v="15160.86"/>
    <n v="18.794454545454546"/>
    <m/>
    <m/>
    <m/>
    <m/>
    <n v="4.04"/>
    <n v="7.32"/>
    <n v="4.04"/>
    <s v="No thin"/>
    <x v="0"/>
    <m/>
    <n v="0.38"/>
    <m/>
    <n v="0.4"/>
    <d v="2025-04-17T00:00:00"/>
    <n v="0"/>
    <n v="0"/>
    <n v="0"/>
    <m/>
    <m/>
    <m/>
    <m/>
    <m/>
    <m/>
    <m/>
    <x v="0"/>
  </r>
  <r>
    <x v="2"/>
    <s v="LFBT01CH"/>
    <x v="181"/>
    <x v="1"/>
    <x v="8"/>
    <s v="4.1, 69.1, 38.1"/>
    <s v="1616C"/>
    <n v="806.66666666666663"/>
    <n v="37.340000000000003"/>
    <n v="15024"/>
    <n v="0.01"/>
    <n v="14873.76"/>
    <n v="18.438545454545455"/>
    <m/>
    <m/>
    <m/>
    <m/>
    <n v="4.04"/>
    <n v="7.32"/>
    <n v="4.04"/>
    <s v="No thin"/>
    <x v="0"/>
    <m/>
    <n v="0.41"/>
    <m/>
    <n v="0.4"/>
    <d v="2025-04-17T00:00:00"/>
    <n v="0"/>
    <n v="0"/>
    <n v="0"/>
    <m/>
    <m/>
    <m/>
    <m/>
    <m/>
    <m/>
    <m/>
    <x v="0"/>
  </r>
  <r>
    <x v="2"/>
    <s v="LFBT02SB"/>
    <x v="182"/>
    <x v="1"/>
    <x v="7"/>
    <n v="30"/>
    <s v="SO4"/>
    <n v="726"/>
    <n v="37.450000000000003"/>
    <n v="27203"/>
    <m/>
    <n v="27203"/>
    <n v="37.469696969696969"/>
    <m/>
    <m/>
    <m/>
    <m/>
    <n v="5.04"/>
    <n v="9.2799999999999994"/>
    <n v="5.04"/>
    <m/>
    <x v="1"/>
    <m/>
    <n v="0.35"/>
    <m/>
    <n v="0.35"/>
    <m/>
    <n v="0"/>
    <m/>
    <n v="0"/>
    <m/>
    <m/>
    <m/>
    <n v="0"/>
    <n v="0"/>
    <m/>
    <n v="0"/>
    <x v="0"/>
  </r>
  <r>
    <x v="2"/>
    <s v="LFDA02PG"/>
    <x v="183"/>
    <x v="0"/>
    <x v="10"/>
    <s v="unknown"/>
    <s v="Schwarzman"/>
    <n v="907.5"/>
    <n v="9.75"/>
    <n v="8809"/>
    <n v="0.02"/>
    <n v="8632.82"/>
    <n v="9.5127493112947654"/>
    <n v="9.32"/>
    <n v="9.35"/>
    <n v="6.75"/>
    <n v="6.54"/>
    <n v="7.84"/>
    <n v="10.01"/>
    <n v="8.3016666666666659"/>
    <s v="No thin"/>
    <x v="0"/>
    <m/>
    <n v="0.32"/>
    <m/>
    <n v="0.32"/>
    <d v="2025-05-07T00:00:00"/>
    <n v="74.349999999999994"/>
    <n v="23.791999999999998"/>
    <n v="102.69602671999999"/>
    <n v="10.532925817435897"/>
    <n v="4.9646776831017016E-2"/>
    <m/>
    <n v="102.69602671999999"/>
    <n v="10.532925817435897"/>
    <m/>
    <n v="72.862999999999985"/>
    <x v="0"/>
  </r>
  <r>
    <x v="2"/>
    <s v="LFEX01SA"/>
    <x v="184"/>
    <x v="0"/>
    <x v="22"/>
    <s v="Rodeno"/>
    <s v="5BB"/>
    <n v="605"/>
    <n v="16.87"/>
    <n v="10120"/>
    <m/>
    <n v="10120"/>
    <n v="16.727272727272727"/>
    <n v="13.26"/>
    <n v="10.32"/>
    <n v="14.85"/>
    <n v="13.89"/>
    <n v="11.55"/>
    <n v="5.53"/>
    <n v="11.566666666666668"/>
    <s v="No thin"/>
    <x v="0"/>
    <m/>
    <n v="0.5"/>
    <m/>
    <n v="0.5"/>
    <d v="2025-04-14T00:00:00"/>
    <n v="66.764705882352942"/>
    <n v="33.382352941176471"/>
    <n v="168.91470588235296"/>
    <n v="10.012727082534258"/>
    <n v="0.44770291306089044"/>
    <n v="8"/>
    <n v="33.954705882352954"/>
    <n v="2.0127270825342594"/>
    <n v="52.892561983471076"/>
    <n v="13.420832364566383"/>
    <x v="0"/>
  </r>
  <r>
    <x v="2"/>
    <s v="LFEX02SY"/>
    <x v="185"/>
    <x v="0"/>
    <x v="11"/>
    <s v="unknown"/>
    <s v="5BB"/>
    <n v="605"/>
    <n v="19.71"/>
    <n v="11744"/>
    <m/>
    <n v="11744"/>
    <n v="19.411570247933884"/>
    <n v="6.77"/>
    <n v="7.11"/>
    <n v="8.7200000000000006"/>
    <n v="6.5"/>
    <n v="7.32"/>
    <n v="6.2"/>
    <n v="7.1033333333333344"/>
    <m/>
    <x v="1"/>
    <m/>
    <n v="0.34"/>
    <m/>
    <n v="0.34"/>
    <m/>
    <n v="0"/>
    <m/>
    <n v="0"/>
    <m/>
    <m/>
    <m/>
    <n v="0"/>
    <n v="0"/>
    <m/>
    <n v="0"/>
    <x v="1"/>
  </r>
  <r>
    <x v="2"/>
    <s v="LFEX03VI"/>
    <x v="186"/>
    <x v="0"/>
    <x v="17"/>
    <s v="unknown"/>
    <s v="5BB"/>
    <n v="605"/>
    <n v="16.13"/>
    <n v="9777"/>
    <n v="0.02"/>
    <n v="9581.4599999999991"/>
    <n v="15.837123966942148"/>
    <n v="8.5500000000000007"/>
    <n v="7.57"/>
    <n v="11"/>
    <n v="9.99"/>
    <n v="11.7"/>
    <n v="7.92"/>
    <n v="9.4550000000000001"/>
    <s v="No thin"/>
    <x v="0"/>
    <m/>
    <n v="0.26"/>
    <m/>
    <n v="0.3"/>
    <d v="2025-04-23T00:00:00"/>
    <n v="115.1"/>
    <n v="29.925999999999998"/>
    <n v="143.36738597999999"/>
    <n v="8.8882446360818346"/>
    <n v="0.10893541702837982"/>
    <n v="8.5"/>
    <n v="6.2623859800000048"/>
    <n v="0.3882446360818354"/>
    <m/>
    <n v="4.2701482936142678"/>
    <x v="1"/>
  </r>
  <r>
    <x v="2"/>
    <s v="LFEX04VI"/>
    <x v="187"/>
    <x v="0"/>
    <x v="17"/>
    <s v="unknown"/>
    <s v="101-14/5C"/>
    <n v="777.85714285714289"/>
    <n v="11.78"/>
    <n v="9125"/>
    <n v="0.05"/>
    <n v="8668.75"/>
    <n v="11.144398530762167"/>
    <n v="8.5500000000000007"/>
    <n v="7.57"/>
    <n v="11"/>
    <n v="9.99"/>
    <n v="10.75"/>
    <n v="7.92"/>
    <n v="9.2966666666666669"/>
    <s v="No thin"/>
    <x v="0"/>
    <m/>
    <n v="0.32"/>
    <m/>
    <n v="0.3"/>
    <d v="2025-04-23T00:00:00"/>
    <n v="94.9"/>
    <n v="30.368000000000002"/>
    <n v="131.62630000000001"/>
    <n v="11.173709677419357"/>
    <n v="0.29119332534607456"/>
    <n v="8.5"/>
    <n v="31.496300000000019"/>
    <n v="2.6737096774193567"/>
    <m/>
    <n v="23.010995433789969"/>
    <x v="1"/>
  </r>
  <r>
    <x v="2"/>
    <s v="LFGC01CS"/>
    <x v="188"/>
    <x v="0"/>
    <x v="0"/>
    <s v="various"/>
    <s v="various"/>
    <n v="726"/>
    <n v="83.49"/>
    <n v="59411"/>
    <m/>
    <n v="59411"/>
    <n v="81.833333333333329"/>
    <m/>
    <n v="4.16"/>
    <n v="8.18"/>
    <n v="7.22"/>
    <n v="11.51"/>
    <n v="7.6"/>
    <n v="7.734"/>
    <m/>
    <x v="1"/>
    <m/>
    <m/>
    <m/>
    <n v="0.33"/>
    <m/>
    <n v="0"/>
    <m/>
    <n v="0"/>
    <m/>
    <m/>
    <m/>
    <n v="0"/>
    <n v="0"/>
    <m/>
    <n v="0"/>
    <x v="1"/>
  </r>
  <r>
    <x v="2"/>
    <s v="LFGC01CS"/>
    <x v="189"/>
    <x v="0"/>
    <x v="0"/>
    <s v="various"/>
    <s v="various"/>
    <n v="726"/>
    <n v="64.14"/>
    <n v="45642"/>
    <m/>
    <n v="45642"/>
    <n v="62.867768595041319"/>
    <m/>
    <n v="4.16"/>
    <n v="8.18"/>
    <n v="7.22"/>
    <n v="11.51"/>
    <n v="7.6"/>
    <n v="7.734"/>
    <m/>
    <x v="1"/>
    <m/>
    <m/>
    <m/>
    <n v="0.33"/>
    <m/>
    <m/>
    <m/>
    <n v="0"/>
    <m/>
    <m/>
    <s v=" "/>
    <m/>
    <m/>
    <m/>
    <m/>
    <x v="1"/>
  </r>
  <r>
    <x v="2"/>
    <s v="LFGC01CS"/>
    <x v="190"/>
    <x v="0"/>
    <x v="0"/>
    <s v="various"/>
    <s v="various"/>
    <n v="726"/>
    <n v="19.350000000000001"/>
    <n v="13769"/>
    <m/>
    <n v="13769"/>
    <n v="18.965564738292009"/>
    <m/>
    <n v="4.16"/>
    <n v="8.18"/>
    <n v="7.22"/>
    <n v="11.51"/>
    <n v="7.6"/>
    <n v="7.734"/>
    <m/>
    <x v="1"/>
    <m/>
    <m/>
    <m/>
    <n v="0.33"/>
    <m/>
    <m/>
    <m/>
    <n v="0"/>
    <m/>
    <m/>
    <m/>
    <n v="0"/>
    <n v="0"/>
    <m/>
    <n v="0"/>
    <x v="1"/>
  </r>
  <r>
    <x v="2"/>
    <s v="LFRA02CF"/>
    <x v="191"/>
    <x v="0"/>
    <x v="5"/>
    <s v="11  (French 214)"/>
    <s v="SO4"/>
    <n v="726"/>
    <n v="14.91"/>
    <n v="10726"/>
    <m/>
    <n v="10726"/>
    <n v="14.774104683195592"/>
    <m/>
    <m/>
    <m/>
    <n v="3.66"/>
    <n v="7.1"/>
    <n v="6.45"/>
    <n v="5.38"/>
    <s v="No thin"/>
    <x v="0"/>
    <m/>
    <n v="0.28000000000000003"/>
    <m/>
    <n v="0.31"/>
    <d v="2025-05-01T00:00:00"/>
    <n v="106.29411764705883"/>
    <n v="29.762352941176474"/>
    <n v="159.61549882352944"/>
    <n v="10.705264843965757"/>
    <n v="0.397492720263182"/>
    <m/>
    <n v="159.61549882352944"/>
    <n v="10.705264843965757"/>
    <m/>
    <n v="96.007590132827332"/>
    <x v="0"/>
  </r>
  <r>
    <x v="2"/>
    <s v="LFRR02CS"/>
    <x v="192"/>
    <x v="0"/>
    <x v="0"/>
    <n v="7"/>
    <s v="O39-16"/>
    <n v="726"/>
    <n v="11.29"/>
    <n v="8094"/>
    <m/>
    <n v="8094"/>
    <n v="11.148760330578513"/>
    <m/>
    <n v="4.72"/>
    <n v="9.6999999999999993"/>
    <n v="7.18"/>
    <n v="10.57"/>
    <n v="6.45"/>
    <n v="7.7240000000000011"/>
    <m/>
    <x v="1"/>
    <m/>
    <n v="0.28000000000000003"/>
    <m/>
    <n v="0.33"/>
    <m/>
    <n v="0"/>
    <m/>
    <n v="0"/>
    <m/>
    <m/>
    <m/>
    <n v="0"/>
    <n v="0"/>
    <m/>
    <n v="0"/>
    <x v="0"/>
  </r>
  <r>
    <x v="2"/>
    <s v="LFRR03CS"/>
    <x v="193"/>
    <x v="2"/>
    <x v="0"/>
    <n v="30"/>
    <s v="1616C"/>
    <n v="806.66666666666663"/>
    <n v="29.38"/>
    <n v="23285"/>
    <m/>
    <n v="23285"/>
    <n v="28.865702479338843"/>
    <m/>
    <m/>
    <m/>
    <m/>
    <m/>
    <n v="6.18"/>
    <m/>
    <m/>
    <x v="1"/>
    <m/>
    <n v="0.33"/>
    <m/>
    <n v="0.33"/>
    <d v="2025-05-05T00:00:00"/>
    <n v="63.5"/>
    <n v="20.955000000000002"/>
    <n v="243.96858750000001"/>
    <n v="8.3039001872021796"/>
    <n v="0.25577140130796566"/>
    <m/>
    <n v="243.96858750000001"/>
    <n v="8.3039001872021796"/>
    <m/>
    <n v="63.5"/>
    <x v="0"/>
  </r>
  <r>
    <x v="2"/>
    <s v="LFRR04CS"/>
    <x v="194"/>
    <x v="0"/>
    <x v="0"/>
    <n v="7"/>
    <s v="O39-16"/>
    <n v="622.28571428571433"/>
    <n v="8.48"/>
    <n v="5198"/>
    <m/>
    <n v="5198"/>
    <n v="8.35307621671258"/>
    <n v="7.95"/>
    <n v="5.53"/>
    <n v="7.83"/>
    <n v="7.53"/>
    <n v="8.17"/>
    <n v="8.1199999999999992"/>
    <n v="7.5216666666666674"/>
    <m/>
    <x v="1"/>
    <m/>
    <n v="0.33"/>
    <m/>
    <n v="0.33"/>
    <m/>
    <n v="0"/>
    <m/>
    <n v="0"/>
    <m/>
    <m/>
    <m/>
    <n v="0"/>
    <n v="0"/>
    <m/>
    <n v="0"/>
    <x v="0"/>
  </r>
  <r>
    <x v="2"/>
    <s v="LFRR05MP"/>
    <x v="195"/>
    <x v="0"/>
    <x v="27"/>
    <n v="3"/>
    <s v="O39-16"/>
    <n v="691.42857142857144"/>
    <n v="4.6900000000000004"/>
    <n v="3134"/>
    <m/>
    <n v="3134"/>
    <n v="4.532644628099173"/>
    <n v="5.23"/>
    <n v="4.4400000000000004"/>
    <n v="5.92"/>
    <n v="12.51"/>
    <n v="4.7699999999999996"/>
    <n v="6.94"/>
    <n v="6.6350000000000007"/>
    <s v="No thin"/>
    <x v="0"/>
    <m/>
    <n v="0.26"/>
    <m/>
    <n v="0.38"/>
    <d v="2025-05-05T00:00:00"/>
    <n v="102.05"/>
    <n v="26.533000000000001"/>
    <n v="41.577211000000005"/>
    <n v="8.8650769722814502"/>
    <n v="0.21715287732984301"/>
    <m/>
    <n v="41.577211000000005"/>
    <n v="8.8650769722814502"/>
    <m/>
    <n v="69.823684210526324"/>
    <x v="0"/>
  </r>
  <r>
    <x v="2"/>
    <s v="LFRR06AG"/>
    <x v="196"/>
    <x v="0"/>
    <x v="28"/>
    <s v="FPS 02.1 (VCR 07)"/>
    <s v="St. George"/>
    <n v="806.66666666666663"/>
    <n v="6.75"/>
    <n v="5324"/>
    <m/>
    <n v="5324"/>
    <n v="6.6000000000000005"/>
    <n v="7.72"/>
    <n v="7.31"/>
    <n v="9.0399999999999991"/>
    <n v="9.7200000000000006"/>
    <n v="10.42"/>
    <n v="9.8000000000000007"/>
    <n v="9.0016666666666669"/>
    <s v="Pre thin"/>
    <x v="2"/>
    <m/>
    <n v="0.45"/>
    <m/>
    <n v="0.45"/>
    <d v="2025-05-02T00:00:00"/>
    <n v="68.8"/>
    <n v="30.96"/>
    <n v="82.415520000000001"/>
    <n v="12.209706666666667"/>
    <n v="0.19735991473450631"/>
    <m/>
    <n v="82.415520000000001"/>
    <n v="12.209706666666667"/>
    <m/>
    <n v="68.8"/>
    <x v="0"/>
  </r>
  <r>
    <x v="2"/>
    <s v="LFRR06AG"/>
    <x v="196"/>
    <x v="0"/>
    <x v="28"/>
    <s v="FPS 02.1 (VCR 07)"/>
    <s v="St. George"/>
    <n v="806.66666666666663"/>
    <n v="6.75"/>
    <n v="5324"/>
    <m/>
    <n v="5324"/>
    <n v="6.6000000000000005"/>
    <n v="7.72"/>
    <n v="7.31"/>
    <n v="9.0399999999999991"/>
    <n v="9.7200000000000006"/>
    <n v="10.42"/>
    <n v="9.8000000000000007"/>
    <n v="9.0016666666666669"/>
    <s v="Post thin"/>
    <x v="0"/>
    <m/>
    <n v="0.45"/>
    <m/>
    <n v="0.45"/>
    <d v="2025-05-05T00:00:00"/>
    <n v="46.25"/>
    <n v="20.8125"/>
    <n v="55.402875000000002"/>
    <n v="8.2078333333333333"/>
    <n v="-0.19398135927061555"/>
    <m/>
    <n v="55.402875000000002"/>
    <n v="8.2078333333333333"/>
    <m/>
    <n v="46.25"/>
    <x v="0"/>
  </r>
  <r>
    <x v="2"/>
    <s v="LFRR07PB"/>
    <x v="197"/>
    <x v="0"/>
    <x v="29"/>
    <n v="1"/>
    <s v="1616C"/>
    <n v="691.42857142857144"/>
    <n v="5.05"/>
    <n v="3444"/>
    <m/>
    <n v="3444"/>
    <n v="4.9809917355371898"/>
    <m/>
    <m/>
    <m/>
    <m/>
    <n v="1.83"/>
    <n v="10.130000000000001"/>
    <n v="1.83"/>
    <s v="2/spur"/>
    <x v="0"/>
    <m/>
    <n v="0.45"/>
    <m/>
    <n v="0.4"/>
    <d v="2025-04-29T00:00:00"/>
    <n v="68.900000000000006"/>
    <n v="31.005000000000003"/>
    <n v="53.390610000000009"/>
    <n v="10.572398019801982"/>
    <n v="4.1844623989124773E-2"/>
    <m/>
    <n v="53.390610000000009"/>
    <n v="10.572398019801982"/>
    <m/>
    <n v="77.512500000000017"/>
    <x v="0"/>
  </r>
  <r>
    <x v="2"/>
    <s v="LFRR07PB"/>
    <x v="197"/>
    <x v="0"/>
    <x v="29"/>
    <n v="1"/>
    <s v="1616C"/>
    <n v="691.42857142857144"/>
    <n v="5.05"/>
    <n v="3444"/>
    <m/>
    <n v="3444"/>
    <n v="4.9809917355371898"/>
    <m/>
    <m/>
    <m/>
    <m/>
    <n v="1.83"/>
    <n v="10.130000000000001"/>
    <n v="1.83"/>
    <s v="2/spur"/>
    <x v="3"/>
    <m/>
    <n v="0.45"/>
    <m/>
    <n v="0.4"/>
    <d v="2025-04-29T00:00:00"/>
    <n v="63"/>
    <n v="28.35"/>
    <n v="48.818700000000007"/>
    <n v="9.6670693069306939"/>
    <n v="-4.78873874150684E-2"/>
    <m/>
    <n v="48.818700000000007"/>
    <n v="9.6670693069306939"/>
    <m/>
    <n v="70.875"/>
    <x v="0"/>
  </r>
  <r>
    <x v="2"/>
    <s v="LFRR08GB"/>
    <x v="198"/>
    <x v="0"/>
    <x v="30"/>
    <n v="1"/>
    <s v="1616C"/>
    <n v="691.42857142857144"/>
    <n v="4.75"/>
    <n v="3193"/>
    <m/>
    <n v="3193"/>
    <n v="4.61797520661157"/>
    <m/>
    <m/>
    <m/>
    <m/>
    <n v="5"/>
    <n v="10.65"/>
    <n v="5"/>
    <s v="No thin"/>
    <x v="2"/>
    <m/>
    <n v="0.5"/>
    <m/>
    <n v="0.42"/>
    <d v="2025-04-25T00:00:00"/>
    <n v="72.150000000000006"/>
    <n v="36.075000000000003"/>
    <n v="57.593737500000003"/>
    <n v="12.124997368421054"/>
    <n v="0.1216492939010948"/>
    <m/>
    <n v="57.593737500000003"/>
    <n v="12.124997368421054"/>
    <m/>
    <n v="85.892857142857153"/>
    <x v="0"/>
  </r>
  <r>
    <x v="2"/>
    <s v="LFRR08GB"/>
    <x v="198"/>
    <x v="0"/>
    <x v="30"/>
    <n v="1"/>
    <s v="1616C"/>
    <n v="691.42857142857144"/>
    <n v="4.75"/>
    <n v="3193"/>
    <m/>
    <n v="3193"/>
    <n v="4.61797520661157"/>
    <m/>
    <m/>
    <m/>
    <m/>
    <n v="5"/>
    <n v="10.65"/>
    <n v="5"/>
    <s v="Post thin"/>
    <x v="0"/>
    <m/>
    <n v="0.5"/>
    <m/>
    <n v="0.42"/>
    <d v="2025-04-29T00:00:00"/>
    <n v="61.15"/>
    <n v="30.574999999999999"/>
    <n v="48.812987499999998"/>
    <n v="10.276418421052631"/>
    <n v="-3.6353286100343815E-2"/>
    <m/>
    <n v="48.812987499999998"/>
    <n v="10.276418421052631"/>
    <m/>
    <n v="72.797619047619037"/>
    <x v="0"/>
  </r>
  <r>
    <x v="2"/>
    <s v="LFRT01ND"/>
    <x v="199"/>
    <x v="0"/>
    <x v="23"/>
    <s v="unknown"/>
    <s v="SO4"/>
    <n v="691.42857142857144"/>
    <n v="3.62"/>
    <n v="2220"/>
    <m/>
    <n v="2220"/>
    <n v="3.2107438016528924"/>
    <n v="10.32"/>
    <n v="8.85"/>
    <n v="8.27"/>
    <n v="6.78"/>
    <n v="12.6"/>
    <n v="8.5399999999999991"/>
    <n v="9.2266666666666666"/>
    <s v="No thin"/>
    <x v="0"/>
    <m/>
    <n v="0.78"/>
    <m/>
    <n v="0.4"/>
    <d v="2025-04-24T00:00:00"/>
    <n v="65.900000000000006"/>
    <n v="51.402000000000008"/>
    <n v="57.05622000000001"/>
    <n v="15.761386740331494"/>
    <n v="0.45816950369302428"/>
    <m/>
    <n v="57.05622000000001"/>
    <n v="15.761386740331494"/>
    <m/>
    <n v="128.50500000000002"/>
    <x v="0"/>
  </r>
  <r>
    <x v="2"/>
    <s v="LFRT02PR"/>
    <x v="200"/>
    <x v="0"/>
    <x v="13"/>
    <n v="3"/>
    <s v="SO4"/>
    <n v="691.42857142857144"/>
    <n v="27.8"/>
    <n v="18780"/>
    <m/>
    <n v="18780"/>
    <n v="27.161157024793386"/>
    <n v="10.35"/>
    <n v="8.8800000000000008"/>
    <n v="8.11"/>
    <n v="8.1999999999999993"/>
    <n v="9.2200000000000006"/>
    <n v="8.43"/>
    <n v="8.8650000000000002"/>
    <s v="No thin"/>
    <x v="2"/>
    <m/>
    <n v="0.5"/>
    <m/>
    <n v="0.45"/>
    <d v="2025-04-24T00:00:00"/>
    <n v="59.25"/>
    <n v="29.625"/>
    <n v="278.17874999999998"/>
    <n v="10.006429856115107"/>
    <n v="0.15754168857254544"/>
    <m/>
    <n v="278.17874999999998"/>
    <n v="10.006429856115107"/>
    <m/>
    <n v="65.833333333333329"/>
    <x v="0"/>
  </r>
  <r>
    <x v="2"/>
    <s v="LFRT02PR"/>
    <x v="200"/>
    <x v="0"/>
    <x v="13"/>
    <n v="3"/>
    <s v="SO4"/>
    <n v="691.42857142857144"/>
    <n v="27.8"/>
    <n v="18780"/>
    <m/>
    <n v="18780"/>
    <n v="27.161157024793386"/>
    <n v="10.35"/>
    <n v="8.8800000000000008"/>
    <n v="8.11"/>
    <n v="8.1999999999999993"/>
    <n v="9.2200000000000006"/>
    <n v="8.43"/>
    <n v="8.8650000000000002"/>
    <s v="Post thin"/>
    <x v="3"/>
    <m/>
    <n v="0.5"/>
    <m/>
    <n v="0.45"/>
    <d v="2025-04-24T00:00:00"/>
    <n v="53.1"/>
    <n v="26.55"/>
    <n v="249.30449999999999"/>
    <n v="8.9677877697841719"/>
    <n v="5.9968833294224484E-2"/>
    <m/>
    <n v="249.30449999999999"/>
    <n v="8.9677877697841719"/>
    <m/>
    <n v="59"/>
    <x v="0"/>
  </r>
  <r>
    <x v="2"/>
    <s v="LFRT02PR"/>
    <x v="200"/>
    <x v="0"/>
    <x v="13"/>
    <n v="3"/>
    <s v="SO4"/>
    <n v="691.42857142857144"/>
    <n v="27.8"/>
    <n v="18780"/>
    <m/>
    <n v="18780"/>
    <n v="27.161157024793386"/>
    <n v="10.35"/>
    <n v="8.8800000000000008"/>
    <n v="8.11"/>
    <n v="8.1999999999999993"/>
    <n v="9.2200000000000006"/>
    <n v="8.43"/>
    <n v="8.952"/>
    <s v="Post thin"/>
    <x v="0"/>
    <m/>
    <n v="0.5"/>
    <m/>
    <n v="0.45"/>
    <d v="2025-04-25T00:00:00"/>
    <n v="52.5"/>
    <n v="26.25"/>
    <n v="246.48750000000001"/>
    <n v="8.8664568345323751"/>
    <n v="4.9225619960444382E-2"/>
    <m/>
    <n v="246.48750000000001"/>
    <n v="8.8664568345323751"/>
    <m/>
    <n v="58.333333333333336"/>
    <x v="0"/>
  </r>
  <r>
    <x v="2"/>
    <s v="LFRT02PR"/>
    <x v="200"/>
    <x v="0"/>
    <x v="13"/>
    <n v="3"/>
    <s v="SO4"/>
    <n v="691.42857142857144"/>
    <n v="27.8"/>
    <n v="18780"/>
    <m/>
    <n v="18780"/>
    <n v="27.161157024793386"/>
    <n v="10.35"/>
    <n v="8.8800000000000008"/>
    <n v="8.11"/>
    <n v="8.1999999999999993"/>
    <n v="9.2200000000000006"/>
    <n v="8.43"/>
    <n v="8.952"/>
    <s v="Post thin"/>
    <x v="0"/>
    <m/>
    <n v="0.5"/>
    <m/>
    <n v="0.45"/>
    <d v="2025-04-28T00:00:00"/>
    <n v="54.454545454545453"/>
    <n v="27.227272727272727"/>
    <n v="255.6640909090909"/>
    <n v="9.1965500327011114"/>
    <n v="8.3351912399259667E-2"/>
    <m/>
    <n v="255.6640909090909"/>
    <n v="9.1965500327011114"/>
    <m/>
    <n v="60.505050505050498"/>
    <x v="0"/>
  </r>
  <r>
    <x v="2"/>
    <s v="LFRT03AN"/>
    <x v="201"/>
    <x v="0"/>
    <x v="31"/>
    <s v="FPS 01"/>
    <s v="5BB"/>
    <n v="691.42857142857144"/>
    <n v="0.33"/>
    <m/>
    <m/>
    <n v="0"/>
    <n v="0"/>
    <m/>
    <m/>
    <n v="4.55"/>
    <n v="6.24"/>
    <n v="7.21"/>
    <n v="6.55"/>
    <n v="6.1375000000000002"/>
    <m/>
    <x v="1"/>
    <m/>
    <n v="0.45"/>
    <m/>
    <n v="0.45"/>
    <m/>
    <m/>
    <m/>
    <n v="0"/>
    <m/>
    <m/>
    <m/>
    <n v="0"/>
    <n v="0"/>
    <m/>
    <m/>
    <x v="1"/>
  </r>
  <r>
    <x v="2"/>
    <s v="LFTO01CS"/>
    <x v="202"/>
    <x v="0"/>
    <x v="0"/>
    <n v="8"/>
    <s v="O309-16/GRN4"/>
    <n v="726"/>
    <n v="57.29"/>
    <n v="41547"/>
    <n v="0.02"/>
    <n v="40716.06"/>
    <n v="56.082727272727269"/>
    <m/>
    <m/>
    <n v="7.03"/>
    <n v="7.33"/>
    <n v="9.8800000000000008"/>
    <n v="7.26"/>
    <n v="7.875"/>
    <m/>
    <x v="1"/>
    <m/>
    <n v="0.35"/>
    <m/>
    <n v="0.33"/>
    <m/>
    <n v="0"/>
    <m/>
    <n v="0"/>
    <m/>
    <m/>
    <m/>
    <n v="0"/>
    <n v="0"/>
    <m/>
    <n v="0"/>
    <x v="1"/>
  </r>
  <r>
    <x v="2"/>
    <s v="LFTO02SB"/>
    <x v="203"/>
    <x v="0"/>
    <x v="7"/>
    <n v="30"/>
    <s v="O39-16"/>
    <n v="622.28571428571433"/>
    <n v="56.02"/>
    <n v="34846"/>
    <m/>
    <n v="34846"/>
    <n v="55.996786042240586"/>
    <m/>
    <m/>
    <n v="7.92"/>
    <n v="7.62"/>
    <n v="8.9700000000000006"/>
    <n v="9.26"/>
    <n v="8.442499999999999"/>
    <m/>
    <x v="0"/>
    <m/>
    <n v="0.24"/>
    <m/>
    <n v="0.35"/>
    <d v="2025-04-29T00:00:00"/>
    <n v="124.875"/>
    <n v="29.97"/>
    <n v="522.16731000000004"/>
    <n v="9.3210872902534803"/>
    <n v="6.5536657206671485E-3"/>
    <m/>
    <n v="522.16731000000004"/>
    <n v="9.3210872902534803"/>
    <m/>
    <n v="85.628571428571448"/>
    <x v="0"/>
  </r>
  <r>
    <x v="2"/>
    <s v="LFW104CS"/>
    <x v="204"/>
    <x v="0"/>
    <x v="0"/>
    <n v="8"/>
    <s v="1103P"/>
    <n v="726"/>
    <n v="54.49"/>
    <n v="39384"/>
    <m/>
    <n v="39384"/>
    <n v="54.247933884297524"/>
    <m/>
    <m/>
    <m/>
    <n v="4.1900000000000004"/>
    <n v="9.2899999999999991"/>
    <n v="5.39"/>
    <n v="6.74"/>
    <m/>
    <x v="0"/>
    <m/>
    <n v="0.3"/>
    <m/>
    <n v="0.33"/>
    <d v="2025-05-05T00:00:00"/>
    <n v="87.15"/>
    <n v="26.145"/>
    <n v="514.84733999999992"/>
    <n v="9.4484738484125508"/>
    <n v="0.42953750134942903"/>
    <m/>
    <n v="514.84733999999992"/>
    <n v="9.4484738484125508"/>
    <m/>
    <n v="79.227272727272705"/>
    <x v="0"/>
  </r>
  <r>
    <x v="2"/>
    <s v="LFW202TD"/>
    <x v="205"/>
    <x v="0"/>
    <x v="14"/>
    <s v="Trinchero"/>
    <s v="SO4"/>
    <n v="605"/>
    <n v="32.51"/>
    <n v="19356"/>
    <m/>
    <n v="19356"/>
    <n v="31.993388429752066"/>
    <n v="8.34"/>
    <n v="7"/>
    <n v="9.8699999999999992"/>
    <n v="8.33"/>
    <n v="9.15"/>
    <n v="7.4"/>
    <n v="8.3483333333333327"/>
    <m/>
    <x v="0"/>
    <m/>
    <n v="0.43"/>
    <m/>
    <n v="0.55000000000000004"/>
    <d v="2025-05-07T00:00:00"/>
    <n v="55.8"/>
    <n v="23.994"/>
    <n v="232.213932"/>
    <n v="7.1428462626884039"/>
    <n v="-3.6001578062077683E-2"/>
    <m/>
    <n v="232.213932"/>
    <n v="7.1428462626884039"/>
    <m/>
    <n v="43.625454545454538"/>
    <x v="0"/>
  </r>
  <r>
    <x v="2"/>
    <s v="LFW301CS"/>
    <x v="206"/>
    <x v="0"/>
    <x v="0"/>
    <s v="4;337;15"/>
    <s v="3309C"/>
    <n v="680.625"/>
    <n v="40.39"/>
    <n v="27160"/>
    <n v="0.05"/>
    <n v="25802"/>
    <n v="37.90927456382002"/>
    <n v="6.99"/>
    <n v="6.34"/>
    <n v="5.94"/>
    <n v="7.6"/>
    <n v="9.27"/>
    <n v="7.33"/>
    <n v="7.2450000000000001"/>
    <m/>
    <x v="0"/>
    <m/>
    <n v="0.26"/>
    <m/>
    <n v="0.33"/>
    <d v="2025-05-07T00:00:00"/>
    <n v="99.25"/>
    <n v="25.805"/>
    <n v="332.91030499999999"/>
    <n v="8.2423942807625643"/>
    <n v="0.11069529674066404"/>
    <m/>
    <n v="332.91030499999999"/>
    <n v="8.2423942807625643"/>
    <m/>
    <n v="74.287121212121207"/>
    <x v="0"/>
  </r>
  <r>
    <x v="2"/>
    <s v="LFW302SB"/>
    <x v="207"/>
    <x v="0"/>
    <x v="7"/>
    <s v="Musque"/>
    <s v="Freedom"/>
    <n v="622.28571428571433"/>
    <n v="49.45"/>
    <n v="30523"/>
    <n v="0.15"/>
    <n v="25944.55"/>
    <n v="41.692343893480256"/>
    <n v="6.84"/>
    <n v="7.67"/>
    <n v="8.56"/>
    <n v="7.27"/>
    <n v="8.35"/>
    <n v="5.19"/>
    <n v="7.3133333333333326"/>
    <m/>
    <x v="0"/>
    <m/>
    <n v="0.26"/>
    <m/>
    <n v="0.35"/>
    <d v="2025-05-07T00:00:00"/>
    <n v="83.8"/>
    <n v="21.788"/>
    <n v="282.63992769999999"/>
    <n v="5.7156709342770471"/>
    <n v="9.1970118700253123E-2"/>
    <m/>
    <n v="282.63992769999999"/>
    <n v="5.7156709342770471"/>
    <m/>
    <n v="52.913714285714285"/>
    <x v="0"/>
  </r>
  <r>
    <x v="2"/>
    <s v="MEJA03CS"/>
    <x v="208"/>
    <x v="0"/>
    <x v="0"/>
    <n v="8"/>
    <s v="1103P"/>
    <n v="726"/>
    <n v="31.12"/>
    <n v="22202"/>
    <m/>
    <n v="22202"/>
    <n v="30.581267217630852"/>
    <m/>
    <m/>
    <m/>
    <m/>
    <n v="4.28"/>
    <n v="5.28"/>
    <n v="4.28"/>
    <m/>
    <x v="1"/>
    <m/>
    <n v="0.33"/>
    <m/>
    <n v="0.33"/>
    <m/>
    <n v="0"/>
    <m/>
    <n v="0"/>
    <m/>
    <m/>
    <m/>
    <n v="0"/>
    <n v="0"/>
    <m/>
    <n v="0"/>
    <x v="1"/>
  </r>
  <r>
    <x v="2"/>
    <s v="MKJA04CS"/>
    <x v="209"/>
    <x v="0"/>
    <x v="0"/>
    <s v="8.1/7.1"/>
    <s v="1103P"/>
    <n v="726"/>
    <n v="36.409999999999997"/>
    <n v="25885"/>
    <m/>
    <n v="25885"/>
    <n v="35.654269972451793"/>
    <m/>
    <m/>
    <m/>
    <m/>
    <n v="3.98"/>
    <n v="5.56"/>
    <n v="3.98"/>
    <m/>
    <x v="1"/>
    <m/>
    <n v="0.33"/>
    <m/>
    <n v="0.33"/>
    <m/>
    <n v="0"/>
    <m/>
    <n v="0"/>
    <m/>
    <m/>
    <m/>
    <n v="0"/>
    <n v="0"/>
    <m/>
    <n v="0"/>
    <x v="1"/>
  </r>
  <r>
    <x v="2"/>
    <s v="MUMU01SB"/>
    <x v="210"/>
    <x v="0"/>
    <x v="7"/>
    <s v="Musque"/>
    <s v="O39-16"/>
    <n v="605"/>
    <n v="21.38"/>
    <n v="12811"/>
    <m/>
    <n v="12811"/>
    <n v="21.175206611570246"/>
    <n v="11.09"/>
    <n v="11.56"/>
    <n v="9.4600000000000009"/>
    <n v="8.5"/>
    <n v="13.88"/>
    <n v="8.3800000000000008"/>
    <n v="10.478333333333333"/>
    <m/>
    <x v="0"/>
    <m/>
    <n v="0.39"/>
    <m/>
    <n v="0.3"/>
    <d v="2025-04-25T00:00:00"/>
    <n v="69.05"/>
    <n v="26.929500000000001"/>
    <n v="172.49691224999998"/>
    <n v="8.0681436973807283"/>
    <n v="-3.8652794783577617E-2"/>
    <m/>
    <n v="172.49691224999998"/>
    <n v="8.0681436973807283"/>
    <m/>
    <n v="89.765000000000001"/>
    <x v="1"/>
  </r>
  <r>
    <x v="2"/>
    <s v="MUMU02PG"/>
    <x v="211"/>
    <x v="0"/>
    <x v="10"/>
    <n v="146"/>
    <s v="O39-16"/>
    <n v="680.625"/>
    <n v="20.98"/>
    <n v="14141"/>
    <m/>
    <n v="14141"/>
    <n v="20.776492194674013"/>
    <n v="10.16"/>
    <n v="9.1300000000000008"/>
    <n v="6.35"/>
    <n v="8.19"/>
    <n v="11.17"/>
    <n v="9.7799999999999994"/>
    <n v="9.1300000000000008"/>
    <m/>
    <x v="0"/>
    <m/>
    <n v="0.32"/>
    <m/>
    <n v="0.32"/>
    <d v="2025-04-25T00:00:00"/>
    <n v="64.650000000000006"/>
    <n v="20.688000000000002"/>
    <n v="146.27450400000001"/>
    <n v="6.9720926596758819"/>
    <n v="-0.40273522992086158"/>
    <m/>
    <n v="146.27450400000001"/>
    <n v="6.9720926596758819"/>
    <m/>
    <n v="64.650000000000006"/>
    <x v="1"/>
  </r>
  <r>
    <x v="2"/>
    <s v="RING01CS"/>
    <x v="212"/>
    <x v="0"/>
    <x v="0"/>
    <n v="7"/>
    <s v="Freedom"/>
    <n v="622.28571428571433"/>
    <n v="64.31"/>
    <n v="38947"/>
    <n v="0.08"/>
    <n v="35831.24"/>
    <n v="57.58004591368227"/>
    <n v="8.69"/>
    <n v="7.52"/>
    <n v="8.5299999999999994"/>
    <n v="7.33"/>
    <n v="12.19"/>
    <n v="7.86"/>
    <n v="8.6866666666666656"/>
    <m/>
    <x v="1"/>
    <m/>
    <m/>
    <m/>
    <n v="0.33"/>
    <m/>
    <n v="0"/>
    <m/>
    <n v="0"/>
    <m/>
    <m/>
    <m/>
    <n v="0"/>
    <n v="0"/>
    <m/>
    <n v="0"/>
    <x v="1"/>
  </r>
  <r>
    <x v="2"/>
    <s v="SEJA01CS"/>
    <x v="213"/>
    <x v="0"/>
    <x v="0"/>
    <s v="8.1/7.1"/>
    <s v="1103P/GRN2"/>
    <n v="726"/>
    <n v="18.59"/>
    <n v="13156"/>
    <m/>
    <n v="13156"/>
    <n v="18.121212121212121"/>
    <m/>
    <m/>
    <m/>
    <n v="4.5599999999999996"/>
    <n v="9.57"/>
    <n v="8.0500000000000007"/>
    <n v="7.0649999999999995"/>
    <s v="No thin"/>
    <x v="0"/>
    <m/>
    <n v="0.28999999999999998"/>
    <m/>
    <n v="0.33"/>
    <d v="2025-05-07T00:00:00"/>
    <n v="169.9"/>
    <n v="49.271000000000001"/>
    <n v="324.10463799999997"/>
    <n v="17.434353846153844"/>
    <n v="0.53826794666233679"/>
    <m/>
    <n v="324.10463799999997"/>
    <n v="17.434353846153844"/>
    <m/>
    <n v="149.30606060606058"/>
    <x v="0"/>
  </r>
  <r>
    <x v="2"/>
    <s v="SEJA01CS"/>
    <x v="214"/>
    <x v="0"/>
    <x v="0"/>
    <s v="8.1/7.1"/>
    <s v="1103P"/>
    <n v="726"/>
    <n v="18.59"/>
    <n v="13156"/>
    <m/>
    <n v="13156"/>
    <n v="18.121212121212121"/>
    <m/>
    <m/>
    <m/>
    <m/>
    <m/>
    <m/>
    <m/>
    <m/>
    <x v="1"/>
    <m/>
    <m/>
    <m/>
    <n v="0.33"/>
    <m/>
    <n v="0"/>
    <m/>
    <n v="0"/>
    <m/>
    <m/>
    <m/>
    <n v="0"/>
    <n v="0"/>
    <m/>
    <n v="0"/>
    <x v="0"/>
  </r>
  <r>
    <x v="2"/>
    <s v="SEJA01CS"/>
    <x v="215"/>
    <x v="0"/>
    <x v="0"/>
    <s v="8.1/7.1"/>
    <s v="GRN2"/>
    <n v="726"/>
    <n v="18.59"/>
    <n v="13156"/>
    <m/>
    <n v="13156"/>
    <n v="18.121212121212121"/>
    <m/>
    <m/>
    <m/>
    <m/>
    <m/>
    <m/>
    <m/>
    <m/>
    <x v="1"/>
    <m/>
    <m/>
    <m/>
    <n v="0.33"/>
    <m/>
    <n v="0"/>
    <m/>
    <n v="0"/>
    <m/>
    <m/>
    <m/>
    <n v="0"/>
    <n v="0"/>
    <m/>
    <n v="0"/>
    <x v="0"/>
  </r>
  <r>
    <x v="2"/>
    <s v="SERA01PN"/>
    <x v="216"/>
    <x v="0"/>
    <x v="16"/>
    <n v="23"/>
    <s v="5BB"/>
    <n v="691.42857142857144"/>
    <n v="18.41"/>
    <n v="12591"/>
    <m/>
    <n v="12591"/>
    <n v="18.210123966942149"/>
    <n v="9.61"/>
    <n v="7.81"/>
    <n v="7.36"/>
    <n v="10.31"/>
    <n v="10.9"/>
    <m/>
    <n v="9.1979999999999986"/>
    <m/>
    <x v="1"/>
    <m/>
    <n v="0.35"/>
    <m/>
    <n v="0.38"/>
    <m/>
    <n v="0"/>
    <m/>
    <n v="0"/>
    <m/>
    <m/>
    <m/>
    <n v="0"/>
    <n v="0"/>
    <m/>
    <n v="0"/>
    <x v="1"/>
  </r>
  <r>
    <x v="2"/>
    <s v="SLHM01TD"/>
    <x v="217"/>
    <x v="0"/>
    <x v="14"/>
    <n v="4"/>
    <s v="O39-16"/>
    <n v="806.66666666666663"/>
    <n v="19.55"/>
    <n v="15530"/>
    <m/>
    <n v="15530"/>
    <n v="19.25206611570248"/>
    <n v="8.0500000000000007"/>
    <n v="6.16"/>
    <n v="9.83"/>
    <n v="9.64"/>
    <n v="10.9"/>
    <n v="8.31"/>
    <n v="8.9160000000000004"/>
    <s v="No thin"/>
    <x v="2"/>
    <m/>
    <n v="0.55000000000000004"/>
    <m/>
    <n v="0.55000000000000004"/>
    <d v="2025-04-14T00:00:00"/>
    <n v="52.25"/>
    <n v="28.737500000000001"/>
    <n v="223.14668750000001"/>
    <n v="11.414152813299234"/>
    <n v="0.27195647930019129"/>
    <n v="9"/>
    <n v="47.196687499999996"/>
    <n v="2.4141528132992325"/>
    <n v="40.570999248685197"/>
    <n v="11.051147339460281"/>
    <x v="1"/>
  </r>
  <r>
    <x v="2"/>
    <s v="SLHM01TD"/>
    <x v="217"/>
    <x v="0"/>
    <x v="14"/>
    <n v="4"/>
    <s v="O39-16"/>
    <n v="806.66666666666663"/>
    <n v="19.55"/>
    <n v="15530"/>
    <m/>
    <n v="15530"/>
    <n v="19.25206611570248"/>
    <n v="8.0500000000000007"/>
    <n v="6.16"/>
    <n v="9.83"/>
    <n v="9.64"/>
    <n v="10.9"/>
    <n v="8.31"/>
    <n v="8.8149999999999995"/>
    <s v="No thin"/>
    <x v="2"/>
    <m/>
    <n v="0.55000000000000004"/>
    <m/>
    <n v="0.55000000000000004"/>
    <d v="2025-04-14T00:00:00"/>
    <n v="60.866666666666667"/>
    <n v="33.476666666666667"/>
    <n v="259.94631666666669"/>
    <n v="13.296486786018756"/>
    <n v="0.37502288132697142"/>
    <n v="9"/>
    <n v="83.996316666666672"/>
    <n v="4.2964867860187557"/>
    <n v="40.570999248685197"/>
    <n v="19.667814006126946"/>
    <x v="1"/>
  </r>
  <r>
    <x v="2"/>
    <s v="SLHM01TD"/>
    <x v="217"/>
    <x v="0"/>
    <x v="14"/>
    <n v="4"/>
    <s v="O39-16"/>
    <n v="806.66666666666663"/>
    <n v="19.55"/>
    <n v="15530"/>
    <m/>
    <n v="15530"/>
    <n v="19.25206611570248"/>
    <n v="8.0500000000000007"/>
    <n v="6.16"/>
    <n v="9.83"/>
    <n v="9.64"/>
    <n v="10.9"/>
    <n v="8.31"/>
    <n v="8.9160000000000004"/>
    <s v="Post thin"/>
    <x v="0"/>
    <m/>
    <n v="0.55000000000000004"/>
    <m/>
    <n v="0.55000000000000004"/>
    <d v="2025-04-17T00:00:00"/>
    <n v="52.25"/>
    <n v="28.737500000000001"/>
    <n v="223.14668750000001"/>
    <n v="11.414152813299234"/>
    <n v="0.27195647930019129"/>
    <m/>
    <m/>
    <m/>
    <m/>
    <m/>
    <x v="1"/>
  </r>
  <r>
    <x v="2"/>
    <s v="SLHM01TD"/>
    <x v="217"/>
    <x v="0"/>
    <x v="14"/>
    <n v="4"/>
    <s v="O39-16"/>
    <n v="806.66666666666663"/>
    <n v="19.55"/>
    <n v="15530"/>
    <m/>
    <n v="15530"/>
    <n v="19.25206611570248"/>
    <n v="8.0500000000000007"/>
    <n v="6.16"/>
    <n v="9.83"/>
    <n v="9.64"/>
    <n v="10.9"/>
    <n v="8.31"/>
    <n v="8.9160000000000004"/>
    <s v="Post thin"/>
    <x v="0"/>
    <m/>
    <n v="0.55000000000000004"/>
    <m/>
    <n v="0.55000000000000004"/>
    <d v="2025-04-18T00:00:00"/>
    <n v="44.384615384615387"/>
    <n v="24.411538461538466"/>
    <n v="189.55559615384618"/>
    <n v="9.6959384221916203"/>
    <n v="0.14294010149853545"/>
    <m/>
    <m/>
    <m/>
    <m/>
    <m/>
    <x v="1"/>
  </r>
  <r>
    <x v="2"/>
    <s v="SLHM01TD"/>
    <x v="217"/>
    <x v="0"/>
    <x v="14"/>
    <n v="4"/>
    <s v="O39-16"/>
    <n v="806.66666666666663"/>
    <n v="19.55"/>
    <n v="15530"/>
    <n v="2E-3"/>
    <n v="15498.94"/>
    <n v="19.213561983471077"/>
    <n v="8.0500000000000007"/>
    <n v="6.16"/>
    <n v="9.83"/>
    <n v="9.64"/>
    <n v="10.9"/>
    <n v="8.31"/>
    <n v="8.9160000000000004"/>
    <s v="Post thin"/>
    <x v="0"/>
    <m/>
    <n v="0.55000000000000004"/>
    <m/>
    <n v="0.55000000000000004"/>
    <d v="2025-04-21T00:00:00"/>
    <n v="45"/>
    <n v="24.750000000000004"/>
    <n v="191.79938250000004"/>
    <n v="9.8107101023017922"/>
    <n v="0.15296651176653303"/>
    <m/>
    <m/>
    <m/>
    <m/>
    <m/>
    <x v="1"/>
  </r>
  <r>
    <x v="2"/>
    <s v="SLHM01TD"/>
    <x v="217"/>
    <x v="0"/>
    <x v="14"/>
    <n v="4"/>
    <s v="O39-16"/>
    <n v="806.66666666666663"/>
    <n v="19.55"/>
    <n v="15530"/>
    <m/>
    <n v="15530"/>
    <n v="19.25206611570248"/>
    <n v="8.0500000000000007"/>
    <n v="6.16"/>
    <n v="9.83"/>
    <n v="9.64"/>
    <n v="10.9"/>
    <n v="8.31"/>
    <n v="8.9160000000000004"/>
    <s v="Post thin"/>
    <x v="0"/>
    <m/>
    <n v="0.55000000000000004"/>
    <m/>
    <n v="0.55000000000000004"/>
    <d v="2025-04-21T00:00:00"/>
    <n v="45.090909090909093"/>
    <n v="24.800000000000004"/>
    <n v="192.57200000000003"/>
    <n v="9.8502301790281344"/>
    <n v="0.15636489209230839"/>
    <m/>
    <m/>
    <m/>
    <m/>
    <m/>
    <x v="1"/>
  </r>
  <r>
    <x v="2"/>
    <s v="SLHM02VI"/>
    <x v="218"/>
    <x v="0"/>
    <x v="17"/>
    <n v="1"/>
    <s v="O39-16"/>
    <n v="605"/>
    <n v="19.350000000000001"/>
    <n v="11526"/>
    <m/>
    <n v="11526"/>
    <n v="19.051239669421488"/>
    <n v="8.6199999999999992"/>
    <n v="8.3000000000000007"/>
    <n v="10.18"/>
    <n v="11.24"/>
    <n v="9.9499999999999993"/>
    <n v="7.95"/>
    <n v="9.3733333333333348"/>
    <s v="Post thin"/>
    <x v="3"/>
    <m/>
    <n v="0.3"/>
    <m/>
    <n v="0.3"/>
    <d v="2025-04-23T00:00:00"/>
    <n v="97.818181818181813"/>
    <n v="29.345454545454544"/>
    <n v="169.11785454545452"/>
    <n v="8.7399408033826624"/>
    <n v="9.0382855119216315E-2"/>
    <m/>
    <n v="169.11785454545452"/>
    <n v="8.7399408033826624"/>
    <m/>
    <n v="97.818181818181813"/>
    <x v="1"/>
  </r>
  <r>
    <x v="2"/>
    <s v="SLHM02VI"/>
    <x v="218"/>
    <x v="0"/>
    <x v="17"/>
    <n v="1"/>
    <s v="O39-16"/>
    <n v="605"/>
    <n v="19.350000000000001"/>
    <n v="11526"/>
    <m/>
    <n v="11526"/>
    <n v="19.051239669421488"/>
    <n v="8.6199999999999992"/>
    <n v="8.3000000000000007"/>
    <n v="10.18"/>
    <n v="11.24"/>
    <n v="9.9499999999999993"/>
    <n v="7.95"/>
    <n v="9.3733333333333348"/>
    <s v="Post thin"/>
    <x v="3"/>
    <m/>
    <n v="0.3"/>
    <m/>
    <n v="0.3"/>
    <d v="2025-04-30T00:00:00"/>
    <n v="145.45454545454547"/>
    <n v="43.63636363636364"/>
    <n v="251.47636363636366"/>
    <n v="12.996194503171248"/>
    <n v="0.38828247006767308"/>
    <m/>
    <n v="251.47636363636366"/>
    <n v="12.996194503171248"/>
    <m/>
    <n v="145.45454545454547"/>
    <x v="1"/>
  </r>
  <r>
    <x v="2"/>
    <s v="SLHM03CH"/>
    <x v="219"/>
    <x v="0"/>
    <x v="8"/>
    <n v="4"/>
    <s v="O39-16"/>
    <n v="605"/>
    <n v="19.13"/>
    <n v="11455"/>
    <n v="0.05"/>
    <n v="10882.25"/>
    <n v="17.987190082644627"/>
    <n v="8.41"/>
    <n v="8.85"/>
    <n v="9.67"/>
    <n v="10.4"/>
    <n v="10.99"/>
    <n v="8.43"/>
    <n v="9.4583333333333339"/>
    <s v="No thin"/>
    <x v="0"/>
    <m/>
    <n v="0.42899999999999999"/>
    <m/>
    <n v="0.4"/>
    <d v="2025-04-15T00:00:00"/>
    <n v="71.75"/>
    <n v="30.780750000000001"/>
    <n v="167.48190834375001"/>
    <n v="8.7549350937663366"/>
    <n v="3.711450630829876E-2"/>
    <m/>
    <m/>
    <m/>
    <m/>
    <m/>
    <x v="1"/>
  </r>
  <r>
    <x v="2"/>
    <s v="SLHM03CH"/>
    <x v="219"/>
    <x v="0"/>
    <x v="8"/>
    <n v="4"/>
    <s v="O39-16"/>
    <n v="605"/>
    <n v="19.13"/>
    <n v="11455"/>
    <n v="0.05"/>
    <n v="10882.25"/>
    <n v="17.987190082644627"/>
    <n v="8.41"/>
    <n v="8.85"/>
    <n v="9.67"/>
    <n v="10.4"/>
    <n v="10.99"/>
    <n v="8.43"/>
    <n v="9.6639999999999997"/>
    <s v="No thin"/>
    <x v="0"/>
    <m/>
    <n v="0.42899999999999999"/>
    <m/>
    <n v="0.4"/>
    <d v="2025-04-15T00:00:00"/>
    <n v="76.3"/>
    <n v="32.732700000000001"/>
    <n v="178.1027122875"/>
    <n v="9.3101260997124946"/>
    <n v="9.453428345505159E-2"/>
    <m/>
    <m/>
    <m/>
    <m/>
    <m/>
    <x v="1"/>
  </r>
  <r>
    <x v="2"/>
    <s v="SLHM04SB"/>
    <x v="220"/>
    <x v="2"/>
    <x v="7"/>
    <s v="30.1/1.1"/>
    <s v="O39-16/GRN1"/>
    <n v="622"/>
    <n v="35.5"/>
    <n v="21904"/>
    <n v="0.1"/>
    <n v="19713.599999999999"/>
    <n v="31.693890675241157"/>
    <m/>
    <m/>
    <m/>
    <m/>
    <m/>
    <n v="4.63"/>
    <m/>
    <s v="No thin"/>
    <x v="0"/>
    <m/>
    <n v="0.35"/>
    <m/>
    <n v="0.35"/>
    <d v="2025-04-24T00:00:00"/>
    <n v="71"/>
    <n v="24.849999999999998"/>
    <n v="244.94147999999996"/>
    <n v="6.8997599999999988"/>
    <n v="0.32896216680000451"/>
    <m/>
    <n v="244.94147999999996"/>
    <n v="6.8997599999999988"/>
    <m/>
    <n v="63.899999999999991"/>
    <x v="0"/>
  </r>
  <r>
    <x v="2"/>
    <s v="SLHM05PN"/>
    <x v="221"/>
    <x v="0"/>
    <x v="16"/>
    <n v="23"/>
    <s v="O39-16"/>
    <n v="691.42857142857144"/>
    <n v="23.24"/>
    <n v="15976"/>
    <m/>
    <n v="15976"/>
    <n v="23.105785123966943"/>
    <n v="9.5399999999999991"/>
    <n v="10.23"/>
    <n v="10.74"/>
    <n v="11.39"/>
    <n v="11.16"/>
    <n v="8.39"/>
    <n v="10.241666666666667"/>
    <s v="Post thin"/>
    <x v="3"/>
    <m/>
    <n v="0.41"/>
    <m/>
    <n v="0.38"/>
    <d v="2025-04-24T00:00:00"/>
    <n v="50.84375"/>
    <n v="20.845937499999998"/>
    <n v="166.51734874999997"/>
    <n v="7.1651182766781405"/>
    <n v="-0.17095066348154328"/>
    <m/>
    <n v="166.51734874999997"/>
    <n v="7.1651182766781405"/>
    <m/>
    <n v="54.857730263157883"/>
    <x v="0"/>
  </r>
  <r>
    <x v="2"/>
    <s v="SLHM05PN"/>
    <x v="221"/>
    <x v="0"/>
    <x v="16"/>
    <n v="23"/>
    <s v="O39-16"/>
    <n v="691.42857142857144"/>
    <n v="23.24"/>
    <n v="15976"/>
    <m/>
    <n v="15976"/>
    <n v="23.105785123966943"/>
    <n v="9.5399999999999991"/>
    <n v="10.23"/>
    <n v="10.74"/>
    <n v="11.39"/>
    <n v="11.16"/>
    <n v="8.39"/>
    <n v="10.241666666666667"/>
    <s v="Post thin"/>
    <x v="0"/>
    <m/>
    <n v="0.41"/>
    <m/>
    <n v="0.38"/>
    <d v="2025-05-02T00:00:00"/>
    <n v="43"/>
    <n v="17.63"/>
    <n v="140.82844"/>
    <n v="6.059743545611016"/>
    <n v="-0.38454704177650478"/>
    <m/>
    <n v="140.82844"/>
    <n v="6.059743545611016"/>
    <m/>
    <n v="46.394736842105267"/>
    <x v="0"/>
  </r>
  <r>
    <x v="2"/>
    <s v="SLHM06ZN"/>
    <x v="222"/>
    <x v="0"/>
    <x v="4"/>
    <s v="Lucas Zinstar"/>
    <s v="O39-16"/>
    <n v="622.28571428571433"/>
    <n v="4.72"/>
    <n v="2790"/>
    <m/>
    <n v="2790"/>
    <n v="4.4834710743801649"/>
    <n v="7.46"/>
    <n v="7.57"/>
    <n v="6.24"/>
    <n v="7.88"/>
    <n v="10.14"/>
    <n v="7.58"/>
    <n v="7.8116666666666674"/>
    <s v="No thin"/>
    <x v="0"/>
    <m/>
    <n v="0.5"/>
    <m/>
    <n v="0.45"/>
    <d v="2025-04-23T00:00:00"/>
    <n v="58.1"/>
    <n v="29.05"/>
    <n v="40.524749999999997"/>
    <n v="8.5857521186440682"/>
    <n v="0.11714199347312448"/>
    <m/>
    <n v="40.524749999999997"/>
    <n v="8.5857521186440682"/>
    <m/>
    <n v="64.555555555555557"/>
    <x v="0"/>
  </r>
  <r>
    <x v="2"/>
    <s v="SLHM08PR"/>
    <x v="223"/>
    <x v="0"/>
    <x v="13"/>
    <n v="3"/>
    <s v="O39-16"/>
    <n v="691.42857142857144"/>
    <n v="7.16"/>
    <n v="4940"/>
    <m/>
    <n v="4940"/>
    <n v="7.1446280991735538"/>
    <n v="7.63"/>
    <n v="6.26"/>
    <n v="7.08"/>
    <n v="6.2"/>
    <n v="6.97"/>
    <n v="8.15"/>
    <n v="7.0483333333333329"/>
    <s v="Post thin"/>
    <x v="0"/>
    <m/>
    <n v="0.5"/>
    <m/>
    <n v="0.45"/>
    <d v="2025-04-24T00:00:00"/>
    <n v="54"/>
    <n v="27"/>
    <n v="66.69"/>
    <n v="9.3142458100558656"/>
    <n v="0.12499625131204072"/>
    <m/>
    <n v="66.69"/>
    <n v="9.3142458100558656"/>
    <m/>
    <n v="60"/>
    <x v="0"/>
  </r>
  <r>
    <x v="2"/>
    <s v="SLHM08PR"/>
    <x v="223"/>
    <x v="0"/>
    <x v="13"/>
    <n v="3"/>
    <s v="O39-16"/>
    <n v="691.42857142857144"/>
    <n v="7.16"/>
    <n v="4940"/>
    <m/>
    <n v="4940"/>
    <n v="7.1446280991735538"/>
    <n v="7.63"/>
    <n v="6.26"/>
    <n v="7.08"/>
    <n v="6.2"/>
    <n v="6.97"/>
    <n v="8.15"/>
    <n v="7.0483333333333329"/>
    <s v="2/spur"/>
    <x v="3"/>
    <m/>
    <n v="0.5"/>
    <m/>
    <n v="0.45"/>
    <d v="2025-04-24T00:00:00"/>
    <n v="56.2"/>
    <n v="28.1"/>
    <n v="69.406999999999996"/>
    <n v="9.6937150837988817"/>
    <n v="0.15924906709697856"/>
    <m/>
    <n v="69.406999999999996"/>
    <n v="9.6937150837988817"/>
    <m/>
    <n v="62.444444444444443"/>
    <x v="0"/>
  </r>
  <r>
    <x v="2"/>
    <s v="SVDU01CH"/>
    <x v="224"/>
    <x v="0"/>
    <x v="8"/>
    <m/>
    <m/>
    <n v="691"/>
    <n v="22.58"/>
    <n v="15475"/>
    <m/>
    <n v="15475"/>
    <n v="22.395079594790158"/>
    <m/>
    <m/>
    <m/>
    <m/>
    <m/>
    <m/>
    <m/>
    <m/>
    <x v="0"/>
    <m/>
    <m/>
    <m/>
    <n v="0.41"/>
    <d v="2025-04-30T00:00:00"/>
    <n v="51.75"/>
    <n v="21.217499999999998"/>
    <n v="164.17040624999998"/>
    <n v="7.270611437112489"/>
    <n v="1"/>
    <m/>
    <m/>
    <m/>
    <m/>
    <m/>
    <x v="0"/>
  </r>
  <r>
    <x v="2"/>
    <s v="SVDU02ZN"/>
    <x v="225"/>
    <x v="0"/>
    <x v="4"/>
    <m/>
    <m/>
    <n v="691"/>
    <n v="22.87"/>
    <n v="15664"/>
    <m/>
    <n v="15664"/>
    <n v="22.668596237337191"/>
    <m/>
    <m/>
    <m/>
    <m/>
    <m/>
    <m/>
    <m/>
    <m/>
    <x v="0"/>
    <m/>
    <m/>
    <m/>
    <n v="0.45"/>
    <d v="2025-04-30T00:00:00"/>
    <n v="77.066666666666663"/>
    <n v="34.68"/>
    <n v="271.61376000000001"/>
    <n v="11.876421512898995"/>
    <n v="1"/>
    <m/>
    <m/>
    <m/>
    <m/>
    <m/>
    <x v="1"/>
  </r>
  <r>
    <x v="2"/>
    <s v="VKDD01CH"/>
    <x v="226"/>
    <x v="1"/>
    <x v="8"/>
    <s v="04"/>
    <s v="O39-16"/>
    <n v="726"/>
    <n v="26.2"/>
    <n v="18798"/>
    <m/>
    <n v="18798"/>
    <n v="25.892561983471076"/>
    <m/>
    <m/>
    <m/>
    <m/>
    <m/>
    <n v="1.81"/>
    <m/>
    <m/>
    <x v="0"/>
    <m/>
    <m/>
    <m/>
    <n v="0.41"/>
    <d v="2025-04-19T00:00:00"/>
    <n v="64.526315789473685"/>
    <n v="26.455789473684209"/>
    <n v="248.65796526315788"/>
    <n v="9.4907620329449571"/>
    <n v="0.80928823273442008"/>
    <n v="8"/>
    <n v="39.057965263157882"/>
    <n v="1.4907620329449573"/>
    <n v="53.752603641738894"/>
    <n v="10.135475040976823"/>
    <x v="0"/>
  </r>
  <r>
    <x v="2"/>
    <s v="VKDD01CH"/>
    <x v="226"/>
    <x v="1"/>
    <x v="8"/>
    <s v="04"/>
    <s v="O39-16"/>
    <n v="726"/>
    <n v="26.2"/>
    <n v="18798"/>
    <m/>
    <n v="18798"/>
    <n v="25.892561983471076"/>
    <m/>
    <m/>
    <m/>
    <m/>
    <m/>
    <n v="1.81"/>
    <m/>
    <m/>
    <x v="0"/>
    <m/>
    <m/>
    <m/>
    <n v="0.41"/>
    <d v="2025-04-21T00:00:00"/>
    <n v="75.86666666666666"/>
    <n v="31.105333333333327"/>
    <n v="292.35902799999991"/>
    <n v="11.158741526717554"/>
    <n v="0.83779532883109731"/>
    <n v="8"/>
    <n v="82.759027999999915"/>
    <n v="3.158741526717554"/>
    <n v="53.752603641738894"/>
    <n v="21.47582591816978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DEEDA-28EB-4FB5-BD56-6314CAEA160C}" name="PivotTable2" cacheId="3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16" firstHeaderRow="1" firstDataRow="1" firstDataCol="1"/>
  <pivotFields count="38">
    <pivotField showAll="0">
      <items count="4">
        <item h="1" x="0"/>
        <item x="1"/>
        <item h="1" x="2"/>
        <item t="default"/>
      </items>
    </pivotField>
    <pivotField showAll="0"/>
    <pivotField axis="axisRow" showAll="0">
      <items count="229">
        <item x="0"/>
        <item x="9"/>
        <item x="10"/>
        <item x="1"/>
        <item x="2"/>
        <item x="3"/>
        <item x="4"/>
        <item x="5"/>
        <item x="6"/>
        <item x="7"/>
        <item x="8"/>
        <item x="136"/>
        <item x="15"/>
        <item x="16"/>
        <item x="17"/>
        <item x="18"/>
        <item x="19"/>
        <item x="20"/>
        <item x="21"/>
        <item x="22"/>
        <item x="137"/>
        <item x="11"/>
        <item x="12"/>
        <item x="23"/>
        <item x="24"/>
        <item x="25"/>
        <item x="138"/>
        <item x="13"/>
        <item x="14"/>
        <item x="49"/>
        <item x="50"/>
        <item x="46"/>
        <item x="226"/>
        <item x="139"/>
        <item x="140"/>
        <item x="141"/>
        <item x="143"/>
        <item x="142"/>
        <item x="144"/>
        <item x="74"/>
        <item x="68"/>
        <item x="69"/>
        <item x="70"/>
        <item x="73"/>
        <item x="72"/>
        <item x="71"/>
        <item x="93"/>
        <item x="84"/>
        <item x="90"/>
        <item x="85"/>
        <item x="91"/>
        <item x="92"/>
        <item x="86"/>
        <item x="87"/>
        <item x="88"/>
        <item x="89"/>
        <item x="145"/>
        <item x="146"/>
        <item x="147"/>
        <item x="148"/>
        <item x="149"/>
        <item x="150"/>
        <item x="151"/>
        <item x="152"/>
        <item x="153"/>
        <item x="154"/>
        <item x="155"/>
        <item x="156"/>
        <item x="209"/>
        <item x="161"/>
        <item x="162"/>
        <item x="163"/>
        <item x="164"/>
        <item x="26"/>
        <item x="66"/>
        <item x="165"/>
        <item x="166"/>
        <item x="167"/>
        <item x="168"/>
        <item x="169"/>
        <item x="170"/>
        <item x="171"/>
        <item x="174"/>
        <item x="172"/>
        <item x="173"/>
        <item x="175"/>
        <item x="177"/>
        <item x="176"/>
        <item x="178"/>
        <item x="179"/>
        <item x="180"/>
        <item x="181"/>
        <item x="182"/>
        <item x="183"/>
        <item x="184"/>
        <item x="185"/>
        <item x="186"/>
        <item x="187"/>
        <item x="188"/>
        <item x="189"/>
        <item x="190"/>
        <item x="191"/>
        <item x="199"/>
        <item x="200"/>
        <item x="201"/>
        <item x="192"/>
        <item x="193"/>
        <item x="194"/>
        <item x="195"/>
        <item x="196"/>
        <item x="197"/>
        <item x="198"/>
        <item x="202"/>
        <item x="203"/>
        <item x="204"/>
        <item x="205"/>
        <item x="206"/>
        <item x="207"/>
        <item x="51"/>
        <item x="52"/>
        <item x="76"/>
        <item x="77"/>
        <item x="79"/>
        <item x="78"/>
        <item x="80"/>
        <item x="75"/>
        <item x="82"/>
        <item x="83"/>
        <item x="81"/>
        <item x="208"/>
        <item x="103"/>
        <item x="104"/>
        <item x="110"/>
        <item x="105"/>
        <item x="106"/>
        <item x="107"/>
        <item x="108"/>
        <item x="109"/>
        <item x="98"/>
        <item x="99"/>
        <item x="101"/>
        <item x="102"/>
        <item x="34"/>
        <item x="29"/>
        <item x="27"/>
        <item x="28"/>
        <item x="30"/>
        <item x="31"/>
        <item x="32"/>
        <item x="33"/>
        <item x="53"/>
        <item x="210"/>
        <item x="211"/>
        <item x="35"/>
        <item x="157"/>
        <item x="158"/>
        <item x="160"/>
        <item x="159"/>
        <item x="37"/>
        <item x="38"/>
        <item x="41"/>
        <item x="42"/>
        <item m="1" x="227"/>
        <item x="39"/>
        <item x="40"/>
        <item x="54"/>
        <item x="55"/>
        <item x="43"/>
        <item x="111"/>
        <item x="117"/>
        <item x="118"/>
        <item x="119"/>
        <item x="120"/>
        <item x="121"/>
        <item x="122"/>
        <item x="112"/>
        <item x="123"/>
        <item x="124"/>
        <item x="113"/>
        <item x="114"/>
        <item x="115"/>
        <item x="125"/>
        <item x="126"/>
        <item x="116"/>
        <item x="127"/>
        <item x="130"/>
        <item x="131"/>
        <item x="128"/>
        <item x="129"/>
        <item x="132"/>
        <item x="56"/>
        <item x="57"/>
        <item x="58"/>
        <item x="212"/>
        <item x="59"/>
        <item x="60"/>
        <item x="61"/>
        <item x="62"/>
        <item x="44"/>
        <item x="45"/>
        <item x="94"/>
        <item x="95"/>
        <item x="96"/>
        <item x="97"/>
        <item x="213"/>
        <item x="214"/>
        <item x="215"/>
        <item x="216"/>
        <item x="224"/>
        <item x="225"/>
        <item x="64"/>
        <item x="65"/>
        <item x="63"/>
        <item x="67"/>
        <item x="217"/>
        <item x="218"/>
        <item x="219"/>
        <item x="220"/>
        <item x="221"/>
        <item x="222"/>
        <item x="223"/>
        <item x="36"/>
        <item x="48"/>
        <item x="47"/>
        <item x="133"/>
        <item x="134"/>
        <item x="135"/>
        <item x="100"/>
        <item t="default"/>
      </items>
    </pivotField>
    <pivotField showAll="0"/>
    <pivotField axis="axisRow" showAll="0">
      <items count="33">
        <item h="1" x="28"/>
        <item h="1" x="20"/>
        <item h="1" x="31"/>
        <item h="1" x="12"/>
        <item h="1" x="19"/>
        <item h="1" x="5"/>
        <item h="1" x="8"/>
        <item x="0"/>
        <item h="1" x="30"/>
        <item h="1" x="21"/>
        <item h="1" x="26"/>
        <item h="1" x="1"/>
        <item h="1" x="18"/>
        <item h="1" x="2"/>
        <item h="1" x="27"/>
        <item h="1" x="23"/>
        <item h="1" x="29"/>
        <item h="1" x="10"/>
        <item h="1" x="16"/>
        <item h="1" x="13"/>
        <item h="1" x="3"/>
        <item h="1" x="6"/>
        <item h="1" x="22"/>
        <item h="1" x="7"/>
        <item h="1" x="11"/>
        <item h="1" x="25"/>
        <item h="1" x="14"/>
        <item h="1" x="15"/>
        <item h="1" x="24"/>
        <item h="1" x="9"/>
        <item h="1" x="17"/>
        <item h="1" x="4"/>
        <item t="default"/>
      </items>
    </pivotField>
    <pivotField showAll="0"/>
    <pivotField showAll="0"/>
    <pivotField numFmtId="1"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2"/>
        <item m="1" x="4"/>
        <item x="3"/>
        <item m="1" x="5"/>
        <item x="1"/>
        <item t="default"/>
      </items>
    </pivotField>
    <pivotField showAll="0"/>
    <pivotField showAll="0"/>
    <pivotField showAll="0"/>
    <pivotField showAll="0"/>
    <pivotField showAll="0"/>
    <pivotField showAll="0"/>
    <pivotField showAll="0"/>
    <pivotField numFmtId="164" showAll="0"/>
    <pivotField dataField="1" showAll="0"/>
    <pivotField showAll="0"/>
    <pivotField showAll="0"/>
    <pivotField showAll="0"/>
    <pivotField showAll="0"/>
    <pivotField showAll="0"/>
    <pivotField showAll="0"/>
    <pivotField showAll="0"/>
  </pivotFields>
  <rowFields count="2">
    <field x="2"/>
    <field x="4"/>
  </rowFields>
  <rowItems count="11">
    <i>
      <x v="130"/>
    </i>
    <i r="1">
      <x v="7"/>
    </i>
    <i>
      <x v="131"/>
    </i>
    <i r="1">
      <x v="7"/>
    </i>
    <i>
      <x v="132"/>
    </i>
    <i r="1">
      <x v="7"/>
    </i>
    <i>
      <x v="133"/>
    </i>
    <i r="1">
      <x v="7"/>
    </i>
    <i>
      <x v="134"/>
    </i>
    <i r="1">
      <x v="7"/>
    </i>
    <i t="grand">
      <x/>
    </i>
  </rowItems>
  <colItems count="1">
    <i/>
  </colItems>
  <dataFields count="1">
    <dataField name="Average of 2025 Est TPA" fld="30" subtotal="average"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F16798-CA50-4E54-B6CC-56852803AF04}" name="PivotTable1" cacheId="38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D123" firstHeaderRow="0" firstDataRow="1" firstDataCol="1" rowPageCount="4" colPageCount="1"/>
  <pivotFields count="38">
    <pivotField axis="axisPage" showAll="0" defaultSubtotal="0">
      <items count="3">
        <item x="0"/>
        <item x="1"/>
        <item x="2"/>
      </items>
    </pivotField>
    <pivotField showAll="0" defaultSubtotal="0"/>
    <pivotField axis="axisRow" showAll="0" defaultSubtotal="0">
      <items count="228">
        <item x="0"/>
        <item x="9"/>
        <item x="10"/>
        <item x="1"/>
        <item x="2"/>
        <item x="3"/>
        <item x="4"/>
        <item x="5"/>
        <item x="6"/>
        <item x="7"/>
        <item x="8"/>
        <item x="136"/>
        <item x="15"/>
        <item x="16"/>
        <item x="17"/>
        <item x="18"/>
        <item x="19"/>
        <item x="20"/>
        <item x="21"/>
        <item x="22"/>
        <item x="137"/>
        <item x="11"/>
        <item x="12"/>
        <item x="23"/>
        <item x="24"/>
        <item x="25"/>
        <item x="138"/>
        <item x="13"/>
        <item x="14"/>
        <item x="49"/>
        <item x="50"/>
        <item x="46"/>
        <item x="226"/>
        <item x="139"/>
        <item x="140"/>
        <item x="141"/>
        <item x="143"/>
        <item x="142"/>
        <item x="144"/>
        <item x="74"/>
        <item x="68"/>
        <item x="69"/>
        <item x="70"/>
        <item x="73"/>
        <item x="72"/>
        <item x="71"/>
        <item x="93"/>
        <item x="84"/>
        <item x="90"/>
        <item x="85"/>
        <item x="91"/>
        <item x="92"/>
        <item x="86"/>
        <item x="87"/>
        <item x="88"/>
        <item x="89"/>
        <item x="145"/>
        <item x="146"/>
        <item x="147"/>
        <item x="148"/>
        <item x="149"/>
        <item x="150"/>
        <item x="151"/>
        <item x="152"/>
        <item x="153"/>
        <item x="154"/>
        <item x="155"/>
        <item x="156"/>
        <item x="209"/>
        <item x="161"/>
        <item x="162"/>
        <item x="163"/>
        <item x="164"/>
        <item x="26"/>
        <item x="66"/>
        <item x="165"/>
        <item x="166"/>
        <item x="167"/>
        <item x="168"/>
        <item x="169"/>
        <item x="170"/>
        <item x="171"/>
        <item x="174"/>
        <item x="172"/>
        <item x="173"/>
        <item x="175"/>
        <item x="177"/>
        <item x="176"/>
        <item x="178"/>
        <item x="179"/>
        <item x="180"/>
        <item x="181"/>
        <item x="182"/>
        <item x="183"/>
        <item x="184"/>
        <item x="185"/>
        <item x="186"/>
        <item x="187"/>
        <item x="188"/>
        <item x="189"/>
        <item x="190"/>
        <item x="191"/>
        <item x="199"/>
        <item x="200"/>
        <item x="201"/>
        <item x="192"/>
        <item x="193"/>
        <item x="194"/>
        <item x="195"/>
        <item x="196"/>
        <item x="197"/>
        <item x="198"/>
        <item x="202"/>
        <item x="203"/>
        <item x="204"/>
        <item x="205"/>
        <item x="206"/>
        <item x="207"/>
        <item x="51"/>
        <item x="52"/>
        <item x="76"/>
        <item x="77"/>
        <item x="79"/>
        <item x="78"/>
        <item x="80"/>
        <item x="75"/>
        <item x="82"/>
        <item x="83"/>
        <item x="81"/>
        <item x="208"/>
        <item x="103"/>
        <item x="104"/>
        <item x="110"/>
        <item x="105"/>
        <item x="106"/>
        <item x="107"/>
        <item x="108"/>
        <item x="109"/>
        <item x="98"/>
        <item x="99"/>
        <item x="101"/>
        <item x="102"/>
        <item x="34"/>
        <item x="29"/>
        <item x="27"/>
        <item x="28"/>
        <item x="30"/>
        <item x="31"/>
        <item x="32"/>
        <item x="33"/>
        <item x="53"/>
        <item x="210"/>
        <item x="211"/>
        <item x="35"/>
        <item x="157"/>
        <item x="158"/>
        <item x="160"/>
        <item x="159"/>
        <item x="37"/>
        <item x="38"/>
        <item x="41"/>
        <item x="42"/>
        <item m="1" x="227"/>
        <item x="39"/>
        <item x="40"/>
        <item x="54"/>
        <item x="55"/>
        <item x="43"/>
        <item x="111"/>
        <item x="117"/>
        <item x="118"/>
        <item x="119"/>
        <item x="120"/>
        <item x="121"/>
        <item x="122"/>
        <item x="112"/>
        <item x="123"/>
        <item x="124"/>
        <item x="113"/>
        <item x="114"/>
        <item x="115"/>
        <item x="125"/>
        <item x="126"/>
        <item x="116"/>
        <item x="127"/>
        <item x="130"/>
        <item x="131"/>
        <item x="128"/>
        <item x="129"/>
        <item x="132"/>
        <item x="56"/>
        <item x="57"/>
        <item x="58"/>
        <item x="212"/>
        <item x="59"/>
        <item x="60"/>
        <item x="61"/>
        <item x="62"/>
        <item x="44"/>
        <item x="45"/>
        <item x="94"/>
        <item x="95"/>
        <item x="96"/>
        <item x="97"/>
        <item x="213"/>
        <item x="214"/>
        <item x="215"/>
        <item x="216"/>
        <item x="224"/>
        <item x="225"/>
        <item x="64"/>
        <item x="65"/>
        <item x="63"/>
        <item x="67"/>
        <item x="217"/>
        <item x="218"/>
        <item x="219"/>
        <item x="220"/>
        <item x="221"/>
        <item x="222"/>
        <item x="223"/>
        <item x="36"/>
        <item x="48"/>
        <item x="47"/>
        <item x="133"/>
        <item x="134"/>
        <item x="135"/>
        <item x="100"/>
      </items>
    </pivotField>
    <pivotField axis="axisPage" multipleItemSelectionAllowed="1" showAll="0" defaultSubtotal="0">
      <items count="3">
        <item x="0"/>
        <item x="2"/>
        <item x="1"/>
      </items>
    </pivotField>
    <pivotField axis="axisRow" showAll="0" defaultSubtotal="0">
      <items count="32">
        <item x="28"/>
        <item x="20"/>
        <item x="31"/>
        <item x="12"/>
        <item x="19"/>
        <item x="5"/>
        <item x="8"/>
        <item x="0"/>
        <item x="30"/>
        <item x="21"/>
        <item x="26"/>
        <item x="1"/>
        <item x="18"/>
        <item x="2"/>
        <item x="27"/>
        <item x="23"/>
        <item x="29"/>
        <item x="10"/>
        <item x="16"/>
        <item x="13"/>
        <item x="3"/>
        <item x="6"/>
        <item x="22"/>
        <item x="7"/>
        <item x="11"/>
        <item x="25"/>
        <item x="14"/>
        <item x="15"/>
        <item x="24"/>
        <item x="9"/>
        <item x="17"/>
        <item x="4"/>
      </items>
    </pivotField>
    <pivotField showAll="0" defaultSubtotal="0"/>
    <pivotField showAll="0" defaultSubtotal="0"/>
    <pivotField numFmtId="1" showAll="0" defaultSubtotal="0"/>
    <pivotField numFmtId="2"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Page" multipleItemSelectionAllowed="1" showAll="0" defaultSubtotal="0">
      <items count="6">
        <item x="0"/>
        <item h="1" x="2"/>
        <item m="1" x="4"/>
        <item h="1" x="3"/>
        <item m="1" x="5"/>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4" showAll="0" defaultSubtotal="0"/>
    <pivotField dataField="1" numFmtId="164" showAll="0" defaultSubtotal="0"/>
    <pivotField dataField="1" showAll="0" defaultSubtotal="0"/>
    <pivotField showAll="0" defaultSubtotal="0"/>
    <pivotField showAll="0" defaultSubtotal="0"/>
    <pivotField showAll="0" defaultSubtotal="0"/>
    <pivotField showAll="0" defaultSubtotal="0"/>
    <pivotField showAll="0" defaultSubtotal="0"/>
    <pivotField axis="axisPage" multipleItemSelectionAllowed="1" showAll="0" defaultSubtotal="0">
      <items count="3">
        <item x="0"/>
        <item x="2"/>
        <item h="1" x="1"/>
      </items>
    </pivotField>
  </pivotFields>
  <rowFields count="2">
    <field x="4"/>
    <field x="2"/>
  </rowFields>
  <rowItems count="117">
    <i>
      <x/>
    </i>
    <i r="1">
      <x v="109"/>
    </i>
    <i>
      <x v="1"/>
    </i>
    <i r="1">
      <x v="226"/>
    </i>
    <i>
      <x v="3"/>
    </i>
    <i r="1">
      <x v="142"/>
    </i>
    <i>
      <x v="4"/>
    </i>
    <i r="1">
      <x v="140"/>
    </i>
    <i r="1">
      <x v="141"/>
    </i>
    <i>
      <x v="5"/>
    </i>
    <i r="1">
      <x v="2"/>
    </i>
    <i r="1">
      <x v="101"/>
    </i>
    <i>
      <x v="6"/>
    </i>
    <i r="1">
      <x v="20"/>
    </i>
    <i r="1">
      <x v="32"/>
    </i>
    <i r="1">
      <x v="37"/>
    </i>
    <i r="1">
      <x v="41"/>
    </i>
    <i r="1">
      <x v="82"/>
    </i>
    <i r="1">
      <x v="89"/>
    </i>
    <i r="1">
      <x v="90"/>
    </i>
    <i r="1">
      <x v="91"/>
    </i>
    <i r="1">
      <x v="138"/>
    </i>
    <i r="1">
      <x v="194"/>
    </i>
    <i r="1">
      <x v="196"/>
    </i>
    <i r="1">
      <x v="199"/>
    </i>
    <i r="1">
      <x v="208"/>
    </i>
    <i>
      <x v="7"/>
    </i>
    <i r="1">
      <x/>
    </i>
    <i r="1">
      <x v="3"/>
    </i>
    <i r="1">
      <x v="5"/>
    </i>
    <i r="1">
      <x v="6"/>
    </i>
    <i r="1">
      <x v="7"/>
    </i>
    <i r="1">
      <x v="10"/>
    </i>
    <i r="1">
      <x v="35"/>
    </i>
    <i r="1">
      <x v="65"/>
    </i>
    <i r="1">
      <x v="77"/>
    </i>
    <i r="1">
      <x v="78"/>
    </i>
    <i r="1">
      <x v="79"/>
    </i>
    <i r="1">
      <x v="85"/>
    </i>
    <i r="1">
      <x v="86"/>
    </i>
    <i r="1">
      <x v="87"/>
    </i>
    <i r="1">
      <x v="105"/>
    </i>
    <i r="1">
      <x v="106"/>
    </i>
    <i r="1">
      <x v="107"/>
    </i>
    <i r="1">
      <x v="114"/>
    </i>
    <i r="1">
      <x v="116"/>
    </i>
    <i r="1">
      <x v="195"/>
    </i>
    <i r="1">
      <x v="204"/>
    </i>
    <i r="1">
      <x v="205"/>
    </i>
    <i r="1">
      <x v="206"/>
    </i>
    <i>
      <x v="8"/>
    </i>
    <i r="1">
      <x v="111"/>
    </i>
    <i>
      <x v="9"/>
    </i>
    <i r="1">
      <x v="224"/>
    </i>
    <i>
      <x v="10"/>
    </i>
    <i r="1">
      <x v="157"/>
    </i>
    <i>
      <x v="11"/>
    </i>
    <i r="1">
      <x v="4"/>
    </i>
    <i r="1">
      <x v="198"/>
    </i>
    <i>
      <x v="12"/>
    </i>
    <i r="1">
      <x v="43"/>
    </i>
    <i r="1">
      <x v="44"/>
    </i>
    <i r="1">
      <x v="45"/>
    </i>
    <i>
      <x v="13"/>
    </i>
    <i r="1">
      <x v="8"/>
    </i>
    <i r="1">
      <x v="73"/>
    </i>
    <i r="1">
      <x v="212"/>
    </i>
    <i>
      <x v="14"/>
    </i>
    <i r="1">
      <x v="108"/>
    </i>
    <i>
      <x v="15"/>
    </i>
    <i r="1">
      <x v="102"/>
    </i>
    <i>
      <x v="16"/>
    </i>
    <i r="1">
      <x v="110"/>
    </i>
    <i>
      <x v="17"/>
    </i>
    <i r="1">
      <x v="93"/>
    </i>
    <i>
      <x v="18"/>
    </i>
    <i r="1">
      <x v="120"/>
    </i>
    <i r="1">
      <x v="121"/>
    </i>
    <i r="1">
      <x v="122"/>
    </i>
    <i r="1">
      <x v="123"/>
    </i>
    <i r="1">
      <x v="124"/>
    </i>
    <i r="1">
      <x v="125"/>
    </i>
    <i r="1">
      <x v="201"/>
    </i>
    <i r="1">
      <x v="202"/>
    </i>
    <i r="1">
      <x v="218"/>
    </i>
    <i>
      <x v="19"/>
    </i>
    <i r="1">
      <x v="103"/>
    </i>
    <i r="1">
      <x v="220"/>
    </i>
    <i>
      <x v="20"/>
    </i>
    <i r="1">
      <x v="9"/>
    </i>
    <i r="1">
      <x v="76"/>
    </i>
    <i>
      <x v="21"/>
    </i>
    <i r="1">
      <x v="81"/>
    </i>
    <i>
      <x v="22"/>
    </i>
    <i r="1">
      <x v="94"/>
    </i>
    <i>
      <x v="23"/>
    </i>
    <i r="1">
      <x v="92"/>
    </i>
    <i r="1">
      <x v="113"/>
    </i>
    <i r="1">
      <x v="117"/>
    </i>
    <i r="1">
      <x v="217"/>
    </i>
    <i>
      <x v="24"/>
    </i>
    <i r="1">
      <x v="143"/>
    </i>
    <i r="1">
      <x v="144"/>
    </i>
    <i r="1">
      <x v="145"/>
    </i>
    <i>
      <x v="25"/>
    </i>
    <i r="1">
      <x v="64"/>
    </i>
    <i>
      <x v="26"/>
    </i>
    <i r="1">
      <x v="80"/>
    </i>
    <i r="1">
      <x v="115"/>
    </i>
    <i>
      <x v="30"/>
    </i>
    <i r="1">
      <x v="42"/>
    </i>
    <i>
      <x v="31"/>
    </i>
    <i r="1">
      <x v="1"/>
    </i>
    <i r="1">
      <x v="21"/>
    </i>
    <i r="1">
      <x v="22"/>
    </i>
    <i r="1">
      <x v="29"/>
    </i>
    <i r="1">
      <x v="219"/>
    </i>
  </rowItems>
  <colFields count="1">
    <field x="-2"/>
  </colFields>
  <colItems count="3">
    <i>
      <x/>
    </i>
    <i i="1">
      <x v="1"/>
    </i>
    <i i="2">
      <x v="2"/>
    </i>
  </colItems>
  <pageFields count="4">
    <pageField fld="37" hier="-1"/>
    <pageField fld="0" hier="-1"/>
    <pageField fld="3" hier="-1"/>
    <pageField fld="21" hier="-1"/>
  </pageFields>
  <dataFields count="3">
    <dataField name="Average of 2025 Est TPA" fld="30" subtotal="average" baseField="4" baseItem="5" numFmtId="164"/>
    <dataField name="Average of % Change From 2024" fld="31" subtotal="average" baseField="2" baseItem="9" numFmtId="10"/>
    <dataField name="Count of 2025 Est TPA" fld="30" subtotal="count" baseField="4" baseItem="11"/>
  </dataFields>
  <formats count="20">
    <format dxfId="0">
      <pivotArea type="all" dataOnly="0" outline="0" fieldPosition="0"/>
    </format>
    <format dxfId="1">
      <pivotArea outline="0" collapsedLevelsAreSubtotals="1" fieldPosition="0"/>
    </format>
    <format dxfId="2">
      <pivotArea field="4" type="button" dataOnly="0" labelOnly="1" outline="0" axis="axisRow" fieldPosition="0"/>
    </format>
    <format dxfId="3">
      <pivotArea dataOnly="0" labelOnly="1" fieldPosition="0">
        <references count="1">
          <reference field="4" count="12">
            <x v="1"/>
            <x v="4"/>
            <x v="6"/>
            <x v="7"/>
            <x v="9"/>
            <x v="11"/>
            <x v="12"/>
            <x v="17"/>
            <x v="18"/>
            <x v="20"/>
            <x v="23"/>
            <x v="30"/>
          </reference>
        </references>
      </pivotArea>
    </format>
    <format dxfId="4">
      <pivotArea dataOnly="0" labelOnly="1" grandRow="1" outline="0" fieldPosition="0"/>
    </format>
    <format dxfId="5">
      <pivotArea dataOnly="0" labelOnly="1" outline="0" fieldPosition="0">
        <references count="1">
          <reference field="4294967294" count="3">
            <x v="0"/>
            <x v="1"/>
            <x v="2"/>
          </reference>
        </references>
      </pivotArea>
    </format>
    <format dxfId="6">
      <pivotArea type="all" dataOnly="0" outline="0" fieldPosition="0"/>
    </format>
    <format dxfId="7">
      <pivotArea outline="0" collapsedLevelsAreSubtotals="1" fieldPosition="0"/>
    </format>
    <format dxfId="8">
      <pivotArea field="4" type="button" dataOnly="0" labelOnly="1" outline="0" axis="axisRow" fieldPosition="0"/>
    </format>
    <format dxfId="9">
      <pivotArea dataOnly="0" labelOnly="1" fieldPosition="0">
        <references count="1">
          <reference field="4" count="12">
            <x v="1"/>
            <x v="4"/>
            <x v="6"/>
            <x v="7"/>
            <x v="9"/>
            <x v="11"/>
            <x v="12"/>
            <x v="17"/>
            <x v="18"/>
            <x v="20"/>
            <x v="23"/>
            <x v="30"/>
          </reference>
        </references>
      </pivotArea>
    </format>
    <format dxfId="10">
      <pivotArea dataOnly="0" labelOnly="1" grandRow="1" outline="0" fieldPosition="0"/>
    </format>
    <format dxfId="11">
      <pivotArea dataOnly="0" labelOnly="1" outline="0" fieldPosition="0">
        <references count="1">
          <reference field="4294967294" count="3">
            <x v="0"/>
            <x v="1"/>
            <x v="2"/>
          </reference>
        </references>
      </pivotArea>
    </format>
    <format dxfId="12">
      <pivotArea type="all" dataOnly="0" outline="0" fieldPosition="0"/>
    </format>
    <format dxfId="13">
      <pivotArea outline="0" collapsedLevelsAreSubtotals="1" fieldPosition="0"/>
    </format>
    <format dxfId="14">
      <pivotArea field="4" type="button" dataOnly="0" labelOnly="1" outline="0" axis="axisRow" fieldPosition="0"/>
    </format>
    <format dxfId="15">
      <pivotArea dataOnly="0" labelOnly="1" fieldPosition="0">
        <references count="1">
          <reference field="4" count="12">
            <x v="1"/>
            <x v="4"/>
            <x v="6"/>
            <x v="7"/>
            <x v="9"/>
            <x v="11"/>
            <x v="12"/>
            <x v="17"/>
            <x v="18"/>
            <x v="20"/>
            <x v="23"/>
            <x v="30"/>
          </reference>
        </references>
      </pivotArea>
    </format>
    <format dxfId="16">
      <pivotArea dataOnly="0" labelOnly="1" grandRow="1" outline="0" fieldPosition="0"/>
    </format>
    <format dxfId="17">
      <pivotArea dataOnly="0" labelOnly="1" outline="0" fieldPosition="0">
        <references count="1">
          <reference field="4294967294" count="3">
            <x v="0"/>
            <x v="1"/>
            <x v="2"/>
          </reference>
        </references>
      </pivotArea>
    </format>
    <format dxfId="18">
      <pivotArea outline="0" collapsedLevelsAreSubtotals="1"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6399C4-162F-4132-A7E4-64001D0B12F8}" sourceName="Region">
  <pivotTables>
    <pivotTable tabId="15" name="PivotTable2"/>
  </pivotTables>
  <data>
    <tabular pivotCacheId="992423587">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ety" xr10:uid="{D90CC79E-51D7-4C1D-99AF-12A34C72E54C}" sourceName="Variety">
  <pivotTables>
    <pivotTable tabId="15" name="PivotTable2"/>
  </pivotTables>
  <data>
    <tabular pivotCacheId="992423587">
      <items count="32">
        <i x="20"/>
        <i x="19"/>
        <i x="8"/>
        <i x="0" s="1"/>
        <i x="21"/>
        <i x="18"/>
        <i x="2"/>
        <i x="10"/>
        <i x="16"/>
        <i x="3"/>
        <i x="7"/>
        <i x="17"/>
        <i x="28" nd="1"/>
        <i x="31" nd="1"/>
        <i x="12" nd="1"/>
        <i x="5" nd="1"/>
        <i x="30" nd="1"/>
        <i x="26" nd="1"/>
        <i x="1" nd="1"/>
        <i x="27" nd="1"/>
        <i x="23" nd="1"/>
        <i x="29" nd="1"/>
        <i x="13" nd="1"/>
        <i x="6" nd="1"/>
        <i x="22" nd="1"/>
        <i x="11" nd="1"/>
        <i x="25" nd="1"/>
        <i x="14" nd="1"/>
        <i x="15" nd="1"/>
        <i x="24" nd="1"/>
        <i x="9"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_Status" xr10:uid="{AC7EA32A-0F15-43D8-87F6-6ABA809D57D2}" sourceName="ST Status">
  <pivotTables>
    <pivotTable tabId="15" name="PivotTable2"/>
  </pivotTables>
  <data>
    <tabular pivotCacheId="992423587">
      <items count="6">
        <i x="0" s="1"/>
        <i x="2" s="1"/>
        <i x="3" s="1"/>
        <i x="4" s="1" nd="1"/>
        <i x="5"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2FCE6FD-4F94-45BD-A8D4-CD233C165CD3}" cache="Slicer_Region" caption="Region" rowHeight="234950"/>
  <slicer name="Variety" xr10:uid="{373088CE-5704-42FA-889E-285C9FBFC113}" cache="Slicer_Variety" caption="Variety" rowHeight="234950"/>
  <slicer name="ST Status" xr10:uid="{7806A6E6-DEFD-47F2-B771-B460A03A5DBA}" cache="Slicer_ST_Status" caption="ST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898D-55E3-4228-B02B-F091574B35CB}">
  <dimension ref="A1:CL594"/>
  <sheetViews>
    <sheetView showZeros="0" tabSelected="1" zoomScale="104" zoomScaleNormal="100" workbookViewId="0">
      <pane xSplit="3" ySplit="2" topLeftCell="V52" activePane="bottomRight" state="frozen"/>
      <selection pane="bottomRight" activeCell="AV63" sqref="AV63"/>
      <selection pane="bottomLeft" activeCell="A3" sqref="A3"/>
      <selection pane="topRight" activeCell="D1" sqref="D1"/>
    </sheetView>
  </sheetViews>
  <sheetFormatPr defaultColWidth="8.85546875" defaultRowHeight="12.75" customHeight="1"/>
  <cols>
    <col min="1" max="1" width="9.7109375" style="5" customWidth="1"/>
    <col min="2" max="2" width="14.140625" style="5" customWidth="1"/>
    <col min="3" max="3" width="32.140625" style="14" customWidth="1"/>
    <col min="4" max="4" width="13.42578125" style="50" customWidth="1"/>
    <col min="5" max="5" width="13.28515625" style="7" bestFit="1" customWidth="1"/>
    <col min="6" max="6" width="11.7109375" style="5" hidden="1" customWidth="1"/>
    <col min="7" max="7" width="13.28515625" style="5" hidden="1" customWidth="1"/>
    <col min="8" max="8" width="10.7109375" style="7" bestFit="1" customWidth="1"/>
    <col min="9" max="9" width="8.85546875" style="8" customWidth="1"/>
    <col min="10" max="11" width="8.140625" style="9" customWidth="1"/>
    <col min="12" max="12" width="9.42578125" style="9" customWidth="1"/>
    <col min="13" max="13" width="8.5703125" style="9" customWidth="1"/>
    <col min="14" max="20" width="8.85546875" style="10" customWidth="1"/>
    <col min="21" max="21" width="40.28515625" style="6" bestFit="1" customWidth="1"/>
    <col min="22" max="23" width="9.7109375" style="11" customWidth="1"/>
    <col min="24" max="24" width="10" style="34" customWidth="1"/>
    <col min="25" max="25" width="10" style="34" hidden="1" customWidth="1"/>
    <col min="26" max="26" width="9.5703125" style="34" customWidth="1"/>
    <col min="27" max="27" width="12.140625" style="440" customWidth="1"/>
    <col min="28" max="28" width="12.85546875" style="36" customWidth="1"/>
    <col min="29" max="31" width="9.85546875" style="36" customWidth="1"/>
    <col min="32" max="32" width="9.85546875" style="458" customWidth="1"/>
    <col min="33" max="33" width="42.5703125" style="6" customWidth="1"/>
    <col min="34" max="34" width="7.85546875" style="11" customWidth="1"/>
    <col min="35" max="16384" width="8.85546875" style="6"/>
  </cols>
  <sheetData>
    <row r="1" spans="1:84" s="15" customFormat="1" ht="63.75">
      <c r="A1" s="96" t="s">
        <v>0</v>
      </c>
      <c r="B1" s="96" t="s">
        <v>1</v>
      </c>
      <c r="C1" s="96" t="s">
        <v>2</v>
      </c>
      <c r="D1" s="96" t="s">
        <v>3</v>
      </c>
      <c r="E1" s="96" t="s">
        <v>4</v>
      </c>
      <c r="F1" s="96" t="s">
        <v>5</v>
      </c>
      <c r="G1" s="96" t="s">
        <v>6</v>
      </c>
      <c r="H1" s="96" t="s">
        <v>7</v>
      </c>
      <c r="I1" s="97" t="s">
        <v>8</v>
      </c>
      <c r="J1" s="98" t="s">
        <v>9</v>
      </c>
      <c r="K1" s="98" t="s">
        <v>10</v>
      </c>
      <c r="L1" s="98" t="s">
        <v>11</v>
      </c>
      <c r="M1" s="98" t="s">
        <v>12</v>
      </c>
      <c r="N1" s="99" t="s">
        <v>13</v>
      </c>
      <c r="O1" s="99" t="s">
        <v>14</v>
      </c>
      <c r="P1" s="99" t="s">
        <v>15</v>
      </c>
      <c r="Q1" s="99" t="s">
        <v>16</v>
      </c>
      <c r="R1" s="99" t="s">
        <v>17</v>
      </c>
      <c r="S1" s="100" t="s">
        <v>18</v>
      </c>
      <c r="T1" s="100" t="s">
        <v>19</v>
      </c>
      <c r="U1" s="102" t="s">
        <v>20</v>
      </c>
      <c r="V1" s="102" t="s">
        <v>21</v>
      </c>
      <c r="W1" s="102" t="s">
        <v>22</v>
      </c>
      <c r="X1" s="103" t="s">
        <v>23</v>
      </c>
      <c r="Y1" s="103" t="s">
        <v>24</v>
      </c>
      <c r="Z1" s="103" t="s">
        <v>25</v>
      </c>
      <c r="AA1" s="104" t="s">
        <v>26</v>
      </c>
      <c r="AB1" s="105" t="s">
        <v>27</v>
      </c>
      <c r="AC1" s="105" t="s">
        <v>28</v>
      </c>
      <c r="AD1" s="105" t="s">
        <v>29</v>
      </c>
      <c r="AE1" s="106" t="s">
        <v>30</v>
      </c>
      <c r="AF1" s="460" t="s">
        <v>31</v>
      </c>
      <c r="AG1" s="111" t="s">
        <v>32</v>
      </c>
      <c r="AH1" s="112" t="s">
        <v>33</v>
      </c>
      <c r="AI1" s="112" t="s">
        <v>34</v>
      </c>
      <c r="AJ1" s="112" t="s">
        <v>35</v>
      </c>
      <c r="AK1" s="112" t="s">
        <v>36</v>
      </c>
      <c r="AL1" s="112" t="s">
        <v>37</v>
      </c>
      <c r="AM1" s="112" t="s">
        <v>38</v>
      </c>
      <c r="AN1" s="112" t="s">
        <v>39</v>
      </c>
      <c r="AO1" s="112" t="s">
        <v>40</v>
      </c>
      <c r="AP1" s="112" t="s">
        <v>41</v>
      </c>
      <c r="AQ1" s="112" t="s">
        <v>42</v>
      </c>
      <c r="AR1" s="112" t="s">
        <v>43</v>
      </c>
      <c r="AS1" s="112" t="s">
        <v>44</v>
      </c>
      <c r="AT1" s="112" t="s">
        <v>45</v>
      </c>
      <c r="AU1" s="112" t="s">
        <v>46</v>
      </c>
      <c r="AV1" s="112" t="s">
        <v>47</v>
      </c>
      <c r="AW1" s="112" t="s">
        <v>48</v>
      </c>
      <c r="AX1" s="112" t="s">
        <v>49</v>
      </c>
      <c r="AY1" s="112" t="s">
        <v>50</v>
      </c>
      <c r="AZ1" s="112" t="s">
        <v>51</v>
      </c>
      <c r="BA1" s="112" t="s">
        <v>52</v>
      </c>
      <c r="BB1" s="112" t="s">
        <v>53</v>
      </c>
      <c r="BC1" s="112" t="s">
        <v>54</v>
      </c>
      <c r="BD1" s="112" t="s">
        <v>55</v>
      </c>
      <c r="BE1" s="112" t="s">
        <v>56</v>
      </c>
      <c r="BF1" s="112" t="s">
        <v>57</v>
      </c>
      <c r="BG1" s="112" t="s">
        <v>58</v>
      </c>
      <c r="BH1" s="112" t="s">
        <v>59</v>
      </c>
      <c r="BI1" s="112" t="s">
        <v>60</v>
      </c>
      <c r="BJ1" s="112" t="s">
        <v>61</v>
      </c>
      <c r="BK1" s="112" t="s">
        <v>62</v>
      </c>
      <c r="BL1" s="112" t="s">
        <v>63</v>
      </c>
      <c r="BM1" s="112" t="s">
        <v>64</v>
      </c>
      <c r="BN1" s="112" t="s">
        <v>65</v>
      </c>
      <c r="BO1" s="112" t="s">
        <v>66</v>
      </c>
      <c r="BP1" s="112" t="s">
        <v>67</v>
      </c>
      <c r="BQ1" s="112" t="s">
        <v>68</v>
      </c>
      <c r="BR1" s="112" t="s">
        <v>69</v>
      </c>
      <c r="BS1" s="112" t="s">
        <v>70</v>
      </c>
      <c r="BT1" s="112" t="s">
        <v>71</v>
      </c>
      <c r="BU1" s="112" t="s">
        <v>72</v>
      </c>
      <c r="BV1" s="112" t="s">
        <v>73</v>
      </c>
      <c r="BW1" s="112" t="s">
        <v>74</v>
      </c>
      <c r="BX1" s="112" t="s">
        <v>75</v>
      </c>
      <c r="BY1" s="112" t="s">
        <v>76</v>
      </c>
      <c r="BZ1" s="112" t="s">
        <v>77</v>
      </c>
      <c r="CA1" s="112" t="s">
        <v>78</v>
      </c>
      <c r="CB1" s="112" t="s">
        <v>79</v>
      </c>
      <c r="CC1" s="112" t="s">
        <v>80</v>
      </c>
      <c r="CD1" s="112" t="s">
        <v>81</v>
      </c>
      <c r="CE1" s="112" t="s">
        <v>82</v>
      </c>
      <c r="CF1" s="112" t="s">
        <v>83</v>
      </c>
    </row>
    <row r="2" spans="1:84" s="113" customFormat="1">
      <c r="A2" s="113" t="s">
        <v>84</v>
      </c>
      <c r="B2" s="113" t="s">
        <v>85</v>
      </c>
      <c r="C2" s="114" t="s">
        <v>86</v>
      </c>
      <c r="D2" s="128" t="s">
        <v>87</v>
      </c>
      <c r="E2" s="127" t="s">
        <v>88</v>
      </c>
      <c r="F2" s="126" t="s">
        <v>89</v>
      </c>
      <c r="G2" s="126" t="s">
        <v>90</v>
      </c>
      <c r="H2" s="123">
        <v>726</v>
      </c>
      <c r="I2" s="309">
        <v>22.94568353</v>
      </c>
      <c r="J2" s="310">
        <v>16379</v>
      </c>
      <c r="K2" s="124">
        <v>2E-3</v>
      </c>
      <c r="L2" s="310">
        <f t="shared" ref="L2:L42" si="0">J2-(J2*K2)</f>
        <v>16346.242</v>
      </c>
      <c r="M2" s="311">
        <f t="shared" ref="M2:M42" si="1">L2/H2</f>
        <v>22.515484848484849</v>
      </c>
      <c r="N2" s="125"/>
      <c r="O2" s="125"/>
      <c r="P2" s="125"/>
      <c r="Q2" s="125">
        <v>5.17</v>
      </c>
      <c r="R2" s="125">
        <v>9.48</v>
      </c>
      <c r="S2" s="154">
        <v>7.96</v>
      </c>
      <c r="T2" s="154">
        <v>6.74</v>
      </c>
      <c r="V2" s="115"/>
      <c r="W2" s="115"/>
      <c r="X2" s="120">
        <v>0.2</v>
      </c>
      <c r="Y2" s="120"/>
      <c r="Z2" s="118">
        <v>0.33</v>
      </c>
      <c r="AA2" s="430">
        <v>46127</v>
      </c>
      <c r="AB2" s="117">
        <f>IFERROR(AVERAGE(AI2:BG2),"")</f>
        <v>133.06666666666666</v>
      </c>
      <c r="AC2" s="117">
        <f t="shared" ref="AC2:AC42" si="2">IFERROR(AB2*X2,"")</f>
        <v>26.613333333333333</v>
      </c>
      <c r="AD2" s="117">
        <f t="shared" ref="AD2:AD78" si="3">IFERROR(((AC2*L2)/2000)/I2,"")</f>
        <v>9.4795168451740022</v>
      </c>
      <c r="AE2" s="117"/>
      <c r="AF2" s="447"/>
      <c r="AH2" s="115" t="s">
        <v>91</v>
      </c>
      <c r="AI2" s="113">
        <v>178</v>
      </c>
      <c r="AJ2" s="113">
        <v>130</v>
      </c>
      <c r="AK2" s="113">
        <v>130</v>
      </c>
      <c r="AL2" s="113">
        <v>148</v>
      </c>
      <c r="AM2" s="113">
        <v>122</v>
      </c>
      <c r="AN2" s="113">
        <v>118</v>
      </c>
      <c r="AO2" s="113">
        <v>146</v>
      </c>
      <c r="AP2" s="113">
        <v>123</v>
      </c>
      <c r="AQ2" s="113">
        <v>132</v>
      </c>
      <c r="AR2" s="113">
        <v>130</v>
      </c>
      <c r="AS2" s="113">
        <v>133</v>
      </c>
      <c r="AT2" s="113">
        <v>128</v>
      </c>
      <c r="AU2" s="113">
        <v>123</v>
      </c>
      <c r="AV2" s="113">
        <v>130</v>
      </c>
      <c r="AW2" s="113">
        <v>125</v>
      </c>
    </row>
    <row r="3" spans="1:84" s="113" customFormat="1">
      <c r="A3" s="113" t="s">
        <v>84</v>
      </c>
      <c r="B3" s="113" t="s">
        <v>85</v>
      </c>
      <c r="C3" s="114" t="s">
        <v>86</v>
      </c>
      <c r="D3" s="128" t="s">
        <v>87</v>
      </c>
      <c r="E3" s="127" t="s">
        <v>88</v>
      </c>
      <c r="F3" s="126" t="s">
        <v>89</v>
      </c>
      <c r="G3" s="126" t="s">
        <v>90</v>
      </c>
      <c r="H3" s="123">
        <v>726</v>
      </c>
      <c r="I3" s="309">
        <v>22.94568353</v>
      </c>
      <c r="J3" s="310">
        <v>16379</v>
      </c>
      <c r="K3" s="124">
        <v>2E-3</v>
      </c>
      <c r="L3" s="310">
        <f t="shared" si="0"/>
        <v>16346.242</v>
      </c>
      <c r="M3" s="311">
        <f t="shared" si="1"/>
        <v>22.515484848484849</v>
      </c>
      <c r="N3" s="125"/>
      <c r="O3" s="125"/>
      <c r="P3" s="125"/>
      <c r="Q3" s="125">
        <v>5.17</v>
      </c>
      <c r="R3" s="125">
        <v>9.48</v>
      </c>
      <c r="S3" s="154">
        <v>7.96</v>
      </c>
      <c r="T3" s="154">
        <v>6.74</v>
      </c>
      <c r="V3" s="115"/>
      <c r="W3" s="115"/>
      <c r="X3" s="120">
        <v>0.2</v>
      </c>
      <c r="Y3" s="120"/>
      <c r="Z3" s="118">
        <v>0.33</v>
      </c>
      <c r="AA3" s="430">
        <v>46139</v>
      </c>
      <c r="AB3" s="117">
        <f t="shared" ref="AB3:AB79" si="4">IFERROR(AVERAGE(AI3:BG3),"")</f>
        <v>112.27272727272727</v>
      </c>
      <c r="AC3" s="117">
        <f t="shared" si="2"/>
        <v>22.454545454545453</v>
      </c>
      <c r="AD3" s="117">
        <f t="shared" si="3"/>
        <v>7.9981804316290948</v>
      </c>
      <c r="AE3" s="117"/>
      <c r="AF3" s="447"/>
      <c r="AH3" s="115" t="s">
        <v>92</v>
      </c>
      <c r="AI3" s="113">
        <v>98</v>
      </c>
      <c r="AJ3" s="113">
        <v>102</v>
      </c>
      <c r="AK3" s="113">
        <v>119</v>
      </c>
      <c r="AL3" s="113">
        <v>122</v>
      </c>
      <c r="AM3" s="113">
        <v>114</v>
      </c>
      <c r="AN3" s="113">
        <v>129</v>
      </c>
      <c r="AO3" s="113">
        <v>131</v>
      </c>
      <c r="AP3" s="113">
        <v>108</v>
      </c>
      <c r="AQ3" s="113">
        <v>101</v>
      </c>
      <c r="AR3" s="113">
        <v>99</v>
      </c>
      <c r="AS3" s="113">
        <v>112</v>
      </c>
    </row>
    <row r="4" spans="1:84" s="113" customFormat="1">
      <c r="A4" s="113" t="s">
        <v>84</v>
      </c>
      <c r="B4" s="113" t="s">
        <v>85</v>
      </c>
      <c r="C4" s="114" t="s">
        <v>86</v>
      </c>
      <c r="D4" s="128" t="s">
        <v>87</v>
      </c>
      <c r="E4" s="127" t="s">
        <v>88</v>
      </c>
      <c r="F4" s="126" t="s">
        <v>89</v>
      </c>
      <c r="G4" s="126" t="s">
        <v>90</v>
      </c>
      <c r="H4" s="123">
        <v>726</v>
      </c>
      <c r="I4" s="309">
        <v>22.94568353</v>
      </c>
      <c r="J4" s="310">
        <v>16379</v>
      </c>
      <c r="K4" s="124">
        <v>2E-3</v>
      </c>
      <c r="L4" s="310">
        <f t="shared" si="0"/>
        <v>16346.242</v>
      </c>
      <c r="M4" s="311">
        <f t="shared" si="1"/>
        <v>22.515484848484849</v>
      </c>
      <c r="N4" s="125"/>
      <c r="O4" s="125"/>
      <c r="P4" s="125"/>
      <c r="Q4" s="125">
        <v>5.17</v>
      </c>
      <c r="R4" s="125">
        <v>9.48</v>
      </c>
      <c r="S4" s="154">
        <v>7.96</v>
      </c>
      <c r="T4" s="154">
        <v>6.74</v>
      </c>
      <c r="V4" s="115"/>
      <c r="W4" s="115"/>
      <c r="X4" s="120">
        <v>0.2</v>
      </c>
      <c r="Y4" s="120"/>
      <c r="Z4" s="118">
        <v>0.33</v>
      </c>
      <c r="AA4" s="430">
        <v>46188</v>
      </c>
      <c r="AB4" s="117">
        <v>108.78</v>
      </c>
      <c r="AC4" s="117">
        <f t="shared" si="2"/>
        <v>21.756</v>
      </c>
      <c r="AD4" s="117">
        <f t="shared" si="3"/>
        <v>7.7493625432216531</v>
      </c>
      <c r="AE4" s="117"/>
      <c r="AF4" s="447"/>
      <c r="AH4" s="115"/>
    </row>
    <row r="5" spans="1:84" s="296" customFormat="1">
      <c r="A5" s="296" t="s">
        <v>84</v>
      </c>
      <c r="B5" s="296" t="s">
        <v>93</v>
      </c>
      <c r="C5" s="298" t="s">
        <v>94</v>
      </c>
      <c r="D5" s="299" t="s">
        <v>87</v>
      </c>
      <c r="E5" s="300" t="s">
        <v>88</v>
      </c>
      <c r="F5" s="316" t="s">
        <v>95</v>
      </c>
      <c r="G5" s="297" t="s">
        <v>96</v>
      </c>
      <c r="H5" s="301">
        <v>726</v>
      </c>
      <c r="I5" s="317">
        <v>15.910719889999999</v>
      </c>
      <c r="J5" s="318">
        <v>11178</v>
      </c>
      <c r="K5" s="237">
        <v>2E-3</v>
      </c>
      <c r="L5" s="318">
        <f t="shared" si="0"/>
        <v>11155.644</v>
      </c>
      <c r="M5" s="319">
        <f t="shared" si="1"/>
        <v>15.365900826446282</v>
      </c>
      <c r="N5" s="302"/>
      <c r="O5" s="302"/>
      <c r="P5" s="302"/>
      <c r="Q5" s="302">
        <v>4.4800000000000004</v>
      </c>
      <c r="R5" s="302">
        <v>8.68</v>
      </c>
      <c r="S5" s="320">
        <v>7.09</v>
      </c>
      <c r="T5" s="320">
        <v>7.65</v>
      </c>
      <c r="V5" s="306"/>
      <c r="W5" s="306"/>
      <c r="X5" s="307">
        <v>0.21</v>
      </c>
      <c r="Y5" s="307"/>
      <c r="Z5" s="304">
        <v>0.33</v>
      </c>
      <c r="AA5" s="431">
        <v>46127</v>
      </c>
      <c r="AB5" s="233">
        <f t="shared" si="4"/>
        <v>126.8</v>
      </c>
      <c r="AC5" s="233">
        <f t="shared" si="2"/>
        <v>26.628</v>
      </c>
      <c r="AD5" s="233">
        <f t="shared" si="3"/>
        <v>9.3349795133625459</v>
      </c>
      <c r="AE5" s="233"/>
      <c r="AF5" s="448"/>
      <c r="AH5" s="306" t="s">
        <v>91</v>
      </c>
      <c r="AI5" s="296">
        <v>137</v>
      </c>
      <c r="AJ5" s="296">
        <v>131</v>
      </c>
      <c r="AK5" s="296">
        <v>119</v>
      </c>
      <c r="AL5" s="296">
        <v>134</v>
      </c>
      <c r="AM5" s="296">
        <v>105</v>
      </c>
      <c r="AN5" s="296">
        <v>116</v>
      </c>
      <c r="AO5" s="296">
        <v>139</v>
      </c>
      <c r="AP5" s="296">
        <v>150</v>
      </c>
      <c r="AQ5" s="296">
        <v>107</v>
      </c>
      <c r="AR5" s="296">
        <v>100</v>
      </c>
      <c r="AS5" s="296">
        <v>133</v>
      </c>
      <c r="AT5" s="296">
        <v>129</v>
      </c>
      <c r="AU5" s="296">
        <v>132</v>
      </c>
      <c r="AV5" s="296">
        <v>140</v>
      </c>
      <c r="AW5" s="296">
        <v>130</v>
      </c>
    </row>
    <row r="6" spans="1:84" s="296" customFormat="1">
      <c r="A6" s="296" t="s">
        <v>84</v>
      </c>
      <c r="B6" s="296" t="s">
        <v>93</v>
      </c>
      <c r="C6" s="298" t="s">
        <v>94</v>
      </c>
      <c r="D6" s="299" t="s">
        <v>87</v>
      </c>
      <c r="E6" s="300" t="s">
        <v>88</v>
      </c>
      <c r="F6" s="316" t="s">
        <v>95</v>
      </c>
      <c r="G6" s="297" t="s">
        <v>96</v>
      </c>
      <c r="H6" s="301">
        <v>726</v>
      </c>
      <c r="I6" s="317">
        <v>15.910719889999999</v>
      </c>
      <c r="J6" s="318">
        <v>11178</v>
      </c>
      <c r="K6" s="237">
        <v>2E-3</v>
      </c>
      <c r="L6" s="318">
        <f t="shared" si="0"/>
        <v>11155.644</v>
      </c>
      <c r="M6" s="319">
        <f t="shared" si="1"/>
        <v>15.365900826446282</v>
      </c>
      <c r="N6" s="302"/>
      <c r="O6" s="302"/>
      <c r="P6" s="302"/>
      <c r="Q6" s="302">
        <v>4.4800000000000004</v>
      </c>
      <c r="R6" s="302">
        <v>8.68</v>
      </c>
      <c r="S6" s="320">
        <v>7.09</v>
      </c>
      <c r="T6" s="320">
        <v>7.65</v>
      </c>
      <c r="V6" s="306"/>
      <c r="W6" s="306"/>
      <c r="X6" s="307">
        <v>0.21</v>
      </c>
      <c r="Y6" s="307"/>
      <c r="Z6" s="304">
        <v>0.33</v>
      </c>
      <c r="AA6" s="431">
        <v>46139</v>
      </c>
      <c r="AB6" s="233">
        <f t="shared" si="4"/>
        <v>134</v>
      </c>
      <c r="AC6" s="233">
        <f t="shared" si="2"/>
        <v>28.14</v>
      </c>
      <c r="AD6" s="233">
        <f t="shared" si="3"/>
        <v>9.8650414415661007</v>
      </c>
      <c r="AE6" s="233"/>
      <c r="AF6" s="448"/>
      <c r="AH6" s="306" t="s">
        <v>92</v>
      </c>
      <c r="AI6" s="296">
        <v>132</v>
      </c>
      <c r="AJ6" s="296">
        <v>141</v>
      </c>
      <c r="AK6" s="296">
        <v>128</v>
      </c>
      <c r="AL6" s="296">
        <v>140</v>
      </c>
      <c r="AM6" s="296">
        <v>136</v>
      </c>
      <c r="AN6" s="296">
        <v>117</v>
      </c>
      <c r="AO6" s="296">
        <v>138</v>
      </c>
      <c r="AP6" s="296">
        <v>140</v>
      </c>
    </row>
    <row r="7" spans="1:84" s="296" customFormat="1">
      <c r="A7" s="296" t="s">
        <v>84</v>
      </c>
      <c r="B7" s="296" t="s">
        <v>93</v>
      </c>
      <c r="C7" s="298" t="s">
        <v>94</v>
      </c>
      <c r="D7" s="299" t="s">
        <v>87</v>
      </c>
      <c r="E7" s="300" t="s">
        <v>88</v>
      </c>
      <c r="F7" s="316" t="s">
        <v>95</v>
      </c>
      <c r="G7" s="297" t="s">
        <v>96</v>
      </c>
      <c r="H7" s="301">
        <v>726</v>
      </c>
      <c r="I7" s="317">
        <v>15.910719889999999</v>
      </c>
      <c r="J7" s="318">
        <v>11178</v>
      </c>
      <c r="K7" s="237">
        <v>2E-3</v>
      </c>
      <c r="L7" s="318">
        <f t="shared" si="0"/>
        <v>11155.644</v>
      </c>
      <c r="M7" s="319">
        <f t="shared" si="1"/>
        <v>15.365900826446282</v>
      </c>
      <c r="N7" s="302"/>
      <c r="O7" s="302"/>
      <c r="P7" s="302"/>
      <c r="Q7" s="302">
        <v>4.4800000000000004</v>
      </c>
      <c r="R7" s="302">
        <v>8.68</v>
      </c>
      <c r="S7" s="320">
        <v>7.09</v>
      </c>
      <c r="T7" s="320">
        <v>7.65</v>
      </c>
      <c r="V7" s="306"/>
      <c r="W7" s="306"/>
      <c r="X7" s="307">
        <v>0.21</v>
      </c>
      <c r="Y7" s="307"/>
      <c r="Z7" s="304">
        <v>0.33</v>
      </c>
      <c r="AA7" s="431">
        <v>46188</v>
      </c>
      <c r="AB7" s="233">
        <v>112</v>
      </c>
      <c r="AC7" s="233">
        <f t="shared" si="2"/>
        <v>23.52</v>
      </c>
      <c r="AD7" s="233">
        <f t="shared" si="3"/>
        <v>8.2454077720552466</v>
      </c>
      <c r="AE7" s="233"/>
      <c r="AF7" s="448"/>
      <c r="AH7" s="306"/>
    </row>
    <row r="8" spans="1:84" s="113" customFormat="1">
      <c r="A8" s="113" t="s">
        <v>84</v>
      </c>
      <c r="B8" s="113" t="s">
        <v>97</v>
      </c>
      <c r="C8" s="114" t="s">
        <v>98</v>
      </c>
      <c r="D8" s="128" t="s">
        <v>87</v>
      </c>
      <c r="E8" s="127" t="s">
        <v>99</v>
      </c>
      <c r="F8" s="126" t="s">
        <v>100</v>
      </c>
      <c r="G8" s="126" t="s">
        <v>96</v>
      </c>
      <c r="H8" s="123">
        <v>691.42857142857144</v>
      </c>
      <c r="I8" s="309">
        <v>19.051903790000001</v>
      </c>
      <c r="J8" s="310">
        <v>13027</v>
      </c>
      <c r="K8" s="124">
        <v>1E-3</v>
      </c>
      <c r="L8" s="310">
        <f t="shared" si="0"/>
        <v>13013.973</v>
      </c>
      <c r="M8" s="311">
        <f t="shared" si="1"/>
        <v>18.821861776859503</v>
      </c>
      <c r="N8" s="118"/>
      <c r="O8" s="118"/>
      <c r="P8" s="118"/>
      <c r="Q8" s="118">
        <v>6.45</v>
      </c>
      <c r="R8" s="118">
        <v>7.27</v>
      </c>
      <c r="S8" s="153">
        <v>6.5</v>
      </c>
      <c r="T8" s="153">
        <v>7.87</v>
      </c>
      <c r="V8" s="115"/>
      <c r="W8" s="115"/>
      <c r="X8" s="120">
        <v>0.35</v>
      </c>
      <c r="Y8" s="120"/>
      <c r="Z8" s="118">
        <v>0.4</v>
      </c>
      <c r="AA8" s="430">
        <v>46115</v>
      </c>
      <c r="AB8" s="117">
        <f>IFERROR(AVERAGE(AI8:BG8),"")</f>
        <v>63.9</v>
      </c>
      <c r="AC8" s="117">
        <f t="shared" si="2"/>
        <v>22.364999999999998</v>
      </c>
      <c r="AD8" s="117">
        <f t="shared" si="3"/>
        <v>7.6385412542806037</v>
      </c>
      <c r="AE8" s="117"/>
      <c r="AF8" s="447"/>
      <c r="AH8" s="115"/>
      <c r="AI8" s="113">
        <v>71</v>
      </c>
      <c r="AJ8" s="113">
        <v>65</v>
      </c>
      <c r="AK8" s="113">
        <v>60</v>
      </c>
      <c r="AL8" s="113">
        <v>60</v>
      </c>
      <c r="AM8" s="113">
        <v>67</v>
      </c>
      <c r="AN8" s="113">
        <v>59</v>
      </c>
      <c r="AO8" s="113">
        <v>78</v>
      </c>
      <c r="AP8" s="113">
        <v>54</v>
      </c>
      <c r="AQ8" s="113">
        <v>77</v>
      </c>
      <c r="AR8" s="113">
        <v>81</v>
      </c>
      <c r="AS8" s="113">
        <v>56</v>
      </c>
      <c r="AT8" s="113">
        <v>70</v>
      </c>
      <c r="AU8" s="113">
        <v>49</v>
      </c>
      <c r="AV8" s="113">
        <v>62</v>
      </c>
      <c r="AW8" s="113">
        <v>67</v>
      </c>
      <c r="AX8" s="113">
        <v>63</v>
      </c>
      <c r="AY8" s="113">
        <v>56</v>
      </c>
      <c r="AZ8" s="113">
        <v>61</v>
      </c>
      <c r="BA8" s="113">
        <v>69</v>
      </c>
      <c r="BB8" s="113">
        <v>53</v>
      </c>
    </row>
    <row r="9" spans="1:84" s="113" customFormat="1">
      <c r="A9" s="113" t="s">
        <v>84</v>
      </c>
      <c r="B9" s="113" t="s">
        <v>97</v>
      </c>
      <c r="C9" s="114" t="s">
        <v>98</v>
      </c>
      <c r="D9" s="128" t="s">
        <v>87</v>
      </c>
      <c r="E9" s="127" t="s">
        <v>99</v>
      </c>
      <c r="F9" s="126" t="s">
        <v>100</v>
      </c>
      <c r="G9" s="126" t="s">
        <v>96</v>
      </c>
      <c r="H9" s="123">
        <v>691.42857142857144</v>
      </c>
      <c r="I9" s="309">
        <v>19.051903790000001</v>
      </c>
      <c r="J9" s="310">
        <v>13027</v>
      </c>
      <c r="K9" s="124">
        <v>1E-3</v>
      </c>
      <c r="L9" s="310">
        <f t="shared" si="0"/>
        <v>13013.973</v>
      </c>
      <c r="M9" s="311">
        <f t="shared" si="1"/>
        <v>18.821861776859503</v>
      </c>
      <c r="N9" s="118"/>
      <c r="O9" s="118"/>
      <c r="P9" s="118"/>
      <c r="Q9" s="118">
        <v>6.45</v>
      </c>
      <c r="R9" s="118">
        <v>7.27</v>
      </c>
      <c r="S9" s="153">
        <v>6.5</v>
      </c>
      <c r="T9" s="153">
        <v>7.87</v>
      </c>
      <c r="U9" s="113" t="s">
        <v>101</v>
      </c>
      <c r="V9" s="115" t="s">
        <v>102</v>
      </c>
      <c r="W9" s="115"/>
      <c r="X9" s="120">
        <v>0.35</v>
      </c>
      <c r="Y9" s="120"/>
      <c r="Z9" s="118">
        <v>0.4</v>
      </c>
      <c r="AA9" s="430">
        <v>46120</v>
      </c>
      <c r="AB9" s="117">
        <f t="shared" si="4"/>
        <v>55.46153846153846</v>
      </c>
      <c r="AC9" s="117">
        <f t="shared" si="2"/>
        <v>19.411538461538459</v>
      </c>
      <c r="AD9" s="117">
        <f t="shared" si="3"/>
        <v>6.6298161121178705</v>
      </c>
      <c r="AE9" s="117"/>
      <c r="AF9" s="447"/>
      <c r="AH9" s="115"/>
      <c r="AI9" s="113">
        <v>61</v>
      </c>
      <c r="AJ9" s="113">
        <v>54</v>
      </c>
      <c r="AK9" s="113">
        <v>61</v>
      </c>
      <c r="AL9" s="113">
        <v>53</v>
      </c>
      <c r="AM9" s="113">
        <v>48</v>
      </c>
      <c r="AN9" s="113">
        <v>52</v>
      </c>
      <c r="AO9" s="113">
        <v>61</v>
      </c>
      <c r="AP9" s="113">
        <v>59</v>
      </c>
      <c r="AQ9" s="113">
        <v>56</v>
      </c>
      <c r="AR9" s="113">
        <v>52</v>
      </c>
      <c r="AS9" s="113">
        <v>55</v>
      </c>
      <c r="AT9" s="113">
        <v>56</v>
      </c>
      <c r="AU9" s="113">
        <v>53</v>
      </c>
    </row>
    <row r="10" spans="1:84" s="113" customFormat="1">
      <c r="A10" s="113" t="s">
        <v>84</v>
      </c>
      <c r="B10" s="113" t="s">
        <v>97</v>
      </c>
      <c r="C10" s="114" t="s">
        <v>98</v>
      </c>
      <c r="D10" s="128" t="s">
        <v>87</v>
      </c>
      <c r="E10" s="127" t="s">
        <v>99</v>
      </c>
      <c r="F10" s="126" t="s">
        <v>100</v>
      </c>
      <c r="G10" s="126" t="s">
        <v>96</v>
      </c>
      <c r="H10" s="123">
        <v>691.42857142857144</v>
      </c>
      <c r="I10" s="309">
        <v>19.051903790000001</v>
      </c>
      <c r="J10" s="310">
        <v>13027</v>
      </c>
      <c r="K10" s="124">
        <v>1E-3</v>
      </c>
      <c r="L10" s="310">
        <f t="shared" si="0"/>
        <v>13013.973</v>
      </c>
      <c r="M10" s="311">
        <f t="shared" si="1"/>
        <v>18.821861776859503</v>
      </c>
      <c r="N10" s="118"/>
      <c r="O10" s="118"/>
      <c r="P10" s="118"/>
      <c r="Q10" s="118">
        <v>6.45</v>
      </c>
      <c r="R10" s="118">
        <v>7.27</v>
      </c>
      <c r="S10" s="153">
        <v>6.5</v>
      </c>
      <c r="T10" s="153">
        <v>7.87</v>
      </c>
      <c r="U10" s="113" t="s">
        <v>101</v>
      </c>
      <c r="V10" s="115" t="s">
        <v>102</v>
      </c>
      <c r="W10" s="115"/>
      <c r="X10" s="120">
        <v>0.35</v>
      </c>
      <c r="Y10" s="120"/>
      <c r="Z10" s="118">
        <v>0.4</v>
      </c>
      <c r="AA10" s="430">
        <v>46121</v>
      </c>
      <c r="AB10" s="117">
        <f t="shared" si="4"/>
        <v>61.45</v>
      </c>
      <c r="AC10" s="117">
        <f t="shared" si="2"/>
        <v>21.5075</v>
      </c>
      <c r="AD10" s="117">
        <f t="shared" si="3"/>
        <v>7.3456707367064649</v>
      </c>
      <c r="AE10" s="117"/>
      <c r="AF10" s="447"/>
      <c r="AH10" s="115"/>
      <c r="AI10" s="113">
        <v>61</v>
      </c>
      <c r="AJ10" s="113">
        <v>64</v>
      </c>
      <c r="AK10" s="113">
        <v>67</v>
      </c>
      <c r="AL10" s="113">
        <v>59</v>
      </c>
      <c r="AM10" s="113">
        <v>53</v>
      </c>
      <c r="AN10" s="113">
        <v>57</v>
      </c>
      <c r="AO10" s="113">
        <v>51</v>
      </c>
      <c r="AP10" s="113">
        <v>61</v>
      </c>
      <c r="AQ10" s="113">
        <v>55</v>
      </c>
      <c r="AR10" s="113">
        <v>56</v>
      </c>
      <c r="AS10" s="113">
        <v>68</v>
      </c>
      <c r="AT10" s="113">
        <v>63</v>
      </c>
      <c r="AU10" s="113">
        <v>59</v>
      </c>
      <c r="AV10" s="113">
        <v>69</v>
      </c>
      <c r="AW10" s="113">
        <v>64</v>
      </c>
      <c r="AX10" s="113">
        <v>65</v>
      </c>
      <c r="AY10" s="113">
        <v>60</v>
      </c>
      <c r="AZ10" s="113">
        <v>59</v>
      </c>
      <c r="BA10" s="113">
        <v>70</v>
      </c>
      <c r="BB10" s="113">
        <v>68</v>
      </c>
    </row>
    <row r="11" spans="1:84" s="113" customFormat="1">
      <c r="A11" s="113" t="s">
        <v>84</v>
      </c>
      <c r="B11" s="113" t="s">
        <v>97</v>
      </c>
      <c r="C11" s="114" t="s">
        <v>98</v>
      </c>
      <c r="D11" s="128" t="s">
        <v>87</v>
      </c>
      <c r="E11" s="127" t="s">
        <v>99</v>
      </c>
      <c r="F11" s="126" t="s">
        <v>100</v>
      </c>
      <c r="G11" s="126" t="s">
        <v>96</v>
      </c>
      <c r="H11" s="123">
        <v>691.42857142857144</v>
      </c>
      <c r="I11" s="309">
        <v>19.051903790000001</v>
      </c>
      <c r="J11" s="310">
        <v>13027</v>
      </c>
      <c r="K11" s="124">
        <v>1E-3</v>
      </c>
      <c r="L11" s="310">
        <f t="shared" ref="L11" si="5">J11-(J11*K11)</f>
        <v>13013.973</v>
      </c>
      <c r="M11" s="311">
        <f t="shared" ref="M11" si="6">L11/H11</f>
        <v>18.821861776859503</v>
      </c>
      <c r="N11" s="118"/>
      <c r="O11" s="118"/>
      <c r="P11" s="118"/>
      <c r="Q11" s="118">
        <v>6.45</v>
      </c>
      <c r="R11" s="118">
        <v>7.27</v>
      </c>
      <c r="S11" s="153">
        <v>6.5</v>
      </c>
      <c r="T11" s="153">
        <v>7.87</v>
      </c>
      <c r="U11" s="113" t="s">
        <v>101</v>
      </c>
      <c r="V11" s="115" t="s">
        <v>103</v>
      </c>
      <c r="W11" s="115"/>
      <c r="X11" s="120">
        <v>0.35</v>
      </c>
      <c r="Y11" s="120"/>
      <c r="Z11" s="118">
        <v>0.4</v>
      </c>
      <c r="AA11" s="430">
        <v>46127</v>
      </c>
      <c r="AB11" s="117">
        <f t="shared" ref="AB11" si="7">IFERROR(AVERAGE(AI11:BG11),"")</f>
        <v>62.357142857142854</v>
      </c>
      <c r="AC11" s="117">
        <f t="shared" ref="AC11" si="8">IFERROR(AB11*X11,"")</f>
        <v>21.824999999999999</v>
      </c>
      <c r="AD11" s="117">
        <f t="shared" ref="AD11" si="9">IFERROR(((AC11*L11)/2000)/I11,"")</f>
        <v>7.4541096747003888</v>
      </c>
      <c r="AE11" s="117"/>
      <c r="AF11" s="447"/>
      <c r="AH11" s="115" t="s">
        <v>91</v>
      </c>
      <c r="AI11" s="113">
        <v>67</v>
      </c>
      <c r="AJ11" s="113">
        <v>61</v>
      </c>
      <c r="AK11" s="113">
        <v>75</v>
      </c>
      <c r="AL11" s="113">
        <v>56</v>
      </c>
      <c r="AM11" s="113">
        <v>60</v>
      </c>
      <c r="AN11" s="113">
        <v>51</v>
      </c>
      <c r="AO11" s="113">
        <v>70</v>
      </c>
      <c r="AP11" s="113">
        <v>64</v>
      </c>
      <c r="AQ11" s="113">
        <v>69</v>
      </c>
      <c r="AR11" s="113">
        <v>54</v>
      </c>
      <c r="AS11" s="113">
        <v>65</v>
      </c>
      <c r="AT11" s="113">
        <v>57</v>
      </c>
      <c r="AU11" s="113">
        <v>59</v>
      </c>
      <c r="AV11" s="113">
        <v>65</v>
      </c>
    </row>
    <row r="12" spans="1:84" s="113" customFormat="1">
      <c r="A12" s="113" t="s">
        <v>84</v>
      </c>
      <c r="B12" s="113" t="s">
        <v>97</v>
      </c>
      <c r="C12" s="114" t="s">
        <v>98</v>
      </c>
      <c r="D12" s="128" t="s">
        <v>87</v>
      </c>
      <c r="E12" s="127" t="s">
        <v>99</v>
      </c>
      <c r="F12" s="126" t="s">
        <v>100</v>
      </c>
      <c r="G12" s="126" t="s">
        <v>96</v>
      </c>
      <c r="H12" s="123">
        <v>691.42857142857144</v>
      </c>
      <c r="I12" s="309">
        <v>19.051903790000001</v>
      </c>
      <c r="J12" s="310">
        <v>13027</v>
      </c>
      <c r="K12" s="124">
        <v>1E-3</v>
      </c>
      <c r="L12" s="310">
        <f t="shared" ref="L12" si="10">J12-(J12*K12)</f>
        <v>13013.973</v>
      </c>
      <c r="M12" s="311">
        <f t="shared" ref="M12" si="11">L12/H12</f>
        <v>18.821861776859503</v>
      </c>
      <c r="N12" s="118"/>
      <c r="O12" s="118"/>
      <c r="P12" s="118"/>
      <c r="Q12" s="118">
        <v>6.45</v>
      </c>
      <c r="R12" s="118">
        <v>7.27</v>
      </c>
      <c r="S12" s="153">
        <v>6.5</v>
      </c>
      <c r="T12" s="153">
        <v>7.87</v>
      </c>
      <c r="U12" s="113" t="s">
        <v>101</v>
      </c>
      <c r="V12" s="115" t="s">
        <v>103</v>
      </c>
      <c r="W12" s="115"/>
      <c r="X12" s="120">
        <v>0.35</v>
      </c>
      <c r="Y12" s="120"/>
      <c r="Z12" s="118">
        <v>0.4</v>
      </c>
      <c r="AA12" s="430">
        <v>46175</v>
      </c>
      <c r="AB12" s="117">
        <f t="shared" ref="AB12" si="12">IFERROR(AVERAGE(AI12:BG12),"")</f>
        <v>60.133333333333333</v>
      </c>
      <c r="AC12" s="117">
        <f t="shared" ref="AC12" si="13">IFERROR(AB12*X12,"")</f>
        <v>21.046666666666667</v>
      </c>
      <c r="AD12" s="117">
        <f t="shared" ref="AD12" si="14">IFERROR(((AC12*L12)/2000)/I12,"")</f>
        <v>7.188277737465941</v>
      </c>
      <c r="AE12" s="117"/>
      <c r="AF12" s="447"/>
      <c r="AH12" s="115" t="s">
        <v>91</v>
      </c>
      <c r="AI12" s="113">
        <v>58</v>
      </c>
      <c r="AJ12" s="113">
        <v>63</v>
      </c>
      <c r="AK12" s="113">
        <v>60</v>
      </c>
      <c r="AL12" s="113">
        <v>57</v>
      </c>
      <c r="AM12" s="113">
        <v>59</v>
      </c>
      <c r="AN12" s="113">
        <v>58</v>
      </c>
      <c r="AO12" s="113">
        <v>62</v>
      </c>
      <c r="AP12" s="113">
        <v>57</v>
      </c>
      <c r="AQ12" s="113">
        <v>59</v>
      </c>
      <c r="AR12" s="113">
        <v>65</v>
      </c>
      <c r="AS12" s="113">
        <v>53</v>
      </c>
      <c r="AT12" s="113">
        <v>59</v>
      </c>
      <c r="AU12" s="113">
        <v>64</v>
      </c>
      <c r="AV12" s="113">
        <v>60</v>
      </c>
      <c r="AW12" s="113">
        <v>68</v>
      </c>
    </row>
    <row r="13" spans="1:84" s="113" customFormat="1">
      <c r="A13" s="113" t="s">
        <v>84</v>
      </c>
      <c r="B13" s="113" t="s">
        <v>97</v>
      </c>
      <c r="C13" s="114" t="s">
        <v>98</v>
      </c>
      <c r="D13" s="128" t="s">
        <v>87</v>
      </c>
      <c r="E13" s="127" t="s">
        <v>99</v>
      </c>
      <c r="F13" s="126" t="s">
        <v>100</v>
      </c>
      <c r="G13" s="126" t="s">
        <v>96</v>
      </c>
      <c r="H13" s="123">
        <v>691.42857142857144</v>
      </c>
      <c r="I13" s="309">
        <v>19.051903790000001</v>
      </c>
      <c r="J13" s="310">
        <v>13027</v>
      </c>
      <c r="K13" s="124">
        <v>1E-3</v>
      </c>
      <c r="L13" s="310">
        <f t="shared" ref="L13" si="15">J13-(J13*K13)</f>
        <v>13013.973</v>
      </c>
      <c r="M13" s="311">
        <f t="shared" ref="M13" si="16">L13/H13</f>
        <v>18.821861776859503</v>
      </c>
      <c r="N13" s="118"/>
      <c r="O13" s="118"/>
      <c r="P13" s="118"/>
      <c r="Q13" s="118">
        <v>6.45</v>
      </c>
      <c r="R13" s="118">
        <v>7.27</v>
      </c>
      <c r="S13" s="153">
        <v>6.5</v>
      </c>
      <c r="T13" s="153">
        <v>7.87</v>
      </c>
      <c r="U13" s="113" t="s">
        <v>101</v>
      </c>
      <c r="V13" s="115" t="s">
        <v>103</v>
      </c>
      <c r="W13" s="115"/>
      <c r="X13" s="120">
        <v>0.35</v>
      </c>
      <c r="Y13" s="120"/>
      <c r="Z13" s="118">
        <v>0.4</v>
      </c>
      <c r="AA13" s="430">
        <v>46187</v>
      </c>
      <c r="AB13" s="117">
        <f t="shared" ref="AB13" si="17">IFERROR(AVERAGE(AI13:BG13),"")</f>
        <v>57.2</v>
      </c>
      <c r="AC13" s="117">
        <f t="shared" ref="AC13" si="18">IFERROR(AB13*X13,"")</f>
        <v>20.02</v>
      </c>
      <c r="AD13" s="117">
        <f t="shared" ref="AD13" si="19">IFERROR(((AC13*L13)/2000)/I13,"")</f>
        <v>6.8376300429554071</v>
      </c>
      <c r="AE13" s="117"/>
      <c r="AF13" s="447"/>
      <c r="AH13" s="115" t="s">
        <v>91</v>
      </c>
      <c r="AI13" s="113">
        <v>56</v>
      </c>
      <c r="AJ13" s="113">
        <v>60</v>
      </c>
      <c r="AK13" s="113">
        <v>42</v>
      </c>
      <c r="AL13" s="113">
        <v>47</v>
      </c>
      <c r="AM13" s="113">
        <v>60</v>
      </c>
      <c r="AN13" s="113">
        <v>71</v>
      </c>
      <c r="AO13" s="113">
        <v>57</v>
      </c>
      <c r="AP13" s="113">
        <v>52</v>
      </c>
      <c r="AQ13" s="113">
        <v>56</v>
      </c>
      <c r="AR13" s="113">
        <v>55</v>
      </c>
      <c r="AS13" s="113">
        <v>58</v>
      </c>
      <c r="AT13" s="113">
        <v>61</v>
      </c>
      <c r="AU13" s="113">
        <v>55</v>
      </c>
      <c r="AV13" s="113">
        <v>68</v>
      </c>
      <c r="AW13" s="113">
        <v>60</v>
      </c>
    </row>
    <row r="14" spans="1:84" s="296" customFormat="1">
      <c r="A14" s="296" t="s">
        <v>84</v>
      </c>
      <c r="B14" s="296" t="s">
        <v>104</v>
      </c>
      <c r="C14" s="298" t="s">
        <v>105</v>
      </c>
      <c r="D14" s="299" t="s">
        <v>87</v>
      </c>
      <c r="E14" s="300" t="s">
        <v>88</v>
      </c>
      <c r="F14" s="297">
        <v>337</v>
      </c>
      <c r="G14" s="297" t="s">
        <v>96</v>
      </c>
      <c r="H14" s="301">
        <v>691.42857142857144</v>
      </c>
      <c r="I14" s="317">
        <v>26.525628619999999</v>
      </c>
      <c r="J14" s="318">
        <v>18124</v>
      </c>
      <c r="K14" s="237">
        <v>2.5000000000000001E-3</v>
      </c>
      <c r="L14" s="318">
        <f t="shared" si="0"/>
        <v>18078.689999999999</v>
      </c>
      <c r="M14" s="319">
        <f t="shared" si="1"/>
        <v>26.146865702479335</v>
      </c>
      <c r="N14" s="302"/>
      <c r="O14" s="302"/>
      <c r="P14" s="302"/>
      <c r="Q14" s="302">
        <v>4.59</v>
      </c>
      <c r="R14" s="302">
        <v>9.11</v>
      </c>
      <c r="S14" s="320">
        <v>5.1100000000000003</v>
      </c>
      <c r="T14" s="320">
        <v>6.55</v>
      </c>
      <c r="U14" s="296" t="s">
        <v>106</v>
      </c>
      <c r="V14" s="306"/>
      <c r="W14" s="306"/>
      <c r="X14" s="307">
        <v>0.31</v>
      </c>
      <c r="Y14" s="307"/>
      <c r="Z14" s="304">
        <v>0.33</v>
      </c>
      <c r="AA14" s="431">
        <v>46140</v>
      </c>
      <c r="AB14" s="233">
        <f t="shared" si="4"/>
        <v>74.5</v>
      </c>
      <c r="AC14" s="233">
        <f t="shared" si="2"/>
        <v>23.094999999999999</v>
      </c>
      <c r="AD14" s="233">
        <f t="shared" si="3"/>
        <v>7.8702629734322196</v>
      </c>
      <c r="AE14" s="233"/>
      <c r="AF14" s="448"/>
      <c r="AH14" s="306" t="s">
        <v>92</v>
      </c>
      <c r="AI14" s="296">
        <v>67</v>
      </c>
      <c r="AJ14" s="296">
        <v>72</v>
      </c>
      <c r="AK14" s="296">
        <v>64</v>
      </c>
      <c r="AL14" s="296">
        <v>73</v>
      </c>
      <c r="AM14" s="296">
        <v>79</v>
      </c>
      <c r="AN14" s="296">
        <v>84</v>
      </c>
      <c r="AO14" s="296">
        <v>70</v>
      </c>
      <c r="AP14" s="296">
        <v>82</v>
      </c>
      <c r="AQ14" s="296">
        <v>67</v>
      </c>
      <c r="AR14" s="296">
        <v>79</v>
      </c>
      <c r="AS14" s="296">
        <v>77</v>
      </c>
      <c r="AT14" s="296">
        <v>80</v>
      </c>
    </row>
    <row r="15" spans="1:84" s="296" customFormat="1">
      <c r="A15" s="296" t="s">
        <v>84</v>
      </c>
      <c r="B15" s="296" t="s">
        <v>104</v>
      </c>
      <c r="C15" s="298" t="s">
        <v>105</v>
      </c>
      <c r="D15" s="299" t="s">
        <v>87</v>
      </c>
      <c r="E15" s="300" t="s">
        <v>88</v>
      </c>
      <c r="F15" s="297">
        <v>337</v>
      </c>
      <c r="G15" s="297" t="s">
        <v>96</v>
      </c>
      <c r="H15" s="301">
        <v>691.42857142857144</v>
      </c>
      <c r="I15" s="317">
        <v>26.525628619999999</v>
      </c>
      <c r="J15" s="318">
        <v>18124</v>
      </c>
      <c r="K15" s="237">
        <v>2.5000000000000001E-3</v>
      </c>
      <c r="L15" s="318">
        <f t="shared" si="0"/>
        <v>18078.689999999999</v>
      </c>
      <c r="M15" s="319">
        <f t="shared" si="1"/>
        <v>26.146865702479335</v>
      </c>
      <c r="N15" s="302"/>
      <c r="O15" s="302"/>
      <c r="P15" s="302"/>
      <c r="Q15" s="302">
        <v>4.59</v>
      </c>
      <c r="R15" s="302">
        <v>9.11</v>
      </c>
      <c r="S15" s="320">
        <v>5.1100000000000003</v>
      </c>
      <c r="T15" s="320">
        <v>6.55</v>
      </c>
      <c r="V15" s="306"/>
      <c r="W15" s="306"/>
      <c r="X15" s="307">
        <v>0.31</v>
      </c>
      <c r="Y15" s="307"/>
      <c r="Z15" s="304">
        <v>0.33</v>
      </c>
      <c r="AA15" s="431">
        <v>46156</v>
      </c>
      <c r="AB15" s="233">
        <f t="shared" si="4"/>
        <v>77.733333333333334</v>
      </c>
      <c r="AC15" s="233">
        <f t="shared" si="2"/>
        <v>24.097333333333335</v>
      </c>
      <c r="AD15" s="233">
        <f t="shared" si="3"/>
        <v>8.2118359078496361</v>
      </c>
      <c r="AE15" s="233"/>
      <c r="AF15" s="448"/>
      <c r="AH15" s="306" t="s">
        <v>91</v>
      </c>
      <c r="AI15" s="296">
        <v>76</v>
      </c>
      <c r="AJ15" s="296">
        <v>65</v>
      </c>
      <c r="AK15" s="296">
        <v>66</v>
      </c>
      <c r="AL15" s="296">
        <v>74</v>
      </c>
      <c r="AM15" s="296">
        <v>71</v>
      </c>
      <c r="AN15" s="296">
        <v>81</v>
      </c>
      <c r="AO15" s="296">
        <v>92</v>
      </c>
      <c r="AP15" s="296">
        <v>71</v>
      </c>
      <c r="AQ15" s="296">
        <v>61</v>
      </c>
      <c r="AR15" s="296">
        <v>74</v>
      </c>
      <c r="AS15" s="296">
        <v>70</v>
      </c>
      <c r="AT15" s="296">
        <v>85</v>
      </c>
      <c r="AU15" s="296">
        <v>89</v>
      </c>
      <c r="AV15" s="296">
        <v>109</v>
      </c>
      <c r="AW15" s="296">
        <v>82</v>
      </c>
    </row>
    <row r="16" spans="1:84" s="296" customFormat="1">
      <c r="A16" s="296" t="s">
        <v>84</v>
      </c>
      <c r="B16" s="296" t="s">
        <v>104</v>
      </c>
      <c r="C16" s="298" t="s">
        <v>105</v>
      </c>
      <c r="D16" s="299" t="s">
        <v>87</v>
      </c>
      <c r="E16" s="300" t="s">
        <v>88</v>
      </c>
      <c r="F16" s="297">
        <v>337</v>
      </c>
      <c r="G16" s="297" t="s">
        <v>96</v>
      </c>
      <c r="H16" s="301">
        <v>691.42857142857144</v>
      </c>
      <c r="I16" s="317">
        <v>26.525628619999999</v>
      </c>
      <c r="J16" s="318">
        <v>18124</v>
      </c>
      <c r="K16" s="237">
        <v>2.5000000000000001E-3</v>
      </c>
      <c r="L16" s="318">
        <f t="shared" si="0"/>
        <v>18078.689999999999</v>
      </c>
      <c r="M16" s="319">
        <f t="shared" si="1"/>
        <v>26.146865702479335</v>
      </c>
      <c r="N16" s="302"/>
      <c r="O16" s="302"/>
      <c r="P16" s="302"/>
      <c r="Q16" s="302">
        <v>4.59</v>
      </c>
      <c r="R16" s="302">
        <v>9.11</v>
      </c>
      <c r="S16" s="320">
        <v>5.1100000000000003</v>
      </c>
      <c r="T16" s="320">
        <v>6.55</v>
      </c>
      <c r="V16" s="306"/>
      <c r="W16" s="306"/>
      <c r="X16" s="307">
        <v>0.31</v>
      </c>
      <c r="Y16" s="307"/>
      <c r="Z16" s="304">
        <v>0.33</v>
      </c>
      <c r="AA16" s="431">
        <v>46204</v>
      </c>
      <c r="AB16" s="233">
        <f t="shared" si="4"/>
        <v>66.8</v>
      </c>
      <c r="AC16" s="233">
        <f t="shared" si="2"/>
        <v>20.707999999999998</v>
      </c>
      <c r="AD16" s="233">
        <f t="shared" si="3"/>
        <v>7.0568263976546604</v>
      </c>
      <c r="AE16" s="233"/>
      <c r="AF16" s="448"/>
      <c r="AH16" s="306"/>
      <c r="AI16" s="296">
        <v>59</v>
      </c>
      <c r="AJ16" s="296">
        <v>67</v>
      </c>
      <c r="AK16" s="296">
        <v>70</v>
      </c>
      <c r="AL16" s="296">
        <v>65</v>
      </c>
      <c r="AM16" s="296">
        <v>72</v>
      </c>
      <c r="AN16" s="296">
        <v>69</v>
      </c>
      <c r="AO16" s="296">
        <v>70</v>
      </c>
      <c r="AP16" s="296">
        <v>70</v>
      </c>
      <c r="AQ16" s="296">
        <v>75</v>
      </c>
      <c r="AR16" s="296">
        <v>69</v>
      </c>
      <c r="AS16" s="296">
        <v>63</v>
      </c>
      <c r="AT16" s="296">
        <v>65</v>
      </c>
      <c r="AU16" s="296">
        <v>65</v>
      </c>
      <c r="AV16" s="296">
        <v>63</v>
      </c>
      <c r="AW16" s="296">
        <v>60</v>
      </c>
    </row>
    <row r="17" spans="1:54" s="113" customFormat="1">
      <c r="A17" s="113" t="s">
        <v>84</v>
      </c>
      <c r="B17" s="113" t="s">
        <v>107</v>
      </c>
      <c r="C17" s="114" t="s">
        <v>108</v>
      </c>
      <c r="D17" s="128" t="s">
        <v>87</v>
      </c>
      <c r="E17" s="127" t="s">
        <v>88</v>
      </c>
      <c r="F17" s="126">
        <v>7</v>
      </c>
      <c r="G17" s="126" t="s">
        <v>90</v>
      </c>
      <c r="H17" s="123">
        <v>691.42857142857144</v>
      </c>
      <c r="I17" s="309">
        <v>20.232599889999999</v>
      </c>
      <c r="J17" s="310">
        <v>13746</v>
      </c>
      <c r="K17" s="124">
        <v>2.5000000000000001E-3</v>
      </c>
      <c r="L17" s="310">
        <f t="shared" si="0"/>
        <v>13711.635</v>
      </c>
      <c r="M17" s="311">
        <f t="shared" si="1"/>
        <v>19.830877066115701</v>
      </c>
      <c r="N17" s="125"/>
      <c r="O17" s="125"/>
      <c r="P17" s="125"/>
      <c r="Q17" s="125">
        <v>4.16</v>
      </c>
      <c r="R17" s="125">
        <v>8.6999999999999993</v>
      </c>
      <c r="S17" s="154">
        <v>5.91</v>
      </c>
      <c r="T17" s="154">
        <v>6.86</v>
      </c>
      <c r="V17" s="115"/>
      <c r="W17" s="115"/>
      <c r="X17" s="120">
        <v>0.31</v>
      </c>
      <c r="Y17" s="120"/>
      <c r="Z17" s="118">
        <v>0.33</v>
      </c>
      <c r="AA17" s="430">
        <v>46140</v>
      </c>
      <c r="AB17" s="117">
        <f t="shared" si="4"/>
        <v>78.75</v>
      </c>
      <c r="AC17" s="117">
        <f t="shared" si="2"/>
        <v>24.412500000000001</v>
      </c>
      <c r="AD17" s="117">
        <f t="shared" si="3"/>
        <v>8.2721768645003344</v>
      </c>
      <c r="AE17" s="117"/>
      <c r="AF17" s="447"/>
      <c r="AH17" s="115" t="s">
        <v>92</v>
      </c>
      <c r="AI17" s="113">
        <v>78</v>
      </c>
      <c r="AJ17" s="113">
        <v>71</v>
      </c>
      <c r="AK17" s="113">
        <v>83</v>
      </c>
      <c r="AL17" s="113">
        <v>75</v>
      </c>
      <c r="AM17" s="113">
        <v>78</v>
      </c>
      <c r="AN17" s="113">
        <v>90</v>
      </c>
      <c r="AO17" s="113">
        <v>83</v>
      </c>
      <c r="AP17" s="113">
        <v>71</v>
      </c>
      <c r="AQ17" s="113">
        <v>78</v>
      </c>
      <c r="AR17" s="113">
        <v>89</v>
      </c>
      <c r="AS17" s="113">
        <v>72</v>
      </c>
      <c r="AT17" s="113">
        <v>77</v>
      </c>
    </row>
    <row r="18" spans="1:54" s="113" customFormat="1">
      <c r="A18" s="113" t="s">
        <v>84</v>
      </c>
      <c r="B18" s="113" t="s">
        <v>107</v>
      </c>
      <c r="C18" s="114" t="s">
        <v>108</v>
      </c>
      <c r="D18" s="128" t="s">
        <v>87</v>
      </c>
      <c r="E18" s="127" t="s">
        <v>88</v>
      </c>
      <c r="F18" s="126">
        <v>7</v>
      </c>
      <c r="G18" s="126" t="s">
        <v>90</v>
      </c>
      <c r="H18" s="123">
        <v>691.42857142857144</v>
      </c>
      <c r="I18" s="309">
        <v>20.232599889999999</v>
      </c>
      <c r="J18" s="310">
        <v>13746</v>
      </c>
      <c r="K18" s="124">
        <v>2.5000000000000001E-3</v>
      </c>
      <c r="L18" s="310">
        <f t="shared" si="0"/>
        <v>13711.635</v>
      </c>
      <c r="M18" s="311">
        <f t="shared" si="1"/>
        <v>19.830877066115701</v>
      </c>
      <c r="N18" s="125"/>
      <c r="O18" s="125"/>
      <c r="P18" s="125"/>
      <c r="Q18" s="125">
        <v>4.16</v>
      </c>
      <c r="R18" s="125">
        <v>8.6999999999999993</v>
      </c>
      <c r="S18" s="154">
        <v>5.91</v>
      </c>
      <c r="T18" s="154">
        <v>6.86</v>
      </c>
      <c r="V18" s="115"/>
      <c r="W18" s="115"/>
      <c r="X18" s="120">
        <v>0.31</v>
      </c>
      <c r="Y18" s="120"/>
      <c r="Z18" s="118">
        <v>0.33</v>
      </c>
      <c r="AA18" s="430">
        <v>46204</v>
      </c>
      <c r="AB18" s="117">
        <f t="shared" si="4"/>
        <v>61.533333333333331</v>
      </c>
      <c r="AC18" s="117">
        <f t="shared" si="2"/>
        <v>19.075333333333333</v>
      </c>
      <c r="AD18" s="117">
        <f t="shared" si="3"/>
        <v>6.4636776685153929</v>
      </c>
      <c r="AE18" s="117"/>
      <c r="AF18" s="447"/>
      <c r="AH18" s="115"/>
      <c r="AI18" s="113">
        <v>61</v>
      </c>
      <c r="AJ18" s="113">
        <v>60</v>
      </c>
      <c r="AK18" s="113">
        <v>58</v>
      </c>
      <c r="AL18" s="113">
        <v>68</v>
      </c>
      <c r="AM18" s="113">
        <v>71</v>
      </c>
      <c r="AN18" s="113">
        <v>60</v>
      </c>
      <c r="AO18" s="113">
        <v>55</v>
      </c>
      <c r="AP18" s="113">
        <v>54</v>
      </c>
      <c r="AQ18" s="113">
        <v>59</v>
      </c>
      <c r="AR18" s="113">
        <v>61</v>
      </c>
      <c r="AS18" s="113">
        <v>63</v>
      </c>
      <c r="AT18" s="113">
        <v>55</v>
      </c>
      <c r="AU18" s="113">
        <v>66</v>
      </c>
      <c r="AV18" s="113">
        <v>60</v>
      </c>
      <c r="AW18" s="113">
        <v>72</v>
      </c>
    </row>
    <row r="19" spans="1:54" s="113" customFormat="1">
      <c r="A19" s="113" t="s">
        <v>84</v>
      </c>
      <c r="B19" s="113" t="s">
        <v>107</v>
      </c>
      <c r="C19" s="114" t="s">
        <v>108</v>
      </c>
      <c r="D19" s="128" t="s">
        <v>87</v>
      </c>
      <c r="E19" s="127" t="s">
        <v>88</v>
      </c>
      <c r="F19" s="126">
        <v>7</v>
      </c>
      <c r="G19" s="126" t="s">
        <v>90</v>
      </c>
      <c r="H19" s="123">
        <v>691.42857142857144</v>
      </c>
      <c r="I19" s="309">
        <v>20.232599889999999</v>
      </c>
      <c r="J19" s="310">
        <v>13746</v>
      </c>
      <c r="K19" s="124">
        <v>2.5000000000000001E-3</v>
      </c>
      <c r="L19" s="310">
        <f t="shared" si="0"/>
        <v>13711.635</v>
      </c>
      <c r="M19" s="311">
        <f t="shared" si="1"/>
        <v>19.830877066115701</v>
      </c>
      <c r="N19" s="125"/>
      <c r="O19" s="125"/>
      <c r="P19" s="125"/>
      <c r="Q19" s="125">
        <v>4.16</v>
      </c>
      <c r="R19" s="125">
        <v>8.6999999999999993</v>
      </c>
      <c r="S19" s="154">
        <v>5.91</v>
      </c>
      <c r="T19" s="154">
        <v>6.86</v>
      </c>
      <c r="V19" s="115"/>
      <c r="W19" s="115"/>
      <c r="X19" s="120">
        <v>0.31</v>
      </c>
      <c r="Y19" s="120"/>
      <c r="Z19" s="118">
        <v>0.33</v>
      </c>
      <c r="AA19" s="430"/>
      <c r="AB19" s="117" t="str">
        <f t="shared" si="4"/>
        <v/>
      </c>
      <c r="AC19" s="117" t="str">
        <f t="shared" si="2"/>
        <v/>
      </c>
      <c r="AD19" s="117" t="str">
        <f t="shared" si="3"/>
        <v/>
      </c>
      <c r="AE19" s="117"/>
      <c r="AF19" s="447"/>
      <c r="AH19" s="115"/>
    </row>
    <row r="20" spans="1:54" s="113" customFormat="1">
      <c r="A20" s="113" t="s">
        <v>84</v>
      </c>
      <c r="B20" s="113" t="s">
        <v>107</v>
      </c>
      <c r="C20" s="114" t="s">
        <v>108</v>
      </c>
      <c r="D20" s="128" t="s">
        <v>87</v>
      </c>
      <c r="E20" s="127" t="s">
        <v>88</v>
      </c>
      <c r="F20" s="126">
        <v>7</v>
      </c>
      <c r="G20" s="126" t="s">
        <v>90</v>
      </c>
      <c r="H20" s="123">
        <v>691.42857142857144</v>
      </c>
      <c r="I20" s="309">
        <v>20.232599889999999</v>
      </c>
      <c r="J20" s="310">
        <v>13746</v>
      </c>
      <c r="K20" s="124">
        <v>2.5000000000000001E-3</v>
      </c>
      <c r="L20" s="310">
        <f t="shared" si="0"/>
        <v>13711.635</v>
      </c>
      <c r="M20" s="311">
        <f t="shared" si="1"/>
        <v>19.830877066115701</v>
      </c>
      <c r="N20" s="125"/>
      <c r="O20" s="125"/>
      <c r="P20" s="125"/>
      <c r="Q20" s="125">
        <v>4.16</v>
      </c>
      <c r="R20" s="125">
        <v>8.6999999999999993</v>
      </c>
      <c r="S20" s="154">
        <v>5.91</v>
      </c>
      <c r="T20" s="154">
        <v>6.86</v>
      </c>
      <c r="V20" s="115"/>
      <c r="W20" s="115"/>
      <c r="X20" s="120">
        <v>0.31</v>
      </c>
      <c r="Y20" s="120"/>
      <c r="Z20" s="118">
        <v>0.33</v>
      </c>
      <c r="AA20" s="430"/>
      <c r="AB20" s="117" t="str">
        <f t="shared" si="4"/>
        <v/>
      </c>
      <c r="AC20" s="117" t="str">
        <f t="shared" si="2"/>
        <v/>
      </c>
      <c r="AD20" s="117" t="str">
        <f t="shared" si="3"/>
        <v/>
      </c>
      <c r="AE20" s="117"/>
      <c r="AF20" s="447"/>
      <c r="AH20" s="115"/>
    </row>
    <row r="21" spans="1:54" s="296" customFormat="1">
      <c r="A21" s="296" t="s">
        <v>84</v>
      </c>
      <c r="B21" s="296" t="s">
        <v>109</v>
      </c>
      <c r="C21" s="298" t="s">
        <v>110</v>
      </c>
      <c r="D21" s="299" t="s">
        <v>111</v>
      </c>
      <c r="E21" s="300" t="s">
        <v>88</v>
      </c>
      <c r="F21" s="297">
        <v>181</v>
      </c>
      <c r="G21" s="297" t="s">
        <v>96</v>
      </c>
      <c r="H21" s="301">
        <v>691.42857142857144</v>
      </c>
      <c r="I21" s="321">
        <v>24.5</v>
      </c>
      <c r="J21" s="318">
        <v>15567</v>
      </c>
      <c r="K21" s="237">
        <v>2.5000000000000001E-3</v>
      </c>
      <c r="L21" s="318">
        <f t="shared" si="0"/>
        <v>15528.0825</v>
      </c>
      <c r="M21" s="319">
        <f t="shared" si="1"/>
        <v>22.45797055785124</v>
      </c>
      <c r="N21" s="302"/>
      <c r="O21" s="302"/>
      <c r="P21" s="302"/>
      <c r="Q21" s="302"/>
      <c r="R21" s="302">
        <v>1.8</v>
      </c>
      <c r="S21" s="320">
        <v>6.51</v>
      </c>
      <c r="T21" s="320">
        <v>5.98</v>
      </c>
      <c r="V21" s="306"/>
      <c r="W21" s="306"/>
      <c r="X21" s="307">
        <v>0.32</v>
      </c>
      <c r="Y21" s="307"/>
      <c r="Z21" s="304">
        <v>0.33</v>
      </c>
      <c r="AA21" s="431">
        <v>46169</v>
      </c>
      <c r="AB21" s="233">
        <f t="shared" si="4"/>
        <v>74.125</v>
      </c>
      <c r="AC21" s="233">
        <f t="shared" si="2"/>
        <v>23.72</v>
      </c>
      <c r="AD21" s="233">
        <f t="shared" si="3"/>
        <v>7.5168595285714286</v>
      </c>
      <c r="AE21" s="233"/>
      <c r="AF21" s="448"/>
      <c r="AH21" s="306"/>
      <c r="AI21" s="296">
        <v>72</v>
      </c>
      <c r="AJ21" s="296">
        <v>78</v>
      </c>
      <c r="AK21" s="296">
        <v>66</v>
      </c>
      <c r="AL21" s="296">
        <v>53</v>
      </c>
      <c r="AM21" s="296">
        <v>65</v>
      </c>
      <c r="AN21" s="296">
        <v>78</v>
      </c>
      <c r="AO21" s="296">
        <v>94</v>
      </c>
      <c r="AP21" s="296">
        <v>87</v>
      </c>
    </row>
    <row r="22" spans="1:54" s="296" customFormat="1">
      <c r="A22" s="296" t="s">
        <v>84</v>
      </c>
      <c r="B22" s="296" t="s">
        <v>109</v>
      </c>
      <c r="C22" s="298" t="s">
        <v>110</v>
      </c>
      <c r="D22" s="299" t="s">
        <v>111</v>
      </c>
      <c r="E22" s="300" t="s">
        <v>88</v>
      </c>
      <c r="F22" s="297">
        <v>181</v>
      </c>
      <c r="G22" s="297" t="s">
        <v>96</v>
      </c>
      <c r="H22" s="301">
        <v>691.42857142857144</v>
      </c>
      <c r="I22" s="321">
        <v>24.5</v>
      </c>
      <c r="J22" s="318">
        <v>15567</v>
      </c>
      <c r="K22" s="237">
        <v>2.5000000000000001E-3</v>
      </c>
      <c r="L22" s="318">
        <f t="shared" si="0"/>
        <v>15528.0825</v>
      </c>
      <c r="M22" s="319">
        <f t="shared" si="1"/>
        <v>22.45797055785124</v>
      </c>
      <c r="N22" s="302"/>
      <c r="O22" s="302"/>
      <c r="P22" s="302"/>
      <c r="Q22" s="302"/>
      <c r="R22" s="302">
        <v>1.8</v>
      </c>
      <c r="S22" s="320">
        <v>6.51</v>
      </c>
      <c r="T22" s="320">
        <v>5.98</v>
      </c>
      <c r="V22" s="306"/>
      <c r="W22" s="306"/>
      <c r="X22" s="307">
        <v>0.32</v>
      </c>
      <c r="Y22" s="307"/>
      <c r="Z22" s="304">
        <v>0.33</v>
      </c>
      <c r="AA22" s="431">
        <v>46204</v>
      </c>
      <c r="AB22" s="233">
        <v>53.29</v>
      </c>
      <c r="AC22" s="233">
        <v>21.2</v>
      </c>
      <c r="AD22" s="233">
        <f>IFERROR(((AC22*L22)/2000)/I22,"")</f>
        <v>6.7182724285714279</v>
      </c>
      <c r="AE22" s="233"/>
      <c r="AF22" s="448"/>
      <c r="AH22" s="306"/>
      <c r="AI22" s="296">
        <v>46</v>
      </c>
      <c r="AJ22" s="296">
        <v>40</v>
      </c>
      <c r="AK22" s="296">
        <v>35</v>
      </c>
      <c r="AL22" s="296">
        <v>50</v>
      </c>
      <c r="AM22" s="296">
        <v>40</v>
      </c>
      <c r="AN22" s="296">
        <v>47</v>
      </c>
      <c r="AO22" s="296">
        <v>49</v>
      </c>
      <c r="AP22" s="296">
        <v>43</v>
      </c>
      <c r="AQ22" s="296">
        <v>58</v>
      </c>
      <c r="AR22" s="296">
        <v>47</v>
      </c>
      <c r="AS22" s="296">
        <v>35</v>
      </c>
      <c r="AT22" s="296">
        <v>49</v>
      </c>
      <c r="AU22" s="296">
        <v>49</v>
      </c>
      <c r="AV22" s="296">
        <v>40</v>
      </c>
      <c r="AW22" s="296">
        <v>46</v>
      </c>
    </row>
    <row r="23" spans="1:54" s="113" customFormat="1">
      <c r="A23" s="113" t="s">
        <v>84</v>
      </c>
      <c r="B23" s="113" t="s">
        <v>112</v>
      </c>
      <c r="C23" s="114" t="s">
        <v>113</v>
      </c>
      <c r="D23" s="128" t="s">
        <v>111</v>
      </c>
      <c r="E23" s="127" t="s">
        <v>114</v>
      </c>
      <c r="F23" s="126">
        <v>181</v>
      </c>
      <c r="G23" s="126" t="s">
        <v>96</v>
      </c>
      <c r="H23" s="123">
        <v>691.42857142857144</v>
      </c>
      <c r="I23" s="312">
        <v>37.6</v>
      </c>
      <c r="J23" s="310">
        <v>25345</v>
      </c>
      <c r="K23" s="124">
        <v>1E-3</v>
      </c>
      <c r="L23" s="310">
        <f t="shared" si="0"/>
        <v>25319.654999999999</v>
      </c>
      <c r="M23" s="311">
        <f t="shared" si="1"/>
        <v>36.619335743801649</v>
      </c>
      <c r="N23" s="118"/>
      <c r="O23" s="118"/>
      <c r="P23" s="118"/>
      <c r="Q23" s="118"/>
      <c r="R23" s="118">
        <v>4.13</v>
      </c>
      <c r="S23" s="153">
        <v>6.66</v>
      </c>
      <c r="T23" s="153">
        <v>5.08</v>
      </c>
      <c r="U23" s="113" t="s">
        <v>115</v>
      </c>
      <c r="V23" s="115"/>
      <c r="W23" s="115"/>
      <c r="X23" s="120">
        <v>0.3</v>
      </c>
      <c r="Y23" s="120"/>
      <c r="Z23" s="118">
        <v>0.38</v>
      </c>
      <c r="AA23" s="430">
        <v>46106</v>
      </c>
      <c r="AB23" s="117">
        <f t="shared" si="4"/>
        <v>72.384615384615387</v>
      </c>
      <c r="AC23" s="117">
        <f t="shared" si="2"/>
        <v>21.715384615384615</v>
      </c>
      <c r="AD23" s="117">
        <f t="shared" si="3"/>
        <v>7.3115165778436984</v>
      </c>
      <c r="AE23" s="117"/>
      <c r="AF23" s="447"/>
      <c r="AH23" s="115" t="s">
        <v>92</v>
      </c>
      <c r="AI23" s="113">
        <v>68</v>
      </c>
      <c r="AJ23" s="113">
        <v>65</v>
      </c>
      <c r="AK23" s="113">
        <v>67</v>
      </c>
      <c r="AL23" s="113">
        <v>68</v>
      </c>
      <c r="AM23" s="113">
        <v>78</v>
      </c>
      <c r="AN23" s="113">
        <v>70</v>
      </c>
      <c r="AO23" s="113">
        <v>65</v>
      </c>
      <c r="AP23" s="113">
        <v>66</v>
      </c>
      <c r="AQ23" s="113">
        <v>81</v>
      </c>
      <c r="AR23" s="113">
        <v>75</v>
      </c>
      <c r="AS23" s="113">
        <v>80</v>
      </c>
      <c r="AT23" s="113">
        <v>77</v>
      </c>
      <c r="AU23" s="113">
        <v>81</v>
      </c>
    </row>
    <row r="24" spans="1:54" s="113" customFormat="1">
      <c r="A24" s="113" t="s">
        <v>84</v>
      </c>
      <c r="B24" s="113" t="s">
        <v>112</v>
      </c>
      <c r="C24" s="114" t="s">
        <v>113</v>
      </c>
      <c r="D24" s="128" t="s">
        <v>111</v>
      </c>
      <c r="E24" s="127" t="s">
        <v>114</v>
      </c>
      <c r="F24" s="126">
        <v>181</v>
      </c>
      <c r="G24" s="126" t="s">
        <v>96</v>
      </c>
      <c r="H24" s="123">
        <v>691.42857142857144</v>
      </c>
      <c r="I24" s="312">
        <v>37.6</v>
      </c>
      <c r="J24" s="310">
        <v>25345</v>
      </c>
      <c r="K24" s="124">
        <v>1E-3</v>
      </c>
      <c r="L24" s="310">
        <f t="shared" si="0"/>
        <v>25319.654999999999</v>
      </c>
      <c r="M24" s="311">
        <f t="shared" si="1"/>
        <v>36.619335743801649</v>
      </c>
      <c r="N24" s="118"/>
      <c r="O24" s="118"/>
      <c r="P24" s="118"/>
      <c r="Q24" s="118"/>
      <c r="R24" s="118">
        <v>4.13</v>
      </c>
      <c r="S24" s="153">
        <v>6.66</v>
      </c>
      <c r="T24" s="153">
        <v>5.08</v>
      </c>
      <c r="U24" s="113" t="s">
        <v>115</v>
      </c>
      <c r="V24" s="115"/>
      <c r="W24" s="115"/>
      <c r="X24" s="120">
        <v>0.3</v>
      </c>
      <c r="Y24" s="120"/>
      <c r="Z24" s="118">
        <v>0.38</v>
      </c>
      <c r="AA24" s="430">
        <v>46111</v>
      </c>
      <c r="AB24" s="117">
        <f t="shared" si="4"/>
        <v>89.8</v>
      </c>
      <c r="AC24" s="117">
        <f t="shared" si="2"/>
        <v>26.939999999999998</v>
      </c>
      <c r="AD24" s="117">
        <f t="shared" si="3"/>
        <v>9.0706317247340404</v>
      </c>
      <c r="AE24" s="117"/>
      <c r="AF24" s="447"/>
      <c r="AH24" s="115" t="s">
        <v>91</v>
      </c>
      <c r="AI24" s="113">
        <v>85</v>
      </c>
      <c r="AJ24" s="113">
        <v>71</v>
      </c>
      <c r="AK24" s="113">
        <v>92</v>
      </c>
      <c r="AL24" s="113">
        <v>78</v>
      </c>
      <c r="AM24" s="113">
        <v>77</v>
      </c>
      <c r="AN24" s="113">
        <v>90</v>
      </c>
      <c r="AO24" s="113">
        <v>85</v>
      </c>
      <c r="AP24" s="113">
        <v>113</v>
      </c>
      <c r="AQ24" s="113">
        <v>112</v>
      </c>
      <c r="AR24" s="113">
        <v>85</v>
      </c>
      <c r="AS24" s="113">
        <v>84</v>
      </c>
      <c r="AT24" s="113">
        <v>83</v>
      </c>
      <c r="AU24" s="113">
        <v>72</v>
      </c>
      <c r="AV24" s="113">
        <v>87</v>
      </c>
      <c r="AW24" s="113">
        <v>98</v>
      </c>
      <c r="AX24" s="113">
        <v>105</v>
      </c>
      <c r="AY24" s="113">
        <v>104</v>
      </c>
      <c r="AZ24" s="113">
        <v>102</v>
      </c>
      <c r="BA24" s="113">
        <v>93</v>
      </c>
      <c r="BB24" s="113">
        <v>80</v>
      </c>
    </row>
    <row r="25" spans="1:54" s="113" customFormat="1">
      <c r="A25" s="113" t="s">
        <v>84</v>
      </c>
      <c r="B25" s="113" t="s">
        <v>112</v>
      </c>
      <c r="C25" s="114" t="s">
        <v>113</v>
      </c>
      <c r="D25" s="128" t="s">
        <v>111</v>
      </c>
      <c r="E25" s="127" t="s">
        <v>114</v>
      </c>
      <c r="F25" s="126">
        <v>181</v>
      </c>
      <c r="G25" s="126" t="s">
        <v>96</v>
      </c>
      <c r="H25" s="123">
        <v>691.42857142857144</v>
      </c>
      <c r="I25" s="312">
        <v>37.6</v>
      </c>
      <c r="J25" s="310">
        <v>25345</v>
      </c>
      <c r="K25" s="124">
        <v>1E-3</v>
      </c>
      <c r="L25" s="310">
        <f t="shared" si="0"/>
        <v>25319.654999999999</v>
      </c>
      <c r="M25" s="311">
        <f t="shared" si="1"/>
        <v>36.619335743801649</v>
      </c>
      <c r="N25" s="118"/>
      <c r="O25" s="118"/>
      <c r="P25" s="118"/>
      <c r="Q25" s="118"/>
      <c r="R25" s="118">
        <v>4.13</v>
      </c>
      <c r="S25" s="153">
        <v>6.66</v>
      </c>
      <c r="T25" s="153">
        <v>5.08</v>
      </c>
      <c r="U25" s="113" t="s">
        <v>106</v>
      </c>
      <c r="V25" s="115" t="s">
        <v>103</v>
      </c>
      <c r="W25" s="115"/>
      <c r="X25" s="120">
        <v>0.3</v>
      </c>
      <c r="Y25" s="120"/>
      <c r="Z25" s="118">
        <v>0.38</v>
      </c>
      <c r="AA25" s="430">
        <v>46126</v>
      </c>
      <c r="AB25" s="117">
        <f t="shared" si="4"/>
        <v>71.933333333333337</v>
      </c>
      <c r="AC25" s="117">
        <f t="shared" si="2"/>
        <v>21.580000000000002</v>
      </c>
      <c r="AD25" s="117">
        <f t="shared" si="3"/>
        <v>7.2659329109042554</v>
      </c>
      <c r="AE25" s="117"/>
      <c r="AF25" s="447"/>
      <c r="AH25" s="115" t="s">
        <v>91</v>
      </c>
      <c r="AI25" s="113">
        <v>45</v>
      </c>
      <c r="AJ25" s="113">
        <v>58</v>
      </c>
      <c r="AK25" s="113">
        <v>54</v>
      </c>
      <c r="AL25" s="113">
        <v>69</v>
      </c>
      <c r="AM25" s="113">
        <v>67</v>
      </c>
      <c r="AN25" s="113">
        <v>95</v>
      </c>
      <c r="AO25" s="113">
        <v>75</v>
      </c>
      <c r="AP25" s="113">
        <v>77</v>
      </c>
      <c r="AQ25" s="113">
        <v>79</v>
      </c>
      <c r="AR25" s="113">
        <v>72</v>
      </c>
      <c r="AS25" s="113">
        <v>77</v>
      </c>
      <c r="AT25" s="113">
        <v>85</v>
      </c>
      <c r="AU25" s="113">
        <v>79</v>
      </c>
      <c r="AV25" s="113">
        <v>75</v>
      </c>
      <c r="AW25" s="113">
        <v>72</v>
      </c>
    </row>
    <row r="26" spans="1:54" s="113" customFormat="1">
      <c r="A26" s="113" t="s">
        <v>84</v>
      </c>
      <c r="B26" s="113" t="s">
        <v>112</v>
      </c>
      <c r="C26" s="114" t="s">
        <v>113</v>
      </c>
      <c r="D26" s="128" t="s">
        <v>111</v>
      </c>
      <c r="E26" s="127" t="s">
        <v>114</v>
      </c>
      <c r="F26" s="126">
        <v>181</v>
      </c>
      <c r="G26" s="126" t="s">
        <v>96</v>
      </c>
      <c r="H26" s="123">
        <v>691.42857142857144</v>
      </c>
      <c r="I26" s="312">
        <v>37.6</v>
      </c>
      <c r="J26" s="310">
        <v>25345</v>
      </c>
      <c r="K26" s="124">
        <v>1E-3</v>
      </c>
      <c r="L26" s="310">
        <f t="shared" si="0"/>
        <v>25319.654999999999</v>
      </c>
      <c r="M26" s="311">
        <f t="shared" si="1"/>
        <v>36.619335743801649</v>
      </c>
      <c r="N26" s="118"/>
      <c r="O26" s="118"/>
      <c r="P26" s="118"/>
      <c r="Q26" s="118"/>
      <c r="R26" s="118">
        <v>4.13</v>
      </c>
      <c r="S26" s="153">
        <v>6.66</v>
      </c>
      <c r="T26" s="153">
        <v>5.08</v>
      </c>
      <c r="V26" s="115" t="s">
        <v>103</v>
      </c>
      <c r="W26" s="115"/>
      <c r="X26" s="120">
        <v>0.3</v>
      </c>
      <c r="Y26" s="120"/>
      <c r="Z26" s="118">
        <v>0.38</v>
      </c>
      <c r="AA26" s="430">
        <v>46175</v>
      </c>
      <c r="AB26" s="117">
        <f t="shared" si="4"/>
        <v>53.466666666666669</v>
      </c>
      <c r="AC26" s="117">
        <f t="shared" si="2"/>
        <v>16.04</v>
      </c>
      <c r="AD26" s="117">
        <f t="shared" si="3"/>
        <v>5.4006285398936162</v>
      </c>
      <c r="AE26" s="117"/>
      <c r="AF26" s="447"/>
      <c r="AH26" s="115" t="s">
        <v>116</v>
      </c>
      <c r="AI26" s="113">
        <v>52</v>
      </c>
      <c r="AJ26" s="113">
        <v>50</v>
      </c>
      <c r="AK26" s="113">
        <v>59</v>
      </c>
      <c r="AL26" s="113">
        <v>48</v>
      </c>
      <c r="AM26" s="113">
        <v>57</v>
      </c>
      <c r="AN26" s="113">
        <v>54</v>
      </c>
      <c r="AO26" s="113">
        <v>49</v>
      </c>
      <c r="AP26" s="113">
        <v>49</v>
      </c>
      <c r="AQ26" s="113">
        <v>54</v>
      </c>
      <c r="AR26" s="113">
        <v>59</v>
      </c>
      <c r="AS26" s="113">
        <v>60</v>
      </c>
      <c r="AT26" s="113">
        <v>55</v>
      </c>
      <c r="AU26" s="113">
        <v>49</v>
      </c>
      <c r="AV26" s="113">
        <v>52</v>
      </c>
      <c r="AW26" s="113">
        <v>55</v>
      </c>
    </row>
    <row r="27" spans="1:54" s="113" customFormat="1">
      <c r="A27" s="113" t="s">
        <v>84</v>
      </c>
      <c r="B27" s="113" t="s">
        <v>112</v>
      </c>
      <c r="C27" s="114" t="s">
        <v>113</v>
      </c>
      <c r="D27" s="128" t="s">
        <v>111</v>
      </c>
      <c r="E27" s="127" t="s">
        <v>114</v>
      </c>
      <c r="F27" s="126">
        <v>181</v>
      </c>
      <c r="G27" s="126" t="s">
        <v>96</v>
      </c>
      <c r="H27" s="123">
        <v>691.42857142857144</v>
      </c>
      <c r="I27" s="312">
        <v>37.6</v>
      </c>
      <c r="J27" s="310">
        <v>25345</v>
      </c>
      <c r="K27" s="124">
        <v>1E-3</v>
      </c>
      <c r="L27" s="310">
        <f t="shared" si="0"/>
        <v>25319.654999999999</v>
      </c>
      <c r="M27" s="311">
        <f t="shared" si="1"/>
        <v>36.619335743801649</v>
      </c>
      <c r="N27" s="118"/>
      <c r="O27" s="118"/>
      <c r="P27" s="118"/>
      <c r="Q27" s="118"/>
      <c r="R27" s="118">
        <v>4.13</v>
      </c>
      <c r="S27" s="153">
        <v>6.66</v>
      </c>
      <c r="T27" s="153">
        <v>5.08</v>
      </c>
      <c r="V27" s="115"/>
      <c r="W27" s="115"/>
      <c r="X27" s="120">
        <v>0.3</v>
      </c>
      <c r="Y27" s="120"/>
      <c r="Z27" s="118">
        <v>0.38</v>
      </c>
      <c r="AA27" s="430">
        <v>46188</v>
      </c>
      <c r="AB27" s="117">
        <f>IFERROR(AVERAGE(AI27:BG27),"")</f>
        <v>72</v>
      </c>
      <c r="AC27" s="117">
        <f t="shared" si="2"/>
        <v>21.599999999999998</v>
      </c>
      <c r="AD27" s="117">
        <f t="shared" si="3"/>
        <v>7.2726668617021275</v>
      </c>
      <c r="AE27" s="117"/>
      <c r="AF27" s="447"/>
      <c r="AH27" s="115" t="s">
        <v>91</v>
      </c>
      <c r="AI27" s="113">
        <v>74</v>
      </c>
      <c r="AJ27" s="113">
        <v>66</v>
      </c>
      <c r="AK27" s="113">
        <v>62</v>
      </c>
      <c r="AL27" s="113">
        <v>72</v>
      </c>
      <c r="AM27" s="113">
        <v>69</v>
      </c>
      <c r="AN27" s="113">
        <v>71</v>
      </c>
      <c r="AO27" s="113">
        <v>63</v>
      </c>
      <c r="AP27" s="113">
        <v>77</v>
      </c>
      <c r="AQ27" s="113">
        <v>85</v>
      </c>
      <c r="AR27" s="113">
        <v>58</v>
      </c>
      <c r="AS27" s="113">
        <v>76</v>
      </c>
      <c r="AT27" s="113">
        <v>78</v>
      </c>
      <c r="AU27" s="113">
        <v>80</v>
      </c>
      <c r="AV27" s="113">
        <v>74</v>
      </c>
      <c r="AW27" s="113">
        <v>75</v>
      </c>
    </row>
    <row r="28" spans="1:54" s="113" customFormat="1">
      <c r="A28" s="113" t="s">
        <v>84</v>
      </c>
      <c r="B28" s="113" t="s">
        <v>112</v>
      </c>
      <c r="C28" s="114" t="s">
        <v>113</v>
      </c>
      <c r="D28" s="128" t="s">
        <v>111</v>
      </c>
      <c r="E28" s="127" t="s">
        <v>114</v>
      </c>
      <c r="F28" s="126">
        <v>181</v>
      </c>
      <c r="G28" s="126" t="s">
        <v>96</v>
      </c>
      <c r="H28" s="123">
        <v>691.42857142857144</v>
      </c>
      <c r="I28" s="312">
        <v>37.6</v>
      </c>
      <c r="J28" s="310">
        <v>25345</v>
      </c>
      <c r="K28" s="124">
        <v>1E-3</v>
      </c>
      <c r="L28" s="310">
        <f t="shared" si="0"/>
        <v>25319.654999999999</v>
      </c>
      <c r="M28" s="311">
        <f t="shared" si="1"/>
        <v>36.619335743801649</v>
      </c>
      <c r="N28" s="118"/>
      <c r="O28" s="118"/>
      <c r="P28" s="118"/>
      <c r="Q28" s="118"/>
      <c r="R28" s="118">
        <v>4.13</v>
      </c>
      <c r="S28" s="153">
        <v>6.66</v>
      </c>
      <c r="T28" s="153">
        <v>5.08</v>
      </c>
      <c r="V28" s="115"/>
      <c r="W28" s="115"/>
      <c r="X28" s="120">
        <v>0.3</v>
      </c>
      <c r="Y28" s="120"/>
      <c r="Z28" s="118">
        <v>0.38</v>
      </c>
      <c r="AA28" s="430">
        <v>46204</v>
      </c>
      <c r="AB28" s="117">
        <f t="shared" si="4"/>
        <v>56.06666666666667</v>
      </c>
      <c r="AC28" s="117">
        <f t="shared" si="2"/>
        <v>16.82</v>
      </c>
      <c r="AD28" s="117">
        <f t="shared" si="3"/>
        <v>5.6632526210106384</v>
      </c>
      <c r="AE28" s="117"/>
      <c r="AF28" s="447"/>
      <c r="AH28" s="115" t="s">
        <v>116</v>
      </c>
      <c r="AI28" s="113">
        <v>65</v>
      </c>
      <c r="AJ28" s="113">
        <v>59</v>
      </c>
      <c r="AK28" s="113">
        <v>60</v>
      </c>
      <c r="AL28" s="113">
        <v>56</v>
      </c>
      <c r="AM28" s="113">
        <v>63</v>
      </c>
      <c r="AN28" s="113">
        <v>57</v>
      </c>
      <c r="AO28" s="113">
        <v>48</v>
      </c>
      <c r="AP28" s="113">
        <v>55</v>
      </c>
      <c r="AQ28" s="113">
        <v>51</v>
      </c>
      <c r="AR28" s="113">
        <v>57</v>
      </c>
      <c r="AS28" s="113">
        <v>57</v>
      </c>
      <c r="AT28" s="113">
        <v>59</v>
      </c>
      <c r="AU28" s="113">
        <v>47</v>
      </c>
      <c r="AV28" s="113">
        <v>51</v>
      </c>
      <c r="AW28" s="113">
        <v>56</v>
      </c>
    </row>
    <row r="29" spans="1:54" s="296" customFormat="1">
      <c r="A29" s="296" t="s">
        <v>84</v>
      </c>
      <c r="B29" s="296" t="s">
        <v>117</v>
      </c>
      <c r="C29" s="298" t="s">
        <v>118</v>
      </c>
      <c r="D29" s="299" t="s">
        <v>111</v>
      </c>
      <c r="E29" s="300" t="s">
        <v>119</v>
      </c>
      <c r="F29" s="297" t="s">
        <v>120</v>
      </c>
      <c r="G29" s="297" t="s">
        <v>121</v>
      </c>
      <c r="H29" s="301">
        <v>691.42857142857144</v>
      </c>
      <c r="I29" s="321">
        <v>24.5</v>
      </c>
      <c r="J29" s="318">
        <v>16485</v>
      </c>
      <c r="K29" s="237">
        <v>1E-3</v>
      </c>
      <c r="L29" s="318">
        <f t="shared" si="0"/>
        <v>16468.514999999999</v>
      </c>
      <c r="M29" s="319">
        <f t="shared" si="1"/>
        <v>23.818100206611568</v>
      </c>
      <c r="N29" s="304"/>
      <c r="O29" s="304"/>
      <c r="P29" s="304"/>
      <c r="Q29" s="304"/>
      <c r="R29" s="304">
        <v>3.84</v>
      </c>
      <c r="S29" s="305">
        <v>7.21</v>
      </c>
      <c r="T29" s="305">
        <v>6.35</v>
      </c>
      <c r="U29" s="296" t="s">
        <v>122</v>
      </c>
      <c r="V29" s="306"/>
      <c r="W29" s="306"/>
      <c r="X29" s="307">
        <v>0.45</v>
      </c>
      <c r="Y29" s="307"/>
      <c r="Z29" s="304">
        <v>0.52</v>
      </c>
      <c r="AA29" s="431">
        <v>46139</v>
      </c>
      <c r="AB29" s="233">
        <f t="shared" si="4"/>
        <v>49.230769230769234</v>
      </c>
      <c r="AC29" s="233">
        <f t="shared" si="2"/>
        <v>22.153846153846157</v>
      </c>
      <c r="AD29" s="233">
        <f t="shared" si="3"/>
        <v>7.4457336263736265</v>
      </c>
      <c r="AE29" s="233"/>
      <c r="AF29" s="448"/>
      <c r="AH29" s="306" t="s">
        <v>92</v>
      </c>
      <c r="AI29" s="296">
        <v>52</v>
      </c>
      <c r="AJ29" s="296">
        <v>51</v>
      </c>
      <c r="AK29" s="296">
        <v>56</v>
      </c>
      <c r="AL29" s="296">
        <v>52</v>
      </c>
      <c r="AM29" s="296">
        <v>55</v>
      </c>
      <c r="AN29" s="296">
        <v>45</v>
      </c>
      <c r="AO29" s="296">
        <v>52</v>
      </c>
      <c r="AP29" s="296">
        <v>41</v>
      </c>
      <c r="AQ29" s="296">
        <v>45</v>
      </c>
      <c r="AR29" s="296">
        <v>57</v>
      </c>
      <c r="AS29" s="296">
        <v>42</v>
      </c>
      <c r="AT29" s="296">
        <v>44</v>
      </c>
      <c r="AU29" s="296">
        <v>48</v>
      </c>
    </row>
    <row r="30" spans="1:54" s="296" customFormat="1">
      <c r="A30" s="296" t="s">
        <v>84</v>
      </c>
      <c r="B30" s="296" t="s">
        <v>117</v>
      </c>
      <c r="C30" s="298" t="s">
        <v>118</v>
      </c>
      <c r="D30" s="299" t="s">
        <v>111</v>
      </c>
      <c r="E30" s="300" t="s">
        <v>119</v>
      </c>
      <c r="F30" s="297" t="s">
        <v>120</v>
      </c>
      <c r="G30" s="297" t="s">
        <v>121</v>
      </c>
      <c r="H30" s="301">
        <v>691.42857142857144</v>
      </c>
      <c r="I30" s="321">
        <v>24.5</v>
      </c>
      <c r="J30" s="318">
        <v>16485</v>
      </c>
      <c r="K30" s="237">
        <v>1E-3</v>
      </c>
      <c r="L30" s="318">
        <f t="shared" ref="L30" si="20">J30-(J30*K30)</f>
        <v>16468.514999999999</v>
      </c>
      <c r="M30" s="319">
        <f t="shared" ref="M30" si="21">L30/H30</f>
        <v>23.818100206611568</v>
      </c>
      <c r="N30" s="304"/>
      <c r="O30" s="304"/>
      <c r="P30" s="304"/>
      <c r="Q30" s="304"/>
      <c r="R30" s="304">
        <v>3.84</v>
      </c>
      <c r="S30" s="305">
        <v>7.21</v>
      </c>
      <c r="T30" s="305">
        <v>6.35</v>
      </c>
      <c r="V30" s="306"/>
      <c r="W30" s="306"/>
      <c r="X30" s="307">
        <v>0.45</v>
      </c>
      <c r="Y30" s="307"/>
      <c r="Z30" s="304">
        <v>0.52</v>
      </c>
      <c r="AA30" s="431">
        <v>46136</v>
      </c>
      <c r="AB30" s="233">
        <f t="shared" ref="AB30" si="22">IFERROR(AVERAGE(AI30:BG30),"")</f>
        <v>72.13333333333334</v>
      </c>
      <c r="AC30" s="233">
        <f t="shared" ref="AC30" si="23">IFERROR(AB30*X30,"")</f>
        <v>32.46</v>
      </c>
      <c r="AD30" s="233">
        <f t="shared" ref="AD30" si="24">IFERROR(((AC30*L30)/2000)/I30,"")</f>
        <v>10.909550957142857</v>
      </c>
      <c r="AE30" s="233"/>
      <c r="AF30" s="448"/>
      <c r="AH30" s="306" t="s">
        <v>91</v>
      </c>
      <c r="AI30" s="296">
        <v>73</v>
      </c>
      <c r="AJ30" s="296">
        <v>72</v>
      </c>
      <c r="AK30" s="296">
        <v>73</v>
      </c>
      <c r="AL30" s="296">
        <v>84</v>
      </c>
      <c r="AM30" s="296">
        <v>74</v>
      </c>
      <c r="AN30" s="296">
        <v>58</v>
      </c>
      <c r="AO30" s="296">
        <v>61</v>
      </c>
      <c r="AP30" s="296">
        <v>51</v>
      </c>
      <c r="AQ30" s="296">
        <v>66</v>
      </c>
      <c r="AR30" s="296">
        <v>93</v>
      </c>
      <c r="AS30" s="296">
        <v>74</v>
      </c>
      <c r="AT30" s="296">
        <v>67</v>
      </c>
      <c r="AU30" s="296">
        <v>62</v>
      </c>
      <c r="AV30" s="296">
        <v>72</v>
      </c>
      <c r="AW30" s="296">
        <v>102</v>
      </c>
    </row>
    <row r="31" spans="1:54" s="296" customFormat="1">
      <c r="A31" s="296" t="s">
        <v>84</v>
      </c>
      <c r="B31" s="296" t="s">
        <v>117</v>
      </c>
      <c r="C31" s="298" t="s">
        <v>118</v>
      </c>
      <c r="D31" s="299" t="s">
        <v>111</v>
      </c>
      <c r="E31" s="300" t="s">
        <v>119</v>
      </c>
      <c r="F31" s="297" t="s">
        <v>120</v>
      </c>
      <c r="G31" s="297" t="s">
        <v>121</v>
      </c>
      <c r="H31" s="301">
        <v>691.42857142857144</v>
      </c>
      <c r="I31" s="321">
        <v>24.5</v>
      </c>
      <c r="J31" s="318">
        <v>16485</v>
      </c>
      <c r="K31" s="237">
        <v>1E-3</v>
      </c>
      <c r="L31" s="318">
        <f t="shared" si="0"/>
        <v>16468.514999999999</v>
      </c>
      <c r="M31" s="319">
        <f t="shared" si="1"/>
        <v>23.818100206611568</v>
      </c>
      <c r="N31" s="304"/>
      <c r="O31" s="304"/>
      <c r="P31" s="304"/>
      <c r="Q31" s="304"/>
      <c r="R31" s="304">
        <v>3.84</v>
      </c>
      <c r="S31" s="305">
        <v>7.21</v>
      </c>
      <c r="T31" s="305">
        <v>6.35</v>
      </c>
      <c r="V31" s="306"/>
      <c r="W31" s="306"/>
      <c r="X31" s="307">
        <v>0.45</v>
      </c>
      <c r="Y31" s="307"/>
      <c r="Z31" s="304">
        <v>0.52</v>
      </c>
      <c r="AA31" s="431">
        <v>46188</v>
      </c>
      <c r="AB31" s="233">
        <f t="shared" si="4"/>
        <v>59.133333333333333</v>
      </c>
      <c r="AC31" s="233">
        <f t="shared" si="2"/>
        <v>26.61</v>
      </c>
      <c r="AD31" s="233">
        <f t="shared" si="3"/>
        <v>8.9434119214285701</v>
      </c>
      <c r="AE31" s="233"/>
      <c r="AF31" s="448"/>
      <c r="AH31" s="306" t="s">
        <v>91</v>
      </c>
      <c r="AI31" s="296">
        <v>51</v>
      </c>
      <c r="AJ31" s="296">
        <v>66</v>
      </c>
      <c r="AK31" s="296">
        <v>71</v>
      </c>
      <c r="AL31" s="296">
        <v>67</v>
      </c>
      <c r="AM31" s="296">
        <v>46</v>
      </c>
      <c r="AN31" s="296">
        <v>65</v>
      </c>
      <c r="AO31" s="296">
        <v>57</v>
      </c>
      <c r="AP31" s="296">
        <v>57</v>
      </c>
      <c r="AQ31" s="296">
        <v>72</v>
      </c>
      <c r="AR31" s="296">
        <v>62</v>
      </c>
      <c r="AS31" s="296">
        <v>41</v>
      </c>
      <c r="AT31" s="296">
        <v>61</v>
      </c>
      <c r="AU31" s="296">
        <v>58</v>
      </c>
      <c r="AV31" s="296">
        <v>69</v>
      </c>
      <c r="AW31" s="296">
        <v>44</v>
      </c>
    </row>
    <row r="32" spans="1:54" s="296" customFormat="1">
      <c r="A32" s="296" t="s">
        <v>84</v>
      </c>
      <c r="B32" s="296" t="s">
        <v>117</v>
      </c>
      <c r="C32" s="298" t="s">
        <v>118</v>
      </c>
      <c r="D32" s="299" t="s">
        <v>111</v>
      </c>
      <c r="E32" s="300" t="s">
        <v>119</v>
      </c>
      <c r="F32" s="297" t="s">
        <v>120</v>
      </c>
      <c r="G32" s="297" t="s">
        <v>121</v>
      </c>
      <c r="H32" s="301">
        <v>691.42857142857144</v>
      </c>
      <c r="I32" s="321">
        <v>24.5</v>
      </c>
      <c r="J32" s="318">
        <v>16485</v>
      </c>
      <c r="K32" s="237">
        <v>1E-3</v>
      </c>
      <c r="L32" s="318">
        <f t="shared" ref="L32" si="25">J32-(J32*K32)</f>
        <v>16468.514999999999</v>
      </c>
      <c r="M32" s="319">
        <f t="shared" ref="M32" si="26">L32/H32</f>
        <v>23.818100206611568</v>
      </c>
      <c r="N32" s="304"/>
      <c r="O32" s="304"/>
      <c r="P32" s="304"/>
      <c r="Q32" s="304"/>
      <c r="R32" s="304">
        <v>3.84</v>
      </c>
      <c r="S32" s="305">
        <v>7.21</v>
      </c>
      <c r="T32" s="305">
        <v>6.35</v>
      </c>
      <c r="V32" s="306"/>
      <c r="W32" s="306"/>
      <c r="X32" s="307">
        <v>0.45</v>
      </c>
      <c r="Y32" s="307"/>
      <c r="Z32" s="304">
        <v>0.52</v>
      </c>
      <c r="AA32" s="431">
        <v>46204</v>
      </c>
      <c r="AB32" s="233">
        <f t="shared" ref="AB32" si="27">IFERROR(AVERAGE(AI32:BG32),"")</f>
        <v>45.866666666666667</v>
      </c>
      <c r="AC32" s="233">
        <f t="shared" ref="AC32" si="28">IFERROR(AB32*X32,"")</f>
        <v>20.64</v>
      </c>
      <c r="AD32" s="233">
        <f t="shared" ref="AD32" si="29">IFERROR(((AC32*L32)/2000)/I32,"")</f>
        <v>6.9369418285714284</v>
      </c>
      <c r="AE32" s="233"/>
      <c r="AF32" s="448"/>
      <c r="AH32" s="306" t="s">
        <v>91</v>
      </c>
      <c r="AI32" s="296">
        <v>46</v>
      </c>
      <c r="AJ32" s="296">
        <v>49</v>
      </c>
      <c r="AK32" s="296">
        <v>45</v>
      </c>
      <c r="AL32" s="296">
        <v>39</v>
      </c>
      <c r="AM32" s="296">
        <v>47</v>
      </c>
      <c r="AN32" s="296">
        <v>40</v>
      </c>
      <c r="AO32" s="296">
        <v>46</v>
      </c>
      <c r="AP32" s="296">
        <v>38</v>
      </c>
      <c r="AQ32" s="296">
        <v>49</v>
      </c>
      <c r="AR32" s="296">
        <v>43</v>
      </c>
      <c r="AS32" s="296">
        <v>49</v>
      </c>
      <c r="AT32" s="296">
        <v>44</v>
      </c>
      <c r="AU32" s="296">
        <v>58</v>
      </c>
      <c r="AV32" s="296">
        <v>46</v>
      </c>
      <c r="AW32" s="296">
        <v>49</v>
      </c>
    </row>
    <row r="33" spans="1:57" s="113" customFormat="1">
      <c r="A33" s="113" t="s">
        <v>84</v>
      </c>
      <c r="B33" s="113" t="s">
        <v>123</v>
      </c>
      <c r="C33" s="114" t="s">
        <v>124</v>
      </c>
      <c r="D33" s="128" t="s">
        <v>111</v>
      </c>
      <c r="E33" s="127" t="s">
        <v>88</v>
      </c>
      <c r="F33" s="126">
        <v>7</v>
      </c>
      <c r="G33" s="126" t="s">
        <v>125</v>
      </c>
      <c r="H33" s="123">
        <v>726</v>
      </c>
      <c r="I33" s="312">
        <v>39.200000000000003</v>
      </c>
      <c r="J33" s="310">
        <v>27935</v>
      </c>
      <c r="K33" s="124">
        <v>2E-3</v>
      </c>
      <c r="L33" s="310">
        <f t="shared" si="0"/>
        <v>27879.13</v>
      </c>
      <c r="M33" s="311">
        <f t="shared" si="1"/>
        <v>38.401005509641877</v>
      </c>
      <c r="N33" s="125"/>
      <c r="O33" s="125"/>
      <c r="P33" s="125"/>
      <c r="Q33" s="125"/>
      <c r="R33" s="125">
        <v>4.1900000000000004</v>
      </c>
      <c r="S33" s="154">
        <v>7.7</v>
      </c>
      <c r="T33" s="154">
        <v>6.94</v>
      </c>
      <c r="V33" s="115"/>
      <c r="W33" s="115"/>
      <c r="X33" s="120">
        <v>0.24</v>
      </c>
      <c r="Y33" s="120"/>
      <c r="Z33" s="118">
        <v>0.33</v>
      </c>
      <c r="AA33" s="430">
        <v>46127</v>
      </c>
      <c r="AB33" s="117">
        <f t="shared" si="4"/>
        <v>119.6</v>
      </c>
      <c r="AC33" s="117">
        <f t="shared" si="2"/>
        <v>28.703999999999997</v>
      </c>
      <c r="AD33" s="117">
        <f t="shared" si="3"/>
        <v>10.207175351020407</v>
      </c>
      <c r="AE33" s="117"/>
      <c r="AF33" s="447"/>
      <c r="AH33" s="115" t="s">
        <v>91</v>
      </c>
      <c r="AI33" s="113">
        <v>105</v>
      </c>
      <c r="AJ33" s="113">
        <v>96</v>
      </c>
      <c r="AK33" s="113">
        <v>152</v>
      </c>
      <c r="AL33" s="113">
        <v>127</v>
      </c>
      <c r="AM33" s="113">
        <v>110</v>
      </c>
      <c r="AN33" s="113">
        <v>91</v>
      </c>
      <c r="AO33" s="113">
        <v>129</v>
      </c>
      <c r="AP33" s="113">
        <v>115</v>
      </c>
      <c r="AQ33" s="113">
        <v>108</v>
      </c>
      <c r="AR33" s="113">
        <v>70</v>
      </c>
      <c r="AS33" s="113">
        <v>132</v>
      </c>
      <c r="AT33" s="113">
        <v>128</v>
      </c>
      <c r="AU33" s="113">
        <v>149</v>
      </c>
      <c r="AV33" s="113">
        <v>147</v>
      </c>
      <c r="AW33" s="113">
        <v>135</v>
      </c>
    </row>
    <row r="34" spans="1:57" s="113" customFormat="1">
      <c r="A34" s="113" t="s">
        <v>84</v>
      </c>
      <c r="B34" s="113" t="s">
        <v>123</v>
      </c>
      <c r="C34" s="114" t="s">
        <v>124</v>
      </c>
      <c r="D34" s="128" t="s">
        <v>111</v>
      </c>
      <c r="E34" s="127" t="s">
        <v>88</v>
      </c>
      <c r="F34" s="126">
        <v>7</v>
      </c>
      <c r="G34" s="126" t="s">
        <v>125</v>
      </c>
      <c r="H34" s="123">
        <v>726</v>
      </c>
      <c r="I34" s="312">
        <v>39.200000000000003</v>
      </c>
      <c r="J34" s="310">
        <v>27935</v>
      </c>
      <c r="K34" s="124">
        <v>2E-3</v>
      </c>
      <c r="L34" s="310">
        <f t="shared" si="0"/>
        <v>27879.13</v>
      </c>
      <c r="M34" s="311">
        <f t="shared" si="1"/>
        <v>38.401005509641877</v>
      </c>
      <c r="N34" s="125"/>
      <c r="O34" s="125"/>
      <c r="P34" s="125"/>
      <c r="Q34" s="125"/>
      <c r="R34" s="125">
        <v>4.1900000000000004</v>
      </c>
      <c r="S34" s="154">
        <v>7.7</v>
      </c>
      <c r="T34" s="154">
        <v>6.94</v>
      </c>
      <c r="V34" s="115"/>
      <c r="W34" s="115"/>
      <c r="X34" s="120">
        <v>0.24</v>
      </c>
      <c r="Y34" s="120"/>
      <c r="Z34" s="118">
        <v>0.33</v>
      </c>
      <c r="AA34" s="430">
        <v>46139</v>
      </c>
      <c r="AB34" s="117">
        <f t="shared" si="4"/>
        <v>132.83333333333334</v>
      </c>
      <c r="AC34" s="117">
        <f t="shared" si="2"/>
        <v>31.880000000000003</v>
      </c>
      <c r="AD34" s="117">
        <f t="shared" si="3"/>
        <v>11.336564596938777</v>
      </c>
      <c r="AE34" s="117"/>
      <c r="AF34" s="447"/>
      <c r="AG34" s="113" t="s">
        <v>126</v>
      </c>
      <c r="AH34" s="115" t="s">
        <v>92</v>
      </c>
      <c r="AI34" s="113">
        <v>154</v>
      </c>
      <c r="AJ34" s="113">
        <v>126</v>
      </c>
      <c r="AK34" s="113">
        <v>104</v>
      </c>
      <c r="AL34" s="113">
        <v>143</v>
      </c>
      <c r="AM34" s="113">
        <v>130</v>
      </c>
      <c r="AN34" s="113">
        <v>128</v>
      </c>
      <c r="AO34" s="113">
        <v>132</v>
      </c>
      <c r="AP34" s="113">
        <v>112</v>
      </c>
      <c r="AQ34" s="113">
        <v>140</v>
      </c>
      <c r="AR34" s="113">
        <v>128</v>
      </c>
      <c r="AS34" s="113">
        <v>146</v>
      </c>
      <c r="AT34" s="113">
        <v>151</v>
      </c>
    </row>
    <row r="35" spans="1:57" s="113" customFormat="1">
      <c r="A35" s="113" t="s">
        <v>84</v>
      </c>
      <c r="B35" s="113" t="s">
        <v>123</v>
      </c>
      <c r="C35" s="114" t="s">
        <v>124</v>
      </c>
      <c r="D35" s="128" t="s">
        <v>111</v>
      </c>
      <c r="E35" s="127" t="s">
        <v>88</v>
      </c>
      <c r="F35" s="126">
        <v>7</v>
      </c>
      <c r="G35" s="126" t="s">
        <v>125</v>
      </c>
      <c r="H35" s="123">
        <v>726</v>
      </c>
      <c r="I35" s="312">
        <v>39.200000000000003</v>
      </c>
      <c r="J35" s="310">
        <v>27935</v>
      </c>
      <c r="K35" s="124">
        <v>2E-3</v>
      </c>
      <c r="L35" s="310">
        <f t="shared" ref="L35" si="30">J35-(J35*K35)</f>
        <v>27879.13</v>
      </c>
      <c r="M35" s="311">
        <f t="shared" ref="M35" si="31">L35/H35</f>
        <v>38.401005509641877</v>
      </c>
      <c r="N35" s="125"/>
      <c r="O35" s="125"/>
      <c r="P35" s="125"/>
      <c r="Q35" s="125"/>
      <c r="R35" s="125">
        <v>4.1900000000000004</v>
      </c>
      <c r="S35" s="154">
        <v>7.7</v>
      </c>
      <c r="T35" s="154">
        <v>6.94</v>
      </c>
      <c r="V35" s="115"/>
      <c r="W35" s="115"/>
      <c r="X35" s="120">
        <v>0.24</v>
      </c>
      <c r="Y35" s="120"/>
      <c r="Z35" s="118">
        <v>0.33</v>
      </c>
      <c r="AA35" s="430">
        <v>46188</v>
      </c>
      <c r="AB35" s="117">
        <f t="shared" ref="AB35" si="32">IFERROR(AVERAGE(AI35:BG35),"")</f>
        <v>111.08333333333333</v>
      </c>
      <c r="AC35" s="117">
        <f t="shared" ref="AC35" si="33">IFERROR(AB35*X35,"")</f>
        <v>26.659999999999997</v>
      </c>
      <c r="AD35" s="117">
        <f t="shared" ref="AD35" si="34">IFERROR(((AC35*L35)/2000)/I35,"")</f>
        <v>9.4803266045918342</v>
      </c>
      <c r="AE35" s="117"/>
      <c r="AF35" s="447"/>
      <c r="AG35" s="113" t="s">
        <v>126</v>
      </c>
      <c r="AH35" s="115" t="s">
        <v>91</v>
      </c>
      <c r="AI35" s="113">
        <v>99</v>
      </c>
      <c r="AJ35" s="113">
        <v>123</v>
      </c>
      <c r="AK35" s="113">
        <v>109</v>
      </c>
      <c r="AL35" s="113">
        <v>117</v>
      </c>
      <c r="AM35" s="113">
        <v>102</v>
      </c>
      <c r="AN35" s="113">
        <v>100</v>
      </c>
      <c r="AO35" s="113">
        <v>116</v>
      </c>
      <c r="AP35" s="113">
        <v>115</v>
      </c>
      <c r="AQ35" s="113">
        <v>116</v>
      </c>
      <c r="AR35" s="113">
        <v>120</v>
      </c>
      <c r="AS35" s="113">
        <v>123</v>
      </c>
      <c r="AT35" s="113">
        <v>93</v>
      </c>
    </row>
    <row r="36" spans="1:57" s="296" customFormat="1">
      <c r="A36" s="296" t="s">
        <v>84</v>
      </c>
      <c r="B36" s="296" t="s">
        <v>127</v>
      </c>
      <c r="C36" s="298" t="s">
        <v>128</v>
      </c>
      <c r="D36" s="299" t="s">
        <v>111</v>
      </c>
      <c r="E36" s="300" t="s">
        <v>129</v>
      </c>
      <c r="F36" s="297">
        <v>3</v>
      </c>
      <c r="G36" s="297" t="s">
        <v>96</v>
      </c>
      <c r="H36" s="301">
        <v>691.42857142857144</v>
      </c>
      <c r="I36" s="321">
        <v>18.8</v>
      </c>
      <c r="J36" s="318">
        <v>12621</v>
      </c>
      <c r="K36" s="237">
        <v>1E-3</v>
      </c>
      <c r="L36" s="318">
        <f t="shared" si="0"/>
        <v>12608.379000000001</v>
      </c>
      <c r="M36" s="319">
        <f t="shared" si="1"/>
        <v>18.235258884297522</v>
      </c>
      <c r="N36" s="304"/>
      <c r="O36" s="304"/>
      <c r="P36" s="304"/>
      <c r="Q36" s="304"/>
      <c r="R36" s="304">
        <v>4.24</v>
      </c>
      <c r="S36" s="305">
        <v>5.04</v>
      </c>
      <c r="T36" s="305">
        <v>7.57</v>
      </c>
      <c r="U36" s="296" t="s">
        <v>115</v>
      </c>
      <c r="V36" s="306"/>
      <c r="W36" s="306"/>
      <c r="X36" s="307">
        <v>0.43</v>
      </c>
      <c r="Y36" s="307"/>
      <c r="Z36" s="304">
        <v>0.45</v>
      </c>
      <c r="AA36" s="431">
        <v>46106</v>
      </c>
      <c r="AB36" s="233">
        <f t="shared" si="4"/>
        <v>70.478260869565219</v>
      </c>
      <c r="AC36" s="233">
        <f t="shared" si="2"/>
        <v>30.305652173913042</v>
      </c>
      <c r="AD36" s="233">
        <f t="shared" si="3"/>
        <v>10.162370969438021</v>
      </c>
      <c r="AE36" s="233"/>
      <c r="AF36" s="448"/>
      <c r="AH36" s="306" t="s">
        <v>92</v>
      </c>
      <c r="AI36" s="296">
        <v>87</v>
      </c>
      <c r="AJ36" s="296">
        <v>76</v>
      </c>
      <c r="AK36" s="296">
        <v>59</v>
      </c>
      <c r="AL36" s="296">
        <v>68</v>
      </c>
      <c r="AM36" s="296">
        <v>80</v>
      </c>
      <c r="AN36" s="296">
        <v>67</v>
      </c>
      <c r="AO36" s="296">
        <v>68</v>
      </c>
      <c r="AP36" s="296">
        <v>74</v>
      </c>
      <c r="AQ36" s="296">
        <v>70</v>
      </c>
      <c r="AR36" s="296">
        <v>63</v>
      </c>
      <c r="AS36" s="296">
        <v>66</v>
      </c>
      <c r="AT36" s="296">
        <v>75</v>
      </c>
      <c r="AU36" s="296">
        <v>65</v>
      </c>
      <c r="AV36" s="296">
        <v>69</v>
      </c>
      <c r="AW36" s="296">
        <v>59</v>
      </c>
      <c r="AX36" s="296">
        <v>67</v>
      </c>
      <c r="AY36" s="296">
        <v>72</v>
      </c>
      <c r="AZ36" s="296">
        <v>64</v>
      </c>
      <c r="BA36" s="296">
        <v>69</v>
      </c>
      <c r="BB36" s="296">
        <v>78</v>
      </c>
      <c r="BC36" s="296">
        <v>81</v>
      </c>
      <c r="BD36" s="296">
        <v>70</v>
      </c>
      <c r="BE36" s="296">
        <v>74</v>
      </c>
    </row>
    <row r="37" spans="1:57" s="296" customFormat="1">
      <c r="A37" s="296" t="s">
        <v>84</v>
      </c>
      <c r="B37" s="296" t="s">
        <v>127</v>
      </c>
      <c r="C37" s="298" t="s">
        <v>128</v>
      </c>
      <c r="D37" s="299" t="s">
        <v>111</v>
      </c>
      <c r="E37" s="300" t="s">
        <v>129</v>
      </c>
      <c r="F37" s="297">
        <v>3</v>
      </c>
      <c r="G37" s="297" t="s">
        <v>96</v>
      </c>
      <c r="H37" s="301">
        <v>691.42857142857144</v>
      </c>
      <c r="I37" s="321">
        <v>18.8</v>
      </c>
      <c r="J37" s="318">
        <v>12621</v>
      </c>
      <c r="K37" s="237">
        <v>1E-3</v>
      </c>
      <c r="L37" s="318">
        <f t="shared" si="0"/>
        <v>12608.379000000001</v>
      </c>
      <c r="M37" s="319">
        <f t="shared" si="1"/>
        <v>18.235258884297522</v>
      </c>
      <c r="N37" s="304"/>
      <c r="O37" s="304"/>
      <c r="P37" s="304"/>
      <c r="Q37" s="304"/>
      <c r="R37" s="304">
        <v>4.24</v>
      </c>
      <c r="S37" s="305">
        <v>5.04</v>
      </c>
      <c r="T37" s="305">
        <v>7.57</v>
      </c>
      <c r="U37" s="296" t="s">
        <v>115</v>
      </c>
      <c r="V37" s="306"/>
      <c r="W37" s="306"/>
      <c r="X37" s="307">
        <v>0.43</v>
      </c>
      <c r="Y37" s="307"/>
      <c r="Z37" s="304">
        <v>0.45</v>
      </c>
      <c r="AA37" s="431">
        <v>46111</v>
      </c>
      <c r="AB37" s="233">
        <f t="shared" si="4"/>
        <v>72.849999999999994</v>
      </c>
      <c r="AC37" s="233">
        <f t="shared" si="2"/>
        <v>31.325499999999998</v>
      </c>
      <c r="AD37" s="233">
        <f t="shared" si="3"/>
        <v>10.504355754375</v>
      </c>
      <c r="AE37" s="233"/>
      <c r="AF37" s="448"/>
      <c r="AH37" s="306" t="s">
        <v>91</v>
      </c>
      <c r="AI37" s="296">
        <v>80</v>
      </c>
      <c r="AJ37" s="296">
        <v>70</v>
      </c>
      <c r="AK37" s="296">
        <v>80</v>
      </c>
      <c r="AL37" s="296">
        <v>78</v>
      </c>
      <c r="AM37" s="296">
        <v>81</v>
      </c>
      <c r="AN37" s="296">
        <v>56</v>
      </c>
      <c r="AO37" s="296">
        <v>77</v>
      </c>
      <c r="AP37" s="296">
        <v>75</v>
      </c>
      <c r="AQ37" s="296">
        <v>69</v>
      </c>
      <c r="AR37" s="296">
        <v>74</v>
      </c>
      <c r="AS37" s="296">
        <v>76</v>
      </c>
      <c r="AT37" s="296">
        <v>88</v>
      </c>
      <c r="AU37" s="296">
        <v>69</v>
      </c>
      <c r="AV37" s="296">
        <v>77</v>
      </c>
      <c r="AW37" s="296">
        <v>61</v>
      </c>
      <c r="AX37" s="296">
        <v>68</v>
      </c>
      <c r="AY37" s="296">
        <v>70</v>
      </c>
      <c r="AZ37" s="296">
        <v>74</v>
      </c>
      <c r="BA37" s="296">
        <v>74</v>
      </c>
      <c r="BB37" s="296">
        <v>60</v>
      </c>
    </row>
    <row r="38" spans="1:57" s="296" customFormat="1">
      <c r="A38" s="296" t="s">
        <v>84</v>
      </c>
      <c r="B38" s="296" t="s">
        <v>127</v>
      </c>
      <c r="C38" s="298" t="s">
        <v>128</v>
      </c>
      <c r="D38" s="299" t="s">
        <v>111</v>
      </c>
      <c r="E38" s="300" t="s">
        <v>129</v>
      </c>
      <c r="F38" s="297">
        <v>3</v>
      </c>
      <c r="G38" s="297" t="s">
        <v>96</v>
      </c>
      <c r="H38" s="301">
        <v>691.42857142857144</v>
      </c>
      <c r="I38" s="321">
        <v>18.8</v>
      </c>
      <c r="J38" s="318">
        <v>12621</v>
      </c>
      <c r="K38" s="237">
        <v>1E-3</v>
      </c>
      <c r="L38" s="318">
        <f t="shared" si="0"/>
        <v>12608.379000000001</v>
      </c>
      <c r="M38" s="319">
        <f t="shared" si="1"/>
        <v>18.235258884297522</v>
      </c>
      <c r="N38" s="304"/>
      <c r="O38" s="304"/>
      <c r="P38" s="304"/>
      <c r="Q38" s="304"/>
      <c r="R38" s="304">
        <v>4.24</v>
      </c>
      <c r="S38" s="305">
        <v>5.04</v>
      </c>
      <c r="T38" s="305">
        <v>7.57</v>
      </c>
      <c r="U38" s="296" t="s">
        <v>101</v>
      </c>
      <c r="V38" s="306" t="s">
        <v>130</v>
      </c>
      <c r="W38" s="306"/>
      <c r="X38" s="307">
        <v>0.43</v>
      </c>
      <c r="Y38" s="307"/>
      <c r="Z38" s="304">
        <v>0.45</v>
      </c>
      <c r="AA38" s="431">
        <v>46120</v>
      </c>
      <c r="AB38" s="233">
        <f t="shared" si="4"/>
        <v>54.857142857142854</v>
      </c>
      <c r="AC38" s="233">
        <f t="shared" si="2"/>
        <v>23.588571428571427</v>
      </c>
      <c r="AD38" s="233">
        <f t="shared" si="3"/>
        <v>7.9099374638297872</v>
      </c>
      <c r="AE38" s="233"/>
      <c r="AF38" s="448"/>
      <c r="AH38" s="306"/>
      <c r="AI38" s="296">
        <v>49</v>
      </c>
      <c r="AJ38" s="296">
        <v>53</v>
      </c>
      <c r="AK38" s="296">
        <v>56</v>
      </c>
      <c r="AL38" s="296">
        <v>54</v>
      </c>
      <c r="AM38" s="296">
        <v>64</v>
      </c>
      <c r="AN38" s="296">
        <v>59</v>
      </c>
      <c r="AO38" s="296">
        <v>53</v>
      </c>
      <c r="AP38" s="296">
        <v>61</v>
      </c>
      <c r="AQ38" s="296">
        <v>51</v>
      </c>
      <c r="AR38" s="296">
        <v>58</v>
      </c>
      <c r="AS38" s="296">
        <v>49</v>
      </c>
      <c r="AT38" s="296">
        <v>56</v>
      </c>
      <c r="AU38" s="296">
        <v>48</v>
      </c>
      <c r="AV38" s="296">
        <v>57</v>
      </c>
    </row>
    <row r="39" spans="1:57" s="296" customFormat="1">
      <c r="A39" s="296" t="s">
        <v>84</v>
      </c>
      <c r="B39" s="296" t="s">
        <v>127</v>
      </c>
      <c r="C39" s="298" t="s">
        <v>128</v>
      </c>
      <c r="D39" s="299" t="s">
        <v>111</v>
      </c>
      <c r="E39" s="300" t="s">
        <v>129</v>
      </c>
      <c r="F39" s="297">
        <v>3</v>
      </c>
      <c r="G39" s="297" t="s">
        <v>96</v>
      </c>
      <c r="H39" s="301">
        <v>691.42857142857144</v>
      </c>
      <c r="I39" s="321">
        <v>18.8</v>
      </c>
      <c r="J39" s="318">
        <v>12621</v>
      </c>
      <c r="K39" s="237">
        <v>1E-3</v>
      </c>
      <c r="L39" s="318">
        <f t="shared" ref="L39" si="35">J39-(J39*K39)</f>
        <v>12608.379000000001</v>
      </c>
      <c r="M39" s="319">
        <f t="shared" ref="M39" si="36">L39/H39</f>
        <v>18.235258884297522</v>
      </c>
      <c r="N39" s="304"/>
      <c r="O39" s="304"/>
      <c r="P39" s="304"/>
      <c r="Q39" s="304"/>
      <c r="R39" s="304">
        <v>4.24</v>
      </c>
      <c r="S39" s="305">
        <v>5.04</v>
      </c>
      <c r="T39" s="305">
        <v>7.57</v>
      </c>
      <c r="U39" s="296" t="s">
        <v>101</v>
      </c>
      <c r="V39" s="306" t="s">
        <v>131</v>
      </c>
      <c r="W39" s="306"/>
      <c r="X39" s="307">
        <v>0.43</v>
      </c>
      <c r="Y39" s="307"/>
      <c r="Z39" s="304">
        <v>0.45</v>
      </c>
      <c r="AA39" s="431">
        <v>46155</v>
      </c>
      <c r="AB39" s="233">
        <f t="shared" ref="AB39" si="37">IFERROR(AVERAGE(AI39:BG39),"")</f>
        <v>56.875</v>
      </c>
      <c r="AC39" s="233">
        <f t="shared" ref="AC39" si="38">IFERROR(AB39*X39,"")</f>
        <v>24.456250000000001</v>
      </c>
      <c r="AD39" s="233">
        <f t="shared" ref="AD39" si="39">IFERROR(((AC39*L39)/2000)/I39,"")</f>
        <v>8.2008954499667563</v>
      </c>
      <c r="AE39" s="233"/>
      <c r="AF39" s="448"/>
      <c r="AH39" s="306" t="s">
        <v>116</v>
      </c>
      <c r="AI39" s="296">
        <v>65</v>
      </c>
      <c r="AJ39" s="296">
        <v>69</v>
      </c>
      <c r="AK39" s="296">
        <v>71</v>
      </c>
      <c r="AL39" s="296">
        <v>58</v>
      </c>
      <c r="AM39" s="296">
        <v>67</v>
      </c>
      <c r="AN39" s="296">
        <v>55</v>
      </c>
      <c r="AO39" s="296">
        <v>59</v>
      </c>
      <c r="AP39" s="296">
        <v>54</v>
      </c>
      <c r="AQ39" s="296">
        <v>6</v>
      </c>
      <c r="AR39" s="296">
        <v>51</v>
      </c>
      <c r="AS39" s="296">
        <v>58</v>
      </c>
      <c r="AT39" s="296">
        <v>62</v>
      </c>
      <c r="AU39" s="296">
        <v>56</v>
      </c>
      <c r="AV39" s="296">
        <v>57</v>
      </c>
      <c r="AW39" s="296">
        <v>58</v>
      </c>
      <c r="AX39" s="296">
        <v>64</v>
      </c>
    </row>
    <row r="40" spans="1:57" s="296" customFormat="1">
      <c r="A40" s="296" t="s">
        <v>84</v>
      </c>
      <c r="B40" s="296" t="s">
        <v>127</v>
      </c>
      <c r="C40" s="298" t="s">
        <v>128</v>
      </c>
      <c r="D40" s="299" t="s">
        <v>111</v>
      </c>
      <c r="E40" s="300" t="s">
        <v>129</v>
      </c>
      <c r="F40" s="297">
        <v>3</v>
      </c>
      <c r="G40" s="297" t="s">
        <v>96</v>
      </c>
      <c r="H40" s="301">
        <v>691.42857142857144</v>
      </c>
      <c r="I40" s="321">
        <v>18.8</v>
      </c>
      <c r="J40" s="318">
        <v>12621</v>
      </c>
      <c r="K40" s="237">
        <v>1E-3</v>
      </c>
      <c r="L40" s="318">
        <f t="shared" ref="L40" si="40">J40-(J40*K40)</f>
        <v>12608.379000000001</v>
      </c>
      <c r="M40" s="319">
        <f t="shared" ref="M40" si="41">L40/H40</f>
        <v>18.235258884297522</v>
      </c>
      <c r="N40" s="304"/>
      <c r="O40" s="304"/>
      <c r="P40" s="304"/>
      <c r="Q40" s="304"/>
      <c r="R40" s="304">
        <v>4.24</v>
      </c>
      <c r="S40" s="305">
        <v>5.04</v>
      </c>
      <c r="T40" s="305">
        <v>7.57</v>
      </c>
      <c r="U40" s="296" t="s">
        <v>101</v>
      </c>
      <c r="V40" s="306" t="s">
        <v>131</v>
      </c>
      <c r="W40" s="306"/>
      <c r="X40" s="307">
        <v>0.43</v>
      </c>
      <c r="Y40" s="307"/>
      <c r="Z40" s="304">
        <v>0.45</v>
      </c>
      <c r="AA40" s="431">
        <v>46175</v>
      </c>
      <c r="AB40" s="233">
        <f t="shared" ref="AB40" si="42">IFERROR(AVERAGE(AI40:BG40),"")</f>
        <v>55.06666666666667</v>
      </c>
      <c r="AC40" s="233">
        <f t="shared" ref="AC40" si="43">IFERROR(AB40*X40,"")</f>
        <v>23.678666666666668</v>
      </c>
      <c r="AD40" s="233">
        <f t="shared" ref="AD40" si="44">IFERROR(((AC40*L40)/2000)/I40,"")</f>
        <v>7.9401490305319156</v>
      </c>
      <c r="AE40" s="233"/>
      <c r="AF40" s="448"/>
      <c r="AH40" s="306" t="s">
        <v>116</v>
      </c>
      <c r="AI40" s="296">
        <v>55</v>
      </c>
      <c r="AJ40" s="296">
        <v>50</v>
      </c>
      <c r="AK40" s="296">
        <v>49</v>
      </c>
      <c r="AL40" s="296">
        <v>52</v>
      </c>
      <c r="AM40" s="296">
        <v>60</v>
      </c>
      <c r="AN40" s="296">
        <v>48</v>
      </c>
      <c r="AO40" s="296">
        <v>57</v>
      </c>
      <c r="AP40" s="296">
        <v>55</v>
      </c>
      <c r="AQ40" s="296">
        <v>61</v>
      </c>
      <c r="AR40" s="296">
        <v>49</v>
      </c>
      <c r="AS40" s="296">
        <v>49</v>
      </c>
      <c r="AT40" s="296">
        <v>59</v>
      </c>
      <c r="AU40" s="296">
        <v>61</v>
      </c>
      <c r="AV40" s="296">
        <v>63</v>
      </c>
      <c r="AW40" s="296">
        <v>58</v>
      </c>
    </row>
    <row r="41" spans="1:57" s="296" customFormat="1">
      <c r="A41" s="296" t="s">
        <v>84</v>
      </c>
      <c r="B41" s="296" t="s">
        <v>127</v>
      </c>
      <c r="C41" s="298" t="s">
        <v>128</v>
      </c>
      <c r="D41" s="299" t="s">
        <v>111</v>
      </c>
      <c r="E41" s="300" t="s">
        <v>129</v>
      </c>
      <c r="F41" s="297">
        <v>3</v>
      </c>
      <c r="G41" s="297" t="s">
        <v>96</v>
      </c>
      <c r="H41" s="301">
        <v>691.42857142857144</v>
      </c>
      <c r="I41" s="321">
        <v>18.8</v>
      </c>
      <c r="J41" s="318">
        <v>12621</v>
      </c>
      <c r="K41" s="237">
        <v>1E-3</v>
      </c>
      <c r="L41" s="318">
        <f t="shared" ref="L41" si="45">J41-(J41*K41)</f>
        <v>12608.379000000001</v>
      </c>
      <c r="M41" s="319">
        <f t="shared" ref="M41" si="46">L41/H41</f>
        <v>18.235258884297522</v>
      </c>
      <c r="N41" s="304"/>
      <c r="O41" s="304"/>
      <c r="P41" s="304"/>
      <c r="Q41" s="304"/>
      <c r="R41" s="304">
        <v>4.24</v>
      </c>
      <c r="S41" s="305">
        <v>5.04</v>
      </c>
      <c r="T41" s="305">
        <v>7.57</v>
      </c>
      <c r="U41" s="296" t="s">
        <v>101</v>
      </c>
      <c r="V41" s="306" t="s">
        <v>131</v>
      </c>
      <c r="W41" s="306"/>
      <c r="X41" s="307">
        <v>0.43</v>
      </c>
      <c r="Y41" s="307"/>
      <c r="Z41" s="304">
        <v>0.45</v>
      </c>
      <c r="AA41" s="431">
        <v>46175</v>
      </c>
      <c r="AB41" s="233">
        <f t="shared" ref="AB41" si="47">IFERROR(AVERAGE(AI41:BG41),"")</f>
        <v>48.466666666666669</v>
      </c>
      <c r="AC41" s="233">
        <f t="shared" ref="AC41" si="48">IFERROR(AB41*X41,"")</f>
        <v>20.840666666666667</v>
      </c>
      <c r="AD41" s="233">
        <f t="shared" ref="AD41" si="49">IFERROR(((AC41*L41)/2000)/I41,"")</f>
        <v>6.9884846794148947</v>
      </c>
      <c r="AE41" s="233"/>
      <c r="AF41" s="448"/>
      <c r="AH41" s="306" t="s">
        <v>116</v>
      </c>
      <c r="AI41" s="296">
        <v>49</v>
      </c>
      <c r="AJ41" s="296">
        <v>43</v>
      </c>
      <c r="AK41" s="296">
        <v>53</v>
      </c>
      <c r="AL41" s="296">
        <v>50</v>
      </c>
      <c r="AM41" s="296">
        <v>46</v>
      </c>
      <c r="AN41" s="296">
        <v>40</v>
      </c>
      <c r="AO41" s="296">
        <v>49</v>
      </c>
      <c r="AP41" s="296">
        <v>55</v>
      </c>
      <c r="AQ41" s="296">
        <v>43</v>
      </c>
      <c r="AR41" s="296">
        <v>51</v>
      </c>
      <c r="AS41" s="296">
        <v>53</v>
      </c>
      <c r="AT41" s="296">
        <v>47</v>
      </c>
      <c r="AU41" s="296">
        <v>50</v>
      </c>
      <c r="AV41" s="296">
        <v>43</v>
      </c>
      <c r="AW41" s="296">
        <v>55</v>
      </c>
    </row>
    <row r="42" spans="1:57" s="113" customFormat="1">
      <c r="A42" s="113" t="s">
        <v>84</v>
      </c>
      <c r="B42" s="113" t="s">
        <v>132</v>
      </c>
      <c r="C42" s="114" t="s">
        <v>133</v>
      </c>
      <c r="D42" s="128" t="s">
        <v>111</v>
      </c>
      <c r="E42" s="127" t="s">
        <v>134</v>
      </c>
      <c r="F42" s="313" t="s">
        <v>135</v>
      </c>
      <c r="G42" s="126" t="s">
        <v>136</v>
      </c>
      <c r="H42" s="123">
        <v>806.66666666666663</v>
      </c>
      <c r="I42" s="312">
        <v>21</v>
      </c>
      <c r="J42" s="310">
        <v>16549</v>
      </c>
      <c r="K42" s="124">
        <v>1E-3</v>
      </c>
      <c r="L42" s="310">
        <f t="shared" si="0"/>
        <v>16532.451000000001</v>
      </c>
      <c r="M42" s="311">
        <f t="shared" si="1"/>
        <v>20.494773966942152</v>
      </c>
      <c r="N42" s="125"/>
      <c r="O42" s="125"/>
      <c r="P42" s="125"/>
      <c r="Q42" s="125"/>
      <c r="R42" s="125">
        <v>3.55</v>
      </c>
      <c r="S42" s="154">
        <v>7</v>
      </c>
      <c r="T42" s="154">
        <v>6.23</v>
      </c>
      <c r="V42" s="115"/>
      <c r="W42" s="115"/>
      <c r="X42" s="120">
        <v>0.32</v>
      </c>
      <c r="Y42" s="120"/>
      <c r="Z42" s="118">
        <v>0.33</v>
      </c>
      <c r="AA42" s="430">
        <v>46139</v>
      </c>
      <c r="AB42" s="117">
        <f t="shared" si="4"/>
        <v>61.6</v>
      </c>
      <c r="AC42" s="117">
        <f t="shared" si="2"/>
        <v>19.712</v>
      </c>
      <c r="AD42" s="117">
        <f t="shared" si="3"/>
        <v>7.7592303359999999</v>
      </c>
      <c r="AE42" s="117"/>
      <c r="AF42" s="447"/>
      <c r="AH42" s="115" t="s">
        <v>91</v>
      </c>
      <c r="AI42" s="113">
        <v>72</v>
      </c>
      <c r="AJ42" s="113">
        <v>38</v>
      </c>
      <c r="AK42" s="113">
        <v>88</v>
      </c>
      <c r="AL42" s="113">
        <v>75</v>
      </c>
      <c r="AM42" s="113">
        <v>57</v>
      </c>
      <c r="AN42" s="113">
        <v>89</v>
      </c>
      <c r="AO42" s="113">
        <v>55</v>
      </c>
      <c r="AP42" s="113">
        <v>43</v>
      </c>
      <c r="AQ42" s="113">
        <v>48</v>
      </c>
      <c r="AR42" s="113">
        <v>51</v>
      </c>
    </row>
    <row r="43" spans="1:57" s="113" customFormat="1">
      <c r="A43" s="113" t="s">
        <v>84</v>
      </c>
      <c r="B43" s="113" t="s">
        <v>132</v>
      </c>
      <c r="C43" s="114" t="s">
        <v>133</v>
      </c>
      <c r="D43" s="128" t="s">
        <v>111</v>
      </c>
      <c r="E43" s="127" t="s">
        <v>134</v>
      </c>
      <c r="F43" s="313" t="s">
        <v>135</v>
      </c>
      <c r="G43" s="126" t="s">
        <v>136</v>
      </c>
      <c r="H43" s="123">
        <v>806.66666666666663</v>
      </c>
      <c r="I43" s="312">
        <v>21</v>
      </c>
      <c r="J43" s="310">
        <v>16549</v>
      </c>
      <c r="K43" s="124">
        <v>1E-3</v>
      </c>
      <c r="L43" s="310">
        <f t="shared" ref="L43:L78" si="50">J43-(J43*K43)</f>
        <v>16532.451000000001</v>
      </c>
      <c r="M43" s="311">
        <f t="shared" ref="M43:M78" si="51">L43/H43</f>
        <v>20.494773966942152</v>
      </c>
      <c r="N43" s="125"/>
      <c r="O43" s="125"/>
      <c r="P43" s="125"/>
      <c r="Q43" s="125"/>
      <c r="R43" s="125">
        <v>3.55</v>
      </c>
      <c r="S43" s="154">
        <v>7</v>
      </c>
      <c r="T43" s="154">
        <v>6.23</v>
      </c>
      <c r="V43" s="115"/>
      <c r="W43" s="115"/>
      <c r="X43" s="120">
        <v>0.32</v>
      </c>
      <c r="Y43" s="120"/>
      <c r="Z43" s="118">
        <v>0.33</v>
      </c>
      <c r="AA43" s="430">
        <v>46188</v>
      </c>
      <c r="AB43" s="117">
        <v>63</v>
      </c>
      <c r="AC43" s="117">
        <f t="shared" ref="AC43:AC78" si="52">IFERROR(AB43*X43,"")</f>
        <v>20.16</v>
      </c>
      <c r="AD43" s="117">
        <f t="shared" si="3"/>
        <v>7.935576479999999</v>
      </c>
      <c r="AE43" s="117"/>
      <c r="AF43" s="447"/>
      <c r="AH43" s="115" t="s">
        <v>137</v>
      </c>
    </row>
    <row r="44" spans="1:57" s="113" customFormat="1">
      <c r="A44" s="113" t="s">
        <v>84</v>
      </c>
      <c r="B44" s="113" t="s">
        <v>132</v>
      </c>
      <c r="C44" s="114" t="s">
        <v>133</v>
      </c>
      <c r="D44" s="128" t="s">
        <v>111</v>
      </c>
      <c r="E44" s="127" t="s">
        <v>134</v>
      </c>
      <c r="F44" s="313" t="s">
        <v>135</v>
      </c>
      <c r="G44" s="126" t="s">
        <v>136</v>
      </c>
      <c r="H44" s="123">
        <v>806.66666666666663</v>
      </c>
      <c r="I44" s="312">
        <v>21</v>
      </c>
      <c r="J44" s="310">
        <v>16549</v>
      </c>
      <c r="K44" s="124">
        <v>1E-3</v>
      </c>
      <c r="L44" s="310">
        <f t="shared" si="50"/>
        <v>16532.451000000001</v>
      </c>
      <c r="M44" s="311">
        <f t="shared" si="51"/>
        <v>20.494773966942152</v>
      </c>
      <c r="N44" s="125"/>
      <c r="O44" s="125"/>
      <c r="P44" s="125"/>
      <c r="Q44" s="125"/>
      <c r="R44" s="125">
        <v>3.55</v>
      </c>
      <c r="S44" s="154">
        <v>7</v>
      </c>
      <c r="T44" s="154">
        <v>6.23</v>
      </c>
      <c r="V44" s="115"/>
      <c r="W44" s="115"/>
      <c r="X44" s="120">
        <v>0.32</v>
      </c>
      <c r="Y44" s="120"/>
      <c r="Z44" s="118">
        <v>0.33</v>
      </c>
      <c r="AA44" s="430"/>
      <c r="AB44" s="117" t="str">
        <f t="shared" si="4"/>
        <v/>
      </c>
      <c r="AC44" s="117" t="str">
        <f t="shared" si="52"/>
        <v/>
      </c>
      <c r="AD44" s="117" t="str">
        <f t="shared" si="3"/>
        <v/>
      </c>
      <c r="AE44" s="117"/>
      <c r="AF44" s="447"/>
      <c r="AH44" s="115"/>
    </row>
    <row r="45" spans="1:57" s="113" customFormat="1">
      <c r="A45" s="113" t="s">
        <v>84</v>
      </c>
      <c r="B45" s="113" t="s">
        <v>132</v>
      </c>
      <c r="C45" s="114" t="s">
        <v>133</v>
      </c>
      <c r="D45" s="128" t="s">
        <v>111</v>
      </c>
      <c r="E45" s="127" t="s">
        <v>134</v>
      </c>
      <c r="F45" s="313" t="s">
        <v>135</v>
      </c>
      <c r="G45" s="126" t="s">
        <v>136</v>
      </c>
      <c r="H45" s="123">
        <v>806.66666666666663</v>
      </c>
      <c r="I45" s="312">
        <v>21</v>
      </c>
      <c r="J45" s="310">
        <v>16549</v>
      </c>
      <c r="K45" s="124">
        <v>1E-3</v>
      </c>
      <c r="L45" s="310">
        <f t="shared" si="50"/>
        <v>16532.451000000001</v>
      </c>
      <c r="M45" s="311">
        <f t="shared" si="51"/>
        <v>20.494773966942152</v>
      </c>
      <c r="N45" s="125"/>
      <c r="O45" s="125"/>
      <c r="P45" s="125"/>
      <c r="Q45" s="125"/>
      <c r="R45" s="125">
        <v>3.55</v>
      </c>
      <c r="S45" s="154">
        <v>7</v>
      </c>
      <c r="T45" s="154">
        <v>6.23</v>
      </c>
      <c r="V45" s="115"/>
      <c r="W45" s="115"/>
      <c r="X45" s="120">
        <v>0.32</v>
      </c>
      <c r="Y45" s="120"/>
      <c r="Z45" s="118">
        <v>0.33</v>
      </c>
      <c r="AA45" s="430"/>
      <c r="AB45" s="117" t="str">
        <f t="shared" si="4"/>
        <v/>
      </c>
      <c r="AC45" s="117" t="str">
        <f t="shared" si="52"/>
        <v/>
      </c>
      <c r="AD45" s="117" t="str">
        <f t="shared" si="3"/>
        <v/>
      </c>
      <c r="AE45" s="117"/>
      <c r="AF45" s="447"/>
      <c r="AH45" s="115"/>
    </row>
    <row r="46" spans="1:57" s="296" customFormat="1">
      <c r="A46" s="296" t="s">
        <v>84</v>
      </c>
      <c r="B46" s="296" t="s">
        <v>138</v>
      </c>
      <c r="C46" s="298" t="s">
        <v>139</v>
      </c>
      <c r="D46" s="299" t="s">
        <v>87</v>
      </c>
      <c r="E46" s="300" t="s">
        <v>129</v>
      </c>
      <c r="F46" s="297"/>
      <c r="G46" s="297" t="s">
        <v>140</v>
      </c>
      <c r="H46" s="301">
        <v>622.28571428571433</v>
      </c>
      <c r="I46" s="302">
        <v>17.14</v>
      </c>
      <c r="J46" s="301">
        <v>10298</v>
      </c>
      <c r="K46" s="237"/>
      <c r="L46" s="301">
        <f t="shared" si="50"/>
        <v>10298</v>
      </c>
      <c r="M46" s="303">
        <f t="shared" si="51"/>
        <v>16.548668503213957</v>
      </c>
      <c r="N46" s="304">
        <v>6.35</v>
      </c>
      <c r="O46" s="304">
        <v>5.49</v>
      </c>
      <c r="P46" s="304">
        <v>5.16</v>
      </c>
      <c r="Q46" s="304">
        <v>6.83</v>
      </c>
      <c r="R46" s="304">
        <v>7.27</v>
      </c>
      <c r="S46" s="305">
        <v>7.28</v>
      </c>
      <c r="T46" s="305">
        <v>6.12</v>
      </c>
      <c r="V46" s="306"/>
      <c r="W46" s="306"/>
      <c r="X46" s="307">
        <v>0.4</v>
      </c>
      <c r="Y46" s="307"/>
      <c r="Z46" s="304">
        <v>0.45</v>
      </c>
      <c r="AA46" s="431">
        <v>46114</v>
      </c>
      <c r="AB46" s="233">
        <f t="shared" si="4"/>
        <v>66.2</v>
      </c>
      <c r="AC46" s="233">
        <f t="shared" si="52"/>
        <v>26.480000000000004</v>
      </c>
      <c r="AD46" s="233">
        <f t="shared" si="3"/>
        <v>7.9548144690781806</v>
      </c>
      <c r="AE46" s="233"/>
      <c r="AF46" s="448"/>
      <c r="AH46" s="306"/>
      <c r="AI46" s="296">
        <v>46</v>
      </c>
      <c r="AJ46" s="296">
        <v>64</v>
      </c>
      <c r="AK46" s="296">
        <v>50</v>
      </c>
      <c r="AL46" s="296">
        <v>57</v>
      </c>
      <c r="AM46" s="296">
        <v>58</v>
      </c>
      <c r="AN46" s="296">
        <v>59</v>
      </c>
      <c r="AO46" s="296">
        <v>45</v>
      </c>
      <c r="AP46" s="296">
        <v>76</v>
      </c>
      <c r="AQ46" s="296">
        <v>73</v>
      </c>
      <c r="AR46" s="296">
        <v>62</v>
      </c>
      <c r="AS46" s="296">
        <v>63</v>
      </c>
      <c r="AT46" s="296">
        <v>43</v>
      </c>
      <c r="AU46" s="296">
        <v>74</v>
      </c>
      <c r="AV46" s="296">
        <v>64</v>
      </c>
      <c r="AW46" s="296">
        <v>83</v>
      </c>
      <c r="AX46" s="296">
        <v>77</v>
      </c>
      <c r="AY46" s="296">
        <v>91</v>
      </c>
      <c r="AZ46" s="296">
        <v>61</v>
      </c>
      <c r="BA46" s="296">
        <v>77</v>
      </c>
      <c r="BB46" s="296">
        <v>101</v>
      </c>
    </row>
    <row r="47" spans="1:57" s="296" customFormat="1">
      <c r="A47" s="296" t="s">
        <v>84</v>
      </c>
      <c r="B47" s="296" t="s">
        <v>138</v>
      </c>
      <c r="C47" s="298" t="s">
        <v>139</v>
      </c>
      <c r="D47" s="299" t="s">
        <v>87</v>
      </c>
      <c r="E47" s="300" t="s">
        <v>129</v>
      </c>
      <c r="F47" s="297"/>
      <c r="G47" s="297" t="s">
        <v>140</v>
      </c>
      <c r="H47" s="301">
        <v>622.28571428571433</v>
      </c>
      <c r="I47" s="302">
        <v>17.14</v>
      </c>
      <c r="J47" s="301">
        <v>10298</v>
      </c>
      <c r="K47" s="237"/>
      <c r="L47" s="301">
        <f t="shared" si="50"/>
        <v>10298</v>
      </c>
      <c r="M47" s="303">
        <f t="shared" si="51"/>
        <v>16.548668503213957</v>
      </c>
      <c r="N47" s="304">
        <v>6.35</v>
      </c>
      <c r="O47" s="304">
        <v>5.49</v>
      </c>
      <c r="P47" s="304">
        <v>5.16</v>
      </c>
      <c r="Q47" s="304">
        <v>6.83</v>
      </c>
      <c r="R47" s="304">
        <v>7.27</v>
      </c>
      <c r="S47" s="305">
        <v>7.28</v>
      </c>
      <c r="T47" s="305">
        <v>6.12</v>
      </c>
      <c r="V47" s="306"/>
      <c r="W47" s="306"/>
      <c r="X47" s="307">
        <v>0.4</v>
      </c>
      <c r="Y47" s="307"/>
      <c r="Z47" s="304">
        <v>0.45</v>
      </c>
      <c r="AA47" s="431">
        <v>46177</v>
      </c>
      <c r="AB47" s="233">
        <f t="shared" si="4"/>
        <v>57.533333333333331</v>
      </c>
      <c r="AC47" s="233">
        <f t="shared" si="52"/>
        <v>23.013333333333335</v>
      </c>
      <c r="AD47" s="233">
        <f t="shared" si="3"/>
        <v>6.9133986775573719</v>
      </c>
      <c r="AE47" s="233"/>
      <c r="AF47" s="448"/>
      <c r="AH47" s="306"/>
      <c r="AI47" s="296">
        <v>51</v>
      </c>
      <c r="AJ47" s="296">
        <v>63</v>
      </c>
      <c r="AK47" s="296">
        <v>60</v>
      </c>
      <c r="AL47" s="296">
        <v>58</v>
      </c>
      <c r="AM47" s="296">
        <v>49</v>
      </c>
      <c r="AN47" s="296">
        <v>57</v>
      </c>
      <c r="AO47" s="296">
        <v>60</v>
      </c>
      <c r="AP47" s="296">
        <v>58</v>
      </c>
      <c r="AQ47" s="296">
        <v>58</v>
      </c>
      <c r="AR47" s="296">
        <v>62</v>
      </c>
      <c r="AS47" s="296">
        <v>60</v>
      </c>
      <c r="AT47" s="296">
        <v>46</v>
      </c>
      <c r="AU47" s="296">
        <v>59</v>
      </c>
      <c r="AV47" s="296">
        <v>67</v>
      </c>
      <c r="AW47" s="296">
        <v>55</v>
      </c>
    </row>
    <row r="48" spans="1:57" s="296" customFormat="1">
      <c r="A48" s="296" t="s">
        <v>84</v>
      </c>
      <c r="B48" s="296" t="s">
        <v>138</v>
      </c>
      <c r="C48" s="298" t="s">
        <v>139</v>
      </c>
      <c r="D48" s="299" t="s">
        <v>87</v>
      </c>
      <c r="E48" s="300" t="s">
        <v>129</v>
      </c>
      <c r="F48" s="297"/>
      <c r="G48" s="297" t="s">
        <v>140</v>
      </c>
      <c r="H48" s="301">
        <v>622.28571428571433</v>
      </c>
      <c r="I48" s="302">
        <v>17.14</v>
      </c>
      <c r="J48" s="301">
        <v>10298</v>
      </c>
      <c r="K48" s="237"/>
      <c r="L48" s="301">
        <f t="shared" ref="L48" si="53">J48-(J48*K48)</f>
        <v>10298</v>
      </c>
      <c r="M48" s="303">
        <f t="shared" ref="M48" si="54">L48/H48</f>
        <v>16.548668503213957</v>
      </c>
      <c r="N48" s="304">
        <v>6.35</v>
      </c>
      <c r="O48" s="304">
        <v>5.49</v>
      </c>
      <c r="P48" s="304">
        <v>5.16</v>
      </c>
      <c r="Q48" s="304">
        <v>6.83</v>
      </c>
      <c r="R48" s="304">
        <v>7.27</v>
      </c>
      <c r="S48" s="305">
        <v>7.28</v>
      </c>
      <c r="T48" s="305">
        <v>6.12</v>
      </c>
      <c r="V48" s="306"/>
      <c r="W48" s="306"/>
      <c r="X48" s="307">
        <v>0.4</v>
      </c>
      <c r="Y48" s="307"/>
      <c r="Z48" s="304">
        <v>0.45</v>
      </c>
      <c r="AA48" s="431">
        <v>46191</v>
      </c>
      <c r="AB48" s="233">
        <f t="shared" ref="AB48" si="55">IFERROR(AVERAGE(AI48:BG48),"")</f>
        <v>72.533333333333331</v>
      </c>
      <c r="AC48" s="233">
        <f t="shared" ref="AC48" si="56">IFERROR(AB48*X48,"")</f>
        <v>29.013333333333335</v>
      </c>
      <c r="AD48" s="233">
        <f t="shared" ref="AD48" si="57">IFERROR(((AC48*L48)/2000)/I48,"")</f>
        <v>8.7158490859587712</v>
      </c>
      <c r="AE48" s="233"/>
      <c r="AF48" s="448"/>
      <c r="AH48" s="306" t="s">
        <v>91</v>
      </c>
      <c r="AI48" s="296">
        <v>63</v>
      </c>
      <c r="AJ48" s="296">
        <v>64</v>
      </c>
      <c r="AK48" s="296">
        <v>69</v>
      </c>
      <c r="AL48" s="296">
        <v>62</v>
      </c>
      <c r="AM48" s="296">
        <v>81</v>
      </c>
      <c r="AN48" s="296">
        <v>83</v>
      </c>
      <c r="AO48" s="296">
        <v>76</v>
      </c>
      <c r="AP48" s="296">
        <v>89</v>
      </c>
      <c r="AQ48" s="296">
        <v>95</v>
      </c>
      <c r="AR48" s="296">
        <v>64</v>
      </c>
      <c r="AS48" s="296">
        <v>73</v>
      </c>
      <c r="AT48" s="296">
        <v>81</v>
      </c>
      <c r="AU48" s="296">
        <v>77</v>
      </c>
      <c r="AV48" s="296">
        <v>56</v>
      </c>
      <c r="AW48" s="296">
        <v>55</v>
      </c>
    </row>
    <row r="49" spans="1:55" s="113" customFormat="1">
      <c r="A49" s="113" t="s">
        <v>84</v>
      </c>
      <c r="B49" s="113" t="s">
        <v>141</v>
      </c>
      <c r="C49" s="114" t="s">
        <v>142</v>
      </c>
      <c r="D49" s="128" t="s">
        <v>87</v>
      </c>
      <c r="E49" s="127" t="s">
        <v>129</v>
      </c>
      <c r="F49" s="126"/>
      <c r="G49" s="126" t="s">
        <v>140</v>
      </c>
      <c r="H49" s="123">
        <v>622.28571428571433</v>
      </c>
      <c r="I49" s="125">
        <v>11.79</v>
      </c>
      <c r="J49" s="123">
        <v>7170</v>
      </c>
      <c r="K49" s="124"/>
      <c r="L49" s="123">
        <f t="shared" si="50"/>
        <v>7170</v>
      </c>
      <c r="M49" s="122">
        <f t="shared" si="51"/>
        <v>11.522038567493112</v>
      </c>
      <c r="N49" s="118">
        <v>5.89</v>
      </c>
      <c r="O49" s="118">
        <v>6.89</v>
      </c>
      <c r="P49" s="118">
        <v>6.35</v>
      </c>
      <c r="Q49" s="118">
        <v>5.93</v>
      </c>
      <c r="R49" s="118">
        <v>7.78</v>
      </c>
      <c r="S49" s="153">
        <v>8.34</v>
      </c>
      <c r="T49" s="153">
        <v>4.76</v>
      </c>
      <c r="V49" s="115"/>
      <c r="W49" s="115"/>
      <c r="X49" s="120">
        <v>0.3</v>
      </c>
      <c r="Y49" s="120"/>
      <c r="Z49" s="118">
        <v>0.45</v>
      </c>
      <c r="AA49" s="430">
        <v>46114</v>
      </c>
      <c r="AB49" s="117">
        <f t="shared" si="4"/>
        <v>71.952380952380949</v>
      </c>
      <c r="AC49" s="117">
        <f t="shared" si="52"/>
        <v>21.585714285714285</v>
      </c>
      <c r="AD49" s="117">
        <f t="shared" si="3"/>
        <v>6.5635950563431482</v>
      </c>
      <c r="AE49" s="117"/>
      <c r="AF49" s="447"/>
      <c r="AH49" s="115"/>
      <c r="AI49" s="113">
        <v>83</v>
      </c>
      <c r="AJ49" s="113">
        <v>43</v>
      </c>
      <c r="AK49" s="113">
        <v>75</v>
      </c>
      <c r="AL49" s="113">
        <v>56</v>
      </c>
      <c r="AM49" s="113">
        <v>60</v>
      </c>
      <c r="AN49" s="113">
        <v>61</v>
      </c>
      <c r="AO49" s="113">
        <v>70</v>
      </c>
      <c r="AP49" s="113">
        <v>86</v>
      </c>
      <c r="AQ49" s="113">
        <v>89</v>
      </c>
      <c r="AR49" s="113">
        <v>59</v>
      </c>
      <c r="AS49" s="113">
        <v>68</v>
      </c>
      <c r="AT49" s="113">
        <v>67</v>
      </c>
      <c r="AU49" s="113">
        <v>72</v>
      </c>
      <c r="AV49" s="113">
        <v>73</v>
      </c>
      <c r="AW49" s="113">
        <v>73</v>
      </c>
      <c r="AX49" s="113">
        <v>73</v>
      </c>
      <c r="AY49" s="113">
        <v>61</v>
      </c>
      <c r="AZ49" s="113">
        <v>72</v>
      </c>
      <c r="BA49" s="113">
        <v>95</v>
      </c>
      <c r="BB49" s="113">
        <v>96</v>
      </c>
      <c r="BC49" s="113">
        <v>79</v>
      </c>
    </row>
    <row r="50" spans="1:55" s="113" customFormat="1">
      <c r="A50" s="113" t="s">
        <v>84</v>
      </c>
      <c r="B50" s="113" t="s">
        <v>141</v>
      </c>
      <c r="C50" s="114" t="s">
        <v>142</v>
      </c>
      <c r="D50" s="128" t="s">
        <v>87</v>
      </c>
      <c r="E50" s="127" t="s">
        <v>129</v>
      </c>
      <c r="F50" s="126"/>
      <c r="G50" s="126" t="s">
        <v>140</v>
      </c>
      <c r="H50" s="123">
        <v>622.28571428571433</v>
      </c>
      <c r="I50" s="125">
        <v>11.79</v>
      </c>
      <c r="J50" s="123">
        <v>7170</v>
      </c>
      <c r="K50" s="124"/>
      <c r="L50" s="123">
        <f t="shared" si="50"/>
        <v>7170</v>
      </c>
      <c r="M50" s="122">
        <f t="shared" si="51"/>
        <v>11.522038567493112</v>
      </c>
      <c r="N50" s="118">
        <v>5.89</v>
      </c>
      <c r="O50" s="118">
        <v>6.89</v>
      </c>
      <c r="P50" s="118">
        <v>6.35</v>
      </c>
      <c r="Q50" s="118">
        <v>5.93</v>
      </c>
      <c r="R50" s="118">
        <v>7.78</v>
      </c>
      <c r="S50" s="153">
        <v>8.34</v>
      </c>
      <c r="T50" s="153">
        <v>4.76</v>
      </c>
      <c r="V50" s="115"/>
      <c r="W50" s="115"/>
      <c r="X50" s="120">
        <v>0.3</v>
      </c>
      <c r="Y50" s="120"/>
      <c r="Z50" s="118">
        <v>0.45</v>
      </c>
      <c r="AA50" s="430">
        <v>46163</v>
      </c>
      <c r="AB50" s="117">
        <f t="shared" si="4"/>
        <v>75.86666666666666</v>
      </c>
      <c r="AC50" s="117">
        <f t="shared" si="52"/>
        <v>22.759999999999998</v>
      </c>
      <c r="AD50" s="117">
        <f t="shared" si="3"/>
        <v>6.9206615776081417</v>
      </c>
      <c r="AE50" s="117"/>
      <c r="AF50" s="447"/>
      <c r="AG50" s="175"/>
      <c r="AH50" s="115"/>
      <c r="AI50" s="113">
        <v>72</v>
      </c>
      <c r="AJ50" s="113">
        <v>83</v>
      </c>
      <c r="AK50" s="113">
        <v>80</v>
      </c>
      <c r="AL50" s="113">
        <v>78</v>
      </c>
      <c r="AM50" s="113">
        <v>70</v>
      </c>
      <c r="AN50" s="113">
        <v>74</v>
      </c>
      <c r="AO50" s="113">
        <v>83</v>
      </c>
      <c r="AP50" s="113">
        <v>69</v>
      </c>
      <c r="AQ50" s="113">
        <v>70</v>
      </c>
      <c r="AR50" s="113">
        <v>77</v>
      </c>
      <c r="AS50" s="113">
        <v>85</v>
      </c>
      <c r="AT50" s="113">
        <v>80</v>
      </c>
      <c r="AU50" s="113">
        <v>69</v>
      </c>
      <c r="AV50" s="113">
        <v>70</v>
      </c>
      <c r="AW50" s="113">
        <v>78</v>
      </c>
    </row>
    <row r="51" spans="1:55" s="113" customFormat="1">
      <c r="A51" s="113" t="s">
        <v>84</v>
      </c>
      <c r="B51" s="113" t="s">
        <v>141</v>
      </c>
      <c r="C51" s="114" t="s">
        <v>142</v>
      </c>
      <c r="D51" s="128" t="s">
        <v>87</v>
      </c>
      <c r="E51" s="127" t="s">
        <v>129</v>
      </c>
      <c r="F51" s="126"/>
      <c r="G51" s="126" t="s">
        <v>140</v>
      </c>
      <c r="H51" s="123">
        <v>622.28571428571433</v>
      </c>
      <c r="I51" s="125">
        <v>11.79</v>
      </c>
      <c r="J51" s="123">
        <v>7170</v>
      </c>
      <c r="K51" s="124"/>
      <c r="L51" s="123">
        <f t="shared" ref="L51" si="58">J51-(J51*K51)</f>
        <v>7170</v>
      </c>
      <c r="M51" s="122">
        <f t="shared" ref="M51" si="59">L51/H51</f>
        <v>11.522038567493112</v>
      </c>
      <c r="N51" s="118">
        <v>5.89</v>
      </c>
      <c r="O51" s="118">
        <v>6.89</v>
      </c>
      <c r="P51" s="118">
        <v>6.35</v>
      </c>
      <c r="Q51" s="118">
        <v>5.93</v>
      </c>
      <c r="R51" s="118">
        <v>7.78</v>
      </c>
      <c r="S51" s="153">
        <v>8.34</v>
      </c>
      <c r="T51" s="153">
        <v>4.76</v>
      </c>
      <c r="V51" s="115"/>
      <c r="W51" s="115"/>
      <c r="X51" s="120">
        <v>0.3</v>
      </c>
      <c r="Y51" s="120"/>
      <c r="Z51" s="118">
        <v>0.45</v>
      </c>
      <c r="AA51" s="430">
        <v>46177</v>
      </c>
      <c r="AB51" s="117">
        <f t="shared" ref="AB51" si="60">IFERROR(AVERAGE(AI51:BG51),"")</f>
        <v>70</v>
      </c>
      <c r="AC51" s="117">
        <f t="shared" ref="AC51" si="61">IFERROR(AB51*X51,"")</f>
        <v>21</v>
      </c>
      <c r="AD51" s="117">
        <f t="shared" ref="AD51" si="62">IFERROR(((AC51*L51)/2000)/I51,"")</f>
        <v>6.385496183206107</v>
      </c>
      <c r="AE51" s="117"/>
      <c r="AF51" s="447"/>
      <c r="AG51" s="175"/>
      <c r="AH51" s="115"/>
      <c r="AI51" s="113">
        <v>64</v>
      </c>
      <c r="AJ51" s="113">
        <v>75</v>
      </c>
      <c r="AK51" s="113">
        <v>79</v>
      </c>
      <c r="AL51" s="113">
        <v>69</v>
      </c>
      <c r="AM51" s="113">
        <v>58</v>
      </c>
      <c r="AN51" s="113">
        <v>73</v>
      </c>
      <c r="AO51" s="113">
        <v>70</v>
      </c>
      <c r="AP51" s="113">
        <v>67</v>
      </c>
      <c r="AQ51" s="113">
        <v>72</v>
      </c>
      <c r="AR51" s="113">
        <v>68</v>
      </c>
      <c r="AS51" s="113">
        <v>80</v>
      </c>
      <c r="AT51" s="113">
        <v>69</v>
      </c>
      <c r="AU51" s="113">
        <v>71</v>
      </c>
      <c r="AV51" s="113">
        <v>78</v>
      </c>
      <c r="AW51" s="113">
        <v>65</v>
      </c>
      <c r="AX51" s="113">
        <v>66</v>
      </c>
      <c r="AY51" s="113">
        <v>66</v>
      </c>
    </row>
    <row r="52" spans="1:55" s="113" customFormat="1">
      <c r="A52" s="113" t="s">
        <v>84</v>
      </c>
      <c r="B52" s="113" t="s">
        <v>141</v>
      </c>
      <c r="C52" s="114" t="s">
        <v>142</v>
      </c>
      <c r="D52" s="128" t="s">
        <v>87</v>
      </c>
      <c r="E52" s="127" t="s">
        <v>129</v>
      </c>
      <c r="F52" s="126"/>
      <c r="G52" s="126" t="s">
        <v>140</v>
      </c>
      <c r="H52" s="123">
        <v>622.28571428571433</v>
      </c>
      <c r="I52" s="125">
        <v>11.79</v>
      </c>
      <c r="J52" s="123">
        <v>7170</v>
      </c>
      <c r="K52" s="124"/>
      <c r="L52" s="123">
        <f t="shared" ref="L52" si="63">J52-(J52*K52)</f>
        <v>7170</v>
      </c>
      <c r="M52" s="122">
        <f t="shared" ref="M52" si="64">L52/H52</f>
        <v>11.522038567493112</v>
      </c>
      <c r="N52" s="118">
        <v>5.89</v>
      </c>
      <c r="O52" s="118">
        <v>6.89</v>
      </c>
      <c r="P52" s="118">
        <v>6.35</v>
      </c>
      <c r="Q52" s="118">
        <v>5.93</v>
      </c>
      <c r="R52" s="118">
        <v>7.78</v>
      </c>
      <c r="S52" s="153">
        <v>8.34</v>
      </c>
      <c r="T52" s="153">
        <v>4.76</v>
      </c>
      <c r="V52" s="115"/>
      <c r="W52" s="115"/>
      <c r="X52" s="120">
        <v>0.3</v>
      </c>
      <c r="Y52" s="120"/>
      <c r="Z52" s="118">
        <v>0.45</v>
      </c>
      <c r="AA52" s="430">
        <v>46191</v>
      </c>
      <c r="AB52" s="117">
        <f t="shared" ref="AB52" si="65">IFERROR(AVERAGE(AI52:BG52),"")</f>
        <v>65.8</v>
      </c>
      <c r="AC52" s="117">
        <f t="shared" ref="AC52" si="66">IFERROR(AB52*X52,"")</f>
        <v>19.739999999999998</v>
      </c>
      <c r="AD52" s="117">
        <f t="shared" ref="AD52" si="67">IFERROR(((AC52*L52)/2000)/I52,"")</f>
        <v>6.0023664122137408</v>
      </c>
      <c r="AE52" s="117"/>
      <c r="AF52" s="447"/>
      <c r="AG52" s="175"/>
      <c r="AH52" s="115"/>
      <c r="AI52" s="113">
        <v>67</v>
      </c>
      <c r="AJ52" s="113">
        <v>44</v>
      </c>
      <c r="AK52" s="113">
        <v>57</v>
      </c>
      <c r="AL52" s="113">
        <v>69</v>
      </c>
      <c r="AM52" s="113">
        <v>57</v>
      </c>
      <c r="AN52" s="113">
        <v>62</v>
      </c>
      <c r="AO52" s="113">
        <v>61</v>
      </c>
      <c r="AP52" s="113">
        <v>89</v>
      </c>
      <c r="AQ52" s="113">
        <v>60</v>
      </c>
      <c r="AR52" s="113">
        <v>77</v>
      </c>
      <c r="AS52" s="113">
        <v>68</v>
      </c>
      <c r="AT52" s="113">
        <v>72</v>
      </c>
      <c r="AU52" s="113">
        <v>69</v>
      </c>
      <c r="AV52" s="113">
        <v>63</v>
      </c>
      <c r="AW52" s="113">
        <v>72</v>
      </c>
    </row>
    <row r="53" spans="1:55" s="296" customFormat="1">
      <c r="A53" s="296" t="s">
        <v>84</v>
      </c>
      <c r="B53" s="296" t="s">
        <v>143</v>
      </c>
      <c r="C53" s="298" t="s">
        <v>144</v>
      </c>
      <c r="D53" s="299" t="s">
        <v>87</v>
      </c>
      <c r="E53" s="300" t="s">
        <v>88</v>
      </c>
      <c r="F53" s="297">
        <v>8</v>
      </c>
      <c r="G53" s="297" t="s">
        <v>145</v>
      </c>
      <c r="H53" s="301">
        <v>622.28571428571433</v>
      </c>
      <c r="I53" s="302">
        <v>45.32</v>
      </c>
      <c r="J53" s="301">
        <v>27216</v>
      </c>
      <c r="K53" s="237"/>
      <c r="L53" s="301">
        <f t="shared" si="50"/>
        <v>27216</v>
      </c>
      <c r="M53" s="303">
        <f t="shared" si="51"/>
        <v>43.735537190082638</v>
      </c>
      <c r="N53" s="304">
        <v>9.4700000000000006</v>
      </c>
      <c r="O53" s="304">
        <v>8.81</v>
      </c>
      <c r="P53" s="304">
        <v>10.17</v>
      </c>
      <c r="Q53" s="304">
        <v>7.74</v>
      </c>
      <c r="R53" s="304">
        <v>11.09</v>
      </c>
      <c r="S53" s="305">
        <v>7.34</v>
      </c>
      <c r="T53" s="305">
        <v>8.8000000000000007</v>
      </c>
      <c r="V53" s="306"/>
      <c r="W53" s="306"/>
      <c r="X53" s="307"/>
      <c r="Y53" s="307"/>
      <c r="Z53" s="304">
        <v>0.33</v>
      </c>
      <c r="AA53" s="431"/>
      <c r="AB53" s="233" t="str">
        <f t="shared" si="4"/>
        <v/>
      </c>
      <c r="AC53" s="233" t="str">
        <f t="shared" si="52"/>
        <v/>
      </c>
      <c r="AD53" s="233" t="str">
        <f t="shared" si="3"/>
        <v/>
      </c>
      <c r="AE53" s="233"/>
      <c r="AF53" s="448"/>
      <c r="AH53" s="306"/>
    </row>
    <row r="54" spans="1:55" s="113" customFormat="1">
      <c r="A54" s="113" t="s">
        <v>84</v>
      </c>
      <c r="B54" s="113" t="s">
        <v>146</v>
      </c>
      <c r="C54" s="114" t="s">
        <v>147</v>
      </c>
      <c r="D54" s="128" t="s">
        <v>87</v>
      </c>
      <c r="E54" s="127" t="s">
        <v>148</v>
      </c>
      <c r="F54" s="126">
        <v>30</v>
      </c>
      <c r="G54" s="126" t="s">
        <v>90</v>
      </c>
      <c r="H54" s="123">
        <v>622.28571428571433</v>
      </c>
      <c r="I54" s="125">
        <v>50.74</v>
      </c>
      <c r="J54" s="123">
        <v>30664</v>
      </c>
      <c r="K54" s="124"/>
      <c r="L54" s="123">
        <f t="shared" si="50"/>
        <v>30664</v>
      </c>
      <c r="M54" s="122">
        <f t="shared" si="51"/>
        <v>49.276400367309456</v>
      </c>
      <c r="N54" s="118"/>
      <c r="O54" s="118"/>
      <c r="P54" s="118">
        <v>1.42</v>
      </c>
      <c r="Q54" s="118">
        <v>6.47</v>
      </c>
      <c r="R54" s="118">
        <v>11.4</v>
      </c>
      <c r="S54" s="153">
        <v>9.8000000000000007</v>
      </c>
      <c r="T54" s="153">
        <v>9.1</v>
      </c>
      <c r="V54" s="115"/>
      <c r="W54" s="115"/>
      <c r="X54" s="120">
        <v>0.31</v>
      </c>
      <c r="Y54" s="120"/>
      <c r="Z54" s="118">
        <v>0.35</v>
      </c>
      <c r="AA54" s="430"/>
      <c r="AB54" s="117" t="str">
        <f t="shared" si="4"/>
        <v/>
      </c>
      <c r="AC54" s="117" t="str">
        <f t="shared" si="52"/>
        <v/>
      </c>
      <c r="AD54" s="117" t="str">
        <f t="shared" si="3"/>
        <v/>
      </c>
      <c r="AE54" s="117"/>
      <c r="AF54" s="447"/>
      <c r="AH54" s="115"/>
    </row>
    <row r="55" spans="1:55" s="296" customFormat="1">
      <c r="A55" s="296" t="s">
        <v>84</v>
      </c>
      <c r="B55" s="296" t="s">
        <v>149</v>
      </c>
      <c r="C55" s="298" t="s">
        <v>150</v>
      </c>
      <c r="D55" s="299" t="s">
        <v>87</v>
      </c>
      <c r="E55" s="300" t="s">
        <v>88</v>
      </c>
      <c r="F55" s="297">
        <v>8</v>
      </c>
      <c r="G55" s="297" t="s">
        <v>96</v>
      </c>
      <c r="H55" s="301">
        <v>680.625</v>
      </c>
      <c r="I55" s="302">
        <v>34.92</v>
      </c>
      <c r="J55" s="301">
        <v>23399</v>
      </c>
      <c r="K55" s="237"/>
      <c r="L55" s="301">
        <f t="shared" si="50"/>
        <v>23399</v>
      </c>
      <c r="M55" s="303">
        <f t="shared" si="51"/>
        <v>34.378696051423326</v>
      </c>
      <c r="N55" s="304">
        <v>8.41</v>
      </c>
      <c r="O55" s="304">
        <v>8.0299999999999994</v>
      </c>
      <c r="P55" s="304">
        <v>7.79</v>
      </c>
      <c r="Q55" s="304">
        <v>6.38</v>
      </c>
      <c r="R55" s="304">
        <v>9.2799999999999994</v>
      </c>
      <c r="S55" s="305">
        <v>5.29</v>
      </c>
      <c r="T55" s="305"/>
      <c r="V55" s="306"/>
      <c r="W55" s="306"/>
      <c r="X55" s="307"/>
      <c r="Y55" s="307"/>
      <c r="Z55" s="304">
        <v>0.33</v>
      </c>
      <c r="AA55" s="431"/>
      <c r="AB55" s="233" t="str">
        <f t="shared" si="4"/>
        <v/>
      </c>
      <c r="AC55" s="233" t="str">
        <f t="shared" si="52"/>
        <v/>
      </c>
      <c r="AD55" s="233" t="str">
        <f t="shared" si="3"/>
        <v/>
      </c>
      <c r="AE55" s="233"/>
      <c r="AF55" s="448"/>
      <c r="AH55" s="306"/>
    </row>
    <row r="56" spans="1:55" s="113" customFormat="1">
      <c r="A56" s="113" t="s">
        <v>84</v>
      </c>
      <c r="B56" s="113" t="s">
        <v>151</v>
      </c>
      <c r="C56" s="114" t="s">
        <v>152</v>
      </c>
      <c r="D56" s="128" t="s">
        <v>87</v>
      </c>
      <c r="E56" s="127" t="s">
        <v>153</v>
      </c>
      <c r="F56" s="126"/>
      <c r="G56" s="126" t="s">
        <v>145</v>
      </c>
      <c r="H56" s="123">
        <v>680.625</v>
      </c>
      <c r="I56" s="125">
        <v>7.1</v>
      </c>
      <c r="J56" s="123">
        <v>4658</v>
      </c>
      <c r="K56" s="124"/>
      <c r="L56" s="123">
        <f t="shared" si="50"/>
        <v>4658</v>
      </c>
      <c r="M56" s="122">
        <f t="shared" si="51"/>
        <v>6.8437098255280073</v>
      </c>
      <c r="N56" s="118">
        <v>8.31</v>
      </c>
      <c r="O56" s="118">
        <v>10.41</v>
      </c>
      <c r="P56" s="118">
        <v>9.9700000000000006</v>
      </c>
      <c r="Q56" s="118">
        <v>7.52</v>
      </c>
      <c r="R56" s="118">
        <v>9.91</v>
      </c>
      <c r="S56" s="153">
        <v>9.17</v>
      </c>
      <c r="T56" s="153"/>
      <c r="V56" s="115"/>
      <c r="W56" s="115"/>
      <c r="X56" s="120">
        <v>0.33</v>
      </c>
      <c r="Y56" s="120"/>
      <c r="Z56" s="118">
        <v>0.34</v>
      </c>
      <c r="AA56" s="430"/>
      <c r="AB56" s="117" t="str">
        <f t="shared" si="4"/>
        <v/>
      </c>
      <c r="AC56" s="117" t="str">
        <f t="shared" si="52"/>
        <v/>
      </c>
      <c r="AD56" s="117" t="str">
        <f t="shared" si="3"/>
        <v/>
      </c>
      <c r="AE56" s="117"/>
      <c r="AF56" s="447"/>
      <c r="AH56" s="115"/>
    </row>
    <row r="57" spans="1:55" s="113" customFormat="1">
      <c r="A57" s="113" t="s">
        <v>84</v>
      </c>
      <c r="B57" s="113" t="s">
        <v>154</v>
      </c>
      <c r="C57" s="114" t="s">
        <v>155</v>
      </c>
      <c r="D57" s="128" t="s">
        <v>87</v>
      </c>
      <c r="E57" s="127" t="s">
        <v>156</v>
      </c>
      <c r="F57" s="126" t="s">
        <v>157</v>
      </c>
      <c r="G57" s="126" t="s">
        <v>145</v>
      </c>
      <c r="H57" s="123">
        <v>680.625</v>
      </c>
      <c r="I57" s="125">
        <v>39.340000000000003</v>
      </c>
      <c r="J57" s="123">
        <v>26421</v>
      </c>
      <c r="K57" s="124">
        <v>0.02</v>
      </c>
      <c r="L57" s="123">
        <f t="shared" si="50"/>
        <v>25892.58</v>
      </c>
      <c r="M57" s="122">
        <f t="shared" si="51"/>
        <v>38.042358126721766</v>
      </c>
      <c r="N57" s="118">
        <v>8.18</v>
      </c>
      <c r="O57" s="118">
        <v>9.76</v>
      </c>
      <c r="P57" s="118">
        <v>7.39</v>
      </c>
      <c r="Q57" s="118">
        <v>7.21</v>
      </c>
      <c r="R57" s="118">
        <v>9.15</v>
      </c>
      <c r="S57" s="153">
        <v>7.84</v>
      </c>
      <c r="T57" s="153">
        <v>5.6</v>
      </c>
      <c r="V57" s="115"/>
      <c r="W57" s="115"/>
      <c r="X57" s="120">
        <v>0.28000000000000003</v>
      </c>
      <c r="Y57" s="120"/>
      <c r="Z57" s="118">
        <v>0.32</v>
      </c>
      <c r="AA57" s="430">
        <v>46167</v>
      </c>
      <c r="AB57" s="117">
        <f t="shared" si="4"/>
        <v>81</v>
      </c>
      <c r="AC57" s="117">
        <f t="shared" si="52"/>
        <v>22.680000000000003</v>
      </c>
      <c r="AD57" s="117">
        <f t="shared" si="3"/>
        <v>7.4636974377224217</v>
      </c>
      <c r="AE57" s="117"/>
      <c r="AF57" s="447"/>
      <c r="AH57" s="115" t="s">
        <v>116</v>
      </c>
      <c r="AI57" s="113">
        <v>87</v>
      </c>
      <c r="AJ57" s="113">
        <v>80</v>
      </c>
      <c r="AK57" s="113">
        <v>90</v>
      </c>
      <c r="AL57" s="113">
        <v>85</v>
      </c>
      <c r="AM57" s="113">
        <v>91</v>
      </c>
      <c r="AN57" s="113">
        <v>89</v>
      </c>
      <c r="AO57" s="113">
        <v>69</v>
      </c>
      <c r="AP57" s="113">
        <v>74</v>
      </c>
      <c r="AQ57" s="113">
        <v>80</v>
      </c>
      <c r="AR57" s="113">
        <v>79</v>
      </c>
      <c r="AS57" s="113">
        <v>75</v>
      </c>
      <c r="AT57" s="113">
        <v>88</v>
      </c>
      <c r="AU57" s="113">
        <v>83</v>
      </c>
      <c r="AV57" s="113">
        <v>68</v>
      </c>
      <c r="AW57" s="113">
        <v>77</v>
      </c>
    </row>
    <row r="58" spans="1:55" s="296" customFormat="1">
      <c r="A58" s="296" t="s">
        <v>84</v>
      </c>
      <c r="B58" s="296" t="s">
        <v>158</v>
      </c>
      <c r="C58" s="298" t="s">
        <v>159</v>
      </c>
      <c r="D58" s="299" t="s">
        <v>87</v>
      </c>
      <c r="E58" s="300" t="s">
        <v>160</v>
      </c>
      <c r="F58" s="297">
        <v>4</v>
      </c>
      <c r="G58" s="297" t="s">
        <v>145</v>
      </c>
      <c r="H58" s="301">
        <v>680.625</v>
      </c>
      <c r="I58" s="302">
        <v>59.54</v>
      </c>
      <c r="J58" s="301">
        <v>40343</v>
      </c>
      <c r="K58" s="237">
        <v>0.1</v>
      </c>
      <c r="L58" s="301">
        <f t="shared" si="50"/>
        <v>36308.699999999997</v>
      </c>
      <c r="M58" s="303">
        <f t="shared" si="51"/>
        <v>53.346115702479338</v>
      </c>
      <c r="N58" s="304">
        <v>8.93</v>
      </c>
      <c r="O58" s="304">
        <v>7.43</v>
      </c>
      <c r="P58" s="304">
        <v>6.49</v>
      </c>
      <c r="Q58" s="304">
        <v>5.69</v>
      </c>
      <c r="R58" s="304">
        <v>7.09</v>
      </c>
      <c r="S58" s="305">
        <v>7.25</v>
      </c>
      <c r="T58" s="305">
        <v>5.28</v>
      </c>
      <c r="V58" s="306"/>
      <c r="W58" s="306"/>
      <c r="X58" s="307">
        <v>0.31</v>
      </c>
      <c r="Y58" s="307"/>
      <c r="Z58" s="304">
        <v>0.4</v>
      </c>
      <c r="AA58" s="431">
        <v>46167</v>
      </c>
      <c r="AB58" s="233">
        <f t="shared" si="4"/>
        <v>68.86666666666666</v>
      </c>
      <c r="AC58" s="233">
        <f t="shared" si="52"/>
        <v>21.348666666666663</v>
      </c>
      <c r="AD58" s="233">
        <f t="shared" si="3"/>
        <v>6.5094250369499473</v>
      </c>
      <c r="AE58" s="233"/>
      <c r="AF58" s="448"/>
      <c r="AH58" s="306" t="s">
        <v>116</v>
      </c>
      <c r="AI58" s="296">
        <v>64</v>
      </c>
      <c r="AJ58" s="296">
        <v>72</v>
      </c>
      <c r="AK58" s="296">
        <v>60</v>
      </c>
      <c r="AL58" s="296">
        <v>59</v>
      </c>
      <c r="AM58" s="296">
        <v>78</v>
      </c>
      <c r="AN58" s="296">
        <v>80</v>
      </c>
      <c r="AO58" s="296">
        <v>65</v>
      </c>
      <c r="AP58" s="296">
        <v>74</v>
      </c>
      <c r="AQ58" s="296">
        <v>70</v>
      </c>
      <c r="AR58" s="296">
        <v>68</v>
      </c>
      <c r="AS58" s="296">
        <v>58</v>
      </c>
      <c r="AT58" s="296">
        <v>79</v>
      </c>
      <c r="AU58" s="296">
        <v>60</v>
      </c>
      <c r="AV58" s="296">
        <v>76</v>
      </c>
      <c r="AW58" s="296">
        <v>70</v>
      </c>
    </row>
    <row r="59" spans="1:55" s="296" customFormat="1">
      <c r="A59" s="296" t="s">
        <v>84</v>
      </c>
      <c r="B59" s="296" t="s">
        <v>158</v>
      </c>
      <c r="C59" s="298" t="s">
        <v>159</v>
      </c>
      <c r="D59" s="299" t="s">
        <v>87</v>
      </c>
      <c r="E59" s="300" t="s">
        <v>160</v>
      </c>
      <c r="F59" s="297">
        <v>4</v>
      </c>
      <c r="G59" s="297" t="s">
        <v>145</v>
      </c>
      <c r="H59" s="301">
        <v>680.625</v>
      </c>
      <c r="I59" s="302">
        <v>59.54</v>
      </c>
      <c r="J59" s="301">
        <v>40343</v>
      </c>
      <c r="K59" s="237">
        <v>0.1</v>
      </c>
      <c r="L59" s="301">
        <f t="shared" si="50"/>
        <v>36308.699999999997</v>
      </c>
      <c r="M59" s="303">
        <f t="shared" si="51"/>
        <v>53.346115702479338</v>
      </c>
      <c r="N59" s="304">
        <v>8.93</v>
      </c>
      <c r="O59" s="304">
        <v>7.43</v>
      </c>
      <c r="P59" s="304">
        <v>6.49</v>
      </c>
      <c r="Q59" s="304">
        <v>5.69</v>
      </c>
      <c r="R59" s="304">
        <v>7.09</v>
      </c>
      <c r="S59" s="305">
        <v>7.25</v>
      </c>
      <c r="T59" s="305">
        <v>5.28</v>
      </c>
      <c r="V59" s="306"/>
      <c r="W59" s="306"/>
      <c r="X59" s="307">
        <v>0.31</v>
      </c>
      <c r="Y59" s="307"/>
      <c r="Z59" s="304">
        <v>0.4</v>
      </c>
      <c r="AA59" s="431"/>
      <c r="AB59" s="233" t="str">
        <f t="shared" si="4"/>
        <v/>
      </c>
      <c r="AC59" s="233" t="str">
        <f t="shared" si="52"/>
        <v/>
      </c>
      <c r="AD59" s="233" t="str">
        <f t="shared" si="3"/>
        <v/>
      </c>
      <c r="AE59" s="233"/>
      <c r="AF59" s="448"/>
      <c r="AH59" s="306"/>
    </row>
    <row r="60" spans="1:55" s="113" customFormat="1">
      <c r="A60" s="113" t="s">
        <v>84</v>
      </c>
      <c r="B60" s="113" t="s">
        <v>161</v>
      </c>
      <c r="C60" s="114" t="s">
        <v>162</v>
      </c>
      <c r="D60" s="128" t="s">
        <v>87</v>
      </c>
      <c r="E60" s="127" t="s">
        <v>114</v>
      </c>
      <c r="F60" s="126">
        <v>181</v>
      </c>
      <c r="G60" s="126" t="s">
        <v>163</v>
      </c>
      <c r="H60" s="123">
        <v>680.625</v>
      </c>
      <c r="I60" s="125">
        <v>72.66</v>
      </c>
      <c r="J60" s="123">
        <v>49099</v>
      </c>
      <c r="K60" s="124"/>
      <c r="L60" s="123">
        <f t="shared" si="50"/>
        <v>49099</v>
      </c>
      <c r="M60" s="122">
        <f t="shared" si="51"/>
        <v>72.138108356290175</v>
      </c>
      <c r="N60" s="118">
        <v>11.37</v>
      </c>
      <c r="O60" s="118">
        <v>11.02</v>
      </c>
      <c r="P60" s="118">
        <v>9.4</v>
      </c>
      <c r="Q60" s="118">
        <v>9.01</v>
      </c>
      <c r="R60" s="118">
        <v>9.84</v>
      </c>
      <c r="S60" s="153">
        <v>11.51</v>
      </c>
      <c r="T60" s="153">
        <v>9.08</v>
      </c>
      <c r="V60" s="115"/>
      <c r="W60" s="115"/>
      <c r="X60" s="120">
        <v>0.35</v>
      </c>
      <c r="Y60" s="120"/>
      <c r="Z60" s="118">
        <v>0.38</v>
      </c>
      <c r="AA60" s="430">
        <v>46167</v>
      </c>
      <c r="AB60" s="117">
        <f t="shared" si="4"/>
        <v>74.466666666666669</v>
      </c>
      <c r="AC60" s="117">
        <f t="shared" si="52"/>
        <v>26.063333333333333</v>
      </c>
      <c r="AD60" s="117">
        <f t="shared" si="3"/>
        <v>8.8059702954399484</v>
      </c>
      <c r="AE60" s="117"/>
      <c r="AF60" s="447"/>
      <c r="AG60" s="175"/>
      <c r="AH60" s="115" t="s">
        <v>116</v>
      </c>
      <c r="AI60" s="113">
        <v>68</v>
      </c>
      <c r="AJ60" s="113">
        <v>80</v>
      </c>
      <c r="AK60" s="113">
        <v>76</v>
      </c>
      <c r="AL60" s="113">
        <v>70</v>
      </c>
      <c r="AM60" s="113">
        <v>83</v>
      </c>
      <c r="AN60" s="113">
        <v>69</v>
      </c>
      <c r="AO60" s="113">
        <v>73</v>
      </c>
      <c r="AP60" s="113">
        <v>78</v>
      </c>
      <c r="AQ60" s="113">
        <v>81</v>
      </c>
      <c r="AR60" s="113">
        <v>62</v>
      </c>
      <c r="AS60" s="113">
        <v>69</v>
      </c>
      <c r="AT60" s="113">
        <v>77</v>
      </c>
      <c r="AU60" s="113">
        <v>73</v>
      </c>
      <c r="AV60" s="113">
        <v>80</v>
      </c>
      <c r="AW60" s="113">
        <v>78</v>
      </c>
    </row>
    <row r="61" spans="1:55" s="113" customFormat="1">
      <c r="A61" s="113" t="s">
        <v>84</v>
      </c>
      <c r="B61" s="113" t="s">
        <v>161</v>
      </c>
      <c r="C61" s="114" t="s">
        <v>162</v>
      </c>
      <c r="D61" s="128" t="s">
        <v>87</v>
      </c>
      <c r="E61" s="127" t="s">
        <v>114</v>
      </c>
      <c r="F61" s="126">
        <v>181</v>
      </c>
      <c r="G61" s="126" t="s">
        <v>163</v>
      </c>
      <c r="H61" s="123">
        <v>680.625</v>
      </c>
      <c r="I61" s="125">
        <v>72.66</v>
      </c>
      <c r="J61" s="123">
        <v>49099</v>
      </c>
      <c r="K61" s="124"/>
      <c r="L61" s="123">
        <f t="shared" si="50"/>
        <v>49099</v>
      </c>
      <c r="M61" s="122">
        <f t="shared" si="51"/>
        <v>72.138108356290175</v>
      </c>
      <c r="N61" s="118">
        <v>11.37</v>
      </c>
      <c r="O61" s="118">
        <v>11.02</v>
      </c>
      <c r="P61" s="118">
        <v>9.4</v>
      </c>
      <c r="Q61" s="118">
        <v>9.01</v>
      </c>
      <c r="R61" s="118">
        <v>9.84</v>
      </c>
      <c r="S61" s="153">
        <v>11.51</v>
      </c>
      <c r="T61" s="153">
        <v>9.08</v>
      </c>
      <c r="V61" s="115"/>
      <c r="W61" s="115"/>
      <c r="X61" s="120">
        <v>0.35</v>
      </c>
      <c r="Y61" s="120"/>
      <c r="Z61" s="118">
        <v>0.38</v>
      </c>
      <c r="AA61" s="430">
        <v>46193</v>
      </c>
      <c r="AB61" s="117">
        <f t="shared" si="4"/>
        <v>57.142857142857146</v>
      </c>
      <c r="AC61" s="117">
        <f t="shared" si="52"/>
        <v>20</v>
      </c>
      <c r="AD61" s="117"/>
      <c r="AE61" s="117"/>
      <c r="AF61" s="447"/>
      <c r="AG61" s="175" t="s">
        <v>164</v>
      </c>
      <c r="AH61" s="115" t="s">
        <v>165</v>
      </c>
      <c r="AI61" s="113">
        <v>48</v>
      </c>
      <c r="AJ61" s="113">
        <v>46</v>
      </c>
      <c r="AK61" s="113">
        <v>49</v>
      </c>
      <c r="AL61" s="113">
        <v>48</v>
      </c>
      <c r="AM61" s="113">
        <v>45</v>
      </c>
      <c r="AN61" s="113">
        <v>54</v>
      </c>
      <c r="AO61" s="113">
        <v>58</v>
      </c>
      <c r="AP61" s="113">
        <v>67</v>
      </c>
      <c r="AQ61" s="113">
        <v>56</v>
      </c>
      <c r="AR61" s="113">
        <v>68</v>
      </c>
      <c r="AS61" s="113">
        <v>75</v>
      </c>
      <c r="AT61" s="113">
        <v>62</v>
      </c>
      <c r="AU61" s="113">
        <v>66</v>
      </c>
      <c r="AV61" s="113">
        <v>58</v>
      </c>
    </row>
    <row r="62" spans="1:55" s="113" customFormat="1">
      <c r="A62" s="113" t="s">
        <v>84</v>
      </c>
      <c r="B62" s="113" t="s">
        <v>161</v>
      </c>
      <c r="C62" s="114" t="s">
        <v>162</v>
      </c>
      <c r="D62" s="128" t="s">
        <v>87</v>
      </c>
      <c r="E62" s="127" t="s">
        <v>114</v>
      </c>
      <c r="F62" s="126">
        <v>181</v>
      </c>
      <c r="G62" s="126" t="s">
        <v>163</v>
      </c>
      <c r="H62" s="123">
        <v>680.625</v>
      </c>
      <c r="I62" s="125">
        <v>72.66</v>
      </c>
      <c r="J62" s="123">
        <v>49099</v>
      </c>
      <c r="K62" s="124"/>
      <c r="L62" s="123">
        <f t="shared" ref="L62" si="68">J62-(J62*K62)</f>
        <v>49099</v>
      </c>
      <c r="M62" s="122">
        <f t="shared" ref="M62" si="69">L62/H62</f>
        <v>72.138108356290175</v>
      </c>
      <c r="N62" s="118">
        <v>11.37</v>
      </c>
      <c r="O62" s="118">
        <v>11.02</v>
      </c>
      <c r="P62" s="118">
        <v>9.4</v>
      </c>
      <c r="Q62" s="118">
        <v>9.01</v>
      </c>
      <c r="R62" s="118">
        <v>9.84</v>
      </c>
      <c r="S62" s="153">
        <v>11.51</v>
      </c>
      <c r="T62" s="153">
        <v>9.08</v>
      </c>
      <c r="V62" s="115"/>
      <c r="W62" s="115"/>
      <c r="X62" s="120">
        <v>0.35</v>
      </c>
      <c r="Y62" s="120"/>
      <c r="Z62" s="118">
        <v>0.38</v>
      </c>
      <c r="AA62" s="430">
        <v>46193</v>
      </c>
      <c r="AB62" s="117">
        <f t="shared" ref="AB62" si="70">IFERROR(AVERAGE(AI62:BG62),"")</f>
        <v>68</v>
      </c>
      <c r="AC62" s="117">
        <f t="shared" ref="AC62" si="71">IFERROR(AB62*X62,"")</f>
        <v>23.799999999999997</v>
      </c>
      <c r="AD62" s="117">
        <f t="shared" si="3"/>
        <v>8.0412620423892101</v>
      </c>
      <c r="AE62" s="117"/>
      <c r="AF62" s="447"/>
      <c r="AG62" s="175" t="s">
        <v>166</v>
      </c>
      <c r="AH62" s="115" t="s">
        <v>91</v>
      </c>
      <c r="AI62" s="113">
        <v>56</v>
      </c>
      <c r="AJ62" s="113">
        <v>67</v>
      </c>
      <c r="AK62" s="113">
        <v>59</v>
      </c>
      <c r="AL62" s="113">
        <v>63</v>
      </c>
      <c r="AM62" s="113">
        <v>72</v>
      </c>
      <c r="AN62" s="113">
        <v>77</v>
      </c>
      <c r="AO62" s="113">
        <v>58</v>
      </c>
      <c r="AP62" s="113">
        <v>64</v>
      </c>
      <c r="AQ62" s="113">
        <v>66</v>
      </c>
      <c r="AR62" s="113">
        <v>68</v>
      </c>
      <c r="AS62" s="113">
        <v>72</v>
      </c>
      <c r="AT62" s="113">
        <v>77</v>
      </c>
      <c r="AU62" s="113">
        <v>72</v>
      </c>
      <c r="AV62" s="113">
        <v>81</v>
      </c>
    </row>
    <row r="63" spans="1:55" s="113" customFormat="1">
      <c r="C63" s="114"/>
      <c r="D63" s="128"/>
      <c r="E63" s="127"/>
      <c r="F63" s="126"/>
      <c r="G63" s="126"/>
      <c r="H63" s="123"/>
      <c r="I63" s="125"/>
      <c r="J63" s="123"/>
      <c r="K63" s="124"/>
      <c r="L63" s="123"/>
      <c r="M63" s="122"/>
      <c r="N63" s="118"/>
      <c r="O63" s="118"/>
      <c r="P63" s="118"/>
      <c r="Q63" s="118"/>
      <c r="R63" s="118"/>
      <c r="S63" s="153"/>
      <c r="T63" s="153"/>
      <c r="V63" s="115"/>
      <c r="W63" s="115"/>
      <c r="X63" s="120"/>
      <c r="Y63" s="120"/>
      <c r="Z63" s="118"/>
      <c r="AA63" s="430"/>
      <c r="AB63" s="117"/>
      <c r="AC63" s="117"/>
      <c r="AD63" s="117"/>
      <c r="AE63" s="117"/>
      <c r="AF63" s="447"/>
      <c r="AG63" s="175"/>
      <c r="AH63" s="115"/>
    </row>
    <row r="64" spans="1:55" s="296" customFormat="1">
      <c r="A64" s="296" t="s">
        <v>84</v>
      </c>
      <c r="B64" s="296" t="s">
        <v>167</v>
      </c>
      <c r="C64" s="298" t="s">
        <v>168</v>
      </c>
      <c r="D64" s="299" t="s">
        <v>87</v>
      </c>
      <c r="E64" s="300" t="s">
        <v>169</v>
      </c>
      <c r="F64" s="297" t="s">
        <v>170</v>
      </c>
      <c r="G64" s="297" t="s">
        <v>170</v>
      </c>
      <c r="H64" s="301">
        <v>622.28571428571433</v>
      </c>
      <c r="I64" s="302">
        <v>60.52</v>
      </c>
      <c r="J64" s="301">
        <v>36996</v>
      </c>
      <c r="K64" s="237"/>
      <c r="L64" s="301">
        <f t="shared" si="50"/>
        <v>36996</v>
      </c>
      <c r="M64" s="303">
        <f t="shared" si="51"/>
        <v>59.451790633608809</v>
      </c>
      <c r="N64" s="304">
        <v>5.97</v>
      </c>
      <c r="O64" s="304">
        <v>7.19</v>
      </c>
      <c r="P64" s="304">
        <v>6.85</v>
      </c>
      <c r="Q64" s="304">
        <v>5.2</v>
      </c>
      <c r="R64" s="304">
        <v>7.27</v>
      </c>
      <c r="S64" s="305">
        <v>6.53</v>
      </c>
      <c r="T64" s="305"/>
      <c r="V64" s="306"/>
      <c r="W64" s="306"/>
      <c r="X64" s="307">
        <v>0.33</v>
      </c>
      <c r="Y64" s="307"/>
      <c r="Z64" s="304">
        <v>0.34</v>
      </c>
      <c r="AA64" s="431"/>
      <c r="AB64" s="233" t="str">
        <f t="shared" si="4"/>
        <v/>
      </c>
      <c r="AC64" s="233" t="str">
        <f t="shared" si="52"/>
        <v/>
      </c>
      <c r="AD64" s="233" t="str">
        <f t="shared" si="3"/>
        <v/>
      </c>
      <c r="AE64" s="233"/>
      <c r="AF64" s="448"/>
      <c r="AH64" s="306"/>
    </row>
    <row r="65" spans="1:56" s="296" customFormat="1">
      <c r="A65" s="296" t="s">
        <v>84</v>
      </c>
      <c r="B65" s="296" t="s">
        <v>167</v>
      </c>
      <c r="C65" s="298" t="s">
        <v>171</v>
      </c>
      <c r="D65" s="299" t="s">
        <v>87</v>
      </c>
      <c r="E65" s="300" t="s">
        <v>169</v>
      </c>
      <c r="F65" s="297" t="s">
        <v>170</v>
      </c>
      <c r="G65" s="297" t="s">
        <v>170</v>
      </c>
      <c r="H65" s="301">
        <v>622.28571428571433</v>
      </c>
      <c r="I65" s="302">
        <v>60.52</v>
      </c>
      <c r="J65" s="301">
        <v>36996</v>
      </c>
      <c r="K65" s="237"/>
      <c r="L65" s="301">
        <f t="shared" si="50"/>
        <v>36996</v>
      </c>
      <c r="M65" s="303">
        <f t="shared" si="51"/>
        <v>59.451790633608809</v>
      </c>
      <c r="N65" s="304">
        <v>5.97</v>
      </c>
      <c r="O65" s="304">
        <v>7.19</v>
      </c>
      <c r="P65" s="304">
        <v>6.85</v>
      </c>
      <c r="Q65" s="304">
        <v>5.2</v>
      </c>
      <c r="R65" s="304">
        <v>7.27</v>
      </c>
      <c r="S65" s="305">
        <v>6.53</v>
      </c>
      <c r="T65" s="305"/>
      <c r="V65" s="306"/>
      <c r="W65" s="306"/>
      <c r="X65" s="307">
        <v>0.33</v>
      </c>
      <c r="Y65" s="307"/>
      <c r="Z65" s="304">
        <v>0.34</v>
      </c>
      <c r="AA65" s="431"/>
      <c r="AB65" s="233" t="str">
        <f t="shared" si="4"/>
        <v/>
      </c>
      <c r="AC65" s="233" t="str">
        <f t="shared" si="52"/>
        <v/>
      </c>
      <c r="AD65" s="233" t="str">
        <f t="shared" si="3"/>
        <v/>
      </c>
      <c r="AE65" s="233"/>
      <c r="AF65" s="448"/>
      <c r="AH65" s="306"/>
    </row>
    <row r="66" spans="1:56" s="113" customFormat="1">
      <c r="A66" s="113" t="s">
        <v>84</v>
      </c>
      <c r="B66" s="126" t="s">
        <v>172</v>
      </c>
      <c r="C66" s="114" t="s">
        <v>173</v>
      </c>
      <c r="D66" s="128" t="s">
        <v>87</v>
      </c>
      <c r="E66" s="127" t="s">
        <v>119</v>
      </c>
      <c r="F66" s="126">
        <v>3</v>
      </c>
      <c r="G66" s="126" t="s">
        <v>96</v>
      </c>
      <c r="H66" s="123">
        <v>622.28571428571433</v>
      </c>
      <c r="I66" s="125">
        <v>4.97</v>
      </c>
      <c r="J66" s="123">
        <v>3004</v>
      </c>
      <c r="K66" s="124">
        <v>0.02</v>
      </c>
      <c r="L66" s="123">
        <f t="shared" si="50"/>
        <v>2943.92</v>
      </c>
      <c r="M66" s="122">
        <f t="shared" si="51"/>
        <v>4.7308172635445356</v>
      </c>
      <c r="N66" s="118">
        <v>8.17</v>
      </c>
      <c r="O66" s="118">
        <v>6.45</v>
      </c>
      <c r="P66" s="118">
        <v>5.82</v>
      </c>
      <c r="Q66" s="118">
        <v>6.71</v>
      </c>
      <c r="R66" s="118">
        <v>9.4</v>
      </c>
      <c r="S66" s="153">
        <v>6.73</v>
      </c>
      <c r="T66" s="153"/>
      <c r="V66" s="115"/>
      <c r="W66" s="115"/>
      <c r="X66" s="120">
        <v>0.42</v>
      </c>
      <c r="Y66" s="120"/>
      <c r="Z66" s="118">
        <v>0.52</v>
      </c>
      <c r="AA66" s="430">
        <v>46168</v>
      </c>
      <c r="AB66" s="117">
        <f t="shared" si="4"/>
        <v>56.93333333333333</v>
      </c>
      <c r="AC66" s="117">
        <f t="shared" si="52"/>
        <v>23.911999999999999</v>
      </c>
      <c r="AD66" s="117">
        <f t="shared" si="3"/>
        <v>7.0819934647887335</v>
      </c>
      <c r="AE66" s="117"/>
      <c r="AF66" s="447"/>
      <c r="AH66" s="115" t="s">
        <v>116</v>
      </c>
      <c r="AI66" s="135">
        <v>67</v>
      </c>
      <c r="AJ66" s="135">
        <v>59</v>
      </c>
      <c r="AK66" s="135">
        <v>60</v>
      </c>
      <c r="AL66" s="135">
        <v>64</v>
      </c>
      <c r="AM66" s="135">
        <v>55</v>
      </c>
      <c r="AN66" s="135">
        <v>49</v>
      </c>
      <c r="AO66" s="135">
        <v>63</v>
      </c>
      <c r="AP66" s="135">
        <v>45</v>
      </c>
      <c r="AQ66" s="135">
        <v>50</v>
      </c>
      <c r="AR66" s="135">
        <v>56</v>
      </c>
      <c r="AS66" s="135">
        <v>58</v>
      </c>
      <c r="AT66" s="135">
        <v>70</v>
      </c>
      <c r="AU66" s="113">
        <v>48</v>
      </c>
      <c r="AV66" s="113">
        <v>57</v>
      </c>
      <c r="AW66" s="113">
        <v>53</v>
      </c>
    </row>
    <row r="67" spans="1:56" s="113" customFormat="1">
      <c r="A67" s="113" t="s">
        <v>84</v>
      </c>
      <c r="B67" s="126" t="s">
        <v>172</v>
      </c>
      <c r="C67" s="114" t="s">
        <v>173</v>
      </c>
      <c r="D67" s="128" t="s">
        <v>87</v>
      </c>
      <c r="E67" s="127" t="s">
        <v>119</v>
      </c>
      <c r="F67" s="126">
        <v>3</v>
      </c>
      <c r="G67" s="126" t="s">
        <v>96</v>
      </c>
      <c r="H67" s="123">
        <v>622.28571428571433</v>
      </c>
      <c r="I67" s="125">
        <v>4.97</v>
      </c>
      <c r="J67" s="123">
        <v>3004</v>
      </c>
      <c r="K67" s="124">
        <v>0.02</v>
      </c>
      <c r="L67" s="123">
        <f t="shared" si="50"/>
        <v>2943.92</v>
      </c>
      <c r="M67" s="122">
        <f t="shared" si="51"/>
        <v>4.7308172635445356</v>
      </c>
      <c r="N67" s="118">
        <v>8.17</v>
      </c>
      <c r="O67" s="118">
        <v>6.45</v>
      </c>
      <c r="P67" s="118">
        <v>5.82</v>
      </c>
      <c r="Q67" s="118">
        <v>6.71</v>
      </c>
      <c r="R67" s="118">
        <v>9.4</v>
      </c>
      <c r="S67" s="153">
        <v>6.73</v>
      </c>
      <c r="T67" s="153"/>
      <c r="V67" s="115"/>
      <c r="W67" s="115"/>
      <c r="X67" s="120">
        <v>0.42</v>
      </c>
      <c r="Y67" s="120"/>
      <c r="Z67" s="118">
        <v>0.52</v>
      </c>
      <c r="AA67" s="430"/>
      <c r="AB67" s="117" t="str">
        <f t="shared" si="4"/>
        <v/>
      </c>
      <c r="AC67" s="117" t="str">
        <f t="shared" si="52"/>
        <v/>
      </c>
      <c r="AD67" s="117" t="str">
        <f t="shared" si="3"/>
        <v/>
      </c>
      <c r="AE67" s="117"/>
      <c r="AF67" s="447"/>
      <c r="AH67" s="115"/>
      <c r="AI67" s="135"/>
      <c r="AJ67" s="135"/>
      <c r="AK67" s="135"/>
      <c r="AL67" s="135"/>
      <c r="AM67" s="135"/>
      <c r="AN67" s="135"/>
      <c r="AO67" s="135"/>
      <c r="AP67" s="135"/>
      <c r="AQ67" s="135"/>
      <c r="AR67" s="135"/>
      <c r="AS67" s="135"/>
      <c r="AT67" s="135"/>
    </row>
    <row r="68" spans="1:56" s="296" customFormat="1" ht="13.5" customHeight="1">
      <c r="A68" s="296" t="s">
        <v>84</v>
      </c>
      <c r="B68" s="297" t="s">
        <v>174</v>
      </c>
      <c r="C68" s="298" t="s">
        <v>175</v>
      </c>
      <c r="D68" s="299" t="s">
        <v>87</v>
      </c>
      <c r="E68" s="300" t="s">
        <v>119</v>
      </c>
      <c r="F68" s="297">
        <v>3</v>
      </c>
      <c r="G68" s="297" t="s">
        <v>96</v>
      </c>
      <c r="H68" s="301">
        <v>622.28571428571433</v>
      </c>
      <c r="I68" s="302">
        <v>12.29</v>
      </c>
      <c r="J68" s="301">
        <v>7450</v>
      </c>
      <c r="K68" s="237">
        <v>0.05</v>
      </c>
      <c r="L68" s="301">
        <f t="shared" si="50"/>
        <v>7077.5</v>
      </c>
      <c r="M68" s="303">
        <f t="shared" si="51"/>
        <v>11.373393021120293</v>
      </c>
      <c r="N68" s="304">
        <v>8.17</v>
      </c>
      <c r="O68" s="304">
        <v>6.45</v>
      </c>
      <c r="P68" s="304">
        <v>5.82</v>
      </c>
      <c r="Q68" s="304">
        <v>6.71</v>
      </c>
      <c r="R68" s="304">
        <v>6.12</v>
      </c>
      <c r="S68" s="305">
        <v>6.73</v>
      </c>
      <c r="T68" s="305"/>
      <c r="V68" s="306"/>
      <c r="W68" s="306"/>
      <c r="X68" s="307">
        <v>0.42</v>
      </c>
      <c r="Y68" s="307"/>
      <c r="Z68" s="304">
        <v>0.52</v>
      </c>
      <c r="AA68" s="431">
        <v>46168</v>
      </c>
      <c r="AB68" s="233">
        <f t="shared" si="4"/>
        <v>49.3</v>
      </c>
      <c r="AC68" s="233">
        <f t="shared" si="52"/>
        <v>20.706</v>
      </c>
      <c r="AD68" s="233">
        <f t="shared" si="3"/>
        <v>5.9620307160292931</v>
      </c>
      <c r="AE68" s="233"/>
      <c r="AF68" s="448"/>
      <c r="AH68" s="306" t="s">
        <v>116</v>
      </c>
      <c r="AI68" s="322">
        <v>65</v>
      </c>
      <c r="AJ68" s="322">
        <v>70</v>
      </c>
      <c r="AK68" s="322">
        <v>68</v>
      </c>
      <c r="AL68" s="322">
        <v>66</v>
      </c>
      <c r="AM68" s="322">
        <v>73</v>
      </c>
      <c r="AN68" s="322">
        <v>59</v>
      </c>
      <c r="AO68" s="322">
        <v>39</v>
      </c>
      <c r="AP68" s="322">
        <v>47</v>
      </c>
      <c r="AQ68" s="322">
        <v>49</v>
      </c>
      <c r="AR68" s="322">
        <v>60</v>
      </c>
      <c r="AS68" s="322">
        <v>41</v>
      </c>
      <c r="AT68" s="322">
        <v>38</v>
      </c>
      <c r="AU68" s="296">
        <v>39</v>
      </c>
      <c r="AV68" s="296">
        <v>50</v>
      </c>
      <c r="AW68" s="296">
        <v>45</v>
      </c>
      <c r="AX68" s="296">
        <v>45</v>
      </c>
      <c r="AY68" s="296">
        <v>30</v>
      </c>
      <c r="AZ68" s="296">
        <v>34</v>
      </c>
      <c r="BA68" s="296">
        <v>29</v>
      </c>
      <c r="BB68" s="296">
        <v>39</v>
      </c>
    </row>
    <row r="69" spans="1:56" s="296" customFormat="1" ht="13.5" customHeight="1">
      <c r="A69" s="296" t="s">
        <v>84</v>
      </c>
      <c r="B69" s="297" t="s">
        <v>174</v>
      </c>
      <c r="C69" s="298" t="s">
        <v>175</v>
      </c>
      <c r="D69" s="299" t="s">
        <v>87</v>
      </c>
      <c r="E69" s="300" t="s">
        <v>119</v>
      </c>
      <c r="F69" s="297">
        <v>3</v>
      </c>
      <c r="G69" s="297" t="s">
        <v>96</v>
      </c>
      <c r="H69" s="301">
        <v>622.28571428571433</v>
      </c>
      <c r="I69" s="302">
        <v>12.29</v>
      </c>
      <c r="J69" s="301">
        <v>7450</v>
      </c>
      <c r="K69" s="237">
        <v>0.05</v>
      </c>
      <c r="L69" s="301">
        <f t="shared" si="50"/>
        <v>7077.5</v>
      </c>
      <c r="M69" s="303">
        <f t="shared" si="51"/>
        <v>11.373393021120293</v>
      </c>
      <c r="N69" s="304">
        <v>8.17</v>
      </c>
      <c r="O69" s="304">
        <v>6.45</v>
      </c>
      <c r="P69" s="304">
        <v>5.82</v>
      </c>
      <c r="Q69" s="304">
        <v>6.71</v>
      </c>
      <c r="R69" s="304">
        <v>6.12</v>
      </c>
      <c r="S69" s="305">
        <v>6.73</v>
      </c>
      <c r="T69" s="305"/>
      <c r="V69" s="306"/>
      <c r="W69" s="306"/>
      <c r="X69" s="307">
        <v>0.42</v>
      </c>
      <c r="Y69" s="307"/>
      <c r="Z69" s="304">
        <v>0.52</v>
      </c>
      <c r="AA69" s="431"/>
      <c r="AB69" s="233" t="str">
        <f t="shared" si="4"/>
        <v/>
      </c>
      <c r="AC69" s="233" t="str">
        <f t="shared" si="52"/>
        <v/>
      </c>
      <c r="AD69" s="233" t="str">
        <f t="shared" si="3"/>
        <v/>
      </c>
      <c r="AE69" s="233"/>
      <c r="AF69" s="448"/>
      <c r="AH69" s="306"/>
      <c r="AI69" s="322"/>
      <c r="AJ69" s="322"/>
      <c r="AK69" s="322"/>
      <c r="AL69" s="322"/>
      <c r="AM69" s="322"/>
      <c r="AN69" s="322"/>
      <c r="AO69" s="322"/>
      <c r="AP69" s="322"/>
      <c r="AQ69" s="322"/>
      <c r="AR69" s="322"/>
      <c r="AS69" s="322"/>
      <c r="AT69" s="322"/>
    </row>
    <row r="70" spans="1:56" s="113" customFormat="1" ht="13.9" customHeight="1">
      <c r="A70" s="113" t="s">
        <v>84</v>
      </c>
      <c r="B70" s="113" t="s">
        <v>176</v>
      </c>
      <c r="C70" s="114" t="s">
        <v>177</v>
      </c>
      <c r="D70" s="128" t="s">
        <v>87</v>
      </c>
      <c r="E70" s="127" t="s">
        <v>119</v>
      </c>
      <c r="F70" s="126" t="s">
        <v>170</v>
      </c>
      <c r="G70" s="126" t="s">
        <v>170</v>
      </c>
      <c r="H70" s="123">
        <v>622.28571428571433</v>
      </c>
      <c r="I70" s="125">
        <v>16.22</v>
      </c>
      <c r="J70" s="123">
        <v>9900</v>
      </c>
      <c r="K70" s="124">
        <v>0.05</v>
      </c>
      <c r="L70" s="123">
        <f t="shared" si="50"/>
        <v>9405</v>
      </c>
      <c r="M70" s="122">
        <f t="shared" si="51"/>
        <v>15.113636363636363</v>
      </c>
      <c r="N70" s="118">
        <v>8.9499999999999993</v>
      </c>
      <c r="O70" s="118">
        <v>6.45</v>
      </c>
      <c r="P70" s="118">
        <v>5.82</v>
      </c>
      <c r="Q70" s="118">
        <v>6.71</v>
      </c>
      <c r="R70" s="118">
        <v>8.48</v>
      </c>
      <c r="S70" s="153">
        <v>6.73</v>
      </c>
      <c r="T70" s="153"/>
      <c r="V70" s="115"/>
      <c r="W70" s="115"/>
      <c r="X70" s="120">
        <v>0.42</v>
      </c>
      <c r="Y70" s="120"/>
      <c r="Z70" s="118">
        <v>0.52</v>
      </c>
      <c r="AA70" s="430"/>
      <c r="AB70" s="117">
        <f t="shared" si="4"/>
        <v>44.666666666666664</v>
      </c>
      <c r="AC70" s="117">
        <f t="shared" si="52"/>
        <v>18.759999999999998</v>
      </c>
      <c r="AD70" s="117">
        <f t="shared" si="3"/>
        <v>5.4388964241676936</v>
      </c>
      <c r="AE70" s="117"/>
      <c r="AF70" s="447"/>
      <c r="AH70" s="115" t="s">
        <v>116</v>
      </c>
      <c r="AI70" s="135">
        <v>44</v>
      </c>
      <c r="AJ70" s="135">
        <v>39</v>
      </c>
      <c r="AK70" s="135">
        <v>45</v>
      </c>
      <c r="AL70" s="135">
        <v>40</v>
      </c>
      <c r="AM70" s="135">
        <v>36</v>
      </c>
      <c r="AN70" s="135">
        <v>49</v>
      </c>
      <c r="AO70" s="135">
        <v>52</v>
      </c>
      <c r="AP70" s="135">
        <v>43</v>
      </c>
      <c r="AQ70" s="135">
        <v>46</v>
      </c>
      <c r="AR70" s="135">
        <v>50</v>
      </c>
      <c r="AS70" s="135">
        <v>53</v>
      </c>
      <c r="AT70" s="135">
        <v>49</v>
      </c>
      <c r="AU70" s="113">
        <v>38</v>
      </c>
      <c r="AV70" s="113">
        <v>46</v>
      </c>
      <c r="AW70" s="113">
        <v>40</v>
      </c>
    </row>
    <row r="71" spans="1:56" s="296" customFormat="1" ht="13.9" customHeight="1">
      <c r="A71" s="296" t="s">
        <v>84</v>
      </c>
      <c r="B71" s="296" t="s">
        <v>178</v>
      </c>
      <c r="C71" s="298" t="s">
        <v>179</v>
      </c>
      <c r="D71" s="299" t="s">
        <v>87</v>
      </c>
      <c r="E71" s="300" t="s">
        <v>180</v>
      </c>
      <c r="F71" s="297" t="s">
        <v>181</v>
      </c>
      <c r="G71" s="297" t="s">
        <v>90</v>
      </c>
      <c r="H71" s="301">
        <v>680.625</v>
      </c>
      <c r="I71" s="302">
        <v>34.409999999999997</v>
      </c>
      <c r="J71" s="301">
        <v>22973</v>
      </c>
      <c r="K71" s="237"/>
      <c r="L71" s="301">
        <f t="shared" si="50"/>
        <v>22973</v>
      </c>
      <c r="M71" s="303">
        <f t="shared" si="51"/>
        <v>33.752800734618916</v>
      </c>
      <c r="N71" s="304">
        <v>7.59</v>
      </c>
      <c r="O71" s="304">
        <v>7.65</v>
      </c>
      <c r="P71" s="304">
        <v>5.54</v>
      </c>
      <c r="Q71" s="304">
        <v>7.68</v>
      </c>
      <c r="R71" s="304">
        <v>9.09</v>
      </c>
      <c r="S71" s="305">
        <v>6.31</v>
      </c>
      <c r="T71" s="305"/>
      <c r="V71" s="306"/>
      <c r="W71" s="306"/>
      <c r="X71" s="307">
        <v>0.15</v>
      </c>
      <c r="Y71" s="307"/>
      <c r="Z71" s="304">
        <v>0.45</v>
      </c>
      <c r="AA71" s="431">
        <v>46113</v>
      </c>
      <c r="AB71" s="233">
        <v>126</v>
      </c>
      <c r="AC71" s="233">
        <f t="shared" si="52"/>
        <v>18.899999999999999</v>
      </c>
      <c r="AD71" s="233">
        <f t="shared" si="3"/>
        <v>6.3090627724498693</v>
      </c>
      <c r="AE71" s="233"/>
      <c r="AF71" s="448"/>
      <c r="AG71" s="296" t="s">
        <v>182</v>
      </c>
      <c r="AH71" s="306"/>
      <c r="AI71" s="296">
        <v>109</v>
      </c>
      <c r="AJ71" s="296">
        <v>180</v>
      </c>
      <c r="AK71" s="296">
        <v>155</v>
      </c>
      <c r="AL71" s="296">
        <v>143</v>
      </c>
      <c r="AM71" s="296">
        <v>129</v>
      </c>
      <c r="AN71" s="296">
        <v>188</v>
      </c>
      <c r="AO71" s="296">
        <v>174</v>
      </c>
      <c r="AP71" s="296">
        <v>173</v>
      </c>
      <c r="AQ71" s="296">
        <v>134</v>
      </c>
      <c r="AR71" s="296">
        <v>132</v>
      </c>
      <c r="AS71" s="296">
        <v>228</v>
      </c>
      <c r="AT71" s="296">
        <v>142</v>
      </c>
      <c r="AU71" s="296">
        <v>159</v>
      </c>
      <c r="AV71" s="296">
        <v>134</v>
      </c>
      <c r="AW71" s="296">
        <v>134</v>
      </c>
      <c r="AX71" s="296">
        <v>155</v>
      </c>
      <c r="AY71" s="296">
        <v>108</v>
      </c>
      <c r="AZ71" s="296">
        <v>117</v>
      </c>
      <c r="BA71" s="296">
        <v>131</v>
      </c>
      <c r="BB71" s="296">
        <v>101</v>
      </c>
      <c r="BC71" s="296">
        <v>150</v>
      </c>
      <c r="BD71" s="296">
        <v>136</v>
      </c>
    </row>
    <row r="72" spans="1:56" s="296" customFormat="1" ht="15" customHeight="1">
      <c r="A72" s="296" t="s">
        <v>84</v>
      </c>
      <c r="B72" s="296" t="s">
        <v>178</v>
      </c>
      <c r="C72" s="298" t="s">
        <v>179</v>
      </c>
      <c r="D72" s="299" t="s">
        <v>87</v>
      </c>
      <c r="E72" s="300" t="s">
        <v>180</v>
      </c>
      <c r="F72" s="297" t="s">
        <v>181</v>
      </c>
      <c r="G72" s="297" t="s">
        <v>90</v>
      </c>
      <c r="H72" s="301">
        <v>680.625</v>
      </c>
      <c r="I72" s="302">
        <v>34.409999999999997</v>
      </c>
      <c r="J72" s="301">
        <v>22973</v>
      </c>
      <c r="K72" s="237"/>
      <c r="L72" s="301">
        <f t="shared" si="50"/>
        <v>22973</v>
      </c>
      <c r="M72" s="303">
        <f t="shared" si="51"/>
        <v>33.752800734618916</v>
      </c>
      <c r="N72" s="304">
        <v>7.59</v>
      </c>
      <c r="O72" s="304">
        <v>7.65</v>
      </c>
      <c r="P72" s="304">
        <v>5.54</v>
      </c>
      <c r="Q72" s="304">
        <v>7.68</v>
      </c>
      <c r="R72" s="304">
        <v>9.09</v>
      </c>
      <c r="S72" s="305">
        <v>6.31</v>
      </c>
      <c r="T72" s="305"/>
      <c r="V72" s="306"/>
      <c r="W72" s="306"/>
      <c r="X72" s="307">
        <v>0.15</v>
      </c>
      <c r="Y72" s="307"/>
      <c r="Z72" s="304">
        <v>0.45</v>
      </c>
      <c r="AA72" s="431">
        <v>46181</v>
      </c>
      <c r="AB72" s="233">
        <f t="shared" si="4"/>
        <v>119.53333333333333</v>
      </c>
      <c r="AC72" s="233">
        <f t="shared" si="52"/>
        <v>17.93</v>
      </c>
      <c r="AD72" s="233">
        <f t="shared" si="3"/>
        <v>5.9852643126997975</v>
      </c>
      <c r="AE72" s="233"/>
      <c r="AF72" s="448"/>
      <c r="AH72" s="306"/>
      <c r="AI72" s="296">
        <v>101</v>
      </c>
      <c r="AJ72" s="296">
        <v>152</v>
      </c>
      <c r="AK72" s="296">
        <v>135</v>
      </c>
      <c r="AL72" s="296">
        <v>147</v>
      </c>
      <c r="AM72" s="296">
        <v>137</v>
      </c>
      <c r="AN72" s="296">
        <v>124</v>
      </c>
      <c r="AO72" s="296">
        <v>93</v>
      </c>
      <c r="AP72" s="296">
        <v>93</v>
      </c>
      <c r="AQ72" s="296">
        <v>100</v>
      </c>
      <c r="AR72" s="296">
        <v>103</v>
      </c>
      <c r="AS72" s="296">
        <v>132</v>
      </c>
      <c r="AT72" s="296">
        <v>140</v>
      </c>
      <c r="AU72" s="296">
        <v>146</v>
      </c>
      <c r="AV72" s="296">
        <v>87</v>
      </c>
      <c r="AW72" s="296">
        <v>103</v>
      </c>
    </row>
    <row r="73" spans="1:56" s="296" customFormat="1" ht="15" customHeight="1">
      <c r="A73" s="296" t="s">
        <v>84</v>
      </c>
      <c r="B73" s="296" t="s">
        <v>178</v>
      </c>
      <c r="C73" s="298" t="s">
        <v>179</v>
      </c>
      <c r="D73" s="299" t="s">
        <v>87</v>
      </c>
      <c r="E73" s="300" t="s">
        <v>180</v>
      </c>
      <c r="F73" s="297" t="s">
        <v>181</v>
      </c>
      <c r="G73" s="297" t="s">
        <v>90</v>
      </c>
      <c r="H73" s="301">
        <v>680.625</v>
      </c>
      <c r="I73" s="302">
        <v>34.409999999999997</v>
      </c>
      <c r="J73" s="301">
        <v>22973</v>
      </c>
      <c r="K73" s="237"/>
      <c r="L73" s="301">
        <f t="shared" si="50"/>
        <v>22973</v>
      </c>
      <c r="M73" s="303">
        <f t="shared" si="51"/>
        <v>33.752800734618916</v>
      </c>
      <c r="N73" s="304">
        <v>7.59</v>
      </c>
      <c r="O73" s="304">
        <v>7.65</v>
      </c>
      <c r="P73" s="304">
        <v>5.54</v>
      </c>
      <c r="Q73" s="304">
        <v>7.68</v>
      </c>
      <c r="R73" s="304">
        <v>9.09</v>
      </c>
      <c r="S73" s="305">
        <v>6.31</v>
      </c>
      <c r="T73" s="305"/>
      <c r="V73" s="306"/>
      <c r="W73" s="306"/>
      <c r="X73" s="307">
        <v>0.35</v>
      </c>
      <c r="Y73" s="307"/>
      <c r="Z73" s="304">
        <v>0.45</v>
      </c>
      <c r="AA73" s="431">
        <v>46204</v>
      </c>
      <c r="AB73" s="233">
        <f t="shared" si="4"/>
        <v>47.714285714285715</v>
      </c>
      <c r="AC73" s="233">
        <f t="shared" si="52"/>
        <v>16.7</v>
      </c>
      <c r="AD73" s="233">
        <f t="shared" si="3"/>
        <v>5.5746745132229005</v>
      </c>
      <c r="AE73" s="233"/>
      <c r="AF73" s="448"/>
      <c r="AH73" s="306"/>
      <c r="AI73" s="296">
        <v>48</v>
      </c>
      <c r="AJ73" s="296">
        <v>45</v>
      </c>
      <c r="AK73" s="296">
        <v>50</v>
      </c>
      <c r="AL73" s="296">
        <v>51</v>
      </c>
      <c r="AM73" s="296">
        <v>49</v>
      </c>
      <c r="AN73" s="296">
        <v>48</v>
      </c>
      <c r="AO73" s="296">
        <v>50</v>
      </c>
      <c r="AP73" s="296">
        <v>53</v>
      </c>
      <c r="AQ73" s="296">
        <v>48</v>
      </c>
      <c r="AR73" s="296">
        <v>47</v>
      </c>
      <c r="AS73" s="296">
        <v>40</v>
      </c>
      <c r="AT73" s="296">
        <v>39</v>
      </c>
      <c r="AU73" s="296">
        <v>47</v>
      </c>
      <c r="AV73" s="296">
        <v>53</v>
      </c>
    </row>
    <row r="74" spans="1:56" s="113" customFormat="1">
      <c r="A74" s="113" t="s">
        <v>84</v>
      </c>
      <c r="B74" s="113" t="s">
        <v>183</v>
      </c>
      <c r="C74" s="114" t="s">
        <v>184</v>
      </c>
      <c r="D74" s="128" t="s">
        <v>87</v>
      </c>
      <c r="E74" s="127" t="s">
        <v>88</v>
      </c>
      <c r="F74" s="126">
        <v>7</v>
      </c>
      <c r="G74" s="126" t="s">
        <v>90</v>
      </c>
      <c r="H74" s="123">
        <v>726</v>
      </c>
      <c r="I74" s="125">
        <v>59.72</v>
      </c>
      <c r="J74" s="123">
        <v>43036</v>
      </c>
      <c r="K74" s="124"/>
      <c r="L74" s="123">
        <f t="shared" si="50"/>
        <v>43036</v>
      </c>
      <c r="M74" s="122">
        <f t="shared" si="51"/>
        <v>59.278236914600548</v>
      </c>
      <c r="N74" s="118"/>
      <c r="O74" s="118"/>
      <c r="P74" s="118"/>
      <c r="Q74" s="118">
        <v>5.13</v>
      </c>
      <c r="R74" s="118">
        <v>7.39</v>
      </c>
      <c r="S74" s="153">
        <v>9.33</v>
      </c>
      <c r="T74" s="153"/>
      <c r="V74" s="115"/>
      <c r="W74" s="115"/>
      <c r="X74" s="120">
        <v>0.28999999999999998</v>
      </c>
      <c r="Y74" s="120"/>
      <c r="Z74" s="118">
        <v>0.33</v>
      </c>
      <c r="AA74" s="430"/>
      <c r="AB74" s="117" t="str">
        <f t="shared" si="4"/>
        <v/>
      </c>
      <c r="AC74" s="117" t="str">
        <f t="shared" si="52"/>
        <v/>
      </c>
      <c r="AD74" s="117" t="str">
        <f t="shared" si="3"/>
        <v/>
      </c>
      <c r="AE74" s="117"/>
      <c r="AF74" s="447"/>
      <c r="AH74" s="115"/>
    </row>
    <row r="75" spans="1:56" s="296" customFormat="1">
      <c r="A75" s="296" t="s">
        <v>84</v>
      </c>
      <c r="B75" s="296" t="s">
        <v>185</v>
      </c>
      <c r="C75" s="298" t="s">
        <v>186</v>
      </c>
      <c r="D75" s="299" t="s">
        <v>87</v>
      </c>
      <c r="E75" s="300" t="s">
        <v>114</v>
      </c>
      <c r="F75" s="297" t="s">
        <v>170</v>
      </c>
      <c r="G75" s="297" t="s">
        <v>145</v>
      </c>
      <c r="H75" s="301">
        <v>680.625</v>
      </c>
      <c r="I75" s="302">
        <v>50.38</v>
      </c>
      <c r="J75" s="301"/>
      <c r="K75" s="237"/>
      <c r="L75" s="301">
        <f t="shared" si="50"/>
        <v>0</v>
      </c>
      <c r="M75" s="303">
        <f t="shared" si="51"/>
        <v>0</v>
      </c>
      <c r="N75" s="304">
        <v>8.7200000000000006</v>
      </c>
      <c r="O75" s="304">
        <v>6.1</v>
      </c>
      <c r="P75" s="304">
        <v>9.1300000000000008</v>
      </c>
      <c r="Q75" s="304">
        <v>7.76</v>
      </c>
      <c r="R75" s="304">
        <v>7.73</v>
      </c>
      <c r="S75" s="305"/>
      <c r="T75" s="305"/>
      <c r="V75" s="306"/>
      <c r="W75" s="306"/>
      <c r="X75" s="307"/>
      <c r="Y75" s="307"/>
      <c r="Z75" s="304">
        <v>0.38</v>
      </c>
      <c r="AA75" s="431"/>
      <c r="AB75" s="233" t="str">
        <f t="shared" si="4"/>
        <v/>
      </c>
      <c r="AC75" s="233" t="str">
        <f t="shared" si="52"/>
        <v/>
      </c>
      <c r="AD75" s="233" t="str">
        <f t="shared" si="3"/>
        <v/>
      </c>
      <c r="AE75" s="233"/>
      <c r="AF75" s="448"/>
      <c r="AH75" s="306"/>
    </row>
    <row r="76" spans="1:56" s="113" customFormat="1">
      <c r="A76" s="113" t="s">
        <v>84</v>
      </c>
      <c r="B76" s="113" t="s">
        <v>187</v>
      </c>
      <c r="C76" s="114" t="s">
        <v>188</v>
      </c>
      <c r="D76" s="128" t="s">
        <v>87</v>
      </c>
      <c r="E76" s="127" t="s">
        <v>180</v>
      </c>
      <c r="F76" s="126">
        <v>2</v>
      </c>
      <c r="G76" s="126" t="s">
        <v>96</v>
      </c>
      <c r="H76" s="123">
        <v>680.625</v>
      </c>
      <c r="I76" s="125">
        <v>28.07</v>
      </c>
      <c r="J76" s="123">
        <v>18907</v>
      </c>
      <c r="K76" s="124">
        <v>0.04</v>
      </c>
      <c r="L76" s="123">
        <f t="shared" si="50"/>
        <v>18150.72</v>
      </c>
      <c r="M76" s="122">
        <f t="shared" si="51"/>
        <v>26.667724517906336</v>
      </c>
      <c r="N76" s="118">
        <v>8.48</v>
      </c>
      <c r="O76" s="118">
        <v>6.9</v>
      </c>
      <c r="P76" s="118">
        <v>7.68</v>
      </c>
      <c r="Q76" s="118">
        <v>7.97</v>
      </c>
      <c r="R76" s="118">
        <v>11.71</v>
      </c>
      <c r="S76" s="153">
        <v>6.84</v>
      </c>
      <c r="T76" s="153"/>
      <c r="V76" s="115"/>
      <c r="W76" s="115"/>
      <c r="X76" s="120">
        <v>0.28000000000000003</v>
      </c>
      <c r="Y76" s="120"/>
      <c r="Z76" s="118">
        <v>0.48</v>
      </c>
      <c r="AA76" s="430">
        <v>46132</v>
      </c>
      <c r="AB76" s="117">
        <f t="shared" si="4"/>
        <v>99.266666666666666</v>
      </c>
      <c r="AC76" s="117">
        <f t="shared" si="52"/>
        <v>27.794666666666668</v>
      </c>
      <c r="AD76" s="117">
        <f t="shared" si="3"/>
        <v>8.9863415062344139</v>
      </c>
      <c r="AE76" s="117"/>
      <c r="AF76" s="447"/>
      <c r="AH76" s="115" t="s">
        <v>91</v>
      </c>
      <c r="AI76" s="113">
        <v>115</v>
      </c>
      <c r="AJ76" s="113">
        <v>73</v>
      </c>
      <c r="AK76" s="113">
        <v>85</v>
      </c>
      <c r="AL76" s="113">
        <v>103</v>
      </c>
      <c r="AM76" s="113">
        <v>76</v>
      </c>
      <c r="AN76" s="113">
        <v>115</v>
      </c>
      <c r="AO76" s="113">
        <v>77</v>
      </c>
      <c r="AP76" s="113">
        <v>106</v>
      </c>
      <c r="AQ76" s="113">
        <v>80</v>
      </c>
      <c r="AR76" s="113">
        <v>122</v>
      </c>
      <c r="AS76" s="113">
        <v>106</v>
      </c>
      <c r="AT76" s="113">
        <v>100</v>
      </c>
      <c r="AU76" s="113">
        <v>127</v>
      </c>
      <c r="AV76" s="113">
        <v>78</v>
      </c>
      <c r="AW76" s="113">
        <v>126</v>
      </c>
    </row>
    <row r="77" spans="1:56" s="113" customFormat="1">
      <c r="A77" s="113" t="s">
        <v>84</v>
      </c>
      <c r="B77" s="113" t="s">
        <v>187</v>
      </c>
      <c r="C77" s="114" t="s">
        <v>188</v>
      </c>
      <c r="D77" s="128" t="s">
        <v>87</v>
      </c>
      <c r="E77" s="127" t="s">
        <v>180</v>
      </c>
      <c r="F77" s="126">
        <v>2</v>
      </c>
      <c r="G77" s="126" t="s">
        <v>96</v>
      </c>
      <c r="H77" s="123">
        <v>680.625</v>
      </c>
      <c r="I77" s="125">
        <v>28.07</v>
      </c>
      <c r="J77" s="123">
        <v>18907</v>
      </c>
      <c r="K77" s="124">
        <v>0.04</v>
      </c>
      <c r="L77" s="123">
        <f t="shared" si="50"/>
        <v>18150.72</v>
      </c>
      <c r="M77" s="122">
        <f t="shared" si="51"/>
        <v>26.667724517906336</v>
      </c>
      <c r="N77" s="118">
        <v>8.48</v>
      </c>
      <c r="O77" s="118">
        <v>6.9</v>
      </c>
      <c r="P77" s="118">
        <v>7.68</v>
      </c>
      <c r="Q77" s="118">
        <v>7.97</v>
      </c>
      <c r="R77" s="118">
        <v>11.71</v>
      </c>
      <c r="S77" s="153">
        <v>6.84</v>
      </c>
      <c r="T77" s="153"/>
      <c r="V77" s="115"/>
      <c r="W77" s="115"/>
      <c r="X77" s="120">
        <v>0.28000000000000003</v>
      </c>
      <c r="Y77" s="120"/>
      <c r="Z77" s="118">
        <v>0.48</v>
      </c>
      <c r="AA77" s="430">
        <v>46216</v>
      </c>
      <c r="AB77" s="117">
        <f t="shared" si="4"/>
        <v>103.4</v>
      </c>
      <c r="AC77" s="117">
        <f t="shared" si="52"/>
        <v>28.952000000000005</v>
      </c>
      <c r="AD77" s="117">
        <f t="shared" si="3"/>
        <v>9.3605209376558616</v>
      </c>
      <c r="AE77" s="117"/>
      <c r="AF77" s="447"/>
      <c r="AH77" s="115"/>
      <c r="AI77" s="113">
        <v>84</v>
      </c>
      <c r="AJ77" s="113">
        <v>138</v>
      </c>
      <c r="AK77" s="113">
        <v>104</v>
      </c>
      <c r="AL77" s="113">
        <v>102</v>
      </c>
      <c r="AM77" s="113">
        <v>80</v>
      </c>
      <c r="AN77" s="113">
        <v>97</v>
      </c>
      <c r="AO77" s="113">
        <v>117</v>
      </c>
      <c r="AP77" s="113">
        <v>120</v>
      </c>
      <c r="AQ77" s="113">
        <v>85</v>
      </c>
      <c r="AR77" s="113">
        <v>99</v>
      </c>
      <c r="AS77" s="113">
        <v>106</v>
      </c>
      <c r="AT77" s="113">
        <v>96</v>
      </c>
      <c r="AU77" s="113">
        <v>106</v>
      </c>
      <c r="AV77" s="113">
        <v>111</v>
      </c>
      <c r="AW77" s="113">
        <v>106</v>
      </c>
    </row>
    <row r="78" spans="1:56" s="113" customFormat="1">
      <c r="A78" s="113" t="s">
        <v>84</v>
      </c>
      <c r="B78" s="113" t="s">
        <v>187</v>
      </c>
      <c r="C78" s="114" t="s">
        <v>188</v>
      </c>
      <c r="D78" s="128" t="s">
        <v>87</v>
      </c>
      <c r="E78" s="127" t="s">
        <v>180</v>
      </c>
      <c r="F78" s="126">
        <v>2</v>
      </c>
      <c r="G78" s="126" t="s">
        <v>96</v>
      </c>
      <c r="H78" s="123">
        <v>680.625</v>
      </c>
      <c r="I78" s="125">
        <v>28.07</v>
      </c>
      <c r="J78" s="123">
        <v>18907</v>
      </c>
      <c r="K78" s="124">
        <v>0.04</v>
      </c>
      <c r="L78" s="123">
        <f t="shared" si="50"/>
        <v>18150.72</v>
      </c>
      <c r="M78" s="122">
        <f t="shared" si="51"/>
        <v>26.667724517906336</v>
      </c>
      <c r="N78" s="118">
        <v>8.48</v>
      </c>
      <c r="O78" s="118">
        <v>6.9</v>
      </c>
      <c r="P78" s="118">
        <v>7.68</v>
      </c>
      <c r="Q78" s="118">
        <v>7.97</v>
      </c>
      <c r="R78" s="118">
        <v>11.71</v>
      </c>
      <c r="S78" s="153">
        <v>6.84</v>
      </c>
      <c r="T78" s="153"/>
      <c r="V78" s="115"/>
      <c r="W78" s="115"/>
      <c r="X78" s="120">
        <v>0.28000000000000003</v>
      </c>
      <c r="Y78" s="120"/>
      <c r="Z78" s="118">
        <v>0.48</v>
      </c>
      <c r="AA78" s="430"/>
      <c r="AB78" s="117" t="str">
        <f t="shared" si="4"/>
        <v/>
      </c>
      <c r="AC78" s="117" t="str">
        <f t="shared" si="52"/>
        <v/>
      </c>
      <c r="AD78" s="117" t="str">
        <f t="shared" si="3"/>
        <v/>
      </c>
      <c r="AE78" s="117"/>
      <c r="AF78" s="447"/>
      <c r="AH78" s="115"/>
    </row>
    <row r="79" spans="1:56" s="113" customFormat="1">
      <c r="A79" s="113" t="s">
        <v>84</v>
      </c>
      <c r="B79" s="113" t="s">
        <v>187</v>
      </c>
      <c r="C79" s="114" t="s">
        <v>188</v>
      </c>
      <c r="D79" s="128" t="s">
        <v>87</v>
      </c>
      <c r="E79" s="127" t="s">
        <v>180</v>
      </c>
      <c r="F79" s="126">
        <v>2</v>
      </c>
      <c r="G79" s="126" t="s">
        <v>96</v>
      </c>
      <c r="H79" s="123">
        <v>680.625</v>
      </c>
      <c r="I79" s="125">
        <v>28.07</v>
      </c>
      <c r="J79" s="123">
        <v>18907</v>
      </c>
      <c r="K79" s="124"/>
      <c r="L79" s="123">
        <f t="shared" ref="L79:L116" si="72">J79-(J79*K79)</f>
        <v>18907</v>
      </c>
      <c r="M79" s="122">
        <f t="shared" ref="M79:M116" si="73">L79/H79</f>
        <v>27.778879706152434</v>
      </c>
      <c r="N79" s="118">
        <v>8.48</v>
      </c>
      <c r="O79" s="118">
        <v>6.9</v>
      </c>
      <c r="P79" s="118">
        <v>7.68</v>
      </c>
      <c r="Q79" s="118">
        <v>7.97</v>
      </c>
      <c r="R79" s="118">
        <v>11.71</v>
      </c>
      <c r="S79" s="153">
        <v>6.84</v>
      </c>
      <c r="T79" s="153"/>
      <c r="V79" s="115"/>
      <c r="W79" s="115"/>
      <c r="X79" s="120">
        <v>0.3</v>
      </c>
      <c r="Y79" s="120"/>
      <c r="Z79" s="118">
        <v>0.48</v>
      </c>
      <c r="AA79" s="430"/>
      <c r="AB79" s="117" t="str">
        <f t="shared" si="4"/>
        <v/>
      </c>
      <c r="AC79" s="117" t="str">
        <f t="shared" ref="AC79:AC116" si="74">IFERROR(AB79*X79,"")</f>
        <v/>
      </c>
      <c r="AD79" s="117" t="str">
        <f t="shared" ref="AD79:AD151" si="75">IFERROR(((AC79*L79)/2000)/I79,"")</f>
        <v/>
      </c>
      <c r="AE79" s="117"/>
      <c r="AF79" s="447"/>
      <c r="AH79" s="115"/>
    </row>
    <row r="80" spans="1:56" s="296" customFormat="1">
      <c r="A80" s="296" t="s">
        <v>84</v>
      </c>
      <c r="B80" s="296" t="s">
        <v>189</v>
      </c>
      <c r="C80" s="298" t="s">
        <v>190</v>
      </c>
      <c r="D80" s="299" t="s">
        <v>87</v>
      </c>
      <c r="E80" s="300" t="s">
        <v>88</v>
      </c>
      <c r="F80" s="297">
        <v>8</v>
      </c>
      <c r="G80" s="297" t="s">
        <v>96</v>
      </c>
      <c r="H80" s="301">
        <v>680.625</v>
      </c>
      <c r="I80" s="302">
        <v>86.1</v>
      </c>
      <c r="J80" s="301">
        <v>51444</v>
      </c>
      <c r="K80" s="237"/>
      <c r="L80" s="301">
        <f t="shared" si="72"/>
        <v>51444</v>
      </c>
      <c r="M80" s="303">
        <f t="shared" si="73"/>
        <v>75.583471074380171</v>
      </c>
      <c r="N80" s="304">
        <v>7.83</v>
      </c>
      <c r="O80" s="304">
        <v>7.8</v>
      </c>
      <c r="P80" s="304">
        <v>6.65</v>
      </c>
      <c r="Q80" s="304">
        <v>7.75</v>
      </c>
      <c r="R80" s="304">
        <v>9.3699999999999992</v>
      </c>
      <c r="S80" s="305">
        <v>8.0399999999999991</v>
      </c>
      <c r="T80" s="305"/>
      <c r="V80" s="306"/>
      <c r="W80" s="306"/>
      <c r="X80" s="307">
        <v>0.33</v>
      </c>
      <c r="Y80" s="307"/>
      <c r="Z80" s="304">
        <v>0.33</v>
      </c>
      <c r="AA80" s="431"/>
      <c r="AB80" s="233" t="str">
        <f t="shared" ref="AB80:AB152" si="76">IFERROR(AVERAGE(AI80:BG80),"")</f>
        <v/>
      </c>
      <c r="AC80" s="233" t="str">
        <f t="shared" si="74"/>
        <v/>
      </c>
      <c r="AD80" s="233" t="str">
        <f t="shared" si="75"/>
        <v/>
      </c>
      <c r="AE80" s="233"/>
      <c r="AF80" s="448"/>
      <c r="AH80" s="306"/>
    </row>
    <row r="81" spans="1:64" s="113" customFormat="1">
      <c r="A81" s="113" t="s">
        <v>84</v>
      </c>
      <c r="B81" s="113" t="s">
        <v>191</v>
      </c>
      <c r="C81" s="114" t="s">
        <v>192</v>
      </c>
      <c r="D81" s="128" t="s">
        <v>193</v>
      </c>
      <c r="E81" s="127" t="s">
        <v>194</v>
      </c>
      <c r="F81" s="126">
        <v>3</v>
      </c>
      <c r="G81" s="126" t="s">
        <v>125</v>
      </c>
      <c r="H81" s="123">
        <v>807</v>
      </c>
      <c r="I81" s="125">
        <v>40</v>
      </c>
      <c r="J81" s="123">
        <v>32084</v>
      </c>
      <c r="K81" s="124"/>
      <c r="L81" s="123">
        <f t="shared" si="72"/>
        <v>32084</v>
      </c>
      <c r="M81" s="122">
        <f t="shared" si="73"/>
        <v>39.757125154894673</v>
      </c>
      <c r="N81" s="125"/>
      <c r="O81" s="125"/>
      <c r="P81" s="125"/>
      <c r="Q81" s="125"/>
      <c r="R81" s="125"/>
      <c r="S81" s="154">
        <v>3.61</v>
      </c>
      <c r="T81" s="154"/>
      <c r="U81" s="113" t="s">
        <v>115</v>
      </c>
      <c r="V81" s="115" t="s">
        <v>115</v>
      </c>
      <c r="W81" s="115"/>
      <c r="X81" s="120">
        <v>0.43</v>
      </c>
      <c r="Y81" s="120"/>
      <c r="Z81" s="118">
        <v>0.48</v>
      </c>
      <c r="AA81" s="430">
        <v>46117</v>
      </c>
      <c r="AB81" s="117">
        <f t="shared" si="76"/>
        <v>67.733333333333334</v>
      </c>
      <c r="AC81" s="117">
        <f t="shared" si="74"/>
        <v>29.125333333333334</v>
      </c>
      <c r="AD81" s="117">
        <f t="shared" si="75"/>
        <v>11.680714933333332</v>
      </c>
      <c r="AE81" s="117"/>
      <c r="AF81" s="447"/>
      <c r="AG81" s="113" t="s">
        <v>195</v>
      </c>
      <c r="AH81" s="115" t="s">
        <v>91</v>
      </c>
      <c r="AI81" s="113">
        <v>48</v>
      </c>
      <c r="AJ81" s="113">
        <v>48</v>
      </c>
      <c r="AK81" s="113">
        <v>48</v>
      </c>
      <c r="AL81" s="113">
        <v>37</v>
      </c>
      <c r="AM81" s="113">
        <v>46</v>
      </c>
      <c r="AN81" s="113">
        <v>69</v>
      </c>
      <c r="AO81" s="113">
        <v>76</v>
      </c>
      <c r="AP81" s="113">
        <v>80</v>
      </c>
      <c r="AQ81" s="113">
        <v>55</v>
      </c>
      <c r="AR81" s="113">
        <v>78</v>
      </c>
      <c r="AS81" s="113">
        <v>90</v>
      </c>
      <c r="AT81" s="113">
        <v>74</v>
      </c>
      <c r="AU81" s="113">
        <v>76</v>
      </c>
      <c r="AV81" s="113">
        <v>97</v>
      </c>
      <c r="AW81" s="113">
        <v>94</v>
      </c>
    </row>
    <row r="82" spans="1:64" s="113" customFormat="1">
      <c r="A82" s="113" t="s">
        <v>84</v>
      </c>
      <c r="B82" s="113" t="s">
        <v>191</v>
      </c>
      <c r="C82" s="114" t="s">
        <v>192</v>
      </c>
      <c r="D82" s="128" t="s">
        <v>193</v>
      </c>
      <c r="E82" s="127" t="s">
        <v>194</v>
      </c>
      <c r="F82" s="126">
        <v>3</v>
      </c>
      <c r="G82" s="126" t="s">
        <v>125</v>
      </c>
      <c r="H82" s="123">
        <v>807</v>
      </c>
      <c r="I82" s="125">
        <v>40</v>
      </c>
      <c r="J82" s="123">
        <v>32084</v>
      </c>
      <c r="K82" s="124"/>
      <c r="L82" s="123">
        <f t="shared" si="72"/>
        <v>32084</v>
      </c>
      <c r="M82" s="122">
        <f t="shared" si="73"/>
        <v>39.757125154894673</v>
      </c>
      <c r="N82" s="125"/>
      <c r="O82" s="125"/>
      <c r="P82" s="125"/>
      <c r="Q82" s="125"/>
      <c r="R82" s="125"/>
      <c r="S82" s="154">
        <v>3.61</v>
      </c>
      <c r="T82" s="154"/>
      <c r="V82" s="115" t="s">
        <v>103</v>
      </c>
      <c r="W82" s="115"/>
      <c r="X82" s="120">
        <v>0.43</v>
      </c>
      <c r="Y82" s="120"/>
      <c r="Z82" s="118">
        <v>0.48</v>
      </c>
      <c r="AA82" s="430">
        <v>46191</v>
      </c>
      <c r="AB82" s="117">
        <f t="shared" si="76"/>
        <v>46.533333333333331</v>
      </c>
      <c r="AC82" s="117">
        <f t="shared" si="74"/>
        <v>20.009333333333331</v>
      </c>
      <c r="AD82" s="117">
        <f t="shared" si="75"/>
        <v>8.0247431333333328</v>
      </c>
      <c r="AE82" s="117"/>
      <c r="AF82" s="447"/>
      <c r="AH82" s="115" t="s">
        <v>91</v>
      </c>
      <c r="AI82" s="113">
        <v>52</v>
      </c>
      <c r="AJ82" s="113">
        <v>48</v>
      </c>
      <c r="AK82" s="113">
        <v>57</v>
      </c>
      <c r="AL82" s="113">
        <v>42</v>
      </c>
      <c r="AM82" s="113">
        <v>47</v>
      </c>
      <c r="AN82" s="113">
        <v>52</v>
      </c>
      <c r="AO82" s="113">
        <v>48</v>
      </c>
      <c r="AP82" s="113">
        <v>40</v>
      </c>
      <c r="AQ82" s="113">
        <v>52</v>
      </c>
      <c r="AR82" s="113">
        <v>36</v>
      </c>
      <c r="AS82" s="113">
        <v>49</v>
      </c>
      <c r="AT82" s="113">
        <v>44</v>
      </c>
      <c r="AU82" s="113">
        <v>49</v>
      </c>
      <c r="AV82" s="113">
        <v>34</v>
      </c>
      <c r="AW82" s="113">
        <v>48</v>
      </c>
    </row>
    <row r="83" spans="1:64" s="113" customFormat="1">
      <c r="A83" s="113" t="s">
        <v>84</v>
      </c>
      <c r="B83" s="113" t="s">
        <v>191</v>
      </c>
      <c r="C83" s="114" t="s">
        <v>192</v>
      </c>
      <c r="D83" s="128" t="s">
        <v>193</v>
      </c>
      <c r="E83" s="127" t="s">
        <v>194</v>
      </c>
      <c r="F83" s="126">
        <v>3</v>
      </c>
      <c r="G83" s="126" t="s">
        <v>125</v>
      </c>
      <c r="H83" s="123">
        <v>807</v>
      </c>
      <c r="I83" s="125">
        <v>40</v>
      </c>
      <c r="J83" s="123">
        <v>32084</v>
      </c>
      <c r="K83" s="124"/>
      <c r="L83" s="123">
        <f t="shared" si="72"/>
        <v>32084</v>
      </c>
      <c r="M83" s="122">
        <f t="shared" si="73"/>
        <v>39.757125154894673</v>
      </c>
      <c r="N83" s="125"/>
      <c r="O83" s="125"/>
      <c r="P83" s="125"/>
      <c r="Q83" s="125"/>
      <c r="R83" s="125"/>
      <c r="S83" s="154">
        <v>3.61</v>
      </c>
      <c r="T83" s="154"/>
      <c r="V83" s="115"/>
      <c r="W83" s="115"/>
      <c r="X83" s="120">
        <v>0.43</v>
      </c>
      <c r="Y83" s="120"/>
      <c r="Z83" s="118">
        <v>0.48</v>
      </c>
      <c r="AA83" s="430"/>
      <c r="AB83" s="117" t="str">
        <f t="shared" si="76"/>
        <v/>
      </c>
      <c r="AC83" s="117" t="str">
        <f t="shared" si="74"/>
        <v/>
      </c>
      <c r="AD83" s="117" t="str">
        <f t="shared" si="75"/>
        <v/>
      </c>
      <c r="AE83" s="117"/>
      <c r="AF83" s="447"/>
      <c r="AH83" s="115"/>
    </row>
    <row r="84" spans="1:64" s="113" customFormat="1">
      <c r="A84" s="113" t="s">
        <v>84</v>
      </c>
      <c r="B84" s="113" t="s">
        <v>191</v>
      </c>
      <c r="C84" s="114" t="s">
        <v>196</v>
      </c>
      <c r="D84" s="128" t="s">
        <v>193</v>
      </c>
      <c r="E84" s="127" t="s">
        <v>194</v>
      </c>
      <c r="F84" s="126">
        <v>3</v>
      </c>
      <c r="G84" s="126" t="s">
        <v>125</v>
      </c>
      <c r="H84" s="123">
        <v>807</v>
      </c>
      <c r="I84" s="125">
        <v>17.7</v>
      </c>
      <c r="J84" s="123">
        <v>14131</v>
      </c>
      <c r="K84" s="124"/>
      <c r="L84" s="123">
        <f t="shared" si="72"/>
        <v>14131</v>
      </c>
      <c r="M84" s="122">
        <f t="shared" si="73"/>
        <v>17.510532837670382</v>
      </c>
      <c r="N84" s="125"/>
      <c r="O84" s="125"/>
      <c r="P84" s="125"/>
      <c r="Q84" s="125"/>
      <c r="R84" s="125"/>
      <c r="S84" s="154">
        <v>3.61</v>
      </c>
      <c r="T84" s="154"/>
      <c r="V84" s="115"/>
      <c r="W84" s="115"/>
      <c r="X84" s="120">
        <v>0.43</v>
      </c>
      <c r="Y84" s="120"/>
      <c r="Z84" s="118">
        <v>0.48</v>
      </c>
      <c r="AA84" s="430"/>
      <c r="AB84" s="117" t="str">
        <f t="shared" si="76"/>
        <v/>
      </c>
      <c r="AC84" s="117" t="str">
        <f t="shared" si="74"/>
        <v/>
      </c>
      <c r="AD84" s="117" t="str">
        <f t="shared" si="75"/>
        <v/>
      </c>
      <c r="AE84" s="117"/>
      <c r="AF84" s="447"/>
      <c r="AH84" s="115"/>
    </row>
    <row r="85" spans="1:64" s="296" customFormat="1">
      <c r="A85" s="296" t="s">
        <v>84</v>
      </c>
      <c r="B85" s="296" t="s">
        <v>197</v>
      </c>
      <c r="C85" s="298" t="s">
        <v>198</v>
      </c>
      <c r="D85" s="299" t="s">
        <v>111</v>
      </c>
      <c r="E85" s="300" t="s">
        <v>160</v>
      </c>
      <c r="F85" s="297">
        <v>4</v>
      </c>
      <c r="G85" s="297" t="s">
        <v>96</v>
      </c>
      <c r="H85" s="301">
        <v>726</v>
      </c>
      <c r="I85" s="302">
        <v>60.57</v>
      </c>
      <c r="J85" s="301">
        <v>43649</v>
      </c>
      <c r="K85" s="237"/>
      <c r="L85" s="301">
        <f t="shared" si="72"/>
        <v>43649</v>
      </c>
      <c r="M85" s="303">
        <f t="shared" si="73"/>
        <v>60.12258953168044</v>
      </c>
      <c r="N85" s="302"/>
      <c r="O85" s="302"/>
      <c r="P85" s="302"/>
      <c r="Q85" s="302"/>
      <c r="R85" s="302">
        <v>3.03</v>
      </c>
      <c r="S85" s="320">
        <v>6.72</v>
      </c>
      <c r="T85" s="320"/>
      <c r="V85" s="306"/>
      <c r="W85" s="306"/>
      <c r="X85" s="307">
        <v>0.38</v>
      </c>
      <c r="Y85" s="307"/>
      <c r="Z85" s="304">
        <v>0.4</v>
      </c>
      <c r="AA85" s="431">
        <v>46115</v>
      </c>
      <c r="AB85" s="233">
        <f t="shared" si="76"/>
        <v>89.6</v>
      </c>
      <c r="AC85" s="233">
        <f t="shared" si="74"/>
        <v>34.047999999999995</v>
      </c>
      <c r="AD85" s="233">
        <f t="shared" si="75"/>
        <v>12.268129040779261</v>
      </c>
      <c r="AE85" s="233"/>
      <c r="AF85" s="448"/>
      <c r="AG85" s="296" t="s">
        <v>199</v>
      </c>
      <c r="AH85" s="306" t="s">
        <v>91</v>
      </c>
      <c r="AI85" s="296">
        <v>84</v>
      </c>
      <c r="AJ85" s="296">
        <v>85</v>
      </c>
      <c r="AK85" s="296">
        <v>87</v>
      </c>
      <c r="AL85" s="296">
        <v>90</v>
      </c>
      <c r="AM85" s="296">
        <v>88</v>
      </c>
      <c r="AN85" s="296">
        <v>78</v>
      </c>
      <c r="AO85" s="296">
        <v>95</v>
      </c>
      <c r="AP85" s="296">
        <v>78</v>
      </c>
      <c r="AQ85" s="296">
        <v>77</v>
      </c>
      <c r="AR85" s="296">
        <v>91</v>
      </c>
      <c r="AS85" s="296">
        <v>80</v>
      </c>
      <c r="AT85" s="296">
        <v>93</v>
      </c>
      <c r="AU85" s="296">
        <v>101</v>
      </c>
      <c r="AV85" s="296">
        <v>76</v>
      </c>
      <c r="AW85" s="296">
        <v>111</v>
      </c>
      <c r="AX85" s="296">
        <v>90</v>
      </c>
      <c r="AY85" s="296">
        <v>87</v>
      </c>
      <c r="AZ85" s="296">
        <v>92</v>
      </c>
      <c r="BA85" s="296">
        <v>104</v>
      </c>
      <c r="BB85" s="296">
        <v>105</v>
      </c>
    </row>
    <row r="86" spans="1:64" s="296" customFormat="1">
      <c r="A86" s="296" t="s">
        <v>84</v>
      </c>
      <c r="B86" s="296" t="s">
        <v>197</v>
      </c>
      <c r="C86" s="298" t="s">
        <v>198</v>
      </c>
      <c r="D86" s="299" t="s">
        <v>111</v>
      </c>
      <c r="E86" s="300" t="s">
        <v>160</v>
      </c>
      <c r="F86" s="297">
        <v>4</v>
      </c>
      <c r="G86" s="297" t="s">
        <v>96</v>
      </c>
      <c r="H86" s="301">
        <v>726</v>
      </c>
      <c r="I86" s="302">
        <v>60.57</v>
      </c>
      <c r="J86" s="301">
        <v>43649</v>
      </c>
      <c r="K86" s="237"/>
      <c r="L86" s="301">
        <f t="shared" si="72"/>
        <v>43649</v>
      </c>
      <c r="M86" s="303">
        <f t="shared" si="73"/>
        <v>60.12258953168044</v>
      </c>
      <c r="N86" s="302"/>
      <c r="O86" s="302"/>
      <c r="P86" s="302"/>
      <c r="Q86" s="302"/>
      <c r="R86" s="302">
        <v>3.03</v>
      </c>
      <c r="S86" s="320">
        <v>6.72</v>
      </c>
      <c r="T86" s="320"/>
      <c r="V86" s="306"/>
      <c r="W86" s="306"/>
      <c r="X86" s="307">
        <v>0.38</v>
      </c>
      <c r="Y86" s="307"/>
      <c r="Z86" s="304">
        <v>0.4</v>
      </c>
      <c r="AA86" s="431">
        <v>46156</v>
      </c>
      <c r="AB86" s="233">
        <f t="shared" si="76"/>
        <v>62.8</v>
      </c>
      <c r="AC86" s="233">
        <f t="shared" si="74"/>
        <v>23.864000000000001</v>
      </c>
      <c r="AD86" s="233">
        <f t="shared" si="75"/>
        <v>8.5986440151890378</v>
      </c>
      <c r="AE86" s="233"/>
      <c r="AF86" s="448"/>
      <c r="AH86" s="306"/>
      <c r="AI86" s="296">
        <v>57</v>
      </c>
      <c r="AJ86" s="296">
        <v>63</v>
      </c>
      <c r="AK86" s="296">
        <v>67</v>
      </c>
      <c r="AL86" s="296">
        <v>59</v>
      </c>
      <c r="AM86" s="296">
        <v>70</v>
      </c>
      <c r="AN86" s="296">
        <v>68</v>
      </c>
      <c r="AO86" s="296">
        <v>57</v>
      </c>
      <c r="AP86" s="296">
        <v>66</v>
      </c>
      <c r="AQ86" s="296">
        <v>60</v>
      </c>
      <c r="AR86" s="296">
        <v>62</v>
      </c>
      <c r="AS86" s="296">
        <v>59</v>
      </c>
      <c r="AT86" s="296">
        <v>65</v>
      </c>
      <c r="AU86" s="296">
        <v>59</v>
      </c>
      <c r="AV86" s="296">
        <v>67</v>
      </c>
      <c r="AW86" s="296">
        <v>63</v>
      </c>
    </row>
    <row r="87" spans="1:64" s="296" customFormat="1">
      <c r="A87" s="296" t="s">
        <v>84</v>
      </c>
      <c r="B87" s="296" t="s">
        <v>197</v>
      </c>
      <c r="C87" s="298" t="s">
        <v>198</v>
      </c>
      <c r="D87" s="299" t="s">
        <v>111</v>
      </c>
      <c r="E87" s="300" t="s">
        <v>160</v>
      </c>
      <c r="F87" s="297">
        <v>4</v>
      </c>
      <c r="G87" s="297" t="s">
        <v>96</v>
      </c>
      <c r="H87" s="301">
        <v>726</v>
      </c>
      <c r="I87" s="302">
        <v>60.57</v>
      </c>
      <c r="J87" s="301">
        <v>43649</v>
      </c>
      <c r="K87" s="237"/>
      <c r="L87" s="301">
        <f t="shared" si="72"/>
        <v>43649</v>
      </c>
      <c r="M87" s="303">
        <f t="shared" si="73"/>
        <v>60.12258953168044</v>
      </c>
      <c r="N87" s="302"/>
      <c r="O87" s="302"/>
      <c r="P87" s="302"/>
      <c r="Q87" s="302"/>
      <c r="R87" s="302">
        <v>3.03</v>
      </c>
      <c r="S87" s="320">
        <v>6.72</v>
      </c>
      <c r="T87" s="320"/>
      <c r="V87" s="306"/>
      <c r="W87" s="306"/>
      <c r="X87" s="307">
        <v>0.38</v>
      </c>
      <c r="Y87" s="307"/>
      <c r="Z87" s="304">
        <v>0.4</v>
      </c>
      <c r="AA87" s="431">
        <v>46191</v>
      </c>
      <c r="AB87" s="233">
        <f t="shared" si="76"/>
        <v>77.44</v>
      </c>
      <c r="AC87" s="233">
        <f t="shared" si="74"/>
        <v>29.427199999999999</v>
      </c>
      <c r="AD87" s="233">
        <f t="shared" si="75"/>
        <v>10.603168670959221</v>
      </c>
      <c r="AE87" s="233"/>
      <c r="AF87" s="448"/>
      <c r="AH87" s="306" t="s">
        <v>91</v>
      </c>
      <c r="AI87" s="296">
        <v>67</v>
      </c>
      <c r="AJ87" s="296">
        <v>57</v>
      </c>
      <c r="AK87" s="296">
        <v>64</v>
      </c>
      <c r="AL87" s="296">
        <v>70</v>
      </c>
      <c r="AM87" s="296">
        <v>71</v>
      </c>
      <c r="AN87" s="296">
        <v>72</v>
      </c>
      <c r="AO87" s="296">
        <v>87</v>
      </c>
      <c r="AP87" s="296">
        <v>79</v>
      </c>
      <c r="AQ87" s="296">
        <v>73</v>
      </c>
      <c r="AR87" s="296">
        <v>81</v>
      </c>
      <c r="AS87" s="296">
        <v>67</v>
      </c>
      <c r="AT87" s="296">
        <v>90</v>
      </c>
      <c r="AU87" s="296">
        <v>77</v>
      </c>
      <c r="AV87" s="296">
        <v>76</v>
      </c>
      <c r="AW87" s="296">
        <v>101</v>
      </c>
      <c r="AX87" s="296">
        <v>74</v>
      </c>
      <c r="AY87" s="296">
        <v>100</v>
      </c>
      <c r="AZ87" s="296">
        <v>78</v>
      </c>
      <c r="BA87" s="296">
        <v>99</v>
      </c>
      <c r="BB87" s="296">
        <v>76</v>
      </c>
      <c r="BC87" s="296">
        <v>88</v>
      </c>
      <c r="BD87" s="296">
        <v>66</v>
      </c>
      <c r="BE87" s="296">
        <v>80</v>
      </c>
      <c r="BF87" s="296">
        <v>61</v>
      </c>
      <c r="BG87" s="296">
        <v>82</v>
      </c>
      <c r="BH87" s="296">
        <v>79</v>
      </c>
      <c r="BI87" s="296">
        <v>89</v>
      </c>
      <c r="BJ87" s="296">
        <v>88</v>
      </c>
      <c r="BK87" s="296">
        <v>61</v>
      </c>
      <c r="BL87" s="296">
        <v>59</v>
      </c>
    </row>
    <row r="88" spans="1:64" s="113" customFormat="1">
      <c r="A88" s="113" t="s">
        <v>84</v>
      </c>
      <c r="B88" s="113" t="s">
        <v>200</v>
      </c>
      <c r="C88" s="114" t="s">
        <v>201</v>
      </c>
      <c r="D88" s="128" t="s">
        <v>87</v>
      </c>
      <c r="E88" s="127" t="s">
        <v>88</v>
      </c>
      <c r="F88" s="126">
        <v>8</v>
      </c>
      <c r="G88" s="126" t="s">
        <v>170</v>
      </c>
      <c r="H88" s="123">
        <v>680.625</v>
      </c>
      <c r="I88" s="125">
        <v>83.51</v>
      </c>
      <c r="J88" s="123">
        <v>56217</v>
      </c>
      <c r="K88" s="124">
        <v>0.03</v>
      </c>
      <c r="L88" s="123">
        <f t="shared" si="72"/>
        <v>54530.49</v>
      </c>
      <c r="M88" s="122">
        <f t="shared" si="73"/>
        <v>80.118258953168038</v>
      </c>
      <c r="N88" s="118">
        <v>8.1199999999999992</v>
      </c>
      <c r="O88" s="118">
        <v>6.68</v>
      </c>
      <c r="P88" s="118">
        <v>6.51</v>
      </c>
      <c r="Q88" s="118">
        <v>7.56</v>
      </c>
      <c r="R88" s="118">
        <v>10.01</v>
      </c>
      <c r="S88" s="153">
        <v>8.06</v>
      </c>
      <c r="T88" s="153"/>
      <c r="V88" s="115"/>
      <c r="W88" s="115"/>
      <c r="X88" s="120">
        <v>0.3</v>
      </c>
      <c r="Y88" s="120"/>
      <c r="Z88" s="118">
        <v>0.33</v>
      </c>
      <c r="AA88" s="430">
        <v>46181</v>
      </c>
      <c r="AB88" s="117">
        <f t="shared" si="76"/>
        <v>92</v>
      </c>
      <c r="AC88" s="117">
        <f t="shared" si="74"/>
        <v>27.599999999999998</v>
      </c>
      <c r="AD88" s="117">
        <f t="shared" si="75"/>
        <v>9.0111455155071223</v>
      </c>
      <c r="AE88" s="117"/>
      <c r="AF88" s="447"/>
      <c r="AH88" s="115" t="s">
        <v>91</v>
      </c>
      <c r="AI88" s="113">
        <v>88</v>
      </c>
      <c r="AJ88" s="113">
        <v>81</v>
      </c>
      <c r="AK88" s="113">
        <v>98</v>
      </c>
      <c r="AL88" s="113">
        <v>92</v>
      </c>
      <c r="AM88" s="113">
        <v>73</v>
      </c>
      <c r="AN88" s="113">
        <v>67</v>
      </c>
      <c r="AO88" s="113">
        <v>104</v>
      </c>
      <c r="AP88" s="113">
        <v>89</v>
      </c>
      <c r="AQ88" s="113">
        <v>105</v>
      </c>
      <c r="AR88" s="113">
        <v>98</v>
      </c>
      <c r="AS88" s="113">
        <v>90</v>
      </c>
      <c r="AT88" s="113">
        <v>104</v>
      </c>
      <c r="AU88" s="113">
        <v>101</v>
      </c>
      <c r="AV88" s="113">
        <v>91</v>
      </c>
      <c r="AW88" s="113">
        <v>99</v>
      </c>
    </row>
    <row r="89" spans="1:64" s="296" customFormat="1">
      <c r="A89" s="296" t="s">
        <v>84</v>
      </c>
      <c r="B89" s="296" t="s">
        <v>202</v>
      </c>
      <c r="C89" s="298" t="s">
        <v>203</v>
      </c>
      <c r="D89" s="299" t="s">
        <v>87</v>
      </c>
      <c r="E89" s="300" t="s">
        <v>99</v>
      </c>
      <c r="F89" s="297">
        <v>7</v>
      </c>
      <c r="G89" s="297" t="s">
        <v>204</v>
      </c>
      <c r="H89" s="301">
        <v>680.625</v>
      </c>
      <c r="I89" s="302">
        <v>35.56</v>
      </c>
      <c r="J89" s="301">
        <v>22011</v>
      </c>
      <c r="K89" s="237">
        <v>0.06</v>
      </c>
      <c r="L89" s="301">
        <f t="shared" si="72"/>
        <v>20690.34</v>
      </c>
      <c r="M89" s="303">
        <f t="shared" si="73"/>
        <v>30.399030303030305</v>
      </c>
      <c r="N89" s="304">
        <v>9.49</v>
      </c>
      <c r="O89" s="304">
        <v>9.9</v>
      </c>
      <c r="P89" s="304">
        <v>5.96</v>
      </c>
      <c r="Q89" s="304">
        <v>5.87</v>
      </c>
      <c r="R89" s="304">
        <v>9.86</v>
      </c>
      <c r="S89" s="305">
        <v>8.8000000000000007</v>
      </c>
      <c r="T89" s="305"/>
      <c r="V89" s="306"/>
      <c r="W89" s="306"/>
      <c r="X89" s="307">
        <v>0.2</v>
      </c>
      <c r="Y89" s="307"/>
      <c r="Z89" s="304">
        <v>0.44</v>
      </c>
      <c r="AA89" s="431">
        <v>46167</v>
      </c>
      <c r="AB89" s="233">
        <f t="shared" si="76"/>
        <v>92.2</v>
      </c>
      <c r="AC89" s="233">
        <f t="shared" si="74"/>
        <v>18.440000000000001</v>
      </c>
      <c r="AD89" s="233">
        <f t="shared" si="75"/>
        <v>5.3645932170978634</v>
      </c>
      <c r="AE89" s="233"/>
      <c r="AF89" s="448"/>
      <c r="AH89" s="306" t="s">
        <v>116</v>
      </c>
      <c r="AI89" s="296">
        <v>100</v>
      </c>
      <c r="AJ89" s="296">
        <v>83</v>
      </c>
      <c r="AK89" s="296">
        <v>94</v>
      </c>
      <c r="AL89" s="296">
        <v>89</v>
      </c>
      <c r="AM89" s="296">
        <v>86</v>
      </c>
      <c r="AN89" s="296">
        <v>99</v>
      </c>
      <c r="AO89" s="296">
        <v>90</v>
      </c>
      <c r="AP89" s="296">
        <v>87</v>
      </c>
      <c r="AQ89" s="296">
        <v>93</v>
      </c>
      <c r="AR89" s="296">
        <v>98</v>
      </c>
      <c r="AS89" s="296">
        <v>101</v>
      </c>
      <c r="AT89" s="296">
        <v>99</v>
      </c>
      <c r="AU89" s="296">
        <v>90</v>
      </c>
      <c r="AV89" s="296">
        <v>85</v>
      </c>
      <c r="AW89" s="296">
        <v>89</v>
      </c>
    </row>
    <row r="90" spans="1:64" s="296" customFormat="1">
      <c r="A90" s="296" t="s">
        <v>84</v>
      </c>
      <c r="B90" s="296" t="s">
        <v>202</v>
      </c>
      <c r="C90" s="298" t="s">
        <v>203</v>
      </c>
      <c r="D90" s="299" t="s">
        <v>87</v>
      </c>
      <c r="E90" s="300" t="s">
        <v>99</v>
      </c>
      <c r="F90" s="297">
        <v>7</v>
      </c>
      <c r="G90" s="297" t="s">
        <v>204</v>
      </c>
      <c r="H90" s="301">
        <v>680.625</v>
      </c>
      <c r="I90" s="302">
        <v>35.56</v>
      </c>
      <c r="J90" s="301">
        <v>22011</v>
      </c>
      <c r="K90" s="237">
        <v>0.06</v>
      </c>
      <c r="L90" s="301">
        <f t="shared" ref="L90" si="77">J90-(J90*K90)</f>
        <v>20690.34</v>
      </c>
      <c r="M90" s="303">
        <f t="shared" ref="M90" si="78">L90/H90</f>
        <v>30.399030303030305</v>
      </c>
      <c r="N90" s="304">
        <v>9.49</v>
      </c>
      <c r="O90" s="304">
        <v>9.9</v>
      </c>
      <c r="P90" s="304">
        <v>5.96</v>
      </c>
      <c r="Q90" s="304">
        <v>5.87</v>
      </c>
      <c r="R90" s="304">
        <v>9.86</v>
      </c>
      <c r="S90" s="305">
        <v>8.8000000000000007</v>
      </c>
      <c r="T90" s="305"/>
      <c r="V90" s="306"/>
      <c r="W90" s="306"/>
      <c r="X90" s="307">
        <v>0.2</v>
      </c>
      <c r="Y90" s="307"/>
      <c r="Z90" s="304">
        <v>0.44</v>
      </c>
      <c r="AA90" s="431">
        <v>46188</v>
      </c>
      <c r="AB90" s="233">
        <f t="shared" ref="AB90" si="79">IFERROR(AVERAGE(AI90:BG90),"")</f>
        <v>123.06666666666666</v>
      </c>
      <c r="AC90" s="233">
        <f t="shared" ref="AC90" si="80">IFERROR(AB90*X90,"")</f>
        <v>24.613333333333333</v>
      </c>
      <c r="AD90" s="233">
        <f t="shared" ref="AD90" si="81">IFERROR(((AC90*L90)/2000)/I90,"")</f>
        <v>7.1605488638920134</v>
      </c>
      <c r="AE90" s="233"/>
      <c r="AF90" s="448"/>
      <c r="AH90" s="306" t="s">
        <v>91</v>
      </c>
      <c r="AI90" s="296">
        <v>123</v>
      </c>
      <c r="AJ90" s="296">
        <v>127</v>
      </c>
      <c r="AK90" s="296">
        <v>148</v>
      </c>
      <c r="AL90" s="296">
        <v>167</v>
      </c>
      <c r="AM90" s="296">
        <v>139</v>
      </c>
      <c r="AN90" s="296">
        <v>123</v>
      </c>
      <c r="AO90" s="296">
        <v>133</v>
      </c>
      <c r="AP90" s="296">
        <v>131</v>
      </c>
      <c r="AQ90" s="296">
        <v>125</v>
      </c>
      <c r="AR90" s="296">
        <v>109</v>
      </c>
      <c r="AS90" s="296">
        <v>85</v>
      </c>
      <c r="AT90" s="296">
        <v>109</v>
      </c>
      <c r="AU90" s="296">
        <v>105</v>
      </c>
      <c r="AV90" s="296">
        <v>108</v>
      </c>
      <c r="AW90" s="296">
        <v>114</v>
      </c>
    </row>
    <row r="91" spans="1:64" s="296" customFormat="1">
      <c r="C91" s="298"/>
      <c r="D91" s="299"/>
      <c r="E91" s="300"/>
      <c r="F91" s="297"/>
      <c r="G91" s="297"/>
      <c r="H91" s="301"/>
      <c r="I91" s="302"/>
      <c r="J91" s="301"/>
      <c r="K91" s="237"/>
      <c r="L91" s="301"/>
      <c r="M91" s="303"/>
      <c r="N91" s="304"/>
      <c r="O91" s="304"/>
      <c r="P91" s="304"/>
      <c r="Q91" s="304"/>
      <c r="R91" s="304"/>
      <c r="S91" s="305"/>
      <c r="T91" s="305"/>
      <c r="V91" s="306"/>
      <c r="W91" s="306"/>
      <c r="X91" s="307"/>
      <c r="Y91" s="307"/>
      <c r="Z91" s="304"/>
      <c r="AA91" s="431"/>
      <c r="AB91" s="233"/>
      <c r="AC91" s="233"/>
      <c r="AD91" s="233"/>
      <c r="AE91" s="233"/>
      <c r="AF91" s="448"/>
      <c r="AH91" s="306"/>
    </row>
    <row r="92" spans="1:64" s="113" customFormat="1">
      <c r="A92" s="113" t="s">
        <v>84</v>
      </c>
      <c r="B92" s="113" t="s">
        <v>205</v>
      </c>
      <c r="C92" s="114" t="s">
        <v>206</v>
      </c>
      <c r="D92" s="128" t="s">
        <v>87</v>
      </c>
      <c r="E92" s="127" t="s">
        <v>160</v>
      </c>
      <c r="F92" s="126" t="s">
        <v>207</v>
      </c>
      <c r="G92" s="126" t="s">
        <v>170</v>
      </c>
      <c r="H92" s="123">
        <v>680.625</v>
      </c>
      <c r="I92" s="125">
        <v>70.349999999999994</v>
      </c>
      <c r="J92" s="123">
        <v>47208</v>
      </c>
      <c r="K92" s="124">
        <v>0.1</v>
      </c>
      <c r="L92" s="123">
        <f t="shared" si="72"/>
        <v>42487.199999999997</v>
      </c>
      <c r="M92" s="122">
        <f t="shared" si="73"/>
        <v>62.423801652892557</v>
      </c>
      <c r="N92" s="118">
        <v>9.89</v>
      </c>
      <c r="O92" s="118">
        <v>8.66</v>
      </c>
      <c r="P92" s="118">
        <v>6.35</v>
      </c>
      <c r="Q92" s="118">
        <v>7.74</v>
      </c>
      <c r="R92" s="118">
        <v>7.79</v>
      </c>
      <c r="S92" s="153">
        <v>8.33</v>
      </c>
      <c r="T92" s="153"/>
      <c r="V92" s="115"/>
      <c r="W92" s="115"/>
      <c r="X92" s="120">
        <v>0.37</v>
      </c>
      <c r="Y92" s="120"/>
      <c r="Z92" s="118">
        <v>0.4</v>
      </c>
      <c r="AA92" s="430"/>
      <c r="AB92" s="117" t="str">
        <f t="shared" si="76"/>
        <v/>
      </c>
      <c r="AC92" s="117" t="str">
        <f t="shared" si="74"/>
        <v/>
      </c>
      <c r="AD92" s="117" t="str">
        <f t="shared" si="75"/>
        <v/>
      </c>
      <c r="AE92" s="117"/>
      <c r="AF92" s="447"/>
      <c r="AG92" s="113" t="s">
        <v>208</v>
      </c>
      <c r="AH92" s="115"/>
    </row>
    <row r="93" spans="1:64" s="113" customFormat="1">
      <c r="A93" s="113" t="s">
        <v>84</v>
      </c>
      <c r="B93" s="113" t="s">
        <v>205</v>
      </c>
      <c r="C93" s="114" t="s">
        <v>206</v>
      </c>
      <c r="D93" s="128" t="s">
        <v>87</v>
      </c>
      <c r="E93" s="127" t="s">
        <v>160</v>
      </c>
      <c r="F93" s="126" t="s">
        <v>207</v>
      </c>
      <c r="G93" s="126" t="s">
        <v>170</v>
      </c>
      <c r="H93" s="123">
        <v>680.625</v>
      </c>
      <c r="I93" s="125">
        <v>70.349999999999994</v>
      </c>
      <c r="J93" s="123">
        <v>47208</v>
      </c>
      <c r="K93" s="124">
        <v>0.1</v>
      </c>
      <c r="L93" s="123">
        <f t="shared" si="72"/>
        <v>42487.199999999997</v>
      </c>
      <c r="M93" s="122">
        <f t="shared" si="73"/>
        <v>62.423801652892557</v>
      </c>
      <c r="N93" s="118">
        <v>9.89</v>
      </c>
      <c r="O93" s="118">
        <v>8.66</v>
      </c>
      <c r="P93" s="118">
        <v>6.35</v>
      </c>
      <c r="Q93" s="118">
        <v>7.74</v>
      </c>
      <c r="R93" s="118">
        <v>7.79</v>
      </c>
      <c r="S93" s="153">
        <v>8.33</v>
      </c>
      <c r="T93" s="153"/>
      <c r="V93" s="115"/>
      <c r="W93" s="115"/>
      <c r="X93" s="120">
        <v>0.37</v>
      </c>
      <c r="Y93" s="120"/>
      <c r="Z93" s="118">
        <v>0.4</v>
      </c>
      <c r="AA93" s="430"/>
      <c r="AB93" s="117" t="str">
        <f t="shared" si="76"/>
        <v/>
      </c>
      <c r="AC93" s="117" t="str">
        <f t="shared" si="74"/>
        <v/>
      </c>
      <c r="AD93" s="117" t="str">
        <f t="shared" si="75"/>
        <v/>
      </c>
      <c r="AE93" s="117"/>
      <c r="AF93" s="447"/>
      <c r="AH93" s="115"/>
    </row>
    <row r="94" spans="1:64" s="113" customFormat="1">
      <c r="A94" s="113" t="s">
        <v>84</v>
      </c>
      <c r="B94" s="113" t="s">
        <v>205</v>
      </c>
      <c r="C94" s="114" t="s">
        <v>206</v>
      </c>
      <c r="D94" s="128" t="s">
        <v>87</v>
      </c>
      <c r="E94" s="127" t="s">
        <v>160</v>
      </c>
      <c r="F94" s="126" t="s">
        <v>207</v>
      </c>
      <c r="G94" s="126" t="s">
        <v>170</v>
      </c>
      <c r="H94" s="123">
        <v>680.625</v>
      </c>
      <c r="I94" s="125">
        <v>70.349999999999994</v>
      </c>
      <c r="J94" s="123">
        <v>47208</v>
      </c>
      <c r="K94" s="124">
        <v>0.1</v>
      </c>
      <c r="L94" s="123">
        <f t="shared" si="72"/>
        <v>42487.199999999997</v>
      </c>
      <c r="M94" s="122">
        <f t="shared" si="73"/>
        <v>62.423801652892557</v>
      </c>
      <c r="N94" s="118">
        <v>9.89</v>
      </c>
      <c r="O94" s="118">
        <v>8.66</v>
      </c>
      <c r="P94" s="118">
        <v>6.35</v>
      </c>
      <c r="Q94" s="118">
        <v>7.74</v>
      </c>
      <c r="R94" s="118">
        <v>7.79</v>
      </c>
      <c r="S94" s="153">
        <v>8.33</v>
      </c>
      <c r="T94" s="153"/>
      <c r="V94" s="115"/>
      <c r="W94" s="115"/>
      <c r="X94" s="120">
        <v>0.37</v>
      </c>
      <c r="Y94" s="120"/>
      <c r="Z94" s="118">
        <v>0.4</v>
      </c>
      <c r="AA94" s="430"/>
      <c r="AB94" s="117" t="str">
        <f t="shared" si="76"/>
        <v/>
      </c>
      <c r="AC94" s="117" t="str">
        <f t="shared" si="74"/>
        <v/>
      </c>
      <c r="AD94" s="117" t="str">
        <f t="shared" si="75"/>
        <v/>
      </c>
      <c r="AE94" s="117"/>
      <c r="AF94" s="447"/>
      <c r="AH94" s="115"/>
    </row>
    <row r="95" spans="1:64" s="296" customFormat="1">
      <c r="A95" s="296" t="s">
        <v>84</v>
      </c>
      <c r="B95" s="296" t="s">
        <v>209</v>
      </c>
      <c r="C95" s="298" t="s">
        <v>210</v>
      </c>
      <c r="D95" s="299" t="s">
        <v>87</v>
      </c>
      <c r="E95" s="300" t="s">
        <v>160</v>
      </c>
      <c r="F95" s="297">
        <v>4</v>
      </c>
      <c r="G95" s="297" t="s">
        <v>145</v>
      </c>
      <c r="H95" s="301">
        <v>622.28571428571433</v>
      </c>
      <c r="I95" s="302">
        <v>26.24</v>
      </c>
      <c r="J95" s="301">
        <v>15945</v>
      </c>
      <c r="K95" s="237">
        <v>0.01</v>
      </c>
      <c r="L95" s="301">
        <f t="shared" si="72"/>
        <v>15785.55</v>
      </c>
      <c r="M95" s="303">
        <f t="shared" si="73"/>
        <v>25.367045454545451</v>
      </c>
      <c r="N95" s="304">
        <v>8.81</v>
      </c>
      <c r="O95" s="304">
        <v>7.11</v>
      </c>
      <c r="P95" s="304">
        <v>7.55</v>
      </c>
      <c r="Q95" s="304">
        <v>9.15</v>
      </c>
      <c r="R95" s="304">
        <v>7.57</v>
      </c>
      <c r="S95" s="305">
        <v>6.45</v>
      </c>
      <c r="T95" s="305"/>
      <c r="V95" s="306"/>
      <c r="W95" s="306"/>
      <c r="X95" s="307">
        <v>0.31</v>
      </c>
      <c r="Y95" s="307"/>
      <c r="Z95" s="304">
        <v>0.4</v>
      </c>
      <c r="AA95" s="431"/>
      <c r="AB95" s="233" t="str">
        <f t="shared" si="76"/>
        <v/>
      </c>
      <c r="AC95" s="233" t="str">
        <f t="shared" si="74"/>
        <v/>
      </c>
      <c r="AD95" s="233" t="str">
        <f t="shared" si="75"/>
        <v/>
      </c>
      <c r="AE95" s="233"/>
      <c r="AF95" s="448"/>
      <c r="AH95" s="306"/>
    </row>
    <row r="96" spans="1:64" s="113" customFormat="1">
      <c r="A96" s="113" t="s">
        <v>84</v>
      </c>
      <c r="B96" s="113" t="s">
        <v>211</v>
      </c>
      <c r="C96" s="114" t="s">
        <v>212</v>
      </c>
      <c r="D96" s="128" t="s">
        <v>87</v>
      </c>
      <c r="E96" s="127" t="s">
        <v>129</v>
      </c>
      <c r="F96" s="126">
        <v>3</v>
      </c>
      <c r="G96" s="126" t="s">
        <v>163</v>
      </c>
      <c r="H96" s="123">
        <v>622.28571428571433</v>
      </c>
      <c r="I96" s="125">
        <v>29.27</v>
      </c>
      <c r="J96" s="123">
        <v>17569</v>
      </c>
      <c r="K96" s="124"/>
      <c r="L96" s="123">
        <f t="shared" si="72"/>
        <v>17569</v>
      </c>
      <c r="M96" s="122">
        <f t="shared" si="73"/>
        <v>28.233011937557389</v>
      </c>
      <c r="N96" s="118">
        <v>6.76</v>
      </c>
      <c r="O96" s="118">
        <v>7.35</v>
      </c>
      <c r="P96" s="118">
        <v>6.87</v>
      </c>
      <c r="Q96" s="118">
        <v>7.92</v>
      </c>
      <c r="R96" s="118">
        <v>7.36</v>
      </c>
      <c r="S96" s="153">
        <v>7.25</v>
      </c>
      <c r="T96" s="153"/>
      <c r="U96" s="113" t="s">
        <v>115</v>
      </c>
      <c r="V96" s="115"/>
      <c r="W96" s="115"/>
      <c r="X96" s="120">
        <v>0.41</v>
      </c>
      <c r="Y96" s="120"/>
      <c r="Z96" s="118">
        <v>0.45</v>
      </c>
      <c r="AA96" s="430">
        <v>46114</v>
      </c>
      <c r="AB96" s="117">
        <f t="shared" si="76"/>
        <v>87.9</v>
      </c>
      <c r="AC96" s="117">
        <f t="shared" si="74"/>
        <v>36.039000000000001</v>
      </c>
      <c r="AD96" s="117">
        <f>IFERROR(((AC96*L96)/2000)/I96,"")</f>
        <v>10.816009412367611</v>
      </c>
      <c r="AE96" s="117"/>
      <c r="AF96" s="447"/>
      <c r="AH96" s="115" t="s">
        <v>91</v>
      </c>
      <c r="AI96" s="113">
        <v>53</v>
      </c>
      <c r="AJ96" s="113">
        <v>82</v>
      </c>
      <c r="AK96" s="113">
        <v>102</v>
      </c>
      <c r="AL96" s="113">
        <v>99</v>
      </c>
      <c r="AM96" s="113">
        <v>87</v>
      </c>
      <c r="AN96" s="113">
        <v>107</v>
      </c>
      <c r="AO96" s="113">
        <v>89</v>
      </c>
      <c r="AP96" s="113">
        <v>98</v>
      </c>
      <c r="AQ96" s="113">
        <v>94</v>
      </c>
      <c r="AR96" s="113">
        <v>97</v>
      </c>
      <c r="AS96" s="113">
        <v>66</v>
      </c>
      <c r="AT96" s="113">
        <v>85</v>
      </c>
      <c r="AU96" s="113">
        <v>72</v>
      </c>
      <c r="AV96" s="113">
        <v>62</v>
      </c>
      <c r="AW96" s="113">
        <v>103</v>
      </c>
      <c r="AX96" s="113">
        <v>84</v>
      </c>
      <c r="AY96" s="113">
        <v>105</v>
      </c>
      <c r="AZ96" s="113">
        <v>90</v>
      </c>
      <c r="BA96" s="113">
        <v>80</v>
      </c>
      <c r="BB96" s="113">
        <v>103</v>
      </c>
    </row>
    <row r="97" spans="1:58" s="113" customFormat="1">
      <c r="A97" s="113" t="s">
        <v>84</v>
      </c>
      <c r="B97" s="113" t="s">
        <v>211</v>
      </c>
      <c r="C97" s="114" t="s">
        <v>212</v>
      </c>
      <c r="D97" s="128" t="s">
        <v>87</v>
      </c>
      <c r="E97" s="127" t="s">
        <v>129</v>
      </c>
      <c r="F97" s="126">
        <v>3</v>
      </c>
      <c r="G97" s="126" t="s">
        <v>163</v>
      </c>
      <c r="H97" s="123">
        <v>622.28571428571433</v>
      </c>
      <c r="I97" s="125">
        <v>29.27</v>
      </c>
      <c r="J97" s="123">
        <v>17569</v>
      </c>
      <c r="K97" s="124"/>
      <c r="L97" s="123">
        <f t="shared" si="72"/>
        <v>17569</v>
      </c>
      <c r="M97" s="122">
        <f t="shared" si="73"/>
        <v>28.233011937557389</v>
      </c>
      <c r="N97" s="118">
        <v>6.76</v>
      </c>
      <c r="O97" s="118">
        <v>7.35</v>
      </c>
      <c r="P97" s="118">
        <v>6.87</v>
      </c>
      <c r="Q97" s="118">
        <v>7.92</v>
      </c>
      <c r="R97" s="118">
        <v>7.36</v>
      </c>
      <c r="S97" s="153">
        <v>7.25</v>
      </c>
      <c r="T97" s="153"/>
      <c r="U97" s="113" t="s">
        <v>213</v>
      </c>
      <c r="V97" s="115" t="s">
        <v>214</v>
      </c>
      <c r="W97" s="115"/>
      <c r="X97" s="120">
        <v>0.41</v>
      </c>
      <c r="Y97" s="120"/>
      <c r="Z97" s="118">
        <v>0.45</v>
      </c>
      <c r="AA97" s="430">
        <v>46126</v>
      </c>
      <c r="AB97" s="117">
        <v>58.7</v>
      </c>
      <c r="AC97" s="117">
        <f>IFERROR(AB97*X97,"")</f>
        <v>24.067</v>
      </c>
      <c r="AD97" s="117">
        <f>IFERROR(((AC97*L97)/2000)/I97,"")</f>
        <v>7.2229778442090877</v>
      </c>
      <c r="AE97" s="117"/>
      <c r="AF97" s="447"/>
      <c r="AH97" s="115" t="s">
        <v>92</v>
      </c>
    </row>
    <row r="98" spans="1:58" s="113" customFormat="1">
      <c r="A98" s="113" t="s">
        <v>84</v>
      </c>
      <c r="B98" s="113" t="s">
        <v>211</v>
      </c>
      <c r="C98" s="114" t="s">
        <v>212</v>
      </c>
      <c r="D98" s="128" t="s">
        <v>87</v>
      </c>
      <c r="E98" s="127" t="s">
        <v>129</v>
      </c>
      <c r="F98" s="126">
        <v>3</v>
      </c>
      <c r="G98" s="126" t="s">
        <v>163</v>
      </c>
      <c r="H98" s="123">
        <v>622.28571428571433</v>
      </c>
      <c r="I98" s="125">
        <v>29.27</v>
      </c>
      <c r="J98" s="123">
        <v>17569</v>
      </c>
      <c r="K98" s="124"/>
      <c r="L98" s="123">
        <f t="shared" si="72"/>
        <v>17569</v>
      </c>
      <c r="M98" s="122">
        <f t="shared" si="73"/>
        <v>28.233011937557389</v>
      </c>
      <c r="N98" s="118">
        <v>6.76</v>
      </c>
      <c r="O98" s="118">
        <v>7.35</v>
      </c>
      <c r="P98" s="118">
        <v>6.87</v>
      </c>
      <c r="Q98" s="118">
        <v>7.92</v>
      </c>
      <c r="R98" s="118">
        <v>7.36</v>
      </c>
      <c r="S98" s="153">
        <v>7.25</v>
      </c>
      <c r="T98" s="153"/>
      <c r="U98" s="113" t="s">
        <v>215</v>
      </c>
      <c r="V98" s="115" t="s">
        <v>216</v>
      </c>
      <c r="W98" s="115"/>
      <c r="X98" s="120">
        <v>0.41</v>
      </c>
      <c r="Y98" s="120"/>
      <c r="Z98" s="118">
        <v>0.45</v>
      </c>
      <c r="AA98" s="430">
        <v>46127</v>
      </c>
      <c r="AB98" s="117">
        <f t="shared" si="76"/>
        <v>62.166666666666664</v>
      </c>
      <c r="AC98" s="117">
        <f>IFERROR(AB98*X98,"")</f>
        <v>25.48833333333333</v>
      </c>
      <c r="AD98" s="117">
        <f>IFERROR(((AC98*L98)/2000)/I98,"")</f>
        <v>7.6495478020726564</v>
      </c>
      <c r="AE98" s="117"/>
      <c r="AF98" s="447"/>
      <c r="AG98" s="175"/>
      <c r="AH98" s="115" t="s">
        <v>217</v>
      </c>
      <c r="AI98" s="113">
        <v>67</v>
      </c>
      <c r="AJ98" s="113">
        <v>63</v>
      </c>
      <c r="AK98" s="113">
        <v>68</v>
      </c>
      <c r="AL98" s="113">
        <v>60</v>
      </c>
      <c r="AM98" s="113">
        <v>64</v>
      </c>
      <c r="AN98" s="113">
        <v>59</v>
      </c>
      <c r="AO98" s="113">
        <v>62</v>
      </c>
      <c r="AP98" s="113">
        <v>59</v>
      </c>
      <c r="AQ98" s="113">
        <v>71</v>
      </c>
      <c r="AR98" s="113">
        <v>64</v>
      </c>
      <c r="AS98" s="113">
        <v>69</v>
      </c>
      <c r="AT98" s="113">
        <v>59</v>
      </c>
      <c r="AU98" s="113">
        <v>71</v>
      </c>
      <c r="AV98" s="113">
        <v>54</v>
      </c>
      <c r="AW98" s="113">
        <v>70</v>
      </c>
      <c r="AX98" s="113">
        <v>62</v>
      </c>
      <c r="AY98" s="113">
        <v>68</v>
      </c>
      <c r="AZ98" s="113">
        <v>63</v>
      </c>
      <c r="BA98" s="113">
        <v>64</v>
      </c>
      <c r="BB98" s="113">
        <v>52</v>
      </c>
      <c r="BC98" s="113">
        <v>59</v>
      </c>
      <c r="BD98" s="113">
        <v>49</v>
      </c>
      <c r="BE98" s="113">
        <v>58</v>
      </c>
      <c r="BF98" s="113">
        <v>57</v>
      </c>
    </row>
    <row r="99" spans="1:58" s="113" customFormat="1">
      <c r="A99" s="113" t="s">
        <v>84</v>
      </c>
      <c r="B99" s="113" t="s">
        <v>211</v>
      </c>
      <c r="C99" s="114" t="s">
        <v>212</v>
      </c>
      <c r="D99" s="128" t="s">
        <v>87</v>
      </c>
      <c r="E99" s="127" t="s">
        <v>129</v>
      </c>
      <c r="F99" s="126">
        <v>3</v>
      </c>
      <c r="G99" s="126" t="s">
        <v>163</v>
      </c>
      <c r="H99" s="123">
        <v>622.28571428571433</v>
      </c>
      <c r="I99" s="125">
        <v>29.27</v>
      </c>
      <c r="J99" s="123">
        <v>17569</v>
      </c>
      <c r="K99" s="124"/>
      <c r="L99" s="123">
        <f t="shared" si="72"/>
        <v>17569</v>
      </c>
      <c r="M99" s="122">
        <f t="shared" si="73"/>
        <v>28.233011937557389</v>
      </c>
      <c r="N99" s="118">
        <v>6.76</v>
      </c>
      <c r="O99" s="118">
        <v>7.35</v>
      </c>
      <c r="P99" s="118">
        <v>6.87</v>
      </c>
      <c r="Q99" s="118">
        <v>7.92</v>
      </c>
      <c r="R99" s="118">
        <v>7.36</v>
      </c>
      <c r="S99" s="153">
        <v>7.25</v>
      </c>
      <c r="T99" s="153"/>
      <c r="U99" s="113" t="s">
        <v>215</v>
      </c>
      <c r="V99" s="115" t="s">
        <v>218</v>
      </c>
      <c r="W99" s="115"/>
      <c r="X99" s="120">
        <v>0.41</v>
      </c>
      <c r="Y99" s="120"/>
      <c r="Z99" s="118">
        <v>0.45</v>
      </c>
      <c r="AA99" s="430">
        <v>46127</v>
      </c>
      <c r="AB99" s="117">
        <f>IFERROR(AVERAGE(AI99:BG99),"")</f>
        <v>66.315789473684205</v>
      </c>
      <c r="AC99" s="117">
        <f t="shared" si="74"/>
        <v>27.189473684210522</v>
      </c>
      <c r="AD99" s="117">
        <f>IFERROR(((AC99*L99)/2000)/I99,"")</f>
        <v>8.1600933235034976</v>
      </c>
      <c r="AE99" s="117"/>
      <c r="AF99" s="447"/>
      <c r="AG99" s="175"/>
      <c r="AH99" s="115" t="s">
        <v>217</v>
      </c>
      <c r="AI99" s="113">
        <v>50</v>
      </c>
      <c r="AJ99" s="113">
        <v>66</v>
      </c>
      <c r="AK99" s="113">
        <v>45</v>
      </c>
      <c r="AL99" s="113">
        <v>70</v>
      </c>
      <c r="AM99" s="113">
        <v>78</v>
      </c>
      <c r="AN99" s="113">
        <v>72</v>
      </c>
      <c r="AO99" s="113">
        <v>66</v>
      </c>
      <c r="AP99" s="113">
        <v>81</v>
      </c>
      <c r="AQ99" s="113">
        <v>68</v>
      </c>
      <c r="AR99" s="113">
        <v>71</v>
      </c>
      <c r="AS99" s="113">
        <v>65</v>
      </c>
      <c r="AT99" s="113">
        <v>40</v>
      </c>
      <c r="AU99" s="113">
        <v>80</v>
      </c>
      <c r="AV99" s="113">
        <v>62</v>
      </c>
      <c r="AW99" s="113">
        <v>75</v>
      </c>
      <c r="AX99" s="113">
        <v>71</v>
      </c>
      <c r="AY99" s="113">
        <v>58</v>
      </c>
      <c r="AZ99" s="113">
        <v>77</v>
      </c>
      <c r="BA99" s="113">
        <v>65</v>
      </c>
    </row>
    <row r="100" spans="1:58" s="113" customFormat="1">
      <c r="A100" s="113" t="s">
        <v>84</v>
      </c>
      <c r="B100" s="113" t="s">
        <v>211</v>
      </c>
      <c r="C100" s="114" t="s">
        <v>212</v>
      </c>
      <c r="D100" s="128" t="s">
        <v>87</v>
      </c>
      <c r="E100" s="127" t="s">
        <v>129</v>
      </c>
      <c r="F100" s="126">
        <v>3</v>
      </c>
      <c r="G100" s="126" t="s">
        <v>163</v>
      </c>
      <c r="H100" s="123">
        <v>622.28571428571433</v>
      </c>
      <c r="I100" s="125">
        <v>29.27</v>
      </c>
      <c r="J100" s="123">
        <v>17569</v>
      </c>
      <c r="K100" s="124"/>
      <c r="L100" s="123">
        <f t="shared" ref="L100" si="82">J100-(J100*K100)</f>
        <v>17569</v>
      </c>
      <c r="M100" s="122">
        <f t="shared" ref="M100" si="83">L100/H100</f>
        <v>28.233011937557389</v>
      </c>
      <c r="N100" s="118">
        <v>6.76</v>
      </c>
      <c r="O100" s="118">
        <v>7.35</v>
      </c>
      <c r="P100" s="118">
        <v>6.87</v>
      </c>
      <c r="Q100" s="118">
        <v>7.92</v>
      </c>
      <c r="R100" s="118">
        <v>7.36</v>
      </c>
      <c r="S100" s="153">
        <v>7.25</v>
      </c>
      <c r="T100" s="153"/>
      <c r="U100" s="113" t="s">
        <v>215</v>
      </c>
      <c r="V100" s="115"/>
      <c r="W100" s="115"/>
      <c r="X100" s="120">
        <v>0.41</v>
      </c>
      <c r="Y100" s="120"/>
      <c r="Z100" s="118">
        <v>0.45</v>
      </c>
      <c r="AA100" s="430">
        <v>46162</v>
      </c>
      <c r="AB100" s="117">
        <f>IFERROR(AVERAGE(AI100:BG100),"")</f>
        <v>73.0625</v>
      </c>
      <c r="AC100" s="117">
        <f t="shared" ref="AC100" si="84">IFERROR(AB100*X100,"")</f>
        <v>29.955624999999998</v>
      </c>
      <c r="AD100" s="117">
        <f>IFERROR(((AC100*L100)/2000)/I100,"")</f>
        <v>8.9902694845404856</v>
      </c>
      <c r="AE100" s="117"/>
      <c r="AF100" s="447"/>
      <c r="AG100" s="175"/>
      <c r="AH100" s="115" t="s">
        <v>116</v>
      </c>
      <c r="AI100" s="113">
        <v>85</v>
      </c>
      <c r="AJ100" s="113">
        <v>90</v>
      </c>
      <c r="AK100" s="113">
        <v>65</v>
      </c>
      <c r="AL100" s="113">
        <v>69</v>
      </c>
      <c r="AM100" s="113">
        <v>80</v>
      </c>
      <c r="AN100" s="113">
        <v>88</v>
      </c>
      <c r="AO100" s="113">
        <v>59</v>
      </c>
      <c r="AP100" s="113">
        <v>65</v>
      </c>
      <c r="AQ100" s="113">
        <v>60</v>
      </c>
      <c r="AR100" s="113">
        <v>75</v>
      </c>
      <c r="AS100" s="113">
        <v>70</v>
      </c>
      <c r="AT100" s="113">
        <v>68</v>
      </c>
      <c r="AU100" s="113">
        <v>80</v>
      </c>
      <c r="AV100" s="113">
        <v>79</v>
      </c>
      <c r="AW100" s="113">
        <v>65</v>
      </c>
      <c r="AX100" s="113">
        <v>71</v>
      </c>
    </row>
    <row r="101" spans="1:58" s="296" customFormat="1">
      <c r="A101" s="296" t="s">
        <v>84</v>
      </c>
      <c r="B101" s="296" t="s">
        <v>219</v>
      </c>
      <c r="C101" s="298" t="s">
        <v>220</v>
      </c>
      <c r="D101" s="299" t="s">
        <v>87</v>
      </c>
      <c r="E101" s="300" t="s">
        <v>221</v>
      </c>
      <c r="F101" s="297" t="s">
        <v>222</v>
      </c>
      <c r="G101" s="297" t="s">
        <v>145</v>
      </c>
      <c r="H101" s="301">
        <v>691.42857142857144</v>
      </c>
      <c r="I101" s="302">
        <v>22.59</v>
      </c>
      <c r="J101" s="301">
        <v>15293</v>
      </c>
      <c r="K101" s="237"/>
      <c r="L101" s="301">
        <f t="shared" si="72"/>
        <v>15293</v>
      </c>
      <c r="M101" s="303">
        <f t="shared" si="73"/>
        <v>22.117975206611568</v>
      </c>
      <c r="N101" s="304">
        <v>10.07</v>
      </c>
      <c r="O101" s="304">
        <v>8.44</v>
      </c>
      <c r="P101" s="304">
        <v>9.15</v>
      </c>
      <c r="Q101" s="304">
        <v>5.43</v>
      </c>
      <c r="R101" s="304">
        <v>10.3</v>
      </c>
      <c r="S101" s="305">
        <v>8.2200000000000006</v>
      </c>
      <c r="T101" s="305"/>
      <c r="V101" s="306"/>
      <c r="W101" s="306"/>
      <c r="X101" s="307">
        <v>0.4</v>
      </c>
      <c r="Y101" s="307"/>
      <c r="Z101" s="304">
        <v>0.55000000000000004</v>
      </c>
      <c r="AA101" s="431">
        <v>46114</v>
      </c>
      <c r="AB101" s="233">
        <f t="shared" si="76"/>
        <v>64.95</v>
      </c>
      <c r="AC101" s="233">
        <f t="shared" si="74"/>
        <v>25.980000000000004</v>
      </c>
      <c r="AD101" s="233">
        <f t="shared" si="75"/>
        <v>8.7939827357237732</v>
      </c>
      <c r="AE101" s="233"/>
      <c r="AF101" s="448"/>
      <c r="AH101" s="306" t="s">
        <v>91</v>
      </c>
      <c r="AI101" s="296">
        <v>63</v>
      </c>
      <c r="AJ101" s="296">
        <v>55</v>
      </c>
      <c r="AK101" s="296">
        <v>47</v>
      </c>
      <c r="AL101" s="296">
        <v>68</v>
      </c>
      <c r="AM101" s="296">
        <v>65</v>
      </c>
      <c r="AN101" s="296">
        <v>75</v>
      </c>
      <c r="AO101" s="296">
        <v>72</v>
      </c>
      <c r="AP101" s="296">
        <v>61</v>
      </c>
      <c r="AQ101" s="296">
        <v>74</v>
      </c>
      <c r="AR101" s="296">
        <v>69</v>
      </c>
      <c r="AS101" s="296">
        <v>66</v>
      </c>
      <c r="AT101" s="296">
        <v>60</v>
      </c>
      <c r="AU101" s="296">
        <v>34</v>
      </c>
      <c r="AV101" s="296">
        <v>60</v>
      </c>
      <c r="AW101" s="296">
        <v>43</v>
      </c>
      <c r="AX101" s="296">
        <v>80</v>
      </c>
      <c r="AY101" s="296">
        <v>66</v>
      </c>
      <c r="AZ101" s="296">
        <v>96</v>
      </c>
      <c r="BA101" s="296">
        <v>71</v>
      </c>
      <c r="BB101" s="296">
        <v>74</v>
      </c>
    </row>
    <row r="102" spans="1:58" s="296" customFormat="1">
      <c r="A102" s="296" t="s">
        <v>84</v>
      </c>
      <c r="B102" s="296" t="s">
        <v>219</v>
      </c>
      <c r="C102" s="298" t="s">
        <v>220</v>
      </c>
      <c r="D102" s="299" t="s">
        <v>87</v>
      </c>
      <c r="E102" s="300" t="s">
        <v>221</v>
      </c>
      <c r="F102" s="297" t="s">
        <v>222</v>
      </c>
      <c r="G102" s="297" t="s">
        <v>145</v>
      </c>
      <c r="H102" s="301">
        <v>691.42857142857144</v>
      </c>
      <c r="I102" s="302">
        <v>22.59</v>
      </c>
      <c r="J102" s="301">
        <v>15293</v>
      </c>
      <c r="K102" s="237"/>
      <c r="L102" s="301">
        <f t="shared" ref="L102" si="85">J102-(J102*K102)</f>
        <v>15293</v>
      </c>
      <c r="M102" s="303">
        <f t="shared" ref="M102" si="86">L102/H102</f>
        <v>22.117975206611568</v>
      </c>
      <c r="N102" s="304">
        <v>10.07</v>
      </c>
      <c r="O102" s="304">
        <v>8.44</v>
      </c>
      <c r="P102" s="304">
        <v>9.15</v>
      </c>
      <c r="Q102" s="304">
        <v>5.43</v>
      </c>
      <c r="R102" s="304">
        <v>10.3</v>
      </c>
      <c r="S102" s="305">
        <v>8.2200000000000006</v>
      </c>
      <c r="T102" s="305"/>
      <c r="V102" s="306"/>
      <c r="W102" s="306"/>
      <c r="X102" s="307">
        <v>0.4</v>
      </c>
      <c r="Y102" s="307"/>
      <c r="Z102" s="304">
        <v>0.55000000000000004</v>
      </c>
      <c r="AA102" s="431">
        <v>46162</v>
      </c>
      <c r="AB102" s="233">
        <f t="shared" ref="AB102" si="87">IFERROR(AVERAGE(AI102:BG102),"")</f>
        <v>59.166666666666664</v>
      </c>
      <c r="AC102" s="233">
        <f t="shared" ref="AC102" si="88">IFERROR(AB102*X102,"")</f>
        <v>23.666666666666668</v>
      </c>
      <c r="AD102" s="233">
        <f t="shared" ref="AD102" si="89">IFERROR(((AC102*L102)/2000)/I102,"")</f>
        <v>8.0109414195071569</v>
      </c>
      <c r="AE102" s="233"/>
      <c r="AF102" s="448"/>
      <c r="AH102" s="306" t="s">
        <v>116</v>
      </c>
      <c r="AI102" s="296">
        <v>53</v>
      </c>
      <c r="AJ102" s="296">
        <v>59</v>
      </c>
      <c r="AK102" s="296">
        <v>65</v>
      </c>
      <c r="AL102" s="296">
        <v>51</v>
      </c>
      <c r="AM102" s="296">
        <v>60</v>
      </c>
      <c r="AN102" s="296">
        <v>62</v>
      </c>
      <c r="AO102" s="296">
        <v>67</v>
      </c>
      <c r="AP102" s="296">
        <v>49</v>
      </c>
      <c r="AQ102" s="296">
        <v>56</v>
      </c>
      <c r="AR102" s="296">
        <v>69</v>
      </c>
      <c r="AS102" s="296">
        <v>65</v>
      </c>
      <c r="AT102" s="296">
        <v>54</v>
      </c>
    </row>
    <row r="103" spans="1:58" s="296" customFormat="1">
      <c r="A103" s="296" t="s">
        <v>84</v>
      </c>
      <c r="B103" s="296" t="s">
        <v>219</v>
      </c>
      <c r="C103" s="298" t="s">
        <v>220</v>
      </c>
      <c r="D103" s="299" t="s">
        <v>87</v>
      </c>
      <c r="E103" s="300" t="s">
        <v>221</v>
      </c>
      <c r="F103" s="297" t="s">
        <v>222</v>
      </c>
      <c r="G103" s="297" t="s">
        <v>145</v>
      </c>
      <c r="H103" s="301">
        <v>691.42857142857144</v>
      </c>
      <c r="I103" s="302">
        <v>22.59</v>
      </c>
      <c r="J103" s="301">
        <v>15293</v>
      </c>
      <c r="K103" s="237"/>
      <c r="L103" s="301">
        <f t="shared" ref="L103" si="90">J103-(J103*K103)</f>
        <v>15293</v>
      </c>
      <c r="M103" s="303">
        <f t="shared" ref="M103" si="91">L103/H103</f>
        <v>22.117975206611568</v>
      </c>
      <c r="N103" s="304">
        <v>10.07</v>
      </c>
      <c r="O103" s="304">
        <v>8.44</v>
      </c>
      <c r="P103" s="304">
        <v>9.15</v>
      </c>
      <c r="Q103" s="304">
        <v>5.43</v>
      </c>
      <c r="R103" s="304">
        <v>10.3</v>
      </c>
      <c r="S103" s="305">
        <v>8.2200000000000006</v>
      </c>
      <c r="T103" s="305"/>
      <c r="V103" s="306"/>
      <c r="W103" s="306"/>
      <c r="X103" s="307">
        <v>0.4</v>
      </c>
      <c r="Y103" s="307"/>
      <c r="Z103" s="304">
        <v>0.55000000000000004</v>
      </c>
      <c r="AA103" s="431">
        <v>46202</v>
      </c>
      <c r="AB103" s="233">
        <f t="shared" ref="AB103" si="92">IFERROR(AVERAGE(AI103:BG103),"")</f>
        <v>74.333333333333329</v>
      </c>
      <c r="AC103" s="233">
        <f t="shared" ref="AC103" si="93">IFERROR(AB103*X103,"")</f>
        <v>29.733333333333334</v>
      </c>
      <c r="AD103" s="233">
        <f t="shared" ref="AD103" si="94">IFERROR(((AC103*L103)/2000)/I103,"")</f>
        <v>10.064450346761104</v>
      </c>
      <c r="AE103" s="233"/>
      <c r="AF103" s="448"/>
      <c r="AH103" s="306" t="s">
        <v>91</v>
      </c>
      <c r="AI103" s="296">
        <v>85</v>
      </c>
      <c r="AJ103" s="296">
        <v>86</v>
      </c>
      <c r="AK103" s="296">
        <v>95</v>
      </c>
      <c r="AL103" s="296">
        <v>65</v>
      </c>
      <c r="AM103" s="296">
        <v>90</v>
      </c>
      <c r="AN103" s="296">
        <v>63</v>
      </c>
      <c r="AO103" s="296">
        <v>58</v>
      </c>
      <c r="AP103" s="296">
        <v>49</v>
      </c>
      <c r="AQ103" s="296">
        <v>70</v>
      </c>
      <c r="AR103" s="296">
        <v>70</v>
      </c>
      <c r="AS103" s="296">
        <v>70</v>
      </c>
      <c r="AT103" s="296">
        <v>66</v>
      </c>
      <c r="AU103" s="296">
        <v>105</v>
      </c>
      <c r="AV103" s="296">
        <v>68</v>
      </c>
      <c r="AW103" s="296">
        <v>75</v>
      </c>
    </row>
    <row r="104" spans="1:58" s="113" customFormat="1">
      <c r="A104" s="113" t="s">
        <v>84</v>
      </c>
      <c r="B104" s="113" t="s">
        <v>223</v>
      </c>
      <c r="C104" s="114" t="s">
        <v>224</v>
      </c>
      <c r="D104" s="128" t="s">
        <v>87</v>
      </c>
      <c r="E104" s="127" t="s">
        <v>156</v>
      </c>
      <c r="F104" s="126" t="s">
        <v>225</v>
      </c>
      <c r="G104" s="126" t="s">
        <v>90</v>
      </c>
      <c r="H104" s="123">
        <v>907.5</v>
      </c>
      <c r="I104" s="125">
        <v>42.4</v>
      </c>
      <c r="J104" s="123">
        <v>37921</v>
      </c>
      <c r="K104" s="124"/>
      <c r="L104" s="123">
        <f t="shared" si="72"/>
        <v>37921</v>
      </c>
      <c r="M104" s="122">
        <f t="shared" si="73"/>
        <v>41.786225895316804</v>
      </c>
      <c r="N104" s="118"/>
      <c r="O104" s="118"/>
      <c r="P104" s="118"/>
      <c r="Q104" s="118">
        <v>8.08</v>
      </c>
      <c r="R104" s="118">
        <v>10.029999999999999</v>
      </c>
      <c r="S104" s="153">
        <v>7.76</v>
      </c>
      <c r="T104" s="153"/>
      <c r="V104" s="115"/>
      <c r="W104" s="115"/>
      <c r="X104" s="120"/>
      <c r="Y104" s="120"/>
      <c r="Z104" s="118">
        <v>0.32</v>
      </c>
      <c r="AA104" s="430"/>
      <c r="AB104" s="117" t="str">
        <f t="shared" si="76"/>
        <v/>
      </c>
      <c r="AC104" s="117" t="str">
        <f t="shared" si="74"/>
        <v/>
      </c>
      <c r="AD104" s="117" t="str">
        <f t="shared" si="75"/>
        <v/>
      </c>
      <c r="AE104" s="117"/>
      <c r="AF104" s="447"/>
      <c r="AH104" s="115"/>
    </row>
    <row r="105" spans="1:58" s="296" customFormat="1">
      <c r="A105" s="296" t="s">
        <v>84</v>
      </c>
      <c r="B105" s="296" t="s">
        <v>226</v>
      </c>
      <c r="C105" s="298" t="s">
        <v>227</v>
      </c>
      <c r="D105" s="299" t="s">
        <v>87</v>
      </c>
      <c r="E105" s="300" t="s">
        <v>228</v>
      </c>
      <c r="F105" s="297" t="s">
        <v>229</v>
      </c>
      <c r="G105" s="297" t="s">
        <v>90</v>
      </c>
      <c r="H105" s="301">
        <v>777.85714285714289</v>
      </c>
      <c r="I105" s="302">
        <v>22.37</v>
      </c>
      <c r="J105" s="301">
        <v>17071</v>
      </c>
      <c r="K105" s="237"/>
      <c r="L105" s="301">
        <f t="shared" si="72"/>
        <v>17071</v>
      </c>
      <c r="M105" s="303">
        <f t="shared" si="73"/>
        <v>21.946189164370981</v>
      </c>
      <c r="N105" s="304"/>
      <c r="O105" s="304"/>
      <c r="P105" s="304"/>
      <c r="Q105" s="304">
        <v>12.4</v>
      </c>
      <c r="R105" s="304">
        <v>10.81</v>
      </c>
      <c r="S105" s="305">
        <v>5.87</v>
      </c>
      <c r="T105" s="305"/>
      <c r="V105" s="306"/>
      <c r="W105" s="306"/>
      <c r="X105" s="307">
        <v>0.37</v>
      </c>
      <c r="Y105" s="307"/>
      <c r="Z105" s="304">
        <v>0.4</v>
      </c>
      <c r="AA105" s="431"/>
      <c r="AB105" s="233" t="str">
        <f t="shared" si="76"/>
        <v/>
      </c>
      <c r="AC105" s="233" t="str">
        <f t="shared" si="74"/>
        <v/>
      </c>
      <c r="AD105" s="233" t="str">
        <f t="shared" si="75"/>
        <v/>
      </c>
      <c r="AE105" s="233"/>
      <c r="AF105" s="448"/>
      <c r="AH105" s="306"/>
    </row>
    <row r="106" spans="1:58" s="113" customFormat="1">
      <c r="A106" s="113" t="s">
        <v>84</v>
      </c>
      <c r="B106" s="113" t="s">
        <v>230</v>
      </c>
      <c r="C106" s="114" t="s">
        <v>231</v>
      </c>
      <c r="D106" s="128" t="s">
        <v>87</v>
      </c>
      <c r="E106" s="127" t="s">
        <v>88</v>
      </c>
      <c r="F106" s="126" t="s">
        <v>232</v>
      </c>
      <c r="G106" s="126" t="s">
        <v>96</v>
      </c>
      <c r="H106" s="123">
        <v>605</v>
      </c>
      <c r="I106" s="125">
        <v>35.04</v>
      </c>
      <c r="J106" s="123">
        <v>20970</v>
      </c>
      <c r="K106" s="124"/>
      <c r="L106" s="123">
        <f t="shared" si="72"/>
        <v>20970</v>
      </c>
      <c r="M106" s="122">
        <f t="shared" si="73"/>
        <v>34.66115702479339</v>
      </c>
      <c r="N106" s="118">
        <v>10.99</v>
      </c>
      <c r="O106" s="118">
        <v>8.3800000000000008</v>
      </c>
      <c r="P106" s="118">
        <v>8.1999999999999993</v>
      </c>
      <c r="Q106" s="118">
        <v>8.61</v>
      </c>
      <c r="R106" s="118">
        <v>11.58</v>
      </c>
      <c r="S106" s="153">
        <v>8.18</v>
      </c>
      <c r="T106" s="153"/>
      <c r="V106" s="115"/>
      <c r="W106" s="115"/>
      <c r="X106" s="120">
        <v>0.28999999999999998</v>
      </c>
      <c r="Y106" s="120"/>
      <c r="Z106" s="118">
        <v>0.33</v>
      </c>
      <c r="AA106" s="430">
        <v>46167</v>
      </c>
      <c r="AB106" s="117">
        <f t="shared" si="76"/>
        <v>103.33333333333333</v>
      </c>
      <c r="AC106" s="117">
        <f t="shared" si="74"/>
        <v>29.966666666666661</v>
      </c>
      <c r="AD106" s="117">
        <f t="shared" si="75"/>
        <v>8.9669092465753408</v>
      </c>
      <c r="AE106" s="117"/>
      <c r="AF106" s="447"/>
      <c r="AH106" s="115" t="s">
        <v>116</v>
      </c>
      <c r="AI106" s="113">
        <v>108</v>
      </c>
      <c r="AJ106" s="113">
        <v>103</v>
      </c>
      <c r="AK106" s="113">
        <v>110</v>
      </c>
      <c r="AL106" s="113">
        <v>99</v>
      </c>
      <c r="AM106" s="113">
        <v>95</v>
      </c>
      <c r="AN106" s="113">
        <v>101</v>
      </c>
      <c r="AO106" s="113">
        <v>105</v>
      </c>
      <c r="AP106" s="113">
        <v>100</v>
      </c>
      <c r="AQ106" s="113">
        <v>111</v>
      </c>
      <c r="AR106" s="113">
        <v>103</v>
      </c>
      <c r="AS106" s="113">
        <v>109</v>
      </c>
      <c r="AT106" s="113">
        <v>102</v>
      </c>
      <c r="AU106" s="113">
        <v>99</v>
      </c>
      <c r="AV106" s="113">
        <v>101</v>
      </c>
      <c r="AW106" s="113">
        <v>104</v>
      </c>
    </row>
    <row r="107" spans="1:58" s="296" customFormat="1">
      <c r="A107" s="296" t="s">
        <v>84</v>
      </c>
      <c r="B107" s="296" t="s">
        <v>233</v>
      </c>
      <c r="C107" s="298" t="s">
        <v>234</v>
      </c>
      <c r="D107" s="299" t="s">
        <v>87</v>
      </c>
      <c r="E107" s="300" t="s">
        <v>88</v>
      </c>
      <c r="F107" s="297">
        <v>8</v>
      </c>
      <c r="G107" s="297" t="s">
        <v>96</v>
      </c>
      <c r="H107" s="301">
        <v>680.625</v>
      </c>
      <c r="I107" s="302">
        <f>35.8+23.86</f>
        <v>59.66</v>
      </c>
      <c r="J107" s="301">
        <v>40476</v>
      </c>
      <c r="K107" s="237"/>
      <c r="L107" s="301">
        <f t="shared" si="72"/>
        <v>40476</v>
      </c>
      <c r="M107" s="303">
        <f t="shared" si="73"/>
        <v>59.46887052341598</v>
      </c>
      <c r="N107" s="304">
        <v>10.050000000000001</v>
      </c>
      <c r="O107" s="304">
        <v>7.79</v>
      </c>
      <c r="P107" s="304">
        <v>7.48</v>
      </c>
      <c r="Q107" s="304">
        <v>6.68</v>
      </c>
      <c r="R107" s="304">
        <v>11.37</v>
      </c>
      <c r="S107" s="305">
        <v>8.5</v>
      </c>
      <c r="T107" s="305"/>
      <c r="V107" s="306"/>
      <c r="W107" s="306"/>
      <c r="X107" s="307"/>
      <c r="Y107" s="307"/>
      <c r="Z107" s="304">
        <v>0.33</v>
      </c>
      <c r="AA107" s="431"/>
      <c r="AB107" s="233" t="str">
        <f t="shared" si="76"/>
        <v/>
      </c>
      <c r="AC107" s="233" t="str">
        <f t="shared" si="74"/>
        <v/>
      </c>
      <c r="AD107" s="233" t="str">
        <f t="shared" si="75"/>
        <v/>
      </c>
      <c r="AE107" s="233"/>
      <c r="AF107" s="448"/>
      <c r="AH107" s="306"/>
    </row>
    <row r="108" spans="1:58" s="296" customFormat="1">
      <c r="C108" s="298"/>
      <c r="D108" s="299"/>
      <c r="E108" s="300"/>
      <c r="F108" s="297"/>
      <c r="G108" s="297"/>
      <c r="H108" s="301"/>
      <c r="I108" s="302"/>
      <c r="J108" s="301"/>
      <c r="K108" s="237"/>
      <c r="L108" s="301"/>
      <c r="M108" s="303"/>
      <c r="N108" s="304"/>
      <c r="O108" s="304"/>
      <c r="P108" s="304"/>
      <c r="Q108" s="304"/>
      <c r="R108" s="304"/>
      <c r="S108" s="305"/>
      <c r="T108" s="305"/>
      <c r="V108" s="306"/>
      <c r="W108" s="306"/>
      <c r="X108" s="307"/>
      <c r="Y108" s="307"/>
      <c r="Z108" s="304"/>
      <c r="AA108" s="431"/>
      <c r="AB108" s="233"/>
      <c r="AC108" s="233"/>
      <c r="AD108" s="233"/>
      <c r="AE108" s="233"/>
      <c r="AF108" s="448"/>
      <c r="AH108" s="306"/>
    </row>
    <row r="109" spans="1:58" s="113" customFormat="1">
      <c r="A109" s="113" t="s">
        <v>84</v>
      </c>
      <c r="B109" s="113" t="s">
        <v>235</v>
      </c>
      <c r="C109" s="114" t="s">
        <v>236</v>
      </c>
      <c r="D109" s="128" t="s">
        <v>87</v>
      </c>
      <c r="E109" s="127" t="s">
        <v>237</v>
      </c>
      <c r="F109" s="126">
        <v>2</v>
      </c>
      <c r="G109" s="126" t="s">
        <v>163</v>
      </c>
      <c r="H109" s="123">
        <v>968</v>
      </c>
      <c r="I109" s="125">
        <v>15</v>
      </c>
      <c r="J109" s="123">
        <v>14150</v>
      </c>
      <c r="K109" s="124"/>
      <c r="L109" s="123">
        <f t="shared" si="72"/>
        <v>14150</v>
      </c>
      <c r="M109" s="122">
        <f t="shared" si="73"/>
        <v>14.617768595041323</v>
      </c>
      <c r="N109" s="118"/>
      <c r="O109" s="118">
        <v>8.0399999999999991</v>
      </c>
      <c r="P109" s="118">
        <v>8.5299999999999994</v>
      </c>
      <c r="Q109" s="118">
        <v>5.72</v>
      </c>
      <c r="R109" s="118">
        <v>7.88</v>
      </c>
      <c r="S109" s="153">
        <v>6.38</v>
      </c>
      <c r="T109" s="153"/>
      <c r="V109" s="115"/>
      <c r="W109" s="115"/>
      <c r="X109" s="120"/>
      <c r="Y109" s="120"/>
      <c r="Z109" s="118">
        <v>0.27</v>
      </c>
      <c r="AA109" s="430"/>
      <c r="AB109" s="117" t="str">
        <f t="shared" si="76"/>
        <v/>
      </c>
      <c r="AC109" s="117" t="str">
        <f t="shared" si="74"/>
        <v/>
      </c>
      <c r="AD109" s="117" t="str">
        <f t="shared" si="75"/>
        <v/>
      </c>
      <c r="AE109" s="117"/>
      <c r="AF109" s="447"/>
      <c r="AH109" s="115"/>
    </row>
    <row r="110" spans="1:58" s="296" customFormat="1">
      <c r="A110" s="296" t="s">
        <v>84</v>
      </c>
      <c r="B110" s="296" t="s">
        <v>238</v>
      </c>
      <c r="C110" s="298" t="s">
        <v>239</v>
      </c>
      <c r="D110" s="299" t="s">
        <v>87</v>
      </c>
      <c r="E110" s="300" t="s">
        <v>160</v>
      </c>
      <c r="F110" s="297">
        <v>4</v>
      </c>
      <c r="G110" s="297" t="s">
        <v>145</v>
      </c>
      <c r="H110" s="301">
        <v>622.28571428571433</v>
      </c>
      <c r="I110" s="302">
        <v>41.7</v>
      </c>
      <c r="J110" s="301">
        <v>20700</v>
      </c>
      <c r="K110" s="237"/>
      <c r="L110" s="301">
        <f t="shared" si="72"/>
        <v>20700</v>
      </c>
      <c r="M110" s="303">
        <f t="shared" si="73"/>
        <v>33.264462809917354</v>
      </c>
      <c r="N110" s="304">
        <v>8.2200000000000006</v>
      </c>
      <c r="O110" s="304">
        <v>14.55</v>
      </c>
      <c r="P110" s="304">
        <v>11.2</v>
      </c>
      <c r="Q110" s="304">
        <v>8.32</v>
      </c>
      <c r="R110" s="304">
        <v>16.46</v>
      </c>
      <c r="S110" s="305">
        <v>9.3000000000000007</v>
      </c>
      <c r="T110" s="305"/>
      <c r="V110" s="306"/>
      <c r="W110" s="306"/>
      <c r="X110" s="307">
        <v>0.4</v>
      </c>
      <c r="Y110" s="307"/>
      <c r="Z110" s="304">
        <v>0.41</v>
      </c>
      <c r="AA110" s="431">
        <v>46202</v>
      </c>
      <c r="AB110" s="233">
        <f t="shared" si="76"/>
        <v>89.7</v>
      </c>
      <c r="AC110" s="233">
        <f t="shared" si="74"/>
        <v>35.880000000000003</v>
      </c>
      <c r="AD110" s="233">
        <f t="shared" si="75"/>
        <v>8.9054676258992806</v>
      </c>
      <c r="AE110" s="233"/>
      <c r="AF110" s="448"/>
      <c r="AH110" s="306" t="s">
        <v>91</v>
      </c>
      <c r="AI110" s="296">
        <v>90</v>
      </c>
      <c r="AJ110" s="296">
        <v>57</v>
      </c>
      <c r="AK110" s="296">
        <v>89</v>
      </c>
      <c r="AL110" s="296">
        <v>97</v>
      </c>
      <c r="AM110" s="296">
        <v>100</v>
      </c>
      <c r="AN110" s="296">
        <v>91</v>
      </c>
      <c r="AO110" s="296">
        <v>88</v>
      </c>
      <c r="AP110" s="296">
        <v>76</v>
      </c>
      <c r="AQ110" s="296">
        <v>95</v>
      </c>
      <c r="AR110" s="296">
        <v>114</v>
      </c>
    </row>
    <row r="111" spans="1:58" s="113" customFormat="1" ht="13.5" customHeight="1">
      <c r="A111" s="113" t="s">
        <v>84</v>
      </c>
      <c r="B111" s="113" t="s">
        <v>240</v>
      </c>
      <c r="C111" s="114" t="s">
        <v>241</v>
      </c>
      <c r="D111" s="128" t="s">
        <v>87</v>
      </c>
      <c r="E111" s="127" t="s">
        <v>114</v>
      </c>
      <c r="F111" s="126">
        <v>3</v>
      </c>
      <c r="G111" s="126" t="s">
        <v>96</v>
      </c>
      <c r="H111" s="123">
        <v>680.625</v>
      </c>
      <c r="I111" s="125">
        <v>34.08</v>
      </c>
      <c r="J111" s="123">
        <v>22610</v>
      </c>
      <c r="K111" s="124">
        <v>0.05</v>
      </c>
      <c r="L111" s="123">
        <f t="shared" si="72"/>
        <v>21479.5</v>
      </c>
      <c r="M111" s="122">
        <f t="shared" si="73"/>
        <v>31.558494031221304</v>
      </c>
      <c r="N111" s="118">
        <v>8.7799999999999994</v>
      </c>
      <c r="O111" s="118">
        <v>8.4</v>
      </c>
      <c r="P111" s="118">
        <v>9.4</v>
      </c>
      <c r="Q111" s="118">
        <v>10.56</v>
      </c>
      <c r="R111" s="118">
        <v>11</v>
      </c>
      <c r="S111" s="153"/>
      <c r="T111" s="153"/>
      <c r="V111" s="115"/>
      <c r="W111" s="115"/>
      <c r="X111" s="120">
        <v>0.34</v>
      </c>
      <c r="Y111" s="120"/>
      <c r="Z111" s="118">
        <v>0.38</v>
      </c>
      <c r="AA111" s="430"/>
      <c r="AB111" s="117" t="str">
        <f t="shared" si="76"/>
        <v/>
      </c>
      <c r="AC111" s="117" t="str">
        <f t="shared" si="74"/>
        <v/>
      </c>
      <c r="AD111" s="117" t="str">
        <f t="shared" si="75"/>
        <v/>
      </c>
      <c r="AE111" s="117"/>
      <c r="AF111" s="447"/>
      <c r="AH111" s="115"/>
    </row>
    <row r="112" spans="1:58" s="296" customFormat="1" ht="13.15" customHeight="1">
      <c r="A112" s="296" t="s">
        <v>84</v>
      </c>
      <c r="B112" s="296" t="s">
        <v>242</v>
      </c>
      <c r="C112" s="298" t="s">
        <v>243</v>
      </c>
      <c r="D112" s="299" t="s">
        <v>193</v>
      </c>
      <c r="E112" s="300" t="s">
        <v>160</v>
      </c>
      <c r="F112" s="323" t="s">
        <v>244</v>
      </c>
      <c r="G112" s="297" t="s">
        <v>96</v>
      </c>
      <c r="H112" s="301">
        <v>726</v>
      </c>
      <c r="I112" s="302">
        <v>27.32</v>
      </c>
      <c r="J112" s="324">
        <v>19093</v>
      </c>
      <c r="K112" s="325">
        <v>0.3</v>
      </c>
      <c r="L112" s="324">
        <f t="shared" si="72"/>
        <v>13365.1</v>
      </c>
      <c r="M112" s="326">
        <f t="shared" si="73"/>
        <v>18.409228650137742</v>
      </c>
      <c r="N112" s="302"/>
      <c r="O112" s="302"/>
      <c r="P112" s="302"/>
      <c r="Q112" s="302"/>
      <c r="R112" s="302"/>
      <c r="S112" s="320">
        <v>2.17</v>
      </c>
      <c r="T112" s="320"/>
      <c r="U112" s="296" t="s">
        <v>245</v>
      </c>
      <c r="V112" s="306"/>
      <c r="W112" s="306"/>
      <c r="X112" s="307">
        <v>0.42</v>
      </c>
      <c r="Y112" s="307"/>
      <c r="Z112" s="304">
        <v>0.4</v>
      </c>
      <c r="AA112" s="431">
        <v>46141</v>
      </c>
      <c r="AB112" s="233">
        <f t="shared" si="76"/>
        <v>63.166666666666664</v>
      </c>
      <c r="AC112" s="233">
        <f t="shared" si="74"/>
        <v>26.529999999999998</v>
      </c>
      <c r="AD112" s="233">
        <f t="shared" si="75"/>
        <v>6.4893137445095164</v>
      </c>
      <c r="AE112" s="233"/>
      <c r="AF112" s="448"/>
      <c r="AH112" s="306" t="s">
        <v>92</v>
      </c>
      <c r="AI112" s="296">
        <v>66</v>
      </c>
      <c r="AJ112" s="296">
        <v>54</v>
      </c>
      <c r="AK112" s="296">
        <v>70</v>
      </c>
      <c r="AL112" s="296">
        <v>66</v>
      </c>
      <c r="AM112" s="296">
        <v>68</v>
      </c>
      <c r="AN112" s="296">
        <v>70</v>
      </c>
      <c r="AO112" s="296">
        <v>55</v>
      </c>
      <c r="AP112" s="296">
        <v>70</v>
      </c>
      <c r="AQ112" s="296">
        <v>71</v>
      </c>
      <c r="AR112" s="296">
        <v>65</v>
      </c>
      <c r="AS112" s="296">
        <v>58</v>
      </c>
      <c r="AT112" s="296">
        <v>62</v>
      </c>
      <c r="AU112" s="296">
        <v>69</v>
      </c>
      <c r="AV112" s="296">
        <v>73</v>
      </c>
      <c r="AW112" s="296">
        <v>70</v>
      </c>
      <c r="AX112" s="296">
        <v>55</v>
      </c>
      <c r="AY112" s="296">
        <v>45</v>
      </c>
      <c r="AZ112" s="296">
        <v>50</v>
      </c>
    </row>
    <row r="113" spans="1:64" s="296" customFormat="1" ht="13.15" customHeight="1">
      <c r="A113" s="296" t="s">
        <v>84</v>
      </c>
      <c r="B113" s="296" t="s">
        <v>242</v>
      </c>
      <c r="C113" s="298" t="s">
        <v>243</v>
      </c>
      <c r="D113" s="299" t="s">
        <v>193</v>
      </c>
      <c r="E113" s="300" t="s">
        <v>160</v>
      </c>
      <c r="F113" s="323" t="s">
        <v>244</v>
      </c>
      <c r="G113" s="297" t="s">
        <v>96</v>
      </c>
      <c r="H113" s="301">
        <v>726</v>
      </c>
      <c r="I113" s="302">
        <v>27.32</v>
      </c>
      <c r="J113" s="324">
        <v>19093</v>
      </c>
      <c r="K113" s="325">
        <v>0.3</v>
      </c>
      <c r="L113" s="324">
        <f t="shared" si="72"/>
        <v>13365.1</v>
      </c>
      <c r="M113" s="326">
        <f t="shared" si="73"/>
        <v>18.409228650137742</v>
      </c>
      <c r="N113" s="302"/>
      <c r="O113" s="302"/>
      <c r="P113" s="302"/>
      <c r="Q113" s="302"/>
      <c r="R113" s="302"/>
      <c r="S113" s="320">
        <v>2.17</v>
      </c>
      <c r="T113" s="320"/>
      <c r="V113" s="306"/>
      <c r="W113" s="306"/>
      <c r="X113" s="307">
        <v>0.42</v>
      </c>
      <c r="Y113" s="307"/>
      <c r="Z113" s="304">
        <v>0.4</v>
      </c>
      <c r="AA113" s="431">
        <v>46167</v>
      </c>
      <c r="AB113" s="233">
        <f t="shared" si="76"/>
        <v>63.08</v>
      </c>
      <c r="AC113" s="233">
        <f t="shared" si="74"/>
        <v>26.493599999999997</v>
      </c>
      <c r="AD113" s="233">
        <f t="shared" si="75"/>
        <v>6.4804102005856512</v>
      </c>
      <c r="AE113" s="233"/>
      <c r="AF113" s="448"/>
      <c r="AH113" s="306" t="s">
        <v>91</v>
      </c>
      <c r="AI113" s="296">
        <v>68</v>
      </c>
      <c r="AJ113" s="296">
        <v>49</v>
      </c>
      <c r="AK113" s="296">
        <v>69</v>
      </c>
      <c r="AL113" s="296">
        <v>84</v>
      </c>
      <c r="AM113" s="296">
        <v>59</v>
      </c>
      <c r="AN113" s="296">
        <v>64</v>
      </c>
      <c r="AO113" s="296">
        <v>60</v>
      </c>
      <c r="AP113" s="296">
        <v>96</v>
      </c>
      <c r="AQ113" s="296">
        <v>78</v>
      </c>
      <c r="AR113" s="296">
        <v>63</v>
      </c>
      <c r="AS113" s="296">
        <v>28</v>
      </c>
      <c r="AT113" s="296">
        <v>56</v>
      </c>
      <c r="AU113" s="296">
        <v>91</v>
      </c>
      <c r="AV113" s="296">
        <v>56</v>
      </c>
      <c r="AW113" s="296">
        <v>48</v>
      </c>
      <c r="AX113" s="296">
        <v>50</v>
      </c>
      <c r="AY113" s="296">
        <v>58</v>
      </c>
      <c r="AZ113" s="296">
        <v>63</v>
      </c>
      <c r="BA113" s="296">
        <v>70</v>
      </c>
      <c r="BB113" s="296">
        <v>69</v>
      </c>
      <c r="BC113" s="296">
        <v>55</v>
      </c>
      <c r="BD113" s="296">
        <v>59</v>
      </c>
      <c r="BE113" s="296">
        <v>63</v>
      </c>
      <c r="BF113" s="296">
        <v>65</v>
      </c>
      <c r="BG113" s="296">
        <v>56</v>
      </c>
      <c r="BH113" s="296">
        <v>54</v>
      </c>
      <c r="BI113" s="296">
        <v>59</v>
      </c>
      <c r="BJ113" s="296">
        <v>67</v>
      </c>
      <c r="BK113" s="296">
        <v>60</v>
      </c>
      <c r="BL113" s="296">
        <v>53</v>
      </c>
    </row>
    <row r="114" spans="1:64" s="296" customFormat="1" ht="13.15" customHeight="1">
      <c r="A114" s="296" t="s">
        <v>84</v>
      </c>
      <c r="B114" s="296" t="s">
        <v>242</v>
      </c>
      <c r="C114" s="298" t="s">
        <v>243</v>
      </c>
      <c r="D114" s="299" t="s">
        <v>193</v>
      </c>
      <c r="E114" s="300" t="s">
        <v>160</v>
      </c>
      <c r="F114" s="323" t="s">
        <v>244</v>
      </c>
      <c r="G114" s="297" t="s">
        <v>96</v>
      </c>
      <c r="H114" s="301">
        <v>726</v>
      </c>
      <c r="I114" s="302">
        <v>27.32</v>
      </c>
      <c r="J114" s="324">
        <v>19093</v>
      </c>
      <c r="K114" s="325">
        <v>0.3</v>
      </c>
      <c r="L114" s="324">
        <f t="shared" si="72"/>
        <v>13365.1</v>
      </c>
      <c r="M114" s="326">
        <f t="shared" si="73"/>
        <v>18.409228650137742</v>
      </c>
      <c r="N114" s="302"/>
      <c r="O114" s="302"/>
      <c r="P114" s="302"/>
      <c r="Q114" s="302"/>
      <c r="R114" s="302"/>
      <c r="S114" s="320">
        <v>2.17</v>
      </c>
      <c r="T114" s="320"/>
      <c r="V114" s="306"/>
      <c r="W114" s="306"/>
      <c r="X114" s="307">
        <v>0.42</v>
      </c>
      <c r="Y114" s="307"/>
      <c r="Z114" s="304">
        <v>0.4</v>
      </c>
      <c r="AA114" s="431">
        <v>46187</v>
      </c>
      <c r="AB114" s="233">
        <f t="shared" si="76"/>
        <v>64.375</v>
      </c>
      <c r="AC114" s="233">
        <f t="shared" si="74"/>
        <v>27.037499999999998</v>
      </c>
      <c r="AD114" s="233">
        <f t="shared" si="75"/>
        <v>6.6134496934480236</v>
      </c>
      <c r="AE114" s="233"/>
      <c r="AF114" s="448"/>
      <c r="AH114" s="306" t="s">
        <v>91</v>
      </c>
      <c r="AI114" s="296">
        <v>81</v>
      </c>
      <c r="AJ114" s="296">
        <v>60</v>
      </c>
      <c r="AK114" s="296">
        <v>48</v>
      </c>
      <c r="AL114" s="296">
        <v>73</v>
      </c>
      <c r="AM114" s="296">
        <v>63</v>
      </c>
      <c r="AN114" s="296">
        <v>63</v>
      </c>
      <c r="AO114" s="296">
        <v>80</v>
      </c>
      <c r="AP114" s="296">
        <v>57</v>
      </c>
      <c r="AQ114" s="296">
        <v>85</v>
      </c>
      <c r="AR114" s="296">
        <v>77</v>
      </c>
      <c r="AS114" s="296">
        <v>59</v>
      </c>
      <c r="AT114" s="296">
        <v>64</v>
      </c>
      <c r="AU114" s="296">
        <v>43</v>
      </c>
      <c r="AV114" s="296">
        <v>52</v>
      </c>
      <c r="AW114" s="296">
        <v>66</v>
      </c>
      <c r="AX114" s="296">
        <v>59</v>
      </c>
    </row>
    <row r="115" spans="1:64" s="113" customFormat="1">
      <c r="A115" s="113" t="s">
        <v>84</v>
      </c>
      <c r="B115" s="113" t="s">
        <v>246</v>
      </c>
      <c r="C115" s="114" t="s">
        <v>247</v>
      </c>
      <c r="D115" s="128" t="s">
        <v>87</v>
      </c>
      <c r="E115" s="127" t="s">
        <v>160</v>
      </c>
      <c r="F115" s="126">
        <v>4</v>
      </c>
      <c r="G115" s="126" t="s">
        <v>145</v>
      </c>
      <c r="H115" s="123">
        <v>565.71428571428567</v>
      </c>
      <c r="I115" s="125">
        <v>8.84</v>
      </c>
      <c r="J115" s="123">
        <f>I115*566</f>
        <v>5003.4399999999996</v>
      </c>
      <c r="K115" s="124">
        <v>0.05</v>
      </c>
      <c r="L115" s="123">
        <f t="shared" si="72"/>
        <v>4753.268</v>
      </c>
      <c r="M115" s="122">
        <f t="shared" si="73"/>
        <v>8.4022414141414146</v>
      </c>
      <c r="N115" s="118">
        <v>8.11</v>
      </c>
      <c r="O115" s="118">
        <v>9.5</v>
      </c>
      <c r="P115" s="118">
        <v>4.6500000000000004</v>
      </c>
      <c r="Q115" s="118">
        <v>5.91</v>
      </c>
      <c r="R115" s="118">
        <v>7.19</v>
      </c>
      <c r="S115" s="153">
        <v>5.3</v>
      </c>
      <c r="T115" s="153"/>
      <c r="V115" s="115"/>
      <c r="W115" s="115"/>
      <c r="X115" s="120">
        <v>0.38</v>
      </c>
      <c r="Y115" s="120"/>
      <c r="Z115" s="118">
        <v>0.4</v>
      </c>
      <c r="AA115" s="430"/>
      <c r="AB115" s="117" t="str">
        <f t="shared" si="76"/>
        <v/>
      </c>
      <c r="AC115" s="117" t="str">
        <f t="shared" si="74"/>
        <v/>
      </c>
      <c r="AD115" s="117" t="str">
        <f t="shared" si="75"/>
        <v/>
      </c>
      <c r="AE115" s="117"/>
      <c r="AF115" s="447"/>
      <c r="AH115" s="115"/>
    </row>
    <row r="116" spans="1:64" s="113" customFormat="1">
      <c r="A116" s="113" t="s">
        <v>84</v>
      </c>
      <c r="B116" s="113" t="s">
        <v>246</v>
      </c>
      <c r="C116" s="114" t="s">
        <v>247</v>
      </c>
      <c r="D116" s="128" t="s">
        <v>87</v>
      </c>
      <c r="E116" s="127" t="s">
        <v>160</v>
      </c>
      <c r="F116" s="126">
        <v>4</v>
      </c>
      <c r="G116" s="126" t="s">
        <v>145</v>
      </c>
      <c r="H116" s="123">
        <v>565.71428571428567</v>
      </c>
      <c r="I116" s="125">
        <v>8.84</v>
      </c>
      <c r="J116" s="123">
        <f>I116*566</f>
        <v>5003.4399999999996</v>
      </c>
      <c r="K116" s="124">
        <v>0.05</v>
      </c>
      <c r="L116" s="123">
        <f t="shared" si="72"/>
        <v>4753.268</v>
      </c>
      <c r="M116" s="122">
        <f t="shared" si="73"/>
        <v>8.4022414141414146</v>
      </c>
      <c r="N116" s="118">
        <v>8.11</v>
      </c>
      <c r="O116" s="118">
        <v>9.5</v>
      </c>
      <c r="P116" s="118">
        <v>4.6500000000000004</v>
      </c>
      <c r="Q116" s="118">
        <v>5.91</v>
      </c>
      <c r="R116" s="118">
        <v>7.19</v>
      </c>
      <c r="S116" s="153">
        <v>5.3</v>
      </c>
      <c r="T116" s="153"/>
      <c r="V116" s="115"/>
      <c r="W116" s="115"/>
      <c r="X116" s="120">
        <v>0.38</v>
      </c>
      <c r="Y116" s="120"/>
      <c r="Z116" s="118">
        <v>0.4</v>
      </c>
      <c r="AA116" s="430"/>
      <c r="AB116" s="117" t="str">
        <f t="shared" si="76"/>
        <v/>
      </c>
      <c r="AC116" s="117" t="str">
        <f t="shared" si="74"/>
        <v/>
      </c>
      <c r="AD116" s="117" t="str">
        <f t="shared" si="75"/>
        <v/>
      </c>
      <c r="AE116" s="117"/>
      <c r="AF116" s="447"/>
      <c r="AH116" s="115"/>
    </row>
    <row r="117" spans="1:64" s="113" customFormat="1">
      <c r="A117" s="113" t="s">
        <v>84</v>
      </c>
      <c r="B117" s="113" t="s">
        <v>246</v>
      </c>
      <c r="C117" s="114" t="s">
        <v>247</v>
      </c>
      <c r="D117" s="128" t="s">
        <v>87</v>
      </c>
      <c r="E117" s="127" t="s">
        <v>160</v>
      </c>
      <c r="F117" s="126">
        <v>4</v>
      </c>
      <c r="G117" s="126" t="s">
        <v>145</v>
      </c>
      <c r="H117" s="123">
        <v>565.71428571428567</v>
      </c>
      <c r="I117" s="125">
        <v>8.84</v>
      </c>
      <c r="J117" s="123">
        <f>I117*566</f>
        <v>5003.4399999999996</v>
      </c>
      <c r="K117" s="124">
        <v>0.05</v>
      </c>
      <c r="L117" s="123">
        <f t="shared" ref="L117:L142" si="95">J117-(J117*K117)</f>
        <v>4753.268</v>
      </c>
      <c r="M117" s="122">
        <f t="shared" ref="M117:M151" si="96">L117/H117</f>
        <v>8.4022414141414146</v>
      </c>
      <c r="N117" s="118">
        <v>8.11</v>
      </c>
      <c r="O117" s="118">
        <v>9.5</v>
      </c>
      <c r="P117" s="118">
        <v>4.6500000000000004</v>
      </c>
      <c r="Q117" s="118">
        <v>5.91</v>
      </c>
      <c r="R117" s="118">
        <v>7.19</v>
      </c>
      <c r="S117" s="153">
        <v>5.3</v>
      </c>
      <c r="T117" s="153"/>
      <c r="V117" s="115"/>
      <c r="W117" s="115"/>
      <c r="X117" s="120">
        <v>0.38</v>
      </c>
      <c r="Y117" s="120"/>
      <c r="Z117" s="118">
        <v>0.4</v>
      </c>
      <c r="AA117" s="430"/>
      <c r="AB117" s="117" t="str">
        <f t="shared" si="76"/>
        <v/>
      </c>
      <c r="AC117" s="117" t="str">
        <f t="shared" ref="AC117:AC151" si="97">IFERROR(AB117*X117,"")</f>
        <v/>
      </c>
      <c r="AD117" s="117" t="str">
        <f t="shared" si="75"/>
        <v/>
      </c>
      <c r="AE117" s="117"/>
      <c r="AF117" s="447"/>
      <c r="AH117" s="115"/>
    </row>
    <row r="118" spans="1:64" s="296" customFormat="1">
      <c r="A118" s="296" t="s">
        <v>84</v>
      </c>
      <c r="B118" s="296" t="s">
        <v>248</v>
      </c>
      <c r="C118" s="298" t="s">
        <v>249</v>
      </c>
      <c r="D118" s="299" t="s">
        <v>87</v>
      </c>
      <c r="E118" s="300" t="s">
        <v>160</v>
      </c>
      <c r="F118" s="297">
        <v>4</v>
      </c>
      <c r="G118" s="297" t="s">
        <v>145</v>
      </c>
      <c r="H118" s="301">
        <v>680.625</v>
      </c>
      <c r="I118" s="302">
        <v>23.25</v>
      </c>
      <c r="J118" s="324">
        <v>15807</v>
      </c>
      <c r="K118" s="325">
        <v>0.12</v>
      </c>
      <c r="L118" s="324">
        <f t="shared" si="95"/>
        <v>13910.16</v>
      </c>
      <c r="M118" s="326">
        <f t="shared" si="96"/>
        <v>20.437333333333331</v>
      </c>
      <c r="N118" s="304">
        <v>8.56</v>
      </c>
      <c r="O118" s="304">
        <v>7.86</v>
      </c>
      <c r="P118" s="304">
        <v>6.38</v>
      </c>
      <c r="Q118" s="304">
        <v>7.41</v>
      </c>
      <c r="R118" s="304">
        <v>6.9</v>
      </c>
      <c r="S118" s="305">
        <v>6.89</v>
      </c>
      <c r="T118" s="305"/>
      <c r="V118" s="306"/>
      <c r="W118" s="306"/>
      <c r="X118" s="307">
        <v>0.34</v>
      </c>
      <c r="Y118" s="307"/>
      <c r="Z118" s="304">
        <v>0.4</v>
      </c>
      <c r="AA118" s="431"/>
      <c r="AB118" s="233" t="str">
        <f t="shared" si="76"/>
        <v/>
      </c>
      <c r="AC118" s="233" t="str">
        <f t="shared" si="97"/>
        <v/>
      </c>
      <c r="AD118" s="233" t="str">
        <f t="shared" si="75"/>
        <v/>
      </c>
      <c r="AE118" s="233"/>
      <c r="AF118" s="448"/>
      <c r="AH118" s="306"/>
    </row>
    <row r="119" spans="1:64" s="113" customFormat="1">
      <c r="A119" s="113" t="s">
        <v>84</v>
      </c>
      <c r="B119" s="113" t="s">
        <v>250</v>
      </c>
      <c r="C119" s="114" t="s">
        <v>251</v>
      </c>
      <c r="D119" s="128" t="s">
        <v>87</v>
      </c>
      <c r="E119" s="127" t="s">
        <v>114</v>
      </c>
      <c r="F119" s="126">
        <v>3</v>
      </c>
      <c r="G119" s="126" t="s">
        <v>96</v>
      </c>
      <c r="H119" s="123">
        <v>680.625</v>
      </c>
      <c r="I119" s="125">
        <v>23.13</v>
      </c>
      <c r="J119" s="123">
        <v>15414</v>
      </c>
      <c r="K119" s="124">
        <v>0.01</v>
      </c>
      <c r="L119" s="123">
        <f t="shared" si="95"/>
        <v>15259.86</v>
      </c>
      <c r="M119" s="122">
        <f t="shared" si="96"/>
        <v>22.420363636363636</v>
      </c>
      <c r="N119" s="118">
        <v>8.09</v>
      </c>
      <c r="O119" s="118">
        <v>8.61</v>
      </c>
      <c r="P119" s="118">
        <v>9.0500000000000007</v>
      </c>
      <c r="Q119" s="118">
        <v>8.69</v>
      </c>
      <c r="R119" s="118">
        <v>6.32</v>
      </c>
      <c r="S119" s="153">
        <v>9.3699999999999992</v>
      </c>
      <c r="T119" s="153"/>
      <c r="V119" s="115"/>
      <c r="W119" s="115"/>
      <c r="X119" s="120">
        <v>0.3</v>
      </c>
      <c r="Y119" s="120"/>
      <c r="Z119" s="118">
        <v>0.38</v>
      </c>
      <c r="AA119" s="430">
        <v>46162</v>
      </c>
      <c r="AB119" s="117">
        <f t="shared" si="76"/>
        <v>68.666666666666671</v>
      </c>
      <c r="AC119" s="117">
        <f t="shared" si="97"/>
        <v>20.6</v>
      </c>
      <c r="AD119" s="117">
        <f t="shared" si="75"/>
        <v>6.7953548638132313</v>
      </c>
      <c r="AE119" s="117"/>
      <c r="AF119" s="447"/>
      <c r="AG119" s="175" t="s">
        <v>252</v>
      </c>
      <c r="AH119" s="115"/>
      <c r="AI119" s="113">
        <v>66</v>
      </c>
      <c r="AJ119" s="113">
        <v>75</v>
      </c>
      <c r="AK119" s="113">
        <v>70</v>
      </c>
      <c r="AL119" s="113">
        <v>69</v>
      </c>
      <c r="AM119" s="113">
        <v>68</v>
      </c>
      <c r="AN119" s="113">
        <v>70</v>
      </c>
      <c r="AO119" s="113">
        <v>65</v>
      </c>
      <c r="AP119" s="113">
        <v>60</v>
      </c>
      <c r="AQ119" s="113">
        <v>78</v>
      </c>
      <c r="AR119" s="113">
        <v>73</v>
      </c>
      <c r="AS119" s="113">
        <v>69</v>
      </c>
      <c r="AT119" s="113">
        <v>70</v>
      </c>
      <c r="AU119" s="113">
        <v>59</v>
      </c>
      <c r="AV119" s="113">
        <v>63</v>
      </c>
      <c r="AW119" s="113">
        <v>75</v>
      </c>
    </row>
    <row r="120" spans="1:64" s="113" customFormat="1">
      <c r="A120" s="113" t="s">
        <v>84</v>
      </c>
      <c r="B120" s="113" t="s">
        <v>250</v>
      </c>
      <c r="C120" s="114" t="s">
        <v>251</v>
      </c>
      <c r="D120" s="128" t="s">
        <v>87</v>
      </c>
      <c r="E120" s="127" t="s">
        <v>114</v>
      </c>
      <c r="F120" s="126">
        <v>3</v>
      </c>
      <c r="G120" s="126" t="s">
        <v>96</v>
      </c>
      <c r="H120" s="123">
        <v>680.625</v>
      </c>
      <c r="I120" s="125">
        <v>23.13</v>
      </c>
      <c r="J120" s="123">
        <v>15414</v>
      </c>
      <c r="K120" s="124">
        <v>0.01</v>
      </c>
      <c r="L120" s="123">
        <f t="shared" si="95"/>
        <v>15259.86</v>
      </c>
      <c r="M120" s="122">
        <f t="shared" si="96"/>
        <v>22.420363636363636</v>
      </c>
      <c r="N120" s="118">
        <v>8.09</v>
      </c>
      <c r="O120" s="118">
        <v>8.61</v>
      </c>
      <c r="P120" s="118">
        <v>9.0500000000000007</v>
      </c>
      <c r="Q120" s="118">
        <v>8.69</v>
      </c>
      <c r="R120" s="118">
        <v>6.32</v>
      </c>
      <c r="S120" s="153">
        <v>9.3699999999999992</v>
      </c>
      <c r="T120" s="153"/>
      <c r="V120" s="115"/>
      <c r="W120" s="115"/>
      <c r="X120" s="120">
        <v>0.3</v>
      </c>
      <c r="Y120" s="120"/>
      <c r="Z120" s="118">
        <v>0.38</v>
      </c>
      <c r="AA120" s="430"/>
      <c r="AB120" s="117">
        <v>72</v>
      </c>
      <c r="AC120" s="117">
        <f t="shared" si="97"/>
        <v>21.599999999999998</v>
      </c>
      <c r="AD120" s="117">
        <f t="shared" si="75"/>
        <v>7.1252264591439678</v>
      </c>
      <c r="AE120" s="117"/>
      <c r="AF120" s="447"/>
      <c r="AG120" s="175"/>
      <c r="AH120" s="115"/>
    </row>
    <row r="121" spans="1:64" s="113" customFormat="1">
      <c r="C121" s="114"/>
      <c r="D121" s="128"/>
      <c r="E121" s="127"/>
      <c r="F121" s="126"/>
      <c r="G121" s="126"/>
      <c r="H121" s="123"/>
      <c r="I121" s="125"/>
      <c r="J121" s="123"/>
      <c r="K121" s="124"/>
      <c r="L121" s="123"/>
      <c r="M121" s="122"/>
      <c r="N121" s="118"/>
      <c r="O121" s="118"/>
      <c r="P121" s="118"/>
      <c r="Q121" s="118"/>
      <c r="R121" s="118"/>
      <c r="S121" s="153"/>
      <c r="T121" s="153"/>
      <c r="V121" s="115"/>
      <c r="W121" s="115"/>
      <c r="X121" s="120"/>
      <c r="Y121" s="120"/>
      <c r="Z121" s="118"/>
      <c r="AA121" s="430"/>
      <c r="AB121" s="117"/>
      <c r="AC121" s="117"/>
      <c r="AD121" s="117"/>
      <c r="AE121" s="117"/>
      <c r="AF121" s="447"/>
      <c r="AG121" s="175"/>
      <c r="AH121" s="115"/>
    </row>
    <row r="122" spans="1:64" s="296" customFormat="1">
      <c r="A122" s="296" t="s">
        <v>84</v>
      </c>
      <c r="B122" s="296" t="s">
        <v>253</v>
      </c>
      <c r="C122" s="298" t="s">
        <v>254</v>
      </c>
      <c r="D122" s="299" t="s">
        <v>87</v>
      </c>
      <c r="E122" s="300" t="s">
        <v>129</v>
      </c>
      <c r="F122" s="297"/>
      <c r="G122" s="297"/>
      <c r="H122" s="301">
        <v>691</v>
      </c>
      <c r="I122" s="302">
        <v>10.65</v>
      </c>
      <c r="J122" s="301">
        <v>7055</v>
      </c>
      <c r="K122" s="237"/>
      <c r="L122" s="301">
        <f t="shared" si="95"/>
        <v>7055</v>
      </c>
      <c r="M122" s="303">
        <f t="shared" si="96"/>
        <v>10.209840810419681</v>
      </c>
      <c r="N122" s="304"/>
      <c r="O122" s="304"/>
      <c r="P122" s="304"/>
      <c r="Q122" s="304"/>
      <c r="R122" s="304"/>
      <c r="S122" s="305"/>
      <c r="T122" s="305"/>
      <c r="V122" s="306"/>
      <c r="W122" s="306"/>
      <c r="X122" s="307">
        <v>0.43</v>
      </c>
      <c r="Y122" s="307"/>
      <c r="Z122" s="304">
        <v>0.45</v>
      </c>
      <c r="AA122" s="431">
        <v>46115</v>
      </c>
      <c r="AB122" s="233">
        <f>IFERROR(AVERAGE(AI122:BG122),"")</f>
        <v>56.4</v>
      </c>
      <c r="AC122" s="233">
        <f t="shared" si="97"/>
        <v>24.251999999999999</v>
      </c>
      <c r="AD122" s="233">
        <f t="shared" si="75"/>
        <v>8.0327633802816898</v>
      </c>
      <c r="AE122" s="233"/>
      <c r="AF122" s="448"/>
      <c r="AH122" s="306" t="s">
        <v>92</v>
      </c>
      <c r="AI122" s="296">
        <v>62</v>
      </c>
      <c r="AJ122" s="296">
        <v>52</v>
      </c>
      <c r="AK122" s="296">
        <v>52</v>
      </c>
      <c r="AL122" s="296">
        <v>55</v>
      </c>
      <c r="AM122" s="296">
        <v>50</v>
      </c>
      <c r="AN122" s="296">
        <v>36</v>
      </c>
      <c r="AO122" s="296">
        <v>42</v>
      </c>
      <c r="AP122" s="296">
        <v>60</v>
      </c>
      <c r="AQ122" s="296">
        <v>59</v>
      </c>
      <c r="AR122" s="296">
        <v>50</v>
      </c>
      <c r="AS122" s="296">
        <v>66</v>
      </c>
      <c r="AT122" s="296">
        <v>52</v>
      </c>
      <c r="AU122" s="296">
        <v>50</v>
      </c>
      <c r="AV122" s="296">
        <v>65</v>
      </c>
      <c r="AW122" s="296">
        <v>56</v>
      </c>
      <c r="AX122" s="296">
        <v>58</v>
      </c>
      <c r="AY122" s="296">
        <v>55</v>
      </c>
      <c r="AZ122" s="296">
        <v>56</v>
      </c>
      <c r="BA122" s="296">
        <v>58</v>
      </c>
      <c r="BB122" s="296">
        <v>68</v>
      </c>
      <c r="BC122" s="296">
        <v>60</v>
      </c>
      <c r="BD122" s="296">
        <v>59</v>
      </c>
      <c r="BE122" s="296">
        <v>62</v>
      </c>
      <c r="BF122" s="296">
        <v>66</v>
      </c>
      <c r="BG122" s="296">
        <v>61</v>
      </c>
    </row>
    <row r="123" spans="1:64" s="296" customFormat="1">
      <c r="A123" s="296" t="s">
        <v>84</v>
      </c>
      <c r="B123" s="296" t="s">
        <v>253</v>
      </c>
      <c r="C123" s="298" t="s">
        <v>254</v>
      </c>
      <c r="D123" s="299" t="s">
        <v>87</v>
      </c>
      <c r="E123" s="300" t="s">
        <v>129</v>
      </c>
      <c r="F123" s="297"/>
      <c r="G123" s="297"/>
      <c r="H123" s="301">
        <v>691</v>
      </c>
      <c r="I123" s="302">
        <v>10.65</v>
      </c>
      <c r="J123" s="301">
        <v>7055</v>
      </c>
      <c r="K123" s="237"/>
      <c r="L123" s="301">
        <f t="shared" si="95"/>
        <v>7055</v>
      </c>
      <c r="M123" s="303">
        <f t="shared" si="96"/>
        <v>10.209840810419681</v>
      </c>
      <c r="N123" s="304"/>
      <c r="O123" s="304"/>
      <c r="P123" s="304"/>
      <c r="Q123" s="304"/>
      <c r="R123" s="304"/>
      <c r="S123" s="305"/>
      <c r="T123" s="305"/>
      <c r="V123" s="306"/>
      <c r="W123" s="306"/>
      <c r="X123" s="307"/>
      <c r="Y123" s="307"/>
      <c r="Z123" s="304">
        <v>0.42</v>
      </c>
      <c r="AA123" s="431"/>
      <c r="AB123" s="233" t="str">
        <f t="shared" si="76"/>
        <v/>
      </c>
      <c r="AC123" s="233" t="str">
        <f t="shared" si="97"/>
        <v/>
      </c>
      <c r="AD123" s="233" t="str">
        <f t="shared" si="75"/>
        <v/>
      </c>
      <c r="AE123" s="233"/>
      <c r="AF123" s="448"/>
      <c r="AH123" s="306"/>
    </row>
    <row r="124" spans="1:64" s="113" customFormat="1">
      <c r="A124" s="113" t="s">
        <v>84</v>
      </c>
      <c r="B124" s="113" t="s">
        <v>255</v>
      </c>
      <c r="C124" s="114" t="s">
        <v>256</v>
      </c>
      <c r="D124" s="128" t="s">
        <v>87</v>
      </c>
      <c r="E124" s="127" t="s">
        <v>129</v>
      </c>
      <c r="F124" s="126"/>
      <c r="G124" s="126"/>
      <c r="H124" s="123">
        <v>545</v>
      </c>
      <c r="I124" s="125">
        <v>12.09</v>
      </c>
      <c r="J124" s="123">
        <v>5777</v>
      </c>
      <c r="K124" s="124"/>
      <c r="L124" s="123">
        <f t="shared" si="95"/>
        <v>5777</v>
      </c>
      <c r="M124" s="122">
        <f t="shared" si="96"/>
        <v>10.6</v>
      </c>
      <c r="N124" s="118"/>
      <c r="O124" s="118"/>
      <c r="P124" s="118"/>
      <c r="Q124" s="118"/>
      <c r="R124" s="118"/>
      <c r="S124" s="153"/>
      <c r="T124" s="153"/>
      <c r="V124" s="115"/>
      <c r="W124" s="115"/>
      <c r="X124" s="120"/>
      <c r="Y124" s="120"/>
      <c r="Z124" s="118">
        <v>0.45</v>
      </c>
      <c r="AA124" s="430"/>
      <c r="AB124" s="117" t="str">
        <f t="shared" si="76"/>
        <v/>
      </c>
      <c r="AC124" s="117" t="str">
        <f t="shared" si="97"/>
        <v/>
      </c>
      <c r="AD124" s="117" t="str">
        <f t="shared" si="75"/>
        <v/>
      </c>
      <c r="AE124" s="117"/>
      <c r="AF124" s="447"/>
      <c r="AH124" s="115"/>
    </row>
    <row r="125" spans="1:64" s="296" customFormat="1">
      <c r="A125" s="296" t="s">
        <v>84</v>
      </c>
      <c r="B125" s="296" t="s">
        <v>257</v>
      </c>
      <c r="C125" s="298" t="s">
        <v>258</v>
      </c>
      <c r="D125" s="299" t="s">
        <v>87</v>
      </c>
      <c r="E125" s="300" t="s">
        <v>88</v>
      </c>
      <c r="F125" s="297">
        <v>7</v>
      </c>
      <c r="G125" s="297" t="s">
        <v>145</v>
      </c>
      <c r="H125" s="301">
        <v>622.28571428571433</v>
      </c>
      <c r="I125" s="302">
        <v>44</v>
      </c>
      <c r="J125" s="301">
        <v>27017</v>
      </c>
      <c r="K125" s="237"/>
      <c r="L125" s="301">
        <f t="shared" si="95"/>
        <v>27017</v>
      </c>
      <c r="M125" s="303">
        <f t="shared" si="96"/>
        <v>43.415748393021119</v>
      </c>
      <c r="N125" s="304">
        <v>10.81</v>
      </c>
      <c r="O125" s="304">
        <v>9.56</v>
      </c>
      <c r="P125" s="304">
        <v>9.81</v>
      </c>
      <c r="Q125" s="304">
        <v>8.14</v>
      </c>
      <c r="R125" s="304">
        <v>11.21</v>
      </c>
      <c r="S125" s="305">
        <v>8.27</v>
      </c>
      <c r="T125" s="305"/>
      <c r="V125" s="306"/>
      <c r="W125" s="306"/>
      <c r="X125" s="307">
        <v>0.28999999999999998</v>
      </c>
      <c r="Y125" s="307"/>
      <c r="Z125" s="304">
        <v>0.33</v>
      </c>
      <c r="AA125" s="431"/>
      <c r="AB125" s="233" t="str">
        <f t="shared" si="76"/>
        <v/>
      </c>
      <c r="AC125" s="233" t="str">
        <f t="shared" si="97"/>
        <v/>
      </c>
      <c r="AD125" s="233" t="str">
        <f t="shared" si="75"/>
        <v/>
      </c>
      <c r="AE125" s="233"/>
      <c r="AF125" s="448"/>
      <c r="AH125" s="306"/>
    </row>
    <row r="126" spans="1:64" s="113" customFormat="1">
      <c r="A126" s="113" t="s">
        <v>84</v>
      </c>
      <c r="B126" s="113" t="s">
        <v>259</v>
      </c>
      <c r="C126" s="114" t="s">
        <v>260</v>
      </c>
      <c r="D126" s="128" t="s">
        <v>87</v>
      </c>
      <c r="E126" s="127" t="s">
        <v>261</v>
      </c>
      <c r="F126" s="126">
        <v>23</v>
      </c>
      <c r="G126" s="126" t="s">
        <v>90</v>
      </c>
      <c r="H126" s="123">
        <v>622.28571428571433</v>
      </c>
      <c r="I126" s="125">
        <v>83.24</v>
      </c>
      <c r="J126" s="123">
        <v>51248</v>
      </c>
      <c r="K126" s="124">
        <v>0.15</v>
      </c>
      <c r="L126" s="123">
        <f t="shared" si="95"/>
        <v>43560.800000000003</v>
      </c>
      <c r="M126" s="122">
        <f t="shared" si="96"/>
        <v>70.001285583103765</v>
      </c>
      <c r="N126" s="118">
        <v>9.0399999999999991</v>
      </c>
      <c r="O126" s="118">
        <v>8.84</v>
      </c>
      <c r="P126" s="118">
        <v>8.7799999999999994</v>
      </c>
      <c r="Q126" s="118">
        <v>10.87</v>
      </c>
      <c r="R126" s="118">
        <v>9.77</v>
      </c>
      <c r="S126" s="153">
        <v>8.2100000000000009</v>
      </c>
      <c r="T126" s="153"/>
      <c r="V126" s="115"/>
      <c r="W126" s="115"/>
      <c r="X126" s="120">
        <v>0.31</v>
      </c>
      <c r="Y126" s="120"/>
      <c r="Z126" s="118">
        <v>0.38</v>
      </c>
      <c r="AA126" s="430"/>
      <c r="AB126" s="117" t="str">
        <f t="shared" si="76"/>
        <v/>
      </c>
      <c r="AC126" s="117" t="str">
        <f t="shared" si="97"/>
        <v/>
      </c>
      <c r="AD126" s="117" t="str">
        <f t="shared" si="75"/>
        <v/>
      </c>
      <c r="AE126" s="117"/>
      <c r="AF126" s="447"/>
      <c r="AH126" s="115"/>
    </row>
    <row r="127" spans="1:64" s="113" customFormat="1">
      <c r="A127" s="113" t="s">
        <v>84</v>
      </c>
      <c r="B127" s="113" t="s">
        <v>259</v>
      </c>
      <c r="C127" s="114" t="s">
        <v>260</v>
      </c>
      <c r="D127" s="128" t="s">
        <v>87</v>
      </c>
      <c r="E127" s="127" t="s">
        <v>261</v>
      </c>
      <c r="F127" s="126">
        <v>23</v>
      </c>
      <c r="G127" s="126" t="s">
        <v>90</v>
      </c>
      <c r="H127" s="123">
        <v>622.28571428571433</v>
      </c>
      <c r="I127" s="125">
        <v>83.24</v>
      </c>
      <c r="J127" s="123">
        <v>51248</v>
      </c>
      <c r="K127" s="124">
        <v>0.15</v>
      </c>
      <c r="L127" s="123">
        <f t="shared" si="95"/>
        <v>43560.800000000003</v>
      </c>
      <c r="M127" s="122">
        <f t="shared" si="96"/>
        <v>70.001285583103765</v>
      </c>
      <c r="N127" s="118">
        <v>9.0399999999999991</v>
      </c>
      <c r="O127" s="118">
        <v>8.84</v>
      </c>
      <c r="P127" s="118">
        <v>8.7799999999999994</v>
      </c>
      <c r="Q127" s="118">
        <v>10.87</v>
      </c>
      <c r="R127" s="118">
        <v>9.77</v>
      </c>
      <c r="S127" s="118">
        <v>8.2100000000000009</v>
      </c>
      <c r="T127" s="118"/>
      <c r="V127" s="115"/>
      <c r="W127" s="115"/>
      <c r="X127" s="120">
        <v>0.31</v>
      </c>
      <c r="Y127" s="120"/>
      <c r="Z127" s="118">
        <v>0.38</v>
      </c>
      <c r="AA127" s="430"/>
      <c r="AB127" s="117" t="str">
        <f t="shared" si="76"/>
        <v/>
      </c>
      <c r="AC127" s="117" t="str">
        <f t="shared" si="97"/>
        <v/>
      </c>
      <c r="AD127" s="117" t="str">
        <f t="shared" si="75"/>
        <v/>
      </c>
      <c r="AE127" s="117"/>
      <c r="AF127" s="447"/>
      <c r="AH127" s="115"/>
    </row>
    <row r="128" spans="1:64" s="113" customFormat="1">
      <c r="A128" s="113" t="s">
        <v>84</v>
      </c>
      <c r="B128" s="113" t="s">
        <v>259</v>
      </c>
      <c r="C128" s="114" t="s">
        <v>260</v>
      </c>
      <c r="D128" s="128" t="s">
        <v>87</v>
      </c>
      <c r="E128" s="127" t="s">
        <v>261</v>
      </c>
      <c r="F128" s="126">
        <v>23</v>
      </c>
      <c r="G128" s="126" t="s">
        <v>90</v>
      </c>
      <c r="H128" s="123">
        <v>622.28571428571433</v>
      </c>
      <c r="I128" s="125">
        <v>83.24</v>
      </c>
      <c r="J128" s="123">
        <v>51248</v>
      </c>
      <c r="K128" s="124">
        <v>0.15</v>
      </c>
      <c r="L128" s="123">
        <f t="shared" si="95"/>
        <v>43560.800000000003</v>
      </c>
      <c r="M128" s="122">
        <f t="shared" si="96"/>
        <v>70.001285583103765</v>
      </c>
      <c r="N128" s="118">
        <v>9.0399999999999991</v>
      </c>
      <c r="O128" s="118">
        <v>8.84</v>
      </c>
      <c r="P128" s="118">
        <v>8.7799999999999994</v>
      </c>
      <c r="Q128" s="118">
        <v>10.87</v>
      </c>
      <c r="R128" s="118">
        <v>9.77</v>
      </c>
      <c r="S128" s="118">
        <v>8.2100000000000009</v>
      </c>
      <c r="T128" s="118"/>
      <c r="V128" s="115"/>
      <c r="W128" s="115"/>
      <c r="X128" s="120">
        <v>0.31</v>
      </c>
      <c r="Y128" s="120"/>
      <c r="Z128" s="118">
        <v>0.38</v>
      </c>
      <c r="AA128" s="430"/>
      <c r="AB128" s="117" t="str">
        <f t="shared" si="76"/>
        <v/>
      </c>
      <c r="AC128" s="117" t="str">
        <f t="shared" si="97"/>
        <v/>
      </c>
      <c r="AD128" s="117" t="str">
        <f t="shared" si="75"/>
        <v/>
      </c>
      <c r="AE128" s="117"/>
      <c r="AF128" s="447"/>
      <c r="AH128" s="115"/>
    </row>
    <row r="129" spans="1:58" s="366" customFormat="1">
      <c r="A129" s="366" t="s">
        <v>84</v>
      </c>
      <c r="B129" s="366" t="s">
        <v>259</v>
      </c>
      <c r="C129" s="367" t="s">
        <v>260</v>
      </c>
      <c r="D129" s="368" t="s">
        <v>87</v>
      </c>
      <c r="E129" s="369" t="s">
        <v>261</v>
      </c>
      <c r="F129" s="370">
        <v>23</v>
      </c>
      <c r="G129" s="370" t="s">
        <v>90</v>
      </c>
      <c r="H129" s="371">
        <v>622.28571428571433</v>
      </c>
      <c r="I129" s="372">
        <v>83.24</v>
      </c>
      <c r="J129" s="371">
        <v>51248</v>
      </c>
      <c r="K129" s="373">
        <v>0.15</v>
      </c>
      <c r="L129" s="371">
        <f t="shared" si="95"/>
        <v>43560.800000000003</v>
      </c>
      <c r="M129" s="374">
        <f t="shared" si="96"/>
        <v>70.001285583103765</v>
      </c>
      <c r="N129" s="375">
        <v>9.0399999999999991</v>
      </c>
      <c r="O129" s="375">
        <v>8.84</v>
      </c>
      <c r="P129" s="375">
        <v>8.7799999999999994</v>
      </c>
      <c r="Q129" s="375">
        <v>10.87</v>
      </c>
      <c r="R129" s="375">
        <v>9.77</v>
      </c>
      <c r="S129" s="375">
        <v>8.2100000000000009</v>
      </c>
      <c r="T129" s="375"/>
      <c r="V129" s="376"/>
      <c r="W129" s="376"/>
      <c r="X129" s="377">
        <v>0.31</v>
      </c>
      <c r="Y129" s="377"/>
      <c r="Z129" s="375">
        <v>0.38</v>
      </c>
      <c r="AA129" s="432"/>
      <c r="AB129" s="395" t="str">
        <f t="shared" si="76"/>
        <v/>
      </c>
      <c r="AC129" s="378" t="str">
        <f t="shared" si="97"/>
        <v/>
      </c>
      <c r="AD129" s="378" t="str">
        <f t="shared" si="75"/>
        <v/>
      </c>
      <c r="AE129" s="378"/>
      <c r="AF129" s="449"/>
      <c r="AH129" s="376"/>
    </row>
    <row r="130" spans="1:58" s="327" customFormat="1">
      <c r="A130" s="327" t="s">
        <v>262</v>
      </c>
      <c r="B130" s="327" t="s">
        <v>263</v>
      </c>
      <c r="C130" s="328" t="s">
        <v>264</v>
      </c>
      <c r="D130" s="329" t="s">
        <v>87</v>
      </c>
      <c r="E130" s="330" t="s">
        <v>148</v>
      </c>
      <c r="F130" s="331">
        <v>1</v>
      </c>
      <c r="G130" s="331" t="s">
        <v>265</v>
      </c>
      <c r="H130" s="332">
        <v>726</v>
      </c>
      <c r="I130" s="333">
        <v>39.42</v>
      </c>
      <c r="J130" s="332">
        <v>28200</v>
      </c>
      <c r="K130" s="334"/>
      <c r="L130" s="332">
        <f t="shared" si="95"/>
        <v>28200</v>
      </c>
      <c r="M130" s="335">
        <f t="shared" si="96"/>
        <v>38.84297520661157</v>
      </c>
      <c r="N130" s="336"/>
      <c r="O130" s="336">
        <v>5.49</v>
      </c>
      <c r="P130" s="336">
        <v>11.02</v>
      </c>
      <c r="Q130" s="336">
        <v>11.67</v>
      </c>
      <c r="R130" s="336">
        <v>11.78</v>
      </c>
      <c r="S130" s="337">
        <v>12.03</v>
      </c>
      <c r="T130" s="337"/>
      <c r="V130" s="338"/>
      <c r="W130" s="338"/>
      <c r="X130" s="339">
        <v>0.37</v>
      </c>
      <c r="Y130" s="339"/>
      <c r="Z130" s="336">
        <v>0.35</v>
      </c>
      <c r="AA130" s="433"/>
      <c r="AB130" s="340" t="str">
        <f t="shared" si="76"/>
        <v/>
      </c>
      <c r="AC130" s="340" t="str">
        <f t="shared" si="97"/>
        <v/>
      </c>
      <c r="AD130" s="340" t="str">
        <f t="shared" si="75"/>
        <v/>
      </c>
      <c r="AE130" s="340"/>
      <c r="AF130" s="450"/>
      <c r="AH130" s="338"/>
    </row>
    <row r="131" spans="1:58" s="113" customFormat="1">
      <c r="A131" s="113" t="s">
        <v>262</v>
      </c>
      <c r="B131" s="113" t="s">
        <v>266</v>
      </c>
      <c r="C131" s="114" t="s">
        <v>267</v>
      </c>
      <c r="D131" s="128" t="s">
        <v>193</v>
      </c>
      <c r="E131" s="133" t="s">
        <v>160</v>
      </c>
      <c r="F131" s="126">
        <v>4</v>
      </c>
      <c r="G131" s="126" t="s">
        <v>96</v>
      </c>
      <c r="H131" s="123">
        <v>871</v>
      </c>
      <c r="I131" s="125">
        <v>42.04</v>
      </c>
      <c r="J131" s="123">
        <v>36095</v>
      </c>
      <c r="K131" s="124">
        <v>0.2</v>
      </c>
      <c r="L131" s="123">
        <f t="shared" si="95"/>
        <v>28876</v>
      </c>
      <c r="M131" s="122">
        <f t="shared" si="96"/>
        <v>33.152698048220437</v>
      </c>
      <c r="N131" s="125"/>
      <c r="O131" s="125"/>
      <c r="P131" s="125"/>
      <c r="Q131" s="125"/>
      <c r="R131" s="125"/>
      <c r="S131" s="154">
        <v>0.98</v>
      </c>
      <c r="T131" s="154"/>
      <c r="U131" s="113" t="s">
        <v>268</v>
      </c>
      <c r="V131" s="115" t="s">
        <v>214</v>
      </c>
      <c r="W131" s="115"/>
      <c r="X131" s="120">
        <v>0.43</v>
      </c>
      <c r="Y131" s="120"/>
      <c r="Z131" s="118">
        <v>0.4</v>
      </c>
      <c r="AA131" s="430">
        <v>46106</v>
      </c>
      <c r="AB131" s="117">
        <f t="shared" si="76"/>
        <v>51.333333333333336</v>
      </c>
      <c r="AC131" s="117">
        <f t="shared" si="97"/>
        <v>22.073333333333334</v>
      </c>
      <c r="AD131" s="117">
        <f t="shared" si="75"/>
        <v>7.5807513479226136</v>
      </c>
      <c r="AE131" s="117"/>
      <c r="AF131" s="447"/>
      <c r="AH131" s="115" t="s">
        <v>269</v>
      </c>
      <c r="AI131" s="113">
        <v>53</v>
      </c>
      <c r="AJ131" s="113">
        <v>49</v>
      </c>
      <c r="AK131" s="113">
        <v>59</v>
      </c>
      <c r="AL131" s="113">
        <v>49</v>
      </c>
      <c r="AM131" s="113">
        <v>41</v>
      </c>
      <c r="AN131" s="113">
        <v>46</v>
      </c>
      <c r="AO131" s="113">
        <v>53</v>
      </c>
      <c r="AP131" s="113">
        <v>62</v>
      </c>
      <c r="AQ131" s="113">
        <v>59</v>
      </c>
      <c r="AR131" s="113">
        <v>58</v>
      </c>
      <c r="AS131" s="113">
        <v>49</v>
      </c>
      <c r="AT131" s="113">
        <v>38</v>
      </c>
    </row>
    <row r="132" spans="1:58" s="113" customFormat="1">
      <c r="A132" s="113" t="s">
        <v>262</v>
      </c>
      <c r="B132" s="113" t="s">
        <v>266</v>
      </c>
      <c r="C132" s="114" t="s">
        <v>267</v>
      </c>
      <c r="D132" s="128" t="s">
        <v>193</v>
      </c>
      <c r="E132" s="133" t="s">
        <v>160</v>
      </c>
      <c r="F132" s="126">
        <v>4</v>
      </c>
      <c r="G132" s="126" t="s">
        <v>96</v>
      </c>
      <c r="H132" s="123">
        <v>871</v>
      </c>
      <c r="I132" s="125">
        <v>42.04</v>
      </c>
      <c r="J132" s="123">
        <v>36095</v>
      </c>
      <c r="K132" s="124">
        <v>0.2</v>
      </c>
      <c r="L132" s="123">
        <f t="shared" si="95"/>
        <v>28876</v>
      </c>
      <c r="M132" s="122">
        <f t="shared" si="96"/>
        <v>33.152698048220437</v>
      </c>
      <c r="N132" s="125"/>
      <c r="O132" s="125"/>
      <c r="P132" s="125"/>
      <c r="Q132" s="125"/>
      <c r="R132" s="125"/>
      <c r="S132" s="154">
        <v>0.98</v>
      </c>
      <c r="T132" s="154"/>
      <c r="U132" s="113" t="s">
        <v>245</v>
      </c>
      <c r="V132" s="115" t="s">
        <v>103</v>
      </c>
      <c r="W132" s="115"/>
      <c r="X132" s="120">
        <v>0.43</v>
      </c>
      <c r="Y132" s="120"/>
      <c r="Z132" s="118">
        <v>0.4</v>
      </c>
      <c r="AA132" s="430">
        <v>46107</v>
      </c>
      <c r="AB132" s="117">
        <f t="shared" si="76"/>
        <v>52.25</v>
      </c>
      <c r="AC132" s="117">
        <f t="shared" ref="AC132:AC136" si="98">IFERROR(AB132*X132,"")</f>
        <v>22.467500000000001</v>
      </c>
      <c r="AD132" s="117">
        <f t="shared" ref="AD132:AD136" si="99">IFERROR(((AC132*L132)/2000)/I132,"")</f>
        <v>7.7161219077069454</v>
      </c>
      <c r="AE132" s="117"/>
      <c r="AF132" s="447"/>
      <c r="AH132" s="115" t="s">
        <v>269</v>
      </c>
      <c r="AI132" s="113">
        <v>48</v>
      </c>
      <c r="AJ132" s="113">
        <v>58</v>
      </c>
      <c r="AK132" s="113">
        <v>48</v>
      </c>
      <c r="AL132" s="113">
        <v>54</v>
      </c>
      <c r="AM132" s="113">
        <v>54</v>
      </c>
      <c r="AN132" s="113">
        <v>48</v>
      </c>
      <c r="AO132" s="113">
        <v>49</v>
      </c>
      <c r="AP132" s="113">
        <v>59</v>
      </c>
      <c r="AQ132" s="113">
        <v>48</v>
      </c>
      <c r="AR132" s="113">
        <v>51</v>
      </c>
      <c r="AS132" s="113">
        <v>53</v>
      </c>
      <c r="AT132" s="113">
        <v>57</v>
      </c>
    </row>
    <row r="133" spans="1:58" s="113" customFormat="1">
      <c r="A133" s="113" t="s">
        <v>262</v>
      </c>
      <c r="B133" s="113" t="s">
        <v>266</v>
      </c>
      <c r="C133" s="114" t="s">
        <v>267</v>
      </c>
      <c r="D133" s="128" t="s">
        <v>193</v>
      </c>
      <c r="E133" s="133" t="s">
        <v>160</v>
      </c>
      <c r="F133" s="126">
        <v>4</v>
      </c>
      <c r="G133" s="126" t="s">
        <v>96</v>
      </c>
      <c r="H133" s="123">
        <v>871</v>
      </c>
      <c r="I133" s="125">
        <v>42.04</v>
      </c>
      <c r="J133" s="123">
        <v>36095</v>
      </c>
      <c r="K133" s="124">
        <v>0.2</v>
      </c>
      <c r="L133" s="123">
        <f>J133-(J133*K133)</f>
        <v>28876</v>
      </c>
      <c r="M133" s="122">
        <f>L133/H133</f>
        <v>33.152698048220437</v>
      </c>
      <c r="N133" s="125"/>
      <c r="O133" s="125"/>
      <c r="P133" s="125"/>
      <c r="Q133" s="125"/>
      <c r="R133" s="125"/>
      <c r="S133" s="154">
        <v>0.98</v>
      </c>
      <c r="T133" s="154"/>
      <c r="V133" s="115" t="s">
        <v>103</v>
      </c>
      <c r="W133" s="115"/>
      <c r="X133" s="120">
        <v>0.43</v>
      </c>
      <c r="Y133" s="120"/>
      <c r="Z133" s="118">
        <v>0.4</v>
      </c>
      <c r="AA133" s="430">
        <v>46111</v>
      </c>
      <c r="AB133" s="117">
        <f>IFERROR(AVERAGE(AI133:BG133),"")</f>
        <v>53.291666666666664</v>
      </c>
      <c r="AC133" s="117">
        <f>IFERROR(AB133*X133,"")</f>
        <v>22.915416666666665</v>
      </c>
      <c r="AD133" s="117">
        <f>IFERROR(((AC133*L133)/2000)/I133,"")</f>
        <v>7.8699520892800505</v>
      </c>
      <c r="AE133" s="117"/>
      <c r="AF133" s="447"/>
      <c r="AH133" s="115" t="s">
        <v>137</v>
      </c>
      <c r="AI133" s="113">
        <v>52</v>
      </c>
      <c r="AJ133" s="113">
        <v>50</v>
      </c>
      <c r="AK133" s="113">
        <v>48</v>
      </c>
      <c r="AL133" s="113">
        <v>50</v>
      </c>
      <c r="AM133" s="113">
        <v>51</v>
      </c>
      <c r="AN133" s="113">
        <v>56</v>
      </c>
      <c r="AO133" s="113">
        <v>54</v>
      </c>
      <c r="AP133" s="113">
        <v>51</v>
      </c>
      <c r="AQ133" s="113">
        <v>54</v>
      </c>
      <c r="AR133" s="113">
        <v>63</v>
      </c>
      <c r="AS133" s="113">
        <v>48</v>
      </c>
      <c r="AT133" s="113">
        <v>61</v>
      </c>
      <c r="AU133" s="113">
        <v>55</v>
      </c>
      <c r="AV133" s="113">
        <v>58</v>
      </c>
      <c r="AW133" s="113">
        <v>49</v>
      </c>
      <c r="AX133" s="113">
        <v>40</v>
      </c>
      <c r="AY133" s="113">
        <v>59</v>
      </c>
      <c r="AZ133" s="113">
        <v>60</v>
      </c>
      <c r="BA133" s="113">
        <v>53</v>
      </c>
      <c r="BB133" s="113">
        <v>54</v>
      </c>
      <c r="BC133" s="113">
        <v>55</v>
      </c>
      <c r="BD133" s="113">
        <v>51</v>
      </c>
      <c r="BE133" s="113">
        <v>55</v>
      </c>
      <c r="BF133" s="113">
        <v>52</v>
      </c>
    </row>
    <row r="134" spans="1:58" s="113" customFormat="1">
      <c r="A134" s="113" t="s">
        <v>262</v>
      </c>
      <c r="B134" s="113" t="s">
        <v>266</v>
      </c>
      <c r="C134" s="114" t="s">
        <v>267</v>
      </c>
      <c r="D134" s="128" t="s">
        <v>193</v>
      </c>
      <c r="E134" s="133" t="s">
        <v>160</v>
      </c>
      <c r="F134" s="126">
        <v>4</v>
      </c>
      <c r="G134" s="126" t="s">
        <v>96</v>
      </c>
      <c r="H134" s="123">
        <v>871</v>
      </c>
      <c r="I134" s="125">
        <v>42.04</v>
      </c>
      <c r="J134" s="123">
        <v>36095</v>
      </c>
      <c r="K134" s="124">
        <v>0.2</v>
      </c>
      <c r="L134" s="123">
        <f t="shared" si="95"/>
        <v>28876</v>
      </c>
      <c r="M134" s="122">
        <f t="shared" si="96"/>
        <v>33.152698048220437</v>
      </c>
      <c r="N134" s="125"/>
      <c r="O134" s="125"/>
      <c r="P134" s="125"/>
      <c r="Q134" s="125"/>
      <c r="R134" s="125"/>
      <c r="S134" s="154">
        <v>0.98</v>
      </c>
      <c r="T134" s="154"/>
      <c r="V134" s="115" t="s">
        <v>103</v>
      </c>
      <c r="W134" s="115"/>
      <c r="X134" s="120">
        <v>0.43</v>
      </c>
      <c r="Y134" s="120"/>
      <c r="Z134" s="118">
        <v>0.4</v>
      </c>
      <c r="AA134" s="430">
        <v>46155</v>
      </c>
      <c r="AB134" s="117">
        <f t="shared" si="76"/>
        <v>45.2</v>
      </c>
      <c r="AC134" s="117">
        <f t="shared" si="98"/>
        <v>19.436</v>
      </c>
      <c r="AD134" s="117">
        <f t="shared" si="99"/>
        <v>6.6749992388201713</v>
      </c>
      <c r="AE134" s="117"/>
      <c r="AF134" s="447"/>
      <c r="AH134" s="115" t="s">
        <v>91</v>
      </c>
      <c r="AI134" s="113">
        <v>46</v>
      </c>
      <c r="AJ134" s="113">
        <v>37</v>
      </c>
      <c r="AK134" s="113">
        <v>45</v>
      </c>
      <c r="AL134" s="113">
        <v>34</v>
      </c>
      <c r="AM134" s="113">
        <v>57</v>
      </c>
      <c r="AN134" s="113">
        <v>40</v>
      </c>
      <c r="AO134" s="113">
        <v>41</v>
      </c>
      <c r="AP134" s="113">
        <v>50</v>
      </c>
      <c r="AQ134" s="113">
        <v>49</v>
      </c>
      <c r="AR134" s="113">
        <v>35</v>
      </c>
      <c r="AS134" s="113">
        <v>35</v>
      </c>
      <c r="AT134" s="113">
        <v>48</v>
      </c>
      <c r="AU134" s="113">
        <v>68</v>
      </c>
      <c r="AV134" s="113">
        <v>53</v>
      </c>
      <c r="AW134" s="113">
        <v>40</v>
      </c>
    </row>
    <row r="135" spans="1:58" s="113" customFormat="1">
      <c r="A135" s="113" t="s">
        <v>262</v>
      </c>
      <c r="B135" s="113" t="s">
        <v>266</v>
      </c>
      <c r="C135" s="114" t="s">
        <v>267</v>
      </c>
      <c r="D135" s="128" t="s">
        <v>193</v>
      </c>
      <c r="E135" s="133" t="s">
        <v>160</v>
      </c>
      <c r="F135" s="126">
        <v>4</v>
      </c>
      <c r="G135" s="126" t="s">
        <v>96</v>
      </c>
      <c r="H135" s="123">
        <v>871</v>
      </c>
      <c r="I135" s="125">
        <v>42.04</v>
      </c>
      <c r="J135" s="123">
        <v>36095</v>
      </c>
      <c r="K135" s="124">
        <v>0.2</v>
      </c>
      <c r="L135" s="123">
        <f t="shared" si="95"/>
        <v>28876</v>
      </c>
      <c r="M135" s="122">
        <f t="shared" si="96"/>
        <v>33.152698048220437</v>
      </c>
      <c r="N135" s="125"/>
      <c r="O135" s="125"/>
      <c r="P135" s="125"/>
      <c r="Q135" s="125"/>
      <c r="R135" s="125"/>
      <c r="S135" s="154">
        <v>0.98</v>
      </c>
      <c r="T135" s="154"/>
      <c r="V135" s="115" t="s">
        <v>103</v>
      </c>
      <c r="W135" s="115"/>
      <c r="X135" s="120">
        <v>0.43</v>
      </c>
      <c r="Y135" s="120"/>
      <c r="Z135" s="118">
        <v>0.4</v>
      </c>
      <c r="AA135" s="430">
        <v>46157</v>
      </c>
      <c r="AB135" s="117">
        <f t="shared" si="76"/>
        <v>40.666666666666664</v>
      </c>
      <c r="AC135" s="117">
        <f t="shared" ref="AC135" si="100">IFERROR(AB135*X135,"")</f>
        <v>17.486666666666665</v>
      </c>
      <c r="AD135" s="117">
        <f t="shared" ref="AD135" si="101">IFERROR(((AC135*L135)/2000)/I135,"")</f>
        <v>6.0055302886140183</v>
      </c>
      <c r="AE135" s="117"/>
      <c r="AF135" s="447"/>
      <c r="AH135" s="115" t="s">
        <v>116</v>
      </c>
      <c r="AI135" s="113">
        <v>40</v>
      </c>
      <c r="AJ135" s="113">
        <v>36</v>
      </c>
      <c r="AK135" s="113">
        <v>39</v>
      </c>
      <c r="AL135" s="113">
        <v>43</v>
      </c>
      <c r="AM135" s="113">
        <v>41</v>
      </c>
      <c r="AN135" s="113">
        <v>39</v>
      </c>
      <c r="AO135" s="113">
        <v>47</v>
      </c>
      <c r="AP135" s="113">
        <v>39</v>
      </c>
      <c r="AQ135" s="113">
        <v>37</v>
      </c>
      <c r="AR135" s="113">
        <v>44</v>
      </c>
      <c r="AS135" s="113">
        <v>40</v>
      </c>
      <c r="AT135" s="113">
        <v>39</v>
      </c>
      <c r="AU135" s="113">
        <v>36</v>
      </c>
      <c r="AV135" s="113">
        <v>43</v>
      </c>
      <c r="AW135" s="113">
        <v>47</v>
      </c>
    </row>
    <row r="136" spans="1:58" s="113" customFormat="1">
      <c r="A136" s="113" t="s">
        <v>262</v>
      </c>
      <c r="B136" s="113" t="s">
        <v>266</v>
      </c>
      <c r="C136" s="114" t="s">
        <v>267</v>
      </c>
      <c r="D136" s="128" t="s">
        <v>193</v>
      </c>
      <c r="E136" s="133" t="s">
        <v>160</v>
      </c>
      <c r="F136" s="126">
        <v>4</v>
      </c>
      <c r="G136" s="126" t="s">
        <v>96</v>
      </c>
      <c r="H136" s="123">
        <v>871</v>
      </c>
      <c r="I136" s="125">
        <v>42.04</v>
      </c>
      <c r="J136" s="123">
        <v>36095</v>
      </c>
      <c r="K136" s="124">
        <v>0.2</v>
      </c>
      <c r="L136" s="123">
        <f t="shared" si="95"/>
        <v>28876</v>
      </c>
      <c r="M136" s="122">
        <f t="shared" si="96"/>
        <v>33.152698048220437</v>
      </c>
      <c r="N136" s="125"/>
      <c r="O136" s="125"/>
      <c r="P136" s="125"/>
      <c r="Q136" s="125"/>
      <c r="R136" s="125"/>
      <c r="S136" s="154">
        <v>0.98</v>
      </c>
      <c r="T136" s="154"/>
      <c r="V136" s="115"/>
      <c r="W136" s="115"/>
      <c r="X136" s="120"/>
      <c r="Y136" s="120"/>
      <c r="Z136" s="118">
        <v>0.4</v>
      </c>
      <c r="AA136" s="430"/>
      <c r="AB136" s="117" t="str">
        <f t="shared" si="76"/>
        <v/>
      </c>
      <c r="AC136" s="117" t="str">
        <f t="shared" si="98"/>
        <v/>
      </c>
      <c r="AD136" s="117" t="str">
        <f t="shared" si="99"/>
        <v/>
      </c>
      <c r="AE136" s="117"/>
      <c r="AF136" s="447"/>
      <c r="AH136" s="115"/>
    </row>
    <row r="137" spans="1:58" s="296" customFormat="1">
      <c r="A137" s="296" t="s">
        <v>262</v>
      </c>
      <c r="B137" s="296" t="s">
        <v>270</v>
      </c>
      <c r="C137" s="298" t="s">
        <v>271</v>
      </c>
      <c r="D137" s="299" t="s">
        <v>87</v>
      </c>
      <c r="E137" s="341" t="s">
        <v>272</v>
      </c>
      <c r="F137" s="297">
        <v>1</v>
      </c>
      <c r="G137" s="297" t="s">
        <v>273</v>
      </c>
      <c r="H137" s="301">
        <v>544.5</v>
      </c>
      <c r="I137" s="302">
        <v>28.51</v>
      </c>
      <c r="J137" s="301">
        <v>15354</v>
      </c>
      <c r="K137" s="237"/>
      <c r="L137" s="301">
        <f t="shared" si="95"/>
        <v>15354</v>
      </c>
      <c r="M137" s="303">
        <f t="shared" si="96"/>
        <v>28.198347107438018</v>
      </c>
      <c r="N137" s="304"/>
      <c r="O137" s="304"/>
      <c r="P137" s="304"/>
      <c r="Q137" s="304"/>
      <c r="R137" s="304"/>
      <c r="S137" s="305">
        <v>4.7699999999999996</v>
      </c>
      <c r="T137" s="305"/>
      <c r="U137" s="296" t="s">
        <v>115</v>
      </c>
      <c r="V137" s="306"/>
      <c r="W137" s="306"/>
      <c r="X137" s="307">
        <v>0.55000000000000004</v>
      </c>
      <c r="Y137" s="307"/>
      <c r="Z137" s="304">
        <v>0.45</v>
      </c>
      <c r="AA137" s="431">
        <v>46106</v>
      </c>
      <c r="AB137" s="233">
        <f t="shared" si="76"/>
        <v>48.25</v>
      </c>
      <c r="AC137" s="233">
        <f t="shared" si="97"/>
        <v>26.537500000000001</v>
      </c>
      <c r="AD137" s="233">
        <f t="shared" si="75"/>
        <v>7.1458571553840766</v>
      </c>
      <c r="AE137" s="233"/>
      <c r="AF137" s="448"/>
      <c r="AH137" s="306" t="s">
        <v>269</v>
      </c>
      <c r="AI137" s="296">
        <v>60</v>
      </c>
      <c r="AJ137" s="296">
        <v>51</v>
      </c>
      <c r="AK137" s="296">
        <v>55</v>
      </c>
      <c r="AL137" s="296">
        <v>41</v>
      </c>
      <c r="AM137" s="296">
        <v>56</v>
      </c>
      <c r="AN137" s="296">
        <v>36</v>
      </c>
      <c r="AO137" s="296">
        <v>48</v>
      </c>
      <c r="AP137" s="296">
        <v>57</v>
      </c>
      <c r="AQ137" s="296">
        <v>45</v>
      </c>
      <c r="AR137" s="296">
        <v>40</v>
      </c>
      <c r="AS137" s="296">
        <v>37</v>
      </c>
      <c r="AT137" s="296">
        <v>53</v>
      </c>
    </row>
    <row r="138" spans="1:58" s="296" customFormat="1">
      <c r="A138" s="296" t="s">
        <v>262</v>
      </c>
      <c r="B138" s="296" t="s">
        <v>270</v>
      </c>
      <c r="C138" s="298" t="s">
        <v>274</v>
      </c>
      <c r="D138" s="299" t="s">
        <v>87</v>
      </c>
      <c r="E138" s="341" t="s">
        <v>272</v>
      </c>
      <c r="F138" s="297">
        <v>1</v>
      </c>
      <c r="G138" s="297" t="s">
        <v>273</v>
      </c>
      <c r="H138" s="301">
        <v>544.5</v>
      </c>
      <c r="I138" s="302">
        <v>28.51</v>
      </c>
      <c r="J138" s="301">
        <v>15354</v>
      </c>
      <c r="K138" s="237"/>
      <c r="L138" s="301">
        <f t="shared" si="95"/>
        <v>15354</v>
      </c>
      <c r="M138" s="303">
        <f t="shared" si="96"/>
        <v>28.198347107438018</v>
      </c>
      <c r="N138" s="304"/>
      <c r="O138" s="304"/>
      <c r="P138" s="304"/>
      <c r="Q138" s="304"/>
      <c r="R138" s="304"/>
      <c r="S138" s="305">
        <v>4.7699999999999996</v>
      </c>
      <c r="T138" s="305"/>
      <c r="U138" s="296" t="s">
        <v>115</v>
      </c>
      <c r="V138" s="306"/>
      <c r="W138" s="306"/>
      <c r="X138" s="307">
        <v>0.6</v>
      </c>
      <c r="Y138" s="307"/>
      <c r="Z138" s="304">
        <v>0.45</v>
      </c>
      <c r="AA138" s="431">
        <v>46106</v>
      </c>
      <c r="AB138" s="233">
        <f t="shared" si="76"/>
        <v>49.416666666666664</v>
      </c>
      <c r="AC138" s="233">
        <f t="shared" si="97"/>
        <v>29.65</v>
      </c>
      <c r="AD138" s="233">
        <f t="shared" si="75"/>
        <v>7.9839722904244113</v>
      </c>
      <c r="AE138" s="233"/>
      <c r="AF138" s="448"/>
      <c r="AH138" s="306" t="s">
        <v>269</v>
      </c>
      <c r="AI138" s="296">
        <v>53</v>
      </c>
      <c r="AJ138" s="296">
        <v>38</v>
      </c>
      <c r="AK138" s="296">
        <v>50</v>
      </c>
      <c r="AL138" s="296">
        <v>39</v>
      </c>
      <c r="AM138" s="296">
        <v>31</v>
      </c>
      <c r="AN138" s="296">
        <v>52</v>
      </c>
      <c r="AO138" s="296">
        <v>75</v>
      </c>
      <c r="AP138" s="296">
        <v>56</v>
      </c>
      <c r="AQ138" s="296">
        <v>45</v>
      </c>
      <c r="AR138" s="296">
        <v>43</v>
      </c>
      <c r="AS138" s="296">
        <v>61</v>
      </c>
      <c r="AT138" s="296">
        <v>50</v>
      </c>
    </row>
    <row r="139" spans="1:58" s="296" customFormat="1">
      <c r="A139" s="296" t="s">
        <v>262</v>
      </c>
      <c r="B139" s="296" t="s">
        <v>270</v>
      </c>
      <c r="C139" s="298" t="s">
        <v>271</v>
      </c>
      <c r="D139" s="299" t="s">
        <v>87</v>
      </c>
      <c r="E139" s="341" t="s">
        <v>272</v>
      </c>
      <c r="F139" s="297">
        <v>1</v>
      </c>
      <c r="G139" s="297" t="s">
        <v>273</v>
      </c>
      <c r="H139" s="301">
        <v>544.5</v>
      </c>
      <c r="I139" s="302">
        <v>28.51</v>
      </c>
      <c r="J139" s="301">
        <v>15354</v>
      </c>
      <c r="K139" s="237"/>
      <c r="L139" s="301">
        <f t="shared" ref="L139:L140" si="102">J139-(J139*K139)</f>
        <v>15354</v>
      </c>
      <c r="M139" s="303">
        <f t="shared" ref="M139:M140" si="103">L139/H139</f>
        <v>28.198347107438018</v>
      </c>
      <c r="N139" s="304"/>
      <c r="O139" s="304"/>
      <c r="P139" s="304"/>
      <c r="Q139" s="304"/>
      <c r="R139" s="304"/>
      <c r="S139" s="305">
        <v>4.7699999999999996</v>
      </c>
      <c r="T139" s="305"/>
      <c r="U139" s="296" t="s">
        <v>115</v>
      </c>
      <c r="V139" s="306"/>
      <c r="W139" s="306"/>
      <c r="X139" s="307">
        <v>0.55000000000000004</v>
      </c>
      <c r="Y139" s="307"/>
      <c r="Z139" s="304">
        <v>0.45</v>
      </c>
      <c r="AA139" s="431">
        <v>46170</v>
      </c>
      <c r="AB139" s="233">
        <f t="shared" ref="AB139:AB140" si="104">IFERROR(AVERAGE(AI139:BG139),"")</f>
        <v>38.133333333333333</v>
      </c>
      <c r="AC139" s="233">
        <f t="shared" ref="AC139:AC140" si="105">IFERROR(AB139*X139,"")</f>
        <v>20.973333333333336</v>
      </c>
      <c r="AD139" s="233">
        <f t="shared" ref="AD139:AD140" si="106">IFERROR(((AC139*L139)/2000)/I139,"")</f>
        <v>5.6475720799719404</v>
      </c>
      <c r="AE139" s="233"/>
      <c r="AF139" s="448"/>
      <c r="AH139" s="306" t="s">
        <v>269</v>
      </c>
      <c r="AI139" s="296">
        <v>41</v>
      </c>
      <c r="AJ139" s="296">
        <v>34</v>
      </c>
      <c r="AK139" s="296">
        <v>45</v>
      </c>
      <c r="AL139" s="296">
        <v>38</v>
      </c>
      <c r="AM139" s="296">
        <v>39</v>
      </c>
      <c r="AN139" s="296">
        <v>31</v>
      </c>
      <c r="AO139" s="296">
        <v>38</v>
      </c>
      <c r="AP139" s="296">
        <v>41</v>
      </c>
      <c r="AQ139" s="296">
        <v>45</v>
      </c>
      <c r="AR139" s="296">
        <v>35</v>
      </c>
      <c r="AS139" s="296">
        <v>32</v>
      </c>
      <c r="AT139" s="296">
        <v>37</v>
      </c>
      <c r="AU139" s="296">
        <v>45</v>
      </c>
      <c r="AV139" s="296">
        <v>31</v>
      </c>
      <c r="AW139" s="296">
        <v>40</v>
      </c>
    </row>
    <row r="140" spans="1:58" s="296" customFormat="1">
      <c r="A140" s="296" t="s">
        <v>262</v>
      </c>
      <c r="B140" s="296" t="s">
        <v>270</v>
      </c>
      <c r="C140" s="298" t="s">
        <v>274</v>
      </c>
      <c r="D140" s="299" t="s">
        <v>87</v>
      </c>
      <c r="E140" s="341" t="s">
        <v>272</v>
      </c>
      <c r="F140" s="297">
        <v>1</v>
      </c>
      <c r="G140" s="297" t="s">
        <v>273</v>
      </c>
      <c r="H140" s="301">
        <v>544.5</v>
      </c>
      <c r="I140" s="302">
        <v>28.51</v>
      </c>
      <c r="J140" s="301">
        <v>15354</v>
      </c>
      <c r="K140" s="237"/>
      <c r="L140" s="301">
        <f t="shared" si="102"/>
        <v>15354</v>
      </c>
      <c r="M140" s="303">
        <f t="shared" si="103"/>
        <v>28.198347107438018</v>
      </c>
      <c r="N140" s="304"/>
      <c r="O140" s="304"/>
      <c r="P140" s="304"/>
      <c r="Q140" s="304"/>
      <c r="R140" s="304"/>
      <c r="S140" s="305">
        <v>4.7699999999999996</v>
      </c>
      <c r="T140" s="305"/>
      <c r="U140" s="296" t="s">
        <v>115</v>
      </c>
      <c r="V140" s="306"/>
      <c r="W140" s="306"/>
      <c r="X140" s="307">
        <v>0.6</v>
      </c>
      <c r="Y140" s="307"/>
      <c r="Z140" s="304">
        <v>0.45</v>
      </c>
      <c r="AA140" s="431">
        <v>46170</v>
      </c>
      <c r="AB140" s="233">
        <f t="shared" si="104"/>
        <v>46.666666666666664</v>
      </c>
      <c r="AC140" s="233">
        <f t="shared" si="105"/>
        <v>27.999999999999996</v>
      </c>
      <c r="AD140" s="233">
        <f t="shared" si="106"/>
        <v>7.539670291125919</v>
      </c>
      <c r="AE140" s="233"/>
      <c r="AF140" s="448"/>
      <c r="AH140" s="306" t="s">
        <v>269</v>
      </c>
      <c r="AI140" s="296">
        <v>45</v>
      </c>
      <c r="AJ140" s="296">
        <v>46</v>
      </c>
      <c r="AK140" s="296">
        <v>60</v>
      </c>
      <c r="AL140" s="296">
        <v>56</v>
      </c>
      <c r="AM140" s="296">
        <v>44</v>
      </c>
      <c r="AN140" s="296">
        <v>36</v>
      </c>
      <c r="AO140" s="296">
        <v>59</v>
      </c>
      <c r="AP140" s="296">
        <v>38</v>
      </c>
      <c r="AQ140" s="296">
        <v>47</v>
      </c>
      <c r="AR140" s="296">
        <v>28</v>
      </c>
      <c r="AS140" s="296">
        <v>38</v>
      </c>
      <c r="AT140" s="296">
        <v>57</v>
      </c>
      <c r="AU140" s="296">
        <v>55</v>
      </c>
      <c r="AV140" s="296">
        <v>51</v>
      </c>
      <c r="AW140" s="296">
        <v>40</v>
      </c>
    </row>
    <row r="141" spans="1:58" s="296" customFormat="1">
      <c r="A141" s="296" t="s">
        <v>262</v>
      </c>
      <c r="B141" s="296" t="s">
        <v>270</v>
      </c>
      <c r="C141" s="298" t="s">
        <v>275</v>
      </c>
      <c r="D141" s="299" t="s">
        <v>87</v>
      </c>
      <c r="E141" s="341" t="s">
        <v>272</v>
      </c>
      <c r="F141" s="297">
        <v>1</v>
      </c>
      <c r="G141" s="297" t="s">
        <v>273</v>
      </c>
      <c r="H141" s="301">
        <v>544.5</v>
      </c>
      <c r="I141" s="302">
        <v>28.51</v>
      </c>
      <c r="J141" s="301">
        <v>15354</v>
      </c>
      <c r="K141" s="237"/>
      <c r="L141" s="301">
        <f t="shared" si="95"/>
        <v>15354</v>
      </c>
      <c r="M141" s="303">
        <f t="shared" si="96"/>
        <v>28.198347107438018</v>
      </c>
      <c r="N141" s="304">
        <v>6.03</v>
      </c>
      <c r="O141" s="304">
        <v>5.49</v>
      </c>
      <c r="P141" s="304">
        <v>9.56</v>
      </c>
      <c r="Q141" s="304">
        <v>3.51</v>
      </c>
      <c r="R141" s="304">
        <v>7.57</v>
      </c>
      <c r="S141" s="305">
        <v>4.7699999999999996</v>
      </c>
      <c r="T141" s="305"/>
      <c r="V141" s="306"/>
      <c r="W141" s="306"/>
      <c r="X141" s="307">
        <v>0.57999999999999996</v>
      </c>
      <c r="Y141" s="307"/>
      <c r="Z141" s="304">
        <v>0.45</v>
      </c>
      <c r="AA141" s="431"/>
      <c r="AB141" s="233" t="str">
        <f t="shared" si="76"/>
        <v/>
      </c>
      <c r="AC141" s="233" t="str">
        <f t="shared" si="97"/>
        <v/>
      </c>
      <c r="AD141" s="233" t="str">
        <f t="shared" si="75"/>
        <v/>
      </c>
      <c r="AE141" s="233"/>
      <c r="AF141" s="448"/>
      <c r="AH141" s="306"/>
    </row>
    <row r="142" spans="1:58" s="113" customFormat="1">
      <c r="A142" s="113" t="s">
        <v>262</v>
      </c>
      <c r="B142" s="113" t="s">
        <v>276</v>
      </c>
      <c r="C142" s="114" t="s">
        <v>277</v>
      </c>
      <c r="D142" s="128" t="s">
        <v>87</v>
      </c>
      <c r="E142" s="127" t="s">
        <v>148</v>
      </c>
      <c r="F142" s="126">
        <v>1</v>
      </c>
      <c r="G142" s="126" t="s">
        <v>265</v>
      </c>
      <c r="H142" s="123">
        <v>726</v>
      </c>
      <c r="I142" s="125">
        <v>45.21</v>
      </c>
      <c r="J142" s="123">
        <v>32514</v>
      </c>
      <c r="K142" s="124"/>
      <c r="L142" s="123">
        <f t="shared" si="95"/>
        <v>32514</v>
      </c>
      <c r="M142" s="122">
        <f t="shared" si="96"/>
        <v>44.785123966942152</v>
      </c>
      <c r="N142" s="118"/>
      <c r="O142" s="118"/>
      <c r="P142" s="118">
        <v>7.99</v>
      </c>
      <c r="Q142" s="118">
        <v>4.97</v>
      </c>
      <c r="R142" s="118">
        <v>9.99</v>
      </c>
      <c r="S142" s="153">
        <v>7.66</v>
      </c>
      <c r="T142" s="153"/>
      <c r="V142" s="115"/>
      <c r="W142" s="115"/>
      <c r="X142" s="120"/>
      <c r="Y142" s="120"/>
      <c r="Z142" s="118">
        <v>0.35</v>
      </c>
      <c r="AA142" s="430"/>
      <c r="AB142" s="117" t="str">
        <f t="shared" si="76"/>
        <v/>
      </c>
      <c r="AC142" s="117" t="str">
        <f t="shared" si="97"/>
        <v/>
      </c>
      <c r="AD142" s="117" t="str">
        <f t="shared" si="75"/>
        <v/>
      </c>
      <c r="AE142" s="117"/>
      <c r="AF142" s="447"/>
      <c r="AH142" s="115"/>
    </row>
    <row r="143" spans="1:58" s="296" customFormat="1">
      <c r="A143" s="296" t="s">
        <v>262</v>
      </c>
      <c r="B143" s="296" t="s">
        <v>278</v>
      </c>
      <c r="C143" s="298" t="s">
        <v>279</v>
      </c>
      <c r="D143" s="299" t="s">
        <v>87</v>
      </c>
      <c r="E143" s="341" t="s">
        <v>261</v>
      </c>
      <c r="F143" s="342" t="s">
        <v>280</v>
      </c>
      <c r="G143" s="297" t="s">
        <v>204</v>
      </c>
      <c r="H143" s="301">
        <v>691.42857142857144</v>
      </c>
      <c r="I143" s="302">
        <v>25.68</v>
      </c>
      <c r="J143" s="301">
        <v>22760</v>
      </c>
      <c r="K143" s="237"/>
      <c r="L143" s="301">
        <v>22760</v>
      </c>
      <c r="M143" s="303">
        <f t="shared" si="96"/>
        <v>32.917355371900825</v>
      </c>
      <c r="N143" s="343"/>
      <c r="O143" s="304"/>
      <c r="P143" s="304"/>
      <c r="Q143" s="304"/>
      <c r="R143" s="304"/>
      <c r="S143" s="305">
        <v>8.69</v>
      </c>
      <c r="T143" s="305"/>
      <c r="U143" s="296" t="s">
        <v>281</v>
      </c>
      <c r="V143" s="306" t="s">
        <v>214</v>
      </c>
      <c r="W143" s="306"/>
      <c r="X143" s="307">
        <v>0.35</v>
      </c>
      <c r="Y143" s="307"/>
      <c r="Z143" s="304">
        <v>0.38</v>
      </c>
      <c r="AA143" s="431">
        <v>46112</v>
      </c>
      <c r="AB143" s="233">
        <f t="shared" si="76"/>
        <v>80.75</v>
      </c>
      <c r="AC143" s="233">
        <f t="shared" si="97"/>
        <v>28.262499999999999</v>
      </c>
      <c r="AD143" s="233">
        <f t="shared" si="75"/>
        <v>12.524425623052959</v>
      </c>
      <c r="AE143" s="233"/>
      <c r="AF143" s="448"/>
      <c r="AH143" s="306" t="s">
        <v>269</v>
      </c>
      <c r="AI143" s="296">
        <v>71</v>
      </c>
      <c r="AJ143" s="296">
        <v>91</v>
      </c>
      <c r="AK143" s="296">
        <v>83</v>
      </c>
      <c r="AL143" s="296">
        <v>86</v>
      </c>
      <c r="AM143" s="296">
        <v>93</v>
      </c>
      <c r="AN143" s="296">
        <v>93</v>
      </c>
      <c r="AO143" s="296">
        <v>68</v>
      </c>
      <c r="AP143" s="296">
        <v>83</v>
      </c>
      <c r="AQ143" s="296">
        <v>73</v>
      </c>
      <c r="AR143" s="296">
        <v>77</v>
      </c>
      <c r="AS143" s="296">
        <v>81</v>
      </c>
      <c r="AT143" s="296">
        <v>79</v>
      </c>
      <c r="AU143" s="296">
        <v>82</v>
      </c>
      <c r="AV143" s="296">
        <v>76</v>
      </c>
      <c r="AW143" s="296">
        <v>88</v>
      </c>
      <c r="AX143" s="296">
        <v>69</v>
      </c>
      <c r="AY143" s="296">
        <v>83</v>
      </c>
      <c r="AZ143" s="296">
        <v>76</v>
      </c>
      <c r="BA143" s="296">
        <v>84</v>
      </c>
      <c r="BB143" s="296">
        <v>81</v>
      </c>
      <c r="BC143" s="296">
        <v>83</v>
      </c>
      <c r="BD143" s="296">
        <v>83</v>
      </c>
      <c r="BE143" s="296">
        <v>72</v>
      </c>
      <c r="BF143" s="296">
        <v>83</v>
      </c>
    </row>
    <row r="144" spans="1:58" s="296" customFormat="1">
      <c r="A144" s="296" t="s">
        <v>262</v>
      </c>
      <c r="B144" s="296" t="s">
        <v>278</v>
      </c>
      <c r="C144" s="298" t="s">
        <v>279</v>
      </c>
      <c r="D144" s="299" t="s">
        <v>87</v>
      </c>
      <c r="E144" s="341" t="s">
        <v>261</v>
      </c>
      <c r="F144" s="342" t="s">
        <v>280</v>
      </c>
      <c r="G144" s="297" t="s">
        <v>204</v>
      </c>
      <c r="H144" s="301">
        <v>691.42857142857144</v>
      </c>
      <c r="I144" s="302">
        <v>25.68</v>
      </c>
      <c r="J144" s="301">
        <v>22760</v>
      </c>
      <c r="K144" s="237"/>
      <c r="L144" s="301">
        <v>22760</v>
      </c>
      <c r="M144" s="303">
        <f t="shared" si="96"/>
        <v>32.917355371900825</v>
      </c>
      <c r="N144" s="343"/>
      <c r="O144" s="304"/>
      <c r="P144" s="304"/>
      <c r="Q144" s="304"/>
      <c r="R144" s="304"/>
      <c r="S144" s="305">
        <v>8.69</v>
      </c>
      <c r="T144" s="305"/>
      <c r="V144" s="306"/>
      <c r="W144" s="306"/>
      <c r="X144" s="307">
        <v>0.35</v>
      </c>
      <c r="Y144" s="307"/>
      <c r="Z144" s="304">
        <v>0.38</v>
      </c>
      <c r="AA144" s="431">
        <v>46118</v>
      </c>
      <c r="AB144" s="233">
        <f t="shared" si="76"/>
        <v>79.666666666666671</v>
      </c>
      <c r="AC144" s="233">
        <f t="shared" si="97"/>
        <v>27.883333333333333</v>
      </c>
      <c r="AD144" s="233">
        <f t="shared" si="75"/>
        <v>12.356399273104879</v>
      </c>
      <c r="AE144" s="233"/>
      <c r="AF144" s="448"/>
      <c r="AH144" s="306" t="s">
        <v>282</v>
      </c>
      <c r="AI144" s="296">
        <v>82</v>
      </c>
      <c r="AJ144" s="296">
        <v>89</v>
      </c>
      <c r="AK144" s="296">
        <v>81</v>
      </c>
      <c r="AL144" s="296">
        <v>73</v>
      </c>
      <c r="AM144" s="296">
        <v>76</v>
      </c>
      <c r="AN144" s="296">
        <v>76</v>
      </c>
      <c r="AO144" s="296">
        <v>84</v>
      </c>
      <c r="AP144" s="296">
        <v>76</v>
      </c>
      <c r="AQ144" s="296">
        <v>86</v>
      </c>
      <c r="AR144" s="296">
        <v>74</v>
      </c>
      <c r="AS144" s="296">
        <v>82</v>
      </c>
      <c r="AT144" s="296">
        <v>77</v>
      </c>
    </row>
    <row r="145" spans="1:49" s="296" customFormat="1">
      <c r="A145" s="296" t="s">
        <v>262</v>
      </c>
      <c r="B145" s="296" t="s">
        <v>278</v>
      </c>
      <c r="C145" s="298" t="s">
        <v>279</v>
      </c>
      <c r="D145" s="299" t="s">
        <v>87</v>
      </c>
      <c r="E145" s="341" t="s">
        <v>261</v>
      </c>
      <c r="F145" s="342" t="s">
        <v>280</v>
      </c>
      <c r="G145" s="297" t="s">
        <v>204</v>
      </c>
      <c r="H145" s="301">
        <v>691.42857142857144</v>
      </c>
      <c r="I145" s="302">
        <v>25.68</v>
      </c>
      <c r="J145" s="301">
        <v>22760</v>
      </c>
      <c r="K145" s="237"/>
      <c r="L145" s="301">
        <v>22760</v>
      </c>
      <c r="M145" s="303">
        <f t="shared" si="96"/>
        <v>32.917355371900825</v>
      </c>
      <c r="N145" s="343"/>
      <c r="O145" s="304"/>
      <c r="P145" s="304"/>
      <c r="Q145" s="304"/>
      <c r="R145" s="304"/>
      <c r="S145" s="305">
        <v>8.69</v>
      </c>
      <c r="T145" s="305"/>
      <c r="V145" s="306"/>
      <c r="W145" s="306"/>
      <c r="X145" s="307">
        <v>0.35</v>
      </c>
      <c r="Y145" s="307"/>
      <c r="Z145" s="304">
        <v>0.38</v>
      </c>
      <c r="AA145" s="431">
        <v>46121</v>
      </c>
      <c r="AB145" s="233">
        <f t="shared" si="76"/>
        <v>69.875</v>
      </c>
      <c r="AC145" s="233">
        <f t="shared" si="97"/>
        <v>24.456249999999997</v>
      </c>
      <c r="AD145" s="233">
        <f t="shared" si="75"/>
        <v>10.837699571651088</v>
      </c>
      <c r="AE145" s="233"/>
      <c r="AF145" s="448"/>
      <c r="AG145" s="296" t="s">
        <v>283</v>
      </c>
      <c r="AH145" s="306" t="s">
        <v>282</v>
      </c>
      <c r="AI145" s="296">
        <v>68</v>
      </c>
      <c r="AJ145" s="296">
        <v>71</v>
      </c>
      <c r="AK145" s="296">
        <v>73</v>
      </c>
      <c r="AL145" s="296">
        <v>62</v>
      </c>
      <c r="AM145" s="296">
        <v>69</v>
      </c>
      <c r="AN145" s="296">
        <v>68</v>
      </c>
      <c r="AO145" s="296">
        <v>76</v>
      </c>
      <c r="AP145" s="296">
        <v>72</v>
      </c>
    </row>
    <row r="146" spans="1:49" s="296" customFormat="1">
      <c r="A146" s="296" t="s">
        <v>262</v>
      </c>
      <c r="B146" s="296" t="s">
        <v>278</v>
      </c>
      <c r="C146" s="298" t="s">
        <v>284</v>
      </c>
      <c r="D146" s="299" t="s">
        <v>87</v>
      </c>
      <c r="E146" s="341" t="s">
        <v>261</v>
      </c>
      <c r="F146" s="342" t="s">
        <v>280</v>
      </c>
      <c r="G146" s="297" t="s">
        <v>204</v>
      </c>
      <c r="H146" s="301">
        <v>691.42857142857144</v>
      </c>
      <c r="I146" s="302">
        <v>11.48</v>
      </c>
      <c r="J146" s="301">
        <v>7826</v>
      </c>
      <c r="K146" s="237"/>
      <c r="L146" s="301">
        <v>7826</v>
      </c>
      <c r="M146" s="303">
        <f t="shared" si="96"/>
        <v>11.318595041322315</v>
      </c>
      <c r="N146" s="343"/>
      <c r="O146" s="304"/>
      <c r="P146" s="304"/>
      <c r="Q146" s="304"/>
      <c r="R146" s="304"/>
      <c r="S146" s="305">
        <v>8.69</v>
      </c>
      <c r="T146" s="305"/>
      <c r="V146" s="306"/>
      <c r="W146" s="306"/>
      <c r="X146" s="307">
        <v>0.35</v>
      </c>
      <c r="Y146" s="307"/>
      <c r="Z146" s="304">
        <v>0.38</v>
      </c>
      <c r="AA146" s="431">
        <v>46176</v>
      </c>
      <c r="AB146" s="233">
        <f t="shared" si="76"/>
        <v>81.066666666666663</v>
      </c>
      <c r="AC146" s="233">
        <f t="shared" si="97"/>
        <v>28.373333333333331</v>
      </c>
      <c r="AD146" s="233">
        <f t="shared" si="75"/>
        <v>9.671154471544714</v>
      </c>
      <c r="AE146" s="233"/>
      <c r="AF146" s="448"/>
      <c r="AH146" s="306" t="s">
        <v>91</v>
      </c>
      <c r="AI146" s="296">
        <v>123</v>
      </c>
      <c r="AJ146" s="296">
        <v>74</v>
      </c>
      <c r="AK146" s="296">
        <v>88</v>
      </c>
      <c r="AL146" s="296">
        <v>81</v>
      </c>
      <c r="AM146" s="296">
        <v>82</v>
      </c>
      <c r="AN146" s="296">
        <v>89</v>
      </c>
      <c r="AO146" s="296">
        <v>83</v>
      </c>
      <c r="AP146" s="296">
        <v>80</v>
      </c>
      <c r="AQ146" s="296">
        <v>80</v>
      </c>
      <c r="AR146" s="296">
        <v>66</v>
      </c>
      <c r="AS146" s="296">
        <v>73</v>
      </c>
      <c r="AT146" s="296">
        <v>68</v>
      </c>
      <c r="AU146" s="296">
        <v>83</v>
      </c>
      <c r="AV146" s="296">
        <v>67</v>
      </c>
      <c r="AW146" s="296">
        <v>79</v>
      </c>
    </row>
    <row r="147" spans="1:49" s="296" customFormat="1">
      <c r="A147" s="296" t="s">
        <v>262</v>
      </c>
      <c r="B147" s="296" t="s">
        <v>278</v>
      </c>
      <c r="C147" s="298" t="s">
        <v>285</v>
      </c>
      <c r="D147" s="299" t="s">
        <v>87</v>
      </c>
      <c r="E147" s="341" t="s">
        <v>261</v>
      </c>
      <c r="F147" s="342" t="s">
        <v>280</v>
      </c>
      <c r="G147" s="297" t="s">
        <v>204</v>
      </c>
      <c r="H147" s="301">
        <v>691.42857142857144</v>
      </c>
      <c r="I147" s="302">
        <f>25.68+11.48</f>
        <v>37.159999999999997</v>
      </c>
      <c r="J147" s="301">
        <f>7826+22760</f>
        <v>30586</v>
      </c>
      <c r="K147" s="237"/>
      <c r="L147" s="301">
        <v>30586</v>
      </c>
      <c r="M147" s="303">
        <f t="shared" si="96"/>
        <v>44.235950413223136</v>
      </c>
      <c r="N147" s="343"/>
      <c r="O147" s="304"/>
      <c r="P147" s="304"/>
      <c r="Q147" s="304"/>
      <c r="R147" s="304"/>
      <c r="S147" s="305">
        <v>8.69</v>
      </c>
      <c r="T147" s="305"/>
      <c r="V147" s="306"/>
      <c r="W147" s="306"/>
      <c r="X147" s="307">
        <v>0.35</v>
      </c>
      <c r="Y147" s="307"/>
      <c r="Z147" s="304">
        <v>0.38</v>
      </c>
      <c r="AA147" s="431"/>
      <c r="AB147" s="233" t="str">
        <f t="shared" si="76"/>
        <v/>
      </c>
      <c r="AC147" s="233" t="str">
        <f t="shared" si="97"/>
        <v/>
      </c>
      <c r="AD147" s="233" t="str">
        <f t="shared" si="75"/>
        <v/>
      </c>
      <c r="AE147" s="233"/>
      <c r="AF147" s="448"/>
      <c r="AH147" s="306"/>
    </row>
    <row r="148" spans="1:49" s="296" customFormat="1">
      <c r="A148" s="296" t="s">
        <v>262</v>
      </c>
      <c r="B148" s="296" t="s">
        <v>278</v>
      </c>
      <c r="C148" s="298" t="s">
        <v>286</v>
      </c>
      <c r="D148" s="299" t="s">
        <v>87</v>
      </c>
      <c r="E148" s="341" t="s">
        <v>261</v>
      </c>
      <c r="F148" s="342" t="s">
        <v>280</v>
      </c>
      <c r="G148" s="297" t="s">
        <v>204</v>
      </c>
      <c r="H148" s="301">
        <v>691.42857142857144</v>
      </c>
      <c r="I148" s="302">
        <f>M148</f>
        <v>0.18078512396694216</v>
      </c>
      <c r="J148" s="301">
        <v>125</v>
      </c>
      <c r="K148" s="237"/>
      <c r="L148" s="301">
        <v>125</v>
      </c>
      <c r="M148" s="303">
        <f t="shared" si="96"/>
        <v>0.18078512396694216</v>
      </c>
      <c r="N148" s="343"/>
      <c r="O148" s="304"/>
      <c r="P148" s="304"/>
      <c r="Q148" s="304"/>
      <c r="R148" s="304"/>
      <c r="S148" s="305">
        <v>8.69</v>
      </c>
      <c r="T148" s="305"/>
      <c r="V148" s="306"/>
      <c r="W148" s="306"/>
      <c r="X148" s="307">
        <v>0.35</v>
      </c>
      <c r="Y148" s="307"/>
      <c r="Z148" s="304">
        <v>0.36</v>
      </c>
      <c r="AA148" s="431">
        <v>46176</v>
      </c>
      <c r="AB148" s="233">
        <f t="shared" si="76"/>
        <v>76</v>
      </c>
      <c r="AC148" s="233">
        <f t="shared" si="97"/>
        <v>26.599999999999998</v>
      </c>
      <c r="AD148" s="233">
        <f t="shared" si="75"/>
        <v>9.195999999999998</v>
      </c>
      <c r="AE148" s="233"/>
      <c r="AF148" s="448"/>
      <c r="AH148" s="306" t="s">
        <v>91</v>
      </c>
      <c r="AI148" s="296">
        <v>70</v>
      </c>
      <c r="AJ148" s="296">
        <v>73</v>
      </c>
      <c r="AK148" s="296">
        <v>59</v>
      </c>
      <c r="AL148" s="296">
        <v>95</v>
      </c>
      <c r="AM148" s="296">
        <v>79</v>
      </c>
      <c r="AN148" s="296">
        <v>64</v>
      </c>
      <c r="AO148" s="296">
        <v>75</v>
      </c>
      <c r="AP148" s="296">
        <v>73</v>
      </c>
      <c r="AQ148" s="296">
        <v>73</v>
      </c>
      <c r="AR148" s="296">
        <v>60</v>
      </c>
      <c r="AS148" s="296">
        <v>76</v>
      </c>
      <c r="AT148" s="296">
        <v>75</v>
      </c>
      <c r="AU148" s="296">
        <v>99</v>
      </c>
      <c r="AV148" s="296">
        <v>93</v>
      </c>
    </row>
    <row r="149" spans="1:49" s="296" customFormat="1">
      <c r="A149" s="296" t="s">
        <v>262</v>
      </c>
      <c r="B149" s="296" t="s">
        <v>278</v>
      </c>
      <c r="C149" s="298" t="s">
        <v>287</v>
      </c>
      <c r="D149" s="299" t="s">
        <v>87</v>
      </c>
      <c r="E149" s="341" t="s">
        <v>261</v>
      </c>
      <c r="F149" s="342" t="s">
        <v>280</v>
      </c>
      <c r="G149" s="297" t="s">
        <v>204</v>
      </c>
      <c r="H149" s="301">
        <v>691.42857142857144</v>
      </c>
      <c r="I149" s="302">
        <f>M149</f>
        <v>2.8911157024793388</v>
      </c>
      <c r="J149" s="301">
        <v>1999</v>
      </c>
      <c r="K149" s="237"/>
      <c r="L149" s="301">
        <v>1999</v>
      </c>
      <c r="M149" s="303">
        <f t="shared" si="96"/>
        <v>2.8911157024793388</v>
      </c>
      <c r="N149" s="343"/>
      <c r="O149" s="304"/>
      <c r="P149" s="304"/>
      <c r="Q149" s="304"/>
      <c r="R149" s="304"/>
      <c r="S149" s="305">
        <v>8.69</v>
      </c>
      <c r="T149" s="305"/>
      <c r="V149" s="306"/>
      <c r="W149" s="306"/>
      <c r="X149" s="307">
        <v>0.35</v>
      </c>
      <c r="Y149" s="307"/>
      <c r="Z149" s="304">
        <v>0.38</v>
      </c>
      <c r="AA149" s="431"/>
      <c r="AB149" s="233" t="str">
        <f t="shared" si="76"/>
        <v/>
      </c>
      <c r="AC149" s="233" t="str">
        <f t="shared" si="97"/>
        <v/>
      </c>
      <c r="AD149" s="233" t="str">
        <f t="shared" si="75"/>
        <v/>
      </c>
      <c r="AE149" s="233"/>
      <c r="AF149" s="448"/>
      <c r="AH149" s="306"/>
    </row>
    <row r="150" spans="1:49" s="296" customFormat="1">
      <c r="A150" s="296" t="s">
        <v>262</v>
      </c>
      <c r="B150" s="296" t="s">
        <v>278</v>
      </c>
      <c r="C150" s="298" t="s">
        <v>288</v>
      </c>
      <c r="D150" s="299" t="s">
        <v>87</v>
      </c>
      <c r="E150" s="341" t="s">
        <v>261</v>
      </c>
      <c r="F150" s="342" t="s">
        <v>280</v>
      </c>
      <c r="G150" s="297" t="s">
        <v>204</v>
      </c>
      <c r="H150" s="301">
        <v>691.42857142857144</v>
      </c>
      <c r="I150" s="302">
        <f>M150</f>
        <v>2.9576446280991733</v>
      </c>
      <c r="J150" s="301">
        <v>2045</v>
      </c>
      <c r="K150" s="237"/>
      <c r="L150" s="301">
        <v>2045</v>
      </c>
      <c r="M150" s="303">
        <f t="shared" si="96"/>
        <v>2.9576446280991733</v>
      </c>
      <c r="N150" s="343"/>
      <c r="O150" s="304"/>
      <c r="P150" s="304"/>
      <c r="Q150" s="304"/>
      <c r="R150" s="304"/>
      <c r="S150" s="305">
        <v>8.69</v>
      </c>
      <c r="T150" s="305"/>
      <c r="V150" s="306"/>
      <c r="W150" s="306"/>
      <c r="X150" s="307">
        <v>0.35</v>
      </c>
      <c r="Y150" s="307"/>
      <c r="Z150" s="304">
        <v>0.38</v>
      </c>
      <c r="AA150" s="431"/>
      <c r="AB150" s="233" t="str">
        <f t="shared" si="76"/>
        <v/>
      </c>
      <c r="AC150" s="233" t="str">
        <f t="shared" si="97"/>
        <v/>
      </c>
      <c r="AD150" s="233" t="str">
        <f t="shared" si="75"/>
        <v/>
      </c>
      <c r="AE150" s="233"/>
      <c r="AF150" s="448"/>
      <c r="AH150" s="306"/>
    </row>
    <row r="151" spans="1:49" s="296" customFormat="1">
      <c r="A151" s="296" t="s">
        <v>262</v>
      </c>
      <c r="B151" s="296" t="s">
        <v>278</v>
      </c>
      <c r="C151" s="298" t="s">
        <v>289</v>
      </c>
      <c r="D151" s="299" t="s">
        <v>87</v>
      </c>
      <c r="E151" s="341" t="s">
        <v>261</v>
      </c>
      <c r="F151" s="342" t="s">
        <v>280</v>
      </c>
      <c r="G151" s="297" t="s">
        <v>204</v>
      </c>
      <c r="H151" s="301">
        <v>691.42857142857144</v>
      </c>
      <c r="I151" s="302">
        <f>M151</f>
        <v>2.8882231404958678</v>
      </c>
      <c r="J151" s="301">
        <v>1997</v>
      </c>
      <c r="K151" s="237"/>
      <c r="L151" s="301">
        <v>1997</v>
      </c>
      <c r="M151" s="303">
        <f t="shared" si="96"/>
        <v>2.8882231404958678</v>
      </c>
      <c r="N151" s="343"/>
      <c r="O151" s="304"/>
      <c r="P151" s="304"/>
      <c r="Q151" s="304"/>
      <c r="R151" s="304"/>
      <c r="S151" s="305">
        <v>8.69</v>
      </c>
      <c r="T151" s="305"/>
      <c r="V151" s="306"/>
      <c r="W151" s="306"/>
      <c r="X151" s="307">
        <v>0.35</v>
      </c>
      <c r="Y151" s="307"/>
      <c r="Z151" s="304">
        <v>0.38</v>
      </c>
      <c r="AA151" s="431">
        <v>46126</v>
      </c>
      <c r="AB151" s="233">
        <f t="shared" si="76"/>
        <v>74.285714285714292</v>
      </c>
      <c r="AC151" s="233">
        <f t="shared" si="97"/>
        <v>26</v>
      </c>
      <c r="AD151" s="233">
        <f t="shared" si="75"/>
        <v>8.9885714285714275</v>
      </c>
      <c r="AE151" s="233"/>
      <c r="AF151" s="448"/>
      <c r="AG151" s="296" t="s">
        <v>290</v>
      </c>
      <c r="AH151" s="306"/>
      <c r="AI151" s="296">
        <v>73</v>
      </c>
      <c r="AJ151" s="296">
        <v>76</v>
      </c>
      <c r="AK151" s="296">
        <v>72</v>
      </c>
      <c r="AL151" s="296">
        <v>79</v>
      </c>
      <c r="AM151" s="296">
        <v>69</v>
      </c>
      <c r="AN151" s="296">
        <v>74</v>
      </c>
      <c r="AO151" s="296">
        <v>77</v>
      </c>
    </row>
    <row r="152" spans="1:49" s="113" customFormat="1">
      <c r="A152" s="113" t="s">
        <v>262</v>
      </c>
      <c r="B152" s="113" t="s">
        <v>291</v>
      </c>
      <c r="C152" s="114" t="s">
        <v>292</v>
      </c>
      <c r="D152" s="128" t="s">
        <v>87</v>
      </c>
      <c r="E152" s="127" t="s">
        <v>156</v>
      </c>
      <c r="F152" s="126" t="s">
        <v>170</v>
      </c>
      <c r="G152" s="126" t="s">
        <v>170</v>
      </c>
      <c r="H152" s="123">
        <v>907.5</v>
      </c>
      <c r="I152" s="125">
        <v>102.93</v>
      </c>
      <c r="J152" s="123">
        <v>94178</v>
      </c>
      <c r="K152" s="124"/>
      <c r="L152" s="123">
        <f t="shared" ref="L152:L185" si="107">J152-(J152*K152)</f>
        <v>94178</v>
      </c>
      <c r="M152" s="122">
        <f t="shared" ref="M152:M185" si="108">L152/H152</f>
        <v>103.77741046831956</v>
      </c>
      <c r="N152" s="118">
        <v>10.08</v>
      </c>
      <c r="O152" s="118">
        <v>9.42</v>
      </c>
      <c r="P152" s="118">
        <v>11.05</v>
      </c>
      <c r="Q152" s="118">
        <v>11.43</v>
      </c>
      <c r="R152" s="118">
        <v>11.15</v>
      </c>
      <c r="S152" s="153">
        <v>6.66</v>
      </c>
      <c r="T152" s="153"/>
      <c r="V152" s="115"/>
      <c r="W152" s="115"/>
      <c r="X152" s="120">
        <v>0.25</v>
      </c>
      <c r="Y152" s="120"/>
      <c r="Z152" s="118">
        <v>0.32</v>
      </c>
      <c r="AA152" s="430">
        <v>46176</v>
      </c>
      <c r="AB152" s="117">
        <f t="shared" si="76"/>
        <v>66.933333333333337</v>
      </c>
      <c r="AC152" s="117">
        <f t="shared" ref="AC152:AC185" si="109">IFERROR(AB152*X152,"")</f>
        <v>16.733333333333334</v>
      </c>
      <c r="AD152" s="117">
        <f t="shared" ref="AD152:AD220" si="110">IFERROR(((AC152*L152)/2000)/I152,"")</f>
        <v>7.6552602092036661</v>
      </c>
      <c r="AE152" s="117"/>
      <c r="AF152" s="447"/>
      <c r="AH152" s="115" t="s">
        <v>91</v>
      </c>
      <c r="AI152" s="113">
        <v>72</v>
      </c>
      <c r="AJ152" s="113">
        <v>64</v>
      </c>
      <c r="AK152" s="113">
        <v>74</v>
      </c>
      <c r="AL152" s="113">
        <v>79</v>
      </c>
      <c r="AM152" s="113">
        <v>81</v>
      </c>
      <c r="AN152" s="113">
        <v>61</v>
      </c>
      <c r="AO152" s="113">
        <v>70</v>
      </c>
      <c r="AP152" s="113">
        <v>63</v>
      </c>
      <c r="AQ152" s="113">
        <v>67</v>
      </c>
      <c r="AR152" s="113">
        <v>76</v>
      </c>
      <c r="AS152" s="113">
        <v>56</v>
      </c>
      <c r="AT152" s="113">
        <v>46</v>
      </c>
      <c r="AU152" s="113">
        <v>43</v>
      </c>
      <c r="AV152" s="113">
        <v>60</v>
      </c>
      <c r="AW152" s="113">
        <v>92</v>
      </c>
    </row>
    <row r="153" spans="1:49" s="113" customFormat="1">
      <c r="A153" s="113" t="s">
        <v>262</v>
      </c>
      <c r="B153" s="113" t="s">
        <v>291</v>
      </c>
      <c r="C153" s="114" t="s">
        <v>292</v>
      </c>
      <c r="D153" s="128" t="s">
        <v>87</v>
      </c>
      <c r="E153" s="127" t="s">
        <v>156</v>
      </c>
      <c r="F153" s="126" t="s">
        <v>170</v>
      </c>
      <c r="G153" s="126" t="s">
        <v>170</v>
      </c>
      <c r="H153" s="123">
        <v>907.5</v>
      </c>
      <c r="I153" s="125">
        <v>102.93</v>
      </c>
      <c r="J153" s="123">
        <v>94178</v>
      </c>
      <c r="K153" s="124"/>
      <c r="L153" s="123">
        <f t="shared" si="107"/>
        <v>94178</v>
      </c>
      <c r="M153" s="122">
        <f t="shared" si="108"/>
        <v>103.77741046831956</v>
      </c>
      <c r="N153" s="118">
        <v>10.08</v>
      </c>
      <c r="O153" s="118">
        <v>9.42</v>
      </c>
      <c r="P153" s="118">
        <v>11.05</v>
      </c>
      <c r="Q153" s="118">
        <v>11.43</v>
      </c>
      <c r="R153" s="118">
        <v>11.15</v>
      </c>
      <c r="S153" s="153">
        <v>6.66</v>
      </c>
      <c r="T153" s="153"/>
      <c r="V153" s="115"/>
      <c r="W153" s="115"/>
      <c r="X153" s="120">
        <v>0.25</v>
      </c>
      <c r="Y153" s="120"/>
      <c r="Z153" s="118">
        <v>0.32</v>
      </c>
      <c r="AA153" s="430"/>
      <c r="AB153" s="117" t="str">
        <f t="shared" ref="AB153:AB223" si="111">IFERROR(AVERAGE(AI153:BG153),"")</f>
        <v/>
      </c>
      <c r="AC153" s="117" t="str">
        <f t="shared" si="109"/>
        <v/>
      </c>
      <c r="AD153" s="117" t="str">
        <f t="shared" si="110"/>
        <v/>
      </c>
      <c r="AE153" s="117"/>
      <c r="AF153" s="447"/>
      <c r="AH153" s="115"/>
    </row>
    <row r="154" spans="1:49" s="113" customFormat="1">
      <c r="A154" s="113" t="s">
        <v>262</v>
      </c>
      <c r="B154" s="113" t="s">
        <v>291</v>
      </c>
      <c r="C154" s="114" t="s">
        <v>293</v>
      </c>
      <c r="D154" s="128" t="s">
        <v>87</v>
      </c>
      <c r="E154" s="127" t="s">
        <v>156</v>
      </c>
      <c r="F154" s="126" t="s">
        <v>170</v>
      </c>
      <c r="G154" s="126" t="s">
        <v>170</v>
      </c>
      <c r="H154" s="123">
        <v>907.5</v>
      </c>
      <c r="I154" s="125">
        <v>39.11</v>
      </c>
      <c r="J154" s="123">
        <f>H154*I154</f>
        <v>35492.324999999997</v>
      </c>
      <c r="K154" s="124"/>
      <c r="L154" s="123">
        <f t="shared" si="107"/>
        <v>35492.324999999997</v>
      </c>
      <c r="M154" s="122">
        <f t="shared" si="108"/>
        <v>39.11</v>
      </c>
      <c r="N154" s="118">
        <v>10.08</v>
      </c>
      <c r="O154" s="118">
        <v>9.42</v>
      </c>
      <c r="P154" s="118">
        <v>11.05</v>
      </c>
      <c r="Q154" s="118">
        <v>11.43</v>
      </c>
      <c r="R154" s="118">
        <v>11.15</v>
      </c>
      <c r="S154" s="153">
        <v>6.66</v>
      </c>
      <c r="T154" s="153"/>
      <c r="V154" s="115"/>
      <c r="W154" s="115"/>
      <c r="X154" s="120">
        <v>0.25</v>
      </c>
      <c r="Y154" s="120"/>
      <c r="Z154" s="118">
        <v>0.32</v>
      </c>
      <c r="AA154" s="430"/>
      <c r="AB154" s="117" t="str">
        <f t="shared" si="111"/>
        <v/>
      </c>
      <c r="AC154" s="117" t="str">
        <f t="shared" si="109"/>
        <v/>
      </c>
      <c r="AD154" s="117" t="str">
        <f t="shared" si="110"/>
        <v/>
      </c>
      <c r="AE154" s="117"/>
      <c r="AF154" s="447"/>
      <c r="AH154" s="115"/>
    </row>
    <row r="155" spans="1:49" s="113" customFormat="1">
      <c r="A155" s="113" t="s">
        <v>262</v>
      </c>
      <c r="B155" s="113" t="s">
        <v>291</v>
      </c>
      <c r="C155" s="114" t="s">
        <v>294</v>
      </c>
      <c r="D155" s="128" t="s">
        <v>87</v>
      </c>
      <c r="E155" s="127" t="s">
        <v>156</v>
      </c>
      <c r="F155" s="126" t="s">
        <v>170</v>
      </c>
      <c r="G155" s="126" t="s">
        <v>170</v>
      </c>
      <c r="H155" s="123">
        <v>907.5</v>
      </c>
      <c r="I155" s="125">
        <v>43.2</v>
      </c>
      <c r="J155" s="123">
        <f>I155*H155</f>
        <v>39204</v>
      </c>
      <c r="K155" s="124"/>
      <c r="L155" s="123">
        <f t="shared" si="107"/>
        <v>39204</v>
      </c>
      <c r="M155" s="122">
        <f t="shared" si="108"/>
        <v>43.2</v>
      </c>
      <c r="N155" s="118">
        <v>10.08</v>
      </c>
      <c r="O155" s="118">
        <v>9.42</v>
      </c>
      <c r="P155" s="118">
        <v>11.05</v>
      </c>
      <c r="Q155" s="118">
        <v>11.43</v>
      </c>
      <c r="R155" s="118">
        <v>11.15</v>
      </c>
      <c r="S155" s="153">
        <v>6.66</v>
      </c>
      <c r="T155" s="153"/>
      <c r="V155" s="115"/>
      <c r="W155" s="115"/>
      <c r="X155" s="120">
        <v>0.25</v>
      </c>
      <c r="Y155" s="120"/>
      <c r="Z155" s="118">
        <v>0.32</v>
      </c>
      <c r="AA155" s="430"/>
      <c r="AB155" s="117" t="str">
        <f t="shared" si="111"/>
        <v/>
      </c>
      <c r="AC155" s="117" t="str">
        <f t="shared" si="109"/>
        <v/>
      </c>
      <c r="AD155" s="117" t="str">
        <f t="shared" si="110"/>
        <v/>
      </c>
      <c r="AE155" s="117"/>
      <c r="AF155" s="447"/>
      <c r="AH155" s="115"/>
    </row>
    <row r="156" spans="1:49" s="296" customFormat="1">
      <c r="A156" s="296" t="s">
        <v>262</v>
      </c>
      <c r="B156" s="296" t="s">
        <v>295</v>
      </c>
      <c r="C156" s="298" t="s">
        <v>296</v>
      </c>
      <c r="D156" s="299" t="s">
        <v>87</v>
      </c>
      <c r="E156" s="300" t="s">
        <v>261</v>
      </c>
      <c r="F156" s="297"/>
      <c r="G156" s="297" t="s">
        <v>204</v>
      </c>
      <c r="H156" s="301">
        <v>622.28571428571433</v>
      </c>
      <c r="I156" s="302">
        <v>38.21</v>
      </c>
      <c r="J156" s="301">
        <v>23319</v>
      </c>
      <c r="K156" s="237">
        <v>0.02</v>
      </c>
      <c r="L156" s="301">
        <f t="shared" si="107"/>
        <v>22852.62</v>
      </c>
      <c r="M156" s="303">
        <f t="shared" si="108"/>
        <v>36.723677685950406</v>
      </c>
      <c r="N156" s="304"/>
      <c r="O156" s="304">
        <v>2.15</v>
      </c>
      <c r="P156" s="304">
        <v>5.5</v>
      </c>
      <c r="Q156" s="304">
        <v>5.82</v>
      </c>
      <c r="R156" s="304">
        <v>8.83</v>
      </c>
      <c r="S156" s="305">
        <v>8.9499999999999993</v>
      </c>
      <c r="T156" s="305"/>
      <c r="U156" s="296" t="s">
        <v>297</v>
      </c>
      <c r="V156" s="306" t="s">
        <v>297</v>
      </c>
      <c r="W156" s="306"/>
      <c r="X156" s="307">
        <v>0.32</v>
      </c>
      <c r="Y156" s="307"/>
      <c r="Z156" s="304">
        <v>0.35</v>
      </c>
      <c r="AA156" s="431">
        <v>46112</v>
      </c>
      <c r="AB156" s="233">
        <f t="shared" si="111"/>
        <v>105.18181818181819</v>
      </c>
      <c r="AC156" s="233">
        <f t="shared" si="109"/>
        <v>33.658181818181824</v>
      </c>
      <c r="AD156" s="233">
        <f t="shared" si="110"/>
        <v>10.065135291570508</v>
      </c>
      <c r="AE156" s="233"/>
      <c r="AF156" s="448"/>
      <c r="AH156" s="306" t="s">
        <v>269</v>
      </c>
      <c r="AI156" s="296">
        <v>103</v>
      </c>
      <c r="AJ156" s="296">
        <v>115</v>
      </c>
      <c r="AK156" s="296">
        <v>129</v>
      </c>
      <c r="AL156" s="296">
        <v>112</v>
      </c>
      <c r="AM156" s="296">
        <v>107</v>
      </c>
      <c r="AN156" s="296">
        <v>94</v>
      </c>
      <c r="AO156" s="296">
        <v>108</v>
      </c>
      <c r="AP156" s="296">
        <v>88</v>
      </c>
      <c r="AQ156" s="296">
        <v>96</v>
      </c>
      <c r="AR156" s="296">
        <v>101</v>
      </c>
      <c r="AS156" s="296">
        <v>104</v>
      </c>
    </row>
    <row r="157" spans="1:49" s="296" customFormat="1">
      <c r="A157" s="296" t="s">
        <v>262</v>
      </c>
      <c r="B157" s="296" t="s">
        <v>295</v>
      </c>
      <c r="C157" s="298" t="s">
        <v>296</v>
      </c>
      <c r="D157" s="299" t="s">
        <v>87</v>
      </c>
      <c r="E157" s="300" t="s">
        <v>261</v>
      </c>
      <c r="F157" s="297"/>
      <c r="G157" s="297" t="s">
        <v>204</v>
      </c>
      <c r="H157" s="301">
        <v>622.28571428571433</v>
      </c>
      <c r="I157" s="302">
        <v>38.21</v>
      </c>
      <c r="J157" s="301">
        <v>23319</v>
      </c>
      <c r="K157" s="237">
        <v>0.02</v>
      </c>
      <c r="L157" s="301">
        <f t="shared" si="107"/>
        <v>22852.62</v>
      </c>
      <c r="M157" s="303">
        <f t="shared" si="108"/>
        <v>36.723677685950406</v>
      </c>
      <c r="N157" s="304"/>
      <c r="O157" s="304">
        <v>2.15</v>
      </c>
      <c r="P157" s="304">
        <v>5.5</v>
      </c>
      <c r="Q157" s="304">
        <v>5.82</v>
      </c>
      <c r="R157" s="304">
        <v>8.83</v>
      </c>
      <c r="S157" s="305">
        <v>8.9499999999999993</v>
      </c>
      <c r="T157" s="305"/>
      <c r="U157" s="296" t="s">
        <v>298</v>
      </c>
      <c r="V157" s="306" t="s">
        <v>214</v>
      </c>
      <c r="W157" s="306"/>
      <c r="X157" s="307">
        <v>0.32</v>
      </c>
      <c r="Y157" s="307"/>
      <c r="Z157" s="304">
        <v>0.35</v>
      </c>
      <c r="AA157" s="431">
        <v>46126</v>
      </c>
      <c r="AB157" s="233">
        <f t="shared" si="111"/>
        <v>93.6</v>
      </c>
      <c r="AC157" s="233">
        <f t="shared" si="109"/>
        <v>29.951999999999998</v>
      </c>
      <c r="AD157" s="233">
        <f t="shared" si="110"/>
        <v>8.9568394954200468</v>
      </c>
      <c r="AE157" s="233"/>
      <c r="AF157" s="448"/>
      <c r="AG157" s="296" t="s">
        <v>299</v>
      </c>
      <c r="AH157" s="306" t="s">
        <v>137</v>
      </c>
      <c r="AI157" s="296">
        <v>88</v>
      </c>
      <c r="AJ157" s="296">
        <v>95</v>
      </c>
      <c r="AK157" s="296">
        <v>106</v>
      </c>
      <c r="AL157" s="296">
        <v>87</v>
      </c>
      <c r="AM157" s="296">
        <v>92</v>
      </c>
    </row>
    <row r="158" spans="1:49" s="296" customFormat="1">
      <c r="A158" s="296" t="s">
        <v>262</v>
      </c>
      <c r="B158" s="296" t="s">
        <v>295</v>
      </c>
      <c r="C158" s="298" t="s">
        <v>296</v>
      </c>
      <c r="D158" s="299" t="s">
        <v>87</v>
      </c>
      <c r="E158" s="300" t="s">
        <v>261</v>
      </c>
      <c r="F158" s="297"/>
      <c r="G158" s="297" t="s">
        <v>204</v>
      </c>
      <c r="H158" s="301">
        <v>622.28571428571433</v>
      </c>
      <c r="I158" s="302">
        <v>38.21</v>
      </c>
      <c r="J158" s="301">
        <v>23319</v>
      </c>
      <c r="K158" s="237">
        <v>0.02</v>
      </c>
      <c r="L158" s="301">
        <f t="shared" si="107"/>
        <v>22852.62</v>
      </c>
      <c r="M158" s="303">
        <f t="shared" si="108"/>
        <v>36.723677685950406</v>
      </c>
      <c r="N158" s="304"/>
      <c r="O158" s="304">
        <v>2.15</v>
      </c>
      <c r="P158" s="304">
        <v>5.5</v>
      </c>
      <c r="Q158" s="304">
        <v>5.82</v>
      </c>
      <c r="R158" s="304">
        <v>8.83</v>
      </c>
      <c r="S158" s="305">
        <v>8.9499999999999993</v>
      </c>
      <c r="T158" s="305"/>
      <c r="V158" s="306" t="s">
        <v>103</v>
      </c>
      <c r="W158" s="306"/>
      <c r="X158" s="307">
        <v>0.32</v>
      </c>
      <c r="Y158" s="307"/>
      <c r="Z158" s="304">
        <v>0.35</v>
      </c>
      <c r="AA158" s="431">
        <v>46176</v>
      </c>
      <c r="AB158" s="233">
        <f t="shared" si="111"/>
        <v>113</v>
      </c>
      <c r="AC158" s="233">
        <f t="shared" si="109"/>
        <v>36.160000000000004</v>
      </c>
      <c r="AD158" s="233">
        <f t="shared" si="110"/>
        <v>10.813278450667365</v>
      </c>
      <c r="AE158" s="233"/>
      <c r="AF158" s="448"/>
      <c r="AH158" s="306" t="s">
        <v>91</v>
      </c>
      <c r="AI158" s="296">
        <v>132</v>
      </c>
      <c r="AJ158" s="296">
        <v>132</v>
      </c>
      <c r="AK158" s="296">
        <v>98</v>
      </c>
      <c r="AL158" s="296">
        <v>77</v>
      </c>
      <c r="AM158" s="296">
        <v>140</v>
      </c>
      <c r="AN158" s="296">
        <v>126</v>
      </c>
      <c r="AO158" s="296">
        <v>132</v>
      </c>
      <c r="AP158" s="296">
        <v>101</v>
      </c>
      <c r="AQ158" s="296">
        <v>121</v>
      </c>
      <c r="AR158" s="296">
        <v>113</v>
      </c>
      <c r="AS158" s="296">
        <v>118</v>
      </c>
      <c r="AT158" s="296">
        <v>104</v>
      </c>
      <c r="AU158" s="296">
        <v>89</v>
      </c>
      <c r="AV158" s="296">
        <v>107</v>
      </c>
      <c r="AW158" s="296">
        <v>105</v>
      </c>
    </row>
    <row r="159" spans="1:49" s="296" customFormat="1">
      <c r="A159" s="296" t="s">
        <v>262</v>
      </c>
      <c r="B159" s="296" t="s">
        <v>295</v>
      </c>
      <c r="C159" s="298" t="s">
        <v>296</v>
      </c>
      <c r="D159" s="299" t="s">
        <v>87</v>
      </c>
      <c r="E159" s="300" t="s">
        <v>261</v>
      </c>
      <c r="F159" s="297"/>
      <c r="G159" s="297" t="s">
        <v>204</v>
      </c>
      <c r="H159" s="301">
        <v>622.28571428571433</v>
      </c>
      <c r="I159" s="302">
        <v>38.21</v>
      </c>
      <c r="J159" s="301">
        <v>23319</v>
      </c>
      <c r="K159" s="237">
        <v>0.02</v>
      </c>
      <c r="L159" s="301">
        <f t="shared" si="107"/>
        <v>22852.62</v>
      </c>
      <c r="M159" s="303">
        <f t="shared" si="108"/>
        <v>36.723677685950406</v>
      </c>
      <c r="N159" s="304"/>
      <c r="O159" s="304">
        <v>2.15</v>
      </c>
      <c r="P159" s="304">
        <v>5.5</v>
      </c>
      <c r="Q159" s="304">
        <v>5.82</v>
      </c>
      <c r="R159" s="304">
        <v>8.83</v>
      </c>
      <c r="S159" s="305">
        <v>8.9499999999999993</v>
      </c>
      <c r="T159" s="305"/>
      <c r="V159" s="306"/>
      <c r="W159" s="306"/>
      <c r="X159" s="307">
        <v>0.32</v>
      </c>
      <c r="Y159" s="307"/>
      <c r="Z159" s="304">
        <v>0.35</v>
      </c>
      <c r="AA159" s="431"/>
      <c r="AB159" s="233" t="str">
        <f t="shared" si="111"/>
        <v/>
      </c>
      <c r="AC159" s="233" t="str">
        <f t="shared" si="109"/>
        <v/>
      </c>
      <c r="AD159" s="233" t="str">
        <f t="shared" si="110"/>
        <v/>
      </c>
      <c r="AE159" s="233"/>
      <c r="AF159" s="448"/>
      <c r="AH159" s="306"/>
    </row>
    <row r="160" spans="1:49" s="296" customFormat="1">
      <c r="A160" s="296" t="s">
        <v>262</v>
      </c>
      <c r="B160" s="296" t="s">
        <v>295</v>
      </c>
      <c r="C160" s="298" t="s">
        <v>296</v>
      </c>
      <c r="D160" s="299" t="s">
        <v>87</v>
      </c>
      <c r="E160" s="300" t="s">
        <v>261</v>
      </c>
      <c r="F160" s="297"/>
      <c r="G160" s="297" t="s">
        <v>204</v>
      </c>
      <c r="H160" s="301">
        <v>622.28571428571433</v>
      </c>
      <c r="I160" s="302">
        <v>38.21</v>
      </c>
      <c r="J160" s="301">
        <v>23319</v>
      </c>
      <c r="K160" s="237">
        <v>0.02</v>
      </c>
      <c r="L160" s="301">
        <f t="shared" si="107"/>
        <v>22852.62</v>
      </c>
      <c r="M160" s="303">
        <f t="shared" si="108"/>
        <v>36.723677685950406</v>
      </c>
      <c r="N160" s="304"/>
      <c r="O160" s="304">
        <v>2.15</v>
      </c>
      <c r="P160" s="304">
        <v>5.5</v>
      </c>
      <c r="Q160" s="304">
        <v>5.82</v>
      </c>
      <c r="R160" s="304">
        <v>8.83</v>
      </c>
      <c r="S160" s="305">
        <v>8.9499999999999993</v>
      </c>
      <c r="T160" s="305"/>
      <c r="V160" s="306"/>
      <c r="W160" s="306"/>
      <c r="X160" s="307">
        <v>0.32</v>
      </c>
      <c r="Y160" s="307"/>
      <c r="Z160" s="304">
        <v>0.35</v>
      </c>
      <c r="AA160" s="431"/>
      <c r="AB160" s="233" t="str">
        <f t="shared" si="111"/>
        <v/>
      </c>
      <c r="AC160" s="233" t="str">
        <f t="shared" si="109"/>
        <v/>
      </c>
      <c r="AD160" s="233" t="str">
        <f t="shared" si="110"/>
        <v/>
      </c>
      <c r="AE160" s="233"/>
      <c r="AF160" s="448"/>
      <c r="AH160" s="306"/>
    </row>
    <row r="161" spans="1:49" s="296" customFormat="1">
      <c r="A161" s="296" t="s">
        <v>262</v>
      </c>
      <c r="B161" s="296" t="s">
        <v>295</v>
      </c>
      <c r="C161" s="298" t="s">
        <v>296</v>
      </c>
      <c r="D161" s="299" t="s">
        <v>87</v>
      </c>
      <c r="E161" s="300" t="s">
        <v>261</v>
      </c>
      <c r="F161" s="297"/>
      <c r="G161" s="297" t="s">
        <v>204</v>
      </c>
      <c r="H161" s="301">
        <v>622.28571428571433</v>
      </c>
      <c r="I161" s="302">
        <v>38.21</v>
      </c>
      <c r="J161" s="301">
        <v>23319</v>
      </c>
      <c r="K161" s="237">
        <v>0.02</v>
      </c>
      <c r="L161" s="301">
        <f t="shared" si="107"/>
        <v>22852.62</v>
      </c>
      <c r="M161" s="303">
        <f t="shared" si="108"/>
        <v>36.723677685950406</v>
      </c>
      <c r="N161" s="304"/>
      <c r="O161" s="304">
        <v>2.15</v>
      </c>
      <c r="P161" s="304">
        <v>5.5</v>
      </c>
      <c r="Q161" s="304">
        <v>5.82</v>
      </c>
      <c r="R161" s="304">
        <v>8.83</v>
      </c>
      <c r="S161" s="305">
        <v>8.9499999999999993</v>
      </c>
      <c r="T161" s="305"/>
      <c r="V161" s="306"/>
      <c r="W161" s="306"/>
      <c r="X161" s="307">
        <v>0.32</v>
      </c>
      <c r="Y161" s="307"/>
      <c r="Z161" s="304">
        <v>0.35</v>
      </c>
      <c r="AA161" s="431"/>
      <c r="AB161" s="233" t="str">
        <f t="shared" si="111"/>
        <v/>
      </c>
      <c r="AC161" s="233" t="str">
        <f t="shared" si="109"/>
        <v/>
      </c>
      <c r="AD161" s="233" t="str">
        <f t="shared" si="110"/>
        <v/>
      </c>
      <c r="AE161" s="233"/>
      <c r="AF161" s="448"/>
      <c r="AH161" s="306"/>
    </row>
    <row r="162" spans="1:49" s="113" customFormat="1">
      <c r="A162" s="113" t="s">
        <v>262</v>
      </c>
      <c r="B162" s="113" t="s">
        <v>300</v>
      </c>
      <c r="C162" s="114" t="s">
        <v>301</v>
      </c>
      <c r="D162" s="128" t="s">
        <v>87</v>
      </c>
      <c r="E162" s="127" t="s">
        <v>261</v>
      </c>
      <c r="F162" s="126">
        <v>23</v>
      </c>
      <c r="G162" s="126" t="s">
        <v>204</v>
      </c>
      <c r="H162" s="123">
        <v>622.28571428571433</v>
      </c>
      <c r="I162" s="125">
        <v>15.18</v>
      </c>
      <c r="J162" s="123">
        <v>9294</v>
      </c>
      <c r="K162" s="124">
        <v>0.01</v>
      </c>
      <c r="L162" s="123">
        <f t="shared" si="107"/>
        <v>9201.06</v>
      </c>
      <c r="M162" s="122">
        <f t="shared" si="108"/>
        <v>14.785909090909088</v>
      </c>
      <c r="N162" s="118">
        <v>8</v>
      </c>
      <c r="O162" s="118">
        <v>7.5</v>
      </c>
      <c r="P162" s="118">
        <v>9.74</v>
      </c>
      <c r="Q162" s="118">
        <v>8.56</v>
      </c>
      <c r="R162" s="118">
        <v>7.79</v>
      </c>
      <c r="S162" s="153">
        <v>8.2200000000000006</v>
      </c>
      <c r="T162" s="153"/>
      <c r="V162" s="115"/>
      <c r="W162" s="115"/>
      <c r="X162" s="120">
        <v>0.32</v>
      </c>
      <c r="Y162" s="120"/>
      <c r="Z162" s="118">
        <v>0.38</v>
      </c>
      <c r="AA162" s="430"/>
      <c r="AB162" s="117" t="str">
        <f t="shared" si="111"/>
        <v/>
      </c>
      <c r="AC162" s="117" t="str">
        <f t="shared" si="109"/>
        <v/>
      </c>
      <c r="AD162" s="117" t="str">
        <f t="shared" si="110"/>
        <v/>
      </c>
      <c r="AE162" s="117"/>
      <c r="AF162" s="447"/>
      <c r="AH162" s="115"/>
    </row>
    <row r="163" spans="1:49" s="113" customFormat="1">
      <c r="A163" s="113" t="s">
        <v>262</v>
      </c>
      <c r="B163" s="113" t="s">
        <v>300</v>
      </c>
      <c r="C163" s="114" t="s">
        <v>301</v>
      </c>
      <c r="D163" s="128" t="s">
        <v>87</v>
      </c>
      <c r="E163" s="127" t="s">
        <v>261</v>
      </c>
      <c r="F163" s="126">
        <v>23</v>
      </c>
      <c r="G163" s="126" t="s">
        <v>204</v>
      </c>
      <c r="H163" s="123">
        <v>622.28571428571433</v>
      </c>
      <c r="I163" s="125">
        <v>15.18</v>
      </c>
      <c r="J163" s="123">
        <v>9294</v>
      </c>
      <c r="K163" s="124">
        <v>0.01</v>
      </c>
      <c r="L163" s="123">
        <f t="shared" si="107"/>
        <v>9201.06</v>
      </c>
      <c r="M163" s="122">
        <f t="shared" si="108"/>
        <v>14.785909090909088</v>
      </c>
      <c r="N163" s="118">
        <v>8</v>
      </c>
      <c r="O163" s="118">
        <v>7.5</v>
      </c>
      <c r="P163" s="118">
        <v>9.74</v>
      </c>
      <c r="Q163" s="118">
        <v>8.56</v>
      </c>
      <c r="R163" s="118">
        <v>7.79</v>
      </c>
      <c r="S163" s="153">
        <v>8.2200000000000006</v>
      </c>
      <c r="T163" s="153"/>
      <c r="V163" s="115"/>
      <c r="W163" s="115"/>
      <c r="X163" s="120">
        <v>0.32</v>
      </c>
      <c r="Y163" s="120"/>
      <c r="Z163" s="118">
        <v>0.38</v>
      </c>
      <c r="AA163" s="430"/>
      <c r="AB163" s="117" t="str">
        <f t="shared" si="111"/>
        <v/>
      </c>
      <c r="AC163" s="117" t="str">
        <f t="shared" si="109"/>
        <v/>
      </c>
      <c r="AD163" s="117" t="str">
        <f t="shared" si="110"/>
        <v/>
      </c>
      <c r="AE163" s="117"/>
      <c r="AF163" s="447"/>
      <c r="AH163" s="115"/>
    </row>
    <row r="164" spans="1:49" s="296" customFormat="1">
      <c r="A164" s="296" t="s">
        <v>262</v>
      </c>
      <c r="B164" s="296" t="s">
        <v>302</v>
      </c>
      <c r="C164" s="298" t="s">
        <v>303</v>
      </c>
      <c r="D164" s="299" t="s">
        <v>87</v>
      </c>
      <c r="E164" s="300" t="s">
        <v>160</v>
      </c>
      <c r="F164" s="297">
        <v>4</v>
      </c>
      <c r="G164" s="297" t="s">
        <v>273</v>
      </c>
      <c r="H164" s="301">
        <v>565.71428571428567</v>
      </c>
      <c r="I164" s="302">
        <v>15.95</v>
      </c>
      <c r="J164" s="301">
        <v>8947</v>
      </c>
      <c r="K164" s="237"/>
      <c r="L164" s="301">
        <f t="shared" si="107"/>
        <v>8947</v>
      </c>
      <c r="M164" s="303">
        <f t="shared" si="108"/>
        <v>15.815404040404042</v>
      </c>
      <c r="N164" s="304"/>
      <c r="O164" s="304"/>
      <c r="P164" s="304"/>
      <c r="Q164" s="304"/>
      <c r="R164" s="304"/>
      <c r="S164" s="305">
        <v>5.93</v>
      </c>
      <c r="T164" s="305"/>
      <c r="V164" s="306"/>
      <c r="W164" s="306"/>
      <c r="X164" s="307">
        <v>0.4</v>
      </c>
      <c r="Y164" s="307"/>
      <c r="Z164" s="304">
        <v>0.4</v>
      </c>
      <c r="AA164" s="431">
        <v>46161</v>
      </c>
      <c r="AB164" s="233">
        <f t="shared" si="111"/>
        <v>74.466666666666669</v>
      </c>
      <c r="AC164" s="233">
        <f t="shared" si="109"/>
        <v>29.786666666666669</v>
      </c>
      <c r="AD164" s="233">
        <f t="shared" si="110"/>
        <v>8.3542729362591448</v>
      </c>
      <c r="AE164" s="233"/>
      <c r="AF164" s="448"/>
      <c r="AH164" s="306" t="s">
        <v>91</v>
      </c>
      <c r="AI164" s="296">
        <v>90</v>
      </c>
      <c r="AJ164" s="296">
        <v>68</v>
      </c>
      <c r="AK164" s="296">
        <v>96</v>
      </c>
      <c r="AL164" s="296">
        <v>94</v>
      </c>
      <c r="AM164" s="296">
        <v>82</v>
      </c>
      <c r="AN164" s="296">
        <v>41</v>
      </c>
      <c r="AO164" s="296">
        <v>87</v>
      </c>
      <c r="AP164" s="296">
        <v>88</v>
      </c>
      <c r="AQ164" s="296">
        <v>75</v>
      </c>
      <c r="AR164" s="296">
        <v>76</v>
      </c>
      <c r="AS164" s="296">
        <v>54</v>
      </c>
      <c r="AT164" s="296">
        <v>82</v>
      </c>
      <c r="AU164" s="296">
        <v>62</v>
      </c>
      <c r="AV164" s="296">
        <v>69</v>
      </c>
      <c r="AW164" s="296">
        <v>53</v>
      </c>
    </row>
    <row r="165" spans="1:49" s="296" customFormat="1">
      <c r="A165" s="296" t="s">
        <v>262</v>
      </c>
      <c r="B165" s="296" t="s">
        <v>302</v>
      </c>
      <c r="C165" s="298" t="s">
        <v>303</v>
      </c>
      <c r="D165" s="299" t="s">
        <v>87</v>
      </c>
      <c r="E165" s="300" t="s">
        <v>160</v>
      </c>
      <c r="F165" s="297">
        <v>4</v>
      </c>
      <c r="G165" s="297" t="s">
        <v>273</v>
      </c>
      <c r="H165" s="301">
        <v>565.71428571428567</v>
      </c>
      <c r="I165" s="302">
        <v>15.95</v>
      </c>
      <c r="J165" s="301">
        <v>8947</v>
      </c>
      <c r="K165" s="237"/>
      <c r="L165" s="301">
        <f t="shared" ref="L165" si="112">J165-(J165*K165)</f>
        <v>8947</v>
      </c>
      <c r="M165" s="303">
        <f t="shared" ref="M165" si="113">L165/H165</f>
        <v>15.815404040404042</v>
      </c>
      <c r="N165" s="304"/>
      <c r="O165" s="304"/>
      <c r="P165" s="304"/>
      <c r="Q165" s="304"/>
      <c r="R165" s="304"/>
      <c r="S165" s="305">
        <v>5.93</v>
      </c>
      <c r="T165" s="305"/>
      <c r="V165" s="306"/>
      <c r="W165" s="306"/>
      <c r="X165" s="307">
        <v>0.4</v>
      </c>
      <c r="Y165" s="307"/>
      <c r="Z165" s="304">
        <v>0.4</v>
      </c>
      <c r="AA165" s="431"/>
      <c r="AB165" s="233" t="str">
        <f t="shared" ref="AB165" si="114">IFERROR(AVERAGE(AI165:BG165),"")</f>
        <v/>
      </c>
      <c r="AC165" s="233" t="str">
        <f t="shared" ref="AC165" si="115">IFERROR(AB165*X165,"")</f>
        <v/>
      </c>
      <c r="AD165" s="233" t="str">
        <f t="shared" ref="AD165" si="116">IFERROR(((AC165*L165)/2000)/I165,"")</f>
        <v/>
      </c>
      <c r="AE165" s="233"/>
      <c r="AF165" s="448"/>
      <c r="AH165" s="306"/>
    </row>
    <row r="166" spans="1:49" s="113" customFormat="1">
      <c r="A166" s="113" t="s">
        <v>262</v>
      </c>
      <c r="B166" s="113" t="s">
        <v>304</v>
      </c>
      <c r="C166" s="114" t="s">
        <v>305</v>
      </c>
      <c r="D166" s="128" t="s">
        <v>87</v>
      </c>
      <c r="E166" s="127" t="s">
        <v>160</v>
      </c>
      <c r="F166" s="126"/>
      <c r="G166" s="126" t="s">
        <v>204</v>
      </c>
      <c r="H166" s="123">
        <v>622.28571428571433</v>
      </c>
      <c r="I166" s="125">
        <v>24.82</v>
      </c>
      <c r="J166" s="123">
        <v>15330</v>
      </c>
      <c r="K166" s="124"/>
      <c r="L166" s="123">
        <f t="shared" si="107"/>
        <v>15330</v>
      </c>
      <c r="M166" s="122">
        <f t="shared" si="108"/>
        <v>24.634986225895315</v>
      </c>
      <c r="N166" s="118">
        <v>10.95</v>
      </c>
      <c r="O166" s="118">
        <v>6.35</v>
      </c>
      <c r="P166" s="118">
        <v>11</v>
      </c>
      <c r="Q166" s="118">
        <v>8.4499999999999993</v>
      </c>
      <c r="R166" s="118">
        <v>6.95</v>
      </c>
      <c r="S166" s="153">
        <v>8.1199999999999992</v>
      </c>
      <c r="T166" s="153"/>
      <c r="V166" s="115"/>
      <c r="W166" s="115"/>
      <c r="X166" s="120">
        <v>0.4</v>
      </c>
      <c r="Y166" s="120"/>
      <c r="Z166" s="118">
        <v>0.4</v>
      </c>
      <c r="AA166" s="430">
        <v>46161</v>
      </c>
      <c r="AB166" s="117">
        <f t="shared" si="111"/>
        <v>85.4</v>
      </c>
      <c r="AC166" s="117">
        <f t="shared" si="109"/>
        <v>34.160000000000004</v>
      </c>
      <c r="AD166" s="117">
        <f t="shared" si="110"/>
        <v>10.549411764705884</v>
      </c>
      <c r="AE166" s="117"/>
      <c r="AF166" s="447"/>
      <c r="AH166" s="115" t="s">
        <v>91</v>
      </c>
      <c r="AI166" s="113">
        <v>83</v>
      </c>
      <c r="AJ166" s="113">
        <v>73</v>
      </c>
      <c r="AK166" s="113">
        <v>77</v>
      </c>
      <c r="AL166" s="113">
        <v>107</v>
      </c>
      <c r="AM166" s="113">
        <v>80</v>
      </c>
      <c r="AN166" s="113">
        <v>67</v>
      </c>
      <c r="AO166" s="113">
        <v>111</v>
      </c>
      <c r="AP166" s="113">
        <v>61</v>
      </c>
      <c r="AQ166" s="113">
        <v>92</v>
      </c>
      <c r="AR166" s="113">
        <v>75</v>
      </c>
      <c r="AS166" s="113">
        <v>86</v>
      </c>
      <c r="AT166" s="113">
        <v>118</v>
      </c>
      <c r="AU166" s="113">
        <v>70</v>
      </c>
      <c r="AV166" s="113">
        <v>83</v>
      </c>
      <c r="AW166" s="113">
        <v>98</v>
      </c>
    </row>
    <row r="167" spans="1:49" s="113" customFormat="1">
      <c r="A167" s="113" t="s">
        <v>262</v>
      </c>
      <c r="B167" s="113" t="s">
        <v>304</v>
      </c>
      <c r="C167" s="114" t="s">
        <v>305</v>
      </c>
      <c r="D167" s="128" t="s">
        <v>87</v>
      </c>
      <c r="E167" s="127" t="s">
        <v>160</v>
      </c>
      <c r="F167" s="126"/>
      <c r="G167" s="126" t="s">
        <v>204</v>
      </c>
      <c r="H167" s="123">
        <v>622.28571428571433</v>
      </c>
      <c r="I167" s="125">
        <v>24.82</v>
      </c>
      <c r="J167" s="123">
        <v>15330</v>
      </c>
      <c r="K167" s="124"/>
      <c r="L167" s="123">
        <f t="shared" ref="L167" si="117">J167-(J167*K167)</f>
        <v>15330</v>
      </c>
      <c r="M167" s="122">
        <f t="shared" ref="M167" si="118">L167/H167</f>
        <v>24.634986225895315</v>
      </c>
      <c r="N167" s="118">
        <v>10.95</v>
      </c>
      <c r="O167" s="118">
        <v>6.35</v>
      </c>
      <c r="P167" s="118">
        <v>11</v>
      </c>
      <c r="Q167" s="118">
        <v>8.4499999999999993</v>
      </c>
      <c r="R167" s="118">
        <v>6.95</v>
      </c>
      <c r="S167" s="153">
        <v>8.1199999999999992</v>
      </c>
      <c r="T167" s="153"/>
      <c r="V167" s="115"/>
      <c r="W167" s="115"/>
      <c r="X167" s="120">
        <v>0.4</v>
      </c>
      <c r="Y167" s="120"/>
      <c r="Z167" s="118">
        <v>0.4</v>
      </c>
      <c r="AA167" s="430"/>
      <c r="AB167" s="117" t="str">
        <f t="shared" ref="AB167" si="119">IFERROR(AVERAGE(AI167:BG167),"")</f>
        <v/>
      </c>
      <c r="AC167" s="117" t="str">
        <f t="shared" ref="AC167" si="120">IFERROR(AB167*X167,"")</f>
        <v/>
      </c>
      <c r="AD167" s="117" t="str">
        <f t="shared" ref="AD167" si="121">IFERROR(((AC167*L167)/2000)/I167,"")</f>
        <v/>
      </c>
      <c r="AE167" s="117"/>
      <c r="AF167" s="447"/>
      <c r="AH167" s="115"/>
    </row>
    <row r="168" spans="1:49" s="296" customFormat="1">
      <c r="A168" s="296" t="s">
        <v>262</v>
      </c>
      <c r="B168" s="296" t="s">
        <v>306</v>
      </c>
      <c r="C168" s="298" t="s">
        <v>307</v>
      </c>
      <c r="D168" s="299" t="s">
        <v>87</v>
      </c>
      <c r="E168" s="300" t="s">
        <v>261</v>
      </c>
      <c r="F168" s="297">
        <v>71</v>
      </c>
      <c r="G168" s="297" t="s">
        <v>204</v>
      </c>
      <c r="H168" s="301">
        <v>622.28571428571433</v>
      </c>
      <c r="I168" s="302">
        <v>4.53</v>
      </c>
      <c r="J168" s="301">
        <v>2749</v>
      </c>
      <c r="K168" s="237"/>
      <c r="L168" s="301">
        <f t="shared" si="107"/>
        <v>2749</v>
      </c>
      <c r="M168" s="303">
        <f t="shared" si="108"/>
        <v>4.4175849403122127</v>
      </c>
      <c r="N168" s="304"/>
      <c r="O168" s="304">
        <v>2.38</v>
      </c>
      <c r="P168" s="304">
        <v>5.48</v>
      </c>
      <c r="Q168" s="304">
        <v>6.08</v>
      </c>
      <c r="R168" s="304">
        <v>6.85</v>
      </c>
      <c r="S168" s="305">
        <v>8.89</v>
      </c>
      <c r="T168" s="305"/>
      <c r="V168" s="306"/>
      <c r="W168" s="306"/>
      <c r="X168" s="307">
        <v>0.3</v>
      </c>
      <c r="Y168" s="307"/>
      <c r="Z168" s="304">
        <v>0.38</v>
      </c>
      <c r="AA168" s="431">
        <v>46161</v>
      </c>
      <c r="AB168" s="233">
        <f t="shared" si="111"/>
        <v>104.6</v>
      </c>
      <c r="AC168" s="233">
        <f t="shared" si="109"/>
        <v>31.379999999999995</v>
      </c>
      <c r="AD168" s="233">
        <f t="shared" si="110"/>
        <v>9.5213708609271492</v>
      </c>
      <c r="AE168" s="233"/>
      <c r="AF168" s="448"/>
      <c r="AH168" s="306" t="s">
        <v>91</v>
      </c>
      <c r="AI168" s="296">
        <v>101</v>
      </c>
      <c r="AJ168" s="296">
        <v>106</v>
      </c>
      <c r="AK168" s="296">
        <v>130</v>
      </c>
      <c r="AL168" s="296">
        <v>110</v>
      </c>
      <c r="AM168" s="296">
        <v>95</v>
      </c>
      <c r="AN168" s="296">
        <v>115</v>
      </c>
      <c r="AO168" s="296">
        <v>88</v>
      </c>
      <c r="AP168" s="296">
        <v>97</v>
      </c>
      <c r="AQ168" s="296">
        <v>127</v>
      </c>
      <c r="AR168" s="296">
        <v>100</v>
      </c>
      <c r="AS168" s="296">
        <v>126</v>
      </c>
      <c r="AT168" s="296">
        <v>76</v>
      </c>
      <c r="AU168" s="296">
        <v>116</v>
      </c>
      <c r="AV168" s="296">
        <v>99</v>
      </c>
      <c r="AW168" s="296">
        <v>83</v>
      </c>
    </row>
    <row r="169" spans="1:49" s="296" customFormat="1">
      <c r="A169" s="296" t="s">
        <v>262</v>
      </c>
      <c r="B169" s="296" t="s">
        <v>306</v>
      </c>
      <c r="C169" s="298" t="s">
        <v>307</v>
      </c>
      <c r="D169" s="299" t="s">
        <v>87</v>
      </c>
      <c r="E169" s="300" t="s">
        <v>261</v>
      </c>
      <c r="F169" s="297">
        <v>71</v>
      </c>
      <c r="G169" s="297" t="s">
        <v>204</v>
      </c>
      <c r="H169" s="301">
        <v>622.28571428571433</v>
      </c>
      <c r="I169" s="302">
        <v>4.53</v>
      </c>
      <c r="J169" s="301">
        <v>2749</v>
      </c>
      <c r="K169" s="237"/>
      <c r="L169" s="301">
        <f t="shared" si="107"/>
        <v>2749</v>
      </c>
      <c r="M169" s="303">
        <f t="shared" si="108"/>
        <v>4.4175849403122127</v>
      </c>
      <c r="N169" s="304"/>
      <c r="O169" s="304">
        <v>2.38</v>
      </c>
      <c r="P169" s="304">
        <v>5.48</v>
      </c>
      <c r="Q169" s="304">
        <v>6.08</v>
      </c>
      <c r="R169" s="304">
        <v>6.85</v>
      </c>
      <c r="S169" s="305">
        <v>8.89</v>
      </c>
      <c r="T169" s="305"/>
      <c r="V169" s="306"/>
      <c r="W169" s="306"/>
      <c r="X169" s="307">
        <v>0.3</v>
      </c>
      <c r="Y169" s="307"/>
      <c r="Z169" s="304">
        <v>0.38</v>
      </c>
      <c r="AA169" s="431"/>
      <c r="AB169" s="233" t="str">
        <f t="shared" si="111"/>
        <v/>
      </c>
      <c r="AC169" s="233" t="str">
        <f t="shared" si="109"/>
        <v/>
      </c>
      <c r="AD169" s="233" t="str">
        <f t="shared" si="110"/>
        <v/>
      </c>
      <c r="AE169" s="233"/>
      <c r="AF169" s="448"/>
      <c r="AH169" s="306"/>
    </row>
    <row r="170" spans="1:49" s="296" customFormat="1">
      <c r="A170" s="296" t="s">
        <v>262</v>
      </c>
      <c r="B170" s="296" t="s">
        <v>306</v>
      </c>
      <c r="C170" s="298" t="s">
        <v>307</v>
      </c>
      <c r="D170" s="299" t="s">
        <v>87</v>
      </c>
      <c r="E170" s="300" t="s">
        <v>261</v>
      </c>
      <c r="F170" s="297">
        <v>71</v>
      </c>
      <c r="G170" s="297" t="s">
        <v>204</v>
      </c>
      <c r="H170" s="301">
        <v>622.28571428571433</v>
      </c>
      <c r="I170" s="302">
        <v>4.53</v>
      </c>
      <c r="J170" s="301">
        <v>2749</v>
      </c>
      <c r="K170" s="237"/>
      <c r="L170" s="301">
        <f t="shared" si="107"/>
        <v>2749</v>
      </c>
      <c r="M170" s="303">
        <f t="shared" si="108"/>
        <v>4.4175849403122127</v>
      </c>
      <c r="N170" s="304"/>
      <c r="O170" s="304">
        <v>2.38</v>
      </c>
      <c r="P170" s="304">
        <v>5.48</v>
      </c>
      <c r="Q170" s="304">
        <v>6.08</v>
      </c>
      <c r="R170" s="304">
        <v>6.85</v>
      </c>
      <c r="S170" s="305">
        <v>8.89</v>
      </c>
      <c r="T170" s="305"/>
      <c r="V170" s="306"/>
      <c r="W170" s="306"/>
      <c r="X170" s="307">
        <v>0.3</v>
      </c>
      <c r="Y170" s="307"/>
      <c r="Z170" s="304">
        <v>0.38</v>
      </c>
      <c r="AA170" s="431"/>
      <c r="AB170" s="233" t="str">
        <f t="shared" si="111"/>
        <v/>
      </c>
      <c r="AC170" s="233" t="str">
        <f t="shared" si="109"/>
        <v/>
      </c>
      <c r="AD170" s="233" t="str">
        <f t="shared" si="110"/>
        <v/>
      </c>
      <c r="AE170" s="233"/>
      <c r="AF170" s="448"/>
      <c r="AH170" s="306"/>
    </row>
    <row r="171" spans="1:49" s="113" customFormat="1" ht="14.45" customHeight="1">
      <c r="A171" s="113" t="s">
        <v>262</v>
      </c>
      <c r="B171" s="113" t="s">
        <v>308</v>
      </c>
      <c r="C171" s="114" t="s">
        <v>309</v>
      </c>
      <c r="D171" s="128" t="s">
        <v>87</v>
      </c>
      <c r="E171" s="127" t="s">
        <v>261</v>
      </c>
      <c r="F171" s="126">
        <v>71</v>
      </c>
      <c r="G171" s="126" t="s">
        <v>204</v>
      </c>
      <c r="H171" s="123">
        <v>622.28571428571433</v>
      </c>
      <c r="I171" s="125">
        <v>9.48</v>
      </c>
      <c r="J171" s="123">
        <v>5853</v>
      </c>
      <c r="K171" s="124"/>
      <c r="L171" s="123">
        <f t="shared" si="107"/>
        <v>5853</v>
      </c>
      <c r="M171" s="122">
        <f t="shared" si="108"/>
        <v>9.4056473829201099</v>
      </c>
      <c r="N171" s="118"/>
      <c r="O171" s="118">
        <v>5.69</v>
      </c>
      <c r="P171" s="118">
        <v>7.96</v>
      </c>
      <c r="Q171" s="118">
        <v>9.02</v>
      </c>
      <c r="R171" s="118">
        <v>8.17</v>
      </c>
      <c r="S171" s="153">
        <v>8.91</v>
      </c>
      <c r="T171" s="153"/>
      <c r="V171" s="115"/>
      <c r="W171" s="115"/>
      <c r="X171" s="120">
        <v>0.3</v>
      </c>
      <c r="Y171" s="120"/>
      <c r="Z171" s="118">
        <v>0.38</v>
      </c>
      <c r="AA171" s="430"/>
      <c r="AB171" s="117" t="str">
        <f t="shared" si="111"/>
        <v/>
      </c>
      <c r="AC171" s="117" t="str">
        <f t="shared" si="109"/>
        <v/>
      </c>
      <c r="AD171" s="117" t="str">
        <f t="shared" si="110"/>
        <v/>
      </c>
      <c r="AE171" s="117"/>
      <c r="AF171" s="447"/>
      <c r="AH171" s="115"/>
    </row>
    <row r="172" spans="1:49" s="113" customFormat="1" ht="14.45" customHeight="1">
      <c r="A172" s="113" t="s">
        <v>262</v>
      </c>
      <c r="B172" s="113" t="s">
        <v>308</v>
      </c>
      <c r="C172" s="114" t="s">
        <v>309</v>
      </c>
      <c r="D172" s="128" t="s">
        <v>87</v>
      </c>
      <c r="E172" s="127" t="s">
        <v>261</v>
      </c>
      <c r="F172" s="126">
        <v>71</v>
      </c>
      <c r="G172" s="126" t="s">
        <v>204</v>
      </c>
      <c r="H172" s="123">
        <v>622.28571428571433</v>
      </c>
      <c r="I172" s="125">
        <v>9.48</v>
      </c>
      <c r="J172" s="123">
        <v>5853</v>
      </c>
      <c r="K172" s="124"/>
      <c r="L172" s="123">
        <f t="shared" si="107"/>
        <v>5853</v>
      </c>
      <c r="M172" s="122">
        <f t="shared" si="108"/>
        <v>9.4056473829201099</v>
      </c>
      <c r="N172" s="118"/>
      <c r="O172" s="118">
        <v>5.69</v>
      </c>
      <c r="P172" s="118">
        <v>7.96</v>
      </c>
      <c r="Q172" s="118">
        <v>9.02</v>
      </c>
      <c r="R172" s="118">
        <v>8.17</v>
      </c>
      <c r="S172" s="153">
        <v>8.91</v>
      </c>
      <c r="T172" s="153"/>
      <c r="V172" s="115"/>
      <c r="W172" s="115"/>
      <c r="X172" s="120">
        <v>0.3</v>
      </c>
      <c r="Y172" s="120"/>
      <c r="Z172" s="118">
        <v>0.38</v>
      </c>
      <c r="AA172" s="430"/>
      <c r="AB172" s="117" t="str">
        <f t="shared" si="111"/>
        <v/>
      </c>
      <c r="AC172" s="117" t="str">
        <f t="shared" si="109"/>
        <v/>
      </c>
      <c r="AD172" s="117" t="str">
        <f t="shared" si="110"/>
        <v/>
      </c>
      <c r="AE172" s="117"/>
      <c r="AF172" s="447"/>
      <c r="AH172" s="115"/>
    </row>
    <row r="173" spans="1:49" s="113" customFormat="1" ht="14.45" customHeight="1">
      <c r="A173" s="113" t="s">
        <v>262</v>
      </c>
      <c r="B173" s="113" t="s">
        <v>308</v>
      </c>
      <c r="C173" s="114" t="s">
        <v>309</v>
      </c>
      <c r="D173" s="128" t="s">
        <v>87</v>
      </c>
      <c r="E173" s="127" t="s">
        <v>261</v>
      </c>
      <c r="F173" s="126">
        <v>71</v>
      </c>
      <c r="G173" s="126" t="s">
        <v>204</v>
      </c>
      <c r="H173" s="123">
        <v>622.28571428571433</v>
      </c>
      <c r="I173" s="125">
        <v>9.48</v>
      </c>
      <c r="J173" s="123">
        <v>5853</v>
      </c>
      <c r="K173" s="124"/>
      <c r="L173" s="123">
        <f t="shared" si="107"/>
        <v>5853</v>
      </c>
      <c r="M173" s="122">
        <f t="shared" si="108"/>
        <v>9.4056473829201099</v>
      </c>
      <c r="N173" s="118"/>
      <c r="O173" s="118">
        <v>5.69</v>
      </c>
      <c r="P173" s="118">
        <v>7.96</v>
      </c>
      <c r="Q173" s="118">
        <v>9.02</v>
      </c>
      <c r="R173" s="118">
        <v>8.17</v>
      </c>
      <c r="S173" s="153">
        <v>8.91</v>
      </c>
      <c r="T173" s="153"/>
      <c r="V173" s="115"/>
      <c r="W173" s="115"/>
      <c r="X173" s="120">
        <v>0.3</v>
      </c>
      <c r="Y173" s="120"/>
      <c r="Z173" s="118">
        <v>0.38</v>
      </c>
      <c r="AA173" s="430"/>
      <c r="AB173" s="117" t="str">
        <f t="shared" si="111"/>
        <v/>
      </c>
      <c r="AC173" s="117" t="str">
        <f t="shared" si="109"/>
        <v/>
      </c>
      <c r="AD173" s="117" t="str">
        <f t="shared" si="110"/>
        <v/>
      </c>
      <c r="AE173" s="117"/>
      <c r="AF173" s="447"/>
      <c r="AH173" s="115"/>
    </row>
    <row r="174" spans="1:49" s="296" customFormat="1">
      <c r="A174" s="296" t="s">
        <v>262</v>
      </c>
      <c r="B174" s="296" t="s">
        <v>310</v>
      </c>
      <c r="C174" s="298" t="s">
        <v>311</v>
      </c>
      <c r="D174" s="299" t="s">
        <v>87</v>
      </c>
      <c r="E174" s="300" t="s">
        <v>312</v>
      </c>
      <c r="F174" s="297">
        <v>1</v>
      </c>
      <c r="G174" s="297" t="s">
        <v>204</v>
      </c>
      <c r="H174" s="301">
        <v>806.66666666666663</v>
      </c>
      <c r="I174" s="302">
        <v>19.96</v>
      </c>
      <c r="J174" s="301">
        <v>15190</v>
      </c>
      <c r="K174" s="237"/>
      <c r="L174" s="301">
        <f t="shared" si="107"/>
        <v>15190</v>
      </c>
      <c r="M174" s="303">
        <f t="shared" si="108"/>
        <v>18.830578512396695</v>
      </c>
      <c r="N174" s="304">
        <v>9.82</v>
      </c>
      <c r="O174" s="304">
        <v>8.7899999999999991</v>
      </c>
      <c r="P174" s="304">
        <v>10.78</v>
      </c>
      <c r="Q174" s="304">
        <v>9.7799999999999994</v>
      </c>
      <c r="R174" s="304">
        <v>8.25</v>
      </c>
      <c r="S174" s="305">
        <v>9.48</v>
      </c>
      <c r="T174" s="305"/>
      <c r="V174" s="306"/>
      <c r="W174" s="306"/>
      <c r="X174" s="307"/>
      <c r="Y174" s="307"/>
      <c r="Z174" s="304">
        <v>0.3</v>
      </c>
      <c r="AA174" s="431"/>
      <c r="AB174" s="233" t="str">
        <f t="shared" si="111"/>
        <v/>
      </c>
      <c r="AC174" s="233" t="str">
        <f t="shared" si="109"/>
        <v/>
      </c>
      <c r="AD174" s="233" t="str">
        <f t="shared" si="110"/>
        <v/>
      </c>
      <c r="AE174" s="233"/>
      <c r="AF174" s="448"/>
      <c r="AH174" s="306"/>
    </row>
    <row r="175" spans="1:49" s="296" customFormat="1">
      <c r="A175" s="296" t="s">
        <v>262</v>
      </c>
      <c r="B175" s="296" t="s">
        <v>310</v>
      </c>
      <c r="C175" s="298" t="s">
        <v>313</v>
      </c>
      <c r="D175" s="299" t="s">
        <v>87</v>
      </c>
      <c r="E175" s="300" t="s">
        <v>312</v>
      </c>
      <c r="F175" s="297">
        <v>1</v>
      </c>
      <c r="G175" s="297" t="s">
        <v>204</v>
      </c>
      <c r="H175" s="301">
        <v>806.66666666666663</v>
      </c>
      <c r="I175" s="302">
        <v>19.96</v>
      </c>
      <c r="J175" s="301">
        <v>15190</v>
      </c>
      <c r="K175" s="237"/>
      <c r="L175" s="301">
        <f t="shared" si="107"/>
        <v>15190</v>
      </c>
      <c r="M175" s="303">
        <f t="shared" si="108"/>
        <v>18.830578512396695</v>
      </c>
      <c r="N175" s="304"/>
      <c r="O175" s="304"/>
      <c r="P175" s="304"/>
      <c r="Q175" s="304"/>
      <c r="R175" s="304"/>
      <c r="S175" s="305">
        <v>9.48</v>
      </c>
      <c r="T175" s="305"/>
      <c r="V175" s="306"/>
      <c r="W175" s="306"/>
      <c r="X175" s="307"/>
      <c r="Y175" s="307"/>
      <c r="Z175" s="304">
        <v>0.3</v>
      </c>
      <c r="AA175" s="431"/>
      <c r="AB175" s="233" t="str">
        <f t="shared" si="111"/>
        <v/>
      </c>
      <c r="AC175" s="233" t="str">
        <f t="shared" si="109"/>
        <v/>
      </c>
      <c r="AD175" s="233" t="str">
        <f t="shared" si="110"/>
        <v/>
      </c>
      <c r="AE175" s="233"/>
      <c r="AF175" s="448"/>
      <c r="AH175" s="306"/>
    </row>
    <row r="176" spans="1:49" s="113" customFormat="1">
      <c r="A176" s="113" t="s">
        <v>262</v>
      </c>
      <c r="B176" s="113" t="s">
        <v>314</v>
      </c>
      <c r="C176" s="126" t="s">
        <v>315</v>
      </c>
      <c r="D176" s="127" t="s">
        <v>87</v>
      </c>
      <c r="E176" s="127" t="s">
        <v>261</v>
      </c>
      <c r="F176" s="126"/>
      <c r="G176" s="126"/>
      <c r="H176" s="123">
        <v>871</v>
      </c>
      <c r="I176" s="125">
        <v>18.11</v>
      </c>
      <c r="J176" s="123">
        <v>11709</v>
      </c>
      <c r="K176" s="124">
        <v>0.03</v>
      </c>
      <c r="L176" s="123">
        <f t="shared" si="107"/>
        <v>11357.73</v>
      </c>
      <c r="M176" s="122">
        <f t="shared" si="108"/>
        <v>13.039873708381171</v>
      </c>
      <c r="N176" s="125"/>
      <c r="O176" s="125"/>
      <c r="P176" s="125"/>
      <c r="Q176" s="125"/>
      <c r="R176" s="125"/>
      <c r="S176" s="154">
        <v>6.87</v>
      </c>
      <c r="T176" s="154"/>
      <c r="V176" s="115"/>
      <c r="W176" s="115"/>
      <c r="X176" s="120">
        <v>0.28000000000000003</v>
      </c>
      <c r="Y176" s="120"/>
      <c r="Z176" s="118">
        <v>0.38</v>
      </c>
      <c r="AA176" s="430"/>
      <c r="AB176" s="117" t="str">
        <f t="shared" si="111"/>
        <v/>
      </c>
      <c r="AC176" s="117" t="str">
        <f t="shared" si="109"/>
        <v/>
      </c>
      <c r="AD176" s="117" t="str">
        <f t="shared" si="110"/>
        <v/>
      </c>
      <c r="AE176" s="117"/>
      <c r="AF176" s="447"/>
      <c r="AH176" s="115"/>
    </row>
    <row r="177" spans="1:50" s="113" customFormat="1" ht="14.45" customHeight="1">
      <c r="A177" s="113" t="s">
        <v>262</v>
      </c>
      <c r="B177" s="113" t="s">
        <v>314</v>
      </c>
      <c r="C177" s="126" t="s">
        <v>315</v>
      </c>
      <c r="D177" s="127" t="s">
        <v>87</v>
      </c>
      <c r="E177" s="127" t="s">
        <v>261</v>
      </c>
      <c r="F177" s="126"/>
      <c r="G177" s="126"/>
      <c r="H177" s="123">
        <v>871</v>
      </c>
      <c r="I177" s="125">
        <v>18.11</v>
      </c>
      <c r="J177" s="123">
        <v>11709</v>
      </c>
      <c r="K177" s="124">
        <v>0.03</v>
      </c>
      <c r="L177" s="123">
        <f t="shared" si="107"/>
        <v>11357.73</v>
      </c>
      <c r="M177" s="122">
        <f t="shared" si="108"/>
        <v>13.039873708381171</v>
      </c>
      <c r="N177" s="125"/>
      <c r="O177" s="125"/>
      <c r="P177" s="125"/>
      <c r="Q177" s="125"/>
      <c r="R177" s="125"/>
      <c r="S177" s="154">
        <v>6.87</v>
      </c>
      <c r="T177" s="154"/>
      <c r="V177" s="115"/>
      <c r="W177" s="115"/>
      <c r="X177" s="120">
        <v>0.28000000000000003</v>
      </c>
      <c r="Y177" s="120"/>
      <c r="Z177" s="118">
        <v>0.38</v>
      </c>
      <c r="AA177" s="430"/>
      <c r="AB177" s="117" t="str">
        <f t="shared" si="111"/>
        <v/>
      </c>
      <c r="AC177" s="117" t="str">
        <f t="shared" si="109"/>
        <v/>
      </c>
      <c r="AD177" s="117" t="str">
        <f t="shared" si="110"/>
        <v/>
      </c>
      <c r="AE177" s="117"/>
      <c r="AF177" s="447"/>
      <c r="AH177" s="115"/>
    </row>
    <row r="178" spans="1:50" s="296" customFormat="1">
      <c r="A178" s="296" t="s">
        <v>262</v>
      </c>
      <c r="B178" s="296" t="s">
        <v>316</v>
      </c>
      <c r="C178" s="298" t="s">
        <v>317</v>
      </c>
      <c r="D178" s="299" t="s">
        <v>87</v>
      </c>
      <c r="E178" s="300" t="s">
        <v>261</v>
      </c>
      <c r="F178" s="297"/>
      <c r="G178" s="297"/>
      <c r="H178" s="301">
        <v>807</v>
      </c>
      <c r="I178" s="302">
        <v>4.5999999999999996</v>
      </c>
      <c r="J178" s="301">
        <v>3709</v>
      </c>
      <c r="K178" s="237"/>
      <c r="L178" s="301">
        <f t="shared" si="107"/>
        <v>3709</v>
      </c>
      <c r="M178" s="303">
        <f t="shared" si="108"/>
        <v>4.596034696406444</v>
      </c>
      <c r="N178" s="304"/>
      <c r="O178" s="304"/>
      <c r="P178" s="304"/>
      <c r="Q178" s="304"/>
      <c r="R178" s="304"/>
      <c r="S178" s="305">
        <v>6.77</v>
      </c>
      <c r="T178" s="305"/>
      <c r="V178" s="306"/>
      <c r="W178" s="306"/>
      <c r="X178" s="307">
        <v>0.35</v>
      </c>
      <c r="Y178" s="307"/>
      <c r="Z178" s="304"/>
      <c r="AA178" s="431">
        <v>46115</v>
      </c>
      <c r="AB178" s="233">
        <f t="shared" si="111"/>
        <v>99.3</v>
      </c>
      <c r="AC178" s="233">
        <f t="shared" si="109"/>
        <v>34.754999999999995</v>
      </c>
      <c r="AD178" s="233">
        <f t="shared" si="110"/>
        <v>14.011553804347825</v>
      </c>
      <c r="AE178" s="233"/>
      <c r="AF178" s="448"/>
      <c r="AH178" s="306" t="s">
        <v>282</v>
      </c>
      <c r="AI178" s="296">
        <v>94</v>
      </c>
      <c r="AJ178" s="296">
        <v>96</v>
      </c>
      <c r="AK178" s="296">
        <v>107</v>
      </c>
      <c r="AL178" s="296">
        <v>91</v>
      </c>
      <c r="AM178" s="296">
        <v>97</v>
      </c>
      <c r="AN178" s="296">
        <v>103</v>
      </c>
      <c r="AO178" s="296">
        <v>102</v>
      </c>
      <c r="AP178" s="296">
        <v>93</v>
      </c>
      <c r="AQ178" s="296">
        <v>111</v>
      </c>
      <c r="AR178" s="296">
        <v>99</v>
      </c>
    </row>
    <row r="179" spans="1:50" s="113" customFormat="1" ht="14.45" customHeight="1">
      <c r="A179" s="113" t="s">
        <v>262</v>
      </c>
      <c r="B179" s="113" t="s">
        <v>318</v>
      </c>
      <c r="C179" s="114" t="s">
        <v>319</v>
      </c>
      <c r="D179" s="128" t="s">
        <v>87</v>
      </c>
      <c r="E179" s="127" t="s">
        <v>261</v>
      </c>
      <c r="F179" s="126" t="s">
        <v>320</v>
      </c>
      <c r="G179" s="126" t="s">
        <v>204</v>
      </c>
      <c r="H179" s="123">
        <v>806.66666666666663</v>
      </c>
      <c r="I179" s="125">
        <v>45.71</v>
      </c>
      <c r="J179" s="123">
        <v>36610</v>
      </c>
      <c r="K179" s="124">
        <v>0.05</v>
      </c>
      <c r="L179" s="123">
        <f t="shared" si="107"/>
        <v>34779.5</v>
      </c>
      <c r="M179" s="122">
        <f t="shared" si="108"/>
        <v>43.115082644628103</v>
      </c>
      <c r="N179" s="118"/>
      <c r="O179" s="118">
        <v>7.1</v>
      </c>
      <c r="P179" s="118">
        <v>11.32</v>
      </c>
      <c r="Q179" s="118">
        <v>10.95</v>
      </c>
      <c r="R179" s="118">
        <v>9.01</v>
      </c>
      <c r="S179" s="153">
        <v>7.29</v>
      </c>
      <c r="T179" s="153"/>
      <c r="U179" s="113" t="s">
        <v>321</v>
      </c>
      <c r="V179" s="115" t="s">
        <v>130</v>
      </c>
      <c r="W179" s="115"/>
      <c r="X179" s="120">
        <v>0.26</v>
      </c>
      <c r="Y179" s="120"/>
      <c r="Z179" s="118">
        <v>0.38</v>
      </c>
      <c r="AA179" s="430">
        <v>46112</v>
      </c>
      <c r="AB179" s="117">
        <f t="shared" si="111"/>
        <v>95.833333333333329</v>
      </c>
      <c r="AC179" s="117">
        <f t="shared" si="109"/>
        <v>24.916666666666668</v>
      </c>
      <c r="AD179" s="117">
        <f t="shared" si="110"/>
        <v>9.4792081419091367</v>
      </c>
      <c r="AE179" s="117"/>
      <c r="AF179" s="447"/>
      <c r="AH179" s="115" t="s">
        <v>269</v>
      </c>
      <c r="AI179" s="113">
        <v>90</v>
      </c>
      <c r="AJ179" s="113">
        <v>103</v>
      </c>
      <c r="AK179" s="113">
        <v>104</v>
      </c>
      <c r="AL179" s="113">
        <v>74</v>
      </c>
      <c r="AM179" s="113">
        <v>103</v>
      </c>
      <c r="AN179" s="113">
        <v>101</v>
      </c>
    </row>
    <row r="180" spans="1:50" s="113" customFormat="1" ht="14.45" customHeight="1">
      <c r="A180" s="113" t="s">
        <v>262</v>
      </c>
      <c r="B180" s="113" t="s">
        <v>318</v>
      </c>
      <c r="C180" s="114" t="s">
        <v>319</v>
      </c>
      <c r="D180" s="128" t="s">
        <v>87</v>
      </c>
      <c r="E180" s="127" t="s">
        <v>261</v>
      </c>
      <c r="F180" s="126" t="s">
        <v>320</v>
      </c>
      <c r="G180" s="126" t="s">
        <v>204</v>
      </c>
      <c r="H180" s="123">
        <v>806.66666666666663</v>
      </c>
      <c r="I180" s="125">
        <v>45.71</v>
      </c>
      <c r="J180" s="123">
        <v>36610</v>
      </c>
      <c r="K180" s="124">
        <v>0.05</v>
      </c>
      <c r="L180" s="123">
        <f t="shared" si="107"/>
        <v>34779.5</v>
      </c>
      <c r="M180" s="122">
        <f t="shared" si="108"/>
        <v>43.115082644628103</v>
      </c>
      <c r="N180" s="118"/>
      <c r="O180" s="118">
        <v>7.1</v>
      </c>
      <c r="P180" s="118">
        <v>11.32</v>
      </c>
      <c r="Q180" s="118">
        <v>10.95</v>
      </c>
      <c r="R180" s="118">
        <v>9.01</v>
      </c>
      <c r="S180" s="153">
        <v>7.29</v>
      </c>
      <c r="T180" s="153"/>
      <c r="U180" s="113" t="s">
        <v>322</v>
      </c>
      <c r="V180" s="115" t="s">
        <v>103</v>
      </c>
      <c r="W180" s="115"/>
      <c r="X180" s="120">
        <v>0.26</v>
      </c>
      <c r="Y180" s="120"/>
      <c r="Z180" s="118">
        <v>0.38</v>
      </c>
      <c r="AA180" s="430">
        <v>46175</v>
      </c>
      <c r="AB180" s="117">
        <f t="shared" si="111"/>
        <v>87.86666666666666</v>
      </c>
      <c r="AC180" s="117">
        <f t="shared" si="109"/>
        <v>22.845333333333333</v>
      </c>
      <c r="AD180" s="117">
        <f t="shared" si="110"/>
        <v>8.6911974476773857</v>
      </c>
      <c r="AE180" s="117"/>
      <c r="AF180" s="447"/>
      <c r="AH180" s="115" t="s">
        <v>116</v>
      </c>
      <c r="AI180" s="113">
        <v>93</v>
      </c>
      <c r="AJ180" s="113">
        <v>81</v>
      </c>
      <c r="AK180" s="113">
        <v>89</v>
      </c>
      <c r="AL180" s="113">
        <v>95</v>
      </c>
      <c r="AM180" s="113">
        <v>79</v>
      </c>
      <c r="AN180" s="113">
        <v>86</v>
      </c>
      <c r="AO180" s="113">
        <v>80</v>
      </c>
      <c r="AP180" s="113">
        <v>78</v>
      </c>
      <c r="AQ180" s="113">
        <v>96</v>
      </c>
      <c r="AR180" s="113">
        <v>93</v>
      </c>
      <c r="AS180" s="113">
        <v>88</v>
      </c>
      <c r="AT180" s="113">
        <v>86</v>
      </c>
      <c r="AU180" s="113">
        <v>90</v>
      </c>
      <c r="AV180" s="113">
        <v>89</v>
      </c>
      <c r="AW180" s="113">
        <v>95</v>
      </c>
    </row>
    <row r="181" spans="1:50" s="113" customFormat="1" ht="13.9" customHeight="1">
      <c r="A181" s="113" t="s">
        <v>262</v>
      </c>
      <c r="B181" s="113" t="s">
        <v>318</v>
      </c>
      <c r="C181" s="114" t="s">
        <v>319</v>
      </c>
      <c r="D181" s="128" t="s">
        <v>87</v>
      </c>
      <c r="E181" s="127" t="s">
        <v>261</v>
      </c>
      <c r="F181" s="126" t="s">
        <v>320</v>
      </c>
      <c r="G181" s="126" t="s">
        <v>204</v>
      </c>
      <c r="H181" s="123">
        <v>806.66666666666663</v>
      </c>
      <c r="I181" s="125">
        <v>45.71</v>
      </c>
      <c r="J181" s="123">
        <v>36610</v>
      </c>
      <c r="K181" s="124">
        <v>0.05</v>
      </c>
      <c r="L181" s="123">
        <f t="shared" si="107"/>
        <v>34779.5</v>
      </c>
      <c r="M181" s="122">
        <f t="shared" si="108"/>
        <v>43.115082644628103</v>
      </c>
      <c r="N181" s="118"/>
      <c r="O181" s="118">
        <v>7.1</v>
      </c>
      <c r="P181" s="118">
        <v>11.32</v>
      </c>
      <c r="Q181" s="118">
        <v>10.95</v>
      </c>
      <c r="R181" s="118">
        <v>9.01</v>
      </c>
      <c r="S181" s="153">
        <v>7.29</v>
      </c>
      <c r="T181" s="153"/>
      <c r="V181" s="115"/>
      <c r="W181" s="115"/>
      <c r="X181" s="120">
        <v>0.26</v>
      </c>
      <c r="Y181" s="120"/>
      <c r="Z181" s="118">
        <v>0.38</v>
      </c>
      <c r="AA181" s="430"/>
      <c r="AB181" s="117" t="str">
        <f t="shared" si="111"/>
        <v/>
      </c>
      <c r="AC181" s="117" t="str">
        <f t="shared" si="109"/>
        <v/>
      </c>
      <c r="AD181" s="117" t="str">
        <f t="shared" si="110"/>
        <v/>
      </c>
      <c r="AE181" s="117"/>
      <c r="AF181" s="447"/>
      <c r="AH181" s="115"/>
    </row>
    <row r="182" spans="1:50" s="113" customFormat="1" ht="13.9" customHeight="1">
      <c r="A182" s="113" t="s">
        <v>262</v>
      </c>
      <c r="B182" s="113" t="s">
        <v>318</v>
      </c>
      <c r="C182" s="114" t="s">
        <v>319</v>
      </c>
      <c r="D182" s="128" t="s">
        <v>87</v>
      </c>
      <c r="E182" s="127" t="s">
        <v>261</v>
      </c>
      <c r="F182" s="126" t="s">
        <v>320</v>
      </c>
      <c r="G182" s="126" t="s">
        <v>204</v>
      </c>
      <c r="H182" s="123">
        <v>806.66666666666663</v>
      </c>
      <c r="I182" s="125">
        <v>45.71</v>
      </c>
      <c r="J182" s="123">
        <v>36610</v>
      </c>
      <c r="K182" s="124">
        <v>0.05</v>
      </c>
      <c r="L182" s="123">
        <f t="shared" si="107"/>
        <v>34779.5</v>
      </c>
      <c r="M182" s="122">
        <f t="shared" si="108"/>
        <v>43.115082644628103</v>
      </c>
      <c r="N182" s="118"/>
      <c r="O182" s="118">
        <v>7.1</v>
      </c>
      <c r="P182" s="118">
        <v>11.32</v>
      </c>
      <c r="Q182" s="118">
        <v>10.95</v>
      </c>
      <c r="R182" s="118">
        <v>9.01</v>
      </c>
      <c r="S182" s="153">
        <v>7.29</v>
      </c>
      <c r="T182" s="153"/>
      <c r="V182" s="115"/>
      <c r="W182" s="115"/>
      <c r="X182" s="120">
        <v>0.26</v>
      </c>
      <c r="Y182" s="120"/>
      <c r="Z182" s="118">
        <v>0.38</v>
      </c>
      <c r="AA182" s="430"/>
      <c r="AB182" s="117" t="str">
        <f t="shared" si="111"/>
        <v/>
      </c>
      <c r="AC182" s="117" t="str">
        <f t="shared" si="109"/>
        <v/>
      </c>
      <c r="AD182" s="117" t="str">
        <f t="shared" si="110"/>
        <v/>
      </c>
      <c r="AE182" s="117"/>
      <c r="AF182" s="447"/>
      <c r="AH182" s="115"/>
    </row>
    <row r="183" spans="1:50" s="113" customFormat="1" ht="13.9" customHeight="1">
      <c r="A183" s="113" t="s">
        <v>262</v>
      </c>
      <c r="B183" s="113" t="s">
        <v>318</v>
      </c>
      <c r="C183" s="114" t="s">
        <v>319</v>
      </c>
      <c r="D183" s="128" t="s">
        <v>87</v>
      </c>
      <c r="E183" s="127" t="s">
        <v>261</v>
      </c>
      <c r="F183" s="126" t="s">
        <v>320</v>
      </c>
      <c r="G183" s="126" t="s">
        <v>204</v>
      </c>
      <c r="H183" s="123">
        <v>806.66666666666663</v>
      </c>
      <c r="I183" s="125">
        <v>45.71</v>
      </c>
      <c r="J183" s="123">
        <v>36610</v>
      </c>
      <c r="K183" s="124">
        <v>0.05</v>
      </c>
      <c r="L183" s="123">
        <f t="shared" si="107"/>
        <v>34779.5</v>
      </c>
      <c r="M183" s="122">
        <f t="shared" si="108"/>
        <v>43.115082644628103</v>
      </c>
      <c r="N183" s="118"/>
      <c r="O183" s="118">
        <v>7.1</v>
      </c>
      <c r="P183" s="118">
        <v>11.32</v>
      </c>
      <c r="Q183" s="118">
        <v>10.95</v>
      </c>
      <c r="R183" s="118">
        <v>9.01</v>
      </c>
      <c r="S183" s="153">
        <v>7.29</v>
      </c>
      <c r="T183" s="153"/>
      <c r="V183" s="115"/>
      <c r="W183" s="115"/>
      <c r="X183" s="120">
        <v>0.26</v>
      </c>
      <c r="Y183" s="120"/>
      <c r="Z183" s="118">
        <v>0.38</v>
      </c>
      <c r="AA183" s="430"/>
      <c r="AB183" s="117" t="str">
        <f t="shared" si="111"/>
        <v/>
      </c>
      <c r="AC183" s="117" t="str">
        <f t="shared" si="109"/>
        <v/>
      </c>
      <c r="AD183" s="117" t="str">
        <f t="shared" si="110"/>
        <v/>
      </c>
      <c r="AE183" s="117"/>
      <c r="AF183" s="447"/>
      <c r="AH183" s="115"/>
    </row>
    <row r="184" spans="1:50" s="296" customFormat="1">
      <c r="A184" s="296" t="s">
        <v>262</v>
      </c>
      <c r="B184" s="296" t="s">
        <v>323</v>
      </c>
      <c r="C184" s="298" t="s">
        <v>324</v>
      </c>
      <c r="D184" s="299" t="s">
        <v>87</v>
      </c>
      <c r="E184" s="300" t="s">
        <v>156</v>
      </c>
      <c r="F184" s="297">
        <v>146</v>
      </c>
      <c r="G184" s="297" t="s">
        <v>204</v>
      </c>
      <c r="H184" s="301">
        <v>806.66666666666663</v>
      </c>
      <c r="I184" s="302">
        <v>45.11</v>
      </c>
      <c r="J184" s="301">
        <v>36108</v>
      </c>
      <c r="K184" s="237"/>
      <c r="L184" s="301">
        <f t="shared" si="107"/>
        <v>36108</v>
      </c>
      <c r="M184" s="303">
        <f t="shared" si="108"/>
        <v>44.76198347107438</v>
      </c>
      <c r="N184" s="304"/>
      <c r="O184" s="304">
        <v>7.95</v>
      </c>
      <c r="P184" s="304">
        <v>11.72</v>
      </c>
      <c r="Q184" s="304">
        <v>9.67</v>
      </c>
      <c r="R184" s="304">
        <v>9.84</v>
      </c>
      <c r="S184" s="305">
        <v>9.9700000000000006</v>
      </c>
      <c r="T184" s="305"/>
      <c r="U184" s="296" t="s">
        <v>106</v>
      </c>
      <c r="V184" s="306" t="s">
        <v>130</v>
      </c>
      <c r="W184" s="306"/>
      <c r="X184" s="307">
        <v>0.33</v>
      </c>
      <c r="Y184" s="307"/>
      <c r="Z184" s="304">
        <v>0.32</v>
      </c>
      <c r="AA184" s="431">
        <v>46112</v>
      </c>
      <c r="AB184" s="233">
        <f t="shared" si="111"/>
        <v>96.3125</v>
      </c>
      <c r="AC184" s="233">
        <f>IFERROR(AB184*X184,"")</f>
        <v>31.783125000000002</v>
      </c>
      <c r="AD184" s="233">
        <f>IFERROR(((AC184*L184)/2000)/I184,"")</f>
        <v>12.720295693859455</v>
      </c>
      <c r="AE184" s="233"/>
      <c r="AF184" s="448"/>
      <c r="AH184" s="306" t="s">
        <v>269</v>
      </c>
      <c r="AI184" s="296">
        <v>78</v>
      </c>
      <c r="AJ184" s="296">
        <v>96</v>
      </c>
      <c r="AK184" s="296">
        <v>102</v>
      </c>
      <c r="AL184" s="296">
        <v>113</v>
      </c>
      <c r="AM184" s="296">
        <v>100</v>
      </c>
      <c r="AN184" s="296">
        <v>122</v>
      </c>
      <c r="AO184" s="296">
        <v>92</v>
      </c>
      <c r="AP184" s="296">
        <v>113</v>
      </c>
      <c r="AQ184" s="296">
        <v>84</v>
      </c>
      <c r="AR184" s="296">
        <v>99</v>
      </c>
      <c r="AS184" s="296">
        <v>89</v>
      </c>
      <c r="AT184" s="296">
        <v>92</v>
      </c>
      <c r="AU184" s="296">
        <v>79</v>
      </c>
      <c r="AV184" s="296">
        <v>99</v>
      </c>
      <c r="AW184" s="296">
        <v>91</v>
      </c>
      <c r="AX184" s="296">
        <v>92</v>
      </c>
    </row>
    <row r="185" spans="1:50" s="296" customFormat="1">
      <c r="A185" s="296" t="s">
        <v>262</v>
      </c>
      <c r="B185" s="296" t="s">
        <v>323</v>
      </c>
      <c r="C185" s="298" t="s">
        <v>324</v>
      </c>
      <c r="D185" s="299" t="s">
        <v>87</v>
      </c>
      <c r="E185" s="300" t="s">
        <v>156</v>
      </c>
      <c r="F185" s="297">
        <v>146</v>
      </c>
      <c r="G185" s="297" t="s">
        <v>204</v>
      </c>
      <c r="H185" s="301">
        <v>806.66666666666663</v>
      </c>
      <c r="I185" s="302">
        <v>45.11</v>
      </c>
      <c r="J185" s="301">
        <v>36108</v>
      </c>
      <c r="K185" s="237"/>
      <c r="L185" s="301">
        <f t="shared" si="107"/>
        <v>36108</v>
      </c>
      <c r="M185" s="303">
        <f t="shared" si="108"/>
        <v>44.76198347107438</v>
      </c>
      <c r="N185" s="304"/>
      <c r="O185" s="304">
        <v>7.95</v>
      </c>
      <c r="P185" s="304">
        <v>11.72</v>
      </c>
      <c r="Q185" s="304">
        <v>9.67</v>
      </c>
      <c r="R185" s="304">
        <v>9.84</v>
      </c>
      <c r="S185" s="305">
        <v>9.9700000000000006</v>
      </c>
      <c r="T185" s="305"/>
      <c r="V185" s="306"/>
      <c r="W185" s="306"/>
      <c r="X185" s="307">
        <v>0.33</v>
      </c>
      <c r="Y185" s="307"/>
      <c r="Z185" s="304">
        <v>0.32</v>
      </c>
      <c r="AA185" s="431">
        <v>46113</v>
      </c>
      <c r="AB185" s="233">
        <f t="shared" si="111"/>
        <v>92.666666666666671</v>
      </c>
      <c r="AC185" s="233">
        <f t="shared" si="109"/>
        <v>30.580000000000002</v>
      </c>
      <c r="AD185" s="233">
        <f t="shared" si="110"/>
        <v>12.238778984704059</v>
      </c>
      <c r="AE185" s="233"/>
      <c r="AF185" s="448"/>
      <c r="AH185" s="306" t="s">
        <v>269</v>
      </c>
      <c r="AI185" s="296">
        <v>86</v>
      </c>
      <c r="AJ185" s="296">
        <v>90</v>
      </c>
      <c r="AK185" s="296">
        <v>80</v>
      </c>
      <c r="AL185" s="296">
        <v>92</v>
      </c>
      <c r="AM185" s="296">
        <v>92</v>
      </c>
      <c r="AN185" s="296">
        <v>94</v>
      </c>
      <c r="AO185" s="296">
        <v>107</v>
      </c>
      <c r="AP185" s="296">
        <v>77</v>
      </c>
      <c r="AQ185" s="296">
        <v>100</v>
      </c>
      <c r="AR185" s="296">
        <v>110</v>
      </c>
      <c r="AS185" s="296">
        <v>94</v>
      </c>
      <c r="AT185" s="296">
        <v>90</v>
      </c>
    </row>
    <row r="186" spans="1:50" s="296" customFormat="1">
      <c r="C186" s="298"/>
      <c r="D186" s="299"/>
      <c r="E186" s="300"/>
      <c r="F186" s="297"/>
      <c r="G186" s="297"/>
      <c r="H186" s="301"/>
      <c r="I186" s="302"/>
      <c r="J186" s="301"/>
      <c r="K186" s="237"/>
      <c r="L186" s="301"/>
      <c r="M186" s="303"/>
      <c r="N186" s="304"/>
      <c r="O186" s="304"/>
      <c r="P186" s="304"/>
      <c r="Q186" s="304"/>
      <c r="R186" s="304"/>
      <c r="S186" s="305"/>
      <c r="T186" s="305"/>
      <c r="V186" s="306"/>
      <c r="W186" s="306"/>
      <c r="X186" s="307"/>
      <c r="Y186" s="307"/>
      <c r="Z186" s="304"/>
      <c r="AA186" s="431"/>
      <c r="AB186" s="233"/>
      <c r="AC186" s="233"/>
      <c r="AD186" s="233"/>
      <c r="AE186" s="233"/>
      <c r="AF186" s="448"/>
      <c r="AH186" s="306"/>
    </row>
    <row r="187" spans="1:50" s="113" customFormat="1">
      <c r="A187" s="113" t="s">
        <v>262</v>
      </c>
      <c r="B187" s="113" t="s">
        <v>325</v>
      </c>
      <c r="C187" s="114" t="s">
        <v>326</v>
      </c>
      <c r="D187" s="128" t="s">
        <v>87</v>
      </c>
      <c r="E187" s="127" t="s">
        <v>156</v>
      </c>
      <c r="F187" s="126">
        <v>4</v>
      </c>
      <c r="G187" s="126" t="s">
        <v>273</v>
      </c>
      <c r="H187" s="123">
        <v>691.42857142857144</v>
      </c>
      <c r="I187" s="125">
        <v>44</v>
      </c>
      <c r="J187" s="123">
        <f t="shared" ref="J187:J193" si="122">I187*H187</f>
        <v>30422.857142857145</v>
      </c>
      <c r="K187" s="124">
        <v>3.0000000000000001E-3</v>
      </c>
      <c r="L187" s="123">
        <f t="shared" ref="L187:L220" si="123">J187-(J187*K187)</f>
        <v>30331.588571428572</v>
      </c>
      <c r="M187" s="122">
        <f t="shared" ref="M187:M221" si="124">L187/H187</f>
        <v>43.868000000000002</v>
      </c>
      <c r="N187" s="118">
        <v>10.61</v>
      </c>
      <c r="O187" s="118">
        <v>9.2899999999999991</v>
      </c>
      <c r="P187" s="118">
        <v>9.68</v>
      </c>
      <c r="Q187" s="118">
        <v>5.42</v>
      </c>
      <c r="R187" s="118">
        <v>10.89</v>
      </c>
      <c r="S187" s="153">
        <v>7.53</v>
      </c>
      <c r="T187" s="153"/>
      <c r="V187" s="115"/>
      <c r="W187" s="115"/>
      <c r="X187" s="120">
        <v>0.26</v>
      </c>
      <c r="Y187" s="120"/>
      <c r="Z187" s="118">
        <v>0.32</v>
      </c>
      <c r="AA187" s="430">
        <v>46135</v>
      </c>
      <c r="AB187" s="117">
        <f t="shared" si="111"/>
        <v>92.933333333333337</v>
      </c>
      <c r="AC187" s="117">
        <f t="shared" ref="AC187:AC221" si="125">IFERROR(AB187*X187,"")</f>
        <v>24.16266666666667</v>
      </c>
      <c r="AD187" s="117">
        <f t="shared" si="110"/>
        <v>8.3283189104761917</v>
      </c>
      <c r="AE187" s="117"/>
      <c r="AF187" s="447"/>
      <c r="AH187" s="115" t="s">
        <v>91</v>
      </c>
      <c r="AI187" s="113">
        <v>103</v>
      </c>
      <c r="AJ187" s="113">
        <v>59</v>
      </c>
      <c r="AK187" s="113">
        <v>94</v>
      </c>
      <c r="AL187" s="113">
        <v>83</v>
      </c>
      <c r="AM187" s="113">
        <v>71</v>
      </c>
      <c r="AN187" s="113">
        <v>70</v>
      </c>
      <c r="AO187" s="113">
        <v>72</v>
      </c>
      <c r="AP187" s="113">
        <v>103</v>
      </c>
      <c r="AQ187" s="113">
        <v>110</v>
      </c>
      <c r="AR187" s="113">
        <v>99</v>
      </c>
      <c r="AS187" s="113">
        <v>122</v>
      </c>
      <c r="AT187" s="113">
        <v>117</v>
      </c>
      <c r="AU187" s="113">
        <v>77</v>
      </c>
      <c r="AV187" s="113">
        <v>128</v>
      </c>
      <c r="AW187" s="113">
        <v>86</v>
      </c>
    </row>
    <row r="188" spans="1:50" s="113" customFormat="1">
      <c r="A188" s="113" t="s">
        <v>262</v>
      </c>
      <c r="B188" s="113" t="s">
        <v>325</v>
      </c>
      <c r="C188" s="114" t="s">
        <v>326</v>
      </c>
      <c r="D188" s="128" t="s">
        <v>87</v>
      </c>
      <c r="E188" s="127" t="s">
        <v>156</v>
      </c>
      <c r="F188" s="126">
        <v>4</v>
      </c>
      <c r="G188" s="126" t="s">
        <v>273</v>
      </c>
      <c r="H188" s="123">
        <v>691.42857142857144</v>
      </c>
      <c r="I188" s="125">
        <v>44</v>
      </c>
      <c r="J188" s="123">
        <f t="shared" si="122"/>
        <v>30422.857142857145</v>
      </c>
      <c r="K188" s="124">
        <v>3.0000000000000001E-3</v>
      </c>
      <c r="L188" s="123">
        <f t="shared" si="123"/>
        <v>30331.588571428572</v>
      </c>
      <c r="M188" s="122">
        <f t="shared" si="124"/>
        <v>43.868000000000002</v>
      </c>
      <c r="N188" s="118">
        <v>10.61</v>
      </c>
      <c r="O188" s="118">
        <v>9.2899999999999991</v>
      </c>
      <c r="P188" s="118">
        <v>9.68</v>
      </c>
      <c r="Q188" s="118">
        <v>5.42</v>
      </c>
      <c r="R188" s="118">
        <v>10.89</v>
      </c>
      <c r="S188" s="153">
        <v>7.53</v>
      </c>
      <c r="T188" s="153"/>
      <c r="V188" s="115"/>
      <c r="W188" s="115"/>
      <c r="X188" s="120">
        <v>0.26</v>
      </c>
      <c r="Y188" s="120"/>
      <c r="Z188" s="118">
        <v>0.32</v>
      </c>
      <c r="AA188" s="430">
        <v>46163</v>
      </c>
      <c r="AB188" s="117">
        <f t="shared" si="111"/>
        <v>85.4</v>
      </c>
      <c r="AC188" s="117">
        <f t="shared" si="125"/>
        <v>22.204000000000001</v>
      </c>
      <c r="AD188" s="117">
        <f t="shared" si="110"/>
        <v>7.6532112799999998</v>
      </c>
      <c r="AE188" s="117"/>
      <c r="AF188" s="447"/>
      <c r="AH188" s="115" t="s">
        <v>91</v>
      </c>
      <c r="AI188" s="113">
        <v>79</v>
      </c>
      <c r="AJ188" s="113">
        <v>63</v>
      </c>
      <c r="AK188" s="113">
        <v>76</v>
      </c>
      <c r="AL188" s="113">
        <v>83</v>
      </c>
      <c r="AM188" s="113">
        <v>88</v>
      </c>
      <c r="AN188" s="113">
        <v>95</v>
      </c>
      <c r="AO188" s="113">
        <v>95</v>
      </c>
      <c r="AP188" s="113">
        <v>89</v>
      </c>
      <c r="AQ188" s="113">
        <v>111</v>
      </c>
      <c r="AR188" s="113">
        <v>75</v>
      </c>
    </row>
    <row r="189" spans="1:50" s="113" customFormat="1">
      <c r="A189" s="113" t="s">
        <v>262</v>
      </c>
      <c r="B189" s="113" t="s">
        <v>325</v>
      </c>
      <c r="C189" s="114" t="s">
        <v>326</v>
      </c>
      <c r="D189" s="128" t="s">
        <v>87</v>
      </c>
      <c r="E189" s="127" t="s">
        <v>156</v>
      </c>
      <c r="F189" s="126">
        <v>4</v>
      </c>
      <c r="G189" s="126" t="s">
        <v>273</v>
      </c>
      <c r="H189" s="123">
        <v>691.42857142857144</v>
      </c>
      <c r="I189" s="125">
        <v>44</v>
      </c>
      <c r="J189" s="123">
        <f t="shared" si="122"/>
        <v>30422.857142857145</v>
      </c>
      <c r="K189" s="124">
        <v>3.0000000000000001E-3</v>
      </c>
      <c r="L189" s="123">
        <f t="shared" si="123"/>
        <v>30331.588571428572</v>
      </c>
      <c r="M189" s="122">
        <f t="shared" si="124"/>
        <v>43.868000000000002</v>
      </c>
      <c r="N189" s="118">
        <v>10.61</v>
      </c>
      <c r="O189" s="118">
        <v>9.2899999999999991</v>
      </c>
      <c r="P189" s="118">
        <v>9.68</v>
      </c>
      <c r="Q189" s="118">
        <v>5.42</v>
      </c>
      <c r="R189" s="118">
        <v>10.89</v>
      </c>
      <c r="S189" s="153">
        <v>7.53</v>
      </c>
      <c r="T189" s="153"/>
      <c r="V189" s="115"/>
      <c r="W189" s="115"/>
      <c r="X189" s="120">
        <v>0.26</v>
      </c>
      <c r="Y189" s="120"/>
      <c r="Z189" s="118">
        <v>0.32</v>
      </c>
      <c r="AA189" s="430">
        <v>46193</v>
      </c>
      <c r="AB189" s="117">
        <f t="shared" si="111"/>
        <v>84.785714285714292</v>
      </c>
      <c r="AC189" s="117">
        <f t="shared" si="125"/>
        <v>22.044285714285717</v>
      </c>
      <c r="AD189" s="117">
        <f t="shared" si="110"/>
        <v>7.5981614163265325</v>
      </c>
      <c r="AE189" s="117"/>
      <c r="AF189" s="447"/>
      <c r="AG189" s="175"/>
      <c r="AH189" s="115"/>
      <c r="AI189" s="113">
        <v>77</v>
      </c>
      <c r="AJ189" s="113">
        <v>85</v>
      </c>
      <c r="AK189" s="113">
        <v>89</v>
      </c>
      <c r="AL189" s="113">
        <v>92</v>
      </c>
      <c r="AM189" s="113">
        <v>93</v>
      </c>
      <c r="AN189" s="113">
        <v>80</v>
      </c>
      <c r="AO189" s="113">
        <v>82</v>
      </c>
      <c r="AP189" s="113">
        <v>89</v>
      </c>
      <c r="AQ189" s="113">
        <v>90</v>
      </c>
      <c r="AR189" s="113">
        <v>79</v>
      </c>
      <c r="AS189" s="113">
        <v>79</v>
      </c>
      <c r="AT189" s="113">
        <v>82</v>
      </c>
      <c r="AU189" s="113">
        <v>92</v>
      </c>
      <c r="AV189" s="113">
        <v>78</v>
      </c>
    </row>
    <row r="190" spans="1:50" s="113" customFormat="1">
      <c r="A190" s="113" t="s">
        <v>262</v>
      </c>
      <c r="B190" s="113" t="s">
        <v>325</v>
      </c>
      <c r="C190" s="114" t="s">
        <v>326</v>
      </c>
      <c r="D190" s="128" t="s">
        <v>87</v>
      </c>
      <c r="E190" s="127" t="s">
        <v>156</v>
      </c>
      <c r="F190" s="126">
        <v>4</v>
      </c>
      <c r="G190" s="126" t="s">
        <v>273</v>
      </c>
      <c r="H190" s="123">
        <v>691.42857142857144</v>
      </c>
      <c r="I190" s="125">
        <v>44</v>
      </c>
      <c r="J190" s="123">
        <f t="shared" si="122"/>
        <v>30422.857142857145</v>
      </c>
      <c r="K190" s="124">
        <v>3.0000000000000001E-3</v>
      </c>
      <c r="L190" s="123">
        <f t="shared" si="123"/>
        <v>30331.588571428572</v>
      </c>
      <c r="M190" s="122">
        <f t="shared" si="124"/>
        <v>43.868000000000002</v>
      </c>
      <c r="N190" s="118">
        <v>10.61</v>
      </c>
      <c r="O190" s="118">
        <v>9.2899999999999991</v>
      </c>
      <c r="P190" s="118">
        <v>9.68</v>
      </c>
      <c r="Q190" s="118">
        <v>5.42</v>
      </c>
      <c r="R190" s="118">
        <v>10.89</v>
      </c>
      <c r="S190" s="153">
        <v>7.53</v>
      </c>
      <c r="T190" s="153"/>
      <c r="V190" s="115"/>
      <c r="W190" s="115"/>
      <c r="X190" s="120">
        <v>0.26</v>
      </c>
      <c r="Y190" s="120"/>
      <c r="Z190" s="118">
        <v>0.32</v>
      </c>
      <c r="AA190" s="430">
        <v>46225</v>
      </c>
      <c r="AB190" s="117" t="str">
        <f t="shared" si="111"/>
        <v/>
      </c>
      <c r="AC190" s="117">
        <v>25.14</v>
      </c>
      <c r="AD190" s="117">
        <f t="shared" si="110"/>
        <v>8.6651833714285722</v>
      </c>
      <c r="AE190" s="117"/>
      <c r="AF190" s="447"/>
      <c r="AG190" s="175"/>
      <c r="AH190" s="115"/>
    </row>
    <row r="191" spans="1:50" s="113" customFormat="1">
      <c r="A191" s="113" t="s">
        <v>262</v>
      </c>
      <c r="B191" s="113" t="s">
        <v>325</v>
      </c>
      <c r="C191" s="114" t="s">
        <v>326</v>
      </c>
      <c r="D191" s="128" t="s">
        <v>87</v>
      </c>
      <c r="E191" s="127" t="s">
        <v>156</v>
      </c>
      <c r="F191" s="126">
        <v>4</v>
      </c>
      <c r="G191" s="126" t="s">
        <v>273</v>
      </c>
      <c r="H191" s="123">
        <v>691.42857142857144</v>
      </c>
      <c r="I191" s="125">
        <v>44</v>
      </c>
      <c r="J191" s="123">
        <f t="shared" si="122"/>
        <v>30422.857142857145</v>
      </c>
      <c r="K191" s="124">
        <v>3.0000000000000001E-3</v>
      </c>
      <c r="L191" s="123">
        <f t="shared" si="123"/>
        <v>30331.588571428572</v>
      </c>
      <c r="M191" s="122">
        <f t="shared" si="124"/>
        <v>43.868000000000002</v>
      </c>
      <c r="N191" s="118">
        <v>10.61</v>
      </c>
      <c r="O191" s="118">
        <v>9.2899999999999991</v>
      </c>
      <c r="P191" s="118">
        <v>9.68</v>
      </c>
      <c r="Q191" s="118">
        <v>5.42</v>
      </c>
      <c r="R191" s="118">
        <v>10.89</v>
      </c>
      <c r="S191" s="153">
        <v>7.53</v>
      </c>
      <c r="T191" s="153"/>
      <c r="V191" s="115"/>
      <c r="W191" s="115"/>
      <c r="X191" s="120">
        <v>0.26</v>
      </c>
      <c r="Y191" s="120"/>
      <c r="Z191" s="118">
        <v>0.32</v>
      </c>
      <c r="AA191" s="430"/>
      <c r="AB191" s="117" t="str">
        <f t="shared" si="111"/>
        <v/>
      </c>
      <c r="AC191" s="117" t="str">
        <f t="shared" si="125"/>
        <v/>
      </c>
      <c r="AD191" s="117" t="str">
        <f t="shared" si="110"/>
        <v/>
      </c>
      <c r="AE191" s="117"/>
      <c r="AF191" s="447"/>
      <c r="AG191" s="175"/>
      <c r="AH191" s="115"/>
    </row>
    <row r="192" spans="1:50" s="113" customFormat="1">
      <c r="A192" s="113" t="s">
        <v>262</v>
      </c>
      <c r="B192" s="113" t="s">
        <v>325</v>
      </c>
      <c r="C192" s="114" t="s">
        <v>327</v>
      </c>
      <c r="D192" s="128" t="s">
        <v>193</v>
      </c>
      <c r="E192" s="127" t="s">
        <v>156</v>
      </c>
      <c r="F192" s="126">
        <v>4</v>
      </c>
      <c r="G192" s="126" t="s">
        <v>273</v>
      </c>
      <c r="H192" s="123">
        <v>691.42857142857144</v>
      </c>
      <c r="I192" s="125">
        <v>22</v>
      </c>
      <c r="J192" s="123">
        <f t="shared" si="122"/>
        <v>15211.428571428572</v>
      </c>
      <c r="K192" s="124"/>
      <c r="L192" s="123">
        <f t="shared" si="123"/>
        <v>15211.428571428572</v>
      </c>
      <c r="M192" s="122">
        <f t="shared" si="124"/>
        <v>22</v>
      </c>
      <c r="N192" s="118">
        <v>10.61</v>
      </c>
      <c r="O192" s="118"/>
      <c r="P192" s="118"/>
      <c r="Q192" s="118"/>
      <c r="R192" s="118"/>
      <c r="S192" s="153"/>
      <c r="T192" s="153"/>
      <c r="V192" s="115"/>
      <c r="W192" s="115"/>
      <c r="X192" s="120">
        <v>0.23</v>
      </c>
      <c r="Y192" s="120"/>
      <c r="Z192" s="118">
        <v>0.32</v>
      </c>
      <c r="AA192" s="430">
        <v>46135</v>
      </c>
      <c r="AB192" s="117">
        <f t="shared" si="111"/>
        <v>87.2</v>
      </c>
      <c r="AC192" s="117">
        <f t="shared" si="125"/>
        <v>20.056000000000001</v>
      </c>
      <c r="AD192" s="117">
        <f t="shared" si="110"/>
        <v>6.9336457142857144</v>
      </c>
      <c r="AE192" s="117"/>
      <c r="AF192" s="447"/>
      <c r="AH192" s="115" t="s">
        <v>91</v>
      </c>
      <c r="AI192" s="113">
        <v>85</v>
      </c>
      <c r="AJ192" s="113">
        <v>63</v>
      </c>
      <c r="AK192" s="113">
        <v>72</v>
      </c>
      <c r="AL192" s="113">
        <v>59</v>
      </c>
      <c r="AM192" s="113">
        <v>93</v>
      </c>
      <c r="AN192" s="113">
        <v>70</v>
      </c>
      <c r="AO192" s="113">
        <v>114</v>
      </c>
      <c r="AP192" s="113">
        <v>90</v>
      </c>
      <c r="AQ192" s="113">
        <v>111</v>
      </c>
      <c r="AR192" s="113">
        <v>69</v>
      </c>
      <c r="AS192" s="113">
        <v>110</v>
      </c>
      <c r="AT192" s="113">
        <v>73</v>
      </c>
      <c r="AU192" s="113">
        <v>108</v>
      </c>
      <c r="AV192" s="113">
        <v>91</v>
      </c>
      <c r="AW192" s="113">
        <v>100</v>
      </c>
    </row>
    <row r="193" spans="1:90" s="113" customFormat="1">
      <c r="A193" s="113" t="s">
        <v>262</v>
      </c>
      <c r="B193" s="113" t="s">
        <v>325</v>
      </c>
      <c r="C193" s="114" t="s">
        <v>327</v>
      </c>
      <c r="D193" s="128" t="s">
        <v>193</v>
      </c>
      <c r="E193" s="127" t="s">
        <v>156</v>
      </c>
      <c r="F193" s="126">
        <v>4</v>
      </c>
      <c r="G193" s="126" t="s">
        <v>273</v>
      </c>
      <c r="H193" s="123">
        <v>691.42857142857144</v>
      </c>
      <c r="I193" s="125">
        <v>22</v>
      </c>
      <c r="J193" s="123">
        <f t="shared" si="122"/>
        <v>15211.428571428572</v>
      </c>
      <c r="K193" s="124"/>
      <c r="L193" s="123">
        <f t="shared" si="123"/>
        <v>15211.428571428572</v>
      </c>
      <c r="M193" s="122">
        <f t="shared" si="124"/>
        <v>22</v>
      </c>
      <c r="N193" s="118">
        <v>10.61</v>
      </c>
      <c r="O193" s="118"/>
      <c r="P193" s="118"/>
      <c r="Q193" s="118"/>
      <c r="R193" s="118"/>
      <c r="S193" s="153"/>
      <c r="T193" s="153"/>
      <c r="V193" s="115"/>
      <c r="W193" s="115"/>
      <c r="X193" s="120">
        <v>0.23</v>
      </c>
      <c r="Y193" s="120"/>
      <c r="Z193" s="118">
        <v>0.32</v>
      </c>
      <c r="AA193" s="430">
        <v>46170</v>
      </c>
      <c r="AB193" s="117">
        <f t="shared" si="111"/>
        <v>79.400000000000006</v>
      </c>
      <c r="AC193" s="117">
        <f t="shared" si="125"/>
        <v>18.262</v>
      </c>
      <c r="AD193" s="117">
        <f t="shared" si="110"/>
        <v>6.313434285714286</v>
      </c>
      <c r="AE193" s="117"/>
      <c r="AF193" s="447"/>
      <c r="AH193" s="115" t="s">
        <v>269</v>
      </c>
      <c r="AI193" s="113">
        <v>97</v>
      </c>
      <c r="AJ193" s="113">
        <v>105</v>
      </c>
      <c r="AK193" s="113">
        <v>72</v>
      </c>
      <c r="AL193" s="113">
        <v>70</v>
      </c>
      <c r="AM193" s="113">
        <v>78</v>
      </c>
      <c r="AN193" s="113">
        <v>69</v>
      </c>
      <c r="AO193" s="113">
        <v>86</v>
      </c>
      <c r="AP193" s="113">
        <v>67</v>
      </c>
      <c r="AQ193" s="113">
        <v>76</v>
      </c>
      <c r="AR193" s="113">
        <v>96</v>
      </c>
      <c r="AS193" s="113">
        <v>84</v>
      </c>
      <c r="AT193" s="113">
        <v>69</v>
      </c>
      <c r="AU193" s="113">
        <v>80</v>
      </c>
      <c r="AV193" s="113">
        <v>68</v>
      </c>
      <c r="AW193" s="113">
        <v>74</v>
      </c>
    </row>
    <row r="194" spans="1:90" s="296" customFormat="1">
      <c r="A194" s="296" t="s">
        <v>262</v>
      </c>
      <c r="B194" s="296" t="s">
        <v>328</v>
      </c>
      <c r="C194" s="298" t="s">
        <v>329</v>
      </c>
      <c r="D194" s="299" t="s">
        <v>87</v>
      </c>
      <c r="E194" s="300" t="s">
        <v>330</v>
      </c>
      <c r="F194" s="297">
        <v>6</v>
      </c>
      <c r="G194" s="297" t="s">
        <v>331</v>
      </c>
      <c r="H194" s="301">
        <v>726</v>
      </c>
      <c r="I194" s="344">
        <v>19.38</v>
      </c>
      <c r="J194" s="301">
        <v>14094</v>
      </c>
      <c r="K194" s="237"/>
      <c r="L194" s="301">
        <f t="shared" si="123"/>
        <v>14094</v>
      </c>
      <c r="M194" s="303">
        <f t="shared" si="124"/>
        <v>19.41322314049587</v>
      </c>
      <c r="N194" s="304"/>
      <c r="O194" s="304"/>
      <c r="P194" s="304"/>
      <c r="Q194" s="304">
        <v>7.32</v>
      </c>
      <c r="R194" s="304">
        <v>12.66</v>
      </c>
      <c r="S194" s="305">
        <v>15.4</v>
      </c>
      <c r="T194" s="305"/>
      <c r="U194" s="296" t="s">
        <v>332</v>
      </c>
      <c r="V194" s="306" t="s">
        <v>214</v>
      </c>
      <c r="W194" s="306"/>
      <c r="X194" s="307">
        <v>0.54</v>
      </c>
      <c r="Y194" s="307"/>
      <c r="Z194" s="304">
        <v>0.45</v>
      </c>
      <c r="AA194" s="431">
        <v>46105</v>
      </c>
      <c r="AB194" s="233">
        <f t="shared" si="111"/>
        <v>78.083333333333329</v>
      </c>
      <c r="AC194" s="233">
        <f t="shared" si="125"/>
        <v>42.164999999999999</v>
      </c>
      <c r="AD194" s="233">
        <f t="shared" si="110"/>
        <v>15.332133900928794</v>
      </c>
      <c r="AE194" s="233"/>
      <c r="AF194" s="448"/>
      <c r="AH194" s="306" t="s">
        <v>269</v>
      </c>
      <c r="AI194" s="296">
        <v>86</v>
      </c>
      <c r="AJ194" s="296">
        <v>83</v>
      </c>
      <c r="AK194" s="296">
        <v>68</v>
      </c>
      <c r="AL194" s="296">
        <v>78</v>
      </c>
      <c r="AM194" s="296">
        <v>82</v>
      </c>
      <c r="AN194" s="296">
        <v>85</v>
      </c>
      <c r="AO194" s="296">
        <v>78</v>
      </c>
      <c r="AP194" s="296">
        <v>76</v>
      </c>
      <c r="AQ194" s="296">
        <v>71</v>
      </c>
      <c r="AR194" s="296">
        <v>75</v>
      </c>
      <c r="AS194" s="296">
        <v>78</v>
      </c>
      <c r="AT194" s="296">
        <v>77</v>
      </c>
    </row>
    <row r="195" spans="1:90" s="296" customFormat="1">
      <c r="A195" s="296" t="s">
        <v>262</v>
      </c>
      <c r="B195" s="296" t="s">
        <v>328</v>
      </c>
      <c r="C195" s="298" t="s">
        <v>329</v>
      </c>
      <c r="D195" s="299" t="s">
        <v>87</v>
      </c>
      <c r="E195" s="300" t="s">
        <v>330</v>
      </c>
      <c r="F195" s="297">
        <v>6</v>
      </c>
      <c r="G195" s="297" t="s">
        <v>331</v>
      </c>
      <c r="H195" s="301">
        <v>726</v>
      </c>
      <c r="I195" s="344">
        <v>19.38</v>
      </c>
      <c r="J195" s="301">
        <v>14094</v>
      </c>
      <c r="K195" s="237"/>
      <c r="L195" s="301">
        <f t="shared" si="123"/>
        <v>14094</v>
      </c>
      <c r="M195" s="303">
        <f t="shared" si="124"/>
        <v>19.41322314049587</v>
      </c>
      <c r="N195" s="304"/>
      <c r="O195" s="304"/>
      <c r="P195" s="304"/>
      <c r="Q195" s="304">
        <v>7.32</v>
      </c>
      <c r="R195" s="304">
        <v>12.66</v>
      </c>
      <c r="S195" s="305">
        <v>15.4</v>
      </c>
      <c r="T195" s="305"/>
      <c r="U195" s="296" t="s">
        <v>103</v>
      </c>
      <c r="V195" s="306" t="s">
        <v>103</v>
      </c>
      <c r="W195" s="306"/>
      <c r="X195" s="307">
        <v>0.54</v>
      </c>
      <c r="Y195" s="307"/>
      <c r="Z195" s="304">
        <v>0.45</v>
      </c>
      <c r="AA195" s="431">
        <v>46146</v>
      </c>
      <c r="AB195" s="233">
        <f>AVERAGE(AI195:AW195)</f>
        <v>73.333333333333329</v>
      </c>
      <c r="AC195" s="233">
        <f t="shared" si="125"/>
        <v>39.6</v>
      </c>
      <c r="AD195" s="233">
        <f t="shared" si="110"/>
        <v>14.399442724458204</v>
      </c>
      <c r="AE195" s="233"/>
      <c r="AF195" s="448"/>
      <c r="AH195" s="306" t="s">
        <v>91</v>
      </c>
      <c r="AI195" s="296">
        <v>78</v>
      </c>
      <c r="AJ195" s="296">
        <v>71</v>
      </c>
      <c r="AK195" s="296">
        <v>78</v>
      </c>
      <c r="AL195" s="296">
        <v>68</v>
      </c>
      <c r="AM195" s="296">
        <v>67</v>
      </c>
      <c r="AN195" s="296">
        <v>80</v>
      </c>
      <c r="AO195" s="296">
        <v>73</v>
      </c>
      <c r="AP195" s="296">
        <v>72</v>
      </c>
      <c r="AQ195" s="296">
        <v>69</v>
      </c>
      <c r="AR195" s="296">
        <v>69</v>
      </c>
      <c r="AS195" s="296">
        <v>95</v>
      </c>
      <c r="AT195" s="296">
        <v>77</v>
      </c>
      <c r="AU195" s="296">
        <v>66</v>
      </c>
      <c r="AV195" s="296">
        <v>58</v>
      </c>
      <c r="AW195" s="296">
        <v>79</v>
      </c>
    </row>
    <row r="196" spans="1:90" s="296" customFormat="1">
      <c r="A196" s="296" t="s">
        <v>262</v>
      </c>
      <c r="B196" s="296" t="s">
        <v>328</v>
      </c>
      <c r="C196" s="298" t="s">
        <v>329</v>
      </c>
      <c r="D196" s="299" t="s">
        <v>87</v>
      </c>
      <c r="E196" s="300" t="s">
        <v>330</v>
      </c>
      <c r="F196" s="297">
        <v>6</v>
      </c>
      <c r="G196" s="297" t="s">
        <v>331</v>
      </c>
      <c r="H196" s="301">
        <v>726</v>
      </c>
      <c r="I196" s="344">
        <v>19.38</v>
      </c>
      <c r="J196" s="301">
        <v>14094</v>
      </c>
      <c r="K196" s="237"/>
      <c r="L196" s="301">
        <f t="shared" si="123"/>
        <v>14094</v>
      </c>
      <c r="M196" s="303">
        <f t="shared" si="124"/>
        <v>19.41322314049587</v>
      </c>
      <c r="N196" s="304"/>
      <c r="O196" s="304"/>
      <c r="P196" s="304"/>
      <c r="Q196" s="304">
        <v>7.32</v>
      </c>
      <c r="R196" s="304">
        <v>12.66</v>
      </c>
      <c r="S196" s="305">
        <v>15.4</v>
      </c>
      <c r="T196" s="305"/>
      <c r="U196" s="296" t="s">
        <v>333</v>
      </c>
      <c r="V196" s="306" t="s">
        <v>103</v>
      </c>
      <c r="W196" s="306"/>
      <c r="X196" s="307">
        <v>0.54</v>
      </c>
      <c r="Y196" s="307"/>
      <c r="Z196" s="304">
        <v>0.45</v>
      </c>
      <c r="AA196" s="431">
        <v>46162</v>
      </c>
      <c r="AB196" s="233">
        <f t="shared" si="111"/>
        <v>55</v>
      </c>
      <c r="AC196" s="233">
        <f t="shared" si="125"/>
        <v>29.700000000000003</v>
      </c>
      <c r="AD196" s="233">
        <f t="shared" si="110"/>
        <v>10.799582043343655</v>
      </c>
      <c r="AE196" s="233"/>
      <c r="AF196" s="448"/>
      <c r="AH196" s="306" t="s">
        <v>91</v>
      </c>
      <c r="AI196" s="296">
        <v>65</v>
      </c>
      <c r="AJ196" s="296">
        <v>62</v>
      </c>
      <c r="AK196" s="296">
        <v>69</v>
      </c>
      <c r="AL196" s="296">
        <v>63</v>
      </c>
      <c r="AM196" s="296">
        <v>51</v>
      </c>
      <c r="AN196" s="296">
        <v>56</v>
      </c>
      <c r="AO196" s="296">
        <v>60</v>
      </c>
      <c r="AP196" s="296">
        <v>27</v>
      </c>
      <c r="AQ196" s="296">
        <v>68</v>
      </c>
      <c r="AR196" s="296">
        <v>70</v>
      </c>
      <c r="AS196" s="296">
        <v>42</v>
      </c>
      <c r="AT196" s="296">
        <v>45</v>
      </c>
      <c r="AU196" s="296">
        <v>54</v>
      </c>
      <c r="AV196" s="296">
        <v>44</v>
      </c>
      <c r="AW196" s="296">
        <v>53</v>
      </c>
      <c r="AX196" s="296">
        <v>48</v>
      </c>
      <c r="AY196" s="296">
        <v>49</v>
      </c>
      <c r="AZ196" s="296">
        <v>36</v>
      </c>
      <c r="BA196" s="296">
        <v>51</v>
      </c>
      <c r="BB196" s="296">
        <v>61</v>
      </c>
      <c r="BC196" s="296">
        <v>55</v>
      </c>
      <c r="BD196" s="296">
        <v>54</v>
      </c>
      <c r="BE196" s="296">
        <v>65</v>
      </c>
      <c r="BF196" s="296">
        <v>68</v>
      </c>
      <c r="BG196" s="296">
        <v>59</v>
      </c>
      <c r="BH196" s="296">
        <v>63</v>
      </c>
      <c r="BI196" s="296">
        <v>67</v>
      </c>
      <c r="BJ196" s="296">
        <v>55</v>
      </c>
      <c r="BK196" s="296">
        <v>59</v>
      </c>
      <c r="BL196" s="296">
        <v>57</v>
      </c>
    </row>
    <row r="197" spans="1:90" s="296" customFormat="1">
      <c r="A197" s="296" t="s">
        <v>262</v>
      </c>
      <c r="B197" s="296" t="s">
        <v>328</v>
      </c>
      <c r="C197" s="298" t="s">
        <v>329</v>
      </c>
      <c r="D197" s="299" t="s">
        <v>87</v>
      </c>
      <c r="E197" s="300" t="s">
        <v>330</v>
      </c>
      <c r="F197" s="297">
        <v>6</v>
      </c>
      <c r="G197" s="297" t="s">
        <v>331</v>
      </c>
      <c r="H197" s="301">
        <v>726</v>
      </c>
      <c r="I197" s="344">
        <v>19.38</v>
      </c>
      <c r="J197" s="301">
        <v>14094</v>
      </c>
      <c r="K197" s="237"/>
      <c r="L197" s="301">
        <f t="shared" ref="L197" si="126">J197-(J197*K197)</f>
        <v>14094</v>
      </c>
      <c r="M197" s="303">
        <f t="shared" ref="M197" si="127">L197/H197</f>
        <v>19.41322314049587</v>
      </c>
      <c r="N197" s="304"/>
      <c r="O197" s="304"/>
      <c r="P197" s="304"/>
      <c r="Q197" s="304">
        <v>7.32</v>
      </c>
      <c r="R197" s="304">
        <v>12.66</v>
      </c>
      <c r="S197" s="305">
        <v>15.4</v>
      </c>
      <c r="T197" s="305"/>
      <c r="U197" s="296" t="s">
        <v>333</v>
      </c>
      <c r="V197" s="306" t="s">
        <v>214</v>
      </c>
      <c r="W197" s="306"/>
      <c r="X197" s="307">
        <v>0.54</v>
      </c>
      <c r="Y197" s="307"/>
      <c r="Z197" s="304">
        <v>0.45</v>
      </c>
      <c r="AA197" s="431">
        <v>46162</v>
      </c>
      <c r="AB197" s="233">
        <f t="shared" ref="AB197" si="128">IFERROR(AVERAGE(AI197:BG197),"")</f>
        <v>48.666666666666664</v>
      </c>
      <c r="AC197" s="233">
        <f t="shared" ref="AC197" si="129">IFERROR(AB197*X197,"")</f>
        <v>26.28</v>
      </c>
      <c r="AD197" s="233">
        <f t="shared" ref="AD197" si="130">IFERROR(((AC197*L197)/2000)/I197,"")</f>
        <v>9.5559938080495375</v>
      </c>
      <c r="AE197" s="233"/>
      <c r="AF197" s="448"/>
      <c r="AG197" s="296" t="s">
        <v>334</v>
      </c>
      <c r="AH197" s="306" t="s">
        <v>282</v>
      </c>
      <c r="AI197" s="296">
        <v>51</v>
      </c>
      <c r="AJ197" s="296">
        <v>49</v>
      </c>
      <c r="AK197" s="296">
        <v>52</v>
      </c>
      <c r="AL197" s="296">
        <v>48</v>
      </c>
      <c r="AM197" s="296">
        <v>51</v>
      </c>
      <c r="AN197" s="296">
        <v>44</v>
      </c>
      <c r="AO197" s="296">
        <v>46</v>
      </c>
      <c r="AP197" s="296">
        <v>56</v>
      </c>
      <c r="AQ197" s="296">
        <v>53</v>
      </c>
      <c r="AR197" s="296">
        <v>45</v>
      </c>
      <c r="AS197" s="296">
        <v>44</v>
      </c>
      <c r="AT197" s="296">
        <v>46</v>
      </c>
      <c r="AU197" s="296">
        <v>47</v>
      </c>
      <c r="AV197" s="296">
        <v>42</v>
      </c>
      <c r="AW197" s="296">
        <v>49</v>
      </c>
      <c r="AX197" s="296">
        <v>51</v>
      </c>
      <c r="AY197" s="296">
        <v>48</v>
      </c>
      <c r="AZ197" s="296">
        <v>57</v>
      </c>
      <c r="BA197" s="296">
        <v>46</v>
      </c>
      <c r="BB197" s="296">
        <v>53</v>
      </c>
      <c r="BC197" s="296">
        <v>44</v>
      </c>
    </row>
    <row r="198" spans="1:90" s="296" customFormat="1">
      <c r="A198" s="296" t="s">
        <v>262</v>
      </c>
      <c r="B198" s="296" t="s">
        <v>328</v>
      </c>
      <c r="C198" s="298" t="s">
        <v>329</v>
      </c>
      <c r="D198" s="299" t="s">
        <v>87</v>
      </c>
      <c r="E198" s="300" t="s">
        <v>330</v>
      </c>
      <c r="F198" s="297">
        <v>6</v>
      </c>
      <c r="G198" s="297" t="s">
        <v>331</v>
      </c>
      <c r="H198" s="301">
        <v>726</v>
      </c>
      <c r="I198" s="344">
        <v>19.38</v>
      </c>
      <c r="J198" s="301">
        <v>14094</v>
      </c>
      <c r="K198" s="237"/>
      <c r="L198" s="301">
        <f t="shared" ref="L198" si="131">J198-(J198*K198)</f>
        <v>14094</v>
      </c>
      <c r="M198" s="303">
        <f t="shared" ref="M198" si="132">L198/H198</f>
        <v>19.41322314049587</v>
      </c>
      <c r="N198" s="304"/>
      <c r="O198" s="304"/>
      <c r="P198" s="304"/>
      <c r="Q198" s="304">
        <v>7.32</v>
      </c>
      <c r="R198" s="304">
        <v>12.66</v>
      </c>
      <c r="S198" s="305">
        <v>15.4</v>
      </c>
      <c r="T198" s="305"/>
      <c r="U198" s="296" t="s">
        <v>333</v>
      </c>
      <c r="V198" s="306" t="s">
        <v>103</v>
      </c>
      <c r="W198" s="306"/>
      <c r="X198" s="307">
        <v>0.54</v>
      </c>
      <c r="Y198" s="307"/>
      <c r="Z198" s="304">
        <v>0.45</v>
      </c>
      <c r="AA198" s="431">
        <v>46162</v>
      </c>
      <c r="AB198" s="233">
        <f t="shared" ref="AB198" si="133">IFERROR(AVERAGE(AI198:BG198),"")</f>
        <v>55.68</v>
      </c>
      <c r="AC198" s="233">
        <f t="shared" ref="AC198" si="134">IFERROR(AB198*X198,"")</f>
        <v>30.067200000000003</v>
      </c>
      <c r="AD198" s="233">
        <f t="shared" ref="AD198" si="135">IFERROR(((AC198*L198)/2000)/I198,"")</f>
        <v>10.933104148606812</v>
      </c>
      <c r="AE198" s="233"/>
      <c r="AF198" s="448"/>
      <c r="AG198" s="296" t="s">
        <v>335</v>
      </c>
      <c r="AH198" s="306" t="s">
        <v>282</v>
      </c>
      <c r="AI198" s="296">
        <v>57</v>
      </c>
      <c r="AJ198" s="296">
        <v>52</v>
      </c>
      <c r="AK198" s="296">
        <v>56</v>
      </c>
      <c r="AL198" s="296">
        <v>49</v>
      </c>
      <c r="AM198" s="296">
        <v>57</v>
      </c>
      <c r="AN198" s="296">
        <v>54</v>
      </c>
      <c r="AO198" s="296">
        <v>46</v>
      </c>
      <c r="AP198" s="296">
        <v>54</v>
      </c>
      <c r="AQ198" s="296">
        <v>54</v>
      </c>
      <c r="AR198" s="296">
        <v>56</v>
      </c>
      <c r="AS198" s="296">
        <v>53</v>
      </c>
      <c r="AT198" s="296">
        <v>58</v>
      </c>
      <c r="AU198" s="296">
        <v>57</v>
      </c>
      <c r="AV198" s="296">
        <v>52</v>
      </c>
      <c r="AW198" s="296">
        <v>57</v>
      </c>
      <c r="AX198" s="296">
        <v>58</v>
      </c>
      <c r="AY198" s="296">
        <v>54</v>
      </c>
      <c r="AZ198" s="296">
        <v>53</v>
      </c>
      <c r="BA198" s="296">
        <v>65</v>
      </c>
      <c r="BB198" s="296">
        <v>62</v>
      </c>
      <c r="BC198" s="296">
        <v>60</v>
      </c>
      <c r="BD198" s="296">
        <v>58</v>
      </c>
      <c r="BE198" s="296">
        <v>53</v>
      </c>
      <c r="BF198" s="296">
        <v>61</v>
      </c>
      <c r="BG198" s="296">
        <v>56</v>
      </c>
      <c r="BH198" s="296">
        <v>60</v>
      </c>
      <c r="BI198" s="296">
        <v>53</v>
      </c>
      <c r="BJ198" s="296">
        <v>61</v>
      </c>
      <c r="BK198" s="296">
        <v>56</v>
      </c>
      <c r="BL198" s="296">
        <v>54</v>
      </c>
      <c r="BM198" s="296">
        <v>56</v>
      </c>
      <c r="BN198" s="296">
        <v>53</v>
      </c>
      <c r="BO198" s="296">
        <v>57</v>
      </c>
      <c r="BP198" s="296">
        <v>54</v>
      </c>
      <c r="BQ198" s="296">
        <v>58</v>
      </c>
      <c r="BR198" s="296">
        <v>52</v>
      </c>
      <c r="BS198" s="296">
        <v>56</v>
      </c>
    </row>
    <row r="199" spans="1:90" s="296" customFormat="1">
      <c r="A199" s="296" t="s">
        <v>262</v>
      </c>
      <c r="B199" s="296" t="s">
        <v>328</v>
      </c>
      <c r="C199" s="298" t="s">
        <v>329</v>
      </c>
      <c r="D199" s="299" t="s">
        <v>87</v>
      </c>
      <c r="E199" s="300" t="s">
        <v>330</v>
      </c>
      <c r="F199" s="297">
        <v>6</v>
      </c>
      <c r="G199" s="297" t="s">
        <v>331</v>
      </c>
      <c r="H199" s="301">
        <v>726</v>
      </c>
      <c r="I199" s="344">
        <v>19.38</v>
      </c>
      <c r="J199" s="301">
        <v>14094</v>
      </c>
      <c r="K199" s="237"/>
      <c r="L199" s="301">
        <f t="shared" ref="L199" si="136">J199-(J199*K199)</f>
        <v>14094</v>
      </c>
      <c r="M199" s="303">
        <f t="shared" ref="M199" si="137">L199/H199</f>
        <v>19.41322314049587</v>
      </c>
      <c r="N199" s="304"/>
      <c r="O199" s="304"/>
      <c r="P199" s="304"/>
      <c r="Q199" s="304">
        <v>7.32</v>
      </c>
      <c r="R199" s="304">
        <v>12.66</v>
      </c>
      <c r="S199" s="305">
        <v>15.4</v>
      </c>
      <c r="T199" s="305"/>
      <c r="U199" s="296" t="s">
        <v>333</v>
      </c>
      <c r="V199" s="306" t="s">
        <v>103</v>
      </c>
      <c r="W199" s="306"/>
      <c r="X199" s="307">
        <v>0.54</v>
      </c>
      <c r="Y199" s="307"/>
      <c r="Z199" s="304">
        <v>0.45</v>
      </c>
      <c r="AA199" s="431">
        <v>46162</v>
      </c>
      <c r="AB199" s="233">
        <f t="shared" ref="AB199" si="138">IFERROR(AVERAGE(AI199:BG199),"")</f>
        <v>55</v>
      </c>
      <c r="AC199" s="233">
        <f t="shared" ref="AC199" si="139">IFERROR(AB199*X199,"")</f>
        <v>29.700000000000003</v>
      </c>
      <c r="AD199" s="233">
        <f t="shared" ref="AD199" si="140">IFERROR(((AC199*L199)/2000)/I199,"")</f>
        <v>10.799582043343655</v>
      </c>
      <c r="AE199" s="233"/>
      <c r="AF199" s="448"/>
      <c r="AG199" s="296" t="s">
        <v>336</v>
      </c>
      <c r="AH199" s="306" t="s">
        <v>91</v>
      </c>
      <c r="AI199" s="296">
        <v>65</v>
      </c>
      <c r="AJ199" s="296">
        <v>62</v>
      </c>
      <c r="AK199" s="296">
        <v>69</v>
      </c>
      <c r="AL199" s="296">
        <v>63</v>
      </c>
      <c r="AM199" s="296">
        <v>51</v>
      </c>
      <c r="AN199" s="296">
        <v>56</v>
      </c>
      <c r="AO199" s="296">
        <v>60</v>
      </c>
      <c r="AP199" s="296">
        <v>27</v>
      </c>
      <c r="AQ199" s="296">
        <v>68</v>
      </c>
      <c r="AR199" s="296">
        <v>70</v>
      </c>
      <c r="AS199" s="296">
        <v>42</v>
      </c>
      <c r="AT199" s="296">
        <v>45</v>
      </c>
      <c r="AU199" s="296">
        <v>54</v>
      </c>
      <c r="AV199" s="296">
        <v>44</v>
      </c>
      <c r="AW199" s="296">
        <v>53</v>
      </c>
      <c r="AX199" s="296">
        <v>48</v>
      </c>
      <c r="AY199" s="296">
        <v>49</v>
      </c>
      <c r="AZ199" s="296">
        <v>36</v>
      </c>
      <c r="BA199" s="296">
        <v>51</v>
      </c>
      <c r="BB199" s="296">
        <v>61</v>
      </c>
      <c r="BC199" s="296">
        <v>55</v>
      </c>
      <c r="BD199" s="296">
        <v>54</v>
      </c>
      <c r="BE199" s="296">
        <v>65</v>
      </c>
      <c r="BF199" s="296">
        <v>68</v>
      </c>
      <c r="BG199" s="296">
        <v>59</v>
      </c>
      <c r="BH199" s="296">
        <v>63</v>
      </c>
      <c r="BI199" s="296">
        <v>67</v>
      </c>
      <c r="BJ199" s="296">
        <v>55</v>
      </c>
      <c r="BK199" s="296">
        <v>59</v>
      </c>
      <c r="BL199" s="296">
        <v>57</v>
      </c>
    </row>
    <row r="200" spans="1:90" s="296" customFormat="1">
      <c r="A200" s="296" t="s">
        <v>262</v>
      </c>
      <c r="B200" s="296" t="s">
        <v>328</v>
      </c>
      <c r="C200" s="298" t="s">
        <v>329</v>
      </c>
      <c r="D200" s="299" t="s">
        <v>87</v>
      </c>
      <c r="E200" s="300" t="s">
        <v>330</v>
      </c>
      <c r="F200" s="297">
        <v>6</v>
      </c>
      <c r="G200" s="297" t="s">
        <v>331</v>
      </c>
      <c r="H200" s="301">
        <v>726</v>
      </c>
      <c r="I200" s="344">
        <v>19.38</v>
      </c>
      <c r="J200" s="301">
        <v>14094</v>
      </c>
      <c r="K200" s="237"/>
      <c r="L200" s="301">
        <f t="shared" ref="L200" si="141">J200-(J200*K200)</f>
        <v>14094</v>
      </c>
      <c r="M200" s="303">
        <f t="shared" ref="M200" si="142">L200/H200</f>
        <v>19.41322314049587</v>
      </c>
      <c r="N200" s="304"/>
      <c r="O200" s="304"/>
      <c r="P200" s="304"/>
      <c r="Q200" s="304">
        <v>7.32</v>
      </c>
      <c r="R200" s="304">
        <v>12.66</v>
      </c>
      <c r="S200" s="305">
        <v>15.4</v>
      </c>
      <c r="T200" s="305"/>
      <c r="U200" s="296" t="s">
        <v>333</v>
      </c>
      <c r="V200" s="306" t="s">
        <v>103</v>
      </c>
      <c r="W200" s="306"/>
      <c r="X200" s="307">
        <v>0.54</v>
      </c>
      <c r="Y200" s="307"/>
      <c r="Z200" s="304">
        <v>0.45</v>
      </c>
      <c r="AA200" s="431">
        <v>46162</v>
      </c>
      <c r="AB200" s="233">
        <f t="shared" ref="AB200" si="143">IFERROR(AVERAGE(AI200:BG200),"")</f>
        <v>61.6</v>
      </c>
      <c r="AC200" s="233">
        <f t="shared" ref="AC200" si="144">IFERROR(AB200*X200,"")</f>
        <v>33.264000000000003</v>
      </c>
      <c r="AD200" s="233">
        <f t="shared" ref="AD200" si="145">IFERROR(((AC200*L200)/2000)/I200,"")</f>
        <v>12.095531888544894</v>
      </c>
      <c r="AE200" s="233"/>
      <c r="AF200" s="448"/>
      <c r="AG200" s="296" t="s">
        <v>337</v>
      </c>
      <c r="AH200" s="306" t="s">
        <v>91</v>
      </c>
      <c r="AI200" s="296">
        <v>64</v>
      </c>
      <c r="AJ200" s="296">
        <v>71</v>
      </c>
      <c r="AK200" s="296">
        <v>82</v>
      </c>
      <c r="AL200" s="296">
        <v>71</v>
      </c>
      <c r="AM200" s="296">
        <v>61</v>
      </c>
      <c r="AN200" s="296">
        <v>49</v>
      </c>
      <c r="AO200" s="296">
        <v>57</v>
      </c>
      <c r="AP200" s="296">
        <v>62</v>
      </c>
      <c r="AQ200" s="296">
        <v>65</v>
      </c>
      <c r="AR200" s="296">
        <v>68</v>
      </c>
      <c r="AS200" s="296">
        <v>76</v>
      </c>
      <c r="AT200" s="296">
        <v>74</v>
      </c>
      <c r="AU200" s="296">
        <v>47</v>
      </c>
      <c r="AV200" s="296">
        <v>66</v>
      </c>
      <c r="AW200" s="296">
        <v>64</v>
      </c>
      <c r="AX200" s="296">
        <v>62</v>
      </c>
      <c r="AY200" s="296">
        <v>54</v>
      </c>
      <c r="AZ200" s="296">
        <v>54</v>
      </c>
      <c r="BA200" s="296">
        <v>62</v>
      </c>
      <c r="BB200" s="296">
        <v>48</v>
      </c>
      <c r="BC200" s="296">
        <v>66</v>
      </c>
      <c r="BD200" s="296">
        <v>43</v>
      </c>
      <c r="BE200" s="296">
        <v>57</v>
      </c>
      <c r="BF200" s="296">
        <v>69</v>
      </c>
      <c r="BG200" s="296">
        <v>48</v>
      </c>
    </row>
    <row r="201" spans="1:90" s="296" customFormat="1">
      <c r="A201" s="296" t="s">
        <v>262</v>
      </c>
      <c r="B201" s="296" t="s">
        <v>328</v>
      </c>
      <c r="C201" s="298" t="s">
        <v>329</v>
      </c>
      <c r="D201" s="299" t="s">
        <v>87</v>
      </c>
      <c r="E201" s="300" t="s">
        <v>330</v>
      </c>
      <c r="F201" s="297">
        <v>6</v>
      </c>
      <c r="G201" s="297" t="s">
        <v>331</v>
      </c>
      <c r="H201" s="301">
        <v>726</v>
      </c>
      <c r="I201" s="344">
        <v>19.38</v>
      </c>
      <c r="J201" s="301">
        <v>14094</v>
      </c>
      <c r="K201" s="237"/>
      <c r="L201" s="301">
        <f t="shared" ref="L201" si="146">J201-(J201*K201)</f>
        <v>14094</v>
      </c>
      <c r="M201" s="303">
        <f t="shared" ref="M201" si="147">L201/H201</f>
        <v>19.41322314049587</v>
      </c>
      <c r="N201" s="304"/>
      <c r="O201" s="304"/>
      <c r="P201" s="304"/>
      <c r="Q201" s="304">
        <v>7.32</v>
      </c>
      <c r="R201" s="304">
        <v>12.66</v>
      </c>
      <c r="S201" s="305">
        <v>15.4</v>
      </c>
      <c r="T201" s="305"/>
      <c r="U201" s="296" t="s">
        <v>333</v>
      </c>
      <c r="V201" s="306" t="s">
        <v>103</v>
      </c>
      <c r="W201" s="306"/>
      <c r="X201" s="307">
        <v>0.54</v>
      </c>
      <c r="Y201" s="307"/>
      <c r="Z201" s="304">
        <v>0.45</v>
      </c>
      <c r="AA201" s="431">
        <v>46162</v>
      </c>
      <c r="AB201" s="233">
        <f t="shared" ref="AB201" si="148">IFERROR(AVERAGE(AI201:BG201),"")</f>
        <v>49.92</v>
      </c>
      <c r="AC201" s="233">
        <f t="shared" ref="AC201" si="149">IFERROR(AB201*X201,"")</f>
        <v>26.956800000000001</v>
      </c>
      <c r="AD201" s="233">
        <f t="shared" ref="AD201" si="150">IFERROR(((AC201*L201)/2000)/I201,"")</f>
        <v>9.802093374613003</v>
      </c>
      <c r="AE201" s="233"/>
      <c r="AF201" s="448"/>
      <c r="AG201" s="296" t="s">
        <v>338</v>
      </c>
      <c r="AH201" s="306" t="s">
        <v>269</v>
      </c>
      <c r="AI201" s="296">
        <v>51</v>
      </c>
      <c r="AJ201" s="296">
        <v>49</v>
      </c>
      <c r="AK201" s="296">
        <v>52</v>
      </c>
      <c r="AL201" s="296">
        <v>48</v>
      </c>
      <c r="AM201" s="296">
        <v>51</v>
      </c>
      <c r="AN201" s="296">
        <v>44</v>
      </c>
      <c r="AO201" s="296">
        <v>46</v>
      </c>
      <c r="AP201" s="296">
        <v>56</v>
      </c>
      <c r="AQ201" s="296">
        <v>53</v>
      </c>
      <c r="AR201" s="296">
        <v>45</v>
      </c>
      <c r="AS201" s="296">
        <v>44</v>
      </c>
      <c r="AT201" s="296">
        <v>46</v>
      </c>
      <c r="AU201" s="296">
        <v>47</v>
      </c>
      <c r="AV201" s="296">
        <v>42</v>
      </c>
      <c r="AW201" s="296">
        <v>49</v>
      </c>
      <c r="AX201" s="296">
        <v>57</v>
      </c>
      <c r="AY201" s="296">
        <v>46</v>
      </c>
      <c r="AZ201" s="296">
        <v>53</v>
      </c>
      <c r="BA201" s="296">
        <v>44</v>
      </c>
      <c r="BB201" s="296">
        <v>57</v>
      </c>
      <c r="BC201" s="296">
        <v>52</v>
      </c>
      <c r="BD201" s="296">
        <v>56</v>
      </c>
      <c r="BE201" s="296">
        <v>49</v>
      </c>
      <c r="BF201" s="296">
        <v>57</v>
      </c>
      <c r="BG201" s="296">
        <v>54</v>
      </c>
      <c r="BH201" s="296">
        <v>46</v>
      </c>
      <c r="BI201" s="296">
        <v>54</v>
      </c>
      <c r="BJ201" s="296">
        <v>54</v>
      </c>
      <c r="BK201" s="296">
        <v>56</v>
      </c>
      <c r="BL201" s="296">
        <v>53</v>
      </c>
      <c r="BM201" s="296">
        <v>58</v>
      </c>
      <c r="BN201" s="296">
        <v>57</v>
      </c>
      <c r="BO201" s="296">
        <v>52</v>
      </c>
      <c r="BP201" s="296">
        <v>57</v>
      </c>
      <c r="BQ201" s="296">
        <v>58</v>
      </c>
      <c r="BR201" s="296">
        <v>54</v>
      </c>
      <c r="BS201" s="296">
        <v>53</v>
      </c>
      <c r="BT201" s="296">
        <v>65</v>
      </c>
      <c r="BU201" s="296">
        <v>62</v>
      </c>
      <c r="BV201" s="296">
        <v>60</v>
      </c>
      <c r="BW201" s="296">
        <v>58</v>
      </c>
      <c r="BX201" s="296">
        <v>53</v>
      </c>
      <c r="BY201" s="296">
        <v>61</v>
      </c>
      <c r="BZ201" s="296">
        <v>56</v>
      </c>
      <c r="CA201" s="296">
        <v>60</v>
      </c>
      <c r="CB201" s="296">
        <v>53</v>
      </c>
      <c r="CC201" s="296">
        <v>61</v>
      </c>
      <c r="CD201" s="296">
        <v>56</v>
      </c>
      <c r="CE201" s="296">
        <v>54</v>
      </c>
      <c r="CF201" s="296">
        <v>56</v>
      </c>
      <c r="CG201" s="296">
        <v>53</v>
      </c>
      <c r="CH201" s="296">
        <v>57</v>
      </c>
      <c r="CI201" s="296">
        <v>54</v>
      </c>
      <c r="CJ201" s="296">
        <v>58</v>
      </c>
      <c r="CK201" s="296">
        <v>52</v>
      </c>
      <c r="CL201" s="296">
        <v>56</v>
      </c>
    </row>
    <row r="202" spans="1:90" s="296" customFormat="1">
      <c r="A202" s="296" t="s">
        <v>262</v>
      </c>
      <c r="B202" s="296" t="s">
        <v>328</v>
      </c>
      <c r="C202" s="298" t="s">
        <v>329</v>
      </c>
      <c r="D202" s="299" t="s">
        <v>87</v>
      </c>
      <c r="E202" s="300" t="s">
        <v>330</v>
      </c>
      <c r="F202" s="297">
        <v>6</v>
      </c>
      <c r="G202" s="297" t="s">
        <v>331</v>
      </c>
      <c r="H202" s="301">
        <v>726</v>
      </c>
      <c r="I202" s="344">
        <v>19.38</v>
      </c>
      <c r="J202" s="301">
        <v>14094</v>
      </c>
      <c r="K202" s="237"/>
      <c r="L202" s="301">
        <f t="shared" ref="L202" si="151">J202-(J202*K202)</f>
        <v>14094</v>
      </c>
      <c r="M202" s="303">
        <f t="shared" ref="M202" si="152">L202/H202</f>
        <v>19.41322314049587</v>
      </c>
      <c r="N202" s="304"/>
      <c r="O202" s="304"/>
      <c r="P202" s="304"/>
      <c r="Q202" s="304">
        <v>7.32</v>
      </c>
      <c r="R202" s="304">
        <v>12.66</v>
      </c>
      <c r="S202" s="305">
        <v>15.4</v>
      </c>
      <c r="T202" s="305"/>
      <c r="U202" s="296" t="s">
        <v>333</v>
      </c>
      <c r="V202" s="306" t="s">
        <v>103</v>
      </c>
      <c r="W202" s="306"/>
      <c r="X202" s="307">
        <v>0.56000000000000005</v>
      </c>
      <c r="Y202" s="307"/>
      <c r="Z202" s="304">
        <v>0.45</v>
      </c>
      <c r="AA202" s="431">
        <v>46198</v>
      </c>
      <c r="AB202" s="233">
        <v>50</v>
      </c>
      <c r="AC202" s="233">
        <f t="shared" ref="AC202" si="153">IFERROR(AB202*X202,"")</f>
        <v>28.000000000000004</v>
      </c>
      <c r="AD202" s="233">
        <f t="shared" ref="AD202" si="154">IFERROR(((AC202*L202)/2000)/I202,"")</f>
        <v>10.181424148606814</v>
      </c>
      <c r="AE202" s="233"/>
      <c r="AF202" s="448"/>
      <c r="AG202" s="296" t="s">
        <v>339</v>
      </c>
      <c r="AH202" s="306"/>
    </row>
    <row r="203" spans="1:90" s="296" customFormat="1">
      <c r="A203" s="296" t="s">
        <v>262</v>
      </c>
      <c r="B203" s="296" t="s">
        <v>328</v>
      </c>
      <c r="C203" s="298" t="s">
        <v>329</v>
      </c>
      <c r="D203" s="299" t="s">
        <v>87</v>
      </c>
      <c r="E203" s="300" t="s">
        <v>330</v>
      </c>
      <c r="F203" s="297">
        <v>6</v>
      </c>
      <c r="G203" s="297" t="s">
        <v>331</v>
      </c>
      <c r="H203" s="301">
        <v>726</v>
      </c>
      <c r="I203" s="344">
        <v>19.38</v>
      </c>
      <c r="J203" s="301">
        <v>14094</v>
      </c>
      <c r="K203" s="237"/>
      <c r="L203" s="301">
        <f t="shared" ref="L203" si="155">J203-(J203*K203)</f>
        <v>14094</v>
      </c>
      <c r="M203" s="303">
        <f t="shared" ref="M203" si="156">L203/H203</f>
        <v>19.41322314049587</v>
      </c>
      <c r="N203" s="304"/>
      <c r="O203" s="304"/>
      <c r="P203" s="304"/>
      <c r="Q203" s="304">
        <v>7.32</v>
      </c>
      <c r="R203" s="304">
        <v>12.66</v>
      </c>
      <c r="S203" s="305">
        <v>15.4</v>
      </c>
      <c r="T203" s="305"/>
      <c r="U203" s="296" t="s">
        <v>333</v>
      </c>
      <c r="V203" s="306" t="s">
        <v>103</v>
      </c>
      <c r="W203" s="306"/>
      <c r="X203" s="307">
        <v>0.56000000000000005</v>
      </c>
      <c r="Y203" s="307"/>
      <c r="Z203" s="304">
        <v>0.45</v>
      </c>
      <c r="AA203" s="431">
        <v>46227</v>
      </c>
      <c r="AB203" s="233">
        <v>60</v>
      </c>
      <c r="AC203" s="233">
        <f t="shared" ref="AC203" si="157">IFERROR(AB203*X203,"")</f>
        <v>33.6</v>
      </c>
      <c r="AD203" s="233">
        <f t="shared" ref="AD203" si="158">IFERROR(((AC203*L203)/2000)/I203,"")</f>
        <v>12.217708978328174</v>
      </c>
      <c r="AE203" s="233"/>
      <c r="AF203" s="448"/>
      <c r="AG203" s="296" t="s">
        <v>339</v>
      </c>
      <c r="AH203" s="306"/>
      <c r="AI203" s="296">
        <v>56</v>
      </c>
      <c r="AJ203" s="296">
        <v>70</v>
      </c>
      <c r="AK203" s="296">
        <v>65</v>
      </c>
      <c r="AL203" s="296">
        <v>72</v>
      </c>
      <c r="AM203" s="296">
        <v>51</v>
      </c>
      <c r="AN203" s="296">
        <v>48</v>
      </c>
      <c r="AO203" s="296">
        <v>61</v>
      </c>
      <c r="AP203" s="296">
        <v>69</v>
      </c>
      <c r="AQ203" s="296">
        <v>59</v>
      </c>
      <c r="AR203" s="296">
        <v>56</v>
      </c>
      <c r="AS203" s="296">
        <v>60</v>
      </c>
      <c r="AT203" s="296">
        <v>57</v>
      </c>
    </row>
    <row r="204" spans="1:90" s="113" customFormat="1">
      <c r="A204" s="113" t="s">
        <v>262</v>
      </c>
      <c r="B204" s="113" t="s">
        <v>340</v>
      </c>
      <c r="C204" s="114" t="s">
        <v>341</v>
      </c>
      <c r="D204" s="128" t="s">
        <v>87</v>
      </c>
      <c r="E204" s="127" t="s">
        <v>330</v>
      </c>
      <c r="F204" s="132" t="s">
        <v>342</v>
      </c>
      <c r="G204" s="126" t="s">
        <v>343</v>
      </c>
      <c r="H204" s="123">
        <v>726</v>
      </c>
      <c r="I204" s="131">
        <v>36.770000000000003</v>
      </c>
      <c r="J204" s="123">
        <v>26701</v>
      </c>
      <c r="K204" s="124">
        <v>0.02</v>
      </c>
      <c r="L204" s="123">
        <f t="shared" si="123"/>
        <v>26166.98</v>
      </c>
      <c r="M204" s="122">
        <f t="shared" si="124"/>
        <v>36.042672176308542</v>
      </c>
      <c r="N204" s="125"/>
      <c r="O204" s="125"/>
      <c r="P204" s="125"/>
      <c r="Q204" s="125"/>
      <c r="R204" s="125"/>
      <c r="S204" s="154">
        <v>8.61</v>
      </c>
      <c r="T204" s="154"/>
      <c r="U204" s="113" t="s">
        <v>344</v>
      </c>
      <c r="V204" s="115" t="s">
        <v>214</v>
      </c>
      <c r="W204" s="115"/>
      <c r="X204" s="120">
        <v>0.57999999999999996</v>
      </c>
      <c r="Y204" s="120"/>
      <c r="Z204" s="118">
        <v>0.55000000000000004</v>
      </c>
      <c r="AA204" s="430">
        <v>46105</v>
      </c>
      <c r="AB204" s="117">
        <f t="shared" si="111"/>
        <v>77</v>
      </c>
      <c r="AC204" s="117">
        <f t="shared" si="125"/>
        <v>44.66</v>
      </c>
      <c r="AD204" s="117">
        <f t="shared" si="110"/>
        <v>15.890907353821049</v>
      </c>
      <c r="AE204" s="117"/>
      <c r="AF204" s="447"/>
      <c r="AH204" s="115" t="s">
        <v>269</v>
      </c>
      <c r="AI204" s="113">
        <v>66</v>
      </c>
      <c r="AJ204" s="113">
        <v>79</v>
      </c>
      <c r="AK204" s="113">
        <v>78</v>
      </c>
      <c r="AL204" s="113">
        <v>74</v>
      </c>
      <c r="AM204" s="113">
        <v>86</v>
      </c>
      <c r="AN204" s="113">
        <v>75</v>
      </c>
      <c r="AO204" s="113">
        <v>81</v>
      </c>
      <c r="AP204" s="113">
        <v>77</v>
      </c>
    </row>
    <row r="205" spans="1:90" s="113" customFormat="1">
      <c r="A205" s="113" t="s">
        <v>262</v>
      </c>
      <c r="B205" s="113" t="s">
        <v>340</v>
      </c>
      <c r="C205" s="114" t="s">
        <v>341</v>
      </c>
      <c r="D205" s="128" t="s">
        <v>87</v>
      </c>
      <c r="E205" s="127" t="s">
        <v>330</v>
      </c>
      <c r="F205" s="132" t="s">
        <v>342</v>
      </c>
      <c r="G205" s="126" t="s">
        <v>343</v>
      </c>
      <c r="H205" s="123">
        <v>726</v>
      </c>
      <c r="I205" s="131">
        <v>36.770000000000003</v>
      </c>
      <c r="J205" s="123">
        <v>26701</v>
      </c>
      <c r="K205" s="124">
        <v>0.02</v>
      </c>
      <c r="L205" s="123">
        <f t="shared" si="123"/>
        <v>26166.98</v>
      </c>
      <c r="M205" s="122">
        <f t="shared" si="124"/>
        <v>36.042672176308542</v>
      </c>
      <c r="N205" s="125"/>
      <c r="O205" s="125"/>
      <c r="P205" s="125"/>
      <c r="Q205" s="125"/>
      <c r="R205" s="125"/>
      <c r="S205" s="154">
        <v>8.61</v>
      </c>
      <c r="T205" s="154"/>
      <c r="U205" s="113" t="s">
        <v>103</v>
      </c>
      <c r="V205" s="115" t="s">
        <v>103</v>
      </c>
      <c r="W205" s="115"/>
      <c r="X205" s="120">
        <v>0.57999999999999996</v>
      </c>
      <c r="Y205" s="120"/>
      <c r="Z205" s="118">
        <v>0.55000000000000004</v>
      </c>
      <c r="AA205" s="430">
        <v>46146</v>
      </c>
      <c r="AB205" s="117">
        <f t="shared" si="111"/>
        <v>75.533333333333331</v>
      </c>
      <c r="AC205" s="117">
        <f t="shared" si="125"/>
        <v>43.809333333333328</v>
      </c>
      <c r="AD205" s="117">
        <f t="shared" si="110"/>
        <v>15.588223404224458</v>
      </c>
      <c r="AE205" s="117"/>
      <c r="AF205" s="447"/>
      <c r="AH205" s="115" t="s">
        <v>91</v>
      </c>
      <c r="AI205" s="113">
        <v>56</v>
      </c>
      <c r="AJ205" s="113">
        <v>74</v>
      </c>
      <c r="AK205" s="113">
        <v>72</v>
      </c>
      <c r="AL205" s="113">
        <v>57</v>
      </c>
      <c r="AM205" s="113">
        <v>74</v>
      </c>
      <c r="AN205" s="113">
        <v>61</v>
      </c>
      <c r="AO205" s="113">
        <v>75</v>
      </c>
      <c r="AP205" s="113">
        <v>69</v>
      </c>
      <c r="AQ205" s="113">
        <v>80</v>
      </c>
      <c r="AR205" s="113">
        <v>79</v>
      </c>
      <c r="AS205" s="113">
        <v>104</v>
      </c>
      <c r="AT205" s="113">
        <v>88</v>
      </c>
      <c r="AU205" s="113">
        <v>67</v>
      </c>
      <c r="AV205" s="113">
        <v>85</v>
      </c>
      <c r="AW205" s="113">
        <v>92</v>
      </c>
    </row>
    <row r="206" spans="1:90" s="113" customFormat="1">
      <c r="A206" s="113" t="s">
        <v>262</v>
      </c>
      <c r="B206" s="113" t="s">
        <v>340</v>
      </c>
      <c r="C206" s="114" t="s">
        <v>341</v>
      </c>
      <c r="D206" s="128" t="s">
        <v>87</v>
      </c>
      <c r="E206" s="127" t="s">
        <v>330</v>
      </c>
      <c r="F206" s="132" t="s">
        <v>342</v>
      </c>
      <c r="G206" s="126" t="s">
        <v>343</v>
      </c>
      <c r="H206" s="123">
        <v>726</v>
      </c>
      <c r="I206" s="131">
        <v>36.770000000000003</v>
      </c>
      <c r="J206" s="123">
        <v>26701</v>
      </c>
      <c r="K206" s="124">
        <v>0.02</v>
      </c>
      <c r="L206" s="123">
        <f t="shared" si="123"/>
        <v>26166.98</v>
      </c>
      <c r="M206" s="122">
        <f t="shared" si="124"/>
        <v>36.042672176308542</v>
      </c>
      <c r="N206" s="125"/>
      <c r="O206" s="125"/>
      <c r="P206" s="125"/>
      <c r="Q206" s="125"/>
      <c r="R206" s="125"/>
      <c r="S206" s="154">
        <v>8.61</v>
      </c>
      <c r="T206" s="154"/>
      <c r="U206" s="113" t="s">
        <v>345</v>
      </c>
      <c r="V206" s="115" t="s">
        <v>103</v>
      </c>
      <c r="W206" s="115"/>
      <c r="X206" s="120">
        <v>0.57999999999999996</v>
      </c>
      <c r="Y206" s="120"/>
      <c r="Z206" s="118">
        <v>0.55000000000000004</v>
      </c>
      <c r="AA206" s="430">
        <v>46160</v>
      </c>
      <c r="AB206" s="117">
        <f t="shared" si="111"/>
        <v>68.2</v>
      </c>
      <c r="AC206" s="117">
        <f t="shared" si="125"/>
        <v>39.555999999999997</v>
      </c>
      <c r="AD206" s="117">
        <f t="shared" si="110"/>
        <v>14.074803656241498</v>
      </c>
      <c r="AE206" s="117"/>
      <c r="AF206" s="447"/>
      <c r="AH206" s="115" t="s">
        <v>116</v>
      </c>
      <c r="AI206" s="113">
        <v>66</v>
      </c>
      <c r="AJ206" s="113">
        <v>69</v>
      </c>
      <c r="AK206" s="113">
        <v>73</v>
      </c>
      <c r="AL206" s="113">
        <v>65</v>
      </c>
      <c r="AM206" s="113">
        <v>77</v>
      </c>
      <c r="AN206" s="113">
        <v>62</v>
      </c>
      <c r="AO206" s="113">
        <v>65</v>
      </c>
      <c r="AP206" s="113">
        <v>73</v>
      </c>
      <c r="AQ206" s="113">
        <v>59</v>
      </c>
      <c r="AR206" s="113">
        <v>62</v>
      </c>
      <c r="AS206" s="113">
        <v>77</v>
      </c>
      <c r="AT206" s="113">
        <v>69</v>
      </c>
      <c r="AU206" s="113">
        <v>73</v>
      </c>
      <c r="AV206" s="113">
        <v>68</v>
      </c>
      <c r="AW206" s="113">
        <v>65</v>
      </c>
    </row>
    <row r="207" spans="1:90" s="113" customFormat="1">
      <c r="A207" s="113" t="s">
        <v>262</v>
      </c>
      <c r="B207" s="113" t="s">
        <v>340</v>
      </c>
      <c r="C207" s="114" t="s">
        <v>341</v>
      </c>
      <c r="D207" s="128" t="s">
        <v>87</v>
      </c>
      <c r="E207" s="127" t="s">
        <v>330</v>
      </c>
      <c r="F207" s="132" t="s">
        <v>342</v>
      </c>
      <c r="G207" s="126" t="s">
        <v>343</v>
      </c>
      <c r="H207" s="123">
        <v>726</v>
      </c>
      <c r="I207" s="131">
        <v>36.770000000000003</v>
      </c>
      <c r="J207" s="123">
        <v>26701</v>
      </c>
      <c r="K207" s="124">
        <v>0.02</v>
      </c>
      <c r="L207" s="123">
        <f t="shared" si="123"/>
        <v>26166.98</v>
      </c>
      <c r="M207" s="122">
        <f t="shared" si="124"/>
        <v>36.042672176308542</v>
      </c>
      <c r="N207" s="125"/>
      <c r="O207" s="125"/>
      <c r="P207" s="125"/>
      <c r="Q207" s="125"/>
      <c r="R207" s="125"/>
      <c r="S207" s="154">
        <v>8.61</v>
      </c>
      <c r="T207" s="154"/>
      <c r="V207" s="115"/>
      <c r="W207" s="115"/>
      <c r="X207" s="120">
        <v>0.57999999999999996</v>
      </c>
      <c r="Y207" s="120"/>
      <c r="Z207" s="118">
        <v>0.55000000000000004</v>
      </c>
      <c r="AA207" s="430">
        <v>46181</v>
      </c>
      <c r="AB207" s="117">
        <f t="shared" si="111"/>
        <v>58.428571428571431</v>
      </c>
      <c r="AC207" s="117">
        <f t="shared" si="125"/>
        <v>33.888571428571424</v>
      </c>
      <c r="AD207" s="117">
        <f t="shared" si="110"/>
        <v>12.058220979059012</v>
      </c>
      <c r="AE207" s="117"/>
      <c r="AF207" s="447"/>
      <c r="AG207" s="113" t="s">
        <v>333</v>
      </c>
      <c r="AH207" s="115" t="s">
        <v>91</v>
      </c>
      <c r="AI207" s="113">
        <v>49</v>
      </c>
      <c r="AJ207" s="113">
        <v>45</v>
      </c>
      <c r="AK207" s="113">
        <v>52</v>
      </c>
      <c r="AL207" s="113">
        <v>44</v>
      </c>
      <c r="AM207" s="113">
        <v>53</v>
      </c>
      <c r="AN207" s="113">
        <v>55</v>
      </c>
      <c r="AO207" s="113">
        <v>65</v>
      </c>
      <c r="AP207" s="113">
        <v>65</v>
      </c>
      <c r="AQ207" s="113">
        <v>76</v>
      </c>
      <c r="AR207" s="113">
        <v>61</v>
      </c>
      <c r="AS207" s="113">
        <v>52</v>
      </c>
      <c r="AT207" s="113">
        <v>62</v>
      </c>
      <c r="AU207" s="113">
        <v>71</v>
      </c>
      <c r="AV207" s="113">
        <v>68</v>
      </c>
    </row>
    <row r="208" spans="1:90" s="113" customFormat="1">
      <c r="A208" s="113" t="s">
        <v>262</v>
      </c>
      <c r="B208" s="113" t="s">
        <v>340</v>
      </c>
      <c r="C208" s="114" t="s">
        <v>341</v>
      </c>
      <c r="D208" s="128" t="s">
        <v>87</v>
      </c>
      <c r="E208" s="127" t="s">
        <v>330</v>
      </c>
      <c r="F208" s="132" t="s">
        <v>342</v>
      </c>
      <c r="G208" s="126" t="s">
        <v>343</v>
      </c>
      <c r="H208" s="123">
        <v>726</v>
      </c>
      <c r="I208" s="131">
        <v>36.770000000000003</v>
      </c>
      <c r="J208" s="123">
        <v>26701</v>
      </c>
      <c r="K208" s="124">
        <v>0.02</v>
      </c>
      <c r="L208" s="123">
        <f t="shared" si="123"/>
        <v>26166.98</v>
      </c>
      <c r="M208" s="122">
        <f t="shared" si="124"/>
        <v>36.042672176308542</v>
      </c>
      <c r="N208" s="125"/>
      <c r="O208" s="125"/>
      <c r="P208" s="125"/>
      <c r="Q208" s="125"/>
      <c r="R208" s="125"/>
      <c r="S208" s="154">
        <v>8.61</v>
      </c>
      <c r="T208" s="154"/>
      <c r="V208" s="115"/>
      <c r="W208" s="115"/>
      <c r="X208" s="120">
        <v>0.57999999999999996</v>
      </c>
      <c r="Y208" s="120"/>
      <c r="Z208" s="118">
        <v>0.55000000000000004</v>
      </c>
      <c r="AA208" s="430">
        <v>46178</v>
      </c>
      <c r="AB208" s="117">
        <f t="shared" si="111"/>
        <v>54.19047619047619</v>
      </c>
      <c r="AC208" s="117">
        <f t="shared" si="125"/>
        <v>31.430476190476188</v>
      </c>
      <c r="AD208" s="117">
        <f t="shared" si="110"/>
        <v>11.183582293536396</v>
      </c>
      <c r="AE208" s="117"/>
      <c r="AF208" s="447"/>
      <c r="AG208" s="113" t="s">
        <v>333</v>
      </c>
      <c r="AH208" s="115" t="s">
        <v>346</v>
      </c>
      <c r="AI208" s="113">
        <v>49</v>
      </c>
      <c r="AJ208" s="113">
        <v>56</v>
      </c>
      <c r="AK208" s="113">
        <v>54</v>
      </c>
      <c r="AL208" s="113">
        <v>51</v>
      </c>
      <c r="AM208" s="113">
        <v>58</v>
      </c>
      <c r="AN208" s="113">
        <v>60</v>
      </c>
      <c r="AO208" s="113">
        <v>54</v>
      </c>
      <c r="AP208" s="113">
        <v>52</v>
      </c>
      <c r="AQ208" s="113">
        <v>58</v>
      </c>
      <c r="AR208" s="113">
        <v>55</v>
      </c>
      <c r="AS208" s="113">
        <v>52</v>
      </c>
      <c r="AT208" s="113">
        <v>43</v>
      </c>
      <c r="AU208" s="113">
        <v>53</v>
      </c>
      <c r="AV208" s="113">
        <v>57</v>
      </c>
      <c r="AW208" s="113">
        <v>49</v>
      </c>
      <c r="AX208" s="113">
        <v>57</v>
      </c>
      <c r="AY208" s="113">
        <v>58</v>
      </c>
      <c r="AZ208" s="113">
        <v>57</v>
      </c>
      <c r="BA208" s="113">
        <v>52</v>
      </c>
      <c r="BB208" s="113">
        <v>57</v>
      </c>
      <c r="BC208" s="113">
        <v>56</v>
      </c>
    </row>
    <row r="209" spans="1:84" s="113" customFormat="1">
      <c r="A209" s="113" t="s">
        <v>262</v>
      </c>
      <c r="B209" s="113" t="s">
        <v>340</v>
      </c>
      <c r="C209" s="114" t="s">
        <v>341</v>
      </c>
      <c r="D209" s="128" t="s">
        <v>87</v>
      </c>
      <c r="E209" s="127" t="s">
        <v>330</v>
      </c>
      <c r="F209" s="132" t="s">
        <v>342</v>
      </c>
      <c r="G209" s="126" t="s">
        <v>343</v>
      </c>
      <c r="H209" s="123">
        <v>726</v>
      </c>
      <c r="I209" s="131">
        <v>36.770000000000003</v>
      </c>
      <c r="J209" s="123">
        <v>26701</v>
      </c>
      <c r="K209" s="124">
        <v>0.02</v>
      </c>
      <c r="L209" s="123">
        <f t="shared" si="123"/>
        <v>26166.98</v>
      </c>
      <c r="M209" s="122">
        <f t="shared" si="124"/>
        <v>36.042672176308542</v>
      </c>
      <c r="N209" s="125"/>
      <c r="O209" s="125"/>
      <c r="P209" s="125"/>
      <c r="Q209" s="125"/>
      <c r="R209" s="125"/>
      <c r="S209" s="154">
        <v>8.61</v>
      </c>
      <c r="T209" s="154"/>
      <c r="V209" s="115"/>
      <c r="W209" s="115"/>
      <c r="X209" s="120">
        <v>0.57999999999999996</v>
      </c>
      <c r="Y209" s="120"/>
      <c r="Z209" s="118">
        <v>0.55000000000000004</v>
      </c>
      <c r="AA209" s="430">
        <v>46178</v>
      </c>
      <c r="AB209" s="117">
        <f t="shared" si="111"/>
        <v>55.291666666666664</v>
      </c>
      <c r="AC209" s="117">
        <f t="shared" si="125"/>
        <v>32.069166666666661</v>
      </c>
      <c r="AD209" s="117">
        <f t="shared" si="110"/>
        <v>11.410840940757861</v>
      </c>
      <c r="AE209" s="117"/>
      <c r="AF209" s="447"/>
      <c r="AG209" s="113" t="s">
        <v>333</v>
      </c>
      <c r="AH209" s="115" t="s">
        <v>282</v>
      </c>
      <c r="AI209" s="113">
        <v>57</v>
      </c>
      <c r="AJ209" s="113">
        <v>53</v>
      </c>
      <c r="AK209" s="113">
        <v>58</v>
      </c>
      <c r="AL209" s="113">
        <v>61</v>
      </c>
      <c r="AM209" s="113">
        <v>56</v>
      </c>
      <c r="AN209" s="113">
        <v>53</v>
      </c>
      <c r="AO209" s="113">
        <v>54</v>
      </c>
      <c r="AP209" s="113">
        <v>54</v>
      </c>
      <c r="AQ209" s="113">
        <v>54</v>
      </c>
      <c r="AR209" s="113">
        <v>59</v>
      </c>
      <c r="AS209" s="113">
        <v>57</v>
      </c>
      <c r="AT209" s="113">
        <v>49</v>
      </c>
      <c r="AU209" s="113">
        <v>62</v>
      </c>
      <c r="AV209" s="113">
        <v>52</v>
      </c>
      <c r="AW209" s="113">
        <v>51</v>
      </c>
      <c r="AX209" s="113">
        <v>58</v>
      </c>
      <c r="AY209" s="113">
        <v>56</v>
      </c>
      <c r="AZ209" s="113">
        <v>54</v>
      </c>
      <c r="BA209" s="113">
        <v>52</v>
      </c>
      <c r="BB209" s="113">
        <v>51</v>
      </c>
      <c r="BC209" s="113">
        <v>54</v>
      </c>
      <c r="BD209" s="113">
        <v>59</v>
      </c>
      <c r="BE209" s="113">
        <v>55</v>
      </c>
      <c r="BF209" s="113">
        <v>58</v>
      </c>
    </row>
    <row r="210" spans="1:84" s="113" customFormat="1">
      <c r="A210" s="113" t="s">
        <v>262</v>
      </c>
      <c r="B210" s="113" t="s">
        <v>340</v>
      </c>
      <c r="C210" s="114" t="s">
        <v>341</v>
      </c>
      <c r="D210" s="128" t="s">
        <v>87</v>
      </c>
      <c r="E210" s="127" t="s">
        <v>330</v>
      </c>
      <c r="F210" s="132" t="s">
        <v>342</v>
      </c>
      <c r="G210" s="126" t="s">
        <v>343</v>
      </c>
      <c r="H210" s="123">
        <v>726</v>
      </c>
      <c r="I210" s="131">
        <v>36.770000000000003</v>
      </c>
      <c r="J210" s="123">
        <v>26701</v>
      </c>
      <c r="K210" s="124">
        <v>0.02</v>
      </c>
      <c r="L210" s="123">
        <f t="shared" si="123"/>
        <v>26166.98</v>
      </c>
      <c r="M210" s="122">
        <f t="shared" si="124"/>
        <v>36.042672176308542</v>
      </c>
      <c r="N210" s="125"/>
      <c r="O210" s="125"/>
      <c r="P210" s="125"/>
      <c r="Q210" s="125"/>
      <c r="R210" s="125"/>
      <c r="S210" s="154">
        <v>8.61</v>
      </c>
      <c r="T210" s="154"/>
      <c r="V210" s="115"/>
      <c r="W210" s="115"/>
      <c r="X210" s="120">
        <v>0.57999999999999996</v>
      </c>
      <c r="Y210" s="120"/>
      <c r="Z210" s="118">
        <v>0.55000000000000004</v>
      </c>
      <c r="AA210" s="430">
        <v>46227</v>
      </c>
      <c r="AB210" s="117">
        <f t="shared" si="111"/>
        <v>61.466666666666669</v>
      </c>
      <c r="AC210" s="117">
        <f t="shared" si="125"/>
        <v>35.650666666666666</v>
      </c>
      <c r="AD210" s="117">
        <f t="shared" si="110"/>
        <v>12.68520916036624</v>
      </c>
      <c r="AE210" s="117"/>
      <c r="AF210" s="447"/>
      <c r="AG210" s="113" t="s">
        <v>333</v>
      </c>
      <c r="AH210" s="115" t="s">
        <v>91</v>
      </c>
      <c r="AI210" s="113">
        <v>74</v>
      </c>
      <c r="AJ210" s="113">
        <v>74</v>
      </c>
      <c r="AK210" s="113">
        <v>62</v>
      </c>
      <c r="AL210" s="113">
        <v>66</v>
      </c>
      <c r="AM210" s="113">
        <v>57</v>
      </c>
      <c r="AN210" s="113">
        <v>51</v>
      </c>
      <c r="AO210" s="113">
        <v>63</v>
      </c>
      <c r="AP210" s="113">
        <v>72</v>
      </c>
      <c r="AQ210" s="113">
        <v>56</v>
      </c>
      <c r="AR210" s="113">
        <v>72</v>
      </c>
      <c r="AS210" s="113">
        <v>50</v>
      </c>
      <c r="AT210" s="113">
        <v>54</v>
      </c>
      <c r="AU210" s="113">
        <v>48</v>
      </c>
      <c r="AV210" s="113">
        <v>53</v>
      </c>
      <c r="AW210" s="113">
        <v>70</v>
      </c>
    </row>
    <row r="211" spans="1:84" s="113" customFormat="1">
      <c r="A211" s="113" t="s">
        <v>262</v>
      </c>
      <c r="B211" s="113" t="s">
        <v>340</v>
      </c>
      <c r="C211" s="114" t="s">
        <v>341</v>
      </c>
      <c r="D211" s="128" t="s">
        <v>87</v>
      </c>
      <c r="E211" s="127" t="s">
        <v>330</v>
      </c>
      <c r="F211" s="132" t="s">
        <v>342</v>
      </c>
      <c r="G211" s="126" t="s">
        <v>343</v>
      </c>
      <c r="H211" s="123">
        <v>726</v>
      </c>
      <c r="I211" s="131">
        <v>36.770000000000003</v>
      </c>
      <c r="J211" s="123">
        <v>26701</v>
      </c>
      <c r="K211" s="124">
        <v>0.02</v>
      </c>
      <c r="L211" s="123">
        <f t="shared" si="123"/>
        <v>26166.98</v>
      </c>
      <c r="M211" s="122">
        <f t="shared" si="124"/>
        <v>36.042672176308542</v>
      </c>
      <c r="N211" s="125"/>
      <c r="O211" s="125"/>
      <c r="P211" s="125"/>
      <c r="Q211" s="125"/>
      <c r="R211" s="125"/>
      <c r="S211" s="154">
        <v>8.61</v>
      </c>
      <c r="T211" s="154"/>
      <c r="V211" s="115"/>
      <c r="W211" s="115"/>
      <c r="X211" s="120">
        <v>0.57999999999999996</v>
      </c>
      <c r="Y211" s="120"/>
      <c r="Z211" s="118">
        <v>0.55000000000000004</v>
      </c>
      <c r="AA211" s="430"/>
      <c r="AB211" s="117" t="str">
        <f t="shared" si="111"/>
        <v/>
      </c>
      <c r="AC211" s="117" t="str">
        <f t="shared" si="125"/>
        <v/>
      </c>
      <c r="AD211" s="117" t="str">
        <f t="shared" si="110"/>
        <v/>
      </c>
      <c r="AE211" s="117"/>
      <c r="AF211" s="447"/>
      <c r="AH211" s="115"/>
    </row>
    <row r="212" spans="1:84" s="296" customFormat="1">
      <c r="A212" s="296" t="s">
        <v>262</v>
      </c>
      <c r="B212" s="296" t="s">
        <v>347</v>
      </c>
      <c r="C212" s="345" t="s">
        <v>348</v>
      </c>
      <c r="D212" s="299" t="s">
        <v>111</v>
      </c>
      <c r="E212" s="300" t="s">
        <v>88</v>
      </c>
      <c r="F212" s="297">
        <v>47</v>
      </c>
      <c r="G212" s="297" t="s">
        <v>349</v>
      </c>
      <c r="H212" s="301">
        <v>807</v>
      </c>
      <c r="I212" s="344">
        <v>36.130000000000003</v>
      </c>
      <c r="J212" s="301">
        <v>28941</v>
      </c>
      <c r="K212" s="237"/>
      <c r="L212" s="301">
        <f t="shared" si="123"/>
        <v>28941</v>
      </c>
      <c r="M212" s="303">
        <f t="shared" si="124"/>
        <v>35.862453531598511</v>
      </c>
      <c r="N212" s="302"/>
      <c r="O212" s="302"/>
      <c r="P212" s="302"/>
      <c r="Q212" s="302"/>
      <c r="R212" s="302"/>
      <c r="S212" s="320">
        <v>4.93</v>
      </c>
      <c r="T212" s="320"/>
      <c r="V212" s="306"/>
      <c r="W212" s="306"/>
      <c r="X212" s="307">
        <v>0.27</v>
      </c>
      <c r="Y212" s="307"/>
      <c r="Z212" s="304">
        <v>0.38</v>
      </c>
      <c r="AA212" s="431">
        <v>46127</v>
      </c>
      <c r="AB212" s="233">
        <f t="shared" si="111"/>
        <v>81.933333333333337</v>
      </c>
      <c r="AC212" s="233">
        <f t="shared" si="125"/>
        <v>22.122000000000003</v>
      </c>
      <c r="AD212" s="233">
        <f t="shared" si="110"/>
        <v>8.8601273456960978</v>
      </c>
      <c r="AE212" s="233"/>
      <c r="AF212" s="448"/>
      <c r="AH212" s="306" t="s">
        <v>91</v>
      </c>
      <c r="AI212" s="296">
        <v>63</v>
      </c>
      <c r="AJ212" s="296">
        <v>97</v>
      </c>
      <c r="AK212" s="296">
        <v>70</v>
      </c>
      <c r="AL212" s="296">
        <v>103</v>
      </c>
      <c r="AM212" s="296">
        <v>76</v>
      </c>
      <c r="AN212" s="296">
        <v>75</v>
      </c>
      <c r="AO212" s="296">
        <v>90</v>
      </c>
      <c r="AP212" s="296">
        <v>89</v>
      </c>
      <c r="AQ212" s="296">
        <v>85</v>
      </c>
      <c r="AR212" s="296">
        <v>76</v>
      </c>
      <c r="AS212" s="296">
        <v>93</v>
      </c>
      <c r="AT212" s="296">
        <v>77</v>
      </c>
      <c r="AU212" s="296">
        <v>79</v>
      </c>
      <c r="AV212" s="296">
        <v>74</v>
      </c>
      <c r="AW212" s="296">
        <v>82</v>
      </c>
    </row>
    <row r="213" spans="1:84" s="296" customFormat="1">
      <c r="A213" s="296" t="s">
        <v>262</v>
      </c>
      <c r="B213" s="296" t="s">
        <v>347</v>
      </c>
      <c r="C213" s="345" t="s">
        <v>348</v>
      </c>
      <c r="D213" s="299" t="s">
        <v>111</v>
      </c>
      <c r="E213" s="300" t="s">
        <v>88</v>
      </c>
      <c r="F213" s="297">
        <v>47</v>
      </c>
      <c r="G213" s="297" t="s">
        <v>349</v>
      </c>
      <c r="H213" s="301">
        <v>807</v>
      </c>
      <c r="I213" s="344">
        <v>36.130000000000003</v>
      </c>
      <c r="J213" s="301">
        <v>28941</v>
      </c>
      <c r="K213" s="237"/>
      <c r="L213" s="301">
        <f t="shared" si="123"/>
        <v>28941</v>
      </c>
      <c r="M213" s="303">
        <f t="shared" si="124"/>
        <v>35.862453531598511</v>
      </c>
      <c r="N213" s="302"/>
      <c r="O213" s="302"/>
      <c r="P213" s="302"/>
      <c r="Q213" s="302"/>
      <c r="R213" s="302"/>
      <c r="S213" s="320">
        <v>4.93</v>
      </c>
      <c r="T213" s="320"/>
      <c r="V213" s="306"/>
      <c r="W213" s="306"/>
      <c r="X213" s="307">
        <v>0.27</v>
      </c>
      <c r="Y213" s="307"/>
      <c r="Z213" s="304">
        <v>0.38</v>
      </c>
      <c r="AA213" s="431">
        <v>46163</v>
      </c>
      <c r="AB213" s="233">
        <f t="shared" si="111"/>
        <v>87.7</v>
      </c>
      <c r="AC213" s="233">
        <f t="shared" si="125"/>
        <v>23.679000000000002</v>
      </c>
      <c r="AD213" s="233">
        <f t="shared" si="110"/>
        <v>9.4837245917520061</v>
      </c>
      <c r="AE213" s="233"/>
      <c r="AF213" s="448"/>
      <c r="AH213" s="306" t="s">
        <v>91</v>
      </c>
      <c r="AI213" s="296">
        <v>75</v>
      </c>
      <c r="AJ213" s="296">
        <v>86</v>
      </c>
      <c r="AK213" s="296">
        <v>91</v>
      </c>
      <c r="AL213" s="296">
        <v>76</v>
      </c>
      <c r="AM213" s="296">
        <v>92</v>
      </c>
      <c r="AN213" s="296">
        <v>87</v>
      </c>
      <c r="AO213" s="296">
        <v>88</v>
      </c>
      <c r="AP213" s="296">
        <v>97</v>
      </c>
      <c r="AQ213" s="296">
        <v>91</v>
      </c>
      <c r="AR213" s="296">
        <v>94</v>
      </c>
    </row>
    <row r="214" spans="1:84" s="296" customFormat="1">
      <c r="A214" s="296" t="s">
        <v>262</v>
      </c>
      <c r="B214" s="296" t="s">
        <v>347</v>
      </c>
      <c r="C214" s="345" t="s">
        <v>348</v>
      </c>
      <c r="D214" s="299" t="s">
        <v>111</v>
      </c>
      <c r="E214" s="300" t="s">
        <v>88</v>
      </c>
      <c r="F214" s="297">
        <v>47</v>
      </c>
      <c r="G214" s="297" t="s">
        <v>349</v>
      </c>
      <c r="H214" s="301">
        <v>807</v>
      </c>
      <c r="I214" s="344">
        <v>36.130000000000003</v>
      </c>
      <c r="J214" s="301">
        <v>28941</v>
      </c>
      <c r="K214" s="237">
        <v>1E-3</v>
      </c>
      <c r="L214" s="301">
        <f t="shared" si="123"/>
        <v>28912.059000000001</v>
      </c>
      <c r="M214" s="303">
        <f t="shared" si="124"/>
        <v>35.826591078066919</v>
      </c>
      <c r="N214" s="302"/>
      <c r="O214" s="302"/>
      <c r="P214" s="302"/>
      <c r="Q214" s="302"/>
      <c r="R214" s="302"/>
      <c r="S214" s="320">
        <v>4.93</v>
      </c>
      <c r="T214" s="320"/>
      <c r="V214" s="306"/>
      <c r="W214" s="306"/>
      <c r="X214" s="307">
        <v>0.27</v>
      </c>
      <c r="Y214" s="307"/>
      <c r="Z214" s="304">
        <v>0.38</v>
      </c>
      <c r="AA214" s="431">
        <v>46167</v>
      </c>
      <c r="AB214" s="233">
        <f>IFERROR(AVERAGE(AI214:BG214),"")</f>
        <v>69.599999999999994</v>
      </c>
      <c r="AC214" s="233">
        <f>IFERROR(AB214*X214,"")</f>
        <v>18.791999999999998</v>
      </c>
      <c r="AD214" s="233">
        <f>IFERROR(((AC214*L214)/2000)/I214,"")</f>
        <v>7.5188958307223901</v>
      </c>
      <c r="AE214" s="233"/>
      <c r="AF214" s="448"/>
      <c r="AG214" s="296" t="s">
        <v>350</v>
      </c>
      <c r="AH214" s="306"/>
      <c r="AI214" s="296">
        <v>74</v>
      </c>
      <c r="AJ214" s="296">
        <v>80</v>
      </c>
      <c r="AK214" s="296">
        <v>64</v>
      </c>
      <c r="AL214" s="296">
        <v>60</v>
      </c>
      <c r="AM214" s="296">
        <v>73</v>
      </c>
      <c r="AN214" s="296">
        <v>70</v>
      </c>
      <c r="AO214" s="296">
        <v>69</v>
      </c>
      <c r="AP214" s="296">
        <v>75</v>
      </c>
      <c r="AQ214" s="296">
        <v>65</v>
      </c>
      <c r="AR214" s="296">
        <v>60</v>
      </c>
      <c r="AS214" s="296">
        <v>69</v>
      </c>
      <c r="AT214" s="296">
        <v>70</v>
      </c>
      <c r="AU214" s="296">
        <v>72</v>
      </c>
      <c r="AV214" s="296">
        <v>79</v>
      </c>
      <c r="AW214" s="296">
        <v>64</v>
      </c>
    </row>
    <row r="215" spans="1:84" s="296" customFormat="1">
      <c r="A215" s="296" t="s">
        <v>262</v>
      </c>
      <c r="B215" s="296" t="s">
        <v>347</v>
      </c>
      <c r="C215" s="345" t="s">
        <v>348</v>
      </c>
      <c r="D215" s="299" t="s">
        <v>111</v>
      </c>
      <c r="E215" s="300" t="s">
        <v>88</v>
      </c>
      <c r="F215" s="297">
        <v>47</v>
      </c>
      <c r="G215" s="297" t="s">
        <v>349</v>
      </c>
      <c r="H215" s="301">
        <v>807</v>
      </c>
      <c r="I215" s="344">
        <v>36.130000000000003</v>
      </c>
      <c r="J215" s="301">
        <v>28941</v>
      </c>
      <c r="K215" s="237">
        <v>1E-3</v>
      </c>
      <c r="L215" s="301">
        <f t="shared" si="123"/>
        <v>28912.059000000001</v>
      </c>
      <c r="M215" s="303">
        <f t="shared" si="124"/>
        <v>35.826591078066919</v>
      </c>
      <c r="N215" s="302"/>
      <c r="O215" s="302"/>
      <c r="P215" s="302"/>
      <c r="Q215" s="302"/>
      <c r="R215" s="302"/>
      <c r="S215" s="320">
        <v>4.93</v>
      </c>
      <c r="T215" s="320"/>
      <c r="V215" s="306"/>
      <c r="W215" s="306"/>
      <c r="X215" s="307">
        <v>0.27</v>
      </c>
      <c r="Y215" s="307"/>
      <c r="Z215" s="304">
        <v>0.38</v>
      </c>
      <c r="AA215" s="431"/>
      <c r="AB215" s="233" t="str">
        <f t="shared" si="111"/>
        <v/>
      </c>
      <c r="AC215" s="233" t="str">
        <f t="shared" si="125"/>
        <v/>
      </c>
      <c r="AD215" s="233" t="str">
        <f t="shared" si="110"/>
        <v/>
      </c>
      <c r="AE215" s="233"/>
      <c r="AF215" s="448"/>
      <c r="AH215" s="306"/>
    </row>
    <row r="216" spans="1:84" s="177" customFormat="1">
      <c r="A216" s="177" t="s">
        <v>262</v>
      </c>
      <c r="B216" s="177" t="s">
        <v>351</v>
      </c>
      <c r="C216" s="178" t="s">
        <v>352</v>
      </c>
      <c r="D216" s="179" t="s">
        <v>111</v>
      </c>
      <c r="E216" s="180" t="s">
        <v>88</v>
      </c>
      <c r="F216" s="181">
        <v>47</v>
      </c>
      <c r="G216" s="181" t="s">
        <v>96</v>
      </c>
      <c r="H216" s="182">
        <v>807</v>
      </c>
      <c r="I216" s="183">
        <v>41.4</v>
      </c>
      <c r="J216" s="182">
        <v>33182</v>
      </c>
      <c r="K216" s="184"/>
      <c r="L216" s="182">
        <f t="shared" si="123"/>
        <v>33182</v>
      </c>
      <c r="M216" s="185">
        <f t="shared" si="124"/>
        <v>41.117719950433703</v>
      </c>
      <c r="N216" s="183"/>
      <c r="O216" s="183"/>
      <c r="P216" s="183"/>
      <c r="Q216" s="183"/>
      <c r="R216" s="183"/>
      <c r="S216" s="186">
        <v>5.23</v>
      </c>
      <c r="T216" s="186"/>
      <c r="V216" s="188"/>
      <c r="W216" s="188"/>
      <c r="X216" s="189">
        <v>0.31</v>
      </c>
      <c r="Y216" s="189"/>
      <c r="Z216" s="190">
        <v>0.38</v>
      </c>
      <c r="AA216" s="434">
        <v>46127</v>
      </c>
      <c r="AB216" s="192">
        <f t="shared" si="111"/>
        <v>82.733333333333334</v>
      </c>
      <c r="AC216" s="192">
        <f t="shared" si="125"/>
        <v>25.647333333333332</v>
      </c>
      <c r="AD216" s="192">
        <f t="shared" si="110"/>
        <v>10.278137858293077</v>
      </c>
      <c r="AE216" s="192"/>
      <c r="AF216" s="451"/>
      <c r="AH216" s="188" t="s">
        <v>91</v>
      </c>
      <c r="AI216" s="177">
        <v>61</v>
      </c>
      <c r="AJ216" s="177">
        <v>82</v>
      </c>
      <c r="AK216" s="177">
        <v>91</v>
      </c>
      <c r="AL216" s="177">
        <v>78</v>
      </c>
      <c r="AM216" s="177">
        <v>84</v>
      </c>
      <c r="AN216" s="177">
        <v>70</v>
      </c>
      <c r="AO216" s="177">
        <v>77</v>
      </c>
      <c r="AP216" s="177">
        <v>92</v>
      </c>
      <c r="AQ216" s="177">
        <v>95</v>
      </c>
      <c r="AR216" s="177">
        <v>87</v>
      </c>
      <c r="AS216" s="177">
        <v>92</v>
      </c>
      <c r="AT216" s="177">
        <v>73</v>
      </c>
      <c r="AU216" s="177">
        <v>76</v>
      </c>
      <c r="AV216" s="177">
        <v>102</v>
      </c>
      <c r="AW216" s="177">
        <v>81</v>
      </c>
    </row>
    <row r="217" spans="1:84" s="177" customFormat="1">
      <c r="A217" s="177" t="s">
        <v>262</v>
      </c>
      <c r="B217" s="177" t="s">
        <v>351</v>
      </c>
      <c r="C217" s="178" t="s">
        <v>352</v>
      </c>
      <c r="D217" s="179" t="s">
        <v>111</v>
      </c>
      <c r="E217" s="180" t="s">
        <v>88</v>
      </c>
      <c r="F217" s="181">
        <v>47</v>
      </c>
      <c r="G217" s="181" t="s">
        <v>96</v>
      </c>
      <c r="H217" s="182">
        <v>807</v>
      </c>
      <c r="I217" s="183">
        <v>41.4</v>
      </c>
      <c r="J217" s="182">
        <v>33182</v>
      </c>
      <c r="K217" s="184"/>
      <c r="L217" s="182">
        <f t="shared" si="123"/>
        <v>33182</v>
      </c>
      <c r="M217" s="185">
        <f t="shared" si="124"/>
        <v>41.117719950433703</v>
      </c>
      <c r="N217" s="183"/>
      <c r="O217" s="183"/>
      <c r="P217" s="183"/>
      <c r="Q217" s="183"/>
      <c r="R217" s="183"/>
      <c r="S217" s="186">
        <v>5.23</v>
      </c>
      <c r="T217" s="186"/>
      <c r="V217" s="188"/>
      <c r="W217" s="188"/>
      <c r="X217" s="189">
        <v>0.31</v>
      </c>
      <c r="Y217" s="189"/>
      <c r="Z217" s="190">
        <v>0.38</v>
      </c>
      <c r="AA217" s="434">
        <v>46160</v>
      </c>
      <c r="AB217" s="192">
        <f t="shared" si="111"/>
        <v>82</v>
      </c>
      <c r="AC217" s="192">
        <f t="shared" si="125"/>
        <v>25.419999999999998</v>
      </c>
      <c r="AD217" s="192">
        <f t="shared" si="110"/>
        <v>10.187034299516908</v>
      </c>
      <c r="AE217" s="192"/>
      <c r="AF217" s="451"/>
      <c r="AH217" s="188" t="s">
        <v>91</v>
      </c>
      <c r="AI217" s="177">
        <v>88</v>
      </c>
      <c r="AJ217" s="177">
        <v>98</v>
      </c>
      <c r="AK217" s="177">
        <v>75</v>
      </c>
      <c r="AL217" s="177">
        <v>81</v>
      </c>
      <c r="AM217" s="177">
        <v>89</v>
      </c>
      <c r="AN217" s="177">
        <v>91</v>
      </c>
      <c r="AO217" s="177">
        <v>69</v>
      </c>
      <c r="AP217" s="177">
        <v>79</v>
      </c>
      <c r="AQ217" s="177">
        <v>78</v>
      </c>
      <c r="AR217" s="177">
        <v>72</v>
      </c>
    </row>
    <row r="218" spans="1:84" s="177" customFormat="1">
      <c r="A218" s="177" t="s">
        <v>262</v>
      </c>
      <c r="B218" s="177" t="s">
        <v>351</v>
      </c>
      <c r="C218" s="178" t="s">
        <v>352</v>
      </c>
      <c r="D218" s="179" t="s">
        <v>111</v>
      </c>
      <c r="E218" s="180" t="s">
        <v>88</v>
      </c>
      <c r="F218" s="181">
        <v>47</v>
      </c>
      <c r="G218" s="181" t="s">
        <v>96</v>
      </c>
      <c r="H218" s="182">
        <v>807</v>
      </c>
      <c r="I218" s="183">
        <v>41.4</v>
      </c>
      <c r="J218" s="182">
        <v>33182</v>
      </c>
      <c r="K218" s="184"/>
      <c r="L218" s="182">
        <f t="shared" si="123"/>
        <v>33182</v>
      </c>
      <c r="M218" s="185">
        <f t="shared" si="124"/>
        <v>41.117719950433703</v>
      </c>
      <c r="N218" s="183"/>
      <c r="O218" s="183"/>
      <c r="P218" s="183"/>
      <c r="Q218" s="183"/>
      <c r="R218" s="183"/>
      <c r="S218" s="186">
        <v>5.23</v>
      </c>
      <c r="T218" s="186"/>
      <c r="V218" s="188"/>
      <c r="W218" s="188"/>
      <c r="X218" s="189">
        <v>0.31</v>
      </c>
      <c r="Y218" s="189"/>
      <c r="Z218" s="190">
        <v>0.38</v>
      </c>
      <c r="AA218" s="434">
        <v>46169</v>
      </c>
      <c r="AB218" s="192">
        <f>IFERROR(AVERAGE(AI218:BG218),"")</f>
        <v>72.466666666666669</v>
      </c>
      <c r="AC218" s="192">
        <f>IFERROR(AB218*X218,"")</f>
        <v>22.464666666666666</v>
      </c>
      <c r="AD218" s="192">
        <f>IFERROR(((AC218*L218)/2000)/I218,"")</f>
        <v>9.0026880354267309</v>
      </c>
      <c r="AE218" s="192"/>
      <c r="AF218" s="451"/>
      <c r="AG218" s="177" t="s">
        <v>353</v>
      </c>
      <c r="AH218" s="188"/>
      <c r="AI218" s="177">
        <v>70</v>
      </c>
      <c r="AJ218" s="177">
        <v>68</v>
      </c>
      <c r="AK218" s="177">
        <v>77</v>
      </c>
      <c r="AL218" s="177">
        <v>74</v>
      </c>
      <c r="AM218" s="177">
        <v>80</v>
      </c>
      <c r="AN218" s="177">
        <v>65</v>
      </c>
      <c r="AO218" s="177">
        <v>74</v>
      </c>
      <c r="AP218" s="177">
        <v>79</v>
      </c>
      <c r="AQ218" s="177">
        <v>66</v>
      </c>
      <c r="AR218" s="177">
        <v>68</v>
      </c>
      <c r="AS218" s="177">
        <v>72</v>
      </c>
      <c r="AT218" s="177">
        <v>69</v>
      </c>
      <c r="AU218" s="177">
        <v>80</v>
      </c>
      <c r="AV218" s="177">
        <v>79</v>
      </c>
      <c r="AW218" s="177">
        <v>66</v>
      </c>
    </row>
    <row r="219" spans="1:84" s="177" customFormat="1">
      <c r="A219" s="177" t="s">
        <v>262</v>
      </c>
      <c r="B219" s="177" t="s">
        <v>351</v>
      </c>
      <c r="C219" s="178" t="s">
        <v>352</v>
      </c>
      <c r="D219" s="179" t="s">
        <v>111</v>
      </c>
      <c r="E219" s="180" t="s">
        <v>88</v>
      </c>
      <c r="F219" s="181">
        <v>47</v>
      </c>
      <c r="G219" s="181" t="s">
        <v>96</v>
      </c>
      <c r="H219" s="182">
        <v>807</v>
      </c>
      <c r="I219" s="183">
        <v>41.4</v>
      </c>
      <c r="J219" s="182">
        <v>33182</v>
      </c>
      <c r="K219" s="184"/>
      <c r="L219" s="182">
        <f t="shared" si="123"/>
        <v>33182</v>
      </c>
      <c r="M219" s="185">
        <f t="shared" si="124"/>
        <v>41.117719950433703</v>
      </c>
      <c r="N219" s="183"/>
      <c r="O219" s="183"/>
      <c r="P219" s="183"/>
      <c r="Q219" s="183"/>
      <c r="R219" s="183"/>
      <c r="S219" s="186">
        <v>5.23</v>
      </c>
      <c r="T219" s="186"/>
      <c r="V219" s="188"/>
      <c r="W219" s="188"/>
      <c r="X219" s="189">
        <v>0.31</v>
      </c>
      <c r="Y219" s="189"/>
      <c r="Z219" s="190">
        <v>0.38</v>
      </c>
      <c r="AA219" s="434"/>
      <c r="AB219" s="192" t="str">
        <f t="shared" si="111"/>
        <v/>
      </c>
      <c r="AC219" s="192" t="str">
        <f t="shared" si="125"/>
        <v/>
      </c>
      <c r="AD219" s="192" t="str">
        <f t="shared" si="110"/>
        <v/>
      </c>
      <c r="AE219" s="192"/>
      <c r="AF219" s="451"/>
      <c r="AH219" s="188"/>
    </row>
    <row r="220" spans="1:84" s="177" customFormat="1">
      <c r="A220" s="177" t="s">
        <v>262</v>
      </c>
      <c r="B220" s="177" t="s">
        <v>351</v>
      </c>
      <c r="C220" s="178" t="s">
        <v>352</v>
      </c>
      <c r="D220" s="179" t="s">
        <v>111</v>
      </c>
      <c r="E220" s="180" t="s">
        <v>88</v>
      </c>
      <c r="F220" s="181">
        <v>47</v>
      </c>
      <c r="G220" s="181" t="s">
        <v>96</v>
      </c>
      <c r="H220" s="182">
        <v>807</v>
      </c>
      <c r="I220" s="183">
        <v>41.4</v>
      </c>
      <c r="J220" s="182">
        <v>33182</v>
      </c>
      <c r="K220" s="184"/>
      <c r="L220" s="182">
        <f t="shared" si="123"/>
        <v>33182</v>
      </c>
      <c r="M220" s="185">
        <f t="shared" si="124"/>
        <v>41.117719950433703</v>
      </c>
      <c r="N220" s="183"/>
      <c r="O220" s="183"/>
      <c r="P220" s="183"/>
      <c r="Q220" s="183"/>
      <c r="R220" s="183"/>
      <c r="S220" s="186">
        <v>5.23</v>
      </c>
      <c r="T220" s="186"/>
      <c r="V220" s="188"/>
      <c r="W220" s="188"/>
      <c r="X220" s="189">
        <v>0.31</v>
      </c>
      <c r="Y220" s="189"/>
      <c r="Z220" s="190">
        <v>0.38</v>
      </c>
      <c r="AA220" s="434"/>
      <c r="AB220" s="192" t="str">
        <f t="shared" si="111"/>
        <v/>
      </c>
      <c r="AC220" s="192" t="str">
        <f t="shared" si="125"/>
        <v/>
      </c>
      <c r="AD220" s="192" t="str">
        <f t="shared" si="110"/>
        <v/>
      </c>
      <c r="AE220" s="192"/>
      <c r="AF220" s="451"/>
      <c r="AH220" s="188"/>
    </row>
    <row r="221" spans="1:84" s="296" customFormat="1">
      <c r="A221" s="113" t="s">
        <v>262</v>
      </c>
      <c r="B221" s="113" t="s">
        <v>354</v>
      </c>
      <c r="C221" s="130" t="s">
        <v>355</v>
      </c>
      <c r="D221" s="128" t="s">
        <v>193</v>
      </c>
      <c r="E221" s="127" t="s">
        <v>88</v>
      </c>
      <c r="F221" s="126"/>
      <c r="G221" s="126"/>
      <c r="H221" s="123">
        <v>807</v>
      </c>
      <c r="I221" s="125">
        <v>30.18</v>
      </c>
      <c r="J221" s="123">
        <v>23869</v>
      </c>
      <c r="K221" s="124"/>
      <c r="L221" s="123">
        <v>23869</v>
      </c>
      <c r="M221" s="122">
        <f t="shared" si="124"/>
        <v>29.577447335811648</v>
      </c>
      <c r="N221" s="125"/>
      <c r="O221" s="125"/>
      <c r="P221" s="125"/>
      <c r="Q221" s="125"/>
      <c r="R221" s="125"/>
      <c r="S221" s="154"/>
      <c r="T221" s="154"/>
      <c r="U221" s="113"/>
      <c r="V221" s="115"/>
      <c r="W221" s="115"/>
      <c r="X221" s="120">
        <v>0.31</v>
      </c>
      <c r="Y221" s="120"/>
      <c r="Z221" s="118">
        <v>0.31</v>
      </c>
      <c r="AA221" s="430">
        <v>46167</v>
      </c>
      <c r="AB221" s="117">
        <f t="shared" si="111"/>
        <v>34.6</v>
      </c>
      <c r="AC221" s="117">
        <f t="shared" si="125"/>
        <v>10.726000000000001</v>
      </c>
      <c r="AD221" s="117">
        <f t="shared" ref="AD221" si="159">IFERROR(((AC221*L221)/2000)/I221,"")</f>
        <v>4.2415323724320748</v>
      </c>
      <c r="AE221" s="117"/>
      <c r="AF221" s="447"/>
      <c r="AG221" s="113" t="s">
        <v>333</v>
      </c>
      <c r="AH221" s="115"/>
      <c r="AI221" s="113">
        <v>31</v>
      </c>
      <c r="AJ221" s="113">
        <v>34</v>
      </c>
      <c r="AK221" s="113">
        <v>32</v>
      </c>
      <c r="AL221" s="113">
        <v>31</v>
      </c>
      <c r="AM221" s="113">
        <v>38</v>
      </c>
      <c r="AN221" s="113">
        <v>39</v>
      </c>
      <c r="AO221" s="113">
        <v>35</v>
      </c>
      <c r="AP221" s="113">
        <v>38</v>
      </c>
      <c r="AQ221" s="113">
        <v>36</v>
      </c>
      <c r="AR221" s="113">
        <v>32</v>
      </c>
      <c r="AS221" s="113"/>
      <c r="AT221" s="113"/>
      <c r="AU221" s="113"/>
      <c r="AV221" s="113"/>
      <c r="AW221" s="113"/>
      <c r="AX221" s="113"/>
      <c r="AY221" s="113"/>
      <c r="AZ221" s="113"/>
      <c r="BA221" s="113"/>
      <c r="BB221" s="113"/>
      <c r="BC221" s="113"/>
      <c r="BD221" s="113"/>
      <c r="BE221" s="113"/>
      <c r="BF221" s="113"/>
      <c r="BG221" s="113"/>
      <c r="BH221" s="113"/>
      <c r="BI221" s="113"/>
      <c r="BJ221" s="113"/>
      <c r="BK221" s="113"/>
      <c r="BL221" s="113"/>
      <c r="BM221" s="113"/>
      <c r="BN221" s="113"/>
      <c r="BO221" s="113"/>
      <c r="BP221" s="113"/>
      <c r="BQ221" s="113"/>
      <c r="BR221" s="113"/>
      <c r="BS221" s="113"/>
      <c r="BT221" s="113"/>
      <c r="BU221" s="113"/>
      <c r="BV221" s="113"/>
      <c r="BW221" s="113"/>
      <c r="BX221" s="113"/>
      <c r="BY221" s="113"/>
      <c r="BZ221" s="113"/>
      <c r="CA221" s="113"/>
      <c r="CB221" s="113"/>
      <c r="CC221" s="113"/>
      <c r="CD221" s="113"/>
      <c r="CE221" s="113"/>
      <c r="CF221" s="113"/>
    </row>
    <row r="222" spans="1:84" s="296" customFormat="1">
      <c r="A222" s="296" t="s">
        <v>262</v>
      </c>
      <c r="B222" s="296" t="s">
        <v>356</v>
      </c>
      <c r="C222" s="345" t="s">
        <v>357</v>
      </c>
      <c r="D222" s="299" t="s">
        <v>111</v>
      </c>
      <c r="E222" s="300" t="s">
        <v>88</v>
      </c>
      <c r="F222" s="297">
        <v>7</v>
      </c>
      <c r="G222" s="297" t="s">
        <v>265</v>
      </c>
      <c r="H222" s="301">
        <v>807</v>
      </c>
      <c r="I222" s="302">
        <v>32.99</v>
      </c>
      <c r="J222" s="301">
        <v>26335</v>
      </c>
      <c r="K222" s="237"/>
      <c r="L222" s="301">
        <f t="shared" ref="L222:L244" si="160">J222-(J222*K222)</f>
        <v>26335</v>
      </c>
      <c r="M222" s="303">
        <f t="shared" ref="M222:M246" si="161">L222/H222</f>
        <v>32.633209417596035</v>
      </c>
      <c r="N222" s="302"/>
      <c r="O222" s="302"/>
      <c r="P222" s="302"/>
      <c r="Q222" s="302"/>
      <c r="R222" s="302"/>
      <c r="S222" s="320">
        <v>4.59</v>
      </c>
      <c r="T222" s="320"/>
      <c r="V222" s="306"/>
      <c r="W222" s="306"/>
      <c r="X222" s="307">
        <v>0.32</v>
      </c>
      <c r="Y222" s="307"/>
      <c r="Z222" s="304">
        <v>0.38</v>
      </c>
      <c r="AA222" s="431">
        <v>46122</v>
      </c>
      <c r="AB222" s="233">
        <f t="shared" si="111"/>
        <v>88.533333333333331</v>
      </c>
      <c r="AC222" s="233">
        <f t="shared" ref="AC222:AC230" si="162">IFERROR(AB222*X222,"")</f>
        <v>28.330666666666666</v>
      </c>
      <c r="AD222" s="233">
        <f t="shared" ref="AD222:AD227" si="163">IFERROR(((AC222*L222)/2000)/I222,"")</f>
        <v>11.307791856118016</v>
      </c>
      <c r="AE222" s="233"/>
      <c r="AF222" s="448"/>
      <c r="AG222" s="296" t="s">
        <v>358</v>
      </c>
      <c r="AH222" s="306" t="s">
        <v>91</v>
      </c>
      <c r="AI222" s="296">
        <v>87</v>
      </c>
      <c r="AJ222" s="296">
        <v>83</v>
      </c>
      <c r="AK222" s="296">
        <v>86</v>
      </c>
      <c r="AL222" s="296">
        <v>75</v>
      </c>
      <c r="AM222" s="296">
        <v>63</v>
      </c>
      <c r="AN222" s="296">
        <v>102</v>
      </c>
      <c r="AO222" s="296">
        <v>91</v>
      </c>
      <c r="AP222" s="296">
        <v>92</v>
      </c>
      <c r="AQ222" s="296">
        <v>105</v>
      </c>
      <c r="AR222" s="296">
        <v>77</v>
      </c>
      <c r="AS222" s="296">
        <v>87</v>
      </c>
      <c r="AT222" s="296">
        <v>72</v>
      </c>
      <c r="AU222" s="296">
        <v>94</v>
      </c>
      <c r="AV222" s="296">
        <v>107</v>
      </c>
      <c r="AW222" s="296">
        <v>107</v>
      </c>
    </row>
    <row r="223" spans="1:84" s="296" customFormat="1">
      <c r="A223" s="296" t="s">
        <v>262</v>
      </c>
      <c r="B223" s="296" t="s">
        <v>356</v>
      </c>
      <c r="C223" s="345" t="s">
        <v>357</v>
      </c>
      <c r="D223" s="299" t="s">
        <v>111</v>
      </c>
      <c r="E223" s="300" t="s">
        <v>88</v>
      </c>
      <c r="F223" s="297">
        <v>7</v>
      </c>
      <c r="G223" s="297" t="s">
        <v>265</v>
      </c>
      <c r="H223" s="301">
        <v>807</v>
      </c>
      <c r="I223" s="302">
        <v>32.99</v>
      </c>
      <c r="J223" s="301">
        <v>26335</v>
      </c>
      <c r="K223" s="237"/>
      <c r="L223" s="301">
        <f t="shared" si="160"/>
        <v>26335</v>
      </c>
      <c r="M223" s="303">
        <f t="shared" si="161"/>
        <v>32.633209417596035</v>
      </c>
      <c r="N223" s="302"/>
      <c r="O223" s="302"/>
      <c r="P223" s="302"/>
      <c r="Q223" s="302"/>
      <c r="R223" s="302"/>
      <c r="S223" s="320">
        <v>4.59</v>
      </c>
      <c r="T223" s="320"/>
      <c r="V223" s="306"/>
      <c r="W223" s="306"/>
      <c r="X223" s="307">
        <v>0.32</v>
      </c>
      <c r="Y223" s="307"/>
      <c r="Z223" s="304">
        <v>0.38</v>
      </c>
      <c r="AA223" s="431">
        <v>46128</v>
      </c>
      <c r="AB223" s="233">
        <f t="shared" si="111"/>
        <v>83.090909090909093</v>
      </c>
      <c r="AC223" s="233">
        <f t="shared" si="162"/>
        <v>26.58909090909091</v>
      </c>
      <c r="AD223" s="233">
        <f t="shared" si="163"/>
        <v>10.61266609716443</v>
      </c>
      <c r="AE223" s="233"/>
      <c r="AF223" s="448"/>
      <c r="AH223" s="306" t="s">
        <v>346</v>
      </c>
      <c r="AI223" s="296">
        <v>83</v>
      </c>
      <c r="AJ223" s="296">
        <v>81</v>
      </c>
      <c r="AK223" s="296">
        <v>81</v>
      </c>
      <c r="AL223" s="296">
        <v>82</v>
      </c>
      <c r="AM223" s="296">
        <v>93</v>
      </c>
      <c r="AN223" s="296">
        <v>73</v>
      </c>
      <c r="AO223" s="296">
        <v>84</v>
      </c>
      <c r="AP223" s="296">
        <v>89</v>
      </c>
      <c r="AQ223" s="296">
        <v>84</v>
      </c>
      <c r="AR223" s="296">
        <v>84</v>
      </c>
      <c r="AS223" s="296">
        <v>88</v>
      </c>
      <c r="AT223" s="296">
        <v>85</v>
      </c>
      <c r="AW223" s="296">
        <v>87</v>
      </c>
      <c r="AX223" s="296">
        <v>93</v>
      </c>
      <c r="AY223" s="296">
        <v>79</v>
      </c>
      <c r="AZ223" s="296">
        <v>69</v>
      </c>
      <c r="BA223" s="296">
        <v>88</v>
      </c>
      <c r="BB223" s="296">
        <v>79</v>
      </c>
      <c r="BC223" s="296">
        <v>71</v>
      </c>
      <c r="BD223" s="296">
        <v>85</v>
      </c>
      <c r="BE223" s="296">
        <v>87</v>
      </c>
      <c r="BF223" s="296">
        <v>83</v>
      </c>
    </row>
    <row r="224" spans="1:84" s="296" customFormat="1">
      <c r="A224" s="296" t="s">
        <v>262</v>
      </c>
      <c r="B224" s="296" t="s">
        <v>356</v>
      </c>
      <c r="C224" s="345" t="s">
        <v>357</v>
      </c>
      <c r="D224" s="299" t="s">
        <v>111</v>
      </c>
      <c r="E224" s="300" t="s">
        <v>88</v>
      </c>
      <c r="F224" s="297">
        <v>7</v>
      </c>
      <c r="G224" s="297" t="s">
        <v>265</v>
      </c>
      <c r="H224" s="301">
        <v>807</v>
      </c>
      <c r="I224" s="302">
        <v>32.99</v>
      </c>
      <c r="J224" s="301">
        <v>26335</v>
      </c>
      <c r="K224" s="237"/>
      <c r="L224" s="301">
        <f t="shared" si="160"/>
        <v>26335</v>
      </c>
      <c r="M224" s="303">
        <f t="shared" si="161"/>
        <v>32.633209417596035</v>
      </c>
      <c r="N224" s="302"/>
      <c r="O224" s="302"/>
      <c r="P224" s="302"/>
      <c r="Q224" s="302"/>
      <c r="R224" s="302"/>
      <c r="S224" s="320">
        <v>4.59</v>
      </c>
      <c r="T224" s="320"/>
      <c r="V224" s="306"/>
      <c r="W224" s="306"/>
      <c r="X224" s="307">
        <v>0.32</v>
      </c>
      <c r="Y224" s="307"/>
      <c r="Z224" s="304">
        <v>0.38</v>
      </c>
      <c r="AA224" s="431">
        <v>46132</v>
      </c>
      <c r="AB224" s="233">
        <f>IFERROR(AVERAGE(AI224:BG224),"")</f>
        <v>76.8</v>
      </c>
      <c r="AC224" s="233">
        <f t="shared" si="162"/>
        <v>24.576000000000001</v>
      </c>
      <c r="AD224" s="233">
        <f t="shared" si="163"/>
        <v>9.8091688390421332</v>
      </c>
      <c r="AE224" s="233"/>
      <c r="AF224" s="448"/>
      <c r="AG224" s="296" t="s">
        <v>359</v>
      </c>
      <c r="AH224" s="306" t="s">
        <v>346</v>
      </c>
      <c r="AI224" s="296">
        <v>73</v>
      </c>
      <c r="AJ224" s="296">
        <v>79</v>
      </c>
      <c r="AK224" s="296">
        <v>79</v>
      </c>
      <c r="AL224" s="296">
        <v>77</v>
      </c>
      <c r="AM224" s="296">
        <v>85</v>
      </c>
      <c r="AN224" s="296">
        <v>83</v>
      </c>
      <c r="AO224" s="296">
        <v>72</v>
      </c>
      <c r="AP224" s="296">
        <v>78</v>
      </c>
      <c r="AQ224" s="296">
        <v>67</v>
      </c>
      <c r="AR224" s="296">
        <v>75</v>
      </c>
    </row>
    <row r="225" spans="1:84" s="296" customFormat="1">
      <c r="A225" s="296" t="s">
        <v>262</v>
      </c>
      <c r="B225" s="296" t="s">
        <v>356</v>
      </c>
      <c r="C225" s="345" t="s">
        <v>357</v>
      </c>
      <c r="D225" s="299" t="s">
        <v>111</v>
      </c>
      <c r="E225" s="300" t="s">
        <v>88</v>
      </c>
      <c r="F225" s="297">
        <v>7</v>
      </c>
      <c r="G225" s="297" t="s">
        <v>265</v>
      </c>
      <c r="H225" s="301">
        <v>807</v>
      </c>
      <c r="I225" s="302">
        <v>32.99</v>
      </c>
      <c r="J225" s="301">
        <v>26335</v>
      </c>
      <c r="K225" s="237"/>
      <c r="L225" s="301">
        <f t="shared" ref="L225" si="164">J225-(J225*K225)</f>
        <v>26335</v>
      </c>
      <c r="M225" s="303">
        <f t="shared" ref="M225" si="165">L225/H225</f>
        <v>32.633209417596035</v>
      </c>
      <c r="N225" s="302"/>
      <c r="O225" s="302"/>
      <c r="P225" s="302"/>
      <c r="Q225" s="302"/>
      <c r="R225" s="302"/>
      <c r="S225" s="320">
        <v>4.59</v>
      </c>
      <c r="T225" s="320"/>
      <c r="V225" s="306"/>
      <c r="W225" s="306"/>
      <c r="X225" s="307">
        <v>0.32</v>
      </c>
      <c r="Y225" s="307"/>
      <c r="Z225" s="304">
        <v>0.38</v>
      </c>
      <c r="AA225" s="431">
        <v>46137</v>
      </c>
      <c r="AB225" s="233">
        <f t="shared" ref="AB225" si="166">IFERROR(AVERAGE(AI225:BG225),"")</f>
        <v>80.916666666666671</v>
      </c>
      <c r="AC225" s="233">
        <f t="shared" si="162"/>
        <v>25.893333333333334</v>
      </c>
      <c r="AD225" s="233">
        <f t="shared" si="163"/>
        <v>10.334964130544609</v>
      </c>
      <c r="AE225" s="233"/>
      <c r="AF225" s="448"/>
      <c r="AG225" s="113"/>
      <c r="AH225" s="306" t="s">
        <v>91</v>
      </c>
      <c r="AI225" s="296">
        <v>79</v>
      </c>
      <c r="AJ225" s="296">
        <v>83</v>
      </c>
      <c r="AK225" s="296">
        <v>78</v>
      </c>
      <c r="AL225" s="296">
        <v>84</v>
      </c>
      <c r="AM225" s="296">
        <v>78</v>
      </c>
      <c r="AN225" s="296">
        <v>87</v>
      </c>
      <c r="AO225" s="296">
        <v>73</v>
      </c>
      <c r="AP225" s="296">
        <v>79</v>
      </c>
      <c r="AQ225" s="296">
        <v>81</v>
      </c>
      <c r="AR225" s="296">
        <v>78</v>
      </c>
      <c r="AS225" s="296">
        <v>83</v>
      </c>
      <c r="AT225" s="296">
        <v>88</v>
      </c>
    </row>
    <row r="226" spans="1:84" s="113" customFormat="1">
      <c r="A226" s="296" t="s">
        <v>262</v>
      </c>
      <c r="B226" s="296" t="s">
        <v>356</v>
      </c>
      <c r="C226" s="345" t="s">
        <v>357</v>
      </c>
      <c r="D226" s="299" t="s">
        <v>111</v>
      </c>
      <c r="E226" s="300" t="s">
        <v>88</v>
      </c>
      <c r="F226" s="297">
        <v>7</v>
      </c>
      <c r="G226" s="297" t="s">
        <v>265</v>
      </c>
      <c r="H226" s="301">
        <v>807</v>
      </c>
      <c r="I226" s="302">
        <v>32.99</v>
      </c>
      <c r="J226" s="301">
        <v>26335</v>
      </c>
      <c r="K226" s="237"/>
      <c r="L226" s="301">
        <f t="shared" si="160"/>
        <v>26335</v>
      </c>
      <c r="M226" s="303">
        <f t="shared" si="161"/>
        <v>32.633209417596035</v>
      </c>
      <c r="N226" s="302"/>
      <c r="O226" s="302"/>
      <c r="P226" s="302"/>
      <c r="Q226" s="302"/>
      <c r="R226" s="302"/>
      <c r="S226" s="320">
        <v>4.59</v>
      </c>
      <c r="T226" s="320"/>
      <c r="U226" s="296"/>
      <c r="V226" s="306"/>
      <c r="W226" s="306"/>
      <c r="X226" s="307">
        <v>0.32</v>
      </c>
      <c r="Y226" s="307"/>
      <c r="Z226" s="304">
        <v>0.38</v>
      </c>
      <c r="AA226" s="431">
        <v>46167</v>
      </c>
      <c r="AB226" s="233">
        <f t="shared" ref="AB226:AB256" si="167">IFERROR(AVERAGE(AI226:BG226),"")</f>
        <v>82.5</v>
      </c>
      <c r="AC226" s="233">
        <f t="shared" si="162"/>
        <v>26.400000000000002</v>
      </c>
      <c r="AD226" s="233">
        <f t="shared" si="163"/>
        <v>10.537193088814792</v>
      </c>
      <c r="AE226" s="233"/>
      <c r="AF226" s="448"/>
      <c r="AG226" s="296"/>
      <c r="AH226" s="306" t="s">
        <v>91</v>
      </c>
      <c r="AI226" s="296">
        <v>90</v>
      </c>
      <c r="AJ226" s="296">
        <v>77</v>
      </c>
      <c r="AK226" s="296">
        <v>89</v>
      </c>
      <c r="AL226" s="296">
        <v>91</v>
      </c>
      <c r="AM226" s="296">
        <v>82</v>
      </c>
      <c r="AN226" s="296">
        <v>102</v>
      </c>
      <c r="AO226" s="296">
        <v>73</v>
      </c>
      <c r="AP226" s="296">
        <v>78</v>
      </c>
      <c r="AQ226" s="296">
        <v>86</v>
      </c>
      <c r="AR226" s="296">
        <v>57</v>
      </c>
      <c r="AS226" s="296"/>
      <c r="AT226" s="296"/>
      <c r="AU226" s="296"/>
      <c r="AV226" s="296"/>
      <c r="AW226" s="296"/>
      <c r="AX226" s="296"/>
      <c r="AY226" s="296"/>
      <c r="AZ226" s="296"/>
      <c r="BA226" s="296"/>
      <c r="BB226" s="296"/>
      <c r="BC226" s="296"/>
      <c r="BD226" s="296"/>
      <c r="BE226" s="296"/>
      <c r="BF226" s="296"/>
      <c r="BG226" s="296"/>
      <c r="BH226" s="296"/>
      <c r="BI226" s="296"/>
      <c r="BJ226" s="296"/>
      <c r="BK226" s="296"/>
      <c r="BL226" s="296"/>
      <c r="BM226" s="296"/>
      <c r="BN226" s="296"/>
      <c r="BO226" s="296"/>
      <c r="BP226" s="296"/>
      <c r="BQ226" s="296"/>
      <c r="BR226" s="296"/>
      <c r="BS226" s="296"/>
      <c r="BT226" s="296"/>
      <c r="BU226" s="296"/>
      <c r="BV226" s="296"/>
      <c r="BW226" s="296"/>
      <c r="BX226" s="296"/>
      <c r="BY226" s="296"/>
      <c r="BZ226" s="296"/>
      <c r="CA226" s="296"/>
      <c r="CB226" s="296"/>
      <c r="CC226" s="296"/>
      <c r="CD226" s="296"/>
      <c r="CE226" s="296"/>
      <c r="CF226" s="296"/>
    </row>
    <row r="227" spans="1:84" s="113" customFormat="1">
      <c r="A227" s="296" t="s">
        <v>262</v>
      </c>
      <c r="B227" s="296" t="s">
        <v>356</v>
      </c>
      <c r="C227" s="345" t="s">
        <v>357</v>
      </c>
      <c r="D227" s="299" t="s">
        <v>111</v>
      </c>
      <c r="E227" s="300" t="s">
        <v>88</v>
      </c>
      <c r="F227" s="297">
        <v>7</v>
      </c>
      <c r="G227" s="297" t="s">
        <v>265</v>
      </c>
      <c r="H227" s="301">
        <v>807</v>
      </c>
      <c r="I227" s="302">
        <v>32.99</v>
      </c>
      <c r="J227" s="301">
        <v>26335</v>
      </c>
      <c r="K227" s="237"/>
      <c r="L227" s="301">
        <f t="shared" ref="L227" si="168">J227-(J227*K227)</f>
        <v>26335</v>
      </c>
      <c r="M227" s="303">
        <f t="shared" ref="M227" si="169">L227/H227</f>
        <v>32.633209417596035</v>
      </c>
      <c r="N227" s="302"/>
      <c r="O227" s="302"/>
      <c r="P227" s="302"/>
      <c r="Q227" s="302"/>
      <c r="R227" s="302"/>
      <c r="S227" s="320">
        <v>4.59</v>
      </c>
      <c r="T227" s="320"/>
      <c r="U227" s="296"/>
      <c r="V227" s="306"/>
      <c r="W227" s="306"/>
      <c r="X227" s="307">
        <v>0.32</v>
      </c>
      <c r="Y227" s="307"/>
      <c r="Z227" s="304">
        <v>0.38</v>
      </c>
      <c r="AA227" s="431">
        <v>46169</v>
      </c>
      <c r="AB227" s="233">
        <f>IFERROR(AVERAGE(AI227:BG227),"")</f>
        <v>75.599999999999994</v>
      </c>
      <c r="AC227" s="233">
        <f t="shared" si="162"/>
        <v>24.192</v>
      </c>
      <c r="AD227" s="233">
        <f t="shared" si="163"/>
        <v>9.6559005759320993</v>
      </c>
      <c r="AE227" s="233"/>
      <c r="AF227" s="448"/>
      <c r="AG227" s="296" t="s">
        <v>360</v>
      </c>
      <c r="AH227" s="306" t="s">
        <v>91</v>
      </c>
      <c r="AI227" s="296">
        <v>82</v>
      </c>
      <c r="AJ227" s="296">
        <v>67</v>
      </c>
      <c r="AK227" s="296">
        <v>71</v>
      </c>
      <c r="AL227" s="296">
        <v>79</v>
      </c>
      <c r="AM227" s="296">
        <v>66</v>
      </c>
      <c r="AN227" s="296">
        <v>82</v>
      </c>
      <c r="AO227" s="296">
        <v>74</v>
      </c>
      <c r="AP227" s="296">
        <v>80</v>
      </c>
      <c r="AQ227" s="296">
        <v>75</v>
      </c>
      <c r="AR227" s="296">
        <v>80</v>
      </c>
      <c r="AS227" s="296"/>
      <c r="AT227" s="296"/>
      <c r="AU227" s="296"/>
      <c r="AV227" s="296"/>
      <c r="AW227" s="296"/>
      <c r="AX227" s="296"/>
      <c r="AY227" s="296"/>
      <c r="AZ227" s="296"/>
      <c r="BA227" s="296"/>
      <c r="BB227" s="296"/>
      <c r="BC227" s="296"/>
      <c r="BD227" s="296"/>
      <c r="BE227" s="296"/>
      <c r="BF227" s="296"/>
      <c r="BG227" s="296"/>
      <c r="BH227" s="296"/>
      <c r="BI227" s="296"/>
      <c r="BJ227" s="296"/>
      <c r="BK227" s="296"/>
      <c r="BL227" s="296"/>
      <c r="BM227" s="296"/>
      <c r="BN227" s="296"/>
      <c r="BO227" s="296"/>
      <c r="BP227" s="296"/>
      <c r="BQ227" s="296"/>
      <c r="BR227" s="296"/>
      <c r="BS227" s="296"/>
      <c r="BT227" s="296"/>
      <c r="BU227" s="296"/>
      <c r="BV227" s="296"/>
      <c r="BW227" s="296"/>
      <c r="BX227" s="296"/>
      <c r="BY227" s="296"/>
      <c r="BZ227" s="296"/>
      <c r="CA227" s="296"/>
      <c r="CB227" s="296"/>
      <c r="CC227" s="296"/>
      <c r="CD227" s="296"/>
      <c r="CE227" s="296"/>
      <c r="CF227" s="296"/>
    </row>
    <row r="228" spans="1:84" s="113" customFormat="1">
      <c r="A228" s="113" t="s">
        <v>262</v>
      </c>
      <c r="B228" s="113" t="s">
        <v>361</v>
      </c>
      <c r="C228" s="130" t="s">
        <v>362</v>
      </c>
      <c r="D228" s="128" t="s">
        <v>111</v>
      </c>
      <c r="E228" s="127" t="s">
        <v>88</v>
      </c>
      <c r="F228" s="126">
        <v>7</v>
      </c>
      <c r="G228" s="126" t="s">
        <v>273</v>
      </c>
      <c r="H228" s="123">
        <v>807</v>
      </c>
      <c r="I228" s="125">
        <v>30.71</v>
      </c>
      <c r="J228" s="123">
        <v>24570</v>
      </c>
      <c r="K228" s="124"/>
      <c r="L228" s="123">
        <f t="shared" si="160"/>
        <v>24570</v>
      </c>
      <c r="M228" s="122">
        <f t="shared" si="161"/>
        <v>30.446096654275092</v>
      </c>
      <c r="N228" s="125"/>
      <c r="O228" s="125"/>
      <c r="P228" s="125"/>
      <c r="Q228" s="125"/>
      <c r="R228" s="125"/>
      <c r="S228" s="154">
        <v>5.31</v>
      </c>
      <c r="T228" s="154"/>
      <c r="V228" s="115"/>
      <c r="W228" s="115"/>
      <c r="X228" s="120">
        <v>0.31</v>
      </c>
      <c r="Y228" s="120"/>
      <c r="Z228" s="118">
        <v>0.38</v>
      </c>
      <c r="AA228" s="430">
        <v>46122</v>
      </c>
      <c r="AB228" s="117">
        <f t="shared" si="167"/>
        <v>76.599999999999994</v>
      </c>
      <c r="AC228" s="117">
        <f t="shared" si="162"/>
        <v>23.745999999999999</v>
      </c>
      <c r="AD228" s="117">
        <f t="shared" ref="AD228:AD295" si="170">IFERROR(((AC228*L228)/2000)/I228,"")</f>
        <v>9.499173233474437</v>
      </c>
      <c r="AE228" s="117"/>
      <c r="AF228" s="447"/>
      <c r="AG228" s="113" t="s">
        <v>358</v>
      </c>
      <c r="AH228" s="115" t="s">
        <v>91</v>
      </c>
      <c r="AI228" s="113">
        <v>67</v>
      </c>
      <c r="AJ228" s="113">
        <v>79</v>
      </c>
      <c r="AK228" s="113">
        <v>69</v>
      </c>
      <c r="AL228" s="113">
        <v>61</v>
      </c>
      <c r="AM228" s="113">
        <v>85</v>
      </c>
      <c r="AN228" s="113">
        <v>85</v>
      </c>
      <c r="AO228" s="113">
        <v>100</v>
      </c>
      <c r="AP228" s="113">
        <v>77</v>
      </c>
      <c r="AQ228" s="113">
        <v>76</v>
      </c>
      <c r="AR228" s="113">
        <v>77</v>
      </c>
      <c r="AS228" s="113">
        <v>70</v>
      </c>
      <c r="AT228" s="113">
        <v>71</v>
      </c>
      <c r="AU228" s="113">
        <v>75</v>
      </c>
      <c r="AV228" s="113">
        <v>84</v>
      </c>
      <c r="AW228" s="113">
        <v>73</v>
      </c>
    </row>
    <row r="229" spans="1:84" s="113" customFormat="1">
      <c r="A229" s="113" t="s">
        <v>262</v>
      </c>
      <c r="B229" s="113" t="s">
        <v>361</v>
      </c>
      <c r="C229" s="130" t="s">
        <v>362</v>
      </c>
      <c r="D229" s="128" t="s">
        <v>111</v>
      </c>
      <c r="E229" s="127" t="s">
        <v>88</v>
      </c>
      <c r="F229" s="126">
        <v>7</v>
      </c>
      <c r="G229" s="126" t="s">
        <v>273</v>
      </c>
      <c r="H229" s="123">
        <v>807</v>
      </c>
      <c r="I229" s="125">
        <v>30.71</v>
      </c>
      <c r="J229" s="123">
        <v>24570</v>
      </c>
      <c r="K229" s="124"/>
      <c r="L229" s="123">
        <f t="shared" si="160"/>
        <v>24570</v>
      </c>
      <c r="M229" s="122">
        <f t="shared" si="161"/>
        <v>30.446096654275092</v>
      </c>
      <c r="N229" s="125"/>
      <c r="O229" s="125"/>
      <c r="P229" s="125"/>
      <c r="Q229" s="125"/>
      <c r="R229" s="125"/>
      <c r="S229" s="154">
        <v>5.31</v>
      </c>
      <c r="T229" s="154"/>
      <c r="V229" s="115"/>
      <c r="W229" s="115"/>
      <c r="X229" s="120">
        <v>0.31</v>
      </c>
      <c r="Y229" s="120"/>
      <c r="Z229" s="118">
        <v>0.38</v>
      </c>
      <c r="AA229" s="430">
        <v>46167</v>
      </c>
      <c r="AB229" s="117">
        <f>IFERROR(AVERAGE(AI229:BG229),"")</f>
        <v>80.8</v>
      </c>
      <c r="AC229" s="117">
        <f t="shared" si="162"/>
        <v>25.047999999999998</v>
      </c>
      <c r="AD229" s="117">
        <f>IFERROR(((AC229*L229)/2000)/I229,"")</f>
        <v>10.020015630087919</v>
      </c>
      <c r="AE229" s="117"/>
      <c r="AF229" s="447"/>
      <c r="AH229" s="115" t="s">
        <v>91</v>
      </c>
      <c r="AI229" s="113">
        <v>79</v>
      </c>
      <c r="AJ229" s="113">
        <v>87</v>
      </c>
      <c r="AK229" s="113">
        <v>83</v>
      </c>
      <c r="AL229" s="113">
        <v>89</v>
      </c>
      <c r="AM229" s="113">
        <v>73</v>
      </c>
      <c r="AN229" s="113">
        <v>85</v>
      </c>
      <c r="AO229" s="113">
        <v>88</v>
      </c>
      <c r="AP229" s="113">
        <v>66</v>
      </c>
      <c r="AQ229" s="113">
        <v>72</v>
      </c>
      <c r="AR229" s="113">
        <v>86</v>
      </c>
    </row>
    <row r="230" spans="1:84" s="113" customFormat="1">
      <c r="A230" s="113" t="s">
        <v>262</v>
      </c>
      <c r="B230" s="113" t="s">
        <v>361</v>
      </c>
      <c r="C230" s="130" t="s">
        <v>362</v>
      </c>
      <c r="D230" s="128" t="s">
        <v>111</v>
      </c>
      <c r="E230" s="127" t="s">
        <v>88</v>
      </c>
      <c r="F230" s="126">
        <v>7</v>
      </c>
      <c r="G230" s="126" t="s">
        <v>273</v>
      </c>
      <c r="H230" s="123">
        <v>807</v>
      </c>
      <c r="I230" s="125">
        <v>30.71</v>
      </c>
      <c r="J230" s="123">
        <v>24570</v>
      </c>
      <c r="K230" s="124"/>
      <c r="L230" s="123">
        <f t="shared" si="160"/>
        <v>24570</v>
      </c>
      <c r="M230" s="122">
        <f t="shared" si="161"/>
        <v>30.446096654275092</v>
      </c>
      <c r="N230" s="125"/>
      <c r="O230" s="125"/>
      <c r="P230" s="125"/>
      <c r="Q230" s="125"/>
      <c r="R230" s="125"/>
      <c r="S230" s="154">
        <v>5.31</v>
      </c>
      <c r="T230" s="154"/>
      <c r="V230" s="115"/>
      <c r="W230" s="115"/>
      <c r="X230" s="120">
        <v>0.31</v>
      </c>
      <c r="Y230" s="120"/>
      <c r="Z230" s="118">
        <v>0.38</v>
      </c>
      <c r="AA230" s="430">
        <v>46169</v>
      </c>
      <c r="AB230" s="117">
        <f>IFERROR(AVERAGE(AI230:BG230),"")</f>
        <v>74.2</v>
      </c>
      <c r="AC230" s="117">
        <f t="shared" si="162"/>
        <v>23.002000000000002</v>
      </c>
      <c r="AD230" s="117">
        <f>IFERROR(((AC230*L230)/2000)/I230,"")</f>
        <v>9.201549006838162</v>
      </c>
      <c r="AE230" s="117"/>
      <c r="AF230" s="447"/>
      <c r="AH230" s="115"/>
      <c r="AI230" s="113">
        <v>71</v>
      </c>
      <c r="AJ230" s="113">
        <v>70</v>
      </c>
      <c r="AK230" s="113">
        <v>75</v>
      </c>
      <c r="AL230" s="113">
        <v>84</v>
      </c>
      <c r="AM230" s="113">
        <v>56</v>
      </c>
      <c r="AN230" s="113">
        <v>79</v>
      </c>
      <c r="AO230" s="113">
        <v>76</v>
      </c>
      <c r="AP230" s="113">
        <v>77</v>
      </c>
      <c r="AQ230" s="113">
        <v>89</v>
      </c>
      <c r="AR230" s="113">
        <v>65</v>
      </c>
    </row>
    <row r="231" spans="1:84" s="113" customFormat="1">
      <c r="A231" s="113" t="s">
        <v>262</v>
      </c>
      <c r="B231" s="113" t="s">
        <v>361</v>
      </c>
      <c r="C231" s="130" t="s">
        <v>362</v>
      </c>
      <c r="D231" s="128" t="s">
        <v>111</v>
      </c>
      <c r="E231" s="127" t="s">
        <v>88</v>
      </c>
      <c r="F231" s="126">
        <v>7</v>
      </c>
      <c r="G231" s="126" t="s">
        <v>273</v>
      </c>
      <c r="H231" s="123">
        <v>807</v>
      </c>
      <c r="I231" s="125">
        <v>30.71</v>
      </c>
      <c r="J231" s="123">
        <v>24570</v>
      </c>
      <c r="K231" s="124"/>
      <c r="L231" s="123">
        <f t="shared" si="160"/>
        <v>24570</v>
      </c>
      <c r="M231" s="122">
        <f t="shared" si="161"/>
        <v>30.446096654275092</v>
      </c>
      <c r="N231" s="125"/>
      <c r="O231" s="125"/>
      <c r="P231" s="125"/>
      <c r="Q231" s="125"/>
      <c r="R231" s="125"/>
      <c r="S231" s="154">
        <v>5.31</v>
      </c>
      <c r="T231" s="154"/>
      <c r="V231" s="115"/>
      <c r="W231" s="115"/>
      <c r="X231" s="120">
        <v>0.31</v>
      </c>
      <c r="Y231" s="120"/>
      <c r="Z231" s="118">
        <v>0.38</v>
      </c>
      <c r="AA231" s="430"/>
      <c r="AB231" s="117" t="str">
        <f t="shared" si="167"/>
        <v/>
      </c>
      <c r="AC231" s="117" t="str">
        <f t="shared" ref="AC231:AC244" si="171">IFERROR(AB231*X231,"")</f>
        <v/>
      </c>
      <c r="AD231" s="117" t="str">
        <f t="shared" si="170"/>
        <v/>
      </c>
      <c r="AE231" s="117"/>
      <c r="AF231" s="447"/>
      <c r="AH231" s="115"/>
    </row>
    <row r="232" spans="1:84" s="296" customFormat="1">
      <c r="A232" s="113" t="s">
        <v>262</v>
      </c>
      <c r="B232" s="113" t="s">
        <v>361</v>
      </c>
      <c r="C232" s="130" t="s">
        <v>362</v>
      </c>
      <c r="D232" s="128" t="s">
        <v>111</v>
      </c>
      <c r="E232" s="127" t="s">
        <v>88</v>
      </c>
      <c r="F232" s="126">
        <v>7</v>
      </c>
      <c r="G232" s="126" t="s">
        <v>273</v>
      </c>
      <c r="H232" s="123">
        <v>807</v>
      </c>
      <c r="I232" s="125">
        <v>30.71</v>
      </c>
      <c r="J232" s="123">
        <v>24570</v>
      </c>
      <c r="K232" s="124"/>
      <c r="L232" s="123">
        <f t="shared" si="160"/>
        <v>24570</v>
      </c>
      <c r="M232" s="122">
        <f t="shared" si="161"/>
        <v>30.446096654275092</v>
      </c>
      <c r="N232" s="125"/>
      <c r="O232" s="125"/>
      <c r="P232" s="125"/>
      <c r="Q232" s="125"/>
      <c r="R232" s="125"/>
      <c r="S232" s="154">
        <v>5.31</v>
      </c>
      <c r="T232" s="154"/>
      <c r="U232" s="113"/>
      <c r="V232" s="115"/>
      <c r="W232" s="115"/>
      <c r="X232" s="120">
        <v>0.31</v>
      </c>
      <c r="Y232" s="120"/>
      <c r="Z232" s="118">
        <v>0.38</v>
      </c>
      <c r="AA232" s="430"/>
      <c r="AB232" s="117" t="str">
        <f t="shared" si="167"/>
        <v/>
      </c>
      <c r="AC232" s="117" t="str">
        <f t="shared" si="171"/>
        <v/>
      </c>
      <c r="AD232" s="117" t="str">
        <f t="shared" si="170"/>
        <v/>
      </c>
      <c r="AE232" s="117"/>
      <c r="AF232" s="447"/>
      <c r="AG232" s="113"/>
      <c r="AH232" s="115"/>
      <c r="AI232" s="113"/>
      <c r="AJ232" s="113"/>
      <c r="AK232" s="113"/>
      <c r="AL232" s="113"/>
      <c r="AM232" s="113"/>
      <c r="AN232" s="113"/>
      <c r="AO232" s="113"/>
      <c r="AP232" s="113"/>
      <c r="AQ232" s="113"/>
      <c r="AR232" s="113"/>
      <c r="AS232" s="113"/>
      <c r="AT232" s="113"/>
      <c r="AU232" s="113"/>
      <c r="AV232" s="113"/>
      <c r="AW232" s="113"/>
      <c r="AX232" s="113"/>
      <c r="AY232" s="113"/>
      <c r="AZ232" s="113"/>
      <c r="BA232" s="113"/>
      <c r="BB232" s="113"/>
      <c r="BC232" s="113"/>
      <c r="BD232" s="113"/>
      <c r="BE232" s="113"/>
      <c r="BF232" s="113"/>
      <c r="BG232" s="113"/>
      <c r="BH232" s="113"/>
      <c r="BI232" s="113"/>
      <c r="BJ232" s="113"/>
      <c r="BK232" s="113"/>
      <c r="BL232" s="113"/>
      <c r="BM232" s="113"/>
      <c r="BN232" s="113"/>
      <c r="BO232" s="113"/>
      <c r="BP232" s="113"/>
      <c r="BQ232" s="113"/>
      <c r="BR232" s="113"/>
      <c r="BS232" s="113"/>
      <c r="BT232" s="113"/>
      <c r="BU232" s="113"/>
      <c r="BV232" s="113"/>
      <c r="BW232" s="113"/>
      <c r="BX232" s="113"/>
      <c r="BY232" s="113"/>
      <c r="BZ232" s="113"/>
      <c r="CA232" s="113"/>
      <c r="CB232" s="113"/>
      <c r="CC232" s="113"/>
      <c r="CD232" s="113"/>
      <c r="CE232" s="113"/>
      <c r="CF232" s="113"/>
    </row>
    <row r="233" spans="1:84" s="296" customFormat="1">
      <c r="A233" s="296" t="s">
        <v>262</v>
      </c>
      <c r="B233" s="296" t="s">
        <v>363</v>
      </c>
      <c r="C233" s="345" t="s">
        <v>364</v>
      </c>
      <c r="D233" s="299" t="s">
        <v>193</v>
      </c>
      <c r="E233" s="300" t="s">
        <v>114</v>
      </c>
      <c r="F233" s="297"/>
      <c r="G233" s="297"/>
      <c r="H233" s="301">
        <v>807</v>
      </c>
      <c r="I233" s="302">
        <v>38.76</v>
      </c>
      <c r="J233" s="301">
        <v>30908</v>
      </c>
      <c r="K233" s="237"/>
      <c r="L233" s="301">
        <f t="shared" si="160"/>
        <v>30908</v>
      </c>
      <c r="M233" s="303">
        <f t="shared" si="161"/>
        <v>38.299876084262699</v>
      </c>
      <c r="N233" s="302"/>
      <c r="O233" s="302"/>
      <c r="P233" s="302"/>
      <c r="Q233" s="302"/>
      <c r="R233" s="302"/>
      <c r="S233" s="320"/>
      <c r="T233" s="320"/>
      <c r="U233" s="296" t="s">
        <v>365</v>
      </c>
      <c r="V233" s="306" t="s">
        <v>366</v>
      </c>
      <c r="W233" s="306"/>
      <c r="X233" s="307">
        <v>0.31</v>
      </c>
      <c r="Y233" s="307"/>
      <c r="Z233" s="304">
        <v>0.33</v>
      </c>
      <c r="AA233" s="431">
        <v>46121</v>
      </c>
      <c r="AB233" s="233">
        <f t="shared" si="167"/>
        <v>65.166666666666671</v>
      </c>
      <c r="AC233" s="233">
        <f t="shared" si="171"/>
        <v>20.201666666666668</v>
      </c>
      <c r="AD233" s="233">
        <f t="shared" si="170"/>
        <v>8.0546067251462006</v>
      </c>
      <c r="AE233" s="233"/>
      <c r="AF233" s="448"/>
      <c r="AH233" s="306" t="s">
        <v>269</v>
      </c>
      <c r="AI233" s="296">
        <v>67</v>
      </c>
      <c r="AJ233" s="296">
        <v>59</v>
      </c>
      <c r="AK233" s="296">
        <v>61</v>
      </c>
      <c r="AL233" s="296">
        <v>61</v>
      </c>
      <c r="AM233" s="296">
        <v>68</v>
      </c>
      <c r="AN233" s="296">
        <v>73</v>
      </c>
      <c r="AO233" s="296">
        <v>71</v>
      </c>
      <c r="AP233" s="296">
        <v>56</v>
      </c>
      <c r="AQ233" s="296">
        <v>68</v>
      </c>
      <c r="AR233" s="296">
        <v>69</v>
      </c>
      <c r="AS233" s="296">
        <v>64</v>
      </c>
      <c r="AT233" s="296">
        <v>65</v>
      </c>
    </row>
    <row r="234" spans="1:84" s="296" customFormat="1">
      <c r="A234" s="296" t="s">
        <v>262</v>
      </c>
      <c r="B234" s="296" t="s">
        <v>363</v>
      </c>
      <c r="C234" s="345" t="s">
        <v>364</v>
      </c>
      <c r="D234" s="299" t="s">
        <v>193</v>
      </c>
      <c r="E234" s="300" t="s">
        <v>114</v>
      </c>
      <c r="F234" s="297"/>
      <c r="G234" s="297"/>
      <c r="H234" s="301">
        <v>807</v>
      </c>
      <c r="I234" s="302">
        <v>38.76</v>
      </c>
      <c r="J234" s="301">
        <v>30908</v>
      </c>
      <c r="K234" s="237"/>
      <c r="L234" s="301">
        <f t="shared" si="160"/>
        <v>30908</v>
      </c>
      <c r="M234" s="303">
        <f t="shared" si="161"/>
        <v>38.299876084262699</v>
      </c>
      <c r="N234" s="302"/>
      <c r="O234" s="302"/>
      <c r="P234" s="302"/>
      <c r="Q234" s="302"/>
      <c r="R234" s="302"/>
      <c r="S234" s="320"/>
      <c r="T234" s="320"/>
      <c r="U234" s="296" t="s">
        <v>365</v>
      </c>
      <c r="V234" s="306" t="s">
        <v>366</v>
      </c>
      <c r="W234" s="306"/>
      <c r="X234" s="307">
        <v>0.31</v>
      </c>
      <c r="Y234" s="307"/>
      <c r="Z234" s="304">
        <v>0.33</v>
      </c>
      <c r="AA234" s="431">
        <v>46114</v>
      </c>
      <c r="AB234" s="233">
        <f t="shared" si="167"/>
        <v>56.285714285714285</v>
      </c>
      <c r="AC234" s="233">
        <f t="shared" ref="AC234" si="172">IFERROR(AB234*X234,"")</f>
        <v>17.448571428571427</v>
      </c>
      <c r="AD234" s="233">
        <f t="shared" ref="AD234" si="173">IFERROR(((AC234*L234)/2000)/I234,"")</f>
        <v>6.9569200943535296</v>
      </c>
      <c r="AE234" s="233"/>
      <c r="AF234" s="448"/>
      <c r="AH234" s="306" t="s">
        <v>269</v>
      </c>
      <c r="AI234" s="296">
        <v>56</v>
      </c>
      <c r="AJ234" s="296">
        <v>57</v>
      </c>
      <c r="AK234" s="296">
        <v>69</v>
      </c>
      <c r="AL234" s="296">
        <v>54</v>
      </c>
      <c r="AM234" s="296">
        <v>59</v>
      </c>
      <c r="AN234" s="296">
        <v>54</v>
      </c>
      <c r="AO234" s="296">
        <v>45</v>
      </c>
    </row>
    <row r="235" spans="1:84" s="113" customFormat="1">
      <c r="A235" s="296" t="s">
        <v>262</v>
      </c>
      <c r="B235" s="296" t="s">
        <v>363</v>
      </c>
      <c r="C235" s="345" t="s">
        <v>364</v>
      </c>
      <c r="D235" s="299" t="s">
        <v>193</v>
      </c>
      <c r="E235" s="300" t="s">
        <v>114</v>
      </c>
      <c r="F235" s="297"/>
      <c r="G235" s="297"/>
      <c r="H235" s="301">
        <v>807</v>
      </c>
      <c r="I235" s="302">
        <v>38.76</v>
      </c>
      <c r="J235" s="301">
        <v>30908</v>
      </c>
      <c r="K235" s="237"/>
      <c r="L235" s="301">
        <f t="shared" si="160"/>
        <v>30908</v>
      </c>
      <c r="M235" s="303">
        <f t="shared" si="161"/>
        <v>38.299876084262699</v>
      </c>
      <c r="N235" s="302"/>
      <c r="O235" s="302"/>
      <c r="P235" s="302"/>
      <c r="Q235" s="302"/>
      <c r="R235" s="302"/>
      <c r="S235" s="320"/>
      <c r="T235" s="320"/>
      <c r="U235" s="296"/>
      <c r="V235" s="306"/>
      <c r="W235" s="306"/>
      <c r="X235" s="307"/>
      <c r="Y235" s="307"/>
      <c r="Z235" s="304">
        <v>0.33</v>
      </c>
      <c r="AA235" s="431"/>
      <c r="AB235" s="233" t="str">
        <f t="shared" si="167"/>
        <v/>
      </c>
      <c r="AC235" s="233" t="str">
        <f t="shared" si="171"/>
        <v/>
      </c>
      <c r="AD235" s="233" t="str">
        <f t="shared" si="170"/>
        <v/>
      </c>
      <c r="AE235" s="233"/>
      <c r="AF235" s="448"/>
      <c r="AG235" s="296"/>
      <c r="AH235" s="306"/>
      <c r="AI235" s="296"/>
      <c r="AJ235" s="296"/>
      <c r="AK235" s="296"/>
      <c r="AL235" s="296"/>
      <c r="AM235" s="296"/>
      <c r="AN235" s="296"/>
      <c r="AO235" s="296"/>
      <c r="AP235" s="296"/>
      <c r="AQ235" s="296"/>
      <c r="AR235" s="296"/>
      <c r="AS235" s="296"/>
      <c r="AT235" s="296"/>
      <c r="AU235" s="296"/>
      <c r="AV235" s="296"/>
      <c r="AW235" s="296"/>
      <c r="AX235" s="296"/>
      <c r="AY235" s="296"/>
      <c r="AZ235" s="296"/>
      <c r="BA235" s="296"/>
      <c r="BB235" s="296"/>
      <c r="BC235" s="296"/>
      <c r="BD235" s="296"/>
      <c r="BE235" s="296"/>
      <c r="BF235" s="296"/>
      <c r="BG235" s="296"/>
      <c r="BH235" s="296"/>
      <c r="BI235" s="296"/>
      <c r="BJ235" s="296"/>
      <c r="BK235" s="296"/>
      <c r="BL235" s="296"/>
      <c r="BM235" s="296"/>
      <c r="BN235" s="296"/>
      <c r="BO235" s="296"/>
      <c r="BP235" s="296"/>
      <c r="BQ235" s="296"/>
      <c r="BR235" s="296"/>
      <c r="BS235" s="296"/>
      <c r="BT235" s="296"/>
      <c r="BU235" s="296"/>
      <c r="BV235" s="296"/>
      <c r="BW235" s="296"/>
      <c r="BX235" s="296"/>
      <c r="BY235" s="296"/>
      <c r="BZ235" s="296"/>
      <c r="CA235" s="296"/>
      <c r="CB235" s="296"/>
      <c r="CC235" s="296"/>
      <c r="CD235" s="296"/>
      <c r="CE235" s="296"/>
      <c r="CF235" s="296"/>
    </row>
    <row r="236" spans="1:84" s="113" customFormat="1">
      <c r="A236" s="113" t="s">
        <v>262</v>
      </c>
      <c r="B236" s="113" t="s">
        <v>367</v>
      </c>
      <c r="C236" s="130" t="s">
        <v>368</v>
      </c>
      <c r="D236" s="128" t="s">
        <v>193</v>
      </c>
      <c r="E236" s="127" t="s">
        <v>114</v>
      </c>
      <c r="F236" s="126"/>
      <c r="G236" s="126"/>
      <c r="H236" s="123">
        <v>807</v>
      </c>
      <c r="I236" s="125">
        <v>38.340000000000003</v>
      </c>
      <c r="J236" s="123">
        <v>30658</v>
      </c>
      <c r="K236" s="124"/>
      <c r="L236" s="123">
        <f t="shared" si="160"/>
        <v>30658</v>
      </c>
      <c r="M236" s="122">
        <f t="shared" si="161"/>
        <v>37.990086741016107</v>
      </c>
      <c r="N236" s="125"/>
      <c r="O236" s="125"/>
      <c r="P236" s="125"/>
      <c r="Q236" s="125"/>
      <c r="R236" s="125"/>
      <c r="S236" s="154"/>
      <c r="T236" s="154"/>
      <c r="V236" s="115"/>
      <c r="W236" s="115"/>
      <c r="X236" s="120">
        <v>0.31</v>
      </c>
      <c r="Y236" s="120"/>
      <c r="Z236" s="118">
        <v>0.33</v>
      </c>
      <c r="AA236" s="430">
        <v>46121</v>
      </c>
      <c r="AB236" s="117">
        <f t="shared" si="167"/>
        <v>64.5</v>
      </c>
      <c r="AC236" s="117">
        <f t="shared" si="171"/>
        <v>19.995000000000001</v>
      </c>
      <c r="AD236" s="117">
        <f t="shared" si="170"/>
        <v>7.99434937402191</v>
      </c>
      <c r="AE236" s="117"/>
      <c r="AF236" s="447"/>
      <c r="AH236" s="115" t="s">
        <v>269</v>
      </c>
      <c r="AI236" s="113">
        <v>62</v>
      </c>
      <c r="AJ236" s="113">
        <v>60</v>
      </c>
      <c r="AK236" s="113">
        <v>68</v>
      </c>
      <c r="AL236" s="113">
        <v>69</v>
      </c>
      <c r="AM236" s="113">
        <v>59</v>
      </c>
      <c r="AN236" s="113">
        <v>66</v>
      </c>
      <c r="AO236" s="113">
        <v>64</v>
      </c>
      <c r="AP236" s="113">
        <v>66</v>
      </c>
      <c r="AQ236" s="113">
        <v>58</v>
      </c>
      <c r="AR236" s="113">
        <v>68</v>
      </c>
      <c r="AS236" s="113">
        <v>62</v>
      </c>
      <c r="AT236" s="113">
        <v>72</v>
      </c>
    </row>
    <row r="237" spans="1:84" s="113" customFormat="1">
      <c r="A237" s="113" t="s">
        <v>262</v>
      </c>
      <c r="B237" s="113" t="s">
        <v>367</v>
      </c>
      <c r="C237" s="130" t="s">
        <v>368</v>
      </c>
      <c r="D237" s="128" t="s">
        <v>193</v>
      </c>
      <c r="E237" s="127" t="s">
        <v>114</v>
      </c>
      <c r="F237" s="126"/>
      <c r="G237" s="126"/>
      <c r="H237" s="123">
        <v>807</v>
      </c>
      <c r="I237" s="125">
        <v>38.340000000000003</v>
      </c>
      <c r="J237" s="123">
        <v>30658</v>
      </c>
      <c r="K237" s="124"/>
      <c r="L237" s="123">
        <f t="shared" si="160"/>
        <v>30658</v>
      </c>
      <c r="M237" s="122">
        <f t="shared" si="161"/>
        <v>37.990086741016107</v>
      </c>
      <c r="N237" s="125"/>
      <c r="O237" s="125"/>
      <c r="P237" s="125"/>
      <c r="Q237" s="125"/>
      <c r="R237" s="125"/>
      <c r="S237" s="154"/>
      <c r="T237" s="154"/>
      <c r="V237" s="115"/>
      <c r="W237" s="115"/>
      <c r="X237" s="120"/>
      <c r="Y237" s="120"/>
      <c r="Z237" s="118">
        <v>0.33</v>
      </c>
      <c r="AA237" s="430"/>
      <c r="AB237" s="117" t="str">
        <f t="shared" si="167"/>
        <v/>
      </c>
      <c r="AC237" s="117" t="str">
        <f t="shared" si="171"/>
        <v/>
      </c>
      <c r="AD237" s="117" t="str">
        <f t="shared" si="170"/>
        <v/>
      </c>
      <c r="AE237" s="117"/>
      <c r="AF237" s="447"/>
      <c r="AH237" s="115"/>
    </row>
    <row r="238" spans="1:84" s="296" customFormat="1">
      <c r="A238" s="113" t="s">
        <v>262</v>
      </c>
      <c r="B238" s="113" t="s">
        <v>367</v>
      </c>
      <c r="C238" s="130" t="s">
        <v>368</v>
      </c>
      <c r="D238" s="128" t="s">
        <v>193</v>
      </c>
      <c r="E238" s="127" t="s">
        <v>114</v>
      </c>
      <c r="F238" s="126"/>
      <c r="G238" s="126"/>
      <c r="H238" s="123">
        <v>807</v>
      </c>
      <c r="I238" s="125">
        <v>38.340000000000003</v>
      </c>
      <c r="J238" s="123">
        <v>30658</v>
      </c>
      <c r="K238" s="124"/>
      <c r="L238" s="123">
        <f t="shared" si="160"/>
        <v>30658</v>
      </c>
      <c r="M238" s="122">
        <f t="shared" si="161"/>
        <v>37.990086741016107</v>
      </c>
      <c r="N238" s="125"/>
      <c r="O238" s="125"/>
      <c r="P238" s="125"/>
      <c r="Q238" s="125"/>
      <c r="R238" s="125"/>
      <c r="S238" s="154"/>
      <c r="T238" s="154"/>
      <c r="U238" s="113"/>
      <c r="V238" s="115"/>
      <c r="W238" s="115"/>
      <c r="X238" s="120"/>
      <c r="Y238" s="120"/>
      <c r="Z238" s="118">
        <v>0.33</v>
      </c>
      <c r="AA238" s="430"/>
      <c r="AB238" s="117" t="str">
        <f t="shared" si="167"/>
        <v/>
      </c>
      <c r="AC238" s="117" t="str">
        <f t="shared" si="171"/>
        <v/>
      </c>
      <c r="AD238" s="117" t="str">
        <f t="shared" si="170"/>
        <v/>
      </c>
      <c r="AE238" s="117"/>
      <c r="AF238" s="447"/>
      <c r="AG238" s="113"/>
      <c r="AH238" s="115"/>
      <c r="AI238" s="113"/>
      <c r="AJ238" s="113"/>
      <c r="AK238" s="113"/>
      <c r="AL238" s="113"/>
      <c r="AM238" s="113"/>
      <c r="AN238" s="113"/>
      <c r="AO238" s="113"/>
      <c r="AP238" s="113"/>
      <c r="AQ238" s="113"/>
      <c r="AR238" s="113"/>
      <c r="AS238" s="113"/>
      <c r="AT238" s="113"/>
      <c r="AU238" s="113"/>
      <c r="AV238" s="113"/>
      <c r="AW238" s="113"/>
      <c r="AX238" s="113"/>
      <c r="AY238" s="113"/>
      <c r="AZ238" s="113"/>
      <c r="BA238" s="113"/>
      <c r="BB238" s="113"/>
      <c r="BC238" s="113"/>
      <c r="BD238" s="113"/>
      <c r="BE238" s="113"/>
      <c r="BF238" s="113"/>
      <c r="BG238" s="113"/>
      <c r="BH238" s="113"/>
      <c r="BI238" s="113"/>
      <c r="BJ238" s="113"/>
      <c r="BK238" s="113"/>
      <c r="BL238" s="113"/>
      <c r="BM238" s="113"/>
      <c r="BN238" s="113"/>
      <c r="BO238" s="113"/>
      <c r="BP238" s="113"/>
      <c r="BQ238" s="113"/>
      <c r="BR238" s="113"/>
      <c r="BS238" s="113"/>
      <c r="BT238" s="113"/>
      <c r="BU238" s="113"/>
      <c r="BV238" s="113"/>
      <c r="BW238" s="113"/>
      <c r="BX238" s="113"/>
      <c r="BY238" s="113"/>
      <c r="BZ238" s="113"/>
      <c r="CA238" s="113"/>
      <c r="CB238" s="113"/>
      <c r="CC238" s="113"/>
      <c r="CD238" s="113"/>
      <c r="CE238" s="113"/>
      <c r="CF238" s="113"/>
    </row>
    <row r="239" spans="1:84" s="296" customFormat="1">
      <c r="A239" s="296" t="s">
        <v>262</v>
      </c>
      <c r="B239" s="296" t="s">
        <v>369</v>
      </c>
      <c r="C239" s="345" t="s">
        <v>370</v>
      </c>
      <c r="D239" s="299" t="s">
        <v>193</v>
      </c>
      <c r="E239" s="300" t="s">
        <v>160</v>
      </c>
      <c r="F239" s="297"/>
      <c r="G239" s="297"/>
      <c r="H239" s="301">
        <v>807</v>
      </c>
      <c r="I239" s="302">
        <v>39.130000000000003</v>
      </c>
      <c r="J239" s="301">
        <v>30210</v>
      </c>
      <c r="K239" s="237"/>
      <c r="L239" s="301">
        <f t="shared" si="160"/>
        <v>30210</v>
      </c>
      <c r="M239" s="303">
        <f t="shared" si="161"/>
        <v>37.434944237918216</v>
      </c>
      <c r="N239" s="302"/>
      <c r="O239" s="302"/>
      <c r="P239" s="302"/>
      <c r="Q239" s="302"/>
      <c r="R239" s="302"/>
      <c r="S239" s="320"/>
      <c r="T239" s="320"/>
      <c r="V239" s="306"/>
      <c r="W239" s="306"/>
      <c r="X239" s="307"/>
      <c r="Y239" s="307"/>
      <c r="Z239" s="304">
        <v>0.35</v>
      </c>
      <c r="AA239" s="431">
        <v>46108</v>
      </c>
      <c r="AB239" s="233">
        <f t="shared" si="167"/>
        <v>63.75</v>
      </c>
      <c r="AC239" s="233">
        <f>IFERROR(AB239*Z239,"")</f>
        <v>22.3125</v>
      </c>
      <c r="AD239" s="233">
        <f>IFERROR(((AC239*L239)/2000)/M239,"")</f>
        <v>9.0030937499999997</v>
      </c>
      <c r="AE239" s="233"/>
      <c r="AF239" s="448"/>
      <c r="AG239" s="296" t="s">
        <v>371</v>
      </c>
      <c r="AH239" s="306" t="s">
        <v>269</v>
      </c>
      <c r="AI239" s="296">
        <v>63</v>
      </c>
      <c r="AJ239" s="296">
        <v>77</v>
      </c>
      <c r="AK239" s="296">
        <v>70</v>
      </c>
      <c r="AL239" s="296">
        <v>65</v>
      </c>
      <c r="AM239" s="296">
        <v>60</v>
      </c>
      <c r="AN239" s="296">
        <v>61</v>
      </c>
      <c r="AO239" s="296">
        <v>56</v>
      </c>
      <c r="AP239" s="296">
        <v>56</v>
      </c>
      <c r="AQ239" s="296">
        <v>64</v>
      </c>
      <c r="AR239" s="296">
        <v>61</v>
      </c>
      <c r="AS239" s="296">
        <v>63</v>
      </c>
      <c r="AT239" s="296">
        <v>69</v>
      </c>
    </row>
    <row r="240" spans="1:84" s="296" customFormat="1">
      <c r="A240" s="296" t="s">
        <v>262</v>
      </c>
      <c r="B240" s="296" t="s">
        <v>369</v>
      </c>
      <c r="C240" s="345" t="s">
        <v>370</v>
      </c>
      <c r="D240" s="299" t="s">
        <v>193</v>
      </c>
      <c r="E240" s="300" t="s">
        <v>160</v>
      </c>
      <c r="F240" s="297"/>
      <c r="G240" s="297"/>
      <c r="H240" s="301">
        <v>807</v>
      </c>
      <c r="I240" s="302">
        <v>39.130000000000003</v>
      </c>
      <c r="J240" s="301">
        <v>30210</v>
      </c>
      <c r="K240" s="237"/>
      <c r="L240" s="301">
        <f t="shared" ref="L240" si="174">J240-(J240*K240)</f>
        <v>30210</v>
      </c>
      <c r="M240" s="303">
        <f t="shared" ref="M240" si="175">L240/H240</f>
        <v>37.434944237918216</v>
      </c>
      <c r="N240" s="302"/>
      <c r="O240" s="302"/>
      <c r="P240" s="302"/>
      <c r="Q240" s="302"/>
      <c r="R240" s="302"/>
      <c r="S240" s="320"/>
      <c r="T240" s="320"/>
      <c r="V240" s="306"/>
      <c r="W240" s="306"/>
      <c r="X240" s="307"/>
      <c r="Y240" s="307"/>
      <c r="Z240" s="304">
        <v>0.35</v>
      </c>
      <c r="AA240" s="431">
        <v>46168</v>
      </c>
      <c r="AB240" s="233">
        <f>IFERROR(AVERAGE(AI240:BG240),"")</f>
        <v>63</v>
      </c>
      <c r="AC240" s="233">
        <f>IFERROR(AB240*Z240,"")</f>
        <v>22.049999999999997</v>
      </c>
      <c r="AD240" s="233">
        <f>IFERROR(((AC240*L240)/2000)/M240,"")</f>
        <v>8.8971749999999989</v>
      </c>
      <c r="AE240" s="233"/>
      <c r="AF240" s="448"/>
      <c r="AG240" s="296" t="s">
        <v>371</v>
      </c>
      <c r="AH240" s="306"/>
      <c r="AI240" s="296">
        <v>58</v>
      </c>
      <c r="AJ240" s="296">
        <v>64</v>
      </c>
      <c r="AK240" s="296">
        <v>67</v>
      </c>
      <c r="AL240" s="296">
        <v>68</v>
      </c>
      <c r="AM240" s="296">
        <v>69</v>
      </c>
      <c r="AN240" s="296">
        <v>49</v>
      </c>
      <c r="AO240" s="296">
        <v>58</v>
      </c>
      <c r="AP240" s="296">
        <v>63</v>
      </c>
      <c r="AQ240" s="296">
        <v>59</v>
      </c>
      <c r="AR240" s="296">
        <v>66</v>
      </c>
      <c r="AS240" s="296">
        <v>69</v>
      </c>
      <c r="AT240" s="296">
        <v>57</v>
      </c>
      <c r="AU240" s="296">
        <v>72</v>
      </c>
      <c r="AV240" s="296">
        <v>63</v>
      </c>
    </row>
    <row r="241" spans="1:84" s="296" customFormat="1">
      <c r="A241" s="296" t="s">
        <v>262</v>
      </c>
      <c r="B241" s="296" t="s">
        <v>369</v>
      </c>
      <c r="C241" s="345" t="s">
        <v>370</v>
      </c>
      <c r="D241" s="299" t="s">
        <v>193</v>
      </c>
      <c r="E241" s="300" t="s">
        <v>160</v>
      </c>
      <c r="F241" s="297"/>
      <c r="G241" s="297"/>
      <c r="H241" s="301">
        <v>807</v>
      </c>
      <c r="I241" s="302">
        <v>39.130000000000003</v>
      </c>
      <c r="J241" s="301">
        <v>30210</v>
      </c>
      <c r="K241" s="237"/>
      <c r="L241" s="301">
        <f>J241-(J241*K241)</f>
        <v>30210</v>
      </c>
      <c r="M241" s="303">
        <f>L241/H241</f>
        <v>37.434944237918216</v>
      </c>
      <c r="N241" s="302"/>
      <c r="O241" s="302"/>
      <c r="P241" s="302"/>
      <c r="Q241" s="302"/>
      <c r="R241" s="302"/>
      <c r="S241" s="320"/>
      <c r="T241" s="320"/>
      <c r="V241" s="306"/>
      <c r="W241" s="306"/>
      <c r="X241" s="307"/>
      <c r="Y241" s="307"/>
      <c r="Z241" s="304">
        <v>0.41</v>
      </c>
      <c r="AA241" s="431">
        <v>46108</v>
      </c>
      <c r="AB241" s="233">
        <f>IFERROR(AVERAGE(AI241:BG241),"")</f>
        <v>50</v>
      </c>
      <c r="AC241" s="233">
        <f>IFERROR(AB241*Z241,"")</f>
        <v>20.5</v>
      </c>
      <c r="AD241" s="233">
        <f>IFERROR(((AC241*L241)/2000)/M241,"")</f>
        <v>8.271749999999999</v>
      </c>
      <c r="AE241" s="233"/>
      <c r="AF241" s="448"/>
      <c r="AG241" s="296" t="s">
        <v>372</v>
      </c>
      <c r="AH241" s="306" t="s">
        <v>269</v>
      </c>
      <c r="AI241" s="296">
        <v>48</v>
      </c>
      <c r="AJ241" s="296">
        <v>54</v>
      </c>
      <c r="AK241" s="296">
        <v>45</v>
      </c>
      <c r="AL241" s="296">
        <v>47</v>
      </c>
      <c r="AM241" s="296">
        <v>61</v>
      </c>
      <c r="AN241" s="296">
        <v>60</v>
      </c>
      <c r="AO241" s="296">
        <v>46</v>
      </c>
      <c r="AP241" s="296">
        <v>51</v>
      </c>
      <c r="AQ241" s="296">
        <v>43</v>
      </c>
      <c r="AR241" s="296">
        <v>37</v>
      </c>
      <c r="AS241" s="296">
        <v>49</v>
      </c>
      <c r="AT241" s="296">
        <v>59</v>
      </c>
    </row>
    <row r="242" spans="1:84" s="113" customFormat="1">
      <c r="A242" s="296" t="s">
        <v>262</v>
      </c>
      <c r="B242" s="296" t="s">
        <v>369</v>
      </c>
      <c r="C242" s="345" t="s">
        <v>370</v>
      </c>
      <c r="D242" s="299" t="s">
        <v>193</v>
      </c>
      <c r="E242" s="300" t="s">
        <v>160</v>
      </c>
      <c r="F242" s="297"/>
      <c r="G242" s="297"/>
      <c r="H242" s="301">
        <v>807</v>
      </c>
      <c r="I242" s="302">
        <v>39.130000000000003</v>
      </c>
      <c r="J242" s="301">
        <v>30210</v>
      </c>
      <c r="K242" s="237"/>
      <c r="L242" s="301">
        <f t="shared" si="160"/>
        <v>30210</v>
      </c>
      <c r="M242" s="303">
        <f t="shared" si="161"/>
        <v>37.434944237918216</v>
      </c>
      <c r="N242" s="302"/>
      <c r="O242" s="302"/>
      <c r="P242" s="302"/>
      <c r="Q242" s="302"/>
      <c r="R242" s="302"/>
      <c r="S242" s="320"/>
      <c r="T242" s="320"/>
      <c r="U242" s="296"/>
      <c r="V242" s="306"/>
      <c r="W242" s="306"/>
      <c r="X242" s="307"/>
      <c r="Y242" s="307"/>
      <c r="Z242" s="304">
        <v>0.41</v>
      </c>
      <c r="AA242" s="431">
        <v>46168</v>
      </c>
      <c r="AB242" s="233">
        <f>IFERROR(AVERAGE(AI242:BG242),"")</f>
        <v>49.333333333333336</v>
      </c>
      <c r="AC242" s="233">
        <f>IFERROR(AB242*Z242,"")</f>
        <v>20.226666666666667</v>
      </c>
      <c r="AD242" s="233">
        <f>IFERROR(((AC242*L242)/2000)/M242,"")</f>
        <v>8.1614599999999999</v>
      </c>
      <c r="AE242" s="233"/>
      <c r="AF242" s="448"/>
      <c r="AG242" s="296" t="s">
        <v>372</v>
      </c>
      <c r="AH242" s="306"/>
      <c r="AI242" s="296">
        <v>62</v>
      </c>
      <c r="AJ242" s="296">
        <v>46</v>
      </c>
      <c r="AK242" s="296">
        <v>58</v>
      </c>
      <c r="AL242" s="296">
        <v>50</v>
      </c>
      <c r="AM242" s="296">
        <v>49</v>
      </c>
      <c r="AN242" s="296">
        <v>60</v>
      </c>
      <c r="AO242" s="296">
        <v>47</v>
      </c>
      <c r="AP242" s="296">
        <v>49</v>
      </c>
      <c r="AQ242" s="296">
        <v>41</v>
      </c>
      <c r="AR242" s="296">
        <v>46</v>
      </c>
      <c r="AS242" s="296">
        <v>47</v>
      </c>
      <c r="AT242" s="296">
        <v>53</v>
      </c>
      <c r="AU242" s="296">
        <v>48</v>
      </c>
      <c r="AV242" s="296">
        <v>44</v>
      </c>
      <c r="AW242" s="296">
        <v>40</v>
      </c>
      <c r="AX242" s="296"/>
      <c r="AY242" s="296"/>
      <c r="AZ242" s="296"/>
      <c r="BA242" s="296"/>
      <c r="BB242" s="296"/>
      <c r="BC242" s="296"/>
      <c r="BD242" s="296"/>
      <c r="BE242" s="296"/>
      <c r="BF242" s="296"/>
      <c r="BG242" s="296"/>
      <c r="BH242" s="296"/>
      <c r="BI242" s="296"/>
      <c r="BJ242" s="296"/>
      <c r="BK242" s="296"/>
      <c r="BL242" s="296"/>
      <c r="BM242" s="296"/>
      <c r="BN242" s="296"/>
      <c r="BO242" s="296"/>
      <c r="BP242" s="296"/>
      <c r="BQ242" s="296"/>
      <c r="BR242" s="296"/>
      <c r="BS242" s="296"/>
      <c r="BT242" s="296"/>
      <c r="BU242" s="296"/>
      <c r="BV242" s="296"/>
      <c r="BW242" s="296"/>
      <c r="BX242" s="296"/>
      <c r="BY242" s="296"/>
      <c r="BZ242" s="296"/>
      <c r="CA242" s="296"/>
      <c r="CB242" s="296"/>
      <c r="CC242" s="296"/>
      <c r="CD242" s="296"/>
      <c r="CE242" s="296"/>
      <c r="CF242" s="296"/>
    </row>
    <row r="243" spans="1:84" s="113" customFormat="1">
      <c r="A243" s="113" t="s">
        <v>262</v>
      </c>
      <c r="B243" s="113" t="s">
        <v>373</v>
      </c>
      <c r="C243" s="130" t="s">
        <v>374</v>
      </c>
      <c r="D243" s="128" t="s">
        <v>111</v>
      </c>
      <c r="E243" s="127" t="s">
        <v>88</v>
      </c>
      <c r="F243" s="126" t="s">
        <v>375</v>
      </c>
      <c r="G243" s="126" t="s">
        <v>273</v>
      </c>
      <c r="H243" s="123">
        <v>807</v>
      </c>
      <c r="I243" s="125">
        <v>8.77</v>
      </c>
      <c r="J243" s="123">
        <v>7032</v>
      </c>
      <c r="K243" s="124">
        <v>0.08</v>
      </c>
      <c r="L243" s="123">
        <f t="shared" si="160"/>
        <v>6469.44</v>
      </c>
      <c r="M243" s="122">
        <f t="shared" si="161"/>
        <v>8.0166542750929359</v>
      </c>
      <c r="N243" s="125"/>
      <c r="O243" s="125"/>
      <c r="P243" s="125"/>
      <c r="Q243" s="125"/>
      <c r="R243" s="125"/>
      <c r="S243" s="154">
        <v>4.0999999999999996</v>
      </c>
      <c r="T243" s="154"/>
      <c r="V243" s="115"/>
      <c r="W243" s="115"/>
      <c r="X243" s="120">
        <v>0.3</v>
      </c>
      <c r="Y243" s="120"/>
      <c r="Z243" s="118">
        <v>0.33</v>
      </c>
      <c r="AA243" s="430">
        <v>46127</v>
      </c>
      <c r="AB243" s="117">
        <f t="shared" si="167"/>
        <v>84.4</v>
      </c>
      <c r="AC243" s="117">
        <f t="shared" si="171"/>
        <v>25.32</v>
      </c>
      <c r="AD243" s="117">
        <f t="shared" si="170"/>
        <v>9.3390091676168741</v>
      </c>
      <c r="AE243" s="117"/>
      <c r="AF243" s="447"/>
      <c r="AH243" s="115" t="s">
        <v>91</v>
      </c>
      <c r="AI243" s="113">
        <v>77</v>
      </c>
      <c r="AJ243" s="113">
        <v>85</v>
      </c>
      <c r="AK243" s="113">
        <v>79</v>
      </c>
      <c r="AL243" s="113">
        <v>104</v>
      </c>
      <c r="AM243" s="113">
        <v>83</v>
      </c>
      <c r="AN243" s="113">
        <v>82</v>
      </c>
      <c r="AO243" s="113">
        <v>82</v>
      </c>
      <c r="AP243" s="113">
        <v>69</v>
      </c>
      <c r="AQ243" s="113">
        <v>104</v>
      </c>
      <c r="AR243" s="113">
        <v>61</v>
      </c>
      <c r="AS243" s="113">
        <v>92</v>
      </c>
      <c r="AT243" s="113">
        <v>89</v>
      </c>
      <c r="AU243" s="113">
        <v>79</v>
      </c>
      <c r="AV243" s="113">
        <v>79</v>
      </c>
      <c r="AW243" s="113">
        <v>101</v>
      </c>
    </row>
    <row r="244" spans="1:84" s="296" customFormat="1">
      <c r="A244" s="113" t="s">
        <v>262</v>
      </c>
      <c r="B244" s="113" t="s">
        <v>373</v>
      </c>
      <c r="C244" s="130" t="s">
        <v>374</v>
      </c>
      <c r="D244" s="128" t="s">
        <v>111</v>
      </c>
      <c r="E244" s="127" t="s">
        <v>88</v>
      </c>
      <c r="F244" s="126" t="s">
        <v>375</v>
      </c>
      <c r="G244" s="126" t="s">
        <v>273</v>
      </c>
      <c r="H244" s="123">
        <v>807</v>
      </c>
      <c r="I244" s="125">
        <v>8.77</v>
      </c>
      <c r="J244" s="123">
        <v>7032</v>
      </c>
      <c r="K244" s="124">
        <v>0.08</v>
      </c>
      <c r="L244" s="123">
        <f t="shared" si="160"/>
        <v>6469.44</v>
      </c>
      <c r="M244" s="122">
        <f t="shared" si="161"/>
        <v>8.0166542750929359</v>
      </c>
      <c r="N244" s="125"/>
      <c r="O244" s="125"/>
      <c r="P244" s="125"/>
      <c r="Q244" s="125"/>
      <c r="R244" s="125"/>
      <c r="S244" s="154">
        <v>4.0999999999999996</v>
      </c>
      <c r="T244" s="154"/>
      <c r="U244" s="113"/>
      <c r="V244" s="115"/>
      <c r="W244" s="115"/>
      <c r="X244" s="120">
        <v>0.3</v>
      </c>
      <c r="Y244" s="120"/>
      <c r="Z244" s="118">
        <v>0.33</v>
      </c>
      <c r="AA244" s="430">
        <v>46167</v>
      </c>
      <c r="AB244" s="117">
        <f t="shared" si="167"/>
        <v>87.4</v>
      </c>
      <c r="AC244" s="117">
        <f t="shared" si="171"/>
        <v>26.220000000000002</v>
      </c>
      <c r="AD244" s="117">
        <f t="shared" si="170"/>
        <v>9.6709644697833532</v>
      </c>
      <c r="AE244" s="117"/>
      <c r="AF244" s="447"/>
      <c r="AG244" s="15"/>
      <c r="AH244" s="115" t="s">
        <v>116</v>
      </c>
      <c r="AI244" s="113">
        <v>78</v>
      </c>
      <c r="AJ244" s="113">
        <v>108</v>
      </c>
      <c r="AK244" s="113">
        <v>94</v>
      </c>
      <c r="AL244" s="113">
        <v>84</v>
      </c>
      <c r="AM244" s="113">
        <v>89</v>
      </c>
      <c r="AN244" s="113">
        <v>86</v>
      </c>
      <c r="AO244" s="113">
        <v>99</v>
      </c>
      <c r="AP244" s="113">
        <v>87</v>
      </c>
      <c r="AQ244" s="113">
        <v>71</v>
      </c>
      <c r="AR244" s="113">
        <v>78</v>
      </c>
      <c r="AS244" s="113"/>
      <c r="AT244" s="113"/>
      <c r="AU244" s="113"/>
      <c r="AV244" s="113"/>
      <c r="AW244" s="113"/>
      <c r="AX244" s="113"/>
      <c r="AY244" s="113"/>
      <c r="AZ244" s="113"/>
      <c r="BA244" s="113"/>
      <c r="BB244" s="113"/>
      <c r="BC244" s="113"/>
      <c r="BD244" s="113"/>
      <c r="BE244" s="113"/>
      <c r="BF244" s="113"/>
      <c r="BG244" s="113"/>
      <c r="BH244" s="113"/>
      <c r="BI244" s="113"/>
      <c r="BJ244" s="113"/>
      <c r="BK244" s="113"/>
      <c r="BL244" s="113"/>
      <c r="BM244" s="113"/>
      <c r="BN244" s="113"/>
      <c r="BO244" s="113"/>
      <c r="BP244" s="113"/>
      <c r="BQ244" s="113"/>
      <c r="BR244" s="113"/>
      <c r="BS244" s="113"/>
      <c r="BT244" s="113"/>
      <c r="BU244" s="113"/>
      <c r="BV244" s="113"/>
      <c r="BW244" s="113"/>
      <c r="BX244" s="113"/>
      <c r="BY244" s="113"/>
      <c r="BZ244" s="113"/>
      <c r="CA244" s="113"/>
      <c r="CB244" s="113"/>
      <c r="CC244" s="113"/>
      <c r="CD244" s="113"/>
      <c r="CE244" s="113"/>
      <c r="CF244" s="113"/>
    </row>
    <row r="245" spans="1:84" s="296" customFormat="1">
      <c r="A245" s="113" t="s">
        <v>262</v>
      </c>
      <c r="B245" s="113" t="s">
        <v>373</v>
      </c>
      <c r="C245" s="130" t="s">
        <v>374</v>
      </c>
      <c r="D245" s="128" t="s">
        <v>111</v>
      </c>
      <c r="E245" s="127" t="s">
        <v>88</v>
      </c>
      <c r="F245" s="126" t="s">
        <v>375</v>
      </c>
      <c r="G245" s="126" t="s">
        <v>273</v>
      </c>
      <c r="H245" s="123">
        <v>807</v>
      </c>
      <c r="I245" s="125">
        <v>8.77</v>
      </c>
      <c r="J245" s="123">
        <v>7032</v>
      </c>
      <c r="K245" s="124">
        <v>0.08</v>
      </c>
      <c r="L245" s="123">
        <f t="shared" ref="L245" si="176">J245-(J245*K245)</f>
        <v>6469.44</v>
      </c>
      <c r="M245" s="122">
        <f t="shared" ref="M245" si="177">L245/H245</f>
        <v>8.0166542750929359</v>
      </c>
      <c r="N245" s="125"/>
      <c r="O245" s="125"/>
      <c r="P245" s="125"/>
      <c r="Q245" s="125"/>
      <c r="R245" s="125"/>
      <c r="S245" s="154">
        <v>4.0999999999999996</v>
      </c>
      <c r="T245" s="154"/>
      <c r="U245" s="113"/>
      <c r="V245" s="115"/>
      <c r="W245" s="115"/>
      <c r="X245" s="120">
        <v>0.3</v>
      </c>
      <c r="Y245" s="120"/>
      <c r="Z245" s="118">
        <v>0.33</v>
      </c>
      <c r="AA245" s="430">
        <v>46169</v>
      </c>
      <c r="AB245" s="117">
        <f>IFERROR(AVERAGE(AI245:BG245),"")</f>
        <v>84.666666666666671</v>
      </c>
      <c r="AC245" s="117">
        <f>IFERROR(AB245*X245,"")</f>
        <v>25.400000000000002</v>
      </c>
      <c r="AD245" s="117">
        <f>IFERROR(((AC245*L245)/2000)/I245,"")</f>
        <v>9.3685163055872298</v>
      </c>
      <c r="AE245" s="117"/>
      <c r="AF245" s="447"/>
      <c r="AG245" s="15" t="s">
        <v>376</v>
      </c>
      <c r="AH245" s="115" t="s">
        <v>116</v>
      </c>
      <c r="AI245" s="113">
        <v>79</v>
      </c>
      <c r="AJ245" s="113">
        <v>86</v>
      </c>
      <c r="AK245" s="113">
        <v>75</v>
      </c>
      <c r="AL245" s="113">
        <v>89</v>
      </c>
      <c r="AM245" s="113">
        <v>86</v>
      </c>
      <c r="AN245" s="113">
        <v>90</v>
      </c>
      <c r="AO245" s="113">
        <v>86</v>
      </c>
      <c r="AP245" s="113">
        <v>71</v>
      </c>
      <c r="AQ245" s="113">
        <v>89</v>
      </c>
      <c r="AR245" s="113">
        <v>85</v>
      </c>
      <c r="AS245" s="113">
        <v>94</v>
      </c>
      <c r="AT245" s="113">
        <v>90</v>
      </c>
      <c r="AU245" s="113">
        <v>86</v>
      </c>
      <c r="AV245" s="113">
        <v>79</v>
      </c>
      <c r="AW245" s="113">
        <v>85</v>
      </c>
      <c r="AX245" s="113"/>
      <c r="AY245" s="113"/>
      <c r="AZ245" s="113"/>
      <c r="BA245" s="113"/>
      <c r="BB245" s="113"/>
      <c r="BC245" s="113"/>
      <c r="BD245" s="113"/>
      <c r="BE245" s="113"/>
      <c r="BF245" s="113"/>
      <c r="BG245" s="113"/>
      <c r="BH245" s="113"/>
      <c r="BI245" s="113"/>
      <c r="BJ245" s="113"/>
      <c r="BK245" s="113"/>
      <c r="BL245" s="113"/>
      <c r="BM245" s="113"/>
      <c r="BN245" s="113"/>
      <c r="BO245" s="113"/>
      <c r="BP245" s="113"/>
      <c r="BQ245" s="113"/>
      <c r="BR245" s="113"/>
      <c r="BS245" s="113"/>
      <c r="BT245" s="113"/>
      <c r="BU245" s="113"/>
      <c r="BV245" s="113"/>
      <c r="BW245" s="113"/>
      <c r="BX245" s="113"/>
      <c r="BY245" s="113"/>
      <c r="BZ245" s="113"/>
      <c r="CA245" s="113"/>
      <c r="CB245" s="113"/>
      <c r="CC245" s="113"/>
      <c r="CD245" s="113"/>
      <c r="CE245" s="113"/>
      <c r="CF245" s="113"/>
    </row>
    <row r="246" spans="1:84" s="413" customFormat="1">
      <c r="A246" s="413" t="s">
        <v>262</v>
      </c>
      <c r="B246" s="413" t="s">
        <v>377</v>
      </c>
      <c r="C246" s="414" t="s">
        <v>378</v>
      </c>
      <c r="D246" s="415"/>
      <c r="E246" s="416" t="s">
        <v>88</v>
      </c>
      <c r="F246" s="417"/>
      <c r="G246" s="417"/>
      <c r="H246" s="418">
        <v>807</v>
      </c>
      <c r="I246" s="419">
        <v>25.73</v>
      </c>
      <c r="J246" s="418">
        <v>20593</v>
      </c>
      <c r="K246" s="420"/>
      <c r="L246" s="418">
        <v>20593</v>
      </c>
      <c r="M246" s="421">
        <f t="shared" si="161"/>
        <v>25.517967781908304</v>
      </c>
      <c r="N246" s="419"/>
      <c r="O246" s="419"/>
      <c r="P246" s="419"/>
      <c r="Q246" s="419"/>
      <c r="R246" s="419"/>
      <c r="S246" s="422"/>
      <c r="T246" s="422"/>
      <c r="V246" s="423"/>
      <c r="W246" s="423"/>
      <c r="X246" s="424"/>
      <c r="Y246" s="424"/>
      <c r="Z246" s="425">
        <v>0.31</v>
      </c>
      <c r="AA246" s="435">
        <v>46168</v>
      </c>
      <c r="AB246" s="426">
        <f t="shared" si="167"/>
        <v>37.6</v>
      </c>
      <c r="AC246" s="426">
        <f>IFERROR(AB246*Z246,"")</f>
        <v>11.656000000000001</v>
      </c>
      <c r="AD246" s="426">
        <f>IFERROR(((AC246*L246)/2000)/I246,"")</f>
        <v>4.6644385542168676</v>
      </c>
      <c r="AE246" s="426"/>
      <c r="AF246" s="452"/>
      <c r="AG246" s="413" t="s">
        <v>333</v>
      </c>
      <c r="AH246" s="423"/>
      <c r="AI246" s="413">
        <v>48</v>
      </c>
      <c r="AJ246" s="413">
        <v>33</v>
      </c>
      <c r="AK246" s="413">
        <v>35</v>
      </c>
      <c r="AL246" s="413">
        <v>44</v>
      </c>
      <c r="AM246" s="413">
        <v>40</v>
      </c>
      <c r="AN246" s="413">
        <v>32</v>
      </c>
      <c r="AO246" s="413">
        <v>37</v>
      </c>
      <c r="AP246" s="413">
        <v>32</v>
      </c>
      <c r="AQ246" s="413">
        <v>34</v>
      </c>
      <c r="AR246" s="413">
        <v>41</v>
      </c>
    </row>
    <row r="247" spans="1:84" s="296" customFormat="1">
      <c r="A247" s="296" t="s">
        <v>262</v>
      </c>
      <c r="B247" s="296" t="s">
        <v>379</v>
      </c>
      <c r="C247" s="298" t="s">
        <v>380</v>
      </c>
      <c r="D247" s="299" t="s">
        <v>87</v>
      </c>
      <c r="E247" s="300" t="s">
        <v>160</v>
      </c>
      <c r="F247" s="297" t="s">
        <v>381</v>
      </c>
      <c r="G247" s="297" t="s">
        <v>382</v>
      </c>
      <c r="H247" s="301">
        <v>565.71428571428567</v>
      </c>
      <c r="I247" s="302">
        <v>12.58</v>
      </c>
      <c r="J247" s="301">
        <v>6935</v>
      </c>
      <c r="K247" s="237">
        <v>0.15</v>
      </c>
      <c r="L247" s="301">
        <f t="shared" ref="L247:L254" si="178">J247-(J247*K247)</f>
        <v>5894.75</v>
      </c>
      <c r="M247" s="303">
        <f t="shared" ref="M247:M254" si="179">L247/H247</f>
        <v>10.420012626262627</v>
      </c>
      <c r="N247" s="304">
        <v>7.97</v>
      </c>
      <c r="O247" s="304">
        <v>6.9</v>
      </c>
      <c r="P247" s="304">
        <v>6.89</v>
      </c>
      <c r="Q247" s="304">
        <v>2.04</v>
      </c>
      <c r="R247" s="304">
        <v>9.5500000000000007</v>
      </c>
      <c r="S247" s="305">
        <v>4.0999999999999996</v>
      </c>
      <c r="T247" s="305"/>
      <c r="V247" s="306"/>
      <c r="W247" s="306"/>
      <c r="X247" s="307">
        <v>0.28000000000000003</v>
      </c>
      <c r="Y247" s="307"/>
      <c r="Z247" s="304">
        <v>0.4</v>
      </c>
      <c r="AA247" s="431">
        <v>46139</v>
      </c>
      <c r="AB247" s="233">
        <f t="shared" si="167"/>
        <v>94.86666666666666</v>
      </c>
      <c r="AC247" s="233">
        <f t="shared" ref="AC247:AC256" si="180">IFERROR(AB247*X247,"")</f>
        <v>26.562666666666669</v>
      </c>
      <c r="AD247" s="233">
        <f t="shared" si="170"/>
        <v>6.2233815315315324</v>
      </c>
      <c r="AE247" s="233"/>
      <c r="AF247" s="448"/>
      <c r="AH247" s="306" t="s">
        <v>91</v>
      </c>
      <c r="AI247" s="296">
        <v>77</v>
      </c>
      <c r="AJ247" s="296">
        <v>104</v>
      </c>
      <c r="AK247" s="296">
        <v>108</v>
      </c>
      <c r="AL247" s="296">
        <v>130</v>
      </c>
      <c r="AM247" s="296">
        <v>63</v>
      </c>
      <c r="AN247" s="296">
        <v>99</v>
      </c>
      <c r="AO247" s="296">
        <v>88</v>
      </c>
      <c r="AP247" s="296">
        <v>90</v>
      </c>
      <c r="AQ247" s="296">
        <v>83</v>
      </c>
      <c r="AR247" s="296">
        <v>86</v>
      </c>
      <c r="AS247" s="296">
        <v>106</v>
      </c>
      <c r="AT247" s="296">
        <v>91</v>
      </c>
      <c r="AU247" s="296">
        <v>94</v>
      </c>
      <c r="AV247" s="296">
        <v>93</v>
      </c>
      <c r="AW247" s="296">
        <v>111</v>
      </c>
    </row>
    <row r="248" spans="1:84" s="296" customFormat="1">
      <c r="A248" s="296" t="s">
        <v>262</v>
      </c>
      <c r="B248" s="296" t="s">
        <v>379</v>
      </c>
      <c r="C248" s="298" t="s">
        <v>380</v>
      </c>
      <c r="D248" s="299" t="s">
        <v>87</v>
      </c>
      <c r="E248" s="300" t="s">
        <v>160</v>
      </c>
      <c r="F248" s="297" t="s">
        <v>381</v>
      </c>
      <c r="G248" s="297" t="s">
        <v>382</v>
      </c>
      <c r="H248" s="301">
        <v>565.71428571428567</v>
      </c>
      <c r="I248" s="302">
        <v>12.58</v>
      </c>
      <c r="J248" s="301">
        <v>6935</v>
      </c>
      <c r="K248" s="237">
        <v>0.15</v>
      </c>
      <c r="L248" s="301">
        <f t="shared" si="178"/>
        <v>5894.75</v>
      </c>
      <c r="M248" s="303">
        <f t="shared" si="179"/>
        <v>10.420012626262627</v>
      </c>
      <c r="N248" s="304">
        <v>7.97</v>
      </c>
      <c r="O248" s="304">
        <v>6.9</v>
      </c>
      <c r="P248" s="304">
        <v>6.89</v>
      </c>
      <c r="Q248" s="304">
        <v>2.04</v>
      </c>
      <c r="R248" s="304">
        <v>9.5500000000000007</v>
      </c>
      <c r="S248" s="305">
        <v>4.0999999999999996</v>
      </c>
      <c r="T248" s="305"/>
      <c r="V248" s="306"/>
      <c r="W248" s="306"/>
      <c r="X248" s="307">
        <v>0.28000000000000003</v>
      </c>
      <c r="Y248" s="307"/>
      <c r="Z248" s="304">
        <v>0.4</v>
      </c>
      <c r="AA248" s="431"/>
      <c r="AB248" s="233" t="str">
        <f t="shared" si="167"/>
        <v/>
      </c>
      <c r="AC248" s="233" t="str">
        <f t="shared" si="180"/>
        <v/>
      </c>
      <c r="AD248" s="233" t="str">
        <f t="shared" si="170"/>
        <v/>
      </c>
      <c r="AE248" s="233"/>
      <c r="AF248" s="448"/>
      <c r="AH248" s="306"/>
    </row>
    <row r="249" spans="1:84" s="113" customFormat="1">
      <c r="A249" s="113" t="s">
        <v>262</v>
      </c>
      <c r="B249" s="113" t="s">
        <v>383</v>
      </c>
      <c r="C249" s="114" t="s">
        <v>384</v>
      </c>
      <c r="D249" s="128" t="s">
        <v>87</v>
      </c>
      <c r="E249" s="127" t="s">
        <v>261</v>
      </c>
      <c r="F249" s="126">
        <v>8</v>
      </c>
      <c r="G249" s="126" t="s">
        <v>273</v>
      </c>
      <c r="H249" s="123">
        <v>691.42857142857144</v>
      </c>
      <c r="I249" s="125">
        <v>7.27</v>
      </c>
      <c r="J249" s="123">
        <v>4869</v>
      </c>
      <c r="K249" s="124">
        <v>0.01</v>
      </c>
      <c r="L249" s="123">
        <f t="shared" si="178"/>
        <v>4820.3100000000004</v>
      </c>
      <c r="M249" s="122">
        <f t="shared" si="179"/>
        <v>6.9715227272727276</v>
      </c>
      <c r="N249" s="118"/>
      <c r="O249" s="118"/>
      <c r="P249" s="118"/>
      <c r="Q249" s="118"/>
      <c r="R249" s="118"/>
      <c r="S249" s="153">
        <v>3.69</v>
      </c>
      <c r="T249" s="153"/>
      <c r="V249" s="115"/>
      <c r="W249" s="115"/>
      <c r="X249" s="120">
        <v>0.35</v>
      </c>
      <c r="Y249" s="120"/>
      <c r="Z249" s="118">
        <v>0.38</v>
      </c>
      <c r="AA249" s="430">
        <v>46107</v>
      </c>
      <c r="AB249" s="117">
        <f t="shared" si="167"/>
        <v>74.416666666666671</v>
      </c>
      <c r="AC249" s="117">
        <f t="shared" si="180"/>
        <v>26.045833333333334</v>
      </c>
      <c r="AD249" s="117">
        <f t="shared" si="170"/>
        <v>8.6347311468363159</v>
      </c>
      <c r="AE249" s="117"/>
      <c r="AF249" s="447"/>
      <c r="AH249" s="115" t="s">
        <v>269</v>
      </c>
      <c r="AI249" s="113">
        <v>79</v>
      </c>
      <c r="AJ249" s="113">
        <v>71</v>
      </c>
      <c r="AK249" s="113">
        <v>73</v>
      </c>
      <c r="AL249" s="113">
        <v>75</v>
      </c>
      <c r="AM249" s="113">
        <v>71</v>
      </c>
      <c r="AN249" s="113">
        <v>82</v>
      </c>
      <c r="AO249" s="113">
        <v>84</v>
      </c>
      <c r="AP249" s="113">
        <v>74</v>
      </c>
      <c r="AQ249" s="113">
        <v>69</v>
      </c>
      <c r="AR249" s="113">
        <v>77</v>
      </c>
      <c r="AS249" s="113">
        <v>68</v>
      </c>
      <c r="AT249" s="113">
        <v>70</v>
      </c>
    </row>
    <row r="250" spans="1:84" s="113" customFormat="1">
      <c r="A250" s="113" t="s">
        <v>262</v>
      </c>
      <c r="B250" s="113" t="s">
        <v>383</v>
      </c>
      <c r="C250" s="114" t="s">
        <v>384</v>
      </c>
      <c r="D250" s="128" t="s">
        <v>87</v>
      </c>
      <c r="E250" s="127" t="s">
        <v>261</v>
      </c>
      <c r="F250" s="126">
        <v>8</v>
      </c>
      <c r="G250" s="126" t="s">
        <v>273</v>
      </c>
      <c r="H250" s="123">
        <v>691.42857142857144</v>
      </c>
      <c r="I250" s="125">
        <v>7.27</v>
      </c>
      <c r="J250" s="123">
        <v>4869</v>
      </c>
      <c r="K250" s="124">
        <v>0.01</v>
      </c>
      <c r="L250" s="123">
        <f t="shared" si="178"/>
        <v>4820.3100000000004</v>
      </c>
      <c r="M250" s="122">
        <f t="shared" si="179"/>
        <v>6.9715227272727276</v>
      </c>
      <c r="N250" s="118"/>
      <c r="O250" s="118"/>
      <c r="P250" s="118"/>
      <c r="Q250" s="118"/>
      <c r="R250" s="118"/>
      <c r="S250" s="153">
        <v>3.69</v>
      </c>
      <c r="T250" s="153"/>
      <c r="U250" s="394"/>
      <c r="V250" s="115"/>
      <c r="W250" s="115"/>
      <c r="X250" s="120">
        <v>0.35</v>
      </c>
      <c r="Y250" s="120"/>
      <c r="Z250" s="118">
        <v>0.38</v>
      </c>
      <c r="AA250" s="430"/>
      <c r="AB250" s="117" t="str">
        <f t="shared" si="167"/>
        <v/>
      </c>
      <c r="AC250" s="117" t="str">
        <f t="shared" si="180"/>
        <v/>
      </c>
      <c r="AD250" s="117" t="str">
        <f t="shared" si="170"/>
        <v/>
      </c>
      <c r="AE250" s="117"/>
      <c r="AF250" s="447"/>
      <c r="AH250" s="115"/>
    </row>
    <row r="251" spans="1:84" s="113" customFormat="1">
      <c r="A251" s="113" t="s">
        <v>262</v>
      </c>
      <c r="B251" s="113" t="s">
        <v>383</v>
      </c>
      <c r="C251" s="114" t="s">
        <v>384</v>
      </c>
      <c r="D251" s="128" t="s">
        <v>87</v>
      </c>
      <c r="E251" s="127" t="s">
        <v>261</v>
      </c>
      <c r="F251" s="126">
        <v>8</v>
      </c>
      <c r="G251" s="126" t="s">
        <v>273</v>
      </c>
      <c r="H251" s="123">
        <v>691.42857142857144</v>
      </c>
      <c r="I251" s="125">
        <v>7.27</v>
      </c>
      <c r="J251" s="123">
        <v>4869</v>
      </c>
      <c r="K251" s="124">
        <v>0.01</v>
      </c>
      <c r="L251" s="123">
        <f t="shared" si="178"/>
        <v>4820.3100000000004</v>
      </c>
      <c r="M251" s="122">
        <f t="shared" si="179"/>
        <v>6.9715227272727276</v>
      </c>
      <c r="N251" s="118"/>
      <c r="O251" s="118"/>
      <c r="P251" s="118"/>
      <c r="Q251" s="118"/>
      <c r="R251" s="118"/>
      <c r="S251" s="153">
        <v>3.69</v>
      </c>
      <c r="T251" s="153"/>
      <c r="U251" s="394"/>
      <c r="V251" s="115"/>
      <c r="W251" s="115"/>
      <c r="X251" s="120">
        <v>0.35</v>
      </c>
      <c r="Y251" s="120"/>
      <c r="Z251" s="118">
        <v>0.38</v>
      </c>
      <c r="AA251" s="430"/>
      <c r="AB251" s="117" t="str">
        <f t="shared" si="167"/>
        <v/>
      </c>
      <c r="AC251" s="117" t="str">
        <f t="shared" si="180"/>
        <v/>
      </c>
      <c r="AD251" s="117" t="str">
        <f t="shared" si="170"/>
        <v/>
      </c>
      <c r="AE251" s="117"/>
      <c r="AF251" s="447"/>
      <c r="AH251" s="115"/>
    </row>
    <row r="252" spans="1:84" s="296" customFormat="1">
      <c r="A252" s="296" t="s">
        <v>262</v>
      </c>
      <c r="B252" s="296" t="s">
        <v>385</v>
      </c>
      <c r="C252" s="298" t="s">
        <v>386</v>
      </c>
      <c r="D252" s="299" t="s">
        <v>87</v>
      </c>
      <c r="E252" s="300" t="s">
        <v>261</v>
      </c>
      <c r="F252" s="297">
        <v>777</v>
      </c>
      <c r="G252" s="297" t="s">
        <v>273</v>
      </c>
      <c r="H252" s="301">
        <v>691.42857142857144</v>
      </c>
      <c r="I252" s="302">
        <v>7.06</v>
      </c>
      <c r="J252" s="301">
        <v>4876</v>
      </c>
      <c r="K252" s="237">
        <v>1.4999999999999999E-2</v>
      </c>
      <c r="L252" s="301">
        <f t="shared" si="178"/>
        <v>4802.8599999999997</v>
      </c>
      <c r="M252" s="303">
        <f t="shared" si="179"/>
        <v>6.9462851239669412</v>
      </c>
      <c r="N252" s="304"/>
      <c r="O252" s="304"/>
      <c r="P252" s="304"/>
      <c r="Q252" s="304">
        <v>4.71</v>
      </c>
      <c r="R252" s="304">
        <v>5.21</v>
      </c>
      <c r="S252" s="305">
        <v>7.19</v>
      </c>
      <c r="T252" s="305"/>
      <c r="U252" s="296" t="s">
        <v>245</v>
      </c>
      <c r="V252" s="306" t="s">
        <v>103</v>
      </c>
      <c r="W252" s="306"/>
      <c r="X252" s="307">
        <v>0.38</v>
      </c>
      <c r="Y252" s="307"/>
      <c r="Z252" s="304">
        <v>0.38</v>
      </c>
      <c r="AA252" s="431">
        <v>46107</v>
      </c>
      <c r="AB252" s="233">
        <f t="shared" si="167"/>
        <v>70.913043478260875</v>
      </c>
      <c r="AC252" s="233">
        <f t="shared" si="180"/>
        <v>26.946956521739132</v>
      </c>
      <c r="AD252" s="233">
        <f t="shared" si="170"/>
        <v>9.1658965722379602</v>
      </c>
      <c r="AE252" s="233"/>
      <c r="AF252" s="448"/>
      <c r="AH252" s="306" t="s">
        <v>269</v>
      </c>
      <c r="AI252" s="296">
        <v>70</v>
      </c>
      <c r="AJ252" s="296">
        <v>69</v>
      </c>
      <c r="AK252" s="296">
        <v>70</v>
      </c>
      <c r="AL252" s="296">
        <v>71</v>
      </c>
      <c r="AM252" s="296">
        <v>72</v>
      </c>
      <c r="AN252" s="296">
        <v>68</v>
      </c>
      <c r="AO252" s="296">
        <v>75</v>
      </c>
      <c r="AP252" s="296">
        <v>73</v>
      </c>
      <c r="AQ252" s="296">
        <v>70</v>
      </c>
      <c r="AR252" s="296">
        <v>69</v>
      </c>
      <c r="AS252" s="296">
        <v>58</v>
      </c>
      <c r="AT252" s="296">
        <v>71</v>
      </c>
      <c r="AU252" s="296">
        <v>80</v>
      </c>
      <c r="AV252" s="296">
        <v>73</v>
      </c>
      <c r="AW252" s="296">
        <v>85</v>
      </c>
      <c r="AX252" s="296">
        <v>80</v>
      </c>
      <c r="AY252" s="296">
        <v>64</v>
      </c>
      <c r="AZ252" s="296">
        <v>66</v>
      </c>
      <c r="BA252" s="296">
        <v>67</v>
      </c>
      <c r="BB252" s="296">
        <v>70</v>
      </c>
      <c r="BC252" s="296">
        <v>69</v>
      </c>
      <c r="BD252" s="296">
        <v>69</v>
      </c>
      <c r="BE252" s="296">
        <v>72</v>
      </c>
    </row>
    <row r="253" spans="1:84" s="296" customFormat="1">
      <c r="A253" s="296" t="s">
        <v>262</v>
      </c>
      <c r="B253" s="296" t="s">
        <v>385</v>
      </c>
      <c r="C253" s="298" t="s">
        <v>386</v>
      </c>
      <c r="D253" s="299" t="s">
        <v>87</v>
      </c>
      <c r="E253" s="300" t="s">
        <v>261</v>
      </c>
      <c r="F253" s="297">
        <v>777</v>
      </c>
      <c r="G253" s="297" t="s">
        <v>273</v>
      </c>
      <c r="H253" s="301">
        <v>691.42857142857144</v>
      </c>
      <c r="I253" s="302">
        <v>7.06</v>
      </c>
      <c r="J253" s="301">
        <v>4876</v>
      </c>
      <c r="K253" s="237">
        <v>1.4999999999999999E-2</v>
      </c>
      <c r="L253" s="301">
        <f t="shared" ref="L253" si="181">J253-(J253*K253)</f>
        <v>4802.8599999999997</v>
      </c>
      <c r="M253" s="303">
        <f t="shared" ref="M253" si="182">L253/H253</f>
        <v>6.9462851239669412</v>
      </c>
      <c r="N253" s="304"/>
      <c r="O253" s="304"/>
      <c r="P253" s="304"/>
      <c r="Q253" s="304">
        <v>4.71</v>
      </c>
      <c r="R253" s="304">
        <v>5.21</v>
      </c>
      <c r="S253" s="305">
        <v>7.19</v>
      </c>
      <c r="T253" s="305"/>
      <c r="V253" s="306"/>
      <c r="W253" s="306"/>
      <c r="X253" s="307">
        <v>0.38</v>
      </c>
      <c r="Y253" s="307"/>
      <c r="Z253" s="304">
        <v>0.38</v>
      </c>
      <c r="AA253" s="431">
        <v>46108</v>
      </c>
      <c r="AB253" s="233">
        <f t="shared" ref="AB253" si="183">IFERROR(AVERAGE(AI253:BG253),"")</f>
        <v>66.63636363636364</v>
      </c>
      <c r="AC253" s="233">
        <f t="shared" ref="AC253" si="184">IFERROR(AB253*X253,"")</f>
        <v>25.321818181818184</v>
      </c>
      <c r="AD253" s="233">
        <f t="shared" ref="AD253" si="185">IFERROR(((AC253*L253)/2000)/I253,"")</f>
        <v>8.6131124414112818</v>
      </c>
      <c r="AE253" s="233"/>
      <c r="AF253" s="448"/>
      <c r="AH253" s="306" t="s">
        <v>282</v>
      </c>
      <c r="AI253" s="296">
        <v>66</v>
      </c>
      <c r="AJ253" s="296">
        <v>67</v>
      </c>
      <c r="AK253" s="296">
        <v>74</v>
      </c>
      <c r="AL253" s="296">
        <v>64</v>
      </c>
      <c r="AM253" s="296">
        <v>69</v>
      </c>
      <c r="AN253" s="296">
        <v>62</v>
      </c>
      <c r="AO253" s="296">
        <v>72</v>
      </c>
      <c r="AP253" s="296">
        <v>63</v>
      </c>
      <c r="AQ253" s="296">
        <v>61</v>
      </c>
      <c r="AR253" s="296">
        <v>68</v>
      </c>
      <c r="AS253" s="296">
        <v>67</v>
      </c>
    </row>
    <row r="254" spans="1:84" s="296" customFormat="1">
      <c r="A254" s="296" t="s">
        <v>262</v>
      </c>
      <c r="B254" s="296" t="s">
        <v>385</v>
      </c>
      <c r="C254" s="298" t="s">
        <v>386</v>
      </c>
      <c r="D254" s="299" t="s">
        <v>87</v>
      </c>
      <c r="E254" s="300" t="s">
        <v>261</v>
      </c>
      <c r="F254" s="297">
        <v>777</v>
      </c>
      <c r="G254" s="297" t="s">
        <v>273</v>
      </c>
      <c r="H254" s="301">
        <v>691.42857142857144</v>
      </c>
      <c r="I254" s="302">
        <v>7.06</v>
      </c>
      <c r="J254" s="301">
        <v>4876</v>
      </c>
      <c r="K254" s="237">
        <v>1.4999999999999999E-2</v>
      </c>
      <c r="L254" s="301">
        <f t="shared" si="178"/>
        <v>4802.8599999999997</v>
      </c>
      <c r="M254" s="303">
        <f t="shared" si="179"/>
        <v>6.9462851239669412</v>
      </c>
      <c r="N254" s="304"/>
      <c r="O254" s="304"/>
      <c r="P254" s="304"/>
      <c r="Q254" s="304">
        <v>4.71</v>
      </c>
      <c r="R254" s="304">
        <v>5.21</v>
      </c>
      <c r="S254" s="305">
        <v>7.19</v>
      </c>
      <c r="T254" s="305"/>
      <c r="V254" s="306"/>
      <c r="W254" s="306"/>
      <c r="X254" s="307">
        <v>0.38</v>
      </c>
      <c r="Y254" s="307"/>
      <c r="Z254" s="304">
        <v>0.38</v>
      </c>
      <c r="AA254" s="431">
        <v>46176</v>
      </c>
      <c r="AB254" s="233">
        <f t="shared" si="167"/>
        <v>79.333333333333329</v>
      </c>
      <c r="AC254" s="233">
        <f t="shared" si="180"/>
        <v>30.146666666666665</v>
      </c>
      <c r="AD254" s="233">
        <f t="shared" si="170"/>
        <v>10.254264834749764</v>
      </c>
      <c r="AE254" s="233"/>
      <c r="AF254" s="448"/>
      <c r="AH254" s="306"/>
      <c r="AI254" s="296">
        <v>74</v>
      </c>
      <c r="AJ254" s="296">
        <v>80</v>
      </c>
      <c r="AK254" s="296">
        <v>73</v>
      </c>
      <c r="AL254" s="296">
        <v>85</v>
      </c>
      <c r="AM254" s="296">
        <v>79</v>
      </c>
      <c r="AN254" s="296">
        <v>86</v>
      </c>
      <c r="AO254" s="296">
        <v>76</v>
      </c>
      <c r="AP254" s="296">
        <v>75</v>
      </c>
      <c r="AQ254" s="296">
        <v>89</v>
      </c>
      <c r="AR254" s="296">
        <v>80</v>
      </c>
      <c r="AS254" s="296">
        <v>76</v>
      </c>
      <c r="AT254" s="296">
        <v>79</v>
      </c>
    </row>
    <row r="255" spans="1:84" s="296" customFormat="1">
      <c r="A255" s="296" t="s">
        <v>262</v>
      </c>
      <c r="B255" s="296" t="s">
        <v>385</v>
      </c>
      <c r="C255" s="298" t="s">
        <v>386</v>
      </c>
      <c r="D255" s="299" t="s">
        <v>87</v>
      </c>
      <c r="E255" s="300" t="s">
        <v>261</v>
      </c>
      <c r="F255" s="297">
        <v>777</v>
      </c>
      <c r="G255" s="297" t="s">
        <v>273</v>
      </c>
      <c r="H255" s="301">
        <v>691.42857142857144</v>
      </c>
      <c r="I255" s="302">
        <v>7.06</v>
      </c>
      <c r="J255" s="301">
        <v>4876</v>
      </c>
      <c r="K255" s="237">
        <v>1.4999999999999999E-2</v>
      </c>
      <c r="L255" s="301">
        <f t="shared" ref="L255" si="186">J255-(J255*K255)</f>
        <v>4802.8599999999997</v>
      </c>
      <c r="M255" s="303">
        <f t="shared" ref="M255" si="187">L255/H255</f>
        <v>6.9462851239669412</v>
      </c>
      <c r="N255" s="304"/>
      <c r="O255" s="304"/>
      <c r="P255" s="304"/>
      <c r="Q255" s="304">
        <v>4.71</v>
      </c>
      <c r="R255" s="304">
        <v>5.21</v>
      </c>
      <c r="S255" s="305">
        <v>7.19</v>
      </c>
      <c r="T255" s="305"/>
      <c r="V255" s="306"/>
      <c r="W255" s="306"/>
      <c r="X255" s="307">
        <v>0.38</v>
      </c>
      <c r="Y255" s="307"/>
      <c r="Z255" s="304">
        <v>0.38</v>
      </c>
      <c r="AA255" s="431">
        <v>46209</v>
      </c>
      <c r="AB255" s="233">
        <f t="shared" ref="AB255" si="188">IFERROR(AVERAGE(AI255:BG255),"")</f>
        <v>57.846153846153847</v>
      </c>
      <c r="AC255" s="233">
        <f t="shared" ref="AC255" si="189">IFERROR(AB255*X255,"")</f>
        <v>21.981538461538463</v>
      </c>
      <c r="AD255" s="233">
        <f t="shared" ref="AD255" si="190">IFERROR(((AC255*L255)/2000)/I255,"")</f>
        <v>7.4769300152538678</v>
      </c>
      <c r="AE255" s="233"/>
      <c r="AF255" s="448"/>
      <c r="AG255" s="296" t="s">
        <v>387</v>
      </c>
      <c r="AH255" s="306"/>
      <c r="AI255" s="296">
        <v>64</v>
      </c>
      <c r="AJ255" s="296">
        <v>56</v>
      </c>
      <c r="AK255" s="296">
        <v>62</v>
      </c>
      <c r="AL255" s="296">
        <v>53</v>
      </c>
      <c r="AM255" s="296">
        <v>57</v>
      </c>
      <c r="AN255" s="296">
        <v>61</v>
      </c>
      <c r="AO255" s="296">
        <v>52</v>
      </c>
      <c r="AP255" s="296">
        <v>58</v>
      </c>
      <c r="AQ255" s="296">
        <v>63</v>
      </c>
      <c r="AR255" s="296">
        <v>59</v>
      </c>
      <c r="AS255" s="296">
        <v>54</v>
      </c>
      <c r="AT255" s="296">
        <v>57</v>
      </c>
      <c r="AU255" s="296">
        <v>56</v>
      </c>
    </row>
    <row r="256" spans="1:84" s="113" customFormat="1">
      <c r="A256" s="113" t="s">
        <v>262</v>
      </c>
      <c r="B256" s="113" t="s">
        <v>388</v>
      </c>
      <c r="C256" s="114" t="s">
        <v>389</v>
      </c>
      <c r="D256" s="128"/>
      <c r="E256" s="127" t="s">
        <v>148</v>
      </c>
      <c r="F256" s="126"/>
      <c r="G256" s="126"/>
      <c r="H256" s="123">
        <v>792</v>
      </c>
      <c r="I256" s="125">
        <v>13.77</v>
      </c>
      <c r="J256" s="123">
        <v>7076</v>
      </c>
      <c r="K256" s="22">
        <v>0</v>
      </c>
      <c r="L256" s="19">
        <f t="shared" ref="L256" si="191">J256-(J256*K256)</f>
        <v>7076</v>
      </c>
      <c r="M256" s="60">
        <f t="shared" ref="M256" si="192">L256/H256</f>
        <v>8.9343434343434343</v>
      </c>
      <c r="N256" s="118"/>
      <c r="O256" s="118"/>
      <c r="P256" s="118"/>
      <c r="Q256" s="118"/>
      <c r="R256" s="118"/>
      <c r="S256" s="153"/>
      <c r="T256" s="153"/>
      <c r="V256" s="115"/>
      <c r="W256" s="115"/>
      <c r="X256" s="120">
        <v>0.34</v>
      </c>
      <c r="Y256" s="120"/>
      <c r="Z256" s="118">
        <v>0.34</v>
      </c>
      <c r="AA256" s="430">
        <v>46174</v>
      </c>
      <c r="AB256" s="117">
        <f t="shared" si="167"/>
        <v>55.466666666666669</v>
      </c>
      <c r="AC256" s="117">
        <f t="shared" si="180"/>
        <v>18.858666666666668</v>
      </c>
      <c r="AD256" s="117">
        <f t="shared" si="170"/>
        <v>4.8454584362139919</v>
      </c>
      <c r="AE256" s="117"/>
      <c r="AF256" s="447"/>
      <c r="AH256" s="115"/>
      <c r="AI256" s="113">
        <v>55</v>
      </c>
      <c r="AJ256" s="113">
        <v>48</v>
      </c>
      <c r="AK256" s="113">
        <v>31</v>
      </c>
      <c r="AL256" s="113">
        <v>38</v>
      </c>
      <c r="AM256" s="113">
        <v>33</v>
      </c>
      <c r="AN256" s="113">
        <v>71</v>
      </c>
      <c r="AO256" s="113">
        <v>62</v>
      </c>
      <c r="AP256" s="113">
        <v>60</v>
      </c>
      <c r="AQ256" s="113">
        <v>49</v>
      </c>
      <c r="AR256" s="113">
        <v>75</v>
      </c>
      <c r="AS256" s="113">
        <v>67</v>
      </c>
      <c r="AT256" s="113">
        <v>59</v>
      </c>
      <c r="AU256" s="113">
        <v>70</v>
      </c>
      <c r="AV256" s="113">
        <v>65</v>
      </c>
      <c r="AW256" s="113">
        <v>49</v>
      </c>
    </row>
    <row r="257" spans="1:58" s="296" customFormat="1">
      <c r="A257" s="296" t="s">
        <v>262</v>
      </c>
      <c r="B257" s="296" t="s">
        <v>390</v>
      </c>
      <c r="C257" s="298" t="s">
        <v>391</v>
      </c>
      <c r="D257" s="299"/>
      <c r="E257" s="300"/>
      <c r="F257" s="297"/>
      <c r="G257" s="297"/>
      <c r="H257" s="301"/>
      <c r="I257" s="302"/>
      <c r="J257" s="301"/>
      <c r="K257" s="237"/>
      <c r="L257" s="301"/>
      <c r="M257" s="303"/>
      <c r="N257" s="304"/>
      <c r="O257" s="304"/>
      <c r="P257" s="304"/>
      <c r="Q257" s="304"/>
      <c r="R257" s="304"/>
      <c r="S257" s="305"/>
      <c r="T257" s="305"/>
      <c r="V257" s="306"/>
      <c r="W257" s="306"/>
      <c r="X257" s="307"/>
      <c r="Y257" s="307"/>
      <c r="Z257" s="304"/>
      <c r="AA257" s="431"/>
      <c r="AB257" s="233"/>
      <c r="AC257" s="233"/>
      <c r="AD257" s="233" t="str">
        <f t="shared" si="170"/>
        <v/>
      </c>
      <c r="AE257" s="233"/>
      <c r="AF257" s="448"/>
      <c r="AH257" s="306"/>
    </row>
    <row r="258" spans="1:58" s="113" customFormat="1">
      <c r="A258" s="113" t="s">
        <v>262</v>
      </c>
      <c r="B258" s="113" t="s">
        <v>392</v>
      </c>
      <c r="C258" s="114" t="s">
        <v>393</v>
      </c>
      <c r="D258" s="128" t="s">
        <v>87</v>
      </c>
      <c r="E258" s="127" t="s">
        <v>330</v>
      </c>
      <c r="F258" s="126" t="s">
        <v>394</v>
      </c>
      <c r="G258" s="126" t="s">
        <v>273</v>
      </c>
      <c r="H258" s="123">
        <v>726</v>
      </c>
      <c r="I258" s="125">
        <v>19.86</v>
      </c>
      <c r="J258" s="123">
        <v>14099</v>
      </c>
      <c r="K258" s="124">
        <v>0.05</v>
      </c>
      <c r="L258" s="123">
        <f>J258-(J258*K258)</f>
        <v>13394.05</v>
      </c>
      <c r="M258" s="122">
        <f>L258/H258</f>
        <v>18.449104683195593</v>
      </c>
      <c r="N258" s="118"/>
      <c r="O258" s="118"/>
      <c r="P258" s="118"/>
      <c r="Q258" s="118"/>
      <c r="R258" s="118"/>
      <c r="S258" s="153">
        <v>15.13</v>
      </c>
      <c r="T258" s="153"/>
      <c r="U258" s="113" t="s">
        <v>268</v>
      </c>
      <c r="V258" s="115" t="s">
        <v>214</v>
      </c>
      <c r="W258" s="115"/>
      <c r="X258" s="120">
        <v>0.45</v>
      </c>
      <c r="Y258" s="120"/>
      <c r="Z258" s="118">
        <v>0.55000000000000004</v>
      </c>
      <c r="AA258" s="430">
        <v>46106</v>
      </c>
      <c r="AB258" s="117">
        <f t="shared" ref="AB258:AB262" si="193">IFERROR(AVERAGE(AI258:BG258),"")</f>
        <v>87.166666666666671</v>
      </c>
      <c r="AC258" s="117">
        <f>IFERROR(AB258*X258,"")</f>
        <v>39.225000000000001</v>
      </c>
      <c r="AD258" s="117">
        <f t="shared" si="170"/>
        <v>13.227130192598187</v>
      </c>
      <c r="AE258" s="117"/>
      <c r="AF258" s="447"/>
      <c r="AH258" s="115" t="s">
        <v>269</v>
      </c>
      <c r="AI258" s="113">
        <v>101</v>
      </c>
      <c r="AJ258" s="113">
        <v>75</v>
      </c>
      <c r="AK258" s="113">
        <v>94</v>
      </c>
      <c r="AL258" s="113">
        <v>78</v>
      </c>
      <c r="AM258" s="113">
        <v>93</v>
      </c>
      <c r="AN258" s="113">
        <v>79</v>
      </c>
      <c r="AO258" s="113">
        <v>81</v>
      </c>
      <c r="AP258" s="113">
        <v>96</v>
      </c>
      <c r="AQ258" s="113">
        <v>72</v>
      </c>
      <c r="AR258" s="113">
        <v>95</v>
      </c>
      <c r="AS258" s="113">
        <v>89</v>
      </c>
      <c r="AT258" s="113">
        <v>93</v>
      </c>
    </row>
    <row r="259" spans="1:58" s="113" customFormat="1">
      <c r="A259" s="113" t="s">
        <v>262</v>
      </c>
      <c r="B259" s="113" t="s">
        <v>392</v>
      </c>
      <c r="C259" s="114" t="s">
        <v>393</v>
      </c>
      <c r="D259" s="128" t="s">
        <v>87</v>
      </c>
      <c r="E259" s="127" t="s">
        <v>330</v>
      </c>
      <c r="F259" s="126" t="s">
        <v>394</v>
      </c>
      <c r="G259" s="126" t="s">
        <v>273</v>
      </c>
      <c r="H259" s="123">
        <v>726</v>
      </c>
      <c r="I259" s="125">
        <v>19.86</v>
      </c>
      <c r="J259" s="123">
        <v>14099</v>
      </c>
      <c r="K259" s="124">
        <v>0.05</v>
      </c>
      <c r="L259" s="123">
        <f>J259-(J259*K259)</f>
        <v>13394.05</v>
      </c>
      <c r="M259" s="122">
        <f>L259/H259</f>
        <v>18.449104683195593</v>
      </c>
      <c r="N259" s="118"/>
      <c r="O259" s="118"/>
      <c r="P259" s="118"/>
      <c r="Q259" s="118"/>
      <c r="R259" s="118"/>
      <c r="S259" s="153">
        <v>15.13</v>
      </c>
      <c r="T259" s="153"/>
      <c r="U259" s="113" t="s">
        <v>268</v>
      </c>
      <c r="V259" s="115" t="s">
        <v>103</v>
      </c>
      <c r="W259" s="115"/>
      <c r="X259" s="120">
        <v>0.45</v>
      </c>
      <c r="Y259" s="120"/>
      <c r="Z259" s="118">
        <v>0.55000000000000004</v>
      </c>
      <c r="AA259" s="430">
        <v>46109</v>
      </c>
      <c r="AB259" s="117">
        <f t="shared" si="193"/>
        <v>81.666666666666671</v>
      </c>
      <c r="AC259" s="117">
        <f>IFERROR(AB259*X259,"")</f>
        <v>36.75</v>
      </c>
      <c r="AD259" s="117">
        <f t="shared" si="170"/>
        <v>12.392531155589122</v>
      </c>
      <c r="AE259" s="117"/>
      <c r="AF259" s="447"/>
      <c r="AH259" s="115" t="s">
        <v>269</v>
      </c>
      <c r="AI259" s="113">
        <v>69</v>
      </c>
      <c r="AJ259" s="113">
        <v>86</v>
      </c>
      <c r="AK259" s="113">
        <v>77</v>
      </c>
      <c r="AL259" s="113">
        <v>78</v>
      </c>
      <c r="AM259" s="113">
        <v>82</v>
      </c>
      <c r="AN259" s="113">
        <v>82</v>
      </c>
      <c r="AO259" s="113">
        <v>76</v>
      </c>
      <c r="AP259" s="113">
        <v>89</v>
      </c>
      <c r="AQ259" s="113">
        <v>76</v>
      </c>
      <c r="AR259" s="113">
        <v>84</v>
      </c>
      <c r="AS259" s="113">
        <v>82</v>
      </c>
      <c r="AT259" s="113">
        <v>76</v>
      </c>
      <c r="AU259" s="113">
        <v>86</v>
      </c>
      <c r="AV259" s="113">
        <v>88</v>
      </c>
      <c r="AW259" s="113">
        <v>90</v>
      </c>
      <c r="AX259" s="113">
        <v>83</v>
      </c>
      <c r="AY259" s="113">
        <v>82</v>
      </c>
      <c r="AZ259" s="113">
        <v>71</v>
      </c>
      <c r="BA259" s="113">
        <v>84</v>
      </c>
      <c r="BB259" s="113">
        <v>90</v>
      </c>
      <c r="BC259" s="113">
        <v>94</v>
      </c>
      <c r="BD259" s="113">
        <v>84</v>
      </c>
      <c r="BE259" s="113">
        <v>75</v>
      </c>
      <c r="BF259" s="113">
        <v>76</v>
      </c>
    </row>
    <row r="260" spans="1:58" s="113" customFormat="1">
      <c r="A260" s="113" t="s">
        <v>262</v>
      </c>
      <c r="B260" s="113" t="s">
        <v>392</v>
      </c>
      <c r="C260" s="114" t="s">
        <v>393</v>
      </c>
      <c r="D260" s="128" t="s">
        <v>87</v>
      </c>
      <c r="E260" s="127" t="s">
        <v>330</v>
      </c>
      <c r="F260" s="126" t="s">
        <v>394</v>
      </c>
      <c r="G260" s="126" t="s">
        <v>273</v>
      </c>
      <c r="H260" s="123">
        <v>726</v>
      </c>
      <c r="I260" s="125">
        <v>19.86</v>
      </c>
      <c r="J260" s="123">
        <v>14099</v>
      </c>
      <c r="K260" s="124">
        <v>0.05</v>
      </c>
      <c r="L260" s="123">
        <f>J260-(J260*K260)</f>
        <v>13394.05</v>
      </c>
      <c r="M260" s="122">
        <f>L260/H260</f>
        <v>18.449104683195593</v>
      </c>
      <c r="N260" s="118"/>
      <c r="O260" s="118"/>
      <c r="P260" s="118"/>
      <c r="Q260" s="118"/>
      <c r="R260" s="118"/>
      <c r="S260" s="153">
        <v>15.13</v>
      </c>
      <c r="T260" s="153"/>
      <c r="U260" s="113" t="s">
        <v>106</v>
      </c>
      <c r="V260" s="115" t="s">
        <v>103</v>
      </c>
      <c r="W260" s="115"/>
      <c r="X260" s="120">
        <v>0.45</v>
      </c>
      <c r="Y260" s="120"/>
      <c r="Z260" s="118">
        <v>0.55000000000000004</v>
      </c>
      <c r="AA260" s="430">
        <v>46108</v>
      </c>
      <c r="AB260" s="117">
        <f t="shared" si="193"/>
        <v>78.541666666666671</v>
      </c>
      <c r="AC260" s="117">
        <f>IFERROR(AB260*X260,"")</f>
        <v>35.34375</v>
      </c>
      <c r="AD260" s="117">
        <f t="shared" si="170"/>
        <v>11.91832715728852</v>
      </c>
      <c r="AE260" s="117"/>
      <c r="AF260" s="447"/>
      <c r="AH260" s="115" t="s">
        <v>282</v>
      </c>
      <c r="AI260" s="113">
        <v>79</v>
      </c>
      <c r="AJ260" s="113">
        <v>83</v>
      </c>
      <c r="AK260" s="113">
        <v>77</v>
      </c>
      <c r="AL260" s="113">
        <v>72</v>
      </c>
      <c r="AM260" s="113">
        <v>81</v>
      </c>
      <c r="AN260" s="113">
        <v>72</v>
      </c>
      <c r="AO260" s="113">
        <v>81</v>
      </c>
      <c r="AP260" s="113">
        <v>72</v>
      </c>
      <c r="AQ260" s="113">
        <v>74</v>
      </c>
      <c r="AR260" s="113">
        <v>78</v>
      </c>
      <c r="AS260" s="113">
        <v>84</v>
      </c>
      <c r="AT260" s="113">
        <v>77</v>
      </c>
      <c r="AU260" s="113">
        <v>89</v>
      </c>
      <c r="AV260" s="113">
        <v>78</v>
      </c>
      <c r="AW260" s="113">
        <v>73</v>
      </c>
      <c r="AX260" s="113">
        <v>74</v>
      </c>
      <c r="AY260" s="113">
        <v>78</v>
      </c>
      <c r="AZ260" s="113">
        <v>81</v>
      </c>
      <c r="BA260" s="113">
        <v>79</v>
      </c>
      <c r="BB260" s="113">
        <v>84</v>
      </c>
      <c r="BC260" s="113">
        <v>76</v>
      </c>
      <c r="BD260" s="113">
        <v>83</v>
      </c>
      <c r="BE260" s="113">
        <v>82</v>
      </c>
      <c r="BF260" s="113">
        <v>78</v>
      </c>
    </row>
    <row r="261" spans="1:58" s="113" customFormat="1">
      <c r="A261" s="113" t="s">
        <v>262</v>
      </c>
      <c r="B261" s="113" t="s">
        <v>392</v>
      </c>
      <c r="C261" s="114" t="s">
        <v>393</v>
      </c>
      <c r="D261" s="128" t="s">
        <v>87</v>
      </c>
      <c r="E261" s="127" t="s">
        <v>330</v>
      </c>
      <c r="F261" s="126" t="s">
        <v>394</v>
      </c>
      <c r="G261" s="126" t="s">
        <v>273</v>
      </c>
      <c r="H261" s="123">
        <v>726</v>
      </c>
      <c r="I261" s="125">
        <v>19.86</v>
      </c>
      <c r="J261" s="123">
        <v>14099</v>
      </c>
      <c r="K261" s="124">
        <v>0.05</v>
      </c>
      <c r="L261" s="123">
        <f>J261-(J261*K261)</f>
        <v>13394.05</v>
      </c>
      <c r="M261" s="122">
        <f>L261/H261</f>
        <v>18.449104683195593</v>
      </c>
      <c r="N261" s="118"/>
      <c r="O261" s="118"/>
      <c r="P261" s="118"/>
      <c r="Q261" s="118"/>
      <c r="R261" s="118"/>
      <c r="S261" s="153">
        <v>15.13</v>
      </c>
      <c r="T261" s="153"/>
      <c r="U261" s="113" t="s">
        <v>106</v>
      </c>
      <c r="V261" s="115" t="s">
        <v>103</v>
      </c>
      <c r="W261" s="115"/>
      <c r="X261" s="120">
        <v>0.45</v>
      </c>
      <c r="Y261" s="120"/>
      <c r="Z261" s="118">
        <v>0.55000000000000004</v>
      </c>
      <c r="AA261" s="430">
        <v>46139</v>
      </c>
      <c r="AB261" s="117">
        <f t="shared" ref="AB261" si="194">IFERROR(AVERAGE(AI261:BG261),"")</f>
        <v>73.533333333333331</v>
      </c>
      <c r="AC261" s="117">
        <f>IFERROR(AB261*X261,"")</f>
        <v>33.090000000000003</v>
      </c>
      <c r="AD261" s="117">
        <f t="shared" ref="AD261" si="195">IFERROR(((AC261*L261)/2000)/I261,"")</f>
        <v>11.158336216012085</v>
      </c>
      <c r="AE261" s="117"/>
      <c r="AF261" s="447"/>
      <c r="AH261" s="115" t="s">
        <v>91</v>
      </c>
      <c r="AI261" s="113">
        <v>60</v>
      </c>
      <c r="AJ261" s="113">
        <v>85</v>
      </c>
      <c r="AK261" s="113">
        <v>83</v>
      </c>
      <c r="AL261" s="113">
        <v>72</v>
      </c>
      <c r="AM261" s="113">
        <v>74</v>
      </c>
      <c r="AN261" s="113">
        <v>85</v>
      </c>
      <c r="AO261" s="113">
        <v>68</v>
      </c>
      <c r="AP261" s="113">
        <v>58</v>
      </c>
      <c r="AQ261" s="113">
        <v>74</v>
      </c>
      <c r="AR261" s="113">
        <v>72</v>
      </c>
      <c r="AS261" s="113">
        <v>73</v>
      </c>
      <c r="AT261" s="113">
        <v>70</v>
      </c>
      <c r="AU261" s="113">
        <v>75</v>
      </c>
      <c r="AV261" s="113">
        <v>69</v>
      </c>
      <c r="AW261" s="113">
        <v>85</v>
      </c>
    </row>
    <row r="262" spans="1:58" s="113" customFormat="1">
      <c r="A262" s="113" t="s">
        <v>262</v>
      </c>
      <c r="B262" s="113" t="s">
        <v>392</v>
      </c>
      <c r="C262" s="114" t="s">
        <v>393</v>
      </c>
      <c r="D262" s="128" t="s">
        <v>87</v>
      </c>
      <c r="E262" s="127" t="s">
        <v>330</v>
      </c>
      <c r="F262" s="126" t="s">
        <v>394</v>
      </c>
      <c r="G262" s="126" t="s">
        <v>273</v>
      </c>
      <c r="H262" s="123">
        <v>726</v>
      </c>
      <c r="I262" s="125">
        <v>19.86</v>
      </c>
      <c r="J262" s="123">
        <v>14099</v>
      </c>
      <c r="K262" s="124">
        <v>0.05</v>
      </c>
      <c r="L262" s="123">
        <f>J262-(J262*K262)</f>
        <v>13394.05</v>
      </c>
      <c r="M262" s="122">
        <f>L262/H262</f>
        <v>18.449104683195593</v>
      </c>
      <c r="N262" s="118"/>
      <c r="O262" s="118"/>
      <c r="P262" s="118"/>
      <c r="Q262" s="118"/>
      <c r="R262" s="118"/>
      <c r="S262" s="153">
        <v>15.13</v>
      </c>
      <c r="T262" s="153"/>
      <c r="V262" s="115"/>
      <c r="W262" s="115"/>
      <c r="X262" s="120">
        <v>0.45</v>
      </c>
      <c r="Y262" s="120"/>
      <c r="Z262" s="118">
        <v>0.55000000000000004</v>
      </c>
      <c r="AA262" s="430"/>
      <c r="AB262" s="117" t="str">
        <f t="shared" si="193"/>
        <v/>
      </c>
      <c r="AC262" s="117" t="str">
        <f>IFERROR(AB262*X262,"")</f>
        <v/>
      </c>
      <c r="AD262" s="117" t="str">
        <f t="shared" si="170"/>
        <v/>
      </c>
      <c r="AE262" s="117"/>
      <c r="AF262" s="447"/>
      <c r="AH262" s="115"/>
    </row>
    <row r="263" spans="1:58" s="296" customFormat="1">
      <c r="A263" s="296" t="s">
        <v>262</v>
      </c>
      <c r="B263" s="296" t="s">
        <v>395</v>
      </c>
      <c r="C263" s="298" t="s">
        <v>396</v>
      </c>
      <c r="D263" s="299"/>
      <c r="E263" s="300"/>
      <c r="F263" s="297"/>
      <c r="G263" s="297"/>
      <c r="H263" s="301"/>
      <c r="I263" s="302"/>
      <c r="J263" s="301"/>
      <c r="K263" s="237"/>
      <c r="L263" s="301"/>
      <c r="M263" s="303"/>
      <c r="N263" s="304"/>
      <c r="O263" s="304"/>
      <c r="P263" s="304"/>
      <c r="Q263" s="304"/>
      <c r="R263" s="304"/>
      <c r="S263" s="305"/>
      <c r="T263" s="305"/>
      <c r="V263" s="306"/>
      <c r="W263" s="306"/>
      <c r="X263" s="307"/>
      <c r="Y263" s="307"/>
      <c r="Z263" s="304"/>
      <c r="AA263" s="431"/>
      <c r="AB263" s="233"/>
      <c r="AC263" s="233"/>
      <c r="AD263" s="233" t="str">
        <f t="shared" si="170"/>
        <v/>
      </c>
      <c r="AE263" s="233"/>
      <c r="AF263" s="448"/>
      <c r="AH263" s="306"/>
    </row>
    <row r="264" spans="1:58" s="113" customFormat="1">
      <c r="A264" s="113" t="s">
        <v>262</v>
      </c>
      <c r="B264" s="113" t="s">
        <v>397</v>
      </c>
      <c r="C264" s="114" t="s">
        <v>398</v>
      </c>
      <c r="D264" s="128"/>
      <c r="E264" s="127"/>
      <c r="F264" s="126"/>
      <c r="G264" s="126"/>
      <c r="H264" s="123"/>
      <c r="I264" s="125"/>
      <c r="J264" s="123"/>
      <c r="K264" s="124"/>
      <c r="L264" s="123"/>
      <c r="M264" s="122"/>
      <c r="N264" s="118"/>
      <c r="O264" s="118"/>
      <c r="P264" s="118"/>
      <c r="Q264" s="118"/>
      <c r="R264" s="118"/>
      <c r="S264" s="153"/>
      <c r="T264" s="153"/>
      <c r="V264" s="115"/>
      <c r="W264" s="115"/>
      <c r="X264" s="120"/>
      <c r="Y264" s="120"/>
      <c r="Z264" s="118"/>
      <c r="AA264" s="430"/>
      <c r="AB264" s="117"/>
      <c r="AC264" s="117"/>
      <c r="AD264" s="117" t="str">
        <f t="shared" si="170"/>
        <v/>
      </c>
      <c r="AE264" s="117"/>
      <c r="AF264" s="447"/>
      <c r="AH264" s="115"/>
    </row>
    <row r="265" spans="1:58" s="296" customFormat="1">
      <c r="A265" s="296" t="s">
        <v>262</v>
      </c>
      <c r="B265" s="296" t="s">
        <v>399</v>
      </c>
      <c r="C265" s="298" t="s">
        <v>400</v>
      </c>
      <c r="D265" s="299" t="s">
        <v>87</v>
      </c>
      <c r="E265" s="300" t="s">
        <v>330</v>
      </c>
      <c r="F265" s="297"/>
      <c r="G265" s="297"/>
      <c r="H265" s="301">
        <v>660</v>
      </c>
      <c r="I265" s="302">
        <v>3.03</v>
      </c>
      <c r="J265" s="301">
        <v>1954</v>
      </c>
      <c r="K265" s="237"/>
      <c r="L265" s="301">
        <f t="shared" ref="L265:L304" si="196">J265-(J265*K265)</f>
        <v>1954</v>
      </c>
      <c r="M265" s="303">
        <f t="shared" ref="M265:M304" si="197">L265/H265</f>
        <v>2.9606060606060605</v>
      </c>
      <c r="N265" s="304">
        <v>7.18</v>
      </c>
      <c r="O265" s="304">
        <v>11.11</v>
      </c>
      <c r="P265" s="304">
        <v>10.97</v>
      </c>
      <c r="Q265" s="304">
        <v>10.36</v>
      </c>
      <c r="R265" s="304">
        <v>9.9</v>
      </c>
      <c r="S265" s="305">
        <v>7.7</v>
      </c>
      <c r="T265" s="305"/>
      <c r="V265" s="306"/>
      <c r="W265" s="306"/>
      <c r="X265" s="307"/>
      <c r="Y265" s="307"/>
      <c r="Z265" s="304">
        <v>0.55000000000000004</v>
      </c>
      <c r="AA265" s="431"/>
      <c r="AB265" s="233" t="str">
        <f t="shared" ref="AB265:AB349" si="198">IFERROR(AVERAGE(AI265:BG265),"")</f>
        <v/>
      </c>
      <c r="AC265" s="233" t="str">
        <f t="shared" ref="AC265:AC304" si="199">IFERROR(AB265*X265,"")</f>
        <v/>
      </c>
      <c r="AD265" s="233" t="str">
        <f t="shared" si="170"/>
        <v/>
      </c>
      <c r="AE265" s="233"/>
      <c r="AF265" s="448"/>
      <c r="AH265" s="306"/>
    </row>
    <row r="266" spans="1:58" s="113" customFormat="1">
      <c r="A266" s="113" t="s">
        <v>262</v>
      </c>
      <c r="B266" s="113" t="s">
        <v>401</v>
      </c>
      <c r="C266" s="114" t="s">
        <v>402</v>
      </c>
      <c r="D266" s="128" t="s">
        <v>87</v>
      </c>
      <c r="E266" s="127" t="s">
        <v>330</v>
      </c>
      <c r="F266" s="126"/>
      <c r="G266" s="126" t="s">
        <v>204</v>
      </c>
      <c r="H266" s="123">
        <v>660</v>
      </c>
      <c r="I266" s="125">
        <v>22.93</v>
      </c>
      <c r="J266" s="123">
        <v>14817</v>
      </c>
      <c r="K266" s="124"/>
      <c r="L266" s="123">
        <f t="shared" si="196"/>
        <v>14817</v>
      </c>
      <c r="M266" s="122">
        <f t="shared" si="197"/>
        <v>22.45</v>
      </c>
      <c r="N266" s="118">
        <v>11.65</v>
      </c>
      <c r="O266" s="118">
        <v>12.13</v>
      </c>
      <c r="P266" s="118">
        <v>15.66</v>
      </c>
      <c r="Q266" s="118">
        <v>12.15</v>
      </c>
      <c r="R266" s="118">
        <v>14.3</v>
      </c>
      <c r="S266" s="153">
        <v>11.08</v>
      </c>
      <c r="T266" s="153"/>
      <c r="U266" s="113" t="s">
        <v>403</v>
      </c>
      <c r="V266" s="115" t="s">
        <v>214</v>
      </c>
      <c r="W266" s="115"/>
      <c r="X266" s="120">
        <v>0.5</v>
      </c>
      <c r="Y266" s="120"/>
      <c r="Z266" s="118">
        <v>0.55000000000000004</v>
      </c>
      <c r="AA266" s="430">
        <v>46106</v>
      </c>
      <c r="AB266" s="117">
        <f t="shared" si="198"/>
        <v>98</v>
      </c>
      <c r="AC266" s="117">
        <f t="shared" si="199"/>
        <v>49</v>
      </c>
      <c r="AD266" s="117">
        <f t="shared" si="170"/>
        <v>15.831508940252943</v>
      </c>
      <c r="AE266" s="117"/>
      <c r="AF266" s="447"/>
      <c r="AH266" s="115" t="s">
        <v>269</v>
      </c>
      <c r="AI266" s="113">
        <v>102</v>
      </c>
      <c r="AJ266" s="113">
        <v>95</v>
      </c>
      <c r="AK266" s="113">
        <v>101</v>
      </c>
      <c r="AL266" s="113">
        <v>101</v>
      </c>
      <c r="AM266" s="113">
        <v>101</v>
      </c>
      <c r="AN266" s="113">
        <v>97</v>
      </c>
      <c r="AO266" s="113">
        <v>82</v>
      </c>
      <c r="AP266" s="113">
        <v>93</v>
      </c>
      <c r="AQ266" s="113">
        <v>100</v>
      </c>
      <c r="AR266" s="113">
        <v>99</v>
      </c>
      <c r="AS266" s="113">
        <v>103</v>
      </c>
      <c r="AT266" s="113">
        <v>102</v>
      </c>
    </row>
    <row r="267" spans="1:58" s="113" customFormat="1">
      <c r="A267" s="113" t="s">
        <v>262</v>
      </c>
      <c r="B267" s="113" t="s">
        <v>401</v>
      </c>
      <c r="C267" s="114" t="s">
        <v>402</v>
      </c>
      <c r="D267" s="128" t="s">
        <v>87</v>
      </c>
      <c r="E267" s="127" t="s">
        <v>330</v>
      </c>
      <c r="F267" s="126"/>
      <c r="G267" s="126" t="s">
        <v>204</v>
      </c>
      <c r="H267" s="123">
        <v>660</v>
      </c>
      <c r="I267" s="125">
        <v>22.93</v>
      </c>
      <c r="J267" s="123">
        <v>14817</v>
      </c>
      <c r="K267" s="124"/>
      <c r="L267" s="123">
        <f t="shared" si="196"/>
        <v>14817</v>
      </c>
      <c r="M267" s="122">
        <f t="shared" si="197"/>
        <v>22.45</v>
      </c>
      <c r="N267" s="118">
        <v>11.65</v>
      </c>
      <c r="O267" s="118">
        <v>12.13</v>
      </c>
      <c r="P267" s="118">
        <v>15.66</v>
      </c>
      <c r="Q267" s="118">
        <v>12.15</v>
      </c>
      <c r="R267" s="118">
        <v>14.3</v>
      </c>
      <c r="S267" s="153">
        <v>11.08</v>
      </c>
      <c r="T267" s="153"/>
      <c r="U267" s="113" t="s">
        <v>404</v>
      </c>
      <c r="V267" s="115" t="s">
        <v>214</v>
      </c>
      <c r="W267" s="115"/>
      <c r="X267" s="120">
        <v>0.5</v>
      </c>
      <c r="Y267" s="120"/>
      <c r="Z267" s="118">
        <v>0.55000000000000004</v>
      </c>
      <c r="AA267" s="430">
        <v>46106</v>
      </c>
      <c r="AB267" s="117">
        <f t="shared" si="198"/>
        <v>87.333333333333329</v>
      </c>
      <c r="AC267" s="117">
        <f t="shared" si="199"/>
        <v>43.666666666666664</v>
      </c>
      <c r="AD267" s="117">
        <f t="shared" si="170"/>
        <v>14.108351504579154</v>
      </c>
      <c r="AE267" s="117"/>
      <c r="AF267" s="447"/>
      <c r="AH267" s="115" t="s">
        <v>269</v>
      </c>
      <c r="AI267" s="113">
        <v>87</v>
      </c>
      <c r="AJ267" s="113">
        <v>84</v>
      </c>
      <c r="AK267" s="113">
        <v>83</v>
      </c>
      <c r="AL267" s="113">
        <v>101</v>
      </c>
      <c r="AM267" s="113">
        <v>90</v>
      </c>
      <c r="AN267" s="113">
        <v>86</v>
      </c>
      <c r="AO267" s="113">
        <v>92</v>
      </c>
      <c r="AP267" s="113">
        <v>91</v>
      </c>
      <c r="AQ267" s="113">
        <v>81</v>
      </c>
      <c r="AR267" s="113">
        <v>76</v>
      </c>
      <c r="AS267" s="113">
        <v>88</v>
      </c>
      <c r="AT267" s="113">
        <v>89</v>
      </c>
    </row>
    <row r="268" spans="1:58" s="113" customFormat="1">
      <c r="A268" s="113" t="s">
        <v>262</v>
      </c>
      <c r="B268" s="113" t="s">
        <v>401</v>
      </c>
      <c r="C268" s="114" t="s">
        <v>402</v>
      </c>
      <c r="D268" s="128" t="s">
        <v>87</v>
      </c>
      <c r="E268" s="127" t="s">
        <v>330</v>
      </c>
      <c r="F268" s="126"/>
      <c r="G268" s="126" t="s">
        <v>204</v>
      </c>
      <c r="H268" s="123">
        <v>660</v>
      </c>
      <c r="I268" s="125">
        <v>22.93</v>
      </c>
      <c r="J268" s="123">
        <v>14817</v>
      </c>
      <c r="K268" s="124"/>
      <c r="L268" s="123">
        <f t="shared" ref="L268" si="200">J268-(J268*K268)</f>
        <v>14817</v>
      </c>
      <c r="M268" s="122">
        <f t="shared" ref="M268" si="201">L268/H268</f>
        <v>22.45</v>
      </c>
      <c r="N268" s="118">
        <v>11.65</v>
      </c>
      <c r="O268" s="118">
        <v>12.13</v>
      </c>
      <c r="P268" s="118">
        <v>15.66</v>
      </c>
      <c r="Q268" s="118">
        <v>12.15</v>
      </c>
      <c r="R268" s="118">
        <v>14.3</v>
      </c>
      <c r="S268" s="153">
        <v>11.08</v>
      </c>
      <c r="T268" s="153"/>
      <c r="U268" s="113" t="s">
        <v>106</v>
      </c>
      <c r="V268" s="115" t="s">
        <v>103</v>
      </c>
      <c r="W268" s="115"/>
      <c r="X268" s="120">
        <v>0.5</v>
      </c>
      <c r="Y268" s="120"/>
      <c r="Z268" s="118">
        <v>0.55000000000000004</v>
      </c>
      <c r="AA268" s="430">
        <v>46139</v>
      </c>
      <c r="AB268" s="117">
        <f t="shared" ref="AB268" si="202">IFERROR(AVERAGE(AI268:BG268),"")</f>
        <v>80.400000000000006</v>
      </c>
      <c r="AC268" s="117">
        <f t="shared" ref="AC268" si="203">IFERROR(AB268*X268,"")</f>
        <v>40.200000000000003</v>
      </c>
      <c r="AD268" s="117">
        <f t="shared" ref="AD268" si="204">IFERROR(((AC268*L268)/2000)/I268,"")</f>
        <v>12.988299171391192</v>
      </c>
      <c r="AE268" s="117"/>
      <c r="AF268" s="447"/>
      <c r="AH268" s="115" t="s">
        <v>91</v>
      </c>
      <c r="AI268" s="113">
        <v>88</v>
      </c>
      <c r="AJ268" s="113">
        <v>95</v>
      </c>
      <c r="AK268" s="113">
        <v>70</v>
      </c>
      <c r="AL268" s="113">
        <v>98</v>
      </c>
      <c r="AM268" s="113">
        <v>71</v>
      </c>
      <c r="AN268" s="113">
        <v>56</v>
      </c>
      <c r="AO268" s="113">
        <v>85</v>
      </c>
      <c r="AP268" s="113">
        <v>74</v>
      </c>
      <c r="AQ268" s="113">
        <v>109</v>
      </c>
      <c r="AR268" s="113">
        <v>105</v>
      </c>
      <c r="AS268" s="113">
        <v>63</v>
      </c>
      <c r="AT268" s="113">
        <v>73</v>
      </c>
      <c r="AU268" s="113">
        <v>83</v>
      </c>
      <c r="AV268" s="113">
        <v>82</v>
      </c>
      <c r="AW268" s="113">
        <v>54</v>
      </c>
    </row>
    <row r="269" spans="1:58" s="113" customFormat="1">
      <c r="A269" s="113" t="s">
        <v>262</v>
      </c>
      <c r="B269" s="113" t="s">
        <v>401</v>
      </c>
      <c r="C269" s="114" t="s">
        <v>402</v>
      </c>
      <c r="D269" s="128" t="s">
        <v>87</v>
      </c>
      <c r="E269" s="127" t="s">
        <v>330</v>
      </c>
      <c r="F269" s="126"/>
      <c r="G269" s="126" t="s">
        <v>204</v>
      </c>
      <c r="H269" s="123">
        <v>660</v>
      </c>
      <c r="I269" s="125">
        <v>22.93</v>
      </c>
      <c r="J269" s="123">
        <v>14817</v>
      </c>
      <c r="K269" s="124"/>
      <c r="L269" s="123">
        <f t="shared" si="196"/>
        <v>14817</v>
      </c>
      <c r="M269" s="122">
        <f t="shared" si="197"/>
        <v>22.45</v>
      </c>
      <c r="N269" s="118">
        <v>11.65</v>
      </c>
      <c r="O269" s="118">
        <v>12.13</v>
      </c>
      <c r="P269" s="118">
        <v>15.66</v>
      </c>
      <c r="Q269" s="118">
        <v>12.15</v>
      </c>
      <c r="R269" s="118">
        <v>14.3</v>
      </c>
      <c r="S269" s="153">
        <v>11.08</v>
      </c>
      <c r="T269" s="153"/>
      <c r="V269" s="115"/>
      <c r="W269" s="115"/>
      <c r="X269" s="120">
        <v>0.5</v>
      </c>
      <c r="Y269" s="120"/>
      <c r="Z269" s="118">
        <v>0.55000000000000004</v>
      </c>
      <c r="AA269" s="430"/>
      <c r="AB269" s="117" t="str">
        <f t="shared" si="198"/>
        <v/>
      </c>
      <c r="AC269" s="117" t="str">
        <f t="shared" si="199"/>
        <v/>
      </c>
      <c r="AD269" s="117" t="str">
        <f t="shared" si="170"/>
        <v/>
      </c>
      <c r="AE269" s="117"/>
      <c r="AF269" s="447"/>
      <c r="AH269" s="115"/>
    </row>
    <row r="270" spans="1:58" s="296" customFormat="1">
      <c r="A270" s="296" t="s">
        <v>262</v>
      </c>
      <c r="B270" s="296" t="s">
        <v>405</v>
      </c>
      <c r="C270" s="298" t="s">
        <v>406</v>
      </c>
      <c r="D270" s="299" t="s">
        <v>87</v>
      </c>
      <c r="E270" s="300" t="s">
        <v>330</v>
      </c>
      <c r="F270" s="297"/>
      <c r="G270" s="297" t="s">
        <v>382</v>
      </c>
      <c r="H270" s="301">
        <v>660</v>
      </c>
      <c r="I270" s="302">
        <v>6.52</v>
      </c>
      <c r="J270" s="301">
        <v>4148</v>
      </c>
      <c r="K270" s="237">
        <v>0.2</v>
      </c>
      <c r="L270" s="301">
        <f t="shared" si="196"/>
        <v>3318.4</v>
      </c>
      <c r="M270" s="303">
        <f t="shared" si="197"/>
        <v>5.0278787878787883</v>
      </c>
      <c r="N270" s="304">
        <v>10.52</v>
      </c>
      <c r="O270" s="304">
        <v>13.47</v>
      </c>
      <c r="P270" s="304">
        <v>16.91</v>
      </c>
      <c r="Q270" s="304">
        <v>8.57</v>
      </c>
      <c r="R270" s="304">
        <v>10.57</v>
      </c>
      <c r="S270" s="305">
        <v>9.1300000000000008</v>
      </c>
      <c r="T270" s="305"/>
      <c r="V270" s="306"/>
      <c r="W270" s="306"/>
      <c r="X270" s="307">
        <v>0.5</v>
      </c>
      <c r="Y270" s="307"/>
      <c r="Z270" s="304">
        <v>0.55000000000000004</v>
      </c>
      <c r="AA270" s="431">
        <v>46108</v>
      </c>
      <c r="AB270" s="233">
        <f t="shared" si="198"/>
        <v>76</v>
      </c>
      <c r="AC270" s="233">
        <f t="shared" si="199"/>
        <v>38</v>
      </c>
      <c r="AD270" s="233">
        <f t="shared" si="170"/>
        <v>9.6701840490797544</v>
      </c>
      <c r="AE270" s="233"/>
      <c r="AF270" s="448"/>
      <c r="AH270" s="306" t="s">
        <v>282</v>
      </c>
      <c r="AI270" s="296">
        <v>79</v>
      </c>
      <c r="AJ270" s="296">
        <v>83</v>
      </c>
      <c r="AK270" s="296">
        <v>77</v>
      </c>
      <c r="AL270" s="296">
        <v>72</v>
      </c>
      <c r="AM270" s="296">
        <v>81</v>
      </c>
      <c r="AN270" s="296">
        <v>72</v>
      </c>
      <c r="AO270" s="296">
        <v>81</v>
      </c>
      <c r="AP270" s="296">
        <v>72</v>
      </c>
      <c r="AQ270" s="296">
        <v>74</v>
      </c>
      <c r="AR270" s="296">
        <v>78</v>
      </c>
      <c r="AS270" s="296">
        <v>67</v>
      </c>
    </row>
    <row r="271" spans="1:58" s="296" customFormat="1">
      <c r="A271" s="296" t="s">
        <v>262</v>
      </c>
      <c r="B271" s="296" t="s">
        <v>405</v>
      </c>
      <c r="C271" s="298" t="s">
        <v>406</v>
      </c>
      <c r="D271" s="299" t="s">
        <v>87</v>
      </c>
      <c r="E271" s="300" t="s">
        <v>330</v>
      </c>
      <c r="F271" s="297"/>
      <c r="G271" s="297" t="s">
        <v>382</v>
      </c>
      <c r="H271" s="301">
        <v>660</v>
      </c>
      <c r="I271" s="302">
        <v>6.52</v>
      </c>
      <c r="J271" s="301">
        <v>4148</v>
      </c>
      <c r="K271" s="237">
        <v>0.2</v>
      </c>
      <c r="L271" s="301">
        <f t="shared" ref="L271" si="205">J271-(J271*K271)</f>
        <v>3318.4</v>
      </c>
      <c r="M271" s="303">
        <f t="shared" ref="M271" si="206">L271/H271</f>
        <v>5.0278787878787883</v>
      </c>
      <c r="N271" s="304">
        <v>10.52</v>
      </c>
      <c r="O271" s="304">
        <v>13.47</v>
      </c>
      <c r="P271" s="304">
        <v>16.91</v>
      </c>
      <c r="Q271" s="304">
        <v>8.57</v>
      </c>
      <c r="R271" s="304">
        <v>10.57</v>
      </c>
      <c r="S271" s="305">
        <v>9.1300000000000008</v>
      </c>
      <c r="T271" s="305"/>
      <c r="V271" s="306"/>
      <c r="W271" s="306"/>
      <c r="X271" s="307">
        <v>0.5</v>
      </c>
      <c r="Y271" s="307"/>
      <c r="Z271" s="304">
        <v>0.55000000000000004</v>
      </c>
      <c r="AA271" s="431">
        <v>46140</v>
      </c>
      <c r="AB271" s="233">
        <f t="shared" ref="AB271" si="207">IFERROR(AVERAGE(AI271:BG271),"")</f>
        <v>88.8</v>
      </c>
      <c r="AC271" s="233">
        <f t="shared" ref="AC271" si="208">IFERROR(AB271*X271,"")</f>
        <v>44.4</v>
      </c>
      <c r="AD271" s="233">
        <f t="shared" ref="AD271" si="209">IFERROR(((AC271*L271)/2000)/I271,"")</f>
        <v>11.298846625766872</v>
      </c>
      <c r="AE271" s="233"/>
      <c r="AF271" s="448"/>
      <c r="AH271" s="306" t="s">
        <v>91</v>
      </c>
      <c r="AI271" s="296">
        <v>76</v>
      </c>
      <c r="AJ271" s="296">
        <v>81</v>
      </c>
      <c r="AK271" s="296">
        <v>96</v>
      </c>
      <c r="AL271" s="296">
        <v>85</v>
      </c>
      <c r="AM271" s="296">
        <v>102</v>
      </c>
      <c r="AN271" s="296">
        <v>88</v>
      </c>
      <c r="AO271" s="296">
        <v>121</v>
      </c>
      <c r="AP271" s="296">
        <v>81</v>
      </c>
      <c r="AQ271" s="296">
        <v>110</v>
      </c>
      <c r="AR271" s="296">
        <v>68</v>
      </c>
      <c r="AS271" s="296">
        <v>71</v>
      </c>
      <c r="AT271" s="296">
        <v>78</v>
      </c>
      <c r="AU271" s="296">
        <v>56</v>
      </c>
      <c r="AV271" s="296">
        <v>113</v>
      </c>
      <c r="AW271" s="296">
        <v>106</v>
      </c>
    </row>
    <row r="272" spans="1:58" s="296" customFormat="1">
      <c r="A272" s="296" t="s">
        <v>262</v>
      </c>
      <c r="B272" s="296" t="s">
        <v>405</v>
      </c>
      <c r="C272" s="298" t="s">
        <v>406</v>
      </c>
      <c r="D272" s="299" t="s">
        <v>87</v>
      </c>
      <c r="E272" s="300" t="s">
        <v>330</v>
      </c>
      <c r="F272" s="297"/>
      <c r="G272" s="297" t="s">
        <v>382</v>
      </c>
      <c r="H272" s="301">
        <v>660</v>
      </c>
      <c r="I272" s="302">
        <v>6.52</v>
      </c>
      <c r="J272" s="301">
        <v>4148</v>
      </c>
      <c r="K272" s="237">
        <v>0.2</v>
      </c>
      <c r="L272" s="301">
        <f t="shared" si="196"/>
        <v>3318.4</v>
      </c>
      <c r="M272" s="303">
        <f t="shared" si="197"/>
        <v>5.0278787878787883</v>
      </c>
      <c r="N272" s="304">
        <v>10.52</v>
      </c>
      <c r="O272" s="304">
        <v>13.47</v>
      </c>
      <c r="P272" s="304">
        <v>16.91</v>
      </c>
      <c r="Q272" s="304">
        <v>8.57</v>
      </c>
      <c r="R272" s="304">
        <v>10.57</v>
      </c>
      <c r="S272" s="305">
        <v>9.1300000000000008</v>
      </c>
      <c r="T272" s="305"/>
      <c r="V272" s="306"/>
      <c r="W272" s="306"/>
      <c r="X272" s="307">
        <v>0.5</v>
      </c>
      <c r="Y272" s="307"/>
      <c r="Z272" s="304">
        <v>0.55000000000000004</v>
      </c>
      <c r="AA272" s="431"/>
      <c r="AB272" s="233" t="str">
        <f t="shared" si="198"/>
        <v/>
      </c>
      <c r="AC272" s="233" t="str">
        <f t="shared" si="199"/>
        <v/>
      </c>
      <c r="AD272" s="233" t="str">
        <f t="shared" si="170"/>
        <v/>
      </c>
      <c r="AE272" s="233"/>
      <c r="AF272" s="448"/>
      <c r="AH272" s="306"/>
    </row>
    <row r="273" spans="1:65" s="113" customFormat="1">
      <c r="A273" s="113" t="s">
        <v>262</v>
      </c>
      <c r="B273" s="113" t="s">
        <v>407</v>
      </c>
      <c r="C273" s="114" t="s">
        <v>408</v>
      </c>
      <c r="D273" s="128" t="s">
        <v>87</v>
      </c>
      <c r="E273" s="127" t="s">
        <v>330</v>
      </c>
      <c r="F273" s="126"/>
      <c r="G273" s="126"/>
      <c r="H273" s="123">
        <v>518.57142857142856</v>
      </c>
      <c r="I273" s="125">
        <v>7.28</v>
      </c>
      <c r="J273" s="123">
        <v>3672</v>
      </c>
      <c r="K273" s="124">
        <v>0.1</v>
      </c>
      <c r="L273" s="123">
        <f t="shared" si="196"/>
        <v>3304.8</v>
      </c>
      <c r="M273" s="122">
        <f t="shared" si="197"/>
        <v>6.3728925619834715</v>
      </c>
      <c r="N273" s="118">
        <v>10.74</v>
      </c>
      <c r="O273" s="118">
        <v>9.6300000000000008</v>
      </c>
      <c r="P273" s="118">
        <v>12.11</v>
      </c>
      <c r="Q273" s="118">
        <v>9.2799999999999994</v>
      </c>
      <c r="R273" s="118">
        <v>12.37</v>
      </c>
      <c r="S273" s="153">
        <v>10.57</v>
      </c>
      <c r="T273" s="153"/>
      <c r="V273" s="115"/>
      <c r="W273" s="115"/>
      <c r="X273" s="120">
        <v>0.45</v>
      </c>
      <c r="Y273" s="120"/>
      <c r="Z273" s="118">
        <v>0.55000000000000004</v>
      </c>
      <c r="AA273" s="430">
        <v>46140</v>
      </c>
      <c r="AB273" s="117">
        <f t="shared" si="198"/>
        <v>73.7</v>
      </c>
      <c r="AC273" s="117">
        <f t="shared" si="199"/>
        <v>33.164999999999999</v>
      </c>
      <c r="AD273" s="117">
        <f t="shared" si="170"/>
        <v>7.5277260989010992</v>
      </c>
      <c r="AE273" s="117"/>
      <c r="AF273" s="447"/>
      <c r="AH273" s="115" t="s">
        <v>91</v>
      </c>
      <c r="AI273" s="113">
        <v>65</v>
      </c>
      <c r="AJ273" s="113">
        <v>85</v>
      </c>
      <c r="AK273" s="113">
        <v>81</v>
      </c>
      <c r="AL273" s="113">
        <v>71</v>
      </c>
      <c r="AM273" s="113">
        <v>46</v>
      </c>
      <c r="AN273" s="113">
        <v>106</v>
      </c>
      <c r="AO273" s="113">
        <v>54</v>
      </c>
      <c r="AP273" s="113">
        <v>89</v>
      </c>
      <c r="AQ273" s="113">
        <v>48</v>
      </c>
      <c r="AR273" s="113">
        <v>92</v>
      </c>
    </row>
    <row r="274" spans="1:65" s="296" customFormat="1">
      <c r="A274" s="296" t="s">
        <v>262</v>
      </c>
      <c r="B274" s="296" t="s">
        <v>409</v>
      </c>
      <c r="C274" s="298" t="s">
        <v>410</v>
      </c>
      <c r="D274" s="299" t="s">
        <v>87</v>
      </c>
      <c r="E274" s="300" t="s">
        <v>119</v>
      </c>
      <c r="F274" s="297"/>
      <c r="G274" s="297"/>
      <c r="H274" s="301">
        <v>660</v>
      </c>
      <c r="I274" s="302">
        <v>9.5500000000000007</v>
      </c>
      <c r="J274" s="301">
        <v>6131</v>
      </c>
      <c r="K274" s="237">
        <v>0.3</v>
      </c>
      <c r="L274" s="301">
        <f t="shared" si="196"/>
        <v>4291.7</v>
      </c>
      <c r="M274" s="303">
        <f t="shared" si="197"/>
        <v>6.502575757575757</v>
      </c>
      <c r="N274" s="304">
        <v>5.79</v>
      </c>
      <c r="O274" s="304">
        <v>4.3899999999999997</v>
      </c>
      <c r="P274" s="304">
        <v>5.23</v>
      </c>
      <c r="Q274" s="304">
        <v>5.27</v>
      </c>
      <c r="R274" s="304">
        <v>4.5999999999999996</v>
      </c>
      <c r="S274" s="305">
        <v>3.78</v>
      </c>
      <c r="T274" s="305"/>
      <c r="V274" s="306"/>
      <c r="W274" s="306"/>
      <c r="X274" s="307">
        <v>0.45</v>
      </c>
      <c r="Y274" s="307"/>
      <c r="Z274" s="304">
        <v>0.52</v>
      </c>
      <c r="AA274" s="431"/>
      <c r="AB274" s="233" t="str">
        <f t="shared" si="198"/>
        <v/>
      </c>
      <c r="AC274" s="233" t="str">
        <f t="shared" si="199"/>
        <v/>
      </c>
      <c r="AD274" s="233" t="str">
        <f t="shared" si="170"/>
        <v/>
      </c>
      <c r="AE274" s="233"/>
      <c r="AF274" s="448"/>
      <c r="AH274" s="306"/>
    </row>
    <row r="275" spans="1:65" s="296" customFormat="1">
      <c r="A275" s="296" t="s">
        <v>262</v>
      </c>
      <c r="B275" s="296" t="s">
        <v>409</v>
      </c>
      <c r="C275" s="298" t="s">
        <v>410</v>
      </c>
      <c r="D275" s="299" t="s">
        <v>87</v>
      </c>
      <c r="E275" s="300" t="s">
        <v>119</v>
      </c>
      <c r="F275" s="297"/>
      <c r="G275" s="297"/>
      <c r="H275" s="301">
        <v>660</v>
      </c>
      <c r="I275" s="302">
        <v>9.5500000000000007</v>
      </c>
      <c r="J275" s="301">
        <v>6131</v>
      </c>
      <c r="K275" s="237">
        <v>0.3</v>
      </c>
      <c r="L275" s="301">
        <f t="shared" si="196"/>
        <v>4291.7</v>
      </c>
      <c r="M275" s="303">
        <f t="shared" si="197"/>
        <v>6.502575757575757</v>
      </c>
      <c r="N275" s="304">
        <v>5.79</v>
      </c>
      <c r="O275" s="304">
        <v>4.3899999999999997</v>
      </c>
      <c r="P275" s="304">
        <v>5.23</v>
      </c>
      <c r="Q275" s="304">
        <v>5.27</v>
      </c>
      <c r="R275" s="304">
        <v>4.5999999999999996</v>
      </c>
      <c r="S275" s="305">
        <v>3.78</v>
      </c>
      <c r="T275" s="305"/>
      <c r="V275" s="306"/>
      <c r="W275" s="306"/>
      <c r="X275" s="307">
        <v>0.45</v>
      </c>
      <c r="Y275" s="307"/>
      <c r="Z275" s="304">
        <v>0.52</v>
      </c>
      <c r="AA275" s="431"/>
      <c r="AB275" s="233" t="str">
        <f t="shared" si="198"/>
        <v/>
      </c>
      <c r="AC275" s="233" t="str">
        <f t="shared" si="199"/>
        <v/>
      </c>
      <c r="AD275" s="233" t="str">
        <f t="shared" si="170"/>
        <v/>
      </c>
      <c r="AE275" s="233"/>
      <c r="AF275" s="448"/>
      <c r="AH275" s="306"/>
    </row>
    <row r="276" spans="1:65" s="296" customFormat="1">
      <c r="A276" s="296" t="s">
        <v>262</v>
      </c>
      <c r="B276" s="296" t="s">
        <v>409</v>
      </c>
      <c r="C276" s="298" t="s">
        <v>410</v>
      </c>
      <c r="D276" s="299" t="s">
        <v>87</v>
      </c>
      <c r="E276" s="300" t="s">
        <v>119</v>
      </c>
      <c r="F276" s="297"/>
      <c r="G276" s="297"/>
      <c r="H276" s="301">
        <v>660</v>
      </c>
      <c r="I276" s="302">
        <v>9.5500000000000007</v>
      </c>
      <c r="J276" s="301">
        <v>6131</v>
      </c>
      <c r="K276" s="237">
        <v>0.3</v>
      </c>
      <c r="L276" s="301">
        <f t="shared" si="196"/>
        <v>4291.7</v>
      </c>
      <c r="M276" s="303">
        <f t="shared" si="197"/>
        <v>6.502575757575757</v>
      </c>
      <c r="N276" s="304">
        <v>5.79</v>
      </c>
      <c r="O276" s="304">
        <v>4.3899999999999997</v>
      </c>
      <c r="P276" s="304">
        <v>5.23</v>
      </c>
      <c r="Q276" s="304">
        <v>5.27</v>
      </c>
      <c r="R276" s="304">
        <v>4.5999999999999996</v>
      </c>
      <c r="S276" s="305">
        <v>3.78</v>
      </c>
      <c r="T276" s="305"/>
      <c r="V276" s="306"/>
      <c r="W276" s="306"/>
      <c r="X276" s="307">
        <v>0.45</v>
      </c>
      <c r="Y276" s="307"/>
      <c r="Z276" s="304">
        <v>0.52</v>
      </c>
      <c r="AA276" s="431"/>
      <c r="AB276" s="233" t="str">
        <f t="shared" si="198"/>
        <v/>
      </c>
      <c r="AC276" s="233" t="str">
        <f t="shared" si="199"/>
        <v/>
      </c>
      <c r="AD276" s="233" t="str">
        <f t="shared" si="170"/>
        <v/>
      </c>
      <c r="AE276" s="233"/>
      <c r="AF276" s="448"/>
      <c r="AH276" s="306"/>
    </row>
    <row r="277" spans="1:65" s="296" customFormat="1">
      <c r="A277" s="296" t="s">
        <v>262</v>
      </c>
      <c r="B277" s="296" t="s">
        <v>409</v>
      </c>
      <c r="C277" s="298" t="s">
        <v>410</v>
      </c>
      <c r="D277" s="299" t="s">
        <v>87</v>
      </c>
      <c r="E277" s="300" t="s">
        <v>119</v>
      </c>
      <c r="F277" s="297"/>
      <c r="G277" s="297"/>
      <c r="H277" s="301">
        <v>660</v>
      </c>
      <c r="I277" s="302">
        <v>9.5500000000000007</v>
      </c>
      <c r="J277" s="301">
        <v>6131</v>
      </c>
      <c r="K277" s="237">
        <v>0.3</v>
      </c>
      <c r="L277" s="301">
        <f t="shared" si="196"/>
        <v>4291.7</v>
      </c>
      <c r="M277" s="303">
        <f t="shared" si="197"/>
        <v>6.502575757575757</v>
      </c>
      <c r="N277" s="304">
        <v>5.79</v>
      </c>
      <c r="O277" s="304">
        <v>4.3899999999999997</v>
      </c>
      <c r="P277" s="304">
        <v>5.23</v>
      </c>
      <c r="Q277" s="304">
        <v>5.27</v>
      </c>
      <c r="R277" s="304">
        <v>4.5999999999999996</v>
      </c>
      <c r="S277" s="305">
        <v>3.78</v>
      </c>
      <c r="T277" s="305"/>
      <c r="V277" s="306"/>
      <c r="W277" s="306"/>
      <c r="X277" s="307">
        <v>0.45</v>
      </c>
      <c r="Y277" s="307"/>
      <c r="Z277" s="304">
        <v>0.52</v>
      </c>
      <c r="AA277" s="431"/>
      <c r="AB277" s="233" t="str">
        <f t="shared" si="198"/>
        <v/>
      </c>
      <c r="AC277" s="233" t="str">
        <f t="shared" si="199"/>
        <v/>
      </c>
      <c r="AD277" s="233" t="str">
        <f t="shared" si="170"/>
        <v/>
      </c>
      <c r="AE277" s="233"/>
      <c r="AF277" s="448"/>
      <c r="AH277" s="306"/>
    </row>
    <row r="278" spans="1:65" s="113" customFormat="1">
      <c r="A278" s="113" t="s">
        <v>262</v>
      </c>
      <c r="B278" s="113" t="s">
        <v>411</v>
      </c>
      <c r="C278" s="114" t="s">
        <v>412</v>
      </c>
      <c r="D278" s="128" t="s">
        <v>87</v>
      </c>
      <c r="E278" s="127" t="s">
        <v>160</v>
      </c>
      <c r="F278" s="126">
        <v>4</v>
      </c>
      <c r="G278" s="126" t="s">
        <v>273</v>
      </c>
      <c r="H278" s="123">
        <v>691.42857142857144</v>
      </c>
      <c r="I278" s="125">
        <v>9.75</v>
      </c>
      <c r="J278" s="123">
        <v>6586</v>
      </c>
      <c r="K278" s="124"/>
      <c r="L278" s="123">
        <f t="shared" si="196"/>
        <v>6586</v>
      </c>
      <c r="M278" s="122">
        <f t="shared" si="197"/>
        <v>9.5252066115702476</v>
      </c>
      <c r="N278" s="118">
        <v>11.02</v>
      </c>
      <c r="O278" s="118">
        <v>7.95</v>
      </c>
      <c r="P278" s="118">
        <v>8.9499999999999993</v>
      </c>
      <c r="Q278" s="118">
        <v>7.78</v>
      </c>
      <c r="R278" s="118">
        <v>10.99</v>
      </c>
      <c r="S278" s="153">
        <v>9.4600000000000009</v>
      </c>
      <c r="T278" s="153"/>
      <c r="U278" s="113" t="s">
        <v>413</v>
      </c>
      <c r="V278" s="115" t="s">
        <v>214</v>
      </c>
      <c r="W278" s="115"/>
      <c r="X278" s="120">
        <v>0.45</v>
      </c>
      <c r="Y278" s="120"/>
      <c r="Z278" s="118">
        <v>0.4</v>
      </c>
      <c r="AA278" s="430">
        <v>46105</v>
      </c>
      <c r="AB278" s="117">
        <f t="shared" si="198"/>
        <v>57.5</v>
      </c>
      <c r="AC278" s="117">
        <f t="shared" si="199"/>
        <v>25.875</v>
      </c>
      <c r="AD278" s="117">
        <f t="shared" si="170"/>
        <v>8.7391153846153848</v>
      </c>
      <c r="AE278" s="117"/>
      <c r="AF278" s="447"/>
      <c r="AH278" s="115" t="s">
        <v>269</v>
      </c>
      <c r="AI278" s="113">
        <v>50</v>
      </c>
      <c r="AJ278" s="113">
        <v>63</v>
      </c>
      <c r="AK278" s="113">
        <v>73</v>
      </c>
      <c r="AL278" s="113">
        <v>64</v>
      </c>
      <c r="AM278" s="113">
        <v>57</v>
      </c>
      <c r="AN278" s="113">
        <v>59</v>
      </c>
      <c r="AO278" s="113">
        <v>60</v>
      </c>
      <c r="AP278" s="113">
        <v>57</v>
      </c>
      <c r="AQ278" s="113">
        <v>45</v>
      </c>
      <c r="AR278" s="113">
        <v>49</v>
      </c>
      <c r="AS278" s="113">
        <v>55</v>
      </c>
      <c r="AT278" s="113">
        <v>58</v>
      </c>
    </row>
    <row r="279" spans="1:65" s="113" customFormat="1" ht="13.9" customHeight="1">
      <c r="A279" s="113" t="s">
        <v>262</v>
      </c>
      <c r="B279" s="113" t="s">
        <v>411</v>
      </c>
      <c r="C279" s="114" t="s">
        <v>412</v>
      </c>
      <c r="D279" s="128" t="s">
        <v>87</v>
      </c>
      <c r="E279" s="127" t="s">
        <v>160</v>
      </c>
      <c r="F279" s="126">
        <v>4</v>
      </c>
      <c r="G279" s="126" t="s">
        <v>273</v>
      </c>
      <c r="H279" s="123">
        <v>691.42857142857144</v>
      </c>
      <c r="I279" s="125">
        <v>9.75</v>
      </c>
      <c r="J279" s="123">
        <v>6586</v>
      </c>
      <c r="K279" s="124"/>
      <c r="L279" s="123">
        <f t="shared" si="196"/>
        <v>6586</v>
      </c>
      <c r="M279" s="122">
        <f t="shared" si="197"/>
        <v>9.5252066115702476</v>
      </c>
      <c r="N279" s="118">
        <v>11.02</v>
      </c>
      <c r="O279" s="118">
        <v>7.95</v>
      </c>
      <c r="P279" s="118">
        <v>8.9499999999999993</v>
      </c>
      <c r="Q279" s="118">
        <v>7.78</v>
      </c>
      <c r="R279" s="118">
        <v>10.99</v>
      </c>
      <c r="S279" s="153">
        <v>9.4600000000000009</v>
      </c>
      <c r="T279" s="153"/>
      <c r="U279" s="113" t="s">
        <v>106</v>
      </c>
      <c r="V279" s="115" t="s">
        <v>103</v>
      </c>
      <c r="W279" s="115"/>
      <c r="X279" s="120">
        <v>0.45</v>
      </c>
      <c r="Y279" s="120"/>
      <c r="Z279" s="118">
        <v>0.4</v>
      </c>
      <c r="AA279" s="430">
        <v>46107</v>
      </c>
      <c r="AB279" s="117">
        <f t="shared" si="198"/>
        <v>52.52</v>
      </c>
      <c r="AC279" s="117">
        <f t="shared" si="199"/>
        <v>23.634</v>
      </c>
      <c r="AD279" s="117">
        <f t="shared" si="170"/>
        <v>7.9822320000000007</v>
      </c>
      <c r="AE279" s="117"/>
      <c r="AF279" s="447"/>
      <c r="AH279" s="115" t="s">
        <v>269</v>
      </c>
      <c r="AI279" s="113">
        <v>53</v>
      </c>
      <c r="AJ279" s="113">
        <v>49</v>
      </c>
      <c r="AK279" s="113">
        <v>55</v>
      </c>
      <c r="AL279" s="113">
        <v>54</v>
      </c>
      <c r="AM279" s="113">
        <v>53</v>
      </c>
      <c r="AN279" s="113">
        <v>52</v>
      </c>
      <c r="AO279" s="113">
        <v>61</v>
      </c>
      <c r="AP279" s="113">
        <v>64</v>
      </c>
      <c r="AQ279" s="113">
        <v>40</v>
      </c>
      <c r="AR279" s="113">
        <v>54</v>
      </c>
      <c r="AS279" s="113">
        <v>51</v>
      </c>
      <c r="AT279" s="113">
        <v>54</v>
      </c>
      <c r="AU279" s="113">
        <v>48</v>
      </c>
      <c r="AV279" s="113">
        <v>45</v>
      </c>
      <c r="AW279" s="113">
        <v>52</v>
      </c>
      <c r="AX279" s="113">
        <v>53</v>
      </c>
      <c r="AY279" s="113">
        <v>60</v>
      </c>
      <c r="AZ279" s="113">
        <v>49</v>
      </c>
      <c r="BA279" s="113">
        <v>58</v>
      </c>
      <c r="BB279" s="113">
        <v>53</v>
      </c>
      <c r="BC279" s="113">
        <v>56</v>
      </c>
      <c r="BD279" s="113">
        <v>47</v>
      </c>
      <c r="BE279" s="113">
        <v>54</v>
      </c>
      <c r="BF279" s="113">
        <v>46</v>
      </c>
      <c r="BG279" s="113">
        <v>52</v>
      </c>
      <c r="BH279" s="113">
        <v>52</v>
      </c>
      <c r="BI279" s="113">
        <v>42</v>
      </c>
      <c r="BJ279" s="113">
        <v>47</v>
      </c>
      <c r="BK279" s="113">
        <v>53</v>
      </c>
      <c r="BL279" s="113">
        <v>52</v>
      </c>
      <c r="BM279" s="113">
        <v>47</v>
      </c>
    </row>
    <row r="280" spans="1:65" s="113" customFormat="1" ht="13.9" customHeight="1">
      <c r="A280" s="113" t="s">
        <v>262</v>
      </c>
      <c r="B280" s="113" t="s">
        <v>411</v>
      </c>
      <c r="C280" s="114" t="s">
        <v>412</v>
      </c>
      <c r="D280" s="128" t="s">
        <v>87</v>
      </c>
      <c r="E280" s="127" t="s">
        <v>160</v>
      </c>
      <c r="F280" s="126">
        <v>4</v>
      </c>
      <c r="G280" s="126" t="s">
        <v>273</v>
      </c>
      <c r="H280" s="123">
        <v>691.42857142857144</v>
      </c>
      <c r="I280" s="125">
        <v>9.75</v>
      </c>
      <c r="J280" s="123">
        <v>6586</v>
      </c>
      <c r="K280" s="124"/>
      <c r="L280" s="123">
        <f t="shared" si="196"/>
        <v>6586</v>
      </c>
      <c r="M280" s="122">
        <f t="shared" si="197"/>
        <v>9.5252066115702476</v>
      </c>
      <c r="N280" s="118">
        <v>11.02</v>
      </c>
      <c r="O280" s="118">
        <v>7.95</v>
      </c>
      <c r="P280" s="118">
        <v>8.9499999999999993</v>
      </c>
      <c r="Q280" s="118">
        <v>7.78</v>
      </c>
      <c r="R280" s="118">
        <v>10.99</v>
      </c>
      <c r="S280" s="153">
        <v>9.4600000000000009</v>
      </c>
      <c r="T280" s="153"/>
      <c r="V280" s="115"/>
      <c r="W280" s="115"/>
      <c r="X280" s="120">
        <v>0.45</v>
      </c>
      <c r="Y280" s="120"/>
      <c r="Z280" s="118">
        <v>0.4</v>
      </c>
      <c r="AA280" s="430">
        <v>46175</v>
      </c>
      <c r="AB280" s="117">
        <f t="shared" si="198"/>
        <v>44.166666666666664</v>
      </c>
      <c r="AC280" s="117">
        <f t="shared" si="199"/>
        <v>19.875</v>
      </c>
      <c r="AD280" s="117">
        <f t="shared" si="170"/>
        <v>6.7126538461538461</v>
      </c>
      <c r="AE280" s="117"/>
      <c r="AF280" s="447"/>
      <c r="AH280" s="115" t="s">
        <v>116</v>
      </c>
      <c r="AI280" s="113">
        <v>40</v>
      </c>
      <c r="AJ280" s="113">
        <v>39</v>
      </c>
      <c r="AK280" s="113">
        <v>45</v>
      </c>
      <c r="AL280" s="113">
        <v>47</v>
      </c>
      <c r="AM280" s="113">
        <v>41</v>
      </c>
      <c r="AN280" s="113">
        <v>49</v>
      </c>
      <c r="AO280" s="113">
        <v>38</v>
      </c>
      <c r="AP280" s="113">
        <v>43</v>
      </c>
      <c r="AQ280" s="113">
        <v>46</v>
      </c>
      <c r="AR280" s="113">
        <v>39</v>
      </c>
      <c r="AS280" s="113">
        <v>58</v>
      </c>
      <c r="AT280" s="113">
        <v>45</v>
      </c>
    </row>
    <row r="281" spans="1:65" s="296" customFormat="1" ht="13.9" customHeight="1">
      <c r="A281" s="296" t="s">
        <v>262</v>
      </c>
      <c r="B281" s="296" t="s">
        <v>414</v>
      </c>
      <c r="C281" s="298" t="s">
        <v>415</v>
      </c>
      <c r="D281" s="299" t="s">
        <v>87</v>
      </c>
      <c r="E281" s="300" t="s">
        <v>330</v>
      </c>
      <c r="F281" s="297"/>
      <c r="G281" s="297"/>
      <c r="H281" s="301">
        <v>519</v>
      </c>
      <c r="I281" s="302">
        <v>3.85</v>
      </c>
      <c r="J281" s="324">
        <v>2061</v>
      </c>
      <c r="K281" s="325">
        <v>0.15</v>
      </c>
      <c r="L281" s="324">
        <f t="shared" si="196"/>
        <v>1751.85</v>
      </c>
      <c r="M281" s="326">
        <f t="shared" si="197"/>
        <v>3.3754335260115607</v>
      </c>
      <c r="N281" s="304"/>
      <c r="O281" s="304"/>
      <c r="P281" s="304"/>
      <c r="Q281" s="304"/>
      <c r="R281" s="304">
        <v>5.89</v>
      </c>
      <c r="S281" s="305">
        <v>12.69</v>
      </c>
      <c r="T281" s="305"/>
      <c r="V281" s="306"/>
      <c r="W281" s="306"/>
      <c r="X281" s="307">
        <v>0.63</v>
      </c>
      <c r="Y281" s="307"/>
      <c r="Z281" s="304">
        <v>0.55000000000000004</v>
      </c>
      <c r="AA281" s="431">
        <v>46171</v>
      </c>
      <c r="AB281" s="233">
        <f t="shared" si="198"/>
        <v>67.1875</v>
      </c>
      <c r="AC281" s="233">
        <f t="shared" si="199"/>
        <v>42.328125</v>
      </c>
      <c r="AD281" s="233">
        <f t="shared" si="170"/>
        <v>9.6301981534090899</v>
      </c>
      <c r="AE281" s="233"/>
      <c r="AF281" s="448"/>
      <c r="AH281" s="306" t="s">
        <v>116</v>
      </c>
      <c r="AI281" s="296">
        <v>65</v>
      </c>
      <c r="AJ281" s="296">
        <v>70</v>
      </c>
      <c r="AK281" s="296">
        <v>69</v>
      </c>
      <c r="AL281" s="296">
        <v>66</v>
      </c>
      <c r="AM281" s="296">
        <v>71</v>
      </c>
      <c r="AN281" s="296">
        <v>61</v>
      </c>
      <c r="AO281" s="296">
        <v>58</v>
      </c>
      <c r="AP281" s="296">
        <v>68</v>
      </c>
      <c r="AQ281" s="296">
        <v>63</v>
      </c>
      <c r="AR281" s="296">
        <v>65</v>
      </c>
      <c r="AS281" s="296">
        <v>70</v>
      </c>
      <c r="AT281" s="296">
        <v>59</v>
      </c>
      <c r="AU281" s="296">
        <v>68</v>
      </c>
      <c r="AV281" s="296">
        <v>88</v>
      </c>
      <c r="AW281" s="296">
        <v>79</v>
      </c>
      <c r="AX281" s="296">
        <v>55</v>
      </c>
    </row>
    <row r="282" spans="1:65" s="113" customFormat="1">
      <c r="A282" s="113" t="s">
        <v>262</v>
      </c>
      <c r="B282" s="113" t="s">
        <v>416</v>
      </c>
      <c r="C282" s="114" t="s">
        <v>417</v>
      </c>
      <c r="D282" s="128" t="s">
        <v>87</v>
      </c>
      <c r="E282" s="127" t="s">
        <v>99</v>
      </c>
      <c r="F282" s="126"/>
      <c r="G282" s="126"/>
      <c r="H282" s="123">
        <v>660</v>
      </c>
      <c r="I282" s="125">
        <f t="shared" ref="I282:I291" si="210">J282/H282</f>
        <v>6.1878787878787875</v>
      </c>
      <c r="J282" s="123">
        <v>4084</v>
      </c>
      <c r="K282" s="124"/>
      <c r="L282" s="123">
        <f t="shared" si="196"/>
        <v>4084</v>
      </c>
      <c r="M282" s="122">
        <f t="shared" si="197"/>
        <v>6.1878787878787875</v>
      </c>
      <c r="N282" s="125"/>
      <c r="O282" s="125"/>
      <c r="P282" s="125"/>
      <c r="Q282" s="125"/>
      <c r="R282" s="125">
        <v>9.8000000000000007</v>
      </c>
      <c r="S282" s="154"/>
      <c r="T282" s="154"/>
      <c r="V282" s="115"/>
      <c r="W282" s="115"/>
      <c r="X282" s="120">
        <v>0.65</v>
      </c>
      <c r="Y282" s="120"/>
      <c r="Z282" s="118">
        <v>0.44</v>
      </c>
      <c r="AA282" s="430">
        <v>46146</v>
      </c>
      <c r="AB282" s="117">
        <f t="shared" si="198"/>
        <v>68.3</v>
      </c>
      <c r="AC282" s="117">
        <f t="shared" si="199"/>
        <v>44.395000000000003</v>
      </c>
      <c r="AD282" s="117">
        <f t="shared" si="170"/>
        <v>14.650350000000003</v>
      </c>
      <c r="AE282" s="117"/>
      <c r="AF282" s="447"/>
      <c r="AH282" s="115" t="s">
        <v>91</v>
      </c>
      <c r="AI282" s="113">
        <v>67</v>
      </c>
      <c r="AJ282" s="113">
        <v>79</v>
      </c>
      <c r="AK282" s="113">
        <v>76</v>
      </c>
      <c r="AL282" s="113">
        <v>74</v>
      </c>
      <c r="AM282" s="113">
        <v>82</v>
      </c>
      <c r="AN282" s="113">
        <v>59</v>
      </c>
      <c r="AO282" s="113">
        <v>61</v>
      </c>
      <c r="AP282" s="113">
        <v>51</v>
      </c>
      <c r="AQ282" s="113">
        <v>74</v>
      </c>
      <c r="AR282" s="113">
        <v>82</v>
      </c>
      <c r="AS282" s="113">
        <v>59</v>
      </c>
      <c r="AT282" s="113">
        <v>61</v>
      </c>
      <c r="AU282" s="113">
        <v>51</v>
      </c>
      <c r="AV282" s="113">
        <v>74</v>
      </c>
      <c r="AW282" s="113">
        <v>67</v>
      </c>
      <c r="AX282" s="113">
        <v>75</v>
      </c>
      <c r="AY282" s="113">
        <v>72</v>
      </c>
      <c r="AZ282" s="113">
        <v>82</v>
      </c>
      <c r="BA282" s="113">
        <v>57</v>
      </c>
      <c r="BB282" s="113">
        <v>63</v>
      </c>
    </row>
    <row r="283" spans="1:65" s="113" customFormat="1">
      <c r="A283" s="113" t="s">
        <v>262</v>
      </c>
      <c r="B283" s="113" t="s">
        <v>416</v>
      </c>
      <c r="C283" s="114" t="s">
        <v>417</v>
      </c>
      <c r="D283" s="128" t="s">
        <v>87</v>
      </c>
      <c r="E283" s="127" t="s">
        <v>99</v>
      </c>
      <c r="F283" s="126"/>
      <c r="G283" s="126"/>
      <c r="H283" s="123">
        <v>660</v>
      </c>
      <c r="I283" s="125">
        <f t="shared" si="210"/>
        <v>6.1878787878787875</v>
      </c>
      <c r="J283" s="123">
        <v>4084</v>
      </c>
      <c r="K283" s="124"/>
      <c r="L283" s="123">
        <f t="shared" si="196"/>
        <v>4084</v>
      </c>
      <c r="M283" s="122">
        <f t="shared" si="197"/>
        <v>6.1878787878787875</v>
      </c>
      <c r="N283" s="125"/>
      <c r="O283" s="125"/>
      <c r="P283" s="125"/>
      <c r="Q283" s="125"/>
      <c r="R283" s="125">
        <v>9.8000000000000007</v>
      </c>
      <c r="S283" s="154"/>
      <c r="T283" s="154"/>
      <c r="V283" s="115"/>
      <c r="W283" s="115"/>
      <c r="X283" s="120">
        <v>0.65</v>
      </c>
      <c r="Y283" s="120"/>
      <c r="Z283" s="118">
        <v>0.44</v>
      </c>
      <c r="AA283" s="430">
        <v>46209</v>
      </c>
      <c r="AB283" s="117">
        <f>IFERROR(AVERAGE(AI283:BK283),"")</f>
        <v>40.035714285714285</v>
      </c>
      <c r="AC283" s="117">
        <f t="shared" si="199"/>
        <v>26.023214285714285</v>
      </c>
      <c r="AD283" s="117">
        <f t="shared" si="170"/>
        <v>8.5876607142857146</v>
      </c>
      <c r="AE283" s="117"/>
      <c r="AF283" s="447"/>
      <c r="AG283" s="113" t="s">
        <v>387</v>
      </c>
      <c r="AH283" s="115" t="s">
        <v>282</v>
      </c>
      <c r="AI283" s="113">
        <v>36</v>
      </c>
      <c r="AJ283" s="113">
        <v>43</v>
      </c>
      <c r="AK283" s="113">
        <v>38</v>
      </c>
      <c r="AL283" s="113">
        <v>32</v>
      </c>
      <c r="AM283" s="113">
        <v>46</v>
      </c>
      <c r="AN283" s="113">
        <v>37</v>
      </c>
      <c r="AO283" s="113">
        <v>33</v>
      </c>
      <c r="AP283" s="113">
        <v>37</v>
      </c>
      <c r="AQ283" s="113">
        <v>44</v>
      </c>
      <c r="AR283" s="113">
        <v>51</v>
      </c>
      <c r="AS283" s="113">
        <v>45</v>
      </c>
      <c r="AT283" s="113">
        <v>42</v>
      </c>
      <c r="AU283" s="113">
        <v>41</v>
      </c>
      <c r="AV283" s="113">
        <v>32</v>
      </c>
      <c r="AW283" s="113">
        <v>38</v>
      </c>
      <c r="AX283" s="113">
        <v>31</v>
      </c>
      <c r="AY283" s="113">
        <v>29</v>
      </c>
      <c r="AZ283" s="113">
        <v>36</v>
      </c>
      <c r="BA283" s="113">
        <v>32</v>
      </c>
      <c r="BB283" s="113">
        <v>30</v>
      </c>
      <c r="BC283" s="113">
        <v>43</v>
      </c>
      <c r="BD283" s="113">
        <v>39</v>
      </c>
      <c r="BE283" s="113">
        <v>48</v>
      </c>
      <c r="BF283" s="113">
        <v>41</v>
      </c>
      <c r="BG283" s="113">
        <v>43</v>
      </c>
      <c r="BH283" s="113">
        <v>59</v>
      </c>
      <c r="BI283" s="113">
        <v>51</v>
      </c>
      <c r="BJ283" s="113">
        <v>44</v>
      </c>
    </row>
    <row r="284" spans="1:65" s="396" customFormat="1" ht="6.75" customHeight="1">
      <c r="C284" s="397"/>
      <c r="D284" s="398"/>
      <c r="E284" s="399"/>
      <c r="F284" s="400"/>
      <c r="G284" s="400"/>
      <c r="H284" s="401"/>
      <c r="I284" s="402"/>
      <c r="J284" s="401"/>
      <c r="K284" s="403"/>
      <c r="L284" s="401"/>
      <c r="M284" s="404"/>
      <c r="N284" s="402"/>
      <c r="O284" s="402"/>
      <c r="P284" s="402"/>
      <c r="Q284" s="402"/>
      <c r="R284" s="402"/>
      <c r="S284" s="405"/>
      <c r="T284" s="405"/>
      <c r="V284" s="406"/>
      <c r="W284" s="406"/>
      <c r="X284" s="407"/>
      <c r="Y284" s="407"/>
      <c r="Z284" s="408"/>
      <c r="AA284" s="436"/>
      <c r="AB284" s="409"/>
      <c r="AC284" s="409"/>
      <c r="AD284" s="409"/>
      <c r="AE284" s="409"/>
      <c r="AF284" s="453"/>
      <c r="AH284" s="406"/>
    </row>
    <row r="285" spans="1:65" s="113" customFormat="1">
      <c r="A285" s="113" t="s">
        <v>262</v>
      </c>
      <c r="B285" s="113" t="s">
        <v>416</v>
      </c>
      <c r="C285" s="114" t="s">
        <v>418</v>
      </c>
      <c r="D285" s="128" t="s">
        <v>87</v>
      </c>
      <c r="E285" s="127" t="s">
        <v>99</v>
      </c>
      <c r="F285" s="126"/>
      <c r="G285" s="126"/>
      <c r="H285" s="123">
        <v>660</v>
      </c>
      <c r="I285" s="125">
        <f t="shared" si="210"/>
        <v>2.4924242424242422</v>
      </c>
      <c r="J285" s="123">
        <f>810+835</f>
        <v>1645</v>
      </c>
      <c r="K285" s="124"/>
      <c r="L285" s="123">
        <f t="shared" si="196"/>
        <v>1645</v>
      </c>
      <c r="M285" s="122">
        <f t="shared" si="197"/>
        <v>2.4924242424242422</v>
      </c>
      <c r="N285" s="125"/>
      <c r="O285" s="125"/>
      <c r="P285" s="125"/>
      <c r="Q285" s="125"/>
      <c r="R285" s="125">
        <v>9.8000000000000007</v>
      </c>
      <c r="S285" s="154"/>
      <c r="T285" s="154"/>
      <c r="V285" s="115"/>
      <c r="W285" s="115"/>
      <c r="X285" s="120">
        <v>0.65</v>
      </c>
      <c r="Y285" s="120"/>
      <c r="Z285" s="118">
        <v>0.44</v>
      </c>
      <c r="AA285" s="430">
        <v>46108</v>
      </c>
      <c r="AB285" s="117">
        <f t="shared" si="198"/>
        <v>52.388888888888886</v>
      </c>
      <c r="AC285" s="117">
        <f t="shared" si="199"/>
        <v>34.052777777777777</v>
      </c>
      <c r="AD285" s="117">
        <f t="shared" si="170"/>
        <v>11.237416666666668</v>
      </c>
      <c r="AE285" s="117"/>
      <c r="AF285" s="447"/>
      <c r="AH285" s="115" t="s">
        <v>269</v>
      </c>
      <c r="AI285" s="113">
        <v>51</v>
      </c>
      <c r="AJ285" s="113">
        <v>42</v>
      </c>
      <c r="AK285" s="113">
        <v>45</v>
      </c>
      <c r="AL285" s="113">
        <v>52</v>
      </c>
      <c r="AM285" s="113">
        <v>55</v>
      </c>
      <c r="AN285" s="113">
        <v>57</v>
      </c>
      <c r="AO285" s="113">
        <v>38</v>
      </c>
      <c r="AP285" s="113">
        <v>58</v>
      </c>
      <c r="AQ285" s="113">
        <v>59</v>
      </c>
      <c r="AR285" s="113">
        <v>38</v>
      </c>
      <c r="AS285" s="113">
        <v>58</v>
      </c>
      <c r="AT285" s="113">
        <v>51</v>
      </c>
      <c r="AU285" s="113">
        <v>47</v>
      </c>
      <c r="AV285" s="113">
        <v>63</v>
      </c>
      <c r="AW285" s="113">
        <v>50</v>
      </c>
      <c r="AX285" s="113">
        <v>70</v>
      </c>
      <c r="AY285" s="113">
        <v>47</v>
      </c>
      <c r="AZ285" s="113">
        <v>62</v>
      </c>
    </row>
    <row r="286" spans="1:65" s="113" customFormat="1">
      <c r="A286" s="113" t="s">
        <v>262</v>
      </c>
      <c r="B286" s="113" t="s">
        <v>416</v>
      </c>
      <c r="C286" s="114" t="s">
        <v>418</v>
      </c>
      <c r="D286" s="128" t="s">
        <v>87</v>
      </c>
      <c r="E286" s="127" t="s">
        <v>99</v>
      </c>
      <c r="F286" s="126"/>
      <c r="G286" s="126"/>
      <c r="H286" s="123">
        <v>660</v>
      </c>
      <c r="I286" s="125">
        <f t="shared" si="210"/>
        <v>2.4924242424242422</v>
      </c>
      <c r="J286" s="123">
        <f>810+835</f>
        <v>1645</v>
      </c>
      <c r="K286" s="124"/>
      <c r="L286" s="123">
        <f t="shared" si="196"/>
        <v>1645</v>
      </c>
      <c r="M286" s="122">
        <f t="shared" si="197"/>
        <v>2.4924242424242422</v>
      </c>
      <c r="N286" s="125"/>
      <c r="O286" s="125"/>
      <c r="P286" s="125"/>
      <c r="Q286" s="125"/>
      <c r="R286" s="125">
        <v>9.8000000000000007</v>
      </c>
      <c r="S286" s="154"/>
      <c r="T286" s="154"/>
      <c r="V286" s="115"/>
      <c r="W286" s="115"/>
      <c r="X286" s="120">
        <v>0.65</v>
      </c>
      <c r="Y286" s="120"/>
      <c r="Z286" s="118">
        <v>0.44</v>
      </c>
      <c r="AA286" s="430">
        <v>46146</v>
      </c>
      <c r="AB286" s="117">
        <f t="shared" si="198"/>
        <v>65.533333333333331</v>
      </c>
      <c r="AC286" s="117">
        <f t="shared" si="199"/>
        <v>42.596666666666664</v>
      </c>
      <c r="AD286" s="117">
        <f t="shared" si="170"/>
        <v>14.056900000000001</v>
      </c>
      <c r="AE286" s="117"/>
      <c r="AF286" s="447"/>
      <c r="AH286" s="115" t="s">
        <v>91</v>
      </c>
      <c r="AI286" s="113">
        <v>65</v>
      </c>
      <c r="AJ286" s="113">
        <v>58</v>
      </c>
      <c r="AK286" s="113">
        <v>54</v>
      </c>
      <c r="AL286" s="113">
        <v>68</v>
      </c>
      <c r="AM286" s="113">
        <v>47</v>
      </c>
      <c r="AN286" s="113">
        <v>75</v>
      </c>
      <c r="AO286" s="113">
        <v>66</v>
      </c>
      <c r="AP286" s="113">
        <v>82</v>
      </c>
      <c r="AQ286" s="113">
        <v>61</v>
      </c>
      <c r="AR286" s="113">
        <v>73</v>
      </c>
      <c r="AS286" s="113">
        <v>60</v>
      </c>
      <c r="AT286" s="113">
        <v>62</v>
      </c>
      <c r="AU286" s="113">
        <v>80</v>
      </c>
      <c r="AV286" s="113">
        <v>65</v>
      </c>
      <c r="AW286" s="113">
        <v>67</v>
      </c>
    </row>
    <row r="287" spans="1:65" s="113" customFormat="1">
      <c r="A287" s="113" t="s">
        <v>262</v>
      </c>
      <c r="B287" s="113" t="s">
        <v>416</v>
      </c>
      <c r="C287" s="114" t="s">
        <v>418</v>
      </c>
      <c r="D287" s="128" t="s">
        <v>87</v>
      </c>
      <c r="E287" s="127" t="s">
        <v>99</v>
      </c>
      <c r="F287" s="126"/>
      <c r="G287" s="126"/>
      <c r="H287" s="123">
        <v>660</v>
      </c>
      <c r="I287" s="125">
        <f t="shared" si="210"/>
        <v>2.4924242424242422</v>
      </c>
      <c r="J287" s="123">
        <f>810+835</f>
        <v>1645</v>
      </c>
      <c r="K287" s="124"/>
      <c r="L287" s="123">
        <f t="shared" si="196"/>
        <v>1645</v>
      </c>
      <c r="M287" s="122">
        <f t="shared" si="197"/>
        <v>2.4924242424242422</v>
      </c>
      <c r="N287" s="125"/>
      <c r="O287" s="125"/>
      <c r="P287" s="125"/>
      <c r="Q287" s="125"/>
      <c r="R287" s="125">
        <v>9.8000000000000007</v>
      </c>
      <c r="S287" s="154"/>
      <c r="T287" s="154"/>
      <c r="V287" s="115"/>
      <c r="W287" s="115"/>
      <c r="X287" s="120">
        <v>0.65</v>
      </c>
      <c r="Y287" s="120"/>
      <c r="Z287" s="118">
        <v>0.44</v>
      </c>
      <c r="AA287" s="430"/>
      <c r="AB287" s="117" t="str">
        <f t="shared" si="198"/>
        <v/>
      </c>
      <c r="AC287" s="117" t="str">
        <f t="shared" si="199"/>
        <v/>
      </c>
      <c r="AD287" s="117" t="str">
        <f t="shared" si="170"/>
        <v/>
      </c>
      <c r="AE287" s="117"/>
      <c r="AF287" s="447"/>
      <c r="AH287" s="115"/>
    </row>
    <row r="288" spans="1:65" s="113" customFormat="1">
      <c r="A288" s="113" t="s">
        <v>262</v>
      </c>
      <c r="B288" s="113" t="s">
        <v>416</v>
      </c>
      <c r="C288" s="114" t="s">
        <v>419</v>
      </c>
      <c r="D288" s="128" t="s">
        <v>87</v>
      </c>
      <c r="E288" s="127" t="s">
        <v>330</v>
      </c>
      <c r="F288" s="126"/>
      <c r="G288" s="126"/>
      <c r="H288" s="123">
        <v>660</v>
      </c>
      <c r="I288" s="125">
        <f t="shared" si="210"/>
        <v>0.80151515151515151</v>
      </c>
      <c r="J288" s="123">
        <v>529</v>
      </c>
      <c r="K288" s="124"/>
      <c r="L288" s="123">
        <f t="shared" si="196"/>
        <v>529</v>
      </c>
      <c r="M288" s="122">
        <f t="shared" si="197"/>
        <v>0.80151515151515151</v>
      </c>
      <c r="N288" s="125"/>
      <c r="O288" s="125"/>
      <c r="P288" s="125"/>
      <c r="Q288" s="125"/>
      <c r="R288" s="125">
        <v>14.97</v>
      </c>
      <c r="S288" s="154"/>
      <c r="T288" s="154"/>
      <c r="V288" s="115"/>
      <c r="W288" s="115"/>
      <c r="X288" s="120">
        <v>0.55000000000000004</v>
      </c>
      <c r="Y288" s="120"/>
      <c r="Z288" s="118">
        <v>0.55000000000000004</v>
      </c>
      <c r="AA288" s="430"/>
      <c r="AB288" s="117" t="str">
        <f t="shared" si="198"/>
        <v/>
      </c>
      <c r="AC288" s="117" t="str">
        <f t="shared" si="199"/>
        <v/>
      </c>
      <c r="AD288" s="117" t="str">
        <f t="shared" si="170"/>
        <v/>
      </c>
      <c r="AE288" s="117"/>
      <c r="AF288" s="447"/>
      <c r="AH288" s="115"/>
    </row>
    <row r="289" spans="1:58" s="113" customFormat="1">
      <c r="A289" s="113" t="s">
        <v>262</v>
      </c>
      <c r="B289" s="113" t="s">
        <v>416</v>
      </c>
      <c r="C289" s="114" t="s">
        <v>420</v>
      </c>
      <c r="D289" s="128" t="s">
        <v>87</v>
      </c>
      <c r="E289" s="127" t="s">
        <v>99</v>
      </c>
      <c r="F289" s="126"/>
      <c r="G289" s="126"/>
      <c r="H289" s="123">
        <v>660</v>
      </c>
      <c r="I289" s="125">
        <f t="shared" si="210"/>
        <v>1.2272727272727273</v>
      </c>
      <c r="J289" s="123">
        <v>810</v>
      </c>
      <c r="K289" s="124"/>
      <c r="L289" s="123">
        <f t="shared" si="196"/>
        <v>810</v>
      </c>
      <c r="M289" s="122">
        <f t="shared" si="197"/>
        <v>1.2272727272727273</v>
      </c>
      <c r="N289" s="125"/>
      <c r="O289" s="125"/>
      <c r="P289" s="125"/>
      <c r="Q289" s="125"/>
      <c r="R289" s="125">
        <v>9.8000000000000007</v>
      </c>
      <c r="S289" s="154"/>
      <c r="T289" s="154"/>
      <c r="V289" s="115"/>
      <c r="W289" s="115"/>
      <c r="X289" s="120">
        <v>0.65</v>
      </c>
      <c r="Y289" s="120"/>
      <c r="Z289" s="118">
        <v>0.44</v>
      </c>
      <c r="AA289" s="430"/>
      <c r="AB289" s="117" t="str">
        <f t="shared" si="198"/>
        <v/>
      </c>
      <c r="AC289" s="117" t="str">
        <f t="shared" si="199"/>
        <v/>
      </c>
      <c r="AD289" s="117" t="str">
        <f t="shared" si="170"/>
        <v/>
      </c>
      <c r="AE289" s="117"/>
      <c r="AF289" s="447"/>
      <c r="AH289" s="115"/>
    </row>
    <row r="290" spans="1:58" s="113" customFormat="1">
      <c r="A290" s="113" t="s">
        <v>262</v>
      </c>
      <c r="B290" s="113" t="s">
        <v>416</v>
      </c>
      <c r="C290" s="114" t="s">
        <v>421</v>
      </c>
      <c r="D290" s="128" t="s">
        <v>87</v>
      </c>
      <c r="E290" s="127" t="s">
        <v>99</v>
      </c>
      <c r="F290" s="126"/>
      <c r="G290" s="126"/>
      <c r="H290" s="123">
        <v>660</v>
      </c>
      <c r="I290" s="125">
        <f t="shared" si="210"/>
        <v>1.2651515151515151</v>
      </c>
      <c r="J290" s="123">
        <v>835</v>
      </c>
      <c r="K290" s="124"/>
      <c r="L290" s="123">
        <f t="shared" si="196"/>
        <v>835</v>
      </c>
      <c r="M290" s="122">
        <f t="shared" si="197"/>
        <v>1.2651515151515151</v>
      </c>
      <c r="N290" s="125"/>
      <c r="O290" s="125"/>
      <c r="P290" s="125"/>
      <c r="Q290" s="125"/>
      <c r="R290" s="125">
        <v>9.8000000000000007</v>
      </c>
      <c r="S290" s="154"/>
      <c r="T290" s="154"/>
      <c r="V290" s="115"/>
      <c r="W290" s="115"/>
      <c r="X290" s="120">
        <v>0.65</v>
      </c>
      <c r="Y290" s="120"/>
      <c r="Z290" s="118">
        <v>0.44</v>
      </c>
      <c r="AA290" s="430"/>
      <c r="AB290" s="117" t="str">
        <f t="shared" si="198"/>
        <v/>
      </c>
      <c r="AC290" s="117" t="str">
        <f t="shared" si="199"/>
        <v/>
      </c>
      <c r="AD290" s="117" t="str">
        <f t="shared" si="170"/>
        <v/>
      </c>
      <c r="AE290" s="117"/>
      <c r="AF290" s="447"/>
      <c r="AH290" s="115"/>
    </row>
    <row r="291" spans="1:58" s="113" customFormat="1">
      <c r="A291" s="113" t="s">
        <v>262</v>
      </c>
      <c r="B291" s="113" t="s">
        <v>416</v>
      </c>
      <c r="C291" s="114" t="s">
        <v>422</v>
      </c>
      <c r="D291" s="128" t="s">
        <v>87</v>
      </c>
      <c r="E291" s="127" t="s">
        <v>148</v>
      </c>
      <c r="F291" s="126"/>
      <c r="G291" s="126"/>
      <c r="H291" s="123">
        <v>660</v>
      </c>
      <c r="I291" s="125">
        <f t="shared" si="210"/>
        <v>1.9333333333333333</v>
      </c>
      <c r="J291" s="123">
        <v>1276</v>
      </c>
      <c r="K291" s="124"/>
      <c r="L291" s="123">
        <f t="shared" si="196"/>
        <v>1276</v>
      </c>
      <c r="M291" s="122">
        <f t="shared" si="197"/>
        <v>1.9333333333333333</v>
      </c>
      <c r="N291" s="125"/>
      <c r="O291" s="125"/>
      <c r="P291" s="125"/>
      <c r="Q291" s="125"/>
      <c r="R291" s="125">
        <v>9.5399999999999991</v>
      </c>
      <c r="S291" s="154"/>
      <c r="T291" s="154"/>
      <c r="V291" s="115"/>
      <c r="W291" s="115"/>
      <c r="X291" s="120">
        <v>0.3</v>
      </c>
      <c r="Y291" s="120"/>
      <c r="Z291" s="118">
        <v>0.35</v>
      </c>
      <c r="AA291" s="430"/>
      <c r="AB291" s="117" t="str">
        <f t="shared" si="198"/>
        <v/>
      </c>
      <c r="AC291" s="117" t="str">
        <f t="shared" si="199"/>
        <v/>
      </c>
      <c r="AD291" s="117" t="str">
        <f t="shared" si="170"/>
        <v/>
      </c>
      <c r="AE291" s="117"/>
      <c r="AF291" s="447"/>
      <c r="AH291" s="115"/>
    </row>
    <row r="292" spans="1:58" s="296" customFormat="1" ht="13.15" customHeight="1">
      <c r="A292" s="296" t="s">
        <v>262</v>
      </c>
      <c r="B292" s="296" t="s">
        <v>423</v>
      </c>
      <c r="C292" s="298" t="s">
        <v>424</v>
      </c>
      <c r="D292" s="299" t="s">
        <v>87</v>
      </c>
      <c r="E292" s="300" t="s">
        <v>425</v>
      </c>
      <c r="F292" s="346" t="s">
        <v>426</v>
      </c>
      <c r="G292" s="297" t="s">
        <v>273</v>
      </c>
      <c r="H292" s="301">
        <v>691.42857142857144</v>
      </c>
      <c r="I292" s="302">
        <v>38.4</v>
      </c>
      <c r="J292" s="301">
        <v>26251</v>
      </c>
      <c r="K292" s="237"/>
      <c r="L292" s="301">
        <f t="shared" si="196"/>
        <v>26251</v>
      </c>
      <c r="M292" s="303">
        <f t="shared" si="197"/>
        <v>37.966322314049584</v>
      </c>
      <c r="N292" s="304">
        <v>10.92</v>
      </c>
      <c r="O292" s="304">
        <v>9.4700000000000006</v>
      </c>
      <c r="P292" s="304">
        <v>12.38</v>
      </c>
      <c r="Q292" s="304">
        <v>10.67</v>
      </c>
      <c r="R292" s="304">
        <v>11.39</v>
      </c>
      <c r="S292" s="305">
        <v>6.95</v>
      </c>
      <c r="T292" s="305"/>
      <c r="U292" s="296" t="s">
        <v>427</v>
      </c>
      <c r="V292" s="306" t="s">
        <v>130</v>
      </c>
      <c r="W292" s="306"/>
      <c r="X292" s="307">
        <v>0.3</v>
      </c>
      <c r="Y292" s="307"/>
      <c r="Z292" s="304">
        <v>0.32</v>
      </c>
      <c r="AA292" s="431">
        <v>46108</v>
      </c>
      <c r="AB292" s="233">
        <f t="shared" si="198"/>
        <v>112.08333333333333</v>
      </c>
      <c r="AC292" s="233">
        <f t="shared" si="199"/>
        <v>33.625</v>
      </c>
      <c r="AD292" s="233">
        <f t="shared" si="170"/>
        <v>11.493357747395834</v>
      </c>
      <c r="AE292" s="233"/>
      <c r="AF292" s="448"/>
      <c r="AG292" s="296" t="s">
        <v>428</v>
      </c>
      <c r="AH292" s="306" t="s">
        <v>269</v>
      </c>
      <c r="AI292" s="296">
        <v>110</v>
      </c>
      <c r="AJ292" s="296">
        <v>124</v>
      </c>
      <c r="AK292" s="296">
        <v>98</v>
      </c>
      <c r="AL292" s="296">
        <v>106</v>
      </c>
      <c r="AM292" s="296">
        <v>118</v>
      </c>
      <c r="AN292" s="296">
        <v>110</v>
      </c>
      <c r="AO292" s="296">
        <v>109</v>
      </c>
      <c r="AP292" s="296">
        <v>92</v>
      </c>
      <c r="AQ292" s="296">
        <v>118</v>
      </c>
      <c r="AR292" s="296">
        <v>111</v>
      </c>
      <c r="AS292" s="296">
        <v>105</v>
      </c>
      <c r="AT292" s="296">
        <v>144</v>
      </c>
    </row>
    <row r="293" spans="1:58" s="296" customFormat="1" ht="13.15" customHeight="1">
      <c r="A293" s="296" t="s">
        <v>262</v>
      </c>
      <c r="B293" s="296" t="s">
        <v>423</v>
      </c>
      <c r="C293" s="298" t="s">
        <v>424</v>
      </c>
      <c r="D293" s="299" t="s">
        <v>87</v>
      </c>
      <c r="E293" s="300" t="s">
        <v>425</v>
      </c>
      <c r="F293" s="346" t="s">
        <v>426</v>
      </c>
      <c r="G293" s="297" t="s">
        <v>273</v>
      </c>
      <c r="H293" s="301">
        <v>691.42857142857144</v>
      </c>
      <c r="I293" s="302">
        <v>38.4</v>
      </c>
      <c r="J293" s="301">
        <v>26251</v>
      </c>
      <c r="K293" s="237"/>
      <c r="L293" s="301">
        <f t="shared" ref="L293" si="211">J293-(J293*K293)</f>
        <v>26251</v>
      </c>
      <c r="M293" s="303">
        <f t="shared" ref="M293" si="212">L293/H293</f>
        <v>37.966322314049584</v>
      </c>
      <c r="N293" s="304">
        <v>10.92</v>
      </c>
      <c r="O293" s="304">
        <v>9.4700000000000006</v>
      </c>
      <c r="P293" s="304">
        <v>12.38</v>
      </c>
      <c r="Q293" s="304">
        <v>10.67</v>
      </c>
      <c r="R293" s="304">
        <v>11.39</v>
      </c>
      <c r="S293" s="305">
        <v>6.95</v>
      </c>
      <c r="T293" s="305"/>
      <c r="U293" s="296" t="s">
        <v>429</v>
      </c>
      <c r="V293" s="306"/>
      <c r="W293" s="306"/>
      <c r="X293" s="307">
        <v>0.3</v>
      </c>
      <c r="Y293" s="307"/>
      <c r="Z293" s="304">
        <v>0.32</v>
      </c>
      <c r="AA293" s="431">
        <v>46114</v>
      </c>
      <c r="AB293" s="233">
        <f t="shared" ref="AB293" si="213">IFERROR(AVERAGE(AI293:BG293),"")</f>
        <v>109.16666666666667</v>
      </c>
      <c r="AC293" s="233">
        <f t="shared" ref="AC293" si="214">IFERROR(AB293*X293,"")</f>
        <v>32.75</v>
      </c>
      <c r="AD293" s="233">
        <f t="shared" ref="AD293" si="215">IFERROR(((AC293*L293)/2000)/I293,"")</f>
        <v>11.194274088541667</v>
      </c>
      <c r="AE293" s="233"/>
      <c r="AF293" s="448"/>
      <c r="AG293" s="296" t="s">
        <v>428</v>
      </c>
      <c r="AH293" s="306" t="s">
        <v>269</v>
      </c>
      <c r="AI293" s="296">
        <v>102</v>
      </c>
      <c r="AJ293" s="296">
        <v>116</v>
      </c>
      <c r="AK293" s="296">
        <v>108</v>
      </c>
      <c r="AL293" s="296">
        <v>115</v>
      </c>
      <c r="AM293" s="296">
        <v>119</v>
      </c>
      <c r="AN293" s="296">
        <v>95</v>
      </c>
      <c r="AO293" s="296">
        <v>110</v>
      </c>
      <c r="AP293" s="296">
        <v>112</v>
      </c>
      <c r="AQ293" s="296">
        <v>92</v>
      </c>
      <c r="AR293" s="296">
        <v>108</v>
      </c>
      <c r="AS293" s="296">
        <v>114</v>
      </c>
      <c r="AT293" s="296">
        <v>110</v>
      </c>
      <c r="AU293" s="296">
        <v>119</v>
      </c>
      <c r="AV293" s="296">
        <v>110</v>
      </c>
      <c r="AW293" s="296">
        <v>90</v>
      </c>
      <c r="AX293" s="296">
        <v>107</v>
      </c>
      <c r="AY293" s="296">
        <v>111</v>
      </c>
      <c r="AZ293" s="296">
        <v>110</v>
      </c>
      <c r="BA293" s="296">
        <v>116</v>
      </c>
      <c r="BB293" s="296">
        <v>98</v>
      </c>
      <c r="BC293" s="296">
        <v>123</v>
      </c>
      <c r="BD293" s="296">
        <v>107</v>
      </c>
      <c r="BE293" s="296">
        <v>111</v>
      </c>
      <c r="BF293" s="296">
        <v>117</v>
      </c>
    </row>
    <row r="294" spans="1:58" s="296" customFormat="1" ht="13.15" customHeight="1">
      <c r="A294" s="296" t="s">
        <v>262</v>
      </c>
      <c r="B294" s="296" t="s">
        <v>423</v>
      </c>
      <c r="C294" s="298" t="s">
        <v>424</v>
      </c>
      <c r="D294" s="299" t="s">
        <v>87</v>
      </c>
      <c r="E294" s="300" t="s">
        <v>425</v>
      </c>
      <c r="F294" s="346" t="s">
        <v>426</v>
      </c>
      <c r="G294" s="297" t="s">
        <v>273</v>
      </c>
      <c r="H294" s="301">
        <v>691.42857142857144</v>
      </c>
      <c r="I294" s="302">
        <v>38.4</v>
      </c>
      <c r="J294" s="301">
        <v>26251</v>
      </c>
      <c r="K294" s="237"/>
      <c r="L294" s="301">
        <f t="shared" ref="L294" si="216">J294-(J294*K294)</f>
        <v>26251</v>
      </c>
      <c r="M294" s="303">
        <f t="shared" ref="M294" si="217">L294/H294</f>
        <v>37.966322314049584</v>
      </c>
      <c r="N294" s="304">
        <v>10.92</v>
      </c>
      <c r="O294" s="304">
        <v>9.4700000000000006</v>
      </c>
      <c r="P294" s="304">
        <v>12.38</v>
      </c>
      <c r="Q294" s="304">
        <v>10.67</v>
      </c>
      <c r="R294" s="304">
        <v>11.39</v>
      </c>
      <c r="S294" s="305">
        <v>6.95</v>
      </c>
      <c r="T294" s="305"/>
      <c r="U294" s="296" t="s">
        <v>430</v>
      </c>
      <c r="V294" s="306" t="s">
        <v>130</v>
      </c>
      <c r="W294" s="306"/>
      <c r="X294" s="307">
        <v>0.3</v>
      </c>
      <c r="Y294" s="307"/>
      <c r="Z294" s="304">
        <v>0.32</v>
      </c>
      <c r="AA294" s="431">
        <v>46113</v>
      </c>
      <c r="AB294" s="233">
        <f t="shared" ref="AB294" si="218">IFERROR(AVERAGE(AI294:BG294),"")</f>
        <v>92.833333333333329</v>
      </c>
      <c r="AC294" s="233">
        <f t="shared" ref="AC294" si="219">IFERROR(AB294*X294,"")</f>
        <v>27.849999999999998</v>
      </c>
      <c r="AD294" s="233">
        <f t="shared" ref="AD294" si="220">IFERROR(((AC294*L294)/2000)/I294,"")</f>
        <v>9.5194055989583326</v>
      </c>
      <c r="AE294" s="233"/>
      <c r="AF294" s="448"/>
      <c r="AG294" s="296" t="s">
        <v>431</v>
      </c>
      <c r="AH294" s="306" t="s">
        <v>269</v>
      </c>
      <c r="AI294" s="296">
        <v>63</v>
      </c>
      <c r="AJ294" s="296">
        <v>65</v>
      </c>
      <c r="AK294" s="296">
        <v>77</v>
      </c>
      <c r="AL294" s="296">
        <v>122</v>
      </c>
      <c r="AM294" s="296">
        <v>98</v>
      </c>
      <c r="AN294" s="296">
        <v>89</v>
      </c>
      <c r="AO294" s="296">
        <v>88</v>
      </c>
      <c r="AP294" s="296">
        <v>101</v>
      </c>
      <c r="AQ294" s="296">
        <v>100</v>
      </c>
      <c r="AR294" s="296">
        <v>105</v>
      </c>
      <c r="AS294" s="296">
        <v>86</v>
      </c>
      <c r="AT294" s="296">
        <v>120</v>
      </c>
    </row>
    <row r="295" spans="1:58" s="296" customFormat="1" ht="13.15" customHeight="1">
      <c r="A295" s="296" t="s">
        <v>262</v>
      </c>
      <c r="B295" s="296" t="s">
        <v>423</v>
      </c>
      <c r="C295" s="298" t="s">
        <v>424</v>
      </c>
      <c r="D295" s="299" t="s">
        <v>87</v>
      </c>
      <c r="E295" s="300" t="s">
        <v>425</v>
      </c>
      <c r="F295" s="346" t="s">
        <v>426</v>
      </c>
      <c r="G295" s="297" t="s">
        <v>273</v>
      </c>
      <c r="H295" s="301">
        <v>691.42857142857144</v>
      </c>
      <c r="I295" s="302">
        <v>38.4</v>
      </c>
      <c r="J295" s="301">
        <v>26251</v>
      </c>
      <c r="K295" s="237"/>
      <c r="L295" s="301">
        <f t="shared" si="196"/>
        <v>26251</v>
      </c>
      <c r="M295" s="303">
        <f t="shared" si="197"/>
        <v>37.966322314049584</v>
      </c>
      <c r="N295" s="304">
        <v>10.92</v>
      </c>
      <c r="O295" s="304">
        <v>9.4700000000000006</v>
      </c>
      <c r="P295" s="304">
        <v>12.38</v>
      </c>
      <c r="Q295" s="304">
        <v>10.67</v>
      </c>
      <c r="R295" s="304">
        <v>11.39</v>
      </c>
      <c r="S295" s="305">
        <v>6.95</v>
      </c>
      <c r="T295" s="305"/>
      <c r="V295" s="306"/>
      <c r="W295" s="306"/>
      <c r="X295" s="307">
        <v>0.3</v>
      </c>
      <c r="Y295" s="307"/>
      <c r="Z295" s="304">
        <v>0.32</v>
      </c>
      <c r="AA295" s="431">
        <v>46111</v>
      </c>
      <c r="AB295" s="233">
        <f t="shared" si="198"/>
        <v>115.41666666666667</v>
      </c>
      <c r="AC295" s="233">
        <f t="shared" si="199"/>
        <v>34.625</v>
      </c>
      <c r="AD295" s="233">
        <f t="shared" si="170"/>
        <v>11.835167643229168</v>
      </c>
      <c r="AE295" s="233"/>
      <c r="AF295" s="448"/>
      <c r="AG295" s="296" t="s">
        <v>428</v>
      </c>
      <c r="AH295" s="306"/>
      <c r="AI295" s="296">
        <v>107</v>
      </c>
      <c r="AJ295" s="296">
        <v>121</v>
      </c>
      <c r="AK295" s="296">
        <v>106</v>
      </c>
      <c r="AL295" s="296">
        <v>116</v>
      </c>
      <c r="AM295" s="296">
        <v>109</v>
      </c>
      <c r="AN295" s="296">
        <v>124</v>
      </c>
      <c r="AO295" s="296">
        <v>98</v>
      </c>
      <c r="AP295" s="296">
        <v>127</v>
      </c>
      <c r="AQ295" s="296">
        <v>120</v>
      </c>
      <c r="AR295" s="296">
        <v>129</v>
      </c>
      <c r="AS295" s="296">
        <v>120</v>
      </c>
      <c r="AT295" s="296">
        <v>108</v>
      </c>
    </row>
    <row r="296" spans="1:58" s="296" customFormat="1" ht="13.15" customHeight="1">
      <c r="A296" s="296" t="s">
        <v>262</v>
      </c>
      <c r="B296" s="296" t="s">
        <v>423</v>
      </c>
      <c r="C296" s="298" t="s">
        <v>424</v>
      </c>
      <c r="D296" s="299" t="s">
        <v>87</v>
      </c>
      <c r="E296" s="300" t="s">
        <v>425</v>
      </c>
      <c r="F296" s="346" t="s">
        <v>426</v>
      </c>
      <c r="G296" s="297" t="s">
        <v>273</v>
      </c>
      <c r="H296" s="301">
        <v>691.42857142857144</v>
      </c>
      <c r="I296" s="302">
        <v>38.4</v>
      </c>
      <c r="J296" s="301">
        <v>26251</v>
      </c>
      <c r="K296" s="237"/>
      <c r="L296" s="301">
        <f t="shared" ref="L296" si="221">J296-(J296*K296)</f>
        <v>26251</v>
      </c>
      <c r="M296" s="303">
        <f t="shared" ref="M296" si="222">L296/H296</f>
        <v>37.966322314049584</v>
      </c>
      <c r="N296" s="304">
        <v>10.92</v>
      </c>
      <c r="O296" s="304">
        <v>9.4700000000000006</v>
      </c>
      <c r="P296" s="304">
        <v>12.38</v>
      </c>
      <c r="Q296" s="304">
        <v>10.67</v>
      </c>
      <c r="R296" s="304">
        <v>11.39</v>
      </c>
      <c r="S296" s="305">
        <v>6.95</v>
      </c>
      <c r="T296" s="305"/>
      <c r="V296" s="306"/>
      <c r="W296" s="306"/>
      <c r="X296" s="307">
        <v>0.3</v>
      </c>
      <c r="Y296" s="307"/>
      <c r="Z296" s="304">
        <v>0.32</v>
      </c>
      <c r="AA296" s="431">
        <v>46157</v>
      </c>
      <c r="AB296" s="233">
        <f t="shared" ref="AB296" si="223">IFERROR(AVERAGE(AI296:BG296),"")</f>
        <v>67.733333333333334</v>
      </c>
      <c r="AC296" s="233">
        <f t="shared" ref="AC296" si="224">IFERROR(AB296*X296,"")</f>
        <v>20.32</v>
      </c>
      <c r="AD296" s="233">
        <f t="shared" ref="AD296" si="225">IFERROR(((AC296*L296)/2000)/I296,"")</f>
        <v>6.9455770833333341</v>
      </c>
      <c r="AE296" s="233"/>
      <c r="AF296" s="448"/>
      <c r="AG296" s="308" t="s">
        <v>432</v>
      </c>
      <c r="AH296" s="306"/>
      <c r="AI296" s="296">
        <v>67</v>
      </c>
      <c r="AJ296" s="296">
        <v>73</v>
      </c>
      <c r="AK296" s="296">
        <v>60</v>
      </c>
      <c r="AL296" s="296">
        <v>68</v>
      </c>
      <c r="AM296" s="296">
        <v>71</v>
      </c>
      <c r="AN296" s="296">
        <v>70</v>
      </c>
      <c r="AO296" s="296">
        <v>63</v>
      </c>
      <c r="AP296" s="296">
        <v>71</v>
      </c>
      <c r="AQ296" s="296">
        <v>68</v>
      </c>
      <c r="AR296" s="296">
        <v>65</v>
      </c>
      <c r="AS296" s="296">
        <v>70</v>
      </c>
      <c r="AT296" s="296">
        <v>73</v>
      </c>
      <c r="AU296" s="296">
        <v>69</v>
      </c>
      <c r="AV296" s="296">
        <v>60</v>
      </c>
      <c r="AW296" s="296">
        <v>68</v>
      </c>
    </row>
    <row r="297" spans="1:58" s="296" customFormat="1" ht="13.15" customHeight="1">
      <c r="C297" s="298"/>
      <c r="D297" s="299"/>
      <c r="E297" s="300"/>
      <c r="F297" s="346"/>
      <c r="G297" s="297"/>
      <c r="H297" s="301"/>
      <c r="I297" s="302"/>
      <c r="J297" s="301"/>
      <c r="K297" s="237"/>
      <c r="L297" s="301"/>
      <c r="M297" s="303"/>
      <c r="N297" s="304"/>
      <c r="O297" s="304"/>
      <c r="P297" s="304"/>
      <c r="Q297" s="304"/>
      <c r="R297" s="304"/>
      <c r="S297" s="305"/>
      <c r="T297" s="305"/>
      <c r="V297" s="306"/>
      <c r="W297" s="306"/>
      <c r="X297" s="307"/>
      <c r="Y297" s="307"/>
      <c r="Z297" s="304"/>
      <c r="AA297" s="431"/>
      <c r="AB297" s="233"/>
      <c r="AC297" s="233"/>
      <c r="AD297" s="233"/>
      <c r="AE297" s="233"/>
      <c r="AF297" s="448"/>
      <c r="AH297" s="306"/>
    </row>
    <row r="298" spans="1:58" s="113" customFormat="1">
      <c r="A298" s="113" t="s">
        <v>262</v>
      </c>
      <c r="B298" s="113" t="s">
        <v>433</v>
      </c>
      <c r="C298" s="114" t="s">
        <v>434</v>
      </c>
      <c r="D298" s="128" t="s">
        <v>87</v>
      </c>
      <c r="E298" s="127" t="s">
        <v>156</v>
      </c>
      <c r="F298" s="126"/>
      <c r="G298" s="126"/>
      <c r="H298" s="123">
        <v>691.42857142857144</v>
      </c>
      <c r="I298" s="125">
        <v>34.89</v>
      </c>
      <c r="J298" s="123">
        <v>23900</v>
      </c>
      <c r="K298" s="124">
        <v>0.05</v>
      </c>
      <c r="L298" s="123">
        <f t="shared" si="196"/>
        <v>22705</v>
      </c>
      <c r="M298" s="122">
        <f t="shared" si="197"/>
        <v>32.837809917355372</v>
      </c>
      <c r="N298" s="118">
        <v>9.4499999999999993</v>
      </c>
      <c r="O298" s="118">
        <v>8.7100000000000009</v>
      </c>
      <c r="P298" s="118">
        <v>7.74</v>
      </c>
      <c r="Q298" s="118">
        <v>4</v>
      </c>
      <c r="R298" s="118">
        <v>10.41</v>
      </c>
      <c r="S298" s="118">
        <v>7.38</v>
      </c>
      <c r="T298" s="118"/>
      <c r="V298" s="115"/>
      <c r="W298" s="115"/>
      <c r="X298" s="120">
        <v>0.31</v>
      </c>
      <c r="Y298" s="120"/>
      <c r="Z298" s="118">
        <v>0.32</v>
      </c>
      <c r="AA298" s="430"/>
      <c r="AB298" s="117" t="str">
        <f t="shared" si="198"/>
        <v/>
      </c>
      <c r="AC298" s="117" t="str">
        <f t="shared" si="199"/>
        <v/>
      </c>
      <c r="AD298" s="117" t="str">
        <f t="shared" ref="AD298:AD383" si="226">IFERROR(((AC298*L298)/2000)/I298,"")</f>
        <v/>
      </c>
      <c r="AE298" s="117"/>
      <c r="AF298" s="447"/>
      <c r="AH298" s="115"/>
    </row>
    <row r="299" spans="1:58" s="347" customFormat="1">
      <c r="A299" s="347" t="s">
        <v>262</v>
      </c>
      <c r="B299" s="347" t="s">
        <v>435</v>
      </c>
      <c r="C299" s="348" t="s">
        <v>436</v>
      </c>
      <c r="D299" s="349" t="s">
        <v>87</v>
      </c>
      <c r="E299" s="350" t="s">
        <v>312</v>
      </c>
      <c r="F299" s="351"/>
      <c r="G299" s="351"/>
      <c r="H299" s="352">
        <v>691.42857142857144</v>
      </c>
      <c r="I299" s="353">
        <v>30.18</v>
      </c>
      <c r="J299" s="352">
        <v>20669</v>
      </c>
      <c r="K299" s="354"/>
      <c r="L299" s="352">
        <f t="shared" si="196"/>
        <v>20669</v>
      </c>
      <c r="M299" s="355">
        <f t="shared" si="197"/>
        <v>29.893181818181816</v>
      </c>
      <c r="N299" s="356">
        <v>7.93</v>
      </c>
      <c r="O299" s="356">
        <v>7.93</v>
      </c>
      <c r="P299" s="356">
        <v>9.73</v>
      </c>
      <c r="Q299" s="356">
        <v>4.2300000000000004</v>
      </c>
      <c r="R299" s="356">
        <v>10.28</v>
      </c>
      <c r="S299" s="357">
        <v>5.31</v>
      </c>
      <c r="T299" s="357"/>
      <c r="V299" s="358"/>
      <c r="W299" s="358"/>
      <c r="X299" s="359">
        <v>0.27</v>
      </c>
      <c r="Y299" s="359"/>
      <c r="Z299" s="356">
        <v>0.3</v>
      </c>
      <c r="AA299" s="437"/>
      <c r="AB299" s="393" t="str">
        <f t="shared" si="198"/>
        <v/>
      </c>
      <c r="AC299" s="360" t="str">
        <f t="shared" si="199"/>
        <v/>
      </c>
      <c r="AD299" s="360" t="str">
        <f t="shared" si="226"/>
        <v/>
      </c>
      <c r="AE299" s="360"/>
      <c r="AF299" s="454"/>
      <c r="AH299" s="358"/>
    </row>
    <row r="300" spans="1:58" s="158" customFormat="1">
      <c r="A300" s="158" t="s">
        <v>437</v>
      </c>
      <c r="B300" s="158" t="s">
        <v>438</v>
      </c>
      <c r="C300" s="273" t="s">
        <v>439</v>
      </c>
      <c r="D300" s="274" t="s">
        <v>87</v>
      </c>
      <c r="E300" s="275" t="s">
        <v>88</v>
      </c>
      <c r="F300" s="276">
        <v>7</v>
      </c>
      <c r="G300" s="276" t="s">
        <v>145</v>
      </c>
      <c r="H300" s="277">
        <v>622</v>
      </c>
      <c r="I300" s="278">
        <v>36.81</v>
      </c>
      <c r="J300" s="279">
        <v>22639</v>
      </c>
      <c r="K300" s="280"/>
      <c r="L300" s="279">
        <f t="shared" si="196"/>
        <v>22639</v>
      </c>
      <c r="M300" s="281">
        <f t="shared" si="197"/>
        <v>36.39710610932476</v>
      </c>
      <c r="N300" s="282"/>
      <c r="O300" s="282"/>
      <c r="P300" s="282"/>
      <c r="Q300" s="282"/>
      <c r="R300" s="282"/>
      <c r="S300" s="283">
        <v>6.24</v>
      </c>
      <c r="T300" s="283"/>
      <c r="V300" s="285"/>
      <c r="W300" s="285"/>
      <c r="X300" s="286">
        <v>0.28000000000000003</v>
      </c>
      <c r="Y300" s="286"/>
      <c r="Z300" s="287">
        <v>0.33</v>
      </c>
      <c r="AA300" s="438">
        <v>46121</v>
      </c>
      <c r="AB300" s="289">
        <f t="shared" si="198"/>
        <v>92.2</v>
      </c>
      <c r="AC300" s="289">
        <f t="shared" si="199"/>
        <v>25.816000000000003</v>
      </c>
      <c r="AD300" s="289">
        <f t="shared" si="226"/>
        <v>7.9387180657430045</v>
      </c>
      <c r="AE300" s="289"/>
      <c r="AF300" s="455"/>
      <c r="AH300" s="285" t="s">
        <v>165</v>
      </c>
      <c r="AI300" s="158">
        <v>82</v>
      </c>
      <c r="AJ300" s="158">
        <v>80</v>
      </c>
      <c r="AK300" s="158">
        <v>93</v>
      </c>
      <c r="AL300" s="158">
        <v>100</v>
      </c>
      <c r="AM300" s="158">
        <v>76</v>
      </c>
      <c r="AN300" s="158">
        <v>87</v>
      </c>
      <c r="AO300" s="158">
        <v>88</v>
      </c>
      <c r="AP300" s="158">
        <v>106</v>
      </c>
      <c r="AQ300" s="158">
        <v>108</v>
      </c>
      <c r="AR300" s="158">
        <v>102</v>
      </c>
    </row>
    <row r="301" spans="1:58" s="158" customFormat="1">
      <c r="A301" s="158" t="s">
        <v>437</v>
      </c>
      <c r="B301" s="158" t="s">
        <v>438</v>
      </c>
      <c r="C301" s="273" t="s">
        <v>439</v>
      </c>
      <c r="D301" s="274" t="s">
        <v>87</v>
      </c>
      <c r="E301" s="275" t="s">
        <v>88</v>
      </c>
      <c r="F301" s="276">
        <v>7</v>
      </c>
      <c r="G301" s="276" t="s">
        <v>145</v>
      </c>
      <c r="H301" s="277">
        <v>622</v>
      </c>
      <c r="I301" s="278">
        <v>36.81</v>
      </c>
      <c r="J301" s="279">
        <v>22639</v>
      </c>
      <c r="K301" s="280"/>
      <c r="L301" s="279">
        <f t="shared" ref="L301" si="227">J301-(J301*K301)</f>
        <v>22639</v>
      </c>
      <c r="M301" s="281">
        <f t="shared" ref="M301" si="228">L301/H301</f>
        <v>36.39710610932476</v>
      </c>
      <c r="N301" s="282"/>
      <c r="O301" s="282"/>
      <c r="P301" s="282"/>
      <c r="Q301" s="282"/>
      <c r="R301" s="282"/>
      <c r="S301" s="283">
        <v>6.24</v>
      </c>
      <c r="T301" s="283"/>
      <c r="U301" s="158" t="s">
        <v>440</v>
      </c>
      <c r="V301" s="285" t="s">
        <v>214</v>
      </c>
      <c r="W301" s="285"/>
      <c r="X301" s="286">
        <v>0.28000000000000003</v>
      </c>
      <c r="Y301" s="286"/>
      <c r="Z301" s="287">
        <v>0.33</v>
      </c>
      <c r="AA301" s="438">
        <v>46125</v>
      </c>
      <c r="AB301" s="289">
        <f t="shared" ref="AB301" si="229">IFERROR(AVERAGE(AI301:BG301),"")</f>
        <v>82.916666666666671</v>
      </c>
      <c r="AC301" s="289">
        <f t="shared" ref="AC301" si="230">IFERROR(AB301*X301,"")</f>
        <v>23.216666666666669</v>
      </c>
      <c r="AD301" s="289">
        <f t="shared" ref="AD301" si="231">IFERROR(((AC301*L301)/2000)/I301,"")</f>
        <v>7.1393930544236168</v>
      </c>
      <c r="AE301" s="289"/>
      <c r="AF301" s="455"/>
      <c r="AH301" s="285" t="s">
        <v>165</v>
      </c>
      <c r="AI301" s="158">
        <v>83</v>
      </c>
      <c r="AJ301" s="158">
        <v>94</v>
      </c>
      <c r="AK301" s="158">
        <v>81</v>
      </c>
      <c r="AL301" s="158">
        <v>73</v>
      </c>
      <c r="AM301" s="158">
        <v>90</v>
      </c>
      <c r="AN301" s="158">
        <v>78</v>
      </c>
      <c r="AO301" s="158">
        <v>67</v>
      </c>
      <c r="AP301" s="158">
        <v>76</v>
      </c>
      <c r="AQ301" s="158">
        <v>99</v>
      </c>
      <c r="AR301" s="158">
        <v>78</v>
      </c>
      <c r="AS301" s="158">
        <v>93</v>
      </c>
      <c r="AT301" s="158">
        <v>83</v>
      </c>
    </row>
    <row r="302" spans="1:58" s="158" customFormat="1">
      <c r="A302" s="158" t="s">
        <v>437</v>
      </c>
      <c r="B302" s="158" t="s">
        <v>438</v>
      </c>
      <c r="C302" s="273" t="s">
        <v>439</v>
      </c>
      <c r="D302" s="274" t="s">
        <v>87</v>
      </c>
      <c r="E302" s="275" t="s">
        <v>88</v>
      </c>
      <c r="F302" s="276">
        <v>7</v>
      </c>
      <c r="G302" s="276" t="s">
        <v>145</v>
      </c>
      <c r="H302" s="277">
        <v>622</v>
      </c>
      <c r="I302" s="278">
        <v>36.81</v>
      </c>
      <c r="J302" s="279">
        <v>22639</v>
      </c>
      <c r="K302" s="280"/>
      <c r="L302" s="279">
        <f t="shared" ref="L302" si="232">J302-(J302*K302)</f>
        <v>22639</v>
      </c>
      <c r="M302" s="281">
        <f t="shared" ref="M302" si="233">L302/H302</f>
        <v>36.39710610932476</v>
      </c>
      <c r="N302" s="282"/>
      <c r="O302" s="282"/>
      <c r="P302" s="282"/>
      <c r="Q302" s="282"/>
      <c r="R302" s="282"/>
      <c r="S302" s="283">
        <v>6.24</v>
      </c>
      <c r="T302" s="283"/>
      <c r="U302" s="158" t="s">
        <v>440</v>
      </c>
      <c r="V302" s="285" t="s">
        <v>214</v>
      </c>
      <c r="W302" s="285"/>
      <c r="X302" s="286">
        <v>0.28000000000000003</v>
      </c>
      <c r="Y302" s="286"/>
      <c r="Z302" s="287">
        <v>0.33</v>
      </c>
      <c r="AA302" s="438"/>
      <c r="AB302" s="289"/>
      <c r="AC302" s="289"/>
      <c r="AD302" s="289"/>
      <c r="AE302" s="289"/>
      <c r="AF302" s="455"/>
      <c r="AG302" s="158" t="s">
        <v>441</v>
      </c>
      <c r="AH302" s="285"/>
      <c r="AI302" s="158">
        <v>70</v>
      </c>
      <c r="AJ302" s="158">
        <v>65</v>
      </c>
      <c r="AK302" s="158">
        <v>78</v>
      </c>
      <c r="AL302" s="158">
        <v>83</v>
      </c>
      <c r="AM302" s="158">
        <v>75</v>
      </c>
      <c r="AN302" s="158">
        <v>79</v>
      </c>
      <c r="AO302" s="158">
        <v>80</v>
      </c>
      <c r="AP302" s="158">
        <v>59</v>
      </c>
      <c r="AQ302" s="158">
        <v>68</v>
      </c>
      <c r="AR302" s="158">
        <v>73</v>
      </c>
      <c r="AS302" s="158">
        <v>78</v>
      </c>
      <c r="AT302" s="158">
        <v>69</v>
      </c>
      <c r="AU302" s="158">
        <v>69</v>
      </c>
      <c r="AV302" s="158">
        <v>73</v>
      </c>
      <c r="AW302" s="158">
        <v>70</v>
      </c>
      <c r="AX302" s="158">
        <v>38</v>
      </c>
      <c r="AY302" s="158">
        <v>43</v>
      </c>
      <c r="AZ302" s="158">
        <v>49</v>
      </c>
    </row>
    <row r="303" spans="1:58" s="296" customFormat="1">
      <c r="A303" s="296" t="s">
        <v>437</v>
      </c>
      <c r="B303" s="296" t="s">
        <v>442</v>
      </c>
      <c r="C303" s="298" t="s">
        <v>443</v>
      </c>
      <c r="D303" s="299" t="s">
        <v>87</v>
      </c>
      <c r="E303" s="300" t="s">
        <v>160</v>
      </c>
      <c r="F303" s="297" t="s">
        <v>444</v>
      </c>
      <c r="G303" s="297" t="s">
        <v>140</v>
      </c>
      <c r="H303" s="301">
        <v>726</v>
      </c>
      <c r="I303" s="317">
        <v>42.12009114</v>
      </c>
      <c r="J303" s="318">
        <v>30107</v>
      </c>
      <c r="K303" s="237"/>
      <c r="L303" s="318">
        <f t="shared" si="196"/>
        <v>30107</v>
      </c>
      <c r="M303" s="319">
        <f t="shared" si="197"/>
        <v>41.469696969696969</v>
      </c>
      <c r="N303" s="304"/>
      <c r="O303" s="304"/>
      <c r="P303" s="304"/>
      <c r="Q303" s="304">
        <v>4.28</v>
      </c>
      <c r="R303" s="304">
        <v>7.24</v>
      </c>
      <c r="S303" s="305">
        <v>6.31</v>
      </c>
      <c r="T303" s="305"/>
      <c r="V303" s="306"/>
      <c r="W303" s="306"/>
      <c r="X303" s="307">
        <v>0.39</v>
      </c>
      <c r="Y303" s="307"/>
      <c r="Z303" s="304">
        <v>0.4</v>
      </c>
      <c r="AA303" s="431">
        <v>46112</v>
      </c>
      <c r="AB303" s="233">
        <f t="shared" si="198"/>
        <v>57.8</v>
      </c>
      <c r="AC303" s="233">
        <f t="shared" si="199"/>
        <v>22.541999999999998</v>
      </c>
      <c r="AD303" s="233">
        <f t="shared" si="226"/>
        <v>8.0563927526202388</v>
      </c>
      <c r="AE303" s="233"/>
      <c r="AF303" s="448"/>
      <c r="AH303" s="306" t="s">
        <v>91</v>
      </c>
      <c r="AI303" s="296">
        <v>63</v>
      </c>
      <c r="AJ303" s="296">
        <v>53</v>
      </c>
      <c r="AK303" s="296">
        <v>52</v>
      </c>
      <c r="AL303" s="296">
        <v>65</v>
      </c>
      <c r="AM303" s="296">
        <v>49</v>
      </c>
      <c r="AN303" s="296">
        <v>56</v>
      </c>
      <c r="AO303" s="296">
        <v>75</v>
      </c>
      <c r="AP303" s="296">
        <v>37</v>
      </c>
      <c r="AQ303" s="296">
        <v>69</v>
      </c>
      <c r="AR303" s="296">
        <v>58</v>
      </c>
      <c r="AS303" s="296">
        <v>62</v>
      </c>
      <c r="AT303" s="296">
        <v>46</v>
      </c>
      <c r="AU303" s="296">
        <v>79</v>
      </c>
      <c r="AV303" s="296">
        <v>56</v>
      </c>
      <c r="AW303" s="296">
        <v>62</v>
      </c>
      <c r="AX303" s="296">
        <v>53</v>
      </c>
      <c r="AY303" s="296">
        <v>52</v>
      </c>
      <c r="AZ303" s="296">
        <v>50</v>
      </c>
      <c r="BA303" s="296">
        <v>56</v>
      </c>
      <c r="BB303" s="296">
        <v>63</v>
      </c>
    </row>
    <row r="304" spans="1:58" s="296" customFormat="1">
      <c r="A304" s="296" t="s">
        <v>437</v>
      </c>
      <c r="B304" s="296" t="s">
        <v>442</v>
      </c>
      <c r="C304" s="298" t="s">
        <v>443</v>
      </c>
      <c r="D304" s="299" t="s">
        <v>87</v>
      </c>
      <c r="E304" s="300" t="s">
        <v>160</v>
      </c>
      <c r="F304" s="297" t="s">
        <v>444</v>
      </c>
      <c r="G304" s="297" t="s">
        <v>140</v>
      </c>
      <c r="H304" s="301">
        <v>726</v>
      </c>
      <c r="I304" s="317">
        <v>42.12009114</v>
      </c>
      <c r="J304" s="318">
        <v>30107</v>
      </c>
      <c r="K304" s="237"/>
      <c r="L304" s="318">
        <f t="shared" si="196"/>
        <v>30107</v>
      </c>
      <c r="M304" s="319">
        <f t="shared" si="197"/>
        <v>41.469696969696969</v>
      </c>
      <c r="N304" s="304"/>
      <c r="O304" s="304"/>
      <c r="P304" s="304"/>
      <c r="Q304" s="304">
        <v>4.28</v>
      </c>
      <c r="R304" s="304">
        <v>7.24</v>
      </c>
      <c r="S304" s="305">
        <v>6.31</v>
      </c>
      <c r="T304" s="305"/>
      <c r="V304" s="306"/>
      <c r="W304" s="306"/>
      <c r="X304" s="307">
        <v>0.39</v>
      </c>
      <c r="Y304" s="307"/>
      <c r="Z304" s="304">
        <v>0.4</v>
      </c>
      <c r="AA304" s="431">
        <v>46141</v>
      </c>
      <c r="AB304" s="233">
        <f t="shared" si="198"/>
        <v>56.06666666666667</v>
      </c>
      <c r="AC304" s="233">
        <f t="shared" si="199"/>
        <v>21.866000000000003</v>
      </c>
      <c r="AD304" s="233">
        <f t="shared" si="226"/>
        <v>7.8147938926800729</v>
      </c>
      <c r="AE304" s="233"/>
      <c r="AF304" s="448"/>
      <c r="AH304" s="306" t="s">
        <v>91</v>
      </c>
      <c r="AI304" s="296">
        <v>54</v>
      </c>
      <c r="AJ304" s="296">
        <v>82</v>
      </c>
      <c r="AK304" s="296">
        <v>63</v>
      </c>
      <c r="AL304" s="296">
        <v>57</v>
      </c>
      <c r="AM304" s="296">
        <v>51</v>
      </c>
      <c r="AN304" s="296">
        <v>53</v>
      </c>
      <c r="AO304" s="296">
        <v>49</v>
      </c>
      <c r="AP304" s="296">
        <v>54</v>
      </c>
      <c r="AQ304" s="296">
        <v>38</v>
      </c>
      <c r="AR304" s="296">
        <v>51</v>
      </c>
      <c r="AS304" s="296">
        <v>59</v>
      </c>
      <c r="AT304" s="296">
        <v>62</v>
      </c>
      <c r="AU304" s="296">
        <v>53</v>
      </c>
      <c r="AV304" s="296">
        <v>53</v>
      </c>
      <c r="AW304" s="296">
        <v>62</v>
      </c>
    </row>
    <row r="305" spans="1:49" s="296" customFormat="1">
      <c r="A305" s="296" t="s">
        <v>437</v>
      </c>
      <c r="B305" s="296" t="s">
        <v>442</v>
      </c>
      <c r="C305" s="298" t="s">
        <v>443</v>
      </c>
      <c r="D305" s="299" t="s">
        <v>87</v>
      </c>
      <c r="E305" s="300" t="s">
        <v>160</v>
      </c>
      <c r="F305" s="297" t="s">
        <v>444</v>
      </c>
      <c r="G305" s="297" t="s">
        <v>140</v>
      </c>
      <c r="H305" s="301">
        <v>726</v>
      </c>
      <c r="I305" s="317">
        <v>42.12009114</v>
      </c>
      <c r="J305" s="318">
        <v>30107</v>
      </c>
      <c r="K305" s="237"/>
      <c r="L305" s="318">
        <f t="shared" ref="L305:L348" si="234">J305-(J305*K305)</f>
        <v>30107</v>
      </c>
      <c r="M305" s="319">
        <f t="shared" ref="M305:M348" si="235">L305/H305</f>
        <v>41.469696969696969</v>
      </c>
      <c r="N305" s="304"/>
      <c r="O305" s="304"/>
      <c r="P305" s="304"/>
      <c r="Q305" s="304">
        <v>4.28</v>
      </c>
      <c r="R305" s="304">
        <v>7.24</v>
      </c>
      <c r="S305" s="305">
        <v>6.31</v>
      </c>
      <c r="T305" s="305"/>
      <c r="V305" s="306"/>
      <c r="W305" s="306"/>
      <c r="X305" s="307">
        <v>0.39</v>
      </c>
      <c r="Y305" s="307"/>
      <c r="Z305" s="304">
        <v>0.4</v>
      </c>
      <c r="AA305" s="431">
        <v>46175</v>
      </c>
      <c r="AB305" s="233">
        <f t="shared" si="198"/>
        <v>53.333333333333336</v>
      </c>
      <c r="AC305" s="233">
        <f t="shared" ref="AC305:AC348" si="236">IFERROR(AB305*X305,"")</f>
        <v>20.8</v>
      </c>
      <c r="AD305" s="233">
        <f t="shared" si="226"/>
        <v>7.4338110750821134</v>
      </c>
      <c r="AE305" s="233"/>
      <c r="AF305" s="448"/>
      <c r="AH305" s="306" t="s">
        <v>116</v>
      </c>
      <c r="AI305" s="296">
        <v>52</v>
      </c>
      <c r="AJ305" s="296">
        <v>56</v>
      </c>
      <c r="AK305" s="296">
        <v>59</v>
      </c>
      <c r="AL305" s="296">
        <v>64</v>
      </c>
      <c r="AM305" s="296">
        <v>45</v>
      </c>
      <c r="AN305" s="296">
        <v>53</v>
      </c>
      <c r="AO305" s="296">
        <v>55</v>
      </c>
      <c r="AP305" s="296">
        <v>49</v>
      </c>
      <c r="AQ305" s="296">
        <v>60</v>
      </c>
      <c r="AR305" s="296">
        <v>59</v>
      </c>
      <c r="AS305" s="296">
        <v>53</v>
      </c>
      <c r="AT305" s="296">
        <v>48</v>
      </c>
      <c r="AU305" s="296">
        <v>49</v>
      </c>
      <c r="AV305" s="296">
        <v>51</v>
      </c>
      <c r="AW305" s="296">
        <v>47</v>
      </c>
    </row>
    <row r="306" spans="1:49" s="296" customFormat="1">
      <c r="A306" s="296" t="s">
        <v>437</v>
      </c>
      <c r="B306" s="296" t="s">
        <v>442</v>
      </c>
      <c r="C306" s="298" t="s">
        <v>443</v>
      </c>
      <c r="D306" s="299" t="s">
        <v>87</v>
      </c>
      <c r="E306" s="300" t="s">
        <v>160</v>
      </c>
      <c r="F306" s="297" t="s">
        <v>444</v>
      </c>
      <c r="G306" s="297" t="s">
        <v>140</v>
      </c>
      <c r="H306" s="301">
        <v>726</v>
      </c>
      <c r="I306" s="317">
        <v>42.12009114</v>
      </c>
      <c r="J306" s="318">
        <v>30107</v>
      </c>
      <c r="K306" s="237"/>
      <c r="L306" s="318">
        <f t="shared" si="234"/>
        <v>30107</v>
      </c>
      <c r="M306" s="319">
        <f t="shared" si="235"/>
        <v>41.469696969696969</v>
      </c>
      <c r="N306" s="304"/>
      <c r="O306" s="304"/>
      <c r="P306" s="304"/>
      <c r="Q306" s="304">
        <v>4.28</v>
      </c>
      <c r="R306" s="304">
        <v>7.24</v>
      </c>
      <c r="S306" s="305">
        <v>6.31</v>
      </c>
      <c r="T306" s="305"/>
      <c r="V306" s="306"/>
      <c r="W306" s="306"/>
      <c r="X306" s="307">
        <v>0.39</v>
      </c>
      <c r="Y306" s="307"/>
      <c r="Z306" s="304">
        <v>0.4</v>
      </c>
      <c r="AA306" s="431"/>
      <c r="AB306" s="233" t="str">
        <f t="shared" si="198"/>
        <v/>
      </c>
      <c r="AC306" s="233" t="str">
        <f t="shared" si="236"/>
        <v/>
      </c>
      <c r="AD306" s="233" t="str">
        <f t="shared" si="226"/>
        <v/>
      </c>
      <c r="AE306" s="233"/>
      <c r="AF306" s="448"/>
      <c r="AH306" s="306"/>
    </row>
    <row r="307" spans="1:49" s="113" customFormat="1">
      <c r="A307" s="113" t="s">
        <v>437</v>
      </c>
      <c r="B307" s="113" t="s">
        <v>445</v>
      </c>
      <c r="C307" s="114" t="s">
        <v>446</v>
      </c>
      <c r="D307" s="128" t="s">
        <v>87</v>
      </c>
      <c r="E307" s="127" t="s">
        <v>114</v>
      </c>
      <c r="F307" s="126" t="s">
        <v>447</v>
      </c>
      <c r="G307" s="126" t="s">
        <v>96</v>
      </c>
      <c r="H307" s="123">
        <v>806.66666666666663</v>
      </c>
      <c r="I307" s="125">
        <v>46.96</v>
      </c>
      <c r="J307" s="123">
        <v>37779</v>
      </c>
      <c r="K307" s="124"/>
      <c r="L307" s="123">
        <f t="shared" si="234"/>
        <v>37779</v>
      </c>
      <c r="M307" s="122">
        <f t="shared" si="235"/>
        <v>46.833471074380171</v>
      </c>
      <c r="N307" s="118"/>
      <c r="O307" s="118"/>
      <c r="P307" s="118"/>
      <c r="Q307" s="118"/>
      <c r="R307" s="118">
        <v>6.77</v>
      </c>
      <c r="S307" s="153">
        <v>6.96</v>
      </c>
      <c r="T307" s="153">
        <v>8.93</v>
      </c>
      <c r="U307" s="113" t="s">
        <v>115</v>
      </c>
      <c r="V307" s="115" t="s">
        <v>115</v>
      </c>
      <c r="W307" s="115"/>
      <c r="X307" s="120">
        <v>0.31</v>
      </c>
      <c r="Y307" s="120"/>
      <c r="Z307" s="118">
        <v>0.35</v>
      </c>
      <c r="AA307" s="430">
        <v>46108</v>
      </c>
      <c r="AB307" s="117">
        <f t="shared" si="198"/>
        <v>75</v>
      </c>
      <c r="AC307" s="117">
        <f t="shared" si="236"/>
        <v>23.25</v>
      </c>
      <c r="AD307" s="117">
        <f t="shared" si="226"/>
        <v>9.3522332836456563</v>
      </c>
      <c r="AE307" s="117"/>
      <c r="AF307" s="447"/>
      <c r="AG307" s="113" t="s">
        <v>448</v>
      </c>
      <c r="AH307" s="115" t="s">
        <v>137</v>
      </c>
      <c r="AI307" s="113">
        <v>74</v>
      </c>
      <c r="AJ307" s="113">
        <v>68</v>
      </c>
      <c r="AK307" s="113">
        <v>82</v>
      </c>
      <c r="AL307" s="113">
        <v>73</v>
      </c>
      <c r="AM307" s="113">
        <v>66</v>
      </c>
      <c r="AN307" s="113">
        <v>72</v>
      </c>
      <c r="AO307" s="113">
        <v>81</v>
      </c>
      <c r="AP307" s="113">
        <v>77</v>
      </c>
      <c r="AQ307" s="113">
        <v>85</v>
      </c>
      <c r="AR307" s="113">
        <v>72</v>
      </c>
    </row>
    <row r="308" spans="1:49" s="113" customFormat="1">
      <c r="A308" s="113" t="s">
        <v>437</v>
      </c>
      <c r="B308" s="113" t="s">
        <v>445</v>
      </c>
      <c r="C308" s="114" t="s">
        <v>446</v>
      </c>
      <c r="D308" s="128" t="s">
        <v>87</v>
      </c>
      <c r="E308" s="127" t="s">
        <v>114</v>
      </c>
      <c r="F308" s="126" t="s">
        <v>447</v>
      </c>
      <c r="G308" s="126" t="s">
        <v>96</v>
      </c>
      <c r="H308" s="123">
        <v>806.66666666666663</v>
      </c>
      <c r="I308" s="125">
        <v>46.96</v>
      </c>
      <c r="J308" s="123">
        <v>37779</v>
      </c>
      <c r="K308" s="124"/>
      <c r="L308" s="123">
        <f t="shared" si="234"/>
        <v>37779</v>
      </c>
      <c r="M308" s="122">
        <f t="shared" si="235"/>
        <v>46.833471074380171</v>
      </c>
      <c r="N308" s="118"/>
      <c r="O308" s="118"/>
      <c r="P308" s="118"/>
      <c r="Q308" s="118"/>
      <c r="R308" s="118">
        <v>6.77</v>
      </c>
      <c r="S308" s="153">
        <v>6.96</v>
      </c>
      <c r="T308" s="153">
        <v>8.93</v>
      </c>
      <c r="U308" s="113" t="s">
        <v>449</v>
      </c>
      <c r="V308" s="115" t="s">
        <v>103</v>
      </c>
      <c r="W308" s="115"/>
      <c r="X308" s="120">
        <v>0.33</v>
      </c>
      <c r="Y308" s="120"/>
      <c r="Z308" s="118">
        <v>0.35</v>
      </c>
      <c r="AA308" s="430">
        <v>46111</v>
      </c>
      <c r="AB308" s="117">
        <f t="shared" si="198"/>
        <v>69.230769230769226</v>
      </c>
      <c r="AC308" s="117">
        <f t="shared" si="236"/>
        <v>22.846153846153847</v>
      </c>
      <c r="AD308" s="117">
        <f t="shared" si="226"/>
        <v>9.1897875442274923</v>
      </c>
      <c r="AE308" s="117"/>
      <c r="AF308" s="447"/>
      <c r="AH308" s="115" t="s">
        <v>165</v>
      </c>
      <c r="AI308" s="113">
        <v>70</v>
      </c>
      <c r="AJ308" s="113">
        <v>68</v>
      </c>
      <c r="AK308" s="113">
        <v>69</v>
      </c>
      <c r="AL308" s="113">
        <v>69</v>
      </c>
      <c r="AM308" s="113">
        <v>61</v>
      </c>
      <c r="AN308" s="113">
        <v>66</v>
      </c>
      <c r="AO308" s="113">
        <v>70</v>
      </c>
      <c r="AP308" s="113">
        <v>71</v>
      </c>
      <c r="AQ308" s="113">
        <v>77</v>
      </c>
      <c r="AR308" s="113">
        <v>69</v>
      </c>
      <c r="AS308" s="113">
        <v>77</v>
      </c>
      <c r="AT308" s="113">
        <v>66</v>
      </c>
      <c r="AU308" s="113">
        <v>67</v>
      </c>
    </row>
    <row r="309" spans="1:49" s="113" customFormat="1">
      <c r="A309" s="113" t="s">
        <v>437</v>
      </c>
      <c r="B309" s="113" t="s">
        <v>445</v>
      </c>
      <c r="C309" s="114" t="s">
        <v>446</v>
      </c>
      <c r="D309" s="128" t="s">
        <v>87</v>
      </c>
      <c r="E309" s="127" t="s">
        <v>114</v>
      </c>
      <c r="F309" s="126" t="s">
        <v>447</v>
      </c>
      <c r="G309" s="126" t="s">
        <v>96</v>
      </c>
      <c r="H309" s="123">
        <v>806.66666666666663</v>
      </c>
      <c r="I309" s="125">
        <v>46.96</v>
      </c>
      <c r="J309" s="123">
        <v>37779</v>
      </c>
      <c r="K309" s="124"/>
      <c r="L309" s="123">
        <f t="shared" ref="L309" si="237">J309-(J309*K309)</f>
        <v>37779</v>
      </c>
      <c r="M309" s="122">
        <f t="shared" ref="M309" si="238">L309/H309</f>
        <v>46.833471074380171</v>
      </c>
      <c r="N309" s="118"/>
      <c r="O309" s="118"/>
      <c r="P309" s="118"/>
      <c r="Q309" s="118"/>
      <c r="R309" s="118">
        <v>6.77</v>
      </c>
      <c r="S309" s="153">
        <v>6.96</v>
      </c>
      <c r="T309" s="153">
        <v>8.93</v>
      </c>
      <c r="U309" s="113" t="s">
        <v>450</v>
      </c>
      <c r="V309" s="115" t="s">
        <v>103</v>
      </c>
      <c r="W309" s="115"/>
      <c r="X309" s="120">
        <v>0.33</v>
      </c>
      <c r="Y309" s="120"/>
      <c r="Z309" s="118">
        <v>0.35</v>
      </c>
      <c r="AA309" s="430">
        <v>46114</v>
      </c>
      <c r="AB309" s="117">
        <f t="shared" ref="AB309" si="239">IFERROR(AVERAGE(AI309:BG309),"")</f>
        <v>54.916666666666664</v>
      </c>
      <c r="AC309" s="117">
        <f t="shared" ref="AC309" si="240">IFERROR(AB309*X309,"")</f>
        <v>18.122499999999999</v>
      </c>
      <c r="AD309" s="117">
        <f t="shared" ref="AD309" si="241">IFERROR(((AC309*L309)/2000)/I309,"")</f>
        <v>7.2897138788330489</v>
      </c>
      <c r="AE309" s="117"/>
      <c r="AF309" s="447"/>
      <c r="AH309" s="115" t="s">
        <v>165</v>
      </c>
      <c r="AI309" s="113">
        <v>47</v>
      </c>
      <c r="AJ309" s="113">
        <v>51</v>
      </c>
      <c r="AK309" s="113">
        <v>49</v>
      </c>
      <c r="AL309" s="113">
        <v>52</v>
      </c>
      <c r="AM309" s="113">
        <v>58</v>
      </c>
      <c r="AN309" s="113">
        <v>61</v>
      </c>
      <c r="AO309" s="113">
        <v>53</v>
      </c>
      <c r="AP309" s="113">
        <v>62</v>
      </c>
      <c r="AQ309" s="113">
        <v>56</v>
      </c>
      <c r="AR309" s="113">
        <v>57</v>
      </c>
      <c r="AS309" s="113">
        <v>49</v>
      </c>
      <c r="AT309" s="113">
        <v>64</v>
      </c>
    </row>
    <row r="310" spans="1:49" s="113" customFormat="1">
      <c r="C310" s="114"/>
      <c r="D310" s="128"/>
      <c r="E310" s="127"/>
      <c r="F310" s="126"/>
      <c r="G310" s="126"/>
      <c r="H310" s="123"/>
      <c r="I310" s="125"/>
      <c r="J310" s="123"/>
      <c r="K310" s="124"/>
      <c r="L310" s="123"/>
      <c r="M310" s="122"/>
      <c r="N310" s="118"/>
      <c r="O310" s="118"/>
      <c r="P310" s="118"/>
      <c r="Q310" s="118"/>
      <c r="R310" s="118"/>
      <c r="S310" s="153"/>
      <c r="T310" s="153"/>
      <c r="V310" s="115"/>
      <c r="W310" s="115"/>
      <c r="X310" s="120"/>
      <c r="Y310" s="120"/>
      <c r="Z310" s="118"/>
      <c r="AA310" s="430"/>
      <c r="AB310" s="117"/>
      <c r="AC310" s="117"/>
      <c r="AD310" s="117"/>
      <c r="AE310" s="117"/>
      <c r="AF310" s="447"/>
      <c r="AH310" s="115"/>
    </row>
    <row r="311" spans="1:49" s="296" customFormat="1">
      <c r="A311" s="296" t="s">
        <v>437</v>
      </c>
      <c r="B311" s="296" t="s">
        <v>451</v>
      </c>
      <c r="C311" s="298" t="s">
        <v>452</v>
      </c>
      <c r="D311" s="299" t="s">
        <v>87</v>
      </c>
      <c r="E311" s="300" t="s">
        <v>453</v>
      </c>
      <c r="F311" s="297" t="s">
        <v>181</v>
      </c>
      <c r="G311" s="297" t="s">
        <v>382</v>
      </c>
      <c r="H311" s="301">
        <v>777.85714285714289</v>
      </c>
      <c r="I311" s="302">
        <v>10.029999999999999</v>
      </c>
      <c r="J311" s="301">
        <v>7703</v>
      </c>
      <c r="K311" s="237"/>
      <c r="L311" s="301">
        <f t="shared" si="234"/>
        <v>7703</v>
      </c>
      <c r="M311" s="303">
        <f t="shared" si="235"/>
        <v>9.9028466483011925</v>
      </c>
      <c r="N311" s="304">
        <v>12.44</v>
      </c>
      <c r="O311" s="304">
        <v>7.7</v>
      </c>
      <c r="P311" s="304">
        <v>13.16</v>
      </c>
      <c r="Q311" s="304">
        <v>13.14</v>
      </c>
      <c r="R311" s="304">
        <v>11.39</v>
      </c>
      <c r="S311" s="305">
        <v>13.42</v>
      </c>
      <c r="T311" s="305"/>
      <c r="V311" s="306"/>
      <c r="W311" s="306"/>
      <c r="X311" s="307">
        <v>0.4</v>
      </c>
      <c r="Y311" s="307"/>
      <c r="Z311" s="304">
        <v>0.5</v>
      </c>
      <c r="AA311" s="431">
        <v>46178</v>
      </c>
      <c r="AB311" s="233">
        <f t="shared" si="198"/>
        <v>78.400000000000006</v>
      </c>
      <c r="AC311" s="233">
        <f t="shared" si="236"/>
        <v>31.360000000000003</v>
      </c>
      <c r="AD311" s="233">
        <f t="shared" si="226"/>
        <v>12.042177467597211</v>
      </c>
      <c r="AE311" s="233"/>
      <c r="AF311" s="448"/>
      <c r="AH311" s="306" t="s">
        <v>91</v>
      </c>
      <c r="AI311" s="296">
        <v>58</v>
      </c>
      <c r="AJ311" s="296">
        <v>85</v>
      </c>
      <c r="AK311" s="296">
        <v>71</v>
      </c>
      <c r="AL311" s="296">
        <v>67</v>
      </c>
      <c r="AM311" s="296">
        <v>86</v>
      </c>
      <c r="AN311" s="296">
        <v>73</v>
      </c>
      <c r="AO311" s="296">
        <v>83</v>
      </c>
      <c r="AP311" s="296">
        <v>77</v>
      </c>
      <c r="AQ311" s="296">
        <v>94</v>
      </c>
      <c r="AR311" s="296">
        <v>85</v>
      </c>
      <c r="AS311" s="296">
        <v>70</v>
      </c>
      <c r="AT311" s="296">
        <v>69</v>
      </c>
      <c r="AU311" s="296">
        <v>78</v>
      </c>
      <c r="AV311" s="296">
        <v>95</v>
      </c>
      <c r="AW311" s="296">
        <v>85</v>
      </c>
    </row>
    <row r="312" spans="1:49" s="113" customFormat="1">
      <c r="A312" s="113" t="s">
        <v>437</v>
      </c>
      <c r="B312" s="113" t="s">
        <v>454</v>
      </c>
      <c r="C312" s="114" t="s">
        <v>455</v>
      </c>
      <c r="D312" s="128" t="s">
        <v>87</v>
      </c>
      <c r="E312" s="127" t="s">
        <v>129</v>
      </c>
      <c r="F312" s="126" t="s">
        <v>456</v>
      </c>
      <c r="G312" s="126" t="s">
        <v>96</v>
      </c>
      <c r="H312" s="123">
        <v>622.28571428571433</v>
      </c>
      <c r="I312" s="125">
        <v>9.27</v>
      </c>
      <c r="J312" s="123">
        <v>5633</v>
      </c>
      <c r="K312" s="124">
        <v>0.06</v>
      </c>
      <c r="L312" s="123">
        <f t="shared" si="234"/>
        <v>5295.02</v>
      </c>
      <c r="M312" s="122">
        <f t="shared" si="235"/>
        <v>8.5089853076216713</v>
      </c>
      <c r="N312" s="118">
        <v>4.84</v>
      </c>
      <c r="O312" s="118">
        <v>7.37</v>
      </c>
      <c r="P312" s="118">
        <v>6.16</v>
      </c>
      <c r="Q312" s="118">
        <v>5.36</v>
      </c>
      <c r="R312" s="118"/>
      <c r="S312" s="153">
        <v>7.22</v>
      </c>
      <c r="T312" s="153"/>
      <c r="V312" s="115"/>
      <c r="W312" s="115"/>
      <c r="X312" s="120">
        <v>0.36</v>
      </c>
      <c r="Y312" s="120"/>
      <c r="Z312" s="118">
        <v>0.45</v>
      </c>
      <c r="AA312" s="430">
        <v>46177</v>
      </c>
      <c r="AB312" s="117">
        <f t="shared" si="198"/>
        <v>52.533333333333331</v>
      </c>
      <c r="AC312" s="117">
        <f t="shared" si="236"/>
        <v>18.911999999999999</v>
      </c>
      <c r="AD312" s="117">
        <f t="shared" si="226"/>
        <v>5.4012631197411007</v>
      </c>
      <c r="AE312" s="117"/>
      <c r="AF312" s="447"/>
      <c r="AH312" s="115" t="s">
        <v>116</v>
      </c>
      <c r="AI312" s="113">
        <v>44</v>
      </c>
      <c r="AJ312" s="113">
        <v>59</v>
      </c>
      <c r="AK312" s="113">
        <v>48</v>
      </c>
      <c r="AL312" s="113">
        <v>45</v>
      </c>
      <c r="AM312" s="113">
        <v>56</v>
      </c>
      <c r="AN312" s="113">
        <v>51</v>
      </c>
      <c r="AO312" s="113">
        <v>39</v>
      </c>
      <c r="AP312" s="113">
        <v>47</v>
      </c>
      <c r="AQ312" s="113">
        <v>53</v>
      </c>
      <c r="AR312" s="113">
        <v>58</v>
      </c>
      <c r="AS312" s="113">
        <v>49</v>
      </c>
      <c r="AT312" s="113">
        <v>44</v>
      </c>
      <c r="AU312" s="113">
        <v>59</v>
      </c>
      <c r="AV312" s="113">
        <v>56</v>
      </c>
      <c r="AW312" s="113">
        <v>80</v>
      </c>
    </row>
    <row r="313" spans="1:49" s="113" customFormat="1">
      <c r="A313" s="113" t="s">
        <v>437</v>
      </c>
      <c r="B313" s="113" t="s">
        <v>454</v>
      </c>
      <c r="C313" s="114" t="s">
        <v>455</v>
      </c>
      <c r="D313" s="128" t="s">
        <v>87</v>
      </c>
      <c r="E313" s="127" t="s">
        <v>129</v>
      </c>
      <c r="F313" s="126" t="s">
        <v>456</v>
      </c>
      <c r="G313" s="126" t="s">
        <v>96</v>
      </c>
      <c r="H313" s="123">
        <v>622.28571428571433</v>
      </c>
      <c r="I313" s="125">
        <v>9.27</v>
      </c>
      <c r="J313" s="123">
        <v>5633</v>
      </c>
      <c r="K313" s="124">
        <v>0.06</v>
      </c>
      <c r="L313" s="123">
        <f t="shared" si="234"/>
        <v>5295.02</v>
      </c>
      <c r="M313" s="122">
        <f t="shared" si="235"/>
        <v>8.5089853076216713</v>
      </c>
      <c r="N313" s="118">
        <v>4.84</v>
      </c>
      <c r="O313" s="118">
        <v>7.37</v>
      </c>
      <c r="P313" s="118">
        <v>6.16</v>
      </c>
      <c r="Q313" s="118">
        <v>5.36</v>
      </c>
      <c r="R313" s="118"/>
      <c r="S313" s="153">
        <v>7.22</v>
      </c>
      <c r="T313" s="153"/>
      <c r="V313" s="115"/>
      <c r="W313" s="115"/>
      <c r="X313" s="120">
        <v>0.36</v>
      </c>
      <c r="Y313" s="120"/>
      <c r="Z313" s="118">
        <v>0.45</v>
      </c>
      <c r="AA313" s="430">
        <v>46178</v>
      </c>
      <c r="AB313" s="117">
        <f t="shared" si="198"/>
        <v>73.13333333333334</v>
      </c>
      <c r="AC313" s="117">
        <f t="shared" si="236"/>
        <v>26.328000000000003</v>
      </c>
      <c r="AD313" s="117">
        <f t="shared" si="226"/>
        <v>7.5192711197411031</v>
      </c>
      <c r="AE313" s="117"/>
      <c r="AF313" s="447"/>
      <c r="AH313" s="115" t="s">
        <v>91</v>
      </c>
      <c r="AI313" s="113">
        <v>69</v>
      </c>
      <c r="AJ313" s="113">
        <v>76</v>
      </c>
      <c r="AK313" s="113">
        <v>61</v>
      </c>
      <c r="AL313" s="113">
        <v>85</v>
      </c>
      <c r="AM313" s="113">
        <v>75</v>
      </c>
      <c r="AN313" s="113">
        <v>62</v>
      </c>
      <c r="AO313" s="113">
        <v>70</v>
      </c>
      <c r="AP313" s="113">
        <v>82</v>
      </c>
      <c r="AQ313" s="113">
        <v>75</v>
      </c>
      <c r="AR313" s="113">
        <v>71</v>
      </c>
      <c r="AS313" s="113">
        <v>73</v>
      </c>
      <c r="AT313" s="113">
        <v>77</v>
      </c>
      <c r="AU313" s="113">
        <v>82</v>
      </c>
      <c r="AV313" s="113">
        <v>84</v>
      </c>
      <c r="AW313" s="113">
        <v>55</v>
      </c>
    </row>
    <row r="314" spans="1:49" s="296" customFormat="1">
      <c r="A314" s="296" t="s">
        <v>437</v>
      </c>
      <c r="B314" s="296" t="s">
        <v>457</v>
      </c>
      <c r="C314" s="298" t="s">
        <v>458</v>
      </c>
      <c r="D314" s="299" t="s">
        <v>87</v>
      </c>
      <c r="E314" s="300" t="s">
        <v>88</v>
      </c>
      <c r="F314" s="297"/>
      <c r="G314" s="297"/>
      <c r="H314" s="301">
        <v>622</v>
      </c>
      <c r="I314" s="302">
        <v>9.27</v>
      </c>
      <c r="J314" s="301">
        <v>5670</v>
      </c>
      <c r="K314" s="237">
        <v>0.03</v>
      </c>
      <c r="L314" s="301">
        <f t="shared" si="234"/>
        <v>5499.9</v>
      </c>
      <c r="M314" s="303">
        <f t="shared" si="235"/>
        <v>8.8422829581993572</v>
      </c>
      <c r="N314" s="304"/>
      <c r="O314" s="304"/>
      <c r="P314" s="304"/>
      <c r="Q314" s="304"/>
      <c r="R314" s="304"/>
      <c r="S314" s="305"/>
      <c r="T314" s="305"/>
      <c r="V314" s="306"/>
      <c r="W314" s="306"/>
      <c r="X314" s="307">
        <v>0.28999999999999998</v>
      </c>
      <c r="Y314" s="307"/>
      <c r="Z314" s="304">
        <v>0.33</v>
      </c>
      <c r="AA314" s="431"/>
      <c r="AB314" s="233" t="str">
        <f t="shared" si="198"/>
        <v/>
      </c>
      <c r="AC314" s="233" t="str">
        <f t="shared" si="236"/>
        <v/>
      </c>
      <c r="AD314" s="233" t="str">
        <f t="shared" si="226"/>
        <v/>
      </c>
      <c r="AE314" s="233"/>
      <c r="AF314" s="448"/>
      <c r="AH314" s="306"/>
    </row>
    <row r="315" spans="1:49" s="296" customFormat="1">
      <c r="A315" s="296" t="s">
        <v>437</v>
      </c>
      <c r="B315" s="296" t="s">
        <v>457</v>
      </c>
      <c r="C315" s="298" t="s">
        <v>458</v>
      </c>
      <c r="D315" s="299" t="s">
        <v>87</v>
      </c>
      <c r="E315" s="300" t="s">
        <v>88</v>
      </c>
      <c r="F315" s="297"/>
      <c r="G315" s="297"/>
      <c r="H315" s="301">
        <v>622</v>
      </c>
      <c r="I315" s="302">
        <v>9.27</v>
      </c>
      <c r="J315" s="301">
        <v>5670</v>
      </c>
      <c r="K315" s="237">
        <v>0.03</v>
      </c>
      <c r="L315" s="301">
        <f t="shared" si="234"/>
        <v>5499.9</v>
      </c>
      <c r="M315" s="303">
        <f t="shared" si="235"/>
        <v>8.8422829581993572</v>
      </c>
      <c r="N315" s="304"/>
      <c r="O315" s="304"/>
      <c r="P315" s="304"/>
      <c r="Q315" s="304"/>
      <c r="R315" s="304"/>
      <c r="S315" s="305"/>
      <c r="T315" s="305"/>
      <c r="V315" s="306"/>
      <c r="W315" s="306"/>
      <c r="X315" s="307">
        <v>0.33</v>
      </c>
      <c r="Y315" s="307"/>
      <c r="Z315" s="304">
        <v>0.33</v>
      </c>
      <c r="AA315" s="431"/>
      <c r="AB315" s="233" t="str">
        <f t="shared" si="198"/>
        <v/>
      </c>
      <c r="AC315" s="233" t="str">
        <f t="shared" si="236"/>
        <v/>
      </c>
      <c r="AD315" s="233" t="str">
        <f t="shared" si="226"/>
        <v/>
      </c>
      <c r="AE315" s="233"/>
      <c r="AF315" s="448"/>
      <c r="AH315" s="306"/>
    </row>
    <row r="316" spans="1:49" s="296" customFormat="1">
      <c r="A316" s="296" t="s">
        <v>437</v>
      </c>
      <c r="B316" s="296" t="s">
        <v>457</v>
      </c>
      <c r="C316" s="298" t="s">
        <v>458</v>
      </c>
      <c r="D316" s="299" t="s">
        <v>87</v>
      </c>
      <c r="E316" s="300" t="s">
        <v>88</v>
      </c>
      <c r="F316" s="297"/>
      <c r="G316" s="297"/>
      <c r="H316" s="301">
        <v>622</v>
      </c>
      <c r="I316" s="302">
        <v>9.27</v>
      </c>
      <c r="J316" s="301">
        <v>5670</v>
      </c>
      <c r="K316" s="237">
        <v>0.03</v>
      </c>
      <c r="L316" s="301">
        <f t="shared" si="234"/>
        <v>5499.9</v>
      </c>
      <c r="M316" s="303">
        <f t="shared" si="235"/>
        <v>8.8422829581993572</v>
      </c>
      <c r="N316" s="304"/>
      <c r="O316" s="304"/>
      <c r="P316" s="304"/>
      <c r="Q316" s="304"/>
      <c r="R316" s="304"/>
      <c r="S316" s="305"/>
      <c r="T316" s="305"/>
      <c r="V316" s="306"/>
      <c r="W316" s="306"/>
      <c r="X316" s="307">
        <v>0.33</v>
      </c>
      <c r="Y316" s="307"/>
      <c r="Z316" s="304">
        <v>0.33</v>
      </c>
      <c r="AA316" s="431"/>
      <c r="AB316" s="233" t="str">
        <f t="shared" si="198"/>
        <v/>
      </c>
      <c r="AC316" s="233" t="str">
        <f t="shared" si="236"/>
        <v/>
      </c>
      <c r="AD316" s="233" t="str">
        <f t="shared" si="226"/>
        <v/>
      </c>
      <c r="AE316" s="233"/>
      <c r="AF316" s="448"/>
      <c r="AG316" s="308"/>
      <c r="AH316" s="306"/>
    </row>
    <row r="317" spans="1:49" s="113" customFormat="1">
      <c r="A317" s="113" t="s">
        <v>437</v>
      </c>
      <c r="B317" s="113" t="s">
        <v>459</v>
      </c>
      <c r="C317" s="114" t="s">
        <v>460</v>
      </c>
      <c r="D317" s="128" t="s">
        <v>87</v>
      </c>
      <c r="E317" s="127" t="s">
        <v>160</v>
      </c>
      <c r="F317" s="126">
        <v>4</v>
      </c>
      <c r="G317" s="126" t="s">
        <v>145</v>
      </c>
      <c r="H317" s="123">
        <v>622.28571428571433</v>
      </c>
      <c r="I317" s="125">
        <v>10.07</v>
      </c>
      <c r="J317" s="123">
        <v>6057</v>
      </c>
      <c r="K317" s="124">
        <v>0.15</v>
      </c>
      <c r="L317" s="123">
        <f t="shared" si="234"/>
        <v>5148.45</v>
      </c>
      <c r="M317" s="122">
        <f t="shared" si="235"/>
        <v>8.2734504132231397</v>
      </c>
      <c r="N317" s="125">
        <v>10.11</v>
      </c>
      <c r="O317" s="125">
        <v>7.08</v>
      </c>
      <c r="P317" s="125">
        <v>8.1</v>
      </c>
      <c r="Q317" s="125">
        <v>8.4</v>
      </c>
      <c r="R317" s="125">
        <v>8.23</v>
      </c>
      <c r="S317" s="154">
        <v>5.16</v>
      </c>
      <c r="T317" s="154"/>
      <c r="V317" s="115"/>
      <c r="W317" s="115"/>
      <c r="X317" s="120">
        <v>0.35</v>
      </c>
      <c r="Y317" s="120"/>
      <c r="Z317" s="118">
        <v>0.4</v>
      </c>
      <c r="AA317" s="430">
        <v>46175</v>
      </c>
      <c r="AB317" s="117">
        <f t="shared" si="198"/>
        <v>50.866666666666667</v>
      </c>
      <c r="AC317" s="117">
        <f t="shared" si="236"/>
        <v>17.803333333333331</v>
      </c>
      <c r="AD317" s="117">
        <f t="shared" si="226"/>
        <v>4.5511207298907639</v>
      </c>
      <c r="AE317" s="117"/>
      <c r="AF317" s="447"/>
      <c r="AH317" s="115"/>
      <c r="AI317" s="113">
        <v>68</v>
      </c>
      <c r="AJ317" s="113">
        <v>47</v>
      </c>
      <c r="AK317" s="113">
        <v>40</v>
      </c>
      <c r="AL317" s="113">
        <v>52</v>
      </c>
      <c r="AM317" s="113">
        <v>45</v>
      </c>
      <c r="AN317" s="113">
        <v>49</v>
      </c>
      <c r="AO317" s="113">
        <v>53</v>
      </c>
      <c r="AP317" s="113">
        <v>59</v>
      </c>
      <c r="AQ317" s="113">
        <v>50</v>
      </c>
      <c r="AR317" s="113">
        <v>46</v>
      </c>
      <c r="AS317" s="113">
        <v>40</v>
      </c>
      <c r="AT317" s="113">
        <v>66</v>
      </c>
      <c r="AU317" s="113">
        <v>49</v>
      </c>
      <c r="AV317" s="113">
        <v>43</v>
      </c>
      <c r="AW317" s="113">
        <v>56</v>
      </c>
    </row>
    <row r="318" spans="1:49" s="113" customFormat="1">
      <c r="A318" s="113" t="s">
        <v>437</v>
      </c>
      <c r="B318" s="113" t="s">
        <v>459</v>
      </c>
      <c r="C318" s="114" t="s">
        <v>460</v>
      </c>
      <c r="D318" s="128" t="s">
        <v>87</v>
      </c>
      <c r="E318" s="127" t="s">
        <v>160</v>
      </c>
      <c r="F318" s="126">
        <v>4</v>
      </c>
      <c r="G318" s="126" t="s">
        <v>145</v>
      </c>
      <c r="H318" s="123">
        <v>622.28571428571433</v>
      </c>
      <c r="I318" s="125">
        <v>10.07</v>
      </c>
      <c r="J318" s="123">
        <v>6057</v>
      </c>
      <c r="K318" s="124">
        <v>0.15</v>
      </c>
      <c r="L318" s="123">
        <f t="shared" si="234"/>
        <v>5148.45</v>
      </c>
      <c r="M318" s="122">
        <f t="shared" si="235"/>
        <v>8.2734504132231397</v>
      </c>
      <c r="N318" s="125">
        <v>10.11</v>
      </c>
      <c r="O318" s="125">
        <v>7.08</v>
      </c>
      <c r="P318" s="125">
        <v>8.1</v>
      </c>
      <c r="Q318" s="125">
        <v>8.4</v>
      </c>
      <c r="R318" s="125">
        <v>8.23</v>
      </c>
      <c r="S318" s="154">
        <v>5.16</v>
      </c>
      <c r="T318" s="154"/>
      <c r="V318" s="115"/>
      <c r="W318" s="115"/>
      <c r="X318" s="120">
        <v>0.35</v>
      </c>
      <c r="Y318" s="120"/>
      <c r="Z318" s="118">
        <v>0.4</v>
      </c>
      <c r="AA318" s="430"/>
      <c r="AB318" s="117" t="str">
        <f t="shared" si="198"/>
        <v/>
      </c>
      <c r="AC318" s="117" t="str">
        <f t="shared" si="236"/>
        <v/>
      </c>
      <c r="AD318" s="117" t="str">
        <f t="shared" si="226"/>
        <v/>
      </c>
      <c r="AE318" s="117"/>
      <c r="AF318" s="447"/>
      <c r="AH318" s="115"/>
    </row>
    <row r="319" spans="1:49" s="113" customFormat="1">
      <c r="A319" s="113" t="s">
        <v>437</v>
      </c>
      <c r="B319" s="113" t="s">
        <v>459</v>
      </c>
      <c r="C319" s="114" t="s">
        <v>460</v>
      </c>
      <c r="D319" s="128" t="s">
        <v>87</v>
      </c>
      <c r="E319" s="127" t="s">
        <v>160</v>
      </c>
      <c r="F319" s="126">
        <v>4</v>
      </c>
      <c r="G319" s="126" t="s">
        <v>145</v>
      </c>
      <c r="H319" s="123">
        <v>622.28571428571433</v>
      </c>
      <c r="I319" s="125">
        <v>10.07</v>
      </c>
      <c r="J319" s="123">
        <v>6057</v>
      </c>
      <c r="K319" s="124">
        <v>0.15</v>
      </c>
      <c r="L319" s="123">
        <f t="shared" si="234"/>
        <v>5148.45</v>
      </c>
      <c r="M319" s="122">
        <f t="shared" si="235"/>
        <v>8.2734504132231397</v>
      </c>
      <c r="N319" s="125">
        <v>10.11</v>
      </c>
      <c r="O319" s="125">
        <v>7.08</v>
      </c>
      <c r="P319" s="125">
        <v>8.1</v>
      </c>
      <c r="Q319" s="125">
        <v>8.4</v>
      </c>
      <c r="R319" s="125">
        <v>8.23</v>
      </c>
      <c r="S319" s="154">
        <v>5.16</v>
      </c>
      <c r="T319" s="154"/>
      <c r="V319" s="115"/>
      <c r="W319" s="115"/>
      <c r="X319" s="120">
        <v>0.35</v>
      </c>
      <c r="Y319" s="120"/>
      <c r="Z319" s="118">
        <v>0.4</v>
      </c>
      <c r="AA319" s="430"/>
      <c r="AB319" s="117" t="str">
        <f t="shared" si="198"/>
        <v/>
      </c>
      <c r="AC319" s="117" t="str">
        <f t="shared" si="236"/>
        <v/>
      </c>
      <c r="AD319" s="117" t="str">
        <f t="shared" si="226"/>
        <v/>
      </c>
      <c r="AE319" s="117"/>
      <c r="AF319" s="447"/>
      <c r="AH319" s="115"/>
    </row>
    <row r="320" spans="1:49" s="296" customFormat="1">
      <c r="A320" s="296" t="s">
        <v>437</v>
      </c>
      <c r="B320" s="296" t="s">
        <v>461</v>
      </c>
      <c r="C320" s="298" t="s">
        <v>462</v>
      </c>
      <c r="D320" s="299" t="s">
        <v>87</v>
      </c>
      <c r="E320" s="300" t="s">
        <v>129</v>
      </c>
      <c r="F320" s="297">
        <v>2</v>
      </c>
      <c r="G320" s="297" t="s">
        <v>140</v>
      </c>
      <c r="H320" s="301">
        <v>691.42857142857144</v>
      </c>
      <c r="I320" s="302">
        <v>8.07</v>
      </c>
      <c r="J320" s="301">
        <v>5487</v>
      </c>
      <c r="K320" s="237"/>
      <c r="L320" s="301">
        <f t="shared" si="234"/>
        <v>5487</v>
      </c>
      <c r="M320" s="303">
        <f t="shared" si="235"/>
        <v>7.9357438016528921</v>
      </c>
      <c r="N320" s="304">
        <v>2.88</v>
      </c>
      <c r="O320" s="304">
        <v>7.79</v>
      </c>
      <c r="P320" s="304">
        <v>8.19</v>
      </c>
      <c r="Q320" s="304">
        <v>7.17</v>
      </c>
      <c r="R320" s="304">
        <v>8.01</v>
      </c>
      <c r="S320" s="305">
        <v>9.5399999999999991</v>
      </c>
      <c r="T320" s="305"/>
      <c r="V320" s="306"/>
      <c r="W320" s="306"/>
      <c r="X320" s="307">
        <v>0.48599999999999999</v>
      </c>
      <c r="Y320" s="307"/>
      <c r="Z320" s="304">
        <v>0.45</v>
      </c>
      <c r="AA320" s="431">
        <v>46174</v>
      </c>
      <c r="AB320" s="233">
        <f t="shared" si="198"/>
        <v>47.4</v>
      </c>
      <c r="AC320" s="233">
        <f t="shared" si="236"/>
        <v>23.0364</v>
      </c>
      <c r="AD320" s="233">
        <f t="shared" si="226"/>
        <v>7.8315196282527877</v>
      </c>
      <c r="AE320" s="233"/>
      <c r="AF320" s="448"/>
      <c r="AH320" s="306"/>
      <c r="AI320" s="296">
        <v>45</v>
      </c>
      <c r="AJ320" s="296">
        <v>49</v>
      </c>
      <c r="AK320" s="296">
        <v>50</v>
      </c>
      <c r="AL320" s="296">
        <v>40</v>
      </c>
      <c r="AM320" s="296">
        <v>41</v>
      </c>
      <c r="AN320" s="296">
        <v>39</v>
      </c>
      <c r="AO320" s="296">
        <v>42</v>
      </c>
      <c r="AP320" s="296">
        <v>56</v>
      </c>
      <c r="AQ320" s="296">
        <v>47</v>
      </c>
      <c r="AR320" s="296">
        <v>49</v>
      </c>
      <c r="AS320" s="296">
        <v>54</v>
      </c>
      <c r="AT320" s="296">
        <v>49</v>
      </c>
      <c r="AU320" s="296">
        <v>48</v>
      </c>
      <c r="AV320" s="296">
        <v>52</v>
      </c>
      <c r="AW320" s="296">
        <v>50</v>
      </c>
    </row>
    <row r="321" spans="1:54" s="296" customFormat="1">
      <c r="A321" s="296" t="s">
        <v>437</v>
      </c>
      <c r="B321" s="296" t="s">
        <v>461</v>
      </c>
      <c r="C321" s="298" t="s">
        <v>462</v>
      </c>
      <c r="D321" s="299" t="s">
        <v>87</v>
      </c>
      <c r="E321" s="300" t="s">
        <v>129</v>
      </c>
      <c r="F321" s="297">
        <v>2</v>
      </c>
      <c r="G321" s="297" t="s">
        <v>140</v>
      </c>
      <c r="H321" s="301">
        <v>691.42857142857144</v>
      </c>
      <c r="I321" s="302">
        <v>8.07</v>
      </c>
      <c r="J321" s="301">
        <v>5487</v>
      </c>
      <c r="K321" s="237"/>
      <c r="L321" s="301">
        <f t="shared" si="234"/>
        <v>5487</v>
      </c>
      <c r="M321" s="303">
        <f t="shared" si="235"/>
        <v>7.9357438016528921</v>
      </c>
      <c r="N321" s="304">
        <v>2.88</v>
      </c>
      <c r="O321" s="304">
        <v>7.79</v>
      </c>
      <c r="P321" s="304">
        <v>8.19</v>
      </c>
      <c r="Q321" s="304">
        <v>7.17</v>
      </c>
      <c r="R321" s="304">
        <v>8.01</v>
      </c>
      <c r="S321" s="305">
        <v>9.5399999999999991</v>
      </c>
      <c r="T321" s="305"/>
      <c r="V321" s="306"/>
      <c r="W321" s="306"/>
      <c r="X321" s="307">
        <v>0.48599999999999999</v>
      </c>
      <c r="Y321" s="307"/>
      <c r="Z321" s="304">
        <v>0.45</v>
      </c>
      <c r="AA321" s="431"/>
      <c r="AB321" s="233" t="str">
        <f t="shared" si="198"/>
        <v/>
      </c>
      <c r="AC321" s="233" t="str">
        <f t="shared" si="236"/>
        <v/>
      </c>
      <c r="AD321" s="233" t="str">
        <f t="shared" si="226"/>
        <v/>
      </c>
      <c r="AE321" s="233"/>
      <c r="AF321" s="448"/>
      <c r="AH321" s="306"/>
    </row>
    <row r="322" spans="1:54" s="296" customFormat="1">
      <c r="A322" s="296" t="s">
        <v>437</v>
      </c>
      <c r="B322" s="296" t="s">
        <v>461</v>
      </c>
      <c r="C322" s="298" t="s">
        <v>462</v>
      </c>
      <c r="D322" s="299" t="s">
        <v>87</v>
      </c>
      <c r="E322" s="300" t="s">
        <v>129</v>
      </c>
      <c r="F322" s="297">
        <v>2</v>
      </c>
      <c r="G322" s="297" t="s">
        <v>140</v>
      </c>
      <c r="H322" s="301">
        <v>691.42857142857144</v>
      </c>
      <c r="I322" s="302">
        <v>8.07</v>
      </c>
      <c r="J322" s="301">
        <v>5487</v>
      </c>
      <c r="K322" s="237"/>
      <c r="L322" s="301">
        <f t="shared" si="234"/>
        <v>5487</v>
      </c>
      <c r="M322" s="303">
        <f t="shared" si="235"/>
        <v>7.9357438016528921</v>
      </c>
      <c r="N322" s="304">
        <v>2.88</v>
      </c>
      <c r="O322" s="304">
        <v>7.79</v>
      </c>
      <c r="P322" s="304">
        <v>8.19</v>
      </c>
      <c r="Q322" s="304">
        <v>7.17</v>
      </c>
      <c r="R322" s="304">
        <v>8.01</v>
      </c>
      <c r="S322" s="305">
        <v>9.5399999999999991</v>
      </c>
      <c r="T322" s="305"/>
      <c r="V322" s="306"/>
      <c r="W322" s="306"/>
      <c r="X322" s="307">
        <v>0.48599999999999999</v>
      </c>
      <c r="Y322" s="307"/>
      <c r="Z322" s="304">
        <v>0.45</v>
      </c>
      <c r="AA322" s="431"/>
      <c r="AB322" s="233" t="str">
        <f t="shared" si="198"/>
        <v/>
      </c>
      <c r="AC322" s="233" t="str">
        <f t="shared" si="236"/>
        <v/>
      </c>
      <c r="AD322" s="233" t="str">
        <f t="shared" si="226"/>
        <v/>
      </c>
      <c r="AE322" s="233"/>
      <c r="AF322" s="448"/>
      <c r="AH322" s="306"/>
    </row>
    <row r="323" spans="1:54" s="113" customFormat="1">
      <c r="A323" s="113" t="s">
        <v>437</v>
      </c>
      <c r="B323" s="113" t="s">
        <v>463</v>
      </c>
      <c r="C323" s="114" t="s">
        <v>464</v>
      </c>
      <c r="D323" s="128" t="s">
        <v>87</v>
      </c>
      <c r="E323" s="127" t="s">
        <v>465</v>
      </c>
      <c r="F323" s="126">
        <v>2</v>
      </c>
      <c r="G323" s="126" t="s">
        <v>466</v>
      </c>
      <c r="H323" s="123">
        <v>691.42857142857144</v>
      </c>
      <c r="I323" s="125">
        <v>6.72</v>
      </c>
      <c r="J323" s="123">
        <v>4595</v>
      </c>
      <c r="K323" s="124"/>
      <c r="L323" s="123">
        <f t="shared" si="234"/>
        <v>4595</v>
      </c>
      <c r="M323" s="122">
        <f t="shared" si="235"/>
        <v>6.6456611570247937</v>
      </c>
      <c r="N323" s="118"/>
      <c r="O323" s="118"/>
      <c r="P323" s="118">
        <v>6.67</v>
      </c>
      <c r="Q323" s="118">
        <v>7.41</v>
      </c>
      <c r="R323" s="118">
        <v>12.7</v>
      </c>
      <c r="S323" s="153">
        <v>8.3000000000000007</v>
      </c>
      <c r="T323" s="153"/>
      <c r="V323" s="115"/>
      <c r="W323" s="115"/>
      <c r="X323" s="120">
        <v>0.35</v>
      </c>
      <c r="Y323" s="120"/>
      <c r="Z323" s="118">
        <v>0.43</v>
      </c>
      <c r="AA323" s="430">
        <v>46174</v>
      </c>
      <c r="AB323" s="117">
        <f t="shared" si="198"/>
        <v>48</v>
      </c>
      <c r="AC323" s="117">
        <f t="shared" si="236"/>
        <v>16.799999999999997</v>
      </c>
      <c r="AD323" s="117">
        <f t="shared" si="226"/>
        <v>5.7437499999999986</v>
      </c>
      <c r="AE323" s="117"/>
      <c r="AF323" s="447"/>
      <c r="AG323" s="113" t="s">
        <v>467</v>
      </c>
      <c r="AH323" s="115"/>
      <c r="AI323" s="113">
        <v>49</v>
      </c>
      <c r="AJ323" s="113">
        <v>50</v>
      </c>
      <c r="AK323" s="113">
        <v>39</v>
      </c>
      <c r="AL323" s="113">
        <v>47</v>
      </c>
      <c r="AM323" s="113">
        <v>52</v>
      </c>
      <c r="AN323" s="113">
        <v>37</v>
      </c>
      <c r="AO323" s="113">
        <v>42</v>
      </c>
      <c r="AP323" s="113">
        <v>50</v>
      </c>
      <c r="AQ323" s="113">
        <v>45</v>
      </c>
      <c r="AR323" s="113">
        <v>49</v>
      </c>
      <c r="AS323" s="113">
        <v>59</v>
      </c>
      <c r="AT323" s="113">
        <v>57</v>
      </c>
      <c r="AU323" s="113">
        <v>53</v>
      </c>
      <c r="AV323" s="113">
        <v>48</v>
      </c>
      <c r="AW323" s="113">
        <v>43</v>
      </c>
    </row>
    <row r="324" spans="1:54" s="113" customFormat="1">
      <c r="A324" s="113" t="s">
        <v>437</v>
      </c>
      <c r="B324" s="113" t="s">
        <v>463</v>
      </c>
      <c r="C324" s="114" t="s">
        <v>464</v>
      </c>
      <c r="D324" s="128" t="s">
        <v>87</v>
      </c>
      <c r="E324" s="127" t="s">
        <v>465</v>
      </c>
      <c r="F324" s="126">
        <v>2</v>
      </c>
      <c r="G324" s="126" t="s">
        <v>466</v>
      </c>
      <c r="H324" s="123">
        <v>691.42857142857144</v>
      </c>
      <c r="I324" s="125">
        <v>6.72</v>
      </c>
      <c r="J324" s="123">
        <v>4595</v>
      </c>
      <c r="K324" s="124"/>
      <c r="L324" s="123">
        <f t="shared" si="234"/>
        <v>4595</v>
      </c>
      <c r="M324" s="122">
        <f t="shared" si="235"/>
        <v>6.6456611570247937</v>
      </c>
      <c r="N324" s="118"/>
      <c r="O324" s="118"/>
      <c r="P324" s="118">
        <v>6.67</v>
      </c>
      <c r="Q324" s="118">
        <v>7.41</v>
      </c>
      <c r="R324" s="118">
        <v>12.7</v>
      </c>
      <c r="S324" s="153">
        <v>8.3000000000000007</v>
      </c>
      <c r="T324" s="153"/>
      <c r="V324" s="115"/>
      <c r="W324" s="115"/>
      <c r="X324" s="120">
        <v>0.35</v>
      </c>
      <c r="Y324" s="120"/>
      <c r="Z324" s="118">
        <v>0.43</v>
      </c>
      <c r="AA324" s="430"/>
      <c r="AB324" s="117" t="str">
        <f t="shared" si="198"/>
        <v/>
      </c>
      <c r="AC324" s="117" t="str">
        <f t="shared" si="236"/>
        <v/>
      </c>
      <c r="AD324" s="117" t="str">
        <f t="shared" si="226"/>
        <v/>
      </c>
      <c r="AE324" s="117"/>
      <c r="AF324" s="447"/>
      <c r="AG324" s="175"/>
      <c r="AH324" s="115"/>
    </row>
    <row r="325" spans="1:54" s="113" customFormat="1">
      <c r="A325" s="113" t="s">
        <v>437</v>
      </c>
      <c r="B325" s="113" t="s">
        <v>463</v>
      </c>
      <c r="C325" s="114" t="s">
        <v>464</v>
      </c>
      <c r="D325" s="128" t="s">
        <v>87</v>
      </c>
      <c r="E325" s="127" t="s">
        <v>465</v>
      </c>
      <c r="F325" s="126">
        <v>2</v>
      </c>
      <c r="G325" s="126" t="s">
        <v>466</v>
      </c>
      <c r="H325" s="123">
        <v>691.42857142857144</v>
      </c>
      <c r="I325" s="125">
        <v>6.72</v>
      </c>
      <c r="J325" s="123">
        <v>4595</v>
      </c>
      <c r="K325" s="124"/>
      <c r="L325" s="123">
        <f t="shared" si="234"/>
        <v>4595</v>
      </c>
      <c r="M325" s="122">
        <f t="shared" si="235"/>
        <v>6.6456611570247937</v>
      </c>
      <c r="N325" s="118"/>
      <c r="O325" s="118"/>
      <c r="P325" s="118">
        <v>6.67</v>
      </c>
      <c r="Q325" s="118">
        <v>7.41</v>
      </c>
      <c r="R325" s="118">
        <v>12.7</v>
      </c>
      <c r="S325" s="153">
        <v>8.3000000000000007</v>
      </c>
      <c r="T325" s="153"/>
      <c r="V325" s="115"/>
      <c r="W325" s="115"/>
      <c r="X325" s="120">
        <v>0.35</v>
      </c>
      <c r="Y325" s="120"/>
      <c r="Z325" s="118">
        <v>0.43</v>
      </c>
      <c r="AA325" s="430"/>
      <c r="AB325" s="117" t="str">
        <f t="shared" si="198"/>
        <v/>
      </c>
      <c r="AC325" s="117" t="str">
        <f t="shared" si="236"/>
        <v/>
      </c>
      <c r="AD325" s="117" t="str">
        <f t="shared" si="226"/>
        <v/>
      </c>
      <c r="AE325" s="117"/>
      <c r="AF325" s="447"/>
      <c r="AG325" s="175"/>
      <c r="AH325" s="115"/>
    </row>
    <row r="326" spans="1:54" s="113" customFormat="1">
      <c r="A326" s="113" t="s">
        <v>437</v>
      </c>
      <c r="B326" s="113" t="s">
        <v>463</v>
      </c>
      <c r="C326" s="114" t="s">
        <v>464</v>
      </c>
      <c r="D326" s="128" t="s">
        <v>87</v>
      </c>
      <c r="E326" s="127" t="s">
        <v>465</v>
      </c>
      <c r="F326" s="126">
        <v>2</v>
      </c>
      <c r="G326" s="126" t="s">
        <v>466</v>
      </c>
      <c r="H326" s="123">
        <v>691.42857142857144</v>
      </c>
      <c r="I326" s="125">
        <v>6.72</v>
      </c>
      <c r="J326" s="123">
        <v>4595</v>
      </c>
      <c r="K326" s="124"/>
      <c r="L326" s="123">
        <f t="shared" si="234"/>
        <v>4595</v>
      </c>
      <c r="M326" s="122">
        <f t="shared" si="235"/>
        <v>6.6456611570247937</v>
      </c>
      <c r="N326" s="118"/>
      <c r="O326" s="118"/>
      <c r="P326" s="118">
        <v>6.67</v>
      </c>
      <c r="Q326" s="118">
        <v>7.41</v>
      </c>
      <c r="R326" s="118">
        <v>12.7</v>
      </c>
      <c r="S326" s="153">
        <v>8.3000000000000007</v>
      </c>
      <c r="T326" s="153"/>
      <c r="V326" s="115"/>
      <c r="W326" s="115"/>
      <c r="X326" s="120">
        <v>0.35</v>
      </c>
      <c r="Y326" s="120"/>
      <c r="Z326" s="118">
        <v>0.43</v>
      </c>
      <c r="AA326" s="430"/>
      <c r="AB326" s="117" t="str">
        <f t="shared" si="198"/>
        <v/>
      </c>
      <c r="AC326" s="117" t="str">
        <f t="shared" si="236"/>
        <v/>
      </c>
      <c r="AD326" s="117" t="str">
        <f t="shared" si="226"/>
        <v/>
      </c>
      <c r="AE326" s="117"/>
      <c r="AF326" s="447"/>
      <c r="AG326" s="175"/>
      <c r="AH326" s="115"/>
    </row>
    <row r="327" spans="1:54" s="296" customFormat="1">
      <c r="A327" s="296" t="s">
        <v>437</v>
      </c>
      <c r="B327" s="296" t="s">
        <v>468</v>
      </c>
      <c r="C327" s="298" t="s">
        <v>469</v>
      </c>
      <c r="D327" s="299" t="s">
        <v>87</v>
      </c>
      <c r="E327" s="341" t="s">
        <v>470</v>
      </c>
      <c r="F327" s="361" t="s">
        <v>471</v>
      </c>
      <c r="G327" s="297" t="s">
        <v>204</v>
      </c>
      <c r="H327" s="301">
        <v>680.625</v>
      </c>
      <c r="I327" s="302">
        <v>20.25</v>
      </c>
      <c r="J327" s="301">
        <v>13593</v>
      </c>
      <c r="K327" s="237"/>
      <c r="L327" s="301">
        <f t="shared" si="234"/>
        <v>13593</v>
      </c>
      <c r="M327" s="303">
        <f t="shared" si="235"/>
        <v>19.971349862258954</v>
      </c>
      <c r="N327" s="304">
        <v>7.76</v>
      </c>
      <c r="O327" s="304">
        <v>7.74</v>
      </c>
      <c r="P327" s="304">
        <v>9.14</v>
      </c>
      <c r="Q327" s="304">
        <v>8.16</v>
      </c>
      <c r="R327" s="304">
        <v>10.98</v>
      </c>
      <c r="S327" s="305">
        <v>7.65</v>
      </c>
      <c r="T327" s="305"/>
      <c r="V327" s="306"/>
      <c r="W327" s="306"/>
      <c r="X327" s="78">
        <v>0.35</v>
      </c>
      <c r="Y327" s="307"/>
      <c r="Z327" s="304">
        <v>0.3</v>
      </c>
      <c r="AA327" s="431">
        <v>46162</v>
      </c>
      <c r="AB327" s="233">
        <f t="shared" si="198"/>
        <v>66.066666666666663</v>
      </c>
      <c r="AC327" s="233">
        <f t="shared" si="236"/>
        <v>23.123333333333331</v>
      </c>
      <c r="AD327" s="233">
        <f t="shared" si="226"/>
        <v>7.7608758024691342</v>
      </c>
      <c r="AE327" s="233"/>
      <c r="AF327" s="448"/>
      <c r="AH327" s="306"/>
      <c r="AI327" s="296">
        <v>66</v>
      </c>
      <c r="AJ327" s="296">
        <v>70</v>
      </c>
      <c r="AK327" s="296">
        <v>63</v>
      </c>
      <c r="AL327" s="296">
        <v>69</v>
      </c>
      <c r="AM327" s="296">
        <v>73</v>
      </c>
      <c r="AN327" s="296">
        <v>67</v>
      </c>
      <c r="AO327" s="296">
        <v>55</v>
      </c>
      <c r="AP327" s="296">
        <v>59</v>
      </c>
      <c r="AQ327" s="296">
        <v>65</v>
      </c>
      <c r="AR327" s="296">
        <v>70</v>
      </c>
      <c r="AS327" s="296">
        <v>68</v>
      </c>
      <c r="AT327" s="296">
        <v>72</v>
      </c>
      <c r="AU327" s="296">
        <v>59</v>
      </c>
      <c r="AV327" s="296">
        <v>66</v>
      </c>
      <c r="AW327" s="296">
        <v>69</v>
      </c>
    </row>
    <row r="328" spans="1:54" s="113" customFormat="1">
      <c r="A328" s="113" t="s">
        <v>437</v>
      </c>
      <c r="B328" s="113" t="s">
        <v>472</v>
      </c>
      <c r="C328" s="114" t="s">
        <v>473</v>
      </c>
      <c r="D328" s="128" t="s">
        <v>87</v>
      </c>
      <c r="E328" s="133" t="s">
        <v>228</v>
      </c>
      <c r="F328" s="159" t="s">
        <v>474</v>
      </c>
      <c r="G328" s="126" t="s">
        <v>475</v>
      </c>
      <c r="H328" s="123">
        <v>680.625</v>
      </c>
      <c r="I328" s="125">
        <v>20.260000000000002</v>
      </c>
      <c r="J328" s="123">
        <v>13612</v>
      </c>
      <c r="K328" s="124">
        <v>0.08</v>
      </c>
      <c r="L328" s="123">
        <f t="shared" si="234"/>
        <v>12523.04</v>
      </c>
      <c r="M328" s="122">
        <f t="shared" si="235"/>
        <v>18.399324150596879</v>
      </c>
      <c r="N328" s="118">
        <v>5.77</v>
      </c>
      <c r="O328" s="118">
        <v>9.43</v>
      </c>
      <c r="P328" s="118">
        <v>8.17</v>
      </c>
      <c r="Q328" s="118">
        <v>7.25</v>
      </c>
      <c r="R328" s="118">
        <v>8.65</v>
      </c>
      <c r="S328" s="153">
        <v>8.48</v>
      </c>
      <c r="T328" s="153"/>
      <c r="V328" s="115"/>
      <c r="W328" s="115"/>
      <c r="X328" s="120">
        <v>0.4</v>
      </c>
      <c r="Y328" s="120"/>
      <c r="Z328" s="118">
        <v>0.4</v>
      </c>
      <c r="AA328" s="430">
        <v>46178</v>
      </c>
      <c r="AB328" s="117">
        <f t="shared" si="198"/>
        <v>63.2</v>
      </c>
      <c r="AC328" s="117">
        <f t="shared" si="236"/>
        <v>25.28</v>
      </c>
      <c r="AD328" s="117">
        <f t="shared" si="226"/>
        <v>7.8129923790720639</v>
      </c>
      <c r="AE328" s="117"/>
      <c r="AF328" s="447"/>
      <c r="AH328" s="115"/>
      <c r="AI328" s="113">
        <v>79</v>
      </c>
      <c r="AJ328" s="113">
        <v>33</v>
      </c>
      <c r="AK328" s="113">
        <v>75</v>
      </c>
      <c r="AL328" s="113">
        <v>45</v>
      </c>
      <c r="AM328" s="113">
        <v>76</v>
      </c>
      <c r="AN328" s="113">
        <v>82</v>
      </c>
      <c r="AO328" s="113">
        <v>61</v>
      </c>
      <c r="AP328" s="113">
        <v>55</v>
      </c>
      <c r="AQ328" s="113">
        <v>54</v>
      </c>
      <c r="AR328" s="113">
        <v>74</v>
      </c>
      <c r="AS328" s="113">
        <v>38</v>
      </c>
      <c r="AT328" s="113">
        <v>95</v>
      </c>
      <c r="AU328" s="113">
        <v>90</v>
      </c>
      <c r="AV328" s="113">
        <v>23</v>
      </c>
      <c r="AW328" s="113">
        <v>68</v>
      </c>
    </row>
    <row r="329" spans="1:54" s="296" customFormat="1">
      <c r="A329" s="296" t="s">
        <v>437</v>
      </c>
      <c r="B329" s="296" t="s">
        <v>476</v>
      </c>
      <c r="C329" s="298" t="s">
        <v>477</v>
      </c>
      <c r="D329" s="299" t="s">
        <v>87</v>
      </c>
      <c r="E329" s="300" t="s">
        <v>99</v>
      </c>
      <c r="F329" s="297"/>
      <c r="G329" s="297" t="s">
        <v>478</v>
      </c>
      <c r="H329" s="301">
        <v>680.625</v>
      </c>
      <c r="I329" s="302">
        <f>17.01</f>
        <v>17.010000000000002</v>
      </c>
      <c r="J329" s="301">
        <v>11418</v>
      </c>
      <c r="K329" s="237"/>
      <c r="L329" s="301">
        <f t="shared" si="234"/>
        <v>11418</v>
      </c>
      <c r="M329" s="303">
        <f t="shared" si="235"/>
        <v>16.775757575757577</v>
      </c>
      <c r="N329" s="304">
        <f t="shared" ref="N329:N335" si="242">(9.32+5.15)/2</f>
        <v>7.2350000000000003</v>
      </c>
      <c r="O329" s="304">
        <f t="shared" ref="O329:O335" si="243">(9.79+11.15)/2</f>
        <v>10.469999999999999</v>
      </c>
      <c r="P329" s="304">
        <f t="shared" ref="P329:P335" si="244">(7+8.07)/2</f>
        <v>7.5350000000000001</v>
      </c>
      <c r="Q329" s="304">
        <v>8.64</v>
      </c>
      <c r="R329" s="304">
        <v>9.7899999999999991</v>
      </c>
      <c r="S329" s="305">
        <v>10.07</v>
      </c>
      <c r="T329" s="305"/>
      <c r="U329" s="362"/>
      <c r="V329" s="363"/>
      <c r="W329" s="363"/>
      <c r="X329" s="307">
        <v>0.3</v>
      </c>
      <c r="Y329" s="307"/>
      <c r="Z329" s="304">
        <v>0.44</v>
      </c>
      <c r="AA329" s="431">
        <v>46126</v>
      </c>
      <c r="AB329" s="233">
        <f t="shared" si="198"/>
        <v>59.95</v>
      </c>
      <c r="AC329" s="233">
        <f t="shared" si="236"/>
        <v>17.984999999999999</v>
      </c>
      <c r="AD329" s="233">
        <f t="shared" si="226"/>
        <v>6.0362354497354485</v>
      </c>
      <c r="AE329" s="233"/>
      <c r="AF329" s="448"/>
      <c r="AH329" s="306" t="s">
        <v>91</v>
      </c>
      <c r="AI329" s="296">
        <v>61</v>
      </c>
      <c r="AJ329" s="296">
        <v>81</v>
      </c>
      <c r="AK329" s="296">
        <v>78</v>
      </c>
      <c r="AL329" s="296">
        <v>48</v>
      </c>
      <c r="AM329" s="296">
        <v>55</v>
      </c>
      <c r="AN329" s="296">
        <v>51</v>
      </c>
      <c r="AO329" s="296">
        <v>70</v>
      </c>
      <c r="AP329" s="296">
        <v>66</v>
      </c>
      <c r="AQ329" s="296">
        <v>76</v>
      </c>
      <c r="AR329" s="296">
        <v>49</v>
      </c>
      <c r="AS329" s="296">
        <v>53</v>
      </c>
      <c r="AT329" s="296">
        <v>68</v>
      </c>
      <c r="AU329" s="296">
        <v>56</v>
      </c>
      <c r="AV329" s="296">
        <v>60</v>
      </c>
      <c r="AW329" s="296">
        <v>61</v>
      </c>
      <c r="AX329" s="296">
        <v>46</v>
      </c>
      <c r="AY329" s="296">
        <v>60</v>
      </c>
      <c r="AZ329" s="296">
        <v>60</v>
      </c>
      <c r="BA329" s="296">
        <v>57</v>
      </c>
      <c r="BB329" s="296">
        <v>43</v>
      </c>
    </row>
    <row r="330" spans="1:54" s="296" customFormat="1">
      <c r="A330" s="296" t="s">
        <v>437</v>
      </c>
      <c r="B330" s="296" t="s">
        <v>476</v>
      </c>
      <c r="C330" s="298" t="s">
        <v>477</v>
      </c>
      <c r="D330" s="299" t="s">
        <v>87</v>
      </c>
      <c r="E330" s="300" t="s">
        <v>99</v>
      </c>
      <c r="F330" s="297"/>
      <c r="G330" s="297" t="s">
        <v>478</v>
      </c>
      <c r="H330" s="301">
        <v>680.625</v>
      </c>
      <c r="I330" s="302">
        <f>17.01</f>
        <v>17.010000000000002</v>
      </c>
      <c r="J330" s="301">
        <v>11418</v>
      </c>
      <c r="K330" s="237"/>
      <c r="L330" s="301">
        <f t="shared" ref="L330" si="245">J330-(J330*K330)</f>
        <v>11418</v>
      </c>
      <c r="M330" s="303">
        <f t="shared" ref="M330" si="246">L330/H330</f>
        <v>16.775757575757577</v>
      </c>
      <c r="N330" s="304">
        <f t="shared" si="242"/>
        <v>7.2350000000000003</v>
      </c>
      <c r="O330" s="304">
        <f t="shared" si="243"/>
        <v>10.469999999999999</v>
      </c>
      <c r="P330" s="304">
        <f t="shared" si="244"/>
        <v>7.5350000000000001</v>
      </c>
      <c r="Q330" s="304">
        <v>8.64</v>
      </c>
      <c r="R330" s="304">
        <v>9.7899999999999991</v>
      </c>
      <c r="S330" s="305">
        <v>10.07</v>
      </c>
      <c r="T330" s="305"/>
      <c r="U330" s="362"/>
      <c r="V330" s="363"/>
      <c r="W330" s="363"/>
      <c r="X330" s="307">
        <v>0.3</v>
      </c>
      <c r="Y330" s="307"/>
      <c r="Z330" s="304">
        <v>0.44</v>
      </c>
      <c r="AA330" s="431">
        <v>46178</v>
      </c>
      <c r="AB330" s="233">
        <f t="shared" ref="AB330" si="247">IFERROR(AVERAGE(AI330:BG330),"")</f>
        <v>49.071428571428569</v>
      </c>
      <c r="AC330" s="233">
        <f t="shared" ref="AC330" si="248">IFERROR(AB330*X330,"")</f>
        <v>14.72142857142857</v>
      </c>
      <c r="AD330" s="233">
        <f t="shared" ref="AD330" si="249">IFERROR(((AC330*L330)/2000)/I330,"")</f>
        <v>4.9408956916099767</v>
      </c>
      <c r="AE330" s="233"/>
      <c r="AF330" s="448"/>
      <c r="AH330" s="306" t="s">
        <v>91</v>
      </c>
      <c r="AI330" s="296">
        <v>61</v>
      </c>
      <c r="AJ330" s="296">
        <v>55</v>
      </c>
      <c r="AK330" s="296">
        <v>66</v>
      </c>
      <c r="AL330" s="296">
        <v>70</v>
      </c>
      <c r="AM330" s="296">
        <v>42</v>
      </c>
      <c r="AN330" s="296">
        <v>50</v>
      </c>
      <c r="AO330" s="296">
        <v>36</v>
      </c>
      <c r="AP330" s="296">
        <v>21</v>
      </c>
      <c r="AQ330" s="296">
        <v>50</v>
      </c>
      <c r="AR330" s="296">
        <v>42</v>
      </c>
      <c r="AS330" s="296">
        <v>36</v>
      </c>
      <c r="AT330" s="296">
        <v>44</v>
      </c>
      <c r="AU330" s="296">
        <v>53</v>
      </c>
      <c r="AV330" s="296">
        <v>61</v>
      </c>
    </row>
    <row r="331" spans="1:54" s="296" customFormat="1">
      <c r="A331" s="296" t="s">
        <v>437</v>
      </c>
      <c r="B331" s="296" t="s">
        <v>476</v>
      </c>
      <c r="C331" s="298" t="s">
        <v>477</v>
      </c>
      <c r="D331" s="299" t="s">
        <v>87</v>
      </c>
      <c r="E331" s="300" t="s">
        <v>99</v>
      </c>
      <c r="F331" s="297"/>
      <c r="G331" s="297" t="s">
        <v>478</v>
      </c>
      <c r="H331" s="301">
        <v>680.625</v>
      </c>
      <c r="I331" s="302">
        <f>17.01</f>
        <v>17.010000000000002</v>
      </c>
      <c r="J331" s="301">
        <v>11418</v>
      </c>
      <c r="K331" s="237"/>
      <c r="L331" s="301">
        <f t="shared" ref="L331:L332" si="250">J331-(J331*K331)</f>
        <v>11418</v>
      </c>
      <c r="M331" s="303">
        <f t="shared" ref="M331:M332" si="251">L331/H331</f>
        <v>16.775757575757577</v>
      </c>
      <c r="N331" s="304">
        <f t="shared" si="242"/>
        <v>7.2350000000000003</v>
      </c>
      <c r="O331" s="304">
        <f t="shared" si="243"/>
        <v>10.469999999999999</v>
      </c>
      <c r="P331" s="304">
        <f t="shared" si="244"/>
        <v>7.5350000000000001</v>
      </c>
      <c r="Q331" s="304">
        <v>8.64</v>
      </c>
      <c r="R331" s="304">
        <v>9.7899999999999991</v>
      </c>
      <c r="S331" s="305">
        <v>10.07</v>
      </c>
      <c r="T331" s="305"/>
      <c r="U331" s="362"/>
      <c r="V331" s="363"/>
      <c r="W331" s="363"/>
      <c r="X331" s="307">
        <v>0.3</v>
      </c>
      <c r="Y331" s="307"/>
      <c r="Z331" s="304">
        <v>0.44</v>
      </c>
      <c r="AA331" s="431">
        <v>46178</v>
      </c>
      <c r="AB331" s="233">
        <f t="shared" ref="AB331:AB332" si="252">IFERROR(AVERAGE(AI331:BG331),"")</f>
        <v>42.2</v>
      </c>
      <c r="AC331" s="233">
        <f t="shared" ref="AC331:AC332" si="253">IFERROR(AB331*X331,"")</f>
        <v>12.66</v>
      </c>
      <c r="AD331" s="233">
        <f t="shared" ref="AD331:AD332" si="254">IFERROR(((AC331*L331)/2000)/I331,"")</f>
        <v>4.2490264550264554</v>
      </c>
      <c r="AE331" s="233"/>
      <c r="AF331" s="448"/>
      <c r="AH331" s="306"/>
      <c r="AI331" s="296">
        <v>34</v>
      </c>
      <c r="AJ331" s="296">
        <v>23</v>
      </c>
      <c r="AK331" s="296">
        <v>48</v>
      </c>
      <c r="AL331" s="296">
        <v>40</v>
      </c>
      <c r="AM331" s="296">
        <v>40</v>
      </c>
      <c r="AN331" s="296">
        <v>30</v>
      </c>
      <c r="AO331" s="296">
        <v>35</v>
      </c>
      <c r="AP331" s="296">
        <v>51</v>
      </c>
      <c r="AQ331" s="296">
        <v>35</v>
      </c>
      <c r="AR331" s="296">
        <v>43</v>
      </c>
      <c r="AS331" s="296">
        <v>35</v>
      </c>
      <c r="AT331" s="296">
        <v>49</v>
      </c>
      <c r="AU331" s="296">
        <v>40</v>
      </c>
      <c r="AV331" s="296">
        <v>41</v>
      </c>
      <c r="AW331" s="296">
        <v>54</v>
      </c>
      <c r="AX331" s="296">
        <v>56</v>
      </c>
      <c r="AY331" s="296">
        <v>38</v>
      </c>
      <c r="AZ331" s="296">
        <v>63</v>
      </c>
      <c r="BA331" s="296">
        <v>36</v>
      </c>
      <c r="BB331" s="296">
        <v>53</v>
      </c>
    </row>
    <row r="332" spans="1:54" s="296" customFormat="1">
      <c r="A332" s="296" t="s">
        <v>437</v>
      </c>
      <c r="B332" s="296" t="s">
        <v>476</v>
      </c>
      <c r="C332" s="298" t="s">
        <v>479</v>
      </c>
      <c r="D332" s="299" t="s">
        <v>87</v>
      </c>
      <c r="E332" s="300" t="s">
        <v>99</v>
      </c>
      <c r="F332" s="297"/>
      <c r="G332" s="297" t="s">
        <v>478</v>
      </c>
      <c r="H332" s="301">
        <v>680.625</v>
      </c>
      <c r="I332" s="302">
        <v>19.239999999999998</v>
      </c>
      <c r="J332" s="301">
        <v>12983</v>
      </c>
      <c r="K332" s="237"/>
      <c r="L332" s="301">
        <f t="shared" si="250"/>
        <v>12983</v>
      </c>
      <c r="M332" s="303">
        <f t="shared" si="251"/>
        <v>19.075114784205692</v>
      </c>
      <c r="N332" s="304">
        <f t="shared" si="242"/>
        <v>7.2350000000000003</v>
      </c>
      <c r="O332" s="304">
        <f t="shared" si="243"/>
        <v>10.469999999999999</v>
      </c>
      <c r="P332" s="304">
        <f t="shared" si="244"/>
        <v>7.5350000000000001</v>
      </c>
      <c r="Q332" s="304">
        <v>8.64</v>
      </c>
      <c r="R332" s="304">
        <v>9.7899999999999991</v>
      </c>
      <c r="S332" s="305">
        <v>10.07</v>
      </c>
      <c r="T332" s="305"/>
      <c r="V332" s="306"/>
      <c r="W332" s="306"/>
      <c r="X332" s="307">
        <v>0.35</v>
      </c>
      <c r="Y332" s="307"/>
      <c r="Z332" s="304">
        <v>0.44</v>
      </c>
      <c r="AA332" s="431">
        <v>46126</v>
      </c>
      <c r="AB332" s="233">
        <f t="shared" si="252"/>
        <v>74.45</v>
      </c>
      <c r="AC332" s="233">
        <f t="shared" si="253"/>
        <v>26.057500000000001</v>
      </c>
      <c r="AD332" s="233">
        <f t="shared" si="254"/>
        <v>8.7916975701663223</v>
      </c>
      <c r="AE332" s="233"/>
      <c r="AF332" s="448"/>
      <c r="AH332" s="306" t="s">
        <v>91</v>
      </c>
      <c r="AI332" s="296">
        <v>96</v>
      </c>
      <c r="AJ332" s="296">
        <v>87</v>
      </c>
      <c r="AK332" s="296">
        <v>89</v>
      </c>
      <c r="AL332" s="296">
        <v>75</v>
      </c>
      <c r="AM332" s="296">
        <v>59</v>
      </c>
      <c r="AN332" s="296">
        <v>69</v>
      </c>
      <c r="AO332" s="296">
        <v>76</v>
      </c>
      <c r="AP332" s="296">
        <v>69</v>
      </c>
      <c r="AQ332" s="296">
        <v>75</v>
      </c>
      <c r="AR332" s="296">
        <v>75</v>
      </c>
      <c r="AS332" s="296">
        <v>86</v>
      </c>
      <c r="AT332" s="296">
        <v>87</v>
      </c>
      <c r="AU332" s="296">
        <v>54</v>
      </c>
      <c r="AV332" s="296">
        <v>86</v>
      </c>
      <c r="AW332" s="296">
        <v>89</v>
      </c>
      <c r="AX332" s="296">
        <v>69</v>
      </c>
      <c r="AY332" s="296">
        <v>54</v>
      </c>
      <c r="AZ332" s="296">
        <v>46</v>
      </c>
      <c r="BA332" s="296">
        <v>74</v>
      </c>
      <c r="BB332" s="296">
        <v>74</v>
      </c>
    </row>
    <row r="333" spans="1:54" s="296" customFormat="1">
      <c r="A333" s="296" t="s">
        <v>437</v>
      </c>
      <c r="B333" s="296" t="s">
        <v>476</v>
      </c>
      <c r="C333" s="298" t="s">
        <v>479</v>
      </c>
      <c r="D333" s="299" t="s">
        <v>87</v>
      </c>
      <c r="E333" s="300" t="s">
        <v>99</v>
      </c>
      <c r="F333" s="297"/>
      <c r="G333" s="297" t="s">
        <v>478</v>
      </c>
      <c r="H333" s="301">
        <v>680.625</v>
      </c>
      <c r="I333" s="302">
        <v>19.239999999999998</v>
      </c>
      <c r="J333" s="301">
        <v>12983</v>
      </c>
      <c r="K333" s="237"/>
      <c r="L333" s="301">
        <f t="shared" si="234"/>
        <v>12983</v>
      </c>
      <c r="M333" s="303">
        <f t="shared" si="235"/>
        <v>19.075114784205692</v>
      </c>
      <c r="N333" s="304">
        <f t="shared" si="242"/>
        <v>7.2350000000000003</v>
      </c>
      <c r="O333" s="304">
        <f t="shared" si="243"/>
        <v>10.469999999999999</v>
      </c>
      <c r="P333" s="304">
        <f t="shared" si="244"/>
        <v>7.5350000000000001</v>
      </c>
      <c r="Q333" s="304">
        <v>8.64</v>
      </c>
      <c r="R333" s="304">
        <v>9.7899999999999991</v>
      </c>
      <c r="S333" s="305">
        <v>10.07</v>
      </c>
      <c r="T333" s="305"/>
      <c r="V333" s="306"/>
      <c r="W333" s="306"/>
      <c r="X333" s="307">
        <v>0.35</v>
      </c>
      <c r="Y333" s="307"/>
      <c r="Z333" s="304">
        <v>0.44</v>
      </c>
      <c r="AA333" s="431">
        <v>46126</v>
      </c>
      <c r="AB333" s="233">
        <f t="shared" si="198"/>
        <v>110.41666666666667</v>
      </c>
      <c r="AC333" s="233">
        <f t="shared" si="236"/>
        <v>38.645833333333336</v>
      </c>
      <c r="AD333" s="233">
        <f t="shared" si="226"/>
        <v>13.038951511607763</v>
      </c>
      <c r="AE333" s="233"/>
      <c r="AF333" s="448"/>
      <c r="AH333" s="306" t="s">
        <v>91</v>
      </c>
      <c r="AI333" s="296">
        <v>123</v>
      </c>
      <c r="AJ333" s="296">
        <v>111</v>
      </c>
      <c r="AK333" s="296">
        <v>123</v>
      </c>
      <c r="AL333" s="296">
        <v>102</v>
      </c>
      <c r="AM333" s="296">
        <v>94</v>
      </c>
      <c r="AN333" s="296">
        <v>112</v>
      </c>
      <c r="AO333" s="296">
        <v>105</v>
      </c>
      <c r="AP333" s="296">
        <v>101</v>
      </c>
      <c r="AQ333" s="296">
        <v>122</v>
      </c>
      <c r="AR333" s="296">
        <v>131</v>
      </c>
      <c r="AS333" s="296">
        <v>98</v>
      </c>
      <c r="AT333" s="296">
        <v>103</v>
      </c>
    </row>
    <row r="334" spans="1:54" s="296" customFormat="1">
      <c r="A334" s="296" t="s">
        <v>437</v>
      </c>
      <c r="B334" s="296" t="s">
        <v>476</v>
      </c>
      <c r="C334" s="298" t="s">
        <v>479</v>
      </c>
      <c r="D334" s="299" t="s">
        <v>87</v>
      </c>
      <c r="E334" s="300" t="s">
        <v>99</v>
      </c>
      <c r="F334" s="297"/>
      <c r="G334" s="297" t="s">
        <v>478</v>
      </c>
      <c r="H334" s="301">
        <v>680.625</v>
      </c>
      <c r="I334" s="302">
        <v>19.239999999999998</v>
      </c>
      <c r="J334" s="301">
        <v>12983</v>
      </c>
      <c r="K334" s="237"/>
      <c r="L334" s="301">
        <f t="shared" ref="L334" si="255">J334-(J334*K334)</f>
        <v>12983</v>
      </c>
      <c r="M334" s="303">
        <f t="shared" ref="M334" si="256">L334/H334</f>
        <v>19.075114784205692</v>
      </c>
      <c r="N334" s="304">
        <f t="shared" si="242"/>
        <v>7.2350000000000003</v>
      </c>
      <c r="O334" s="304">
        <f t="shared" si="243"/>
        <v>10.469999999999999</v>
      </c>
      <c r="P334" s="304">
        <f t="shared" si="244"/>
        <v>7.5350000000000001</v>
      </c>
      <c r="Q334" s="304">
        <v>8.64</v>
      </c>
      <c r="R334" s="304">
        <v>9.7899999999999991</v>
      </c>
      <c r="S334" s="305">
        <v>10.07</v>
      </c>
      <c r="T334" s="305"/>
      <c r="V334" s="306"/>
      <c r="W334" s="306"/>
      <c r="X334" s="307">
        <v>0.35</v>
      </c>
      <c r="Y334" s="307"/>
      <c r="Z334" s="304">
        <v>0.44</v>
      </c>
      <c r="AA334" s="431">
        <v>46160</v>
      </c>
      <c r="AB334" s="233">
        <f t="shared" ref="AB334" si="257">IFERROR(AVERAGE(AI334:BG334),"")</f>
        <v>93.86666666666666</v>
      </c>
      <c r="AC334" s="233">
        <f t="shared" ref="AC334" si="258">IFERROR(AB334*X334,"")</f>
        <v>32.853333333333332</v>
      </c>
      <c r="AD334" s="233">
        <f t="shared" ref="AD334" si="259">IFERROR(((AC334*L334)/2000)/I334,"")</f>
        <v>11.084584892584894</v>
      </c>
      <c r="AE334" s="233"/>
      <c r="AF334" s="448"/>
      <c r="AG334" s="296" t="s">
        <v>480</v>
      </c>
      <c r="AH334" s="306" t="s">
        <v>116</v>
      </c>
      <c r="AI334" s="296">
        <v>110</v>
      </c>
      <c r="AJ334" s="296">
        <v>89</v>
      </c>
      <c r="AK334" s="296">
        <v>106</v>
      </c>
      <c r="AL334" s="296">
        <v>98</v>
      </c>
      <c r="AM334" s="296">
        <v>88</v>
      </c>
      <c r="AN334" s="296">
        <v>101</v>
      </c>
      <c r="AO334" s="296">
        <v>105</v>
      </c>
      <c r="AP334" s="296">
        <v>80</v>
      </c>
      <c r="AQ334" s="296">
        <v>91</v>
      </c>
      <c r="AR334" s="296">
        <v>95</v>
      </c>
      <c r="AS334" s="296">
        <v>89</v>
      </c>
      <c r="AT334" s="296">
        <v>86</v>
      </c>
      <c r="AU334" s="296">
        <v>90</v>
      </c>
      <c r="AV334" s="296">
        <v>93</v>
      </c>
      <c r="AW334" s="296">
        <v>87</v>
      </c>
    </row>
    <row r="335" spans="1:54" s="296" customFormat="1">
      <c r="A335" s="296" t="s">
        <v>437</v>
      </c>
      <c r="B335" s="296" t="s">
        <v>476</v>
      </c>
      <c r="C335" s="298" t="s">
        <v>479</v>
      </c>
      <c r="D335" s="299" t="s">
        <v>87</v>
      </c>
      <c r="E335" s="300" t="s">
        <v>99</v>
      </c>
      <c r="F335" s="297"/>
      <c r="G335" s="297" t="s">
        <v>478</v>
      </c>
      <c r="H335" s="301">
        <v>680.625</v>
      </c>
      <c r="I335" s="302">
        <v>19.239999999999998</v>
      </c>
      <c r="J335" s="301">
        <v>12983</v>
      </c>
      <c r="K335" s="237"/>
      <c r="L335" s="301">
        <f t="shared" ref="L335" si="260">J335-(J335*K335)</f>
        <v>12983</v>
      </c>
      <c r="M335" s="303">
        <f t="shared" ref="M335" si="261">L335/H335</f>
        <v>19.075114784205692</v>
      </c>
      <c r="N335" s="304">
        <f t="shared" si="242"/>
        <v>7.2350000000000003</v>
      </c>
      <c r="O335" s="304">
        <f t="shared" si="243"/>
        <v>10.469999999999999</v>
      </c>
      <c r="P335" s="304">
        <f t="shared" si="244"/>
        <v>7.5350000000000001</v>
      </c>
      <c r="Q335" s="304">
        <v>8.64</v>
      </c>
      <c r="R335" s="304">
        <v>9.7899999999999991</v>
      </c>
      <c r="S335" s="305">
        <v>10.07</v>
      </c>
      <c r="T335" s="305"/>
      <c r="V335" s="306"/>
      <c r="W335" s="306"/>
      <c r="X335" s="307">
        <v>0.35</v>
      </c>
      <c r="Y335" s="307"/>
      <c r="Z335" s="304">
        <v>0.44</v>
      </c>
      <c r="AA335" s="431">
        <v>46183</v>
      </c>
      <c r="AB335" s="233">
        <f t="shared" ref="AB335" si="262">IFERROR(AVERAGE(AI335:BG335),"")</f>
        <v>88.533333333333331</v>
      </c>
      <c r="AC335" s="233">
        <f t="shared" ref="AC335" si="263">IFERROR(AB335*X335,"")</f>
        <v>30.986666666666665</v>
      </c>
      <c r="AD335" s="233">
        <f t="shared" ref="AD335" si="264">IFERROR(((AC335*L335)/2000)/I335,"")</f>
        <v>10.454778932778934</v>
      </c>
      <c r="AE335" s="233"/>
      <c r="AF335" s="448"/>
      <c r="AG335" s="296" t="s">
        <v>480</v>
      </c>
      <c r="AH335" s="306" t="s">
        <v>91</v>
      </c>
      <c r="AI335" s="296">
        <v>70</v>
      </c>
      <c r="AJ335" s="296">
        <v>48</v>
      </c>
      <c r="AK335" s="296">
        <v>78</v>
      </c>
      <c r="AL335" s="296">
        <v>95</v>
      </c>
      <c r="AM335" s="296">
        <v>76</v>
      </c>
      <c r="AN335" s="296">
        <v>75</v>
      </c>
      <c r="AO335" s="296">
        <v>85</v>
      </c>
      <c r="AP335" s="296">
        <v>112</v>
      </c>
      <c r="AQ335" s="296">
        <v>82</v>
      </c>
      <c r="AR335" s="296">
        <v>107</v>
      </c>
      <c r="AS335" s="296">
        <v>137</v>
      </c>
      <c r="AT335" s="296">
        <v>91</v>
      </c>
      <c r="AU335" s="296">
        <v>103</v>
      </c>
      <c r="AV335" s="296">
        <v>89</v>
      </c>
      <c r="AW335" s="296">
        <v>80</v>
      </c>
    </row>
    <row r="336" spans="1:54" s="296" customFormat="1">
      <c r="C336" s="298"/>
      <c r="D336" s="299"/>
      <c r="E336" s="300"/>
      <c r="F336" s="297"/>
      <c r="G336" s="297"/>
      <c r="H336" s="301"/>
      <c r="I336" s="302"/>
      <c r="J336" s="301"/>
      <c r="K336" s="237"/>
      <c r="L336" s="301"/>
      <c r="M336" s="303"/>
      <c r="N336" s="304"/>
      <c r="O336" s="304"/>
      <c r="P336" s="304"/>
      <c r="Q336" s="304"/>
      <c r="R336" s="304"/>
      <c r="S336" s="305"/>
      <c r="T336" s="305"/>
      <c r="V336" s="306"/>
      <c r="W336" s="306"/>
      <c r="X336" s="307"/>
      <c r="Y336" s="307"/>
      <c r="Z336" s="304"/>
      <c r="AA336" s="431"/>
      <c r="AB336" s="233"/>
      <c r="AC336" s="233"/>
      <c r="AD336" s="233"/>
      <c r="AE336" s="233"/>
      <c r="AF336" s="448"/>
      <c r="AH336" s="306"/>
    </row>
    <row r="337" spans="1:52" s="113" customFormat="1">
      <c r="A337" s="113" t="s">
        <v>437</v>
      </c>
      <c r="B337" s="113" t="s">
        <v>481</v>
      </c>
      <c r="C337" s="114" t="s">
        <v>482</v>
      </c>
      <c r="D337" s="128" t="s">
        <v>87</v>
      </c>
      <c r="E337" s="133" t="s">
        <v>114</v>
      </c>
      <c r="F337" s="126">
        <v>181</v>
      </c>
      <c r="G337" s="126" t="s">
        <v>475</v>
      </c>
      <c r="H337" s="123">
        <v>680.625</v>
      </c>
      <c r="I337" s="125">
        <v>41.1</v>
      </c>
      <c r="J337" s="123">
        <v>29289</v>
      </c>
      <c r="K337" s="124">
        <v>0.05</v>
      </c>
      <c r="L337" s="123">
        <f t="shared" si="234"/>
        <v>27824.55</v>
      </c>
      <c r="M337" s="122">
        <f t="shared" si="235"/>
        <v>40.880881542699726</v>
      </c>
      <c r="N337" s="118">
        <v>10.48</v>
      </c>
      <c r="O337" s="118">
        <v>6.78</v>
      </c>
      <c r="P337" s="118">
        <v>9.19</v>
      </c>
      <c r="Q337" s="118">
        <v>5.59</v>
      </c>
      <c r="R337" s="118">
        <v>7.3</v>
      </c>
      <c r="S337" s="153">
        <v>8.36</v>
      </c>
      <c r="T337" s="153"/>
      <c r="V337" s="115"/>
      <c r="W337" s="115"/>
      <c r="X337" s="120">
        <v>0.25</v>
      </c>
      <c r="Y337" s="120"/>
      <c r="Z337" s="118">
        <v>0.38</v>
      </c>
      <c r="AA337" s="430"/>
      <c r="AB337" s="117" t="str">
        <f t="shared" si="198"/>
        <v/>
      </c>
      <c r="AC337" s="117" t="str">
        <f t="shared" si="236"/>
        <v/>
      </c>
      <c r="AD337" s="117" t="str">
        <f t="shared" si="226"/>
        <v/>
      </c>
      <c r="AE337" s="117"/>
      <c r="AF337" s="447"/>
      <c r="AG337" s="175"/>
      <c r="AH337" s="115"/>
    </row>
    <row r="338" spans="1:52" s="113" customFormat="1">
      <c r="A338" s="113" t="s">
        <v>437</v>
      </c>
      <c r="B338" s="113" t="s">
        <v>483</v>
      </c>
      <c r="C338" s="114" t="s">
        <v>484</v>
      </c>
      <c r="D338" s="128" t="s">
        <v>87</v>
      </c>
      <c r="E338" s="133" t="s">
        <v>114</v>
      </c>
      <c r="F338" s="126">
        <v>15</v>
      </c>
      <c r="G338" s="126" t="s">
        <v>204</v>
      </c>
      <c r="H338" s="123">
        <v>777.85714285714289</v>
      </c>
      <c r="I338" s="125">
        <v>18.39</v>
      </c>
      <c r="J338" s="123">
        <v>14077</v>
      </c>
      <c r="K338" s="124"/>
      <c r="L338" s="123">
        <f t="shared" si="234"/>
        <v>14077</v>
      </c>
      <c r="M338" s="122">
        <f t="shared" si="235"/>
        <v>18.097153351698804</v>
      </c>
      <c r="N338" s="118">
        <v>10</v>
      </c>
      <c r="O338" s="118">
        <v>8.59</v>
      </c>
      <c r="P338" s="118">
        <v>9.56</v>
      </c>
      <c r="Q338" s="118">
        <v>10.1</v>
      </c>
      <c r="R338" s="118">
        <v>8.52</v>
      </c>
      <c r="S338" s="153">
        <v>10.41</v>
      </c>
      <c r="T338" s="153"/>
      <c r="V338" s="115"/>
      <c r="W338" s="115"/>
      <c r="X338" s="120"/>
      <c r="Y338" s="120"/>
      <c r="Z338" s="118">
        <v>0.38</v>
      </c>
      <c r="AA338" s="430"/>
      <c r="AB338" s="117" t="str">
        <f t="shared" si="198"/>
        <v/>
      </c>
      <c r="AC338" s="117" t="str">
        <f t="shared" si="236"/>
        <v/>
      </c>
      <c r="AD338" s="117" t="str">
        <f t="shared" si="226"/>
        <v/>
      </c>
      <c r="AE338" s="117"/>
      <c r="AF338" s="447"/>
      <c r="AH338" s="115"/>
    </row>
    <row r="339" spans="1:52" s="113" customFormat="1">
      <c r="C339" s="114"/>
      <c r="D339" s="128"/>
      <c r="E339" s="133"/>
      <c r="F339" s="126"/>
      <c r="G339" s="126"/>
      <c r="H339" s="123"/>
      <c r="I339" s="125"/>
      <c r="J339" s="123"/>
      <c r="K339" s="124"/>
      <c r="L339" s="123"/>
      <c r="M339" s="122"/>
      <c r="N339" s="118"/>
      <c r="O339" s="118"/>
      <c r="P339" s="118"/>
      <c r="Q339" s="118"/>
      <c r="R339" s="118"/>
      <c r="S339" s="153"/>
      <c r="T339" s="153"/>
      <c r="V339" s="115"/>
      <c r="W339" s="115"/>
      <c r="X339" s="120"/>
      <c r="Y339" s="120"/>
      <c r="Z339" s="118"/>
      <c r="AA339" s="430"/>
      <c r="AB339" s="117"/>
      <c r="AC339" s="117"/>
      <c r="AD339" s="117"/>
      <c r="AE339" s="117"/>
      <c r="AF339" s="447"/>
      <c r="AH339" s="115"/>
    </row>
    <row r="340" spans="1:52" s="296" customFormat="1">
      <c r="A340" s="296" t="s">
        <v>437</v>
      </c>
      <c r="B340" s="296" t="s">
        <v>485</v>
      </c>
      <c r="C340" s="298" t="s">
        <v>486</v>
      </c>
      <c r="D340" s="299" t="s">
        <v>87</v>
      </c>
      <c r="E340" s="300" t="s">
        <v>88</v>
      </c>
      <c r="F340" s="297" t="s">
        <v>487</v>
      </c>
      <c r="G340" s="297" t="s">
        <v>90</v>
      </c>
      <c r="H340" s="301">
        <v>622.28571428571433</v>
      </c>
      <c r="I340" s="302">
        <v>17.14</v>
      </c>
      <c r="J340" s="301">
        <v>10509</v>
      </c>
      <c r="K340" s="237"/>
      <c r="L340" s="301">
        <f t="shared" si="234"/>
        <v>10509</v>
      </c>
      <c r="M340" s="303">
        <f t="shared" si="235"/>
        <v>16.887741046831955</v>
      </c>
      <c r="N340" s="304">
        <v>6.55</v>
      </c>
      <c r="O340" s="304">
        <v>7.61</v>
      </c>
      <c r="P340" s="304">
        <v>8.89</v>
      </c>
      <c r="Q340" s="304">
        <v>8.4600000000000009</v>
      </c>
      <c r="R340" s="304">
        <v>12.57</v>
      </c>
      <c r="S340" s="305">
        <v>8.8699999999999992</v>
      </c>
      <c r="T340" s="305"/>
      <c r="V340" s="306"/>
      <c r="W340" s="306"/>
      <c r="X340" s="307">
        <v>0.27</v>
      </c>
      <c r="Y340" s="307"/>
      <c r="Z340" s="304">
        <v>0.33</v>
      </c>
      <c r="AA340" s="431">
        <v>46113</v>
      </c>
      <c r="AB340" s="233">
        <f t="shared" si="198"/>
        <v>118.77777777777777</v>
      </c>
      <c r="AC340" s="233">
        <f t="shared" si="236"/>
        <v>32.07</v>
      </c>
      <c r="AD340" s="233">
        <f t="shared" si="226"/>
        <v>9.8314944574095691</v>
      </c>
      <c r="AE340" s="233"/>
      <c r="AF340" s="448"/>
      <c r="AH340" s="306" t="s">
        <v>91</v>
      </c>
      <c r="AI340" s="296">
        <v>110</v>
      </c>
      <c r="AJ340" s="296">
        <v>149</v>
      </c>
      <c r="AK340" s="296">
        <v>141</v>
      </c>
      <c r="AL340" s="296">
        <v>116</v>
      </c>
      <c r="AM340" s="296">
        <v>120</v>
      </c>
      <c r="AN340" s="296">
        <v>125</v>
      </c>
      <c r="AO340" s="296">
        <v>119</v>
      </c>
      <c r="AP340" s="296">
        <v>117</v>
      </c>
      <c r="AQ340" s="296">
        <v>138</v>
      </c>
      <c r="AR340" s="296">
        <v>120</v>
      </c>
      <c r="AS340" s="296">
        <v>111</v>
      </c>
      <c r="AT340" s="296">
        <v>109</v>
      </c>
      <c r="AU340" s="296">
        <v>100</v>
      </c>
      <c r="AV340" s="296">
        <v>122</v>
      </c>
      <c r="AW340" s="296">
        <v>141</v>
      </c>
      <c r="AX340" s="296">
        <v>111</v>
      </c>
      <c r="AY340" s="296">
        <v>96</v>
      </c>
      <c r="AZ340" s="296">
        <v>93</v>
      </c>
    </row>
    <row r="341" spans="1:52" s="296" customFormat="1">
      <c r="A341" s="296" t="s">
        <v>437</v>
      </c>
      <c r="B341" s="296" t="s">
        <v>485</v>
      </c>
      <c r="C341" s="298" t="s">
        <v>486</v>
      </c>
      <c r="D341" s="299" t="s">
        <v>87</v>
      </c>
      <c r="E341" s="300" t="s">
        <v>88</v>
      </c>
      <c r="F341" s="297" t="s">
        <v>487</v>
      </c>
      <c r="G341" s="297" t="s">
        <v>90</v>
      </c>
      <c r="H341" s="301">
        <v>622.28571428571433</v>
      </c>
      <c r="I341" s="302">
        <v>17.14</v>
      </c>
      <c r="J341" s="301">
        <v>10509</v>
      </c>
      <c r="K341" s="237"/>
      <c r="L341" s="301">
        <f t="shared" si="234"/>
        <v>10509</v>
      </c>
      <c r="M341" s="303">
        <f t="shared" si="235"/>
        <v>16.887741046831955</v>
      </c>
      <c r="N341" s="304">
        <v>6.55</v>
      </c>
      <c r="O341" s="304">
        <v>7.61</v>
      </c>
      <c r="P341" s="304">
        <v>8.89</v>
      </c>
      <c r="Q341" s="304">
        <v>8.4600000000000009</v>
      </c>
      <c r="R341" s="304">
        <v>12.57</v>
      </c>
      <c r="S341" s="305">
        <v>8.8699999999999992</v>
      </c>
      <c r="T341" s="305"/>
      <c r="V341" s="306"/>
      <c r="W341" s="306"/>
      <c r="X341" s="307">
        <v>0.27</v>
      </c>
      <c r="Y341" s="307"/>
      <c r="Z341" s="304">
        <v>0.33</v>
      </c>
      <c r="AA341" s="431">
        <v>46156</v>
      </c>
      <c r="AB341" s="233">
        <f t="shared" si="198"/>
        <v>138.36363636363637</v>
      </c>
      <c r="AC341" s="233">
        <f t="shared" si="236"/>
        <v>37.358181818181826</v>
      </c>
      <c r="AD341" s="233">
        <f t="shared" si="226"/>
        <v>11.45265848095895</v>
      </c>
      <c r="AE341" s="233"/>
      <c r="AF341" s="448"/>
      <c r="AH341" s="306" t="s">
        <v>91</v>
      </c>
      <c r="AI341" s="296">
        <v>150</v>
      </c>
      <c r="AJ341" s="296">
        <v>149</v>
      </c>
      <c r="AK341" s="296">
        <v>131</v>
      </c>
      <c r="AL341" s="296">
        <v>143</v>
      </c>
      <c r="AM341" s="296">
        <v>108</v>
      </c>
      <c r="AN341" s="296">
        <v>166</v>
      </c>
      <c r="AO341" s="296">
        <v>152</v>
      </c>
      <c r="AP341" s="296">
        <v>154</v>
      </c>
      <c r="AQ341" s="296">
        <v>114</v>
      </c>
      <c r="AR341" s="296">
        <v>122</v>
      </c>
      <c r="AS341" s="296">
        <v>133</v>
      </c>
    </row>
    <row r="342" spans="1:52" s="296" customFormat="1">
      <c r="A342" s="296" t="s">
        <v>437</v>
      </c>
      <c r="B342" s="296" t="s">
        <v>485</v>
      </c>
      <c r="C342" s="298" t="s">
        <v>486</v>
      </c>
      <c r="D342" s="299" t="s">
        <v>87</v>
      </c>
      <c r="E342" s="300" t="s">
        <v>88</v>
      </c>
      <c r="F342" s="297" t="s">
        <v>487</v>
      </c>
      <c r="G342" s="297" t="s">
        <v>90</v>
      </c>
      <c r="H342" s="301">
        <v>622.28571428571433</v>
      </c>
      <c r="I342" s="302">
        <v>17.14</v>
      </c>
      <c r="J342" s="301">
        <v>10509</v>
      </c>
      <c r="K342" s="237"/>
      <c r="L342" s="301">
        <f t="shared" ref="L342" si="265">J342-(J342*K342)</f>
        <v>10509</v>
      </c>
      <c r="M342" s="303">
        <f t="shared" ref="M342" si="266">L342/H342</f>
        <v>16.887741046831955</v>
      </c>
      <c r="N342" s="304">
        <v>6.55</v>
      </c>
      <c r="O342" s="304">
        <v>7.61</v>
      </c>
      <c r="P342" s="304">
        <v>8.89</v>
      </c>
      <c r="Q342" s="304">
        <v>8.4600000000000009</v>
      </c>
      <c r="R342" s="304">
        <v>12.57</v>
      </c>
      <c r="S342" s="305">
        <v>8.8699999999999992</v>
      </c>
      <c r="T342" s="305"/>
      <c r="V342" s="306"/>
      <c r="W342" s="306"/>
      <c r="X342" s="307">
        <v>0.27</v>
      </c>
      <c r="Y342" s="307"/>
      <c r="Z342" s="304">
        <v>0.33</v>
      </c>
      <c r="AA342" s="431">
        <v>46164</v>
      </c>
      <c r="AB342" s="233">
        <f t="shared" ref="AB342" si="267">IFERROR(AVERAGE(AI342:BG342),"")</f>
        <v>114.26666666666667</v>
      </c>
      <c r="AC342" s="233">
        <f t="shared" ref="AC342" si="268">IFERROR(AB342*X342,"")</f>
        <v>30.852</v>
      </c>
      <c r="AD342" s="233">
        <f t="shared" ref="AD342" si="269">IFERROR(((AC342*L342)/2000)/I342,"")</f>
        <v>9.4581</v>
      </c>
      <c r="AE342" s="233"/>
      <c r="AF342" s="448"/>
      <c r="AH342" s="306" t="s">
        <v>116</v>
      </c>
      <c r="AI342" s="296">
        <v>115</v>
      </c>
      <c r="AJ342" s="296">
        <v>110</v>
      </c>
      <c r="AK342" s="296">
        <v>120</v>
      </c>
      <c r="AL342" s="296">
        <v>109</v>
      </c>
      <c r="AM342" s="296">
        <v>116</v>
      </c>
      <c r="AN342" s="296">
        <v>119</v>
      </c>
      <c r="AO342" s="296">
        <v>108</v>
      </c>
      <c r="AP342" s="296">
        <v>116</v>
      </c>
      <c r="AQ342" s="296">
        <v>113</v>
      </c>
      <c r="AR342" s="296">
        <v>121</v>
      </c>
      <c r="AS342" s="296">
        <v>113</v>
      </c>
      <c r="AT342" s="296">
        <v>117</v>
      </c>
      <c r="AU342" s="296">
        <v>113</v>
      </c>
      <c r="AV342" s="296">
        <v>109</v>
      </c>
      <c r="AW342" s="296">
        <v>115</v>
      </c>
    </row>
    <row r="343" spans="1:52" s="296" customFormat="1">
      <c r="A343" s="296" t="s">
        <v>437</v>
      </c>
      <c r="B343" s="296" t="s">
        <v>485</v>
      </c>
      <c r="C343" s="298" t="s">
        <v>486</v>
      </c>
      <c r="D343" s="299" t="s">
        <v>87</v>
      </c>
      <c r="E343" s="300" t="s">
        <v>88</v>
      </c>
      <c r="F343" s="297" t="s">
        <v>487</v>
      </c>
      <c r="G343" s="297" t="s">
        <v>90</v>
      </c>
      <c r="H343" s="301">
        <v>622.28571428571433</v>
      </c>
      <c r="I343" s="302">
        <v>17.14</v>
      </c>
      <c r="J343" s="301">
        <v>10509</v>
      </c>
      <c r="K343" s="237"/>
      <c r="L343" s="301">
        <f t="shared" ref="L343" si="270">J343-(J343*K343)</f>
        <v>10509</v>
      </c>
      <c r="M343" s="303">
        <f t="shared" ref="M343" si="271">L343/H343</f>
        <v>16.887741046831955</v>
      </c>
      <c r="N343" s="304">
        <v>6.55</v>
      </c>
      <c r="O343" s="304">
        <v>7.61</v>
      </c>
      <c r="P343" s="304">
        <v>8.89</v>
      </c>
      <c r="Q343" s="304">
        <v>8.4600000000000009</v>
      </c>
      <c r="R343" s="304">
        <v>12.57</v>
      </c>
      <c r="S343" s="305">
        <v>8.8699999999999992</v>
      </c>
      <c r="T343" s="305"/>
      <c r="V343" s="306"/>
      <c r="W343" s="306"/>
      <c r="X343" s="307">
        <v>0.27</v>
      </c>
      <c r="Y343" s="307"/>
      <c r="Z343" s="304">
        <v>0.33</v>
      </c>
      <c r="AA343" s="431">
        <v>46202</v>
      </c>
      <c r="AB343" s="233">
        <f t="shared" ref="AB343" si="272">IFERROR(AVERAGE(AI343:BG343),"")</f>
        <v>134.93333333333334</v>
      </c>
      <c r="AC343" s="233">
        <f t="shared" ref="AC343" si="273">IFERROR(AB343*X343,"")</f>
        <v>36.432000000000002</v>
      </c>
      <c r="AD343" s="233">
        <f t="shared" ref="AD343" si="274">IFERROR(((AC343*L343)/2000)/I343,"")</f>
        <v>11.168724854142358</v>
      </c>
      <c r="AE343" s="233"/>
      <c r="AF343" s="448"/>
      <c r="AH343" s="306" t="s">
        <v>91</v>
      </c>
      <c r="AI343" s="296">
        <v>129</v>
      </c>
      <c r="AJ343" s="296">
        <v>136</v>
      </c>
      <c r="AK343" s="296">
        <v>139</v>
      </c>
      <c r="AL343" s="296">
        <v>126</v>
      </c>
      <c r="AM343" s="296">
        <v>122</v>
      </c>
      <c r="AN343" s="296">
        <v>152</v>
      </c>
      <c r="AO343" s="296">
        <v>137</v>
      </c>
      <c r="AP343" s="296">
        <v>130</v>
      </c>
      <c r="AQ343" s="296">
        <v>140</v>
      </c>
      <c r="AR343" s="296">
        <v>160</v>
      </c>
      <c r="AS343" s="296">
        <v>137</v>
      </c>
      <c r="AT343" s="296">
        <v>129</v>
      </c>
      <c r="AU343" s="296">
        <v>141</v>
      </c>
      <c r="AV343" s="296">
        <v>134</v>
      </c>
      <c r="AW343" s="296">
        <v>112</v>
      </c>
    </row>
    <row r="344" spans="1:52" s="113" customFormat="1">
      <c r="A344" s="113" t="s">
        <v>437</v>
      </c>
      <c r="B344" s="113" t="s">
        <v>488</v>
      </c>
      <c r="C344" s="114" t="s">
        <v>489</v>
      </c>
      <c r="D344" s="128" t="s">
        <v>87</v>
      </c>
      <c r="E344" s="127" t="s">
        <v>88</v>
      </c>
      <c r="F344" s="126">
        <v>7</v>
      </c>
      <c r="G344" s="126" t="s">
        <v>145</v>
      </c>
      <c r="H344" s="123">
        <v>691.42857142857144</v>
      </c>
      <c r="I344" s="125">
        <v>44.56</v>
      </c>
      <c r="J344" s="123">
        <v>30602</v>
      </c>
      <c r="K344" s="124">
        <v>0.12</v>
      </c>
      <c r="L344" s="123">
        <f t="shared" si="234"/>
        <v>26929.760000000002</v>
      </c>
      <c r="M344" s="122">
        <f t="shared" si="235"/>
        <v>38.948</v>
      </c>
      <c r="N344" s="118">
        <v>6.98</v>
      </c>
      <c r="O344" s="118">
        <v>5.93</v>
      </c>
      <c r="P344" s="118">
        <v>6.95</v>
      </c>
      <c r="Q344" s="118">
        <v>7.81</v>
      </c>
      <c r="R344" s="118">
        <v>9.17</v>
      </c>
      <c r="S344" s="153">
        <v>7.55</v>
      </c>
      <c r="T344" s="153"/>
      <c r="V344" s="115"/>
      <c r="W344" s="115"/>
      <c r="X344" s="120">
        <v>0.31</v>
      </c>
      <c r="Y344" s="120"/>
      <c r="Z344" s="118">
        <v>0.33</v>
      </c>
      <c r="AA344" s="430">
        <v>46160</v>
      </c>
      <c r="AB344" s="117">
        <f t="shared" si="198"/>
        <v>77.8</v>
      </c>
      <c r="AC344" s="117">
        <f t="shared" si="236"/>
        <v>24.117999999999999</v>
      </c>
      <c r="AD344" s="117">
        <f t="shared" si="226"/>
        <v>7.2878360825852786</v>
      </c>
      <c r="AE344" s="117"/>
      <c r="AF344" s="447"/>
      <c r="AH344" s="115" t="s">
        <v>91</v>
      </c>
      <c r="AI344" s="113">
        <v>77</v>
      </c>
      <c r="AJ344" s="113">
        <v>56</v>
      </c>
      <c r="AK344" s="113">
        <v>63</v>
      </c>
      <c r="AL344" s="113">
        <v>75</v>
      </c>
      <c r="AM344" s="113">
        <v>96</v>
      </c>
      <c r="AN344" s="113">
        <v>66</v>
      </c>
      <c r="AO344" s="113">
        <v>105</v>
      </c>
      <c r="AP344" s="113">
        <v>82</v>
      </c>
      <c r="AQ344" s="113">
        <v>76</v>
      </c>
      <c r="AR344" s="113">
        <v>84</v>
      </c>
      <c r="AS344" s="113">
        <v>93</v>
      </c>
      <c r="AT344" s="113">
        <v>65</v>
      </c>
      <c r="AU344" s="113">
        <v>75</v>
      </c>
      <c r="AV344" s="113">
        <v>89</v>
      </c>
      <c r="AW344" s="113">
        <v>65</v>
      </c>
    </row>
    <row r="345" spans="1:52" s="113" customFormat="1">
      <c r="C345" s="114"/>
      <c r="D345" s="128"/>
      <c r="E345" s="127"/>
      <c r="F345" s="126"/>
      <c r="G345" s="126"/>
      <c r="H345" s="123"/>
      <c r="I345" s="125"/>
      <c r="J345" s="123"/>
      <c r="K345" s="124"/>
      <c r="L345" s="123"/>
      <c r="M345" s="122"/>
      <c r="N345" s="118"/>
      <c r="O345" s="118"/>
      <c r="P345" s="118"/>
      <c r="Q345" s="118"/>
      <c r="R345" s="118"/>
      <c r="S345" s="153"/>
      <c r="T345" s="153"/>
      <c r="V345" s="115"/>
      <c r="W345" s="115"/>
      <c r="X345" s="120"/>
      <c r="Y345" s="120"/>
      <c r="Z345" s="118"/>
      <c r="AA345" s="430"/>
      <c r="AB345" s="117"/>
      <c r="AC345" s="117"/>
      <c r="AD345" s="117"/>
      <c r="AE345" s="117"/>
      <c r="AF345" s="447"/>
      <c r="AH345" s="115"/>
    </row>
    <row r="346" spans="1:52" s="296" customFormat="1">
      <c r="A346" s="296" t="s">
        <v>437</v>
      </c>
      <c r="B346" s="296" t="s">
        <v>490</v>
      </c>
      <c r="C346" s="298" t="s">
        <v>491</v>
      </c>
      <c r="D346" s="299" t="s">
        <v>87</v>
      </c>
      <c r="E346" s="300" t="s">
        <v>119</v>
      </c>
      <c r="F346" s="297" t="s">
        <v>492</v>
      </c>
      <c r="G346" s="297" t="s">
        <v>145</v>
      </c>
      <c r="H346" s="301">
        <v>691.42857142857144</v>
      </c>
      <c r="I346" s="302">
        <v>57.07</v>
      </c>
      <c r="J346" s="301">
        <v>39054</v>
      </c>
      <c r="K346" s="237">
        <v>0.02</v>
      </c>
      <c r="L346" s="301">
        <f t="shared" si="234"/>
        <v>38272.92</v>
      </c>
      <c r="M346" s="303">
        <f t="shared" si="235"/>
        <v>55.353396694214872</v>
      </c>
      <c r="N346" s="304">
        <v>6.76</v>
      </c>
      <c r="O346" s="304">
        <v>6.51</v>
      </c>
      <c r="P346" s="304">
        <v>6.15</v>
      </c>
      <c r="Q346" s="304">
        <v>7.01</v>
      </c>
      <c r="R346" s="304">
        <v>8.16</v>
      </c>
      <c r="S346" s="305">
        <v>6.91</v>
      </c>
      <c r="T346" s="305"/>
      <c r="V346" s="306"/>
      <c r="W346" s="306"/>
      <c r="X346" s="307">
        <v>0.43</v>
      </c>
      <c r="Y346" s="307"/>
      <c r="Z346" s="304">
        <v>0.52</v>
      </c>
      <c r="AA346" s="431">
        <v>46168</v>
      </c>
      <c r="AB346" s="233">
        <f t="shared" si="198"/>
        <v>49.8</v>
      </c>
      <c r="AC346" s="233">
        <f t="shared" si="236"/>
        <v>21.413999999999998</v>
      </c>
      <c r="AD346" s="233">
        <f t="shared" si="226"/>
        <v>7.1804477736113537</v>
      </c>
      <c r="AE346" s="233"/>
      <c r="AF346" s="448"/>
      <c r="AH346" s="306" t="s">
        <v>116</v>
      </c>
      <c r="AI346" s="296">
        <v>37</v>
      </c>
      <c r="AJ346" s="296">
        <v>45</v>
      </c>
      <c r="AK346" s="296">
        <v>40</v>
      </c>
      <c r="AL346" s="296">
        <v>39</v>
      </c>
      <c r="AM346" s="296">
        <v>49</v>
      </c>
      <c r="AN346" s="296">
        <v>55</v>
      </c>
      <c r="AO346" s="296">
        <v>58</v>
      </c>
      <c r="AP346" s="296">
        <v>49</v>
      </c>
      <c r="AQ346" s="296">
        <v>55</v>
      </c>
      <c r="AR346" s="296">
        <v>60</v>
      </c>
      <c r="AS346" s="296">
        <v>59</v>
      </c>
      <c r="AT346" s="296">
        <v>53</v>
      </c>
      <c r="AU346" s="296">
        <v>48</v>
      </c>
      <c r="AV346" s="296">
        <v>43</v>
      </c>
      <c r="AW346" s="296">
        <v>57</v>
      </c>
    </row>
    <row r="347" spans="1:52" s="296" customFormat="1">
      <c r="A347" s="296" t="s">
        <v>437</v>
      </c>
      <c r="B347" s="296" t="s">
        <v>490</v>
      </c>
      <c r="C347" s="298" t="s">
        <v>491</v>
      </c>
      <c r="D347" s="299" t="s">
        <v>87</v>
      </c>
      <c r="E347" s="300" t="s">
        <v>119</v>
      </c>
      <c r="F347" s="297" t="s">
        <v>492</v>
      </c>
      <c r="G347" s="297" t="s">
        <v>145</v>
      </c>
      <c r="H347" s="301">
        <v>691.42857142857144</v>
      </c>
      <c r="I347" s="302">
        <v>57.07</v>
      </c>
      <c r="J347" s="301">
        <v>39054</v>
      </c>
      <c r="K347" s="237">
        <v>0.02</v>
      </c>
      <c r="L347" s="301">
        <f t="shared" si="234"/>
        <v>38272.92</v>
      </c>
      <c r="M347" s="303">
        <f t="shared" si="235"/>
        <v>55.353396694214872</v>
      </c>
      <c r="N347" s="304">
        <v>6.76</v>
      </c>
      <c r="O347" s="304">
        <v>6.51</v>
      </c>
      <c r="P347" s="304">
        <v>6.15</v>
      </c>
      <c r="Q347" s="304">
        <v>7.01</v>
      </c>
      <c r="R347" s="304">
        <v>8.16</v>
      </c>
      <c r="S347" s="305">
        <v>6.91</v>
      </c>
      <c r="T347" s="305"/>
      <c r="V347" s="306"/>
      <c r="W347" s="306"/>
      <c r="X347" s="307">
        <v>0.43</v>
      </c>
      <c r="Y347" s="307"/>
      <c r="Z347" s="304">
        <v>0.52</v>
      </c>
      <c r="AA347" s="431"/>
      <c r="AB347" s="233" t="str">
        <f t="shared" si="198"/>
        <v/>
      </c>
      <c r="AC347" s="233" t="str">
        <f t="shared" si="236"/>
        <v/>
      </c>
      <c r="AD347" s="233" t="str">
        <f t="shared" si="226"/>
        <v/>
      </c>
      <c r="AE347" s="233"/>
      <c r="AF347" s="448"/>
      <c r="AH347" s="306"/>
    </row>
    <row r="348" spans="1:52" s="113" customFormat="1">
      <c r="A348" s="113" t="s">
        <v>437</v>
      </c>
      <c r="B348" s="113" t="s">
        <v>493</v>
      </c>
      <c r="C348" s="114" t="s">
        <v>494</v>
      </c>
      <c r="D348" s="128" t="s">
        <v>87</v>
      </c>
      <c r="E348" s="127" t="s">
        <v>160</v>
      </c>
      <c r="F348" s="126">
        <v>1</v>
      </c>
      <c r="G348" s="126" t="s">
        <v>273</v>
      </c>
      <c r="H348" s="123">
        <v>605</v>
      </c>
      <c r="I348" s="125">
        <v>37.82</v>
      </c>
      <c r="J348" s="123">
        <v>22654</v>
      </c>
      <c r="K348" s="124"/>
      <c r="L348" s="123">
        <f t="shared" si="234"/>
        <v>22654</v>
      </c>
      <c r="M348" s="122">
        <f t="shared" si="235"/>
        <v>37.444628099173556</v>
      </c>
      <c r="N348" s="125">
        <v>8.3699999999999992</v>
      </c>
      <c r="O348" s="125">
        <v>9.11</v>
      </c>
      <c r="P348" s="125">
        <v>9.52</v>
      </c>
      <c r="Q348" s="125">
        <v>8.51</v>
      </c>
      <c r="R348" s="125">
        <v>9.17</v>
      </c>
      <c r="S348" s="154">
        <v>6.56</v>
      </c>
      <c r="T348" s="154"/>
      <c r="V348" s="115"/>
      <c r="W348" s="115"/>
      <c r="X348" s="120">
        <v>0.33</v>
      </c>
      <c r="Y348" s="120"/>
      <c r="Z348" s="118">
        <v>0.4</v>
      </c>
      <c r="AA348" s="430"/>
      <c r="AB348" s="117" t="str">
        <f t="shared" si="198"/>
        <v/>
      </c>
      <c r="AC348" s="117" t="str">
        <f t="shared" si="236"/>
        <v/>
      </c>
      <c r="AD348" s="117" t="str">
        <f t="shared" si="226"/>
        <v/>
      </c>
      <c r="AE348" s="117"/>
      <c r="AF348" s="447"/>
      <c r="AH348" s="115"/>
      <c r="AI348" s="115"/>
    </row>
    <row r="349" spans="1:52" s="296" customFormat="1">
      <c r="A349" s="296" t="s">
        <v>437</v>
      </c>
      <c r="B349" s="296" t="s">
        <v>495</v>
      </c>
      <c r="C349" s="298" t="s">
        <v>496</v>
      </c>
      <c r="D349" s="299" t="s">
        <v>87</v>
      </c>
      <c r="E349" s="300" t="s">
        <v>148</v>
      </c>
      <c r="F349" s="297">
        <v>4</v>
      </c>
      <c r="G349" s="297" t="s">
        <v>497</v>
      </c>
      <c r="H349" s="301">
        <v>726</v>
      </c>
      <c r="I349" s="302">
        <v>7.06</v>
      </c>
      <c r="J349" s="301">
        <v>4941</v>
      </c>
      <c r="K349" s="237"/>
      <c r="L349" s="301">
        <f t="shared" ref="L349:L390" si="275">J349-(J349*K349)</f>
        <v>4941</v>
      </c>
      <c r="M349" s="303">
        <f t="shared" ref="M349:M390" si="276">L349/H349</f>
        <v>6.8057851239669418</v>
      </c>
      <c r="N349" s="304"/>
      <c r="O349" s="304"/>
      <c r="P349" s="304">
        <v>6.93</v>
      </c>
      <c r="Q349" s="304">
        <v>10.01</v>
      </c>
      <c r="R349" s="304"/>
      <c r="S349" s="305">
        <v>9.33</v>
      </c>
      <c r="T349" s="305"/>
      <c r="V349" s="306"/>
      <c r="W349" s="306"/>
      <c r="X349" s="307">
        <v>0.25</v>
      </c>
      <c r="Y349" s="307"/>
      <c r="Z349" s="304">
        <v>0.35</v>
      </c>
      <c r="AA349" s="431">
        <v>46119</v>
      </c>
      <c r="AB349" s="233">
        <f t="shared" si="198"/>
        <v>76.3125</v>
      </c>
      <c r="AC349" s="233">
        <f t="shared" ref="AC349:AC390" si="277">IFERROR(AB349*X349,"")</f>
        <v>19.078125</v>
      </c>
      <c r="AD349" s="233">
        <f t="shared" si="226"/>
        <v>6.6759926080028338</v>
      </c>
      <c r="AE349" s="233"/>
      <c r="AF349" s="448"/>
      <c r="AG349" s="296" t="s">
        <v>498</v>
      </c>
      <c r="AH349" s="306" t="s">
        <v>91</v>
      </c>
      <c r="AI349" s="296">
        <v>71</v>
      </c>
      <c r="AJ349" s="296">
        <v>76</v>
      </c>
      <c r="AK349" s="296">
        <v>78</v>
      </c>
      <c r="AL349" s="296">
        <v>85</v>
      </c>
      <c r="AM349" s="296">
        <v>73</v>
      </c>
      <c r="AN349" s="296">
        <v>63</v>
      </c>
      <c r="AO349" s="296">
        <v>70</v>
      </c>
      <c r="AP349" s="296">
        <v>88</v>
      </c>
      <c r="AQ349" s="296">
        <v>75</v>
      </c>
      <c r="AR349" s="296">
        <v>76</v>
      </c>
      <c r="AS349" s="296">
        <v>76</v>
      </c>
      <c r="AT349" s="296">
        <v>82</v>
      </c>
      <c r="AU349" s="296">
        <v>71</v>
      </c>
      <c r="AV349" s="296">
        <v>77</v>
      </c>
      <c r="AW349" s="296">
        <v>77</v>
      </c>
      <c r="AX349" s="296">
        <v>83</v>
      </c>
    </row>
    <row r="350" spans="1:52" s="296" customFormat="1">
      <c r="A350" s="296" t="s">
        <v>437</v>
      </c>
      <c r="B350" s="296" t="s">
        <v>495</v>
      </c>
      <c r="C350" s="298" t="s">
        <v>496</v>
      </c>
      <c r="D350" s="299" t="s">
        <v>87</v>
      </c>
      <c r="E350" s="300" t="s">
        <v>148</v>
      </c>
      <c r="F350" s="297">
        <v>4</v>
      </c>
      <c r="G350" s="297" t="s">
        <v>497</v>
      </c>
      <c r="H350" s="301">
        <v>726</v>
      </c>
      <c r="I350" s="302">
        <v>7.06</v>
      </c>
      <c r="J350" s="301">
        <v>4941</v>
      </c>
      <c r="K350" s="237"/>
      <c r="L350" s="301">
        <f t="shared" si="275"/>
        <v>4941</v>
      </c>
      <c r="M350" s="303">
        <f t="shared" si="276"/>
        <v>6.8057851239669418</v>
      </c>
      <c r="N350" s="304"/>
      <c r="O350" s="304"/>
      <c r="P350" s="304">
        <v>6.93</v>
      </c>
      <c r="Q350" s="304">
        <v>10.01</v>
      </c>
      <c r="R350" s="304"/>
      <c r="S350" s="305">
        <v>9.33</v>
      </c>
      <c r="T350" s="305"/>
      <c r="V350" s="306"/>
      <c r="W350" s="306"/>
      <c r="X350" s="307">
        <v>0.25</v>
      </c>
      <c r="Y350" s="307"/>
      <c r="Z350" s="304">
        <v>0.35</v>
      </c>
      <c r="AA350" s="431">
        <v>46182</v>
      </c>
      <c r="AB350" s="233">
        <v>122</v>
      </c>
      <c r="AC350" s="233">
        <f t="shared" si="277"/>
        <v>30.5</v>
      </c>
      <c r="AD350" s="233">
        <f t="shared" si="226"/>
        <v>10.672839943342778</v>
      </c>
      <c r="AE350" s="233"/>
      <c r="AF350" s="448"/>
      <c r="AH350" s="306" t="s">
        <v>137</v>
      </c>
      <c r="AI350" s="296">
        <v>120</v>
      </c>
      <c r="AJ350" s="296">
        <v>106</v>
      </c>
      <c r="AK350" s="296">
        <v>86</v>
      </c>
      <c r="AL350" s="296">
        <v>80</v>
      </c>
      <c r="AM350" s="296">
        <v>90</v>
      </c>
      <c r="AN350" s="296">
        <v>103</v>
      </c>
      <c r="AO350" s="296">
        <v>90</v>
      </c>
      <c r="AP350" s="296">
        <v>98</v>
      </c>
      <c r="AQ350" s="296">
        <v>119</v>
      </c>
      <c r="AR350" s="296">
        <v>88</v>
      </c>
    </row>
    <row r="351" spans="1:52" s="296" customFormat="1">
      <c r="A351" s="296" t="s">
        <v>437</v>
      </c>
      <c r="B351" s="296" t="s">
        <v>495</v>
      </c>
      <c r="C351" s="298" t="s">
        <v>496</v>
      </c>
      <c r="D351" s="299" t="s">
        <v>87</v>
      </c>
      <c r="E351" s="300" t="s">
        <v>148</v>
      </c>
      <c r="F351" s="297">
        <v>4</v>
      </c>
      <c r="G351" s="297" t="s">
        <v>497</v>
      </c>
      <c r="H351" s="301">
        <v>726</v>
      </c>
      <c r="I351" s="302">
        <v>7.06</v>
      </c>
      <c r="J351" s="301">
        <v>4941</v>
      </c>
      <c r="K351" s="237"/>
      <c r="L351" s="301">
        <f t="shared" si="275"/>
        <v>4941</v>
      </c>
      <c r="M351" s="303">
        <f t="shared" si="276"/>
        <v>6.8057851239669418</v>
      </c>
      <c r="N351" s="304"/>
      <c r="O351" s="304"/>
      <c r="P351" s="304">
        <v>6.93</v>
      </c>
      <c r="Q351" s="304">
        <v>10.01</v>
      </c>
      <c r="R351" s="304"/>
      <c r="S351" s="305">
        <v>9.33</v>
      </c>
      <c r="T351" s="305"/>
      <c r="V351" s="306"/>
      <c r="W351" s="306"/>
      <c r="X351" s="307">
        <v>0.25</v>
      </c>
      <c r="Y351" s="307"/>
      <c r="Z351" s="304">
        <v>0.35</v>
      </c>
      <c r="AA351" s="431"/>
      <c r="AB351" s="233" t="str">
        <f t="shared" ref="AB351:AB360" si="278">IFERROR(AVERAGE(AI351:BG351),"")</f>
        <v/>
      </c>
      <c r="AC351" s="233" t="str">
        <f t="shared" si="277"/>
        <v/>
      </c>
      <c r="AD351" s="233" t="str">
        <f t="shared" si="226"/>
        <v/>
      </c>
      <c r="AE351" s="233"/>
      <c r="AF351" s="448"/>
      <c r="AH351" s="306"/>
    </row>
    <row r="352" spans="1:52" s="113" customFormat="1">
      <c r="A352" s="113" t="s">
        <v>437</v>
      </c>
      <c r="B352" s="113" t="s">
        <v>499</v>
      </c>
      <c r="C352" s="114" t="s">
        <v>500</v>
      </c>
      <c r="D352" s="128" t="s">
        <v>87</v>
      </c>
      <c r="E352" s="127" t="s">
        <v>501</v>
      </c>
      <c r="F352" s="126" t="s">
        <v>502</v>
      </c>
      <c r="G352" s="126" t="s">
        <v>273</v>
      </c>
      <c r="H352" s="123">
        <v>726</v>
      </c>
      <c r="I352" s="125">
        <v>4.51</v>
      </c>
      <c r="J352" s="123">
        <v>3247</v>
      </c>
      <c r="K352" s="124"/>
      <c r="L352" s="123">
        <f t="shared" si="275"/>
        <v>3247</v>
      </c>
      <c r="M352" s="122">
        <f t="shared" si="276"/>
        <v>4.4724517906336088</v>
      </c>
      <c r="N352" s="118"/>
      <c r="O352" s="118"/>
      <c r="P352" s="118"/>
      <c r="Q352" s="118">
        <v>1.1599999999999999</v>
      </c>
      <c r="R352" s="118">
        <v>8.3000000000000007</v>
      </c>
      <c r="S352" s="153">
        <v>7.95</v>
      </c>
      <c r="T352" s="153"/>
      <c r="V352" s="115"/>
      <c r="W352" s="115"/>
      <c r="X352" s="120">
        <v>0.39</v>
      </c>
      <c r="Y352" s="120"/>
      <c r="Z352" s="118">
        <v>0.5</v>
      </c>
      <c r="AA352" s="430">
        <v>46160</v>
      </c>
      <c r="AB352" s="117">
        <f t="shared" si="278"/>
        <v>63.1</v>
      </c>
      <c r="AC352" s="117">
        <f t="shared" si="277"/>
        <v>24.609000000000002</v>
      </c>
      <c r="AD352" s="117">
        <f t="shared" si="226"/>
        <v>8.858694345898007</v>
      </c>
      <c r="AE352" s="117"/>
      <c r="AF352" s="447"/>
      <c r="AG352" s="113" t="s">
        <v>503</v>
      </c>
      <c r="AH352" s="115" t="s">
        <v>91</v>
      </c>
      <c r="AI352" s="113">
        <v>75</v>
      </c>
      <c r="AJ352" s="113">
        <v>63</v>
      </c>
      <c r="AK352" s="113">
        <v>57</v>
      </c>
      <c r="AL352" s="113">
        <v>79</v>
      </c>
      <c r="AM352" s="113">
        <v>64</v>
      </c>
      <c r="AN352" s="113">
        <v>51</v>
      </c>
      <c r="AO352" s="113">
        <v>66</v>
      </c>
      <c r="AP352" s="113">
        <v>71</v>
      </c>
      <c r="AQ352" s="113">
        <v>53</v>
      </c>
      <c r="AR352" s="113">
        <v>52</v>
      </c>
    </row>
    <row r="353" spans="1:49" s="113" customFormat="1">
      <c r="A353" s="113" t="s">
        <v>437</v>
      </c>
      <c r="B353" s="113" t="s">
        <v>499</v>
      </c>
      <c r="C353" s="114" t="s">
        <v>500</v>
      </c>
      <c r="D353" s="128" t="s">
        <v>87</v>
      </c>
      <c r="E353" s="127" t="s">
        <v>501</v>
      </c>
      <c r="F353" s="126" t="s">
        <v>502</v>
      </c>
      <c r="G353" s="126" t="s">
        <v>273</v>
      </c>
      <c r="H353" s="123">
        <v>726</v>
      </c>
      <c r="I353" s="125">
        <v>4.51</v>
      </c>
      <c r="J353" s="123">
        <v>3247</v>
      </c>
      <c r="K353" s="124"/>
      <c r="L353" s="123">
        <f t="shared" si="275"/>
        <v>3247</v>
      </c>
      <c r="M353" s="122">
        <f t="shared" si="276"/>
        <v>4.4724517906336088</v>
      </c>
      <c r="N353" s="118"/>
      <c r="O353" s="118"/>
      <c r="P353" s="118"/>
      <c r="Q353" s="118">
        <v>1.1599999999999999</v>
      </c>
      <c r="R353" s="118">
        <v>8.3000000000000007</v>
      </c>
      <c r="S353" s="153">
        <v>7.95</v>
      </c>
      <c r="T353" s="153"/>
      <c r="V353" s="115"/>
      <c r="W353" s="115"/>
      <c r="X353" s="120">
        <v>0.39</v>
      </c>
      <c r="Y353" s="120"/>
      <c r="Z353" s="118">
        <v>0.5</v>
      </c>
      <c r="AA353" s="430">
        <v>46171</v>
      </c>
      <c r="AB353" s="117">
        <f t="shared" si="278"/>
        <v>60.533333333333331</v>
      </c>
      <c r="AC353" s="117">
        <f t="shared" si="277"/>
        <v>23.608000000000001</v>
      </c>
      <c r="AD353" s="117">
        <f t="shared" si="226"/>
        <v>8.4983565410199571</v>
      </c>
      <c r="AE353" s="117"/>
      <c r="AF353" s="447"/>
      <c r="AG353" s="113" t="s">
        <v>503</v>
      </c>
      <c r="AH353" s="115" t="s">
        <v>91</v>
      </c>
      <c r="AI353" s="113">
        <v>52</v>
      </c>
      <c r="AJ353" s="113">
        <v>60</v>
      </c>
      <c r="AK353" s="113">
        <v>63</v>
      </c>
      <c r="AL353" s="113">
        <v>69</v>
      </c>
      <c r="AM353" s="113">
        <v>65</v>
      </c>
      <c r="AN353" s="113">
        <v>61</v>
      </c>
      <c r="AO353" s="113">
        <v>67</v>
      </c>
      <c r="AP353" s="113">
        <v>64</v>
      </c>
      <c r="AQ353" s="113">
        <v>62</v>
      </c>
      <c r="AR353" s="113">
        <v>59</v>
      </c>
      <c r="AS353" s="113">
        <v>57</v>
      </c>
      <c r="AT353" s="113">
        <v>54</v>
      </c>
      <c r="AU353" s="113">
        <v>63</v>
      </c>
      <c r="AV353" s="113">
        <v>54</v>
      </c>
      <c r="AW353" s="113">
        <v>58</v>
      </c>
    </row>
    <row r="354" spans="1:49" s="113" customFormat="1">
      <c r="A354" s="113" t="s">
        <v>437</v>
      </c>
      <c r="B354" s="113" t="s">
        <v>499</v>
      </c>
      <c r="C354" s="114" t="s">
        <v>500</v>
      </c>
      <c r="D354" s="128" t="s">
        <v>87</v>
      </c>
      <c r="E354" s="127" t="s">
        <v>501</v>
      </c>
      <c r="F354" s="126" t="s">
        <v>502</v>
      </c>
      <c r="G354" s="126" t="s">
        <v>273</v>
      </c>
      <c r="H354" s="123">
        <v>726</v>
      </c>
      <c r="I354" s="125">
        <v>4.51</v>
      </c>
      <c r="J354" s="123">
        <v>3247</v>
      </c>
      <c r="K354" s="124"/>
      <c r="L354" s="123">
        <f t="shared" ref="L354" si="279">J354-(J354*K354)</f>
        <v>3247</v>
      </c>
      <c r="M354" s="122">
        <f t="shared" ref="M354" si="280">L354/H354</f>
        <v>4.4724517906336088</v>
      </c>
      <c r="N354" s="118"/>
      <c r="O354" s="118"/>
      <c r="P354" s="118"/>
      <c r="Q354" s="118">
        <v>1.1599999999999999</v>
      </c>
      <c r="R354" s="118">
        <v>8.3000000000000007</v>
      </c>
      <c r="S354" s="153">
        <v>7.95</v>
      </c>
      <c r="T354" s="153"/>
      <c r="V354" s="115"/>
      <c r="W354" s="115"/>
      <c r="X354" s="120">
        <v>0.39</v>
      </c>
      <c r="Y354" s="120"/>
      <c r="Z354" s="118">
        <v>0.5</v>
      </c>
      <c r="AA354" s="430">
        <v>46182</v>
      </c>
      <c r="AB354" s="117">
        <f t="shared" ref="AB354" si="281">IFERROR(AVERAGE(AI354:BG354),"")</f>
        <v>57.916666666666664</v>
      </c>
      <c r="AC354" s="117">
        <f t="shared" ref="AC354" si="282">IFERROR(AB354*X354,"")</f>
        <v>22.587499999999999</v>
      </c>
      <c r="AD354" s="117">
        <f t="shared" ref="AD354" si="283">IFERROR(((AC354*L354)/2000)/I354,"")</f>
        <v>8.1309991685144105</v>
      </c>
      <c r="AE354" s="117"/>
      <c r="AF354" s="447"/>
      <c r="AG354" s="113" t="s">
        <v>504</v>
      </c>
      <c r="AH354" s="115"/>
      <c r="AI354" s="113">
        <v>65</v>
      </c>
      <c r="AJ354" s="113">
        <v>65</v>
      </c>
      <c r="AK354" s="113">
        <v>56</v>
      </c>
      <c r="AL354" s="113">
        <v>54</v>
      </c>
      <c r="AM354" s="113">
        <v>58</v>
      </c>
      <c r="AN354" s="113">
        <v>57</v>
      </c>
      <c r="AO354" s="113">
        <v>54</v>
      </c>
      <c r="AP354" s="113">
        <v>69</v>
      </c>
      <c r="AQ354" s="113">
        <v>55</v>
      </c>
      <c r="AR354" s="113">
        <v>56</v>
      </c>
      <c r="AS354" s="113">
        <v>55</v>
      </c>
      <c r="AT354" s="113">
        <v>51</v>
      </c>
    </row>
    <row r="355" spans="1:49" s="113" customFormat="1">
      <c r="A355" s="113" t="s">
        <v>437</v>
      </c>
      <c r="B355" s="113" t="s">
        <v>499</v>
      </c>
      <c r="C355" s="114" t="s">
        <v>500</v>
      </c>
      <c r="D355" s="128" t="s">
        <v>87</v>
      </c>
      <c r="E355" s="127" t="s">
        <v>501</v>
      </c>
      <c r="F355" s="126" t="s">
        <v>502</v>
      </c>
      <c r="G355" s="126" t="s">
        <v>273</v>
      </c>
      <c r="H355" s="123">
        <v>726</v>
      </c>
      <c r="I355" s="125">
        <v>4.51</v>
      </c>
      <c r="J355" s="123">
        <v>3247</v>
      </c>
      <c r="K355" s="124"/>
      <c r="L355" s="123">
        <f t="shared" ref="L355" si="284">J355-(J355*K355)</f>
        <v>3247</v>
      </c>
      <c r="M355" s="122">
        <f t="shared" ref="M355" si="285">L355/H355</f>
        <v>4.4724517906336088</v>
      </c>
      <c r="N355" s="118"/>
      <c r="O355" s="118"/>
      <c r="P355" s="118"/>
      <c r="Q355" s="118">
        <v>1.1599999999999999</v>
      </c>
      <c r="R355" s="118">
        <v>8.3000000000000007</v>
      </c>
      <c r="S355" s="153">
        <v>7.95</v>
      </c>
      <c r="T355" s="153"/>
      <c r="V355" s="115"/>
      <c r="W355" s="115"/>
      <c r="X355" s="120">
        <v>0.39</v>
      </c>
      <c r="Y355" s="120"/>
      <c r="Z355" s="118">
        <v>0.5</v>
      </c>
      <c r="AA355" s="430">
        <v>46182</v>
      </c>
      <c r="AB355" s="117">
        <f t="shared" ref="AB355" si="286">IFERROR(AVERAGE(AI355:BG355),"")</f>
        <v>55.916666666666664</v>
      </c>
      <c r="AC355" s="117">
        <f t="shared" ref="AC355" si="287">IFERROR(AB355*X355,"")</f>
        <v>21.807500000000001</v>
      </c>
      <c r="AD355" s="117">
        <f t="shared" ref="AD355" si="288">IFERROR(((AC355*L355)/2000)/I355,"")</f>
        <v>7.8502164634146352</v>
      </c>
      <c r="AE355" s="117"/>
      <c r="AF355" s="447"/>
      <c r="AG355" s="113" t="s">
        <v>505</v>
      </c>
      <c r="AH355" s="115"/>
      <c r="AI355" s="113">
        <v>57</v>
      </c>
      <c r="AJ355" s="113">
        <v>47</v>
      </c>
      <c r="AK355" s="113">
        <v>46</v>
      </c>
      <c r="AL355" s="113">
        <v>57</v>
      </c>
      <c r="AM355" s="113">
        <v>65</v>
      </c>
      <c r="AN355" s="113">
        <v>59</v>
      </c>
      <c r="AO355" s="113">
        <v>49</v>
      </c>
      <c r="AP355" s="113">
        <v>52</v>
      </c>
      <c r="AQ355" s="113">
        <v>57</v>
      </c>
      <c r="AR355" s="113">
        <v>50</v>
      </c>
      <c r="AS355" s="113">
        <v>66</v>
      </c>
      <c r="AT355" s="113">
        <v>66</v>
      </c>
    </row>
    <row r="356" spans="1:49" s="113" customFormat="1">
      <c r="A356" s="113" t="s">
        <v>437</v>
      </c>
      <c r="B356" s="113" t="s">
        <v>499</v>
      </c>
      <c r="C356" s="114" t="s">
        <v>500</v>
      </c>
      <c r="D356" s="128" t="s">
        <v>87</v>
      </c>
      <c r="E356" s="127" t="s">
        <v>501</v>
      </c>
      <c r="F356" s="126" t="s">
        <v>502</v>
      </c>
      <c r="G356" s="126" t="s">
        <v>273</v>
      </c>
      <c r="H356" s="123">
        <v>726</v>
      </c>
      <c r="I356" s="125">
        <v>4.51</v>
      </c>
      <c r="J356" s="123">
        <v>3247</v>
      </c>
      <c r="K356" s="124"/>
      <c r="L356" s="123">
        <f t="shared" si="275"/>
        <v>3247</v>
      </c>
      <c r="M356" s="122">
        <f t="shared" si="276"/>
        <v>4.4724517906336088</v>
      </c>
      <c r="N356" s="118"/>
      <c r="O356" s="118"/>
      <c r="P356" s="118"/>
      <c r="Q356" s="118">
        <v>1.1599999999999999</v>
      </c>
      <c r="R356" s="118">
        <v>8.3000000000000007</v>
      </c>
      <c r="S356" s="153">
        <v>7.95</v>
      </c>
      <c r="T356" s="153"/>
      <c r="V356" s="115"/>
      <c r="W356" s="115"/>
      <c r="X356" s="120">
        <v>0.39</v>
      </c>
      <c r="Y356" s="120"/>
      <c r="Z356" s="118">
        <v>0.5</v>
      </c>
      <c r="AA356" s="430">
        <v>46182</v>
      </c>
      <c r="AB356" s="117">
        <f t="shared" si="278"/>
        <v>60.769230769230766</v>
      </c>
      <c r="AC356" s="117">
        <f t="shared" si="277"/>
        <v>23.7</v>
      </c>
      <c r="AD356" s="117">
        <f t="shared" si="226"/>
        <v>8.5314745011086472</v>
      </c>
      <c r="AE356" s="117"/>
      <c r="AF356" s="447"/>
      <c r="AG356" s="113" t="s">
        <v>506</v>
      </c>
      <c r="AH356" s="115"/>
      <c r="AI356" s="113">
        <v>67</v>
      </c>
      <c r="AJ356" s="113">
        <v>62</v>
      </c>
      <c r="AK356" s="113">
        <v>64</v>
      </c>
      <c r="AL356" s="113">
        <v>64</v>
      </c>
      <c r="AM356" s="113">
        <v>64</v>
      </c>
      <c r="AN356" s="113">
        <v>62</v>
      </c>
      <c r="AO356" s="113">
        <v>72</v>
      </c>
      <c r="AP356" s="113">
        <v>50</v>
      </c>
      <c r="AQ356" s="113">
        <v>73</v>
      </c>
      <c r="AR356" s="113">
        <v>54</v>
      </c>
      <c r="AS356" s="113">
        <v>52</v>
      </c>
      <c r="AT356" s="113">
        <v>47</v>
      </c>
      <c r="AU356" s="113">
        <v>59</v>
      </c>
    </row>
    <row r="357" spans="1:49" s="113" customFormat="1">
      <c r="A357" s="113" t="s">
        <v>437</v>
      </c>
      <c r="B357" s="113" t="s">
        <v>499</v>
      </c>
      <c r="C357" s="114" t="s">
        <v>500</v>
      </c>
      <c r="D357" s="128" t="s">
        <v>87</v>
      </c>
      <c r="E357" s="127" t="s">
        <v>501</v>
      </c>
      <c r="F357" s="126" t="s">
        <v>502</v>
      </c>
      <c r="G357" s="126" t="s">
        <v>273</v>
      </c>
      <c r="H357" s="123">
        <v>726</v>
      </c>
      <c r="I357" s="125">
        <v>4.51</v>
      </c>
      <c r="J357" s="123">
        <v>3247</v>
      </c>
      <c r="K357" s="124"/>
      <c r="L357" s="123">
        <f t="shared" ref="L357" si="289">J357-(J357*K357)</f>
        <v>3247</v>
      </c>
      <c r="M357" s="122">
        <f t="shared" ref="M357" si="290">L357/H357</f>
        <v>4.4724517906336088</v>
      </c>
      <c r="N357" s="118"/>
      <c r="O357" s="118"/>
      <c r="P357" s="118"/>
      <c r="Q357" s="118">
        <v>1.1599999999999999</v>
      </c>
      <c r="R357" s="118">
        <v>8.3000000000000007</v>
      </c>
      <c r="S357" s="153">
        <v>7.95</v>
      </c>
      <c r="T357" s="153"/>
      <c r="V357" s="115"/>
      <c r="W357" s="115"/>
      <c r="X357" s="120">
        <v>0.39</v>
      </c>
      <c r="Y357" s="120"/>
      <c r="Z357" s="118">
        <v>0.5</v>
      </c>
      <c r="AA357" s="430">
        <v>46203</v>
      </c>
      <c r="AB357" s="117">
        <v>48.5</v>
      </c>
      <c r="AC357" s="117">
        <f t="shared" ref="AC357" si="291">IFERROR(AB357*X357,"")</f>
        <v>18.914999999999999</v>
      </c>
      <c r="AD357" s="117">
        <f t="shared" ref="AD357" si="292">IFERROR(((AC357*L357)/2000)/I357,"")</f>
        <v>6.8089805986696232</v>
      </c>
      <c r="AE357" s="117"/>
      <c r="AF357" s="447"/>
      <c r="AG357" s="113" t="s">
        <v>507</v>
      </c>
      <c r="AH357" s="115"/>
    </row>
    <row r="358" spans="1:49" s="113" customFormat="1">
      <c r="A358" s="113" t="s">
        <v>437</v>
      </c>
      <c r="B358" s="113" t="s">
        <v>508</v>
      </c>
      <c r="C358" s="114" t="s">
        <v>509</v>
      </c>
      <c r="D358" s="128" t="s">
        <v>87</v>
      </c>
      <c r="E358" s="127" t="s">
        <v>510</v>
      </c>
      <c r="F358" s="126" t="s">
        <v>502</v>
      </c>
      <c r="G358" s="126" t="s">
        <v>273</v>
      </c>
      <c r="H358" s="123">
        <v>726</v>
      </c>
      <c r="I358" s="125">
        <v>4.51</v>
      </c>
      <c r="J358" s="123">
        <v>3247</v>
      </c>
      <c r="K358" s="124"/>
      <c r="L358" s="123">
        <f t="shared" si="275"/>
        <v>3247</v>
      </c>
      <c r="M358" s="122">
        <f t="shared" si="276"/>
        <v>4.4724517906336088</v>
      </c>
      <c r="N358" s="118"/>
      <c r="O358" s="118"/>
      <c r="P358" s="118"/>
      <c r="Q358" s="118">
        <v>1.1599999999999999</v>
      </c>
      <c r="R358" s="118">
        <v>8.3000000000000007</v>
      </c>
      <c r="S358" s="153">
        <v>7.95</v>
      </c>
      <c r="T358" s="153"/>
      <c r="V358" s="115"/>
      <c r="W358" s="115"/>
      <c r="X358" s="120">
        <v>0.39</v>
      </c>
      <c r="Y358" s="120"/>
      <c r="Z358" s="118">
        <v>0.5</v>
      </c>
      <c r="AA358" s="430">
        <v>46160</v>
      </c>
      <c r="AB358" s="117">
        <f t="shared" si="278"/>
        <v>63.666666666666664</v>
      </c>
      <c r="AC358" s="117">
        <f t="shared" si="277"/>
        <v>24.83</v>
      </c>
      <c r="AD358" s="117">
        <f t="shared" si="226"/>
        <v>8.9382494456762753</v>
      </c>
      <c r="AE358" s="117"/>
      <c r="AF358" s="447"/>
      <c r="AH358" s="115" t="s">
        <v>91</v>
      </c>
      <c r="AI358" s="113">
        <v>61</v>
      </c>
      <c r="AJ358" s="113">
        <v>60</v>
      </c>
      <c r="AK358" s="113">
        <v>62</v>
      </c>
      <c r="AL358" s="113">
        <v>70</v>
      </c>
      <c r="AM358" s="113">
        <v>64</v>
      </c>
      <c r="AN358" s="113">
        <v>64</v>
      </c>
      <c r="AO358" s="113">
        <v>65</v>
      </c>
      <c r="AP358" s="113">
        <v>73</v>
      </c>
      <c r="AQ358" s="113">
        <v>70</v>
      </c>
      <c r="AR358" s="113">
        <v>72</v>
      </c>
      <c r="AS358" s="113">
        <v>65</v>
      </c>
      <c r="AT358" s="113">
        <v>53</v>
      </c>
      <c r="AU358" s="113">
        <v>60</v>
      </c>
      <c r="AV358" s="113">
        <v>55</v>
      </c>
      <c r="AW358" s="113">
        <v>61</v>
      </c>
    </row>
    <row r="359" spans="1:49" s="113" customFormat="1">
      <c r="C359" s="114"/>
      <c r="D359" s="128"/>
      <c r="E359" s="127"/>
      <c r="F359" s="126"/>
      <c r="G359" s="126"/>
      <c r="H359" s="123"/>
      <c r="I359" s="125"/>
      <c r="J359" s="123"/>
      <c r="K359" s="124"/>
      <c r="L359" s="123"/>
      <c r="M359" s="122"/>
      <c r="N359" s="118"/>
      <c r="O359" s="118"/>
      <c r="P359" s="118"/>
      <c r="Q359" s="118"/>
      <c r="R359" s="118"/>
      <c r="S359" s="153"/>
      <c r="T359" s="153"/>
      <c r="V359" s="115"/>
      <c r="W359" s="115"/>
      <c r="X359" s="120"/>
      <c r="Y359" s="120"/>
      <c r="Z359" s="118"/>
      <c r="AA359" s="430"/>
      <c r="AB359" s="117"/>
      <c r="AC359" s="117"/>
      <c r="AD359" s="117"/>
      <c r="AE359" s="117"/>
      <c r="AF359" s="447"/>
      <c r="AH359" s="115"/>
    </row>
    <row r="360" spans="1:49" s="296" customFormat="1">
      <c r="A360" s="296" t="s">
        <v>437</v>
      </c>
      <c r="B360" s="296" t="s">
        <v>511</v>
      </c>
      <c r="C360" s="298" t="s">
        <v>512</v>
      </c>
      <c r="D360" s="299" t="s">
        <v>87</v>
      </c>
      <c r="E360" s="300" t="s">
        <v>160</v>
      </c>
      <c r="F360" s="297">
        <v>4</v>
      </c>
      <c r="G360" s="297" t="s">
        <v>513</v>
      </c>
      <c r="H360" s="301">
        <v>691.42857142857144</v>
      </c>
      <c r="I360" s="302">
        <v>34.200000000000003</v>
      </c>
      <c r="J360" s="301">
        <v>23449</v>
      </c>
      <c r="K360" s="237"/>
      <c r="L360" s="301">
        <f t="shared" si="275"/>
        <v>23449</v>
      </c>
      <c r="M360" s="303">
        <f t="shared" si="276"/>
        <v>33.913842975206613</v>
      </c>
      <c r="N360" s="302">
        <v>10.01</v>
      </c>
      <c r="O360" s="302">
        <v>6.89</v>
      </c>
      <c r="P360" s="302">
        <v>11.32</v>
      </c>
      <c r="Q360" s="302">
        <v>9</v>
      </c>
      <c r="R360" s="302">
        <v>10.199999999999999</v>
      </c>
      <c r="S360" s="320">
        <v>8.0399999999999991</v>
      </c>
      <c r="T360" s="320"/>
      <c r="V360" s="306"/>
      <c r="W360" s="306"/>
      <c r="X360" s="307">
        <v>0.4</v>
      </c>
      <c r="Y360" s="307"/>
      <c r="Z360" s="304">
        <v>0.41</v>
      </c>
      <c r="AA360" s="431">
        <v>46175</v>
      </c>
      <c r="AB360" s="233">
        <f t="shared" si="278"/>
        <v>54.4</v>
      </c>
      <c r="AC360" s="233">
        <f t="shared" ref="AC360" si="293">IFERROR(AB360*X360,"")</f>
        <v>21.76</v>
      </c>
      <c r="AD360" s="233">
        <f t="shared" ref="AD360" si="294">IFERROR(((AC360*L360)/2000)/I360,"")</f>
        <v>7.4597988304093574</v>
      </c>
      <c r="AE360" s="233"/>
      <c r="AF360" s="448"/>
      <c r="AH360" s="306" t="s">
        <v>116</v>
      </c>
      <c r="AI360" s="296">
        <v>51</v>
      </c>
      <c r="AJ360" s="296">
        <v>49</v>
      </c>
      <c r="AK360" s="296">
        <v>50</v>
      </c>
      <c r="AL360" s="296">
        <v>56</v>
      </c>
      <c r="AM360" s="296">
        <v>60</v>
      </c>
      <c r="AN360" s="296">
        <v>48</v>
      </c>
      <c r="AO360" s="296">
        <v>49</v>
      </c>
      <c r="AP360" s="296">
        <v>62</v>
      </c>
      <c r="AQ360" s="296">
        <v>58</v>
      </c>
      <c r="AR360" s="296">
        <v>53</v>
      </c>
      <c r="AS360" s="296">
        <v>45</v>
      </c>
      <c r="AT360" s="296">
        <v>59</v>
      </c>
      <c r="AU360" s="296">
        <v>60</v>
      </c>
      <c r="AV360" s="296">
        <v>57</v>
      </c>
      <c r="AW360" s="296">
        <v>59</v>
      </c>
    </row>
    <row r="361" spans="1:49" s="296" customFormat="1">
      <c r="A361" s="296" t="s">
        <v>437</v>
      </c>
      <c r="B361" s="296" t="s">
        <v>511</v>
      </c>
      <c r="C361" s="298" t="s">
        <v>512</v>
      </c>
      <c r="D361" s="299" t="s">
        <v>87</v>
      </c>
      <c r="E361" s="300" t="s">
        <v>160</v>
      </c>
      <c r="F361" s="297">
        <v>4</v>
      </c>
      <c r="G361" s="297" t="s">
        <v>513</v>
      </c>
      <c r="H361" s="301">
        <v>691.42857142857144</v>
      </c>
      <c r="I361" s="302">
        <v>34.200000000000003</v>
      </c>
      <c r="J361" s="301">
        <v>23449</v>
      </c>
      <c r="K361" s="237"/>
      <c r="L361" s="301">
        <f t="shared" si="275"/>
        <v>23449</v>
      </c>
      <c r="M361" s="303">
        <f t="shared" si="276"/>
        <v>33.913842975206613</v>
      </c>
      <c r="N361" s="302">
        <v>10.01</v>
      </c>
      <c r="O361" s="302">
        <v>6.89</v>
      </c>
      <c r="P361" s="302">
        <v>11.32</v>
      </c>
      <c r="Q361" s="302">
        <v>9</v>
      </c>
      <c r="R361" s="302">
        <v>10.199999999999999</v>
      </c>
      <c r="S361" s="320">
        <v>8.0399999999999991</v>
      </c>
      <c r="T361" s="320"/>
      <c r="V361" s="306"/>
      <c r="W361" s="306"/>
      <c r="X361" s="307">
        <v>0.4</v>
      </c>
      <c r="Y361" s="307"/>
      <c r="Z361" s="304">
        <v>0.41</v>
      </c>
      <c r="AA361" s="431"/>
      <c r="AB361" s="233"/>
      <c r="AC361" s="233"/>
      <c r="AD361" s="233"/>
      <c r="AE361" s="233"/>
      <c r="AF361" s="448"/>
      <c r="AH361" s="306"/>
    </row>
    <row r="362" spans="1:49" s="296" customFormat="1">
      <c r="A362" s="296" t="s">
        <v>437</v>
      </c>
      <c r="B362" s="296" t="s">
        <v>511</v>
      </c>
      <c r="C362" s="298" t="s">
        <v>512</v>
      </c>
      <c r="D362" s="299" t="s">
        <v>87</v>
      </c>
      <c r="E362" s="300" t="s">
        <v>160</v>
      </c>
      <c r="F362" s="297">
        <v>4</v>
      </c>
      <c r="G362" s="297" t="s">
        <v>513</v>
      </c>
      <c r="H362" s="301">
        <v>691.42857142857144</v>
      </c>
      <c r="I362" s="302">
        <v>34.200000000000003</v>
      </c>
      <c r="J362" s="301">
        <v>23449</v>
      </c>
      <c r="K362" s="237"/>
      <c r="L362" s="301">
        <f t="shared" si="275"/>
        <v>23449</v>
      </c>
      <c r="M362" s="303">
        <f t="shared" si="276"/>
        <v>33.913842975206613</v>
      </c>
      <c r="N362" s="302">
        <v>10.01</v>
      </c>
      <c r="O362" s="302">
        <v>6.89</v>
      </c>
      <c r="P362" s="302">
        <v>11.32</v>
      </c>
      <c r="Q362" s="302">
        <v>9</v>
      </c>
      <c r="R362" s="302">
        <v>10.199999999999999</v>
      </c>
      <c r="S362" s="320">
        <v>8.0399999999999991</v>
      </c>
      <c r="T362" s="320"/>
      <c r="V362" s="306"/>
      <c r="W362" s="306"/>
      <c r="X362" s="307">
        <v>0.4</v>
      </c>
      <c r="Y362" s="307"/>
      <c r="Z362" s="304">
        <v>0.41</v>
      </c>
      <c r="AA362" s="431"/>
      <c r="AB362" s="233" t="str">
        <f t="shared" ref="AB362:AB379" si="295">IFERROR(AVERAGE(AI362:BG362),"")</f>
        <v/>
      </c>
      <c r="AC362" s="233" t="str">
        <f t="shared" si="277"/>
        <v/>
      </c>
      <c r="AD362" s="233" t="str">
        <f t="shared" si="226"/>
        <v/>
      </c>
      <c r="AE362" s="233"/>
      <c r="AF362" s="448"/>
      <c r="AH362" s="306"/>
    </row>
    <row r="363" spans="1:49" s="296" customFormat="1">
      <c r="A363" s="296" t="s">
        <v>437</v>
      </c>
      <c r="B363" s="296" t="s">
        <v>511</v>
      </c>
      <c r="C363" s="298" t="s">
        <v>512</v>
      </c>
      <c r="D363" s="299" t="s">
        <v>87</v>
      </c>
      <c r="E363" s="300" t="s">
        <v>160</v>
      </c>
      <c r="F363" s="297">
        <v>4</v>
      </c>
      <c r="G363" s="297" t="s">
        <v>513</v>
      </c>
      <c r="H363" s="301">
        <v>691.42857142857144</v>
      </c>
      <c r="I363" s="302">
        <v>34.200000000000003</v>
      </c>
      <c r="J363" s="301">
        <v>23449</v>
      </c>
      <c r="K363" s="237"/>
      <c r="L363" s="301">
        <f t="shared" si="275"/>
        <v>23449</v>
      </c>
      <c r="M363" s="303">
        <f t="shared" si="276"/>
        <v>33.913842975206613</v>
      </c>
      <c r="N363" s="302">
        <v>10.01</v>
      </c>
      <c r="O363" s="302">
        <v>6.89</v>
      </c>
      <c r="P363" s="302">
        <v>11.32</v>
      </c>
      <c r="Q363" s="302">
        <v>9</v>
      </c>
      <c r="R363" s="302">
        <v>10.199999999999999</v>
      </c>
      <c r="S363" s="320">
        <v>8.0399999999999991</v>
      </c>
      <c r="T363" s="320"/>
      <c r="V363" s="306"/>
      <c r="W363" s="306"/>
      <c r="X363" s="307">
        <v>0.4</v>
      </c>
      <c r="Y363" s="307"/>
      <c r="Z363" s="304">
        <v>0.41</v>
      </c>
      <c r="AA363" s="431"/>
      <c r="AB363" s="233" t="str">
        <f t="shared" si="295"/>
        <v/>
      </c>
      <c r="AC363" s="233" t="str">
        <f t="shared" si="277"/>
        <v/>
      </c>
      <c r="AD363" s="233" t="str">
        <f t="shared" si="226"/>
        <v/>
      </c>
      <c r="AE363" s="233"/>
      <c r="AF363" s="448"/>
      <c r="AH363" s="306"/>
    </row>
    <row r="364" spans="1:49" s="113" customFormat="1">
      <c r="A364" s="113" t="s">
        <v>437</v>
      </c>
      <c r="B364" s="113" t="s">
        <v>514</v>
      </c>
      <c r="C364" s="114" t="s">
        <v>515</v>
      </c>
      <c r="D364" s="128" t="s">
        <v>87</v>
      </c>
      <c r="E364" s="127" t="s">
        <v>114</v>
      </c>
      <c r="F364" s="126">
        <v>15</v>
      </c>
      <c r="G364" s="126" t="s">
        <v>349</v>
      </c>
      <c r="H364" s="123">
        <v>691.42857142857144</v>
      </c>
      <c r="I364" s="125">
        <v>34.06</v>
      </c>
      <c r="J364" s="123">
        <v>23354</v>
      </c>
      <c r="K364" s="124"/>
      <c r="L364" s="123">
        <f t="shared" si="275"/>
        <v>23354</v>
      </c>
      <c r="M364" s="122">
        <f t="shared" si="276"/>
        <v>33.776446280991735</v>
      </c>
      <c r="N364" s="118">
        <v>9.5500000000000007</v>
      </c>
      <c r="O364" s="118">
        <v>7.36</v>
      </c>
      <c r="P364" s="118">
        <v>8.27</v>
      </c>
      <c r="Q364" s="118">
        <v>8.3699999999999992</v>
      </c>
      <c r="R364" s="118">
        <v>7.83</v>
      </c>
      <c r="S364" s="153">
        <v>7.6</v>
      </c>
      <c r="T364" s="153"/>
      <c r="V364" s="115"/>
      <c r="W364" s="115"/>
      <c r="X364" s="120">
        <v>0.27</v>
      </c>
      <c r="Y364" s="120"/>
      <c r="Z364" s="118">
        <v>0.38</v>
      </c>
      <c r="AA364" s="439">
        <v>46119</v>
      </c>
      <c r="AB364" s="28">
        <f t="shared" si="295"/>
        <v>78</v>
      </c>
      <c r="AC364" s="28">
        <f>IFERROR(AB364*X364,"")</f>
        <v>21.060000000000002</v>
      </c>
      <c r="AD364" s="28">
        <f>IFERROR(((AC364*L364)/2000)/I364,"")</f>
        <v>7.2201297709923669</v>
      </c>
      <c r="AE364" s="28">
        <f>(AC364*L364)/2000</f>
        <v>245.91762000000003</v>
      </c>
      <c r="AF364" s="456"/>
      <c r="AG364" s="15" t="s">
        <v>218</v>
      </c>
      <c r="AH364" s="25"/>
      <c r="AI364" s="15">
        <v>83</v>
      </c>
      <c r="AJ364" s="15">
        <v>65</v>
      </c>
      <c r="AK364" s="15">
        <v>72</v>
      </c>
      <c r="AL364" s="15">
        <v>86</v>
      </c>
      <c r="AM364" s="15">
        <v>90</v>
      </c>
      <c r="AN364" s="15">
        <v>71</v>
      </c>
      <c r="AO364" s="15">
        <v>78</v>
      </c>
      <c r="AP364" s="15">
        <v>79</v>
      </c>
      <c r="AQ364" s="15"/>
      <c r="AR364" s="15"/>
      <c r="AS364" s="15"/>
    </row>
    <row r="365" spans="1:49" s="113" customFormat="1">
      <c r="A365" s="113" t="s">
        <v>437</v>
      </c>
      <c r="B365" s="113" t="s">
        <v>514</v>
      </c>
      <c r="C365" s="114" t="s">
        <v>515</v>
      </c>
      <c r="D365" s="128" t="s">
        <v>87</v>
      </c>
      <c r="E365" s="127" t="s">
        <v>114</v>
      </c>
      <c r="F365" s="126">
        <v>15</v>
      </c>
      <c r="G365" s="126" t="s">
        <v>349</v>
      </c>
      <c r="H365" s="123">
        <v>691.42857142857144</v>
      </c>
      <c r="I365" s="125">
        <v>34.06</v>
      </c>
      <c r="J365" s="123">
        <v>23354</v>
      </c>
      <c r="K365" s="124"/>
      <c r="L365" s="123">
        <f t="shared" si="275"/>
        <v>23354</v>
      </c>
      <c r="M365" s="122">
        <f t="shared" si="276"/>
        <v>33.776446280991735</v>
      </c>
      <c r="N365" s="118">
        <v>9.5500000000000007</v>
      </c>
      <c r="O365" s="118">
        <v>7.36</v>
      </c>
      <c r="P365" s="118">
        <v>8.27</v>
      </c>
      <c r="Q365" s="118">
        <v>8.3699999999999992</v>
      </c>
      <c r="R365" s="118">
        <v>7.83</v>
      </c>
      <c r="S365" s="153">
        <v>7.6</v>
      </c>
      <c r="T365" s="153"/>
      <c r="V365" s="115"/>
      <c r="W365" s="115"/>
      <c r="X365" s="120">
        <v>0.27</v>
      </c>
      <c r="Y365" s="120"/>
      <c r="Z365" s="118">
        <v>0.38</v>
      </c>
      <c r="AA365" s="439">
        <v>46119</v>
      </c>
      <c r="AB365" s="28">
        <f t="shared" si="295"/>
        <v>73</v>
      </c>
      <c r="AC365" s="28">
        <f>IFERROR(AB365*X365,"")</f>
        <v>19.71</v>
      </c>
      <c r="AD365" s="28">
        <f>IFERROR(((AC365*L365)/2000)/I365,"")</f>
        <v>6.7573009395184966</v>
      </c>
      <c r="AE365" s="28">
        <f>(AC365*L365)/2000</f>
        <v>230.15367000000001</v>
      </c>
      <c r="AF365" s="456"/>
      <c r="AG365" s="15" t="s">
        <v>516</v>
      </c>
      <c r="AH365" s="25"/>
      <c r="AI365" s="15">
        <v>70</v>
      </c>
      <c r="AJ365" s="15">
        <v>69</v>
      </c>
      <c r="AK365" s="15">
        <v>75</v>
      </c>
      <c r="AL365" s="15">
        <v>68</v>
      </c>
      <c r="AM365" s="15">
        <v>63</v>
      </c>
      <c r="AN365" s="15">
        <v>82</v>
      </c>
      <c r="AO365" s="15">
        <v>83</v>
      </c>
      <c r="AP365" s="15">
        <v>69</v>
      </c>
      <c r="AQ365" s="15">
        <v>76</v>
      </c>
      <c r="AR365" s="15">
        <v>70</v>
      </c>
      <c r="AS365" s="15">
        <v>78</v>
      </c>
    </row>
    <row r="366" spans="1:49" s="113" customFormat="1">
      <c r="A366" s="113" t="s">
        <v>437</v>
      </c>
      <c r="B366" s="113" t="s">
        <v>514</v>
      </c>
      <c r="C366" s="114" t="s">
        <v>515</v>
      </c>
      <c r="D366" s="128" t="s">
        <v>87</v>
      </c>
      <c r="E366" s="127" t="s">
        <v>114</v>
      </c>
      <c r="F366" s="126">
        <v>15</v>
      </c>
      <c r="G366" s="126" t="s">
        <v>349</v>
      </c>
      <c r="H366" s="123">
        <v>691.42857142857144</v>
      </c>
      <c r="I366" s="125">
        <v>34.06</v>
      </c>
      <c r="J366" s="123">
        <v>23354</v>
      </c>
      <c r="K366" s="124"/>
      <c r="L366" s="123">
        <f t="shared" si="275"/>
        <v>23354</v>
      </c>
      <c r="M366" s="122">
        <f t="shared" si="276"/>
        <v>33.776446280991735</v>
      </c>
      <c r="N366" s="118">
        <v>9.5500000000000007</v>
      </c>
      <c r="O366" s="118">
        <v>7.36</v>
      </c>
      <c r="P366" s="118">
        <v>8.27</v>
      </c>
      <c r="Q366" s="118">
        <v>8.3699999999999992</v>
      </c>
      <c r="R366" s="118">
        <v>7.83</v>
      </c>
      <c r="S366" s="153">
        <v>7.6</v>
      </c>
      <c r="T366" s="153"/>
      <c r="V366" s="115"/>
      <c r="W366" s="115"/>
      <c r="X366" s="120">
        <v>0.27</v>
      </c>
      <c r="Y366" s="120"/>
      <c r="Z366" s="118">
        <v>0.38</v>
      </c>
      <c r="AA366" s="430">
        <v>46161</v>
      </c>
      <c r="AB366" s="117">
        <f t="shared" si="295"/>
        <v>65.857142857142861</v>
      </c>
      <c r="AC366" s="117">
        <f t="shared" si="277"/>
        <v>17.781428571428574</v>
      </c>
      <c r="AD366" s="117">
        <f t="shared" si="226"/>
        <v>6.0961168945558262</v>
      </c>
      <c r="AE366" s="28"/>
      <c r="AF366" s="456"/>
      <c r="AH366" s="115"/>
      <c r="AI366" s="113">
        <v>56</v>
      </c>
      <c r="AJ366" s="113">
        <v>65</v>
      </c>
      <c r="AK366" s="113">
        <v>59</v>
      </c>
      <c r="AL366" s="113">
        <v>68</v>
      </c>
      <c r="AM366" s="113">
        <v>70</v>
      </c>
      <c r="AN366" s="113">
        <v>74</v>
      </c>
      <c r="AO366" s="113">
        <v>65</v>
      </c>
      <c r="AP366" s="113">
        <v>70</v>
      </c>
      <c r="AQ366" s="113">
        <v>59</v>
      </c>
      <c r="AR366" s="113">
        <v>63</v>
      </c>
      <c r="AS366" s="113">
        <v>75</v>
      </c>
      <c r="AT366" s="113">
        <v>60</v>
      </c>
      <c r="AU366" s="113">
        <v>69</v>
      </c>
      <c r="AV366" s="113">
        <v>69</v>
      </c>
    </row>
    <row r="367" spans="1:49" s="113" customFormat="1">
      <c r="A367" s="113" t="s">
        <v>437</v>
      </c>
      <c r="B367" s="113" t="s">
        <v>514</v>
      </c>
      <c r="C367" s="114" t="s">
        <v>515</v>
      </c>
      <c r="D367" s="128" t="s">
        <v>87</v>
      </c>
      <c r="E367" s="127" t="s">
        <v>114</v>
      </c>
      <c r="F367" s="126">
        <v>15</v>
      </c>
      <c r="G367" s="126" t="s">
        <v>349</v>
      </c>
      <c r="H367" s="123">
        <v>691.42857142857144</v>
      </c>
      <c r="I367" s="125">
        <v>34.06</v>
      </c>
      <c r="J367" s="123">
        <v>23354</v>
      </c>
      <c r="K367" s="124"/>
      <c r="L367" s="123">
        <f t="shared" si="275"/>
        <v>23354</v>
      </c>
      <c r="M367" s="122">
        <f t="shared" si="276"/>
        <v>33.776446280991735</v>
      </c>
      <c r="N367" s="118">
        <v>9.5500000000000007</v>
      </c>
      <c r="O367" s="118">
        <v>7.36</v>
      </c>
      <c r="P367" s="118">
        <v>8.27</v>
      </c>
      <c r="Q367" s="118">
        <v>8.3699999999999992</v>
      </c>
      <c r="R367" s="118">
        <v>7.83</v>
      </c>
      <c r="S367" s="153">
        <v>7.6</v>
      </c>
      <c r="T367" s="153"/>
      <c r="V367" s="115"/>
      <c r="W367" s="115"/>
      <c r="X367" s="120">
        <v>0.27</v>
      </c>
      <c r="Y367" s="120"/>
      <c r="Z367" s="118">
        <v>0.38</v>
      </c>
      <c r="AA367" s="430"/>
      <c r="AB367" s="117" t="str">
        <f t="shared" si="295"/>
        <v/>
      </c>
      <c r="AC367" s="117" t="str">
        <f t="shared" si="277"/>
        <v/>
      </c>
      <c r="AD367" s="117" t="str">
        <f t="shared" si="226"/>
        <v/>
      </c>
      <c r="AE367" s="28"/>
      <c r="AF367" s="456"/>
      <c r="AH367" s="115"/>
    </row>
    <row r="368" spans="1:49" s="296" customFormat="1">
      <c r="A368" s="296" t="s">
        <v>437</v>
      </c>
      <c r="B368" s="296" t="s">
        <v>517</v>
      </c>
      <c r="C368" s="298" t="s">
        <v>518</v>
      </c>
      <c r="D368" s="299" t="s">
        <v>87</v>
      </c>
      <c r="E368" s="300" t="s">
        <v>119</v>
      </c>
      <c r="F368" s="297">
        <v>3</v>
      </c>
      <c r="G368" s="297" t="s">
        <v>475</v>
      </c>
      <c r="H368" s="301">
        <v>777.85714285714289</v>
      </c>
      <c r="I368" s="302">
        <v>43.76</v>
      </c>
      <c r="J368" s="301">
        <v>33795</v>
      </c>
      <c r="K368" s="237">
        <v>0.1</v>
      </c>
      <c r="L368" s="301">
        <f t="shared" si="275"/>
        <v>30415.5</v>
      </c>
      <c r="M368" s="303">
        <f t="shared" si="276"/>
        <v>39.10165289256198</v>
      </c>
      <c r="N368" s="304">
        <v>7.24</v>
      </c>
      <c r="O368" s="304">
        <v>6.34</v>
      </c>
      <c r="P368" s="304">
        <v>7.09</v>
      </c>
      <c r="Q368" s="304">
        <v>5.52</v>
      </c>
      <c r="R368" s="304">
        <v>5.76</v>
      </c>
      <c r="S368" s="305">
        <v>4.83</v>
      </c>
      <c r="T368" s="305"/>
      <c r="V368" s="306"/>
      <c r="W368" s="306"/>
      <c r="X368" s="307">
        <v>0.35</v>
      </c>
      <c r="Y368" s="307"/>
      <c r="Z368" s="304">
        <v>0.52</v>
      </c>
      <c r="AA368" s="431">
        <v>46157</v>
      </c>
      <c r="AB368" s="233">
        <f t="shared" si="295"/>
        <v>59.083333333333336</v>
      </c>
      <c r="AC368" s="233">
        <f t="shared" si="277"/>
        <v>20.679166666666667</v>
      </c>
      <c r="AD368" s="233">
        <f t="shared" si="226"/>
        <v>7.1865538591179163</v>
      </c>
      <c r="AE368" s="233"/>
      <c r="AF368" s="448"/>
      <c r="AH368" s="306"/>
      <c r="AI368" s="296">
        <v>50</v>
      </c>
      <c r="AJ368" s="296">
        <v>57</v>
      </c>
      <c r="AK368" s="296">
        <v>64</v>
      </c>
      <c r="AL368" s="296">
        <v>57</v>
      </c>
      <c r="AM368" s="296">
        <v>60</v>
      </c>
      <c r="AN368" s="296">
        <v>52</v>
      </c>
      <c r="AO368" s="296">
        <v>78</v>
      </c>
      <c r="AP368" s="296">
        <v>54</v>
      </c>
      <c r="AQ368" s="296">
        <v>72</v>
      </c>
      <c r="AR368" s="296">
        <v>66</v>
      </c>
      <c r="AS368" s="296">
        <v>51</v>
      </c>
      <c r="AT368" s="296">
        <v>48</v>
      </c>
    </row>
    <row r="369" spans="1:58" s="296" customFormat="1">
      <c r="A369" s="296" t="s">
        <v>437</v>
      </c>
      <c r="B369" s="296" t="s">
        <v>517</v>
      </c>
      <c r="C369" s="298" t="s">
        <v>518</v>
      </c>
      <c r="D369" s="299" t="s">
        <v>87</v>
      </c>
      <c r="E369" s="300" t="s">
        <v>119</v>
      </c>
      <c r="F369" s="297">
        <v>3</v>
      </c>
      <c r="G369" s="297" t="s">
        <v>475</v>
      </c>
      <c r="H369" s="301">
        <v>777.85714285714289</v>
      </c>
      <c r="I369" s="302">
        <v>43.76</v>
      </c>
      <c r="J369" s="301">
        <v>33795</v>
      </c>
      <c r="K369" s="237">
        <v>0.1</v>
      </c>
      <c r="L369" s="301">
        <f t="shared" si="275"/>
        <v>30415.5</v>
      </c>
      <c r="M369" s="303">
        <f t="shared" si="276"/>
        <v>39.10165289256198</v>
      </c>
      <c r="N369" s="304">
        <v>7.24</v>
      </c>
      <c r="O369" s="304">
        <v>6.34</v>
      </c>
      <c r="P369" s="304">
        <v>7.09</v>
      </c>
      <c r="Q369" s="304">
        <v>5.52</v>
      </c>
      <c r="R369" s="304">
        <v>5.76</v>
      </c>
      <c r="S369" s="305">
        <v>4.83</v>
      </c>
      <c r="T369" s="305"/>
      <c r="V369" s="306"/>
      <c r="W369" s="306"/>
      <c r="X369" s="307">
        <v>0.35</v>
      </c>
      <c r="Y369" s="307"/>
      <c r="Z369" s="304">
        <v>0.52</v>
      </c>
      <c r="AA369" s="431">
        <v>46171</v>
      </c>
      <c r="AB369" s="233">
        <f t="shared" si="295"/>
        <v>78.400000000000006</v>
      </c>
      <c r="AC369" s="233">
        <f t="shared" si="277"/>
        <v>27.44</v>
      </c>
      <c r="AD369" s="233">
        <f t="shared" si="226"/>
        <v>9.5361211151736764</v>
      </c>
      <c r="AE369" s="233"/>
      <c r="AF369" s="448"/>
      <c r="AG369" s="296" t="s">
        <v>519</v>
      </c>
      <c r="AH369" s="306" t="s">
        <v>91</v>
      </c>
      <c r="AI369" s="296">
        <v>90</v>
      </c>
      <c r="AJ369" s="296">
        <v>105</v>
      </c>
      <c r="AK369" s="296">
        <v>93</v>
      </c>
      <c r="AL369" s="296">
        <v>72</v>
      </c>
      <c r="AM369" s="296">
        <v>84</v>
      </c>
      <c r="AN369" s="296">
        <v>43</v>
      </c>
      <c r="AO369" s="296">
        <v>76</v>
      </c>
      <c r="AP369" s="296">
        <v>85</v>
      </c>
      <c r="AQ369" s="296">
        <v>103</v>
      </c>
      <c r="AR369" s="296">
        <v>62</v>
      </c>
      <c r="AS369" s="296">
        <v>79</v>
      </c>
      <c r="AT369" s="296">
        <v>65</v>
      </c>
      <c r="AU369" s="296">
        <v>86</v>
      </c>
      <c r="AV369" s="296">
        <v>63</v>
      </c>
      <c r="AW369" s="296">
        <v>70</v>
      </c>
    </row>
    <row r="370" spans="1:58" s="296" customFormat="1">
      <c r="A370" s="296" t="s">
        <v>437</v>
      </c>
      <c r="B370" s="296" t="s">
        <v>517</v>
      </c>
      <c r="C370" s="298" t="s">
        <v>518</v>
      </c>
      <c r="D370" s="299" t="s">
        <v>87</v>
      </c>
      <c r="E370" s="300" t="s">
        <v>119</v>
      </c>
      <c r="F370" s="297">
        <v>3</v>
      </c>
      <c r="G370" s="297" t="s">
        <v>475</v>
      </c>
      <c r="H370" s="301">
        <v>777.85714285714289</v>
      </c>
      <c r="I370" s="302">
        <v>43.76</v>
      </c>
      <c r="J370" s="301">
        <v>33795</v>
      </c>
      <c r="K370" s="237">
        <v>0.1</v>
      </c>
      <c r="L370" s="301">
        <f t="shared" si="275"/>
        <v>30415.5</v>
      </c>
      <c r="M370" s="303">
        <f t="shared" si="276"/>
        <v>39.10165289256198</v>
      </c>
      <c r="N370" s="304">
        <v>7.24</v>
      </c>
      <c r="O370" s="304">
        <v>6.34</v>
      </c>
      <c r="P370" s="304">
        <v>7.09</v>
      </c>
      <c r="Q370" s="304">
        <v>5.52</v>
      </c>
      <c r="R370" s="304">
        <v>5.76</v>
      </c>
      <c r="S370" s="305">
        <v>4.83</v>
      </c>
      <c r="T370" s="305"/>
      <c r="V370" s="306"/>
      <c r="W370" s="306"/>
      <c r="X370" s="307">
        <v>0.35</v>
      </c>
      <c r="Y370" s="307"/>
      <c r="Z370" s="304">
        <v>0.52</v>
      </c>
      <c r="AA370" s="431">
        <v>46189</v>
      </c>
      <c r="AB370" s="233">
        <f t="shared" si="295"/>
        <v>58.93333333333333</v>
      </c>
      <c r="AC370" s="233">
        <f t="shared" si="277"/>
        <v>20.626666666666665</v>
      </c>
      <c r="AD370" s="233">
        <f t="shared" si="226"/>
        <v>7.1683087294332726</v>
      </c>
      <c r="AE370" s="233"/>
      <c r="AF370" s="448"/>
      <c r="AG370" s="296" t="s">
        <v>520</v>
      </c>
      <c r="AH370" s="306"/>
      <c r="AI370" s="296">
        <v>67</v>
      </c>
      <c r="AJ370" s="296">
        <v>59</v>
      </c>
      <c r="AK370" s="296">
        <v>59</v>
      </c>
      <c r="AL370" s="296">
        <v>49</v>
      </c>
      <c r="AM370" s="296">
        <v>65</v>
      </c>
      <c r="AN370" s="296">
        <v>68</v>
      </c>
      <c r="AO370" s="296">
        <v>59</v>
      </c>
      <c r="AP370" s="296">
        <v>60</v>
      </c>
      <c r="AQ370" s="296">
        <v>48</v>
      </c>
      <c r="AR370" s="296">
        <v>56</v>
      </c>
      <c r="AS370" s="296">
        <v>58</v>
      </c>
      <c r="AT370" s="296">
        <v>62</v>
      </c>
      <c r="AU370" s="296">
        <v>60</v>
      </c>
      <c r="AV370" s="296">
        <v>55</v>
      </c>
      <c r="AW370" s="296">
        <v>59</v>
      </c>
    </row>
    <row r="371" spans="1:58" s="296" customFormat="1">
      <c r="A371" s="296" t="s">
        <v>437</v>
      </c>
      <c r="B371" s="296" t="s">
        <v>517</v>
      </c>
      <c r="C371" s="298" t="s">
        <v>518</v>
      </c>
      <c r="D371" s="299" t="s">
        <v>87</v>
      </c>
      <c r="E371" s="300" t="s">
        <v>119</v>
      </c>
      <c r="F371" s="297">
        <v>3</v>
      </c>
      <c r="G371" s="297" t="s">
        <v>475</v>
      </c>
      <c r="H371" s="301">
        <v>777.85714285714289</v>
      </c>
      <c r="I371" s="302">
        <v>43.76</v>
      </c>
      <c r="J371" s="301">
        <v>33795</v>
      </c>
      <c r="K371" s="237">
        <v>0.1</v>
      </c>
      <c r="L371" s="301">
        <f t="shared" ref="L371" si="296">J371-(J371*K371)</f>
        <v>30415.5</v>
      </c>
      <c r="M371" s="303">
        <f t="shared" ref="M371" si="297">L371/H371</f>
        <v>39.10165289256198</v>
      </c>
      <c r="N371" s="304">
        <v>7.24</v>
      </c>
      <c r="O371" s="304">
        <v>6.34</v>
      </c>
      <c r="P371" s="304">
        <v>7.09</v>
      </c>
      <c r="Q371" s="304">
        <v>5.52</v>
      </c>
      <c r="R371" s="304">
        <v>5.76</v>
      </c>
      <c r="S371" s="305">
        <v>4.83</v>
      </c>
      <c r="T371" s="305"/>
      <c r="V371" s="306"/>
      <c r="W371" s="306"/>
      <c r="X371" s="307">
        <v>0.35</v>
      </c>
      <c r="Y371" s="307"/>
      <c r="Z371" s="304">
        <v>0.52</v>
      </c>
      <c r="AA371" s="431">
        <v>46189</v>
      </c>
      <c r="AB371" s="233">
        <f t="shared" ref="AB371" si="298">IFERROR(AVERAGE(AI371:BG371),"")</f>
        <v>56.8</v>
      </c>
      <c r="AC371" s="233">
        <f t="shared" ref="AC371" si="299">IFERROR(AB371*X371,"")</f>
        <v>19.88</v>
      </c>
      <c r="AD371" s="233">
        <f t="shared" ref="AD371" si="300">IFERROR(((AC371*L371)/2000)/I371,"")</f>
        <v>6.90882244058501</v>
      </c>
      <c r="AE371" s="233"/>
      <c r="AF371" s="448"/>
      <c r="AG371" s="296" t="s">
        <v>520</v>
      </c>
      <c r="AH371" s="306"/>
      <c r="AI371" s="296">
        <v>55</v>
      </c>
      <c r="AJ371" s="296">
        <v>59</v>
      </c>
      <c r="AK371" s="296">
        <v>66</v>
      </c>
      <c r="AL371" s="296">
        <v>57</v>
      </c>
      <c r="AM371" s="296">
        <v>50</v>
      </c>
      <c r="AN371" s="296">
        <v>60</v>
      </c>
      <c r="AO371" s="296">
        <v>61</v>
      </c>
      <c r="AP371" s="296">
        <v>58</v>
      </c>
      <c r="AQ371" s="296">
        <v>65</v>
      </c>
      <c r="AR371" s="296">
        <v>55</v>
      </c>
      <c r="AS371" s="296">
        <v>50</v>
      </c>
      <c r="AT371" s="296">
        <v>59</v>
      </c>
      <c r="AU371" s="296">
        <v>55</v>
      </c>
      <c r="AV371" s="296">
        <v>51</v>
      </c>
      <c r="AW371" s="296">
        <v>51</v>
      </c>
    </row>
    <row r="372" spans="1:58" s="296" customFormat="1">
      <c r="A372" s="296" t="s">
        <v>437</v>
      </c>
      <c r="B372" s="296" t="s">
        <v>517</v>
      </c>
      <c r="C372" s="298" t="s">
        <v>518</v>
      </c>
      <c r="D372" s="299" t="s">
        <v>87</v>
      </c>
      <c r="E372" s="300" t="s">
        <v>119</v>
      </c>
      <c r="F372" s="297">
        <v>3</v>
      </c>
      <c r="G372" s="297" t="s">
        <v>475</v>
      </c>
      <c r="H372" s="301">
        <v>777.85714285714289</v>
      </c>
      <c r="I372" s="302">
        <v>43.76</v>
      </c>
      <c r="J372" s="301">
        <v>33795</v>
      </c>
      <c r="K372" s="237">
        <v>0.1</v>
      </c>
      <c r="L372" s="301">
        <f t="shared" ref="L372" si="301">J372-(J372*K372)</f>
        <v>30415.5</v>
      </c>
      <c r="M372" s="303">
        <f t="shared" ref="M372" si="302">L372/H372</f>
        <v>39.10165289256198</v>
      </c>
      <c r="N372" s="304">
        <v>7.24</v>
      </c>
      <c r="O372" s="304">
        <v>6.34</v>
      </c>
      <c r="P372" s="304">
        <v>7.09</v>
      </c>
      <c r="Q372" s="304">
        <v>5.52</v>
      </c>
      <c r="R372" s="304">
        <v>5.76</v>
      </c>
      <c r="S372" s="305">
        <v>4.83</v>
      </c>
      <c r="T372" s="305"/>
      <c r="V372" s="306"/>
      <c r="W372" s="306"/>
      <c r="X372" s="307">
        <v>0.35</v>
      </c>
      <c r="Y372" s="307"/>
      <c r="Z372" s="304">
        <v>0.52</v>
      </c>
      <c r="AA372" s="431"/>
      <c r="AB372" s="233" t="str">
        <f t="shared" ref="AB372" si="303">IFERROR(AVERAGE(AI372:BG372),"")</f>
        <v/>
      </c>
      <c r="AC372" s="233" t="str">
        <f t="shared" ref="AC372" si="304">IFERROR(AB372*X372,"")</f>
        <v/>
      </c>
      <c r="AD372" s="233" t="str">
        <f t="shared" ref="AD372" si="305">IFERROR(((AC372*L372)/2000)/I372,"")</f>
        <v/>
      </c>
      <c r="AE372" s="233"/>
      <c r="AF372" s="448"/>
      <c r="AH372" s="306"/>
    </row>
    <row r="373" spans="1:58" s="296" customFormat="1">
      <c r="A373" s="296" t="s">
        <v>437</v>
      </c>
      <c r="B373" s="296" t="s">
        <v>517</v>
      </c>
      <c r="C373" s="298" t="s">
        <v>518</v>
      </c>
      <c r="D373" s="299" t="s">
        <v>87</v>
      </c>
      <c r="E373" s="300" t="s">
        <v>119</v>
      </c>
      <c r="F373" s="297">
        <v>3</v>
      </c>
      <c r="G373" s="297" t="s">
        <v>475</v>
      </c>
      <c r="H373" s="301">
        <v>777.85714285714289</v>
      </c>
      <c r="I373" s="302">
        <v>43.76</v>
      </c>
      <c r="J373" s="301">
        <v>33795</v>
      </c>
      <c r="K373" s="237">
        <v>0.1</v>
      </c>
      <c r="L373" s="301">
        <f t="shared" ref="L373" si="306">J373-(J373*K373)</f>
        <v>30415.5</v>
      </c>
      <c r="M373" s="303">
        <f t="shared" ref="M373" si="307">L373/H373</f>
        <v>39.10165289256198</v>
      </c>
      <c r="N373" s="304">
        <v>7.24</v>
      </c>
      <c r="O373" s="304">
        <v>6.34</v>
      </c>
      <c r="P373" s="304">
        <v>7.09</v>
      </c>
      <c r="Q373" s="304">
        <v>5.52</v>
      </c>
      <c r="R373" s="304">
        <v>5.76</v>
      </c>
      <c r="S373" s="305">
        <v>4.83</v>
      </c>
      <c r="T373" s="305"/>
      <c r="V373" s="306"/>
      <c r="W373" s="306"/>
      <c r="X373" s="307">
        <v>0.35</v>
      </c>
      <c r="Y373" s="307"/>
      <c r="Z373" s="304">
        <v>0.52</v>
      </c>
      <c r="AA373" s="431"/>
      <c r="AB373" s="233" t="str">
        <f t="shared" ref="AB373" si="308">IFERROR(AVERAGE(AI373:BG373),"")</f>
        <v/>
      </c>
      <c r="AC373" s="233" t="str">
        <f t="shared" ref="AC373" si="309">IFERROR(AB373*X373,"")</f>
        <v/>
      </c>
      <c r="AD373" s="233" t="str">
        <f t="shared" ref="AD373" si="310">IFERROR(((AC373*L373)/2000)/I373,"")</f>
        <v/>
      </c>
      <c r="AE373" s="233"/>
      <c r="AF373" s="448"/>
      <c r="AH373" s="306"/>
    </row>
    <row r="374" spans="1:58" s="296" customFormat="1">
      <c r="A374" s="296" t="s">
        <v>437</v>
      </c>
      <c r="B374" s="296" t="s">
        <v>517</v>
      </c>
      <c r="C374" s="298" t="s">
        <v>518</v>
      </c>
      <c r="D374" s="299" t="s">
        <v>87</v>
      </c>
      <c r="E374" s="300" t="s">
        <v>119</v>
      </c>
      <c r="F374" s="297">
        <v>3</v>
      </c>
      <c r="G374" s="297" t="s">
        <v>475</v>
      </c>
      <c r="H374" s="301">
        <v>777.85714285714289</v>
      </c>
      <c r="I374" s="302">
        <v>43.76</v>
      </c>
      <c r="J374" s="301">
        <v>33795</v>
      </c>
      <c r="K374" s="237">
        <v>0.1</v>
      </c>
      <c r="L374" s="301">
        <f t="shared" ref="L374" si="311">J374-(J374*K374)</f>
        <v>30415.5</v>
      </c>
      <c r="M374" s="303">
        <f t="shared" ref="M374" si="312">L374/H374</f>
        <v>39.10165289256198</v>
      </c>
      <c r="N374" s="304">
        <v>7.24</v>
      </c>
      <c r="O374" s="304">
        <v>6.34</v>
      </c>
      <c r="P374" s="304">
        <v>7.09</v>
      </c>
      <c r="Q374" s="304">
        <v>5.52</v>
      </c>
      <c r="R374" s="304">
        <v>5.76</v>
      </c>
      <c r="S374" s="305">
        <v>4.83</v>
      </c>
      <c r="T374" s="305"/>
      <c r="V374" s="306"/>
      <c r="W374" s="306"/>
      <c r="X374" s="307">
        <v>0.35</v>
      </c>
      <c r="Y374" s="307"/>
      <c r="Z374" s="304">
        <v>0.52</v>
      </c>
      <c r="AA374" s="431"/>
      <c r="AB374" s="233" t="str">
        <f t="shared" ref="AB374" si="313">IFERROR(AVERAGE(AI374:BG374),"")</f>
        <v/>
      </c>
      <c r="AC374" s="233" t="str">
        <f t="shared" ref="AC374" si="314">IFERROR(AB374*X374,"")</f>
        <v/>
      </c>
      <c r="AD374" s="233" t="str">
        <f t="shared" ref="AD374" si="315">IFERROR(((AC374*L374)/2000)/I374,"")</f>
        <v/>
      </c>
      <c r="AE374" s="233"/>
      <c r="AF374" s="448"/>
      <c r="AH374" s="306"/>
    </row>
    <row r="375" spans="1:58" s="113" customFormat="1">
      <c r="A375" s="113" t="s">
        <v>437</v>
      </c>
      <c r="B375" s="113" t="s">
        <v>521</v>
      </c>
      <c r="C375" s="114" t="s">
        <v>522</v>
      </c>
      <c r="D375" s="128" t="s">
        <v>87</v>
      </c>
      <c r="E375" s="127" t="s">
        <v>88</v>
      </c>
      <c r="F375" s="126">
        <v>337</v>
      </c>
      <c r="G375" s="126" t="s">
        <v>475</v>
      </c>
      <c r="H375" s="123">
        <v>777.85714285714289</v>
      </c>
      <c r="I375" s="125">
        <v>43.1</v>
      </c>
      <c r="J375" s="123">
        <v>33260</v>
      </c>
      <c r="K375" s="124"/>
      <c r="L375" s="123">
        <f t="shared" si="275"/>
        <v>33260</v>
      </c>
      <c r="M375" s="122">
        <f t="shared" si="276"/>
        <v>42.758494031221304</v>
      </c>
      <c r="N375" s="118">
        <v>5.56</v>
      </c>
      <c r="O375" s="118">
        <v>6.43</v>
      </c>
      <c r="P375" s="118">
        <v>7.97</v>
      </c>
      <c r="Q375" s="118">
        <v>7.01</v>
      </c>
      <c r="R375" s="118">
        <v>8.15</v>
      </c>
      <c r="S375" s="153">
        <v>7.04</v>
      </c>
      <c r="T375" s="153"/>
      <c r="V375" s="115"/>
      <c r="W375" s="115"/>
      <c r="X375" s="120">
        <v>0.24</v>
      </c>
      <c r="Y375" s="120"/>
      <c r="Z375" s="118">
        <v>0.33</v>
      </c>
      <c r="AA375" s="430">
        <v>46135</v>
      </c>
      <c r="AB375" s="117">
        <f t="shared" si="295"/>
        <v>87.857142857142861</v>
      </c>
      <c r="AC375" s="117">
        <f t="shared" si="277"/>
        <v>21.085714285714285</v>
      </c>
      <c r="AD375" s="117">
        <f t="shared" si="226"/>
        <v>8.1358568114020553</v>
      </c>
      <c r="AE375" s="117"/>
      <c r="AF375" s="447"/>
      <c r="AH375" s="115" t="s">
        <v>91</v>
      </c>
      <c r="AI375" s="113">
        <v>103</v>
      </c>
      <c r="AJ375" s="113">
        <v>100</v>
      </c>
      <c r="AK375" s="113">
        <v>108</v>
      </c>
      <c r="AL375" s="113">
        <v>91</v>
      </c>
      <c r="AM375" s="113">
        <v>84</v>
      </c>
      <c r="AN375" s="113">
        <v>82</v>
      </c>
      <c r="AO375" s="113">
        <v>88</v>
      </c>
      <c r="AP375" s="113">
        <v>82</v>
      </c>
      <c r="AQ375" s="113">
        <v>102</v>
      </c>
      <c r="AR375" s="113">
        <v>83</v>
      </c>
      <c r="AS375" s="113">
        <v>84</v>
      </c>
      <c r="AT375" s="113">
        <v>78</v>
      </c>
      <c r="AU375" s="113">
        <v>61</v>
      </c>
      <c r="AV375" s="113">
        <v>84</v>
      </c>
    </row>
    <row r="376" spans="1:58" s="113" customFormat="1">
      <c r="A376" s="113" t="s">
        <v>437</v>
      </c>
      <c r="B376" s="113" t="s">
        <v>521</v>
      </c>
      <c r="C376" s="114" t="s">
        <v>522</v>
      </c>
      <c r="D376" s="128" t="s">
        <v>87</v>
      </c>
      <c r="E376" s="127" t="s">
        <v>88</v>
      </c>
      <c r="F376" s="126">
        <v>337</v>
      </c>
      <c r="G376" s="126" t="s">
        <v>475</v>
      </c>
      <c r="H376" s="123">
        <v>777.85714285714289</v>
      </c>
      <c r="I376" s="125">
        <v>43.1</v>
      </c>
      <c r="J376" s="123">
        <v>33260</v>
      </c>
      <c r="K376" s="124"/>
      <c r="L376" s="123">
        <f t="shared" si="275"/>
        <v>33260</v>
      </c>
      <c r="M376" s="122">
        <f t="shared" si="276"/>
        <v>42.758494031221304</v>
      </c>
      <c r="N376" s="118">
        <v>5.56</v>
      </c>
      <c r="O376" s="118">
        <v>6.43</v>
      </c>
      <c r="P376" s="118">
        <v>7.97</v>
      </c>
      <c r="Q376" s="118">
        <v>7.01</v>
      </c>
      <c r="R376" s="118">
        <v>8.15</v>
      </c>
      <c r="S376" s="153">
        <v>7.04</v>
      </c>
      <c r="T376" s="153"/>
      <c r="V376" s="115"/>
      <c r="W376" s="115"/>
      <c r="X376" s="120">
        <v>0.24</v>
      </c>
      <c r="Y376" s="120"/>
      <c r="Z376" s="118">
        <v>0.33</v>
      </c>
      <c r="AA376" s="430"/>
      <c r="AB376" s="117" t="str">
        <f t="shared" si="295"/>
        <v/>
      </c>
      <c r="AC376" s="117" t="str">
        <f t="shared" si="277"/>
        <v/>
      </c>
      <c r="AD376" s="117" t="str">
        <f t="shared" si="226"/>
        <v/>
      </c>
      <c r="AE376" s="117"/>
      <c r="AF376" s="447"/>
      <c r="AH376" s="115"/>
    </row>
    <row r="377" spans="1:58" s="296" customFormat="1">
      <c r="A377" s="296" t="s">
        <v>437</v>
      </c>
      <c r="B377" s="297" t="s">
        <v>523</v>
      </c>
      <c r="C377" s="298" t="s">
        <v>524</v>
      </c>
      <c r="D377" s="299" t="s">
        <v>87</v>
      </c>
      <c r="E377" s="300" t="s">
        <v>88</v>
      </c>
      <c r="F377" s="297">
        <v>8</v>
      </c>
      <c r="G377" s="297" t="s">
        <v>90</v>
      </c>
      <c r="H377" s="301">
        <v>622.28571428571433</v>
      </c>
      <c r="I377" s="302">
        <v>49.01</v>
      </c>
      <c r="J377" s="301">
        <v>30330</v>
      </c>
      <c r="K377" s="237">
        <v>0.03</v>
      </c>
      <c r="L377" s="301">
        <f t="shared" si="275"/>
        <v>29420.1</v>
      </c>
      <c r="M377" s="303">
        <f t="shared" si="276"/>
        <v>47.277479338842966</v>
      </c>
      <c r="N377" s="304">
        <v>6.24</v>
      </c>
      <c r="O377" s="304">
        <v>8.1</v>
      </c>
      <c r="P377" s="304">
        <v>9.23</v>
      </c>
      <c r="Q377" s="304">
        <v>8.9</v>
      </c>
      <c r="R377" s="304">
        <v>12.08</v>
      </c>
      <c r="S377" s="305">
        <v>9.0299999999999994</v>
      </c>
      <c r="T377" s="305"/>
      <c r="V377" s="306"/>
      <c r="W377" s="306"/>
      <c r="X377" s="307">
        <v>0.3</v>
      </c>
      <c r="Y377" s="307"/>
      <c r="Z377" s="304">
        <v>0.33</v>
      </c>
      <c r="AA377" s="431">
        <v>46169</v>
      </c>
      <c r="AB377" s="233">
        <f t="shared" si="295"/>
        <v>105.8</v>
      </c>
      <c r="AC377" s="233">
        <f t="shared" si="277"/>
        <v>31.74</v>
      </c>
      <c r="AD377" s="233">
        <f t="shared" si="226"/>
        <v>9.5265657416853706</v>
      </c>
      <c r="AE377" s="233"/>
      <c r="AF377" s="448"/>
      <c r="AH377" s="306" t="s">
        <v>116</v>
      </c>
      <c r="AI377" s="296">
        <v>108</v>
      </c>
      <c r="AJ377" s="296">
        <v>129</v>
      </c>
      <c r="AK377" s="296">
        <v>110</v>
      </c>
      <c r="AL377" s="296">
        <v>89</v>
      </c>
      <c r="AM377" s="296">
        <v>93</v>
      </c>
      <c r="AN377" s="296">
        <v>86</v>
      </c>
      <c r="AO377" s="296">
        <v>81</v>
      </c>
      <c r="AP377" s="296">
        <v>69</v>
      </c>
      <c r="AQ377" s="296">
        <v>127</v>
      </c>
      <c r="AR377" s="296">
        <v>79</v>
      </c>
      <c r="AS377" s="296">
        <v>163</v>
      </c>
      <c r="AT377" s="296">
        <v>111</v>
      </c>
      <c r="AU377" s="296">
        <v>76</v>
      </c>
      <c r="AV377" s="296">
        <v>128</v>
      </c>
      <c r="AW377" s="296">
        <v>138</v>
      </c>
    </row>
    <row r="378" spans="1:58" s="113" customFormat="1">
      <c r="A378" s="113" t="s">
        <v>437</v>
      </c>
      <c r="B378" s="126" t="s">
        <v>525</v>
      </c>
      <c r="C378" s="114" t="s">
        <v>526</v>
      </c>
      <c r="D378" s="128" t="s">
        <v>87</v>
      </c>
      <c r="E378" s="127" t="s">
        <v>119</v>
      </c>
      <c r="F378" s="126">
        <v>3</v>
      </c>
      <c r="G378" s="126" t="s">
        <v>527</v>
      </c>
      <c r="H378" s="123">
        <v>806.66666666666663</v>
      </c>
      <c r="I378" s="125">
        <v>49.52</v>
      </c>
      <c r="J378" s="123">
        <v>39630</v>
      </c>
      <c r="K378" s="124"/>
      <c r="L378" s="123">
        <f t="shared" si="275"/>
        <v>39630</v>
      </c>
      <c r="M378" s="122">
        <f t="shared" si="276"/>
        <v>49.128099173553721</v>
      </c>
      <c r="N378" s="118">
        <v>4.5</v>
      </c>
      <c r="O378" s="118">
        <v>5.55</v>
      </c>
      <c r="P378" s="118">
        <v>7.61</v>
      </c>
      <c r="Q378" s="118">
        <v>8.7200000000000006</v>
      </c>
      <c r="R378" s="118">
        <v>7.39</v>
      </c>
      <c r="S378" s="153">
        <v>5.81</v>
      </c>
      <c r="T378" s="153"/>
      <c r="V378" s="115"/>
      <c r="W378" s="115"/>
      <c r="X378" s="120">
        <v>0.44</v>
      </c>
      <c r="Y378" s="120"/>
      <c r="Z378" s="118">
        <v>0.52</v>
      </c>
      <c r="AA378" s="430">
        <v>46112</v>
      </c>
      <c r="AB378" s="117">
        <f t="shared" si="295"/>
        <v>47.666666666666664</v>
      </c>
      <c r="AC378" s="117">
        <f t="shared" si="277"/>
        <v>20.973333333333333</v>
      </c>
      <c r="AD378" s="117">
        <f t="shared" si="226"/>
        <v>8.3922980613893365</v>
      </c>
      <c r="AE378" s="117"/>
      <c r="AF378" s="447"/>
      <c r="AH378" s="115" t="s">
        <v>91</v>
      </c>
      <c r="AI378" s="113">
        <v>38</v>
      </c>
      <c r="AJ378" s="113">
        <v>54</v>
      </c>
      <c r="AK378" s="113">
        <v>47</v>
      </c>
      <c r="AL378" s="113">
        <v>49</v>
      </c>
      <c r="AM378" s="113">
        <v>45</v>
      </c>
      <c r="AN378" s="113">
        <v>59</v>
      </c>
      <c r="AO378" s="113">
        <v>48</v>
      </c>
      <c r="AP378" s="113">
        <v>44</v>
      </c>
      <c r="AQ378" s="113">
        <v>45</v>
      </c>
    </row>
    <row r="379" spans="1:58" s="113" customFormat="1">
      <c r="A379" s="113" t="s">
        <v>437</v>
      </c>
      <c r="B379" s="126" t="s">
        <v>525</v>
      </c>
      <c r="C379" s="114" t="s">
        <v>526</v>
      </c>
      <c r="D379" s="128" t="s">
        <v>87</v>
      </c>
      <c r="E379" s="127" t="s">
        <v>119</v>
      </c>
      <c r="F379" s="126">
        <v>3</v>
      </c>
      <c r="G379" s="126" t="s">
        <v>527</v>
      </c>
      <c r="H379" s="123">
        <v>806.66666666666663</v>
      </c>
      <c r="I379" s="125">
        <v>49.52</v>
      </c>
      <c r="J379" s="123">
        <v>39630</v>
      </c>
      <c r="K379" s="124"/>
      <c r="L379" s="123">
        <f t="shared" si="275"/>
        <v>39630</v>
      </c>
      <c r="M379" s="122">
        <f t="shared" si="276"/>
        <v>49.128099173553721</v>
      </c>
      <c r="N379" s="118">
        <v>4.5</v>
      </c>
      <c r="O379" s="118">
        <v>5.55</v>
      </c>
      <c r="P379" s="118">
        <v>7.61</v>
      </c>
      <c r="Q379" s="118">
        <v>8.7200000000000006</v>
      </c>
      <c r="R379" s="118">
        <v>7.39</v>
      </c>
      <c r="S379" s="153">
        <v>5.81</v>
      </c>
      <c r="T379" s="153"/>
      <c r="V379" s="115"/>
      <c r="W379" s="115"/>
      <c r="X379" s="120">
        <v>0.44</v>
      </c>
      <c r="Y379" s="120"/>
      <c r="Z379" s="118">
        <v>0.52</v>
      </c>
      <c r="AA379" s="430">
        <v>46132</v>
      </c>
      <c r="AB379" s="117">
        <f t="shared" si="295"/>
        <v>48.133333333333333</v>
      </c>
      <c r="AC379" s="117">
        <f t="shared" si="277"/>
        <v>21.178666666666668</v>
      </c>
      <c r="AD379" s="117">
        <f t="shared" si="226"/>
        <v>8.4744604200323099</v>
      </c>
      <c r="AE379" s="117"/>
      <c r="AF379" s="447"/>
      <c r="AG379" s="175"/>
      <c r="AH379" s="115" t="s">
        <v>91</v>
      </c>
      <c r="AI379" s="113">
        <v>54</v>
      </c>
      <c r="AJ379" s="113">
        <v>42</v>
      </c>
      <c r="AK379" s="113">
        <v>56</v>
      </c>
      <c r="AL379" s="113">
        <v>42</v>
      </c>
      <c r="AM379" s="113">
        <v>55</v>
      </c>
      <c r="AN379" s="113">
        <v>34</v>
      </c>
      <c r="AO379" s="113">
        <v>62</v>
      </c>
      <c r="AP379" s="113">
        <v>40</v>
      </c>
      <c r="AQ379" s="113">
        <v>50</v>
      </c>
      <c r="AR379" s="113">
        <v>28</v>
      </c>
      <c r="AS379" s="113">
        <v>47</v>
      </c>
      <c r="AT379" s="113">
        <v>59</v>
      </c>
      <c r="AU379" s="113">
        <v>59</v>
      </c>
      <c r="AV379" s="113">
        <v>59</v>
      </c>
      <c r="AW379" s="113">
        <v>35</v>
      </c>
    </row>
    <row r="380" spans="1:58" s="113" customFormat="1">
      <c r="A380" s="113" t="s">
        <v>437</v>
      </c>
      <c r="B380" s="126" t="s">
        <v>525</v>
      </c>
      <c r="C380" s="114" t="s">
        <v>526</v>
      </c>
      <c r="D380" s="128" t="s">
        <v>87</v>
      </c>
      <c r="E380" s="127" t="s">
        <v>119</v>
      </c>
      <c r="F380" s="126">
        <v>3</v>
      </c>
      <c r="G380" s="126" t="s">
        <v>527</v>
      </c>
      <c r="H380" s="123">
        <v>806.66666666666663</v>
      </c>
      <c r="I380" s="125">
        <v>49.52</v>
      </c>
      <c r="J380" s="123">
        <v>39630</v>
      </c>
      <c r="K380" s="124"/>
      <c r="L380" s="123">
        <f t="shared" si="275"/>
        <v>39630</v>
      </c>
      <c r="M380" s="122">
        <f t="shared" si="276"/>
        <v>49.128099173553721</v>
      </c>
      <c r="N380" s="118">
        <v>4.5</v>
      </c>
      <c r="O380" s="118">
        <v>5.55</v>
      </c>
      <c r="P380" s="118">
        <v>7.61</v>
      </c>
      <c r="Q380" s="118">
        <v>8.7200000000000006</v>
      </c>
      <c r="R380" s="118">
        <v>7.39</v>
      </c>
      <c r="S380" s="153">
        <v>5.81</v>
      </c>
      <c r="T380" s="153"/>
      <c r="V380" s="115"/>
      <c r="W380" s="115"/>
      <c r="X380" s="120">
        <v>0.44</v>
      </c>
      <c r="Y380" s="120"/>
      <c r="Z380" s="118">
        <v>0.52</v>
      </c>
      <c r="AA380" s="430">
        <v>46136</v>
      </c>
      <c r="AB380" s="117">
        <v>45</v>
      </c>
      <c r="AC380" s="117">
        <f t="shared" si="277"/>
        <v>19.8</v>
      </c>
      <c r="AD380" s="117">
        <f t="shared" si="226"/>
        <v>7.9227988691437794</v>
      </c>
      <c r="AE380" s="117"/>
      <c r="AF380" s="447"/>
      <c r="AG380" s="175"/>
      <c r="AH380" s="115" t="s">
        <v>137</v>
      </c>
      <c r="AI380" s="113">
        <v>51</v>
      </c>
      <c r="AJ380" s="113">
        <v>41</v>
      </c>
      <c r="AK380" s="113">
        <v>57</v>
      </c>
      <c r="AL380" s="113">
        <v>45</v>
      </c>
      <c r="AM380" s="113">
        <v>50</v>
      </c>
      <c r="AN380" s="113">
        <v>50</v>
      </c>
      <c r="AO380" s="113">
        <v>41</v>
      </c>
      <c r="AP380" s="113">
        <v>45</v>
      </c>
      <c r="AQ380" s="113">
        <v>53</v>
      </c>
      <c r="AR380" s="113">
        <v>44</v>
      </c>
      <c r="AS380" s="113">
        <v>49</v>
      </c>
      <c r="AT380" s="113">
        <v>56</v>
      </c>
      <c r="AU380" s="113">
        <v>47</v>
      </c>
      <c r="AV380" s="113">
        <v>52</v>
      </c>
      <c r="AW380" s="113">
        <v>43</v>
      </c>
    </row>
    <row r="381" spans="1:58" s="113" customFormat="1">
      <c r="A381" s="113" t="s">
        <v>437</v>
      </c>
      <c r="B381" s="126" t="s">
        <v>525</v>
      </c>
      <c r="C381" s="114" t="s">
        <v>526</v>
      </c>
      <c r="D381" s="128" t="s">
        <v>87</v>
      </c>
      <c r="E381" s="127" t="s">
        <v>119</v>
      </c>
      <c r="F381" s="126">
        <v>3</v>
      </c>
      <c r="G381" s="126" t="s">
        <v>527</v>
      </c>
      <c r="H381" s="123">
        <v>806.66666666666663</v>
      </c>
      <c r="I381" s="125">
        <v>49.52</v>
      </c>
      <c r="J381" s="123">
        <v>39630</v>
      </c>
      <c r="K381" s="124"/>
      <c r="L381" s="123">
        <f t="shared" si="275"/>
        <v>39630</v>
      </c>
      <c r="M381" s="122">
        <f t="shared" si="276"/>
        <v>49.128099173553721</v>
      </c>
      <c r="N381" s="118">
        <v>4.5</v>
      </c>
      <c r="O381" s="118">
        <v>5.55</v>
      </c>
      <c r="P381" s="118">
        <v>7.61</v>
      </c>
      <c r="Q381" s="118">
        <v>8.7200000000000006</v>
      </c>
      <c r="R381" s="118">
        <v>7.39</v>
      </c>
      <c r="S381" s="153">
        <v>5.81</v>
      </c>
      <c r="T381" s="153"/>
      <c r="V381" s="115"/>
      <c r="W381" s="115"/>
      <c r="X381" s="120">
        <v>0.44</v>
      </c>
      <c r="Y381" s="120"/>
      <c r="Z381" s="118">
        <v>0.52</v>
      </c>
      <c r="AA381" s="430">
        <v>46181</v>
      </c>
      <c r="AB381" s="117">
        <f t="shared" ref="AB381:AB399" si="316">IFERROR(AVERAGE(AI381:BG381),"")</f>
        <v>39.958333333333336</v>
      </c>
      <c r="AC381" s="117">
        <f t="shared" si="277"/>
        <v>17.581666666666667</v>
      </c>
      <c r="AD381" s="117">
        <f t="shared" si="226"/>
        <v>7.0351519588045237</v>
      </c>
      <c r="AE381" s="117"/>
      <c r="AF381" s="447"/>
      <c r="AG381" s="175" t="s">
        <v>528</v>
      </c>
      <c r="AH381" s="115" t="s">
        <v>91</v>
      </c>
      <c r="AI381" s="113">
        <v>44</v>
      </c>
      <c r="AJ381" s="113">
        <v>44</v>
      </c>
      <c r="AK381" s="113">
        <v>36</v>
      </c>
      <c r="AL381" s="113">
        <v>45</v>
      </c>
      <c r="AM381" s="113">
        <v>36</v>
      </c>
      <c r="AN381" s="113">
        <v>39</v>
      </c>
      <c r="AO381" s="113">
        <v>40</v>
      </c>
      <c r="AP381" s="113">
        <v>43</v>
      </c>
      <c r="AQ381" s="113">
        <v>44</v>
      </c>
      <c r="AR381" s="113">
        <v>37</v>
      </c>
      <c r="AS381" s="113">
        <v>44</v>
      </c>
      <c r="AT381" s="113">
        <v>55</v>
      </c>
      <c r="AU381" s="113">
        <v>50</v>
      </c>
      <c r="AV381" s="113">
        <v>49</v>
      </c>
      <c r="AW381" s="113">
        <v>49</v>
      </c>
      <c r="AX381" s="113">
        <v>36</v>
      </c>
      <c r="AY381" s="113">
        <v>23</v>
      </c>
      <c r="AZ381" s="113">
        <v>41</v>
      </c>
      <c r="BA381" s="113">
        <v>32</v>
      </c>
      <c r="BB381" s="113">
        <v>26</v>
      </c>
      <c r="BC381" s="113">
        <v>34</v>
      </c>
      <c r="BD381" s="113">
        <v>37</v>
      </c>
      <c r="BE381" s="113">
        <v>46</v>
      </c>
      <c r="BF381" s="113">
        <v>29</v>
      </c>
    </row>
    <row r="382" spans="1:58" s="113" customFormat="1">
      <c r="A382" s="113" t="s">
        <v>437</v>
      </c>
      <c r="B382" s="126" t="s">
        <v>525</v>
      </c>
      <c r="C382" s="114" t="s">
        <v>526</v>
      </c>
      <c r="D382" s="128" t="s">
        <v>87</v>
      </c>
      <c r="E382" s="127" t="s">
        <v>119</v>
      </c>
      <c r="F382" s="126">
        <v>3</v>
      </c>
      <c r="G382" s="126" t="s">
        <v>527</v>
      </c>
      <c r="H382" s="123">
        <v>806.66666666666663</v>
      </c>
      <c r="I382" s="125">
        <v>49.52</v>
      </c>
      <c r="J382" s="123">
        <v>39630</v>
      </c>
      <c r="K382" s="124"/>
      <c r="L382" s="123">
        <f t="shared" si="275"/>
        <v>39630</v>
      </c>
      <c r="M382" s="122">
        <f t="shared" si="276"/>
        <v>49.128099173553721</v>
      </c>
      <c r="N382" s="118">
        <v>4.5</v>
      </c>
      <c r="O382" s="118">
        <v>5.55</v>
      </c>
      <c r="P382" s="118">
        <v>7.61</v>
      </c>
      <c r="Q382" s="118">
        <v>8.7200000000000006</v>
      </c>
      <c r="R382" s="118">
        <v>7.39</v>
      </c>
      <c r="S382" s="153">
        <v>5.81</v>
      </c>
      <c r="T382" s="153"/>
      <c r="V382" s="115"/>
      <c r="W382" s="115"/>
      <c r="X382" s="120">
        <v>0.44</v>
      </c>
      <c r="Y382" s="120"/>
      <c r="Z382" s="118">
        <v>0.52</v>
      </c>
      <c r="AA382" s="430"/>
      <c r="AB382" s="117" t="str">
        <f t="shared" si="316"/>
        <v/>
      </c>
      <c r="AC382" s="117" t="str">
        <f t="shared" si="277"/>
        <v/>
      </c>
      <c r="AD382" s="117" t="str">
        <f t="shared" si="226"/>
        <v/>
      </c>
      <c r="AE382" s="117"/>
      <c r="AF382" s="447"/>
      <c r="AG382" s="175"/>
      <c r="AH382" s="115"/>
    </row>
    <row r="383" spans="1:58" s="113" customFormat="1">
      <c r="A383" s="113" t="s">
        <v>437</v>
      </c>
      <c r="B383" s="126" t="s">
        <v>525</v>
      </c>
      <c r="C383" s="114" t="s">
        <v>526</v>
      </c>
      <c r="D383" s="128" t="s">
        <v>87</v>
      </c>
      <c r="E383" s="127" t="s">
        <v>119</v>
      </c>
      <c r="F383" s="126">
        <v>3</v>
      </c>
      <c r="G383" s="126" t="s">
        <v>527</v>
      </c>
      <c r="H383" s="123">
        <v>806.66666666666663</v>
      </c>
      <c r="I383" s="125">
        <v>49.52</v>
      </c>
      <c r="J383" s="123">
        <v>39630</v>
      </c>
      <c r="K383" s="124"/>
      <c r="L383" s="123">
        <f t="shared" si="275"/>
        <v>39630</v>
      </c>
      <c r="M383" s="122">
        <f t="shared" si="276"/>
        <v>49.128099173553721</v>
      </c>
      <c r="N383" s="118">
        <v>4.5</v>
      </c>
      <c r="O383" s="118">
        <v>5.55</v>
      </c>
      <c r="P383" s="118">
        <v>7.61</v>
      </c>
      <c r="Q383" s="118">
        <v>8.7200000000000006</v>
      </c>
      <c r="R383" s="118">
        <v>7.39</v>
      </c>
      <c r="S383" s="153">
        <v>5.81</v>
      </c>
      <c r="T383" s="153"/>
      <c r="V383" s="115"/>
      <c r="W383" s="115"/>
      <c r="X383" s="120">
        <v>0.44</v>
      </c>
      <c r="Y383" s="120"/>
      <c r="Z383" s="118">
        <v>0.52</v>
      </c>
      <c r="AA383" s="430"/>
      <c r="AB383" s="117" t="str">
        <f t="shared" si="316"/>
        <v/>
      </c>
      <c r="AC383" s="117" t="str">
        <f t="shared" si="277"/>
        <v/>
      </c>
      <c r="AD383" s="117" t="str">
        <f t="shared" si="226"/>
        <v/>
      </c>
      <c r="AE383" s="117"/>
      <c r="AF383" s="447"/>
      <c r="AG383" s="314"/>
      <c r="AH383" s="115"/>
    </row>
    <row r="384" spans="1:58" s="296" customFormat="1">
      <c r="A384" s="296" t="s">
        <v>437</v>
      </c>
      <c r="B384" s="297" t="s">
        <v>529</v>
      </c>
      <c r="C384" s="298" t="s">
        <v>530</v>
      </c>
      <c r="D384" s="299" t="s">
        <v>87</v>
      </c>
      <c r="E384" s="300" t="s">
        <v>88</v>
      </c>
      <c r="F384" s="297" t="s">
        <v>232</v>
      </c>
      <c r="G384" s="297" t="s">
        <v>145</v>
      </c>
      <c r="H384" s="301">
        <v>622.28571428571433</v>
      </c>
      <c r="I384" s="302">
        <v>19.63</v>
      </c>
      <c r="J384" s="301">
        <v>11789</v>
      </c>
      <c r="K384" s="237">
        <v>0.1</v>
      </c>
      <c r="L384" s="301">
        <f t="shared" si="275"/>
        <v>10610.1</v>
      </c>
      <c r="M384" s="303">
        <f t="shared" si="276"/>
        <v>17.050206611570246</v>
      </c>
      <c r="N384" s="304">
        <v>7.33</v>
      </c>
      <c r="O384" s="304">
        <v>5.58</v>
      </c>
      <c r="P384" s="304">
        <v>5.59</v>
      </c>
      <c r="Q384" s="304">
        <v>8.14</v>
      </c>
      <c r="R384" s="304">
        <v>8.89</v>
      </c>
      <c r="S384" s="305">
        <v>6.69</v>
      </c>
      <c r="T384" s="305"/>
      <c r="V384" s="306" t="s">
        <v>103</v>
      </c>
      <c r="W384" s="306"/>
      <c r="X384" s="307">
        <v>0.3</v>
      </c>
      <c r="Y384" s="307"/>
      <c r="Z384" s="304">
        <v>0.33</v>
      </c>
      <c r="AA384" s="431">
        <v>46112</v>
      </c>
      <c r="AB384" s="233">
        <f t="shared" si="316"/>
        <v>86.166666666666671</v>
      </c>
      <c r="AC384" s="233">
        <f t="shared" si="277"/>
        <v>25.85</v>
      </c>
      <c r="AD384" s="233">
        <f t="shared" ref="AD384:AD461" si="317">IFERROR(((AC384*L384)/2000)/I384,"")</f>
        <v>6.9860184666327063</v>
      </c>
      <c r="AE384" s="233"/>
      <c r="AF384" s="448"/>
      <c r="AH384" s="306" t="s">
        <v>165</v>
      </c>
      <c r="AI384" s="296">
        <v>92</v>
      </c>
      <c r="AJ384" s="296">
        <v>83</v>
      </c>
      <c r="AK384" s="296">
        <v>95</v>
      </c>
      <c r="AL384" s="296">
        <v>84</v>
      </c>
      <c r="AM384" s="296">
        <v>70</v>
      </c>
      <c r="AN384" s="296">
        <v>93</v>
      </c>
    </row>
    <row r="385" spans="1:64" s="296" customFormat="1">
      <c r="A385" s="296" t="s">
        <v>437</v>
      </c>
      <c r="B385" s="297" t="s">
        <v>529</v>
      </c>
      <c r="C385" s="298" t="s">
        <v>530</v>
      </c>
      <c r="D385" s="299" t="s">
        <v>87</v>
      </c>
      <c r="E385" s="300" t="s">
        <v>88</v>
      </c>
      <c r="F385" s="297" t="s">
        <v>232</v>
      </c>
      <c r="G385" s="297" t="s">
        <v>145</v>
      </c>
      <c r="H385" s="301">
        <v>622.28571428571433</v>
      </c>
      <c r="I385" s="302">
        <v>19.63</v>
      </c>
      <c r="J385" s="301">
        <v>11789</v>
      </c>
      <c r="K385" s="237">
        <v>0.1</v>
      </c>
      <c r="L385" s="301">
        <f t="shared" si="275"/>
        <v>10610.1</v>
      </c>
      <c r="M385" s="303">
        <f t="shared" si="276"/>
        <v>17.050206611570246</v>
      </c>
      <c r="N385" s="304">
        <v>7.33</v>
      </c>
      <c r="O385" s="304">
        <v>5.58</v>
      </c>
      <c r="P385" s="304">
        <v>5.59</v>
      </c>
      <c r="Q385" s="304">
        <v>8.14</v>
      </c>
      <c r="R385" s="304">
        <v>8.89</v>
      </c>
      <c r="S385" s="305">
        <v>6.69</v>
      </c>
      <c r="T385" s="305"/>
      <c r="U385" s="296" t="s">
        <v>531</v>
      </c>
      <c r="V385" s="306" t="s">
        <v>103</v>
      </c>
      <c r="W385" s="306"/>
      <c r="X385" s="307">
        <v>0.3</v>
      </c>
      <c r="Y385" s="307"/>
      <c r="Z385" s="304">
        <v>0.33</v>
      </c>
      <c r="AA385" s="431">
        <v>46114</v>
      </c>
      <c r="AB385" s="233">
        <f t="shared" si="316"/>
        <v>85.727272727272734</v>
      </c>
      <c r="AC385" s="233">
        <f t="shared" si="277"/>
        <v>25.718181818181819</v>
      </c>
      <c r="AD385" s="233">
        <f t="shared" si="317"/>
        <v>6.9503943176029264</v>
      </c>
      <c r="AE385" s="233"/>
      <c r="AF385" s="448"/>
      <c r="AH385" s="306" t="s">
        <v>165</v>
      </c>
      <c r="AI385" s="296">
        <v>86</v>
      </c>
      <c r="AJ385" s="296">
        <v>69</v>
      </c>
      <c r="AK385" s="296">
        <v>81</v>
      </c>
      <c r="AL385" s="296">
        <v>94</v>
      </c>
      <c r="AM385" s="296">
        <v>86</v>
      </c>
      <c r="AN385" s="296">
        <v>79</v>
      </c>
      <c r="AO385" s="296">
        <v>101</v>
      </c>
      <c r="AP385" s="296">
        <v>78</v>
      </c>
      <c r="AQ385" s="296">
        <v>89</v>
      </c>
      <c r="AR385" s="296">
        <v>92</v>
      </c>
      <c r="AS385" s="296">
        <v>88</v>
      </c>
    </row>
    <row r="386" spans="1:64" s="296" customFormat="1">
      <c r="A386" s="296" t="s">
        <v>437</v>
      </c>
      <c r="B386" s="297" t="s">
        <v>529</v>
      </c>
      <c r="C386" s="298" t="s">
        <v>530</v>
      </c>
      <c r="D386" s="299" t="s">
        <v>87</v>
      </c>
      <c r="E386" s="300" t="s">
        <v>88</v>
      </c>
      <c r="F386" s="297" t="s">
        <v>232</v>
      </c>
      <c r="G386" s="297" t="s">
        <v>145</v>
      </c>
      <c r="H386" s="301">
        <v>622.28571428571433</v>
      </c>
      <c r="I386" s="302">
        <v>19.63</v>
      </c>
      <c r="J386" s="301">
        <v>11789</v>
      </c>
      <c r="K386" s="237">
        <v>0.1</v>
      </c>
      <c r="L386" s="301">
        <f t="shared" si="275"/>
        <v>10610.1</v>
      </c>
      <c r="M386" s="303">
        <f t="shared" si="276"/>
        <v>17.050206611570246</v>
      </c>
      <c r="N386" s="304">
        <v>7.33</v>
      </c>
      <c r="O386" s="304">
        <v>5.58</v>
      </c>
      <c r="P386" s="304">
        <v>5.59</v>
      </c>
      <c r="Q386" s="304">
        <v>8.14</v>
      </c>
      <c r="R386" s="304">
        <v>8.89</v>
      </c>
      <c r="S386" s="305">
        <v>6.69</v>
      </c>
      <c r="T386" s="305"/>
      <c r="V386" s="306" t="s">
        <v>103</v>
      </c>
      <c r="W386" s="306"/>
      <c r="X386" s="307">
        <v>0.3</v>
      </c>
      <c r="Y386" s="307"/>
      <c r="Z386" s="304">
        <v>0.33</v>
      </c>
      <c r="AA386" s="431">
        <v>46163</v>
      </c>
      <c r="AB386" s="233">
        <f t="shared" si="316"/>
        <v>77.333333333333329</v>
      </c>
      <c r="AC386" s="233">
        <f t="shared" si="277"/>
        <v>23.2</v>
      </c>
      <c r="AD386" s="233">
        <f t="shared" si="317"/>
        <v>6.2698502292409586</v>
      </c>
      <c r="AE386" s="233"/>
      <c r="AF386" s="448"/>
      <c r="AH386" s="306" t="s">
        <v>116</v>
      </c>
      <c r="AI386" s="296">
        <v>78</v>
      </c>
      <c r="AJ386" s="296">
        <v>80</v>
      </c>
      <c r="AK386" s="296">
        <v>83</v>
      </c>
      <c r="AL386" s="296">
        <v>76</v>
      </c>
      <c r="AM386" s="296">
        <v>79</v>
      </c>
      <c r="AN386" s="296">
        <v>85</v>
      </c>
      <c r="AO386" s="296">
        <v>74</v>
      </c>
      <c r="AP386" s="296">
        <v>70</v>
      </c>
      <c r="AQ386" s="296">
        <v>82</v>
      </c>
      <c r="AR386" s="296">
        <v>75</v>
      </c>
      <c r="AS386" s="296">
        <v>77</v>
      </c>
      <c r="AT386" s="296">
        <v>80</v>
      </c>
      <c r="AU386" s="296">
        <v>69</v>
      </c>
      <c r="AV386" s="296">
        <v>73</v>
      </c>
      <c r="AW386" s="296">
        <v>79</v>
      </c>
    </row>
    <row r="387" spans="1:64" s="296" customFormat="1">
      <c r="A387" s="296" t="s">
        <v>437</v>
      </c>
      <c r="B387" s="297" t="s">
        <v>529</v>
      </c>
      <c r="C387" s="298" t="s">
        <v>530</v>
      </c>
      <c r="D387" s="299" t="s">
        <v>87</v>
      </c>
      <c r="E387" s="300" t="s">
        <v>88</v>
      </c>
      <c r="F387" s="297" t="s">
        <v>232</v>
      </c>
      <c r="G387" s="297" t="s">
        <v>145</v>
      </c>
      <c r="H387" s="301">
        <v>622.28571428571433</v>
      </c>
      <c r="I387" s="302">
        <v>19.63</v>
      </c>
      <c r="J387" s="301">
        <v>11789</v>
      </c>
      <c r="K387" s="237">
        <v>0.1</v>
      </c>
      <c r="L387" s="301">
        <f t="shared" ref="L387" si="318">J387-(J387*K387)</f>
        <v>10610.1</v>
      </c>
      <c r="M387" s="303">
        <f t="shared" ref="M387" si="319">L387/H387</f>
        <v>17.050206611570246</v>
      </c>
      <c r="N387" s="304">
        <v>7.33</v>
      </c>
      <c r="O387" s="304">
        <v>5.58</v>
      </c>
      <c r="P387" s="304">
        <v>5.59</v>
      </c>
      <c r="Q387" s="304">
        <v>8.14</v>
      </c>
      <c r="R387" s="304">
        <v>8.89</v>
      </c>
      <c r="S387" s="305">
        <v>6.69</v>
      </c>
      <c r="T387" s="305"/>
      <c r="V387" s="306" t="s">
        <v>103</v>
      </c>
      <c r="W387" s="306"/>
      <c r="X387" s="307">
        <v>0.3</v>
      </c>
      <c r="Y387" s="307"/>
      <c r="Z387" s="304">
        <v>0.33</v>
      </c>
      <c r="AA387" s="431">
        <v>46199</v>
      </c>
      <c r="AB387" s="233">
        <f t="shared" ref="AB387" si="320">IFERROR(AVERAGE(AI387:BG387),"")</f>
        <v>88.13333333333334</v>
      </c>
      <c r="AC387" s="233">
        <f t="shared" ref="AC387" si="321">IFERROR(AB387*X387,"")</f>
        <v>26.44</v>
      </c>
      <c r="AD387" s="233">
        <f t="shared" ref="AD387" si="322">IFERROR(((AC387*L387)/2000)/I387,"")</f>
        <v>7.1454672440142648</v>
      </c>
      <c r="AE387" s="233"/>
      <c r="AF387" s="448"/>
      <c r="AH387" s="306" t="s">
        <v>91</v>
      </c>
      <c r="AI387" s="296">
        <v>83</v>
      </c>
      <c r="AJ387" s="296">
        <v>76</v>
      </c>
      <c r="AK387" s="296">
        <v>87</v>
      </c>
      <c r="AL387" s="296">
        <v>85</v>
      </c>
      <c r="AM387" s="296">
        <v>104</v>
      </c>
      <c r="AN387" s="296">
        <v>95</v>
      </c>
      <c r="AO387" s="296">
        <v>95</v>
      </c>
      <c r="AP387" s="296">
        <v>97</v>
      </c>
      <c r="AQ387" s="296">
        <v>86</v>
      </c>
      <c r="AR387" s="296">
        <v>99</v>
      </c>
      <c r="AS387" s="296">
        <v>91</v>
      </c>
      <c r="AT387" s="296">
        <v>98</v>
      </c>
      <c r="AU387" s="296">
        <v>61</v>
      </c>
      <c r="AV387" s="296">
        <v>85</v>
      </c>
      <c r="AW387" s="296">
        <v>80</v>
      </c>
    </row>
    <row r="388" spans="1:64" s="296" customFormat="1">
      <c r="A388" s="296" t="s">
        <v>437</v>
      </c>
      <c r="B388" s="297" t="s">
        <v>529</v>
      </c>
      <c r="C388" s="298" t="s">
        <v>532</v>
      </c>
      <c r="D388" s="299" t="s">
        <v>87</v>
      </c>
      <c r="E388" s="300" t="s">
        <v>88</v>
      </c>
      <c r="F388" s="297" t="s">
        <v>232</v>
      </c>
      <c r="G388" s="297" t="s">
        <v>145</v>
      </c>
      <c r="H388" s="301">
        <v>622.28571428571433</v>
      </c>
      <c r="I388" s="302">
        <v>28.89</v>
      </c>
      <c r="J388" s="301">
        <v>17345</v>
      </c>
      <c r="K388" s="237">
        <v>0.1</v>
      </c>
      <c r="L388" s="301">
        <f t="shared" ref="L388" si="323">J388-(J388*K388)</f>
        <v>15610.5</v>
      </c>
      <c r="M388" s="303">
        <f t="shared" ref="M388" si="324">L388/H388</f>
        <v>25.085743801652889</v>
      </c>
      <c r="N388" s="304">
        <v>7.33</v>
      </c>
      <c r="O388" s="304">
        <v>5.58</v>
      </c>
      <c r="P388" s="304">
        <v>5.59</v>
      </c>
      <c r="Q388" s="304">
        <v>8.14</v>
      </c>
      <c r="R388" s="304">
        <v>8.89</v>
      </c>
      <c r="S388" s="305">
        <v>6.69</v>
      </c>
      <c r="T388" s="305"/>
      <c r="V388" s="306" t="s">
        <v>103</v>
      </c>
      <c r="W388" s="306"/>
      <c r="X388" s="307">
        <v>0.28000000000000003</v>
      </c>
      <c r="Y388" s="307"/>
      <c r="Z388" s="304">
        <v>0.33</v>
      </c>
      <c r="AA388" s="431">
        <v>46163</v>
      </c>
      <c r="AB388" s="233">
        <f t="shared" si="316"/>
        <v>84.785714285714292</v>
      </c>
      <c r="AC388" s="233">
        <f t="shared" ref="AC388" si="325">IFERROR(AB388*X388,"")</f>
        <v>23.740000000000006</v>
      </c>
      <c r="AD388" s="233">
        <f t="shared" ref="AD388" si="326">IFERROR(((AC388*L388)/2000)/I388,"")</f>
        <v>6.4138676012461069</v>
      </c>
      <c r="AE388" s="233"/>
      <c r="AF388" s="448"/>
      <c r="AH388" s="306"/>
      <c r="AI388" s="296">
        <v>97</v>
      </c>
      <c r="AJ388" s="296">
        <v>90</v>
      </c>
      <c r="AK388" s="296">
        <v>88</v>
      </c>
      <c r="AL388" s="296">
        <v>93</v>
      </c>
      <c r="AM388" s="296">
        <v>77</v>
      </c>
      <c r="AN388" s="296">
        <v>89</v>
      </c>
      <c r="AO388" s="296">
        <v>96</v>
      </c>
      <c r="AP388" s="296">
        <v>88</v>
      </c>
      <c r="AQ388" s="296">
        <v>76</v>
      </c>
      <c r="AR388" s="296">
        <v>79</v>
      </c>
      <c r="AS388" s="296">
        <v>56</v>
      </c>
      <c r="AT388" s="296">
        <v>79</v>
      </c>
      <c r="AU388" s="296">
        <v>86</v>
      </c>
      <c r="AV388" s="296">
        <v>93</v>
      </c>
    </row>
    <row r="389" spans="1:64" s="296" customFormat="1">
      <c r="A389" s="296" t="s">
        <v>437</v>
      </c>
      <c r="B389" s="297" t="s">
        <v>529</v>
      </c>
      <c r="C389" s="298" t="s">
        <v>532</v>
      </c>
      <c r="D389" s="299" t="s">
        <v>87</v>
      </c>
      <c r="E389" s="300" t="s">
        <v>88</v>
      </c>
      <c r="F389" s="297" t="s">
        <v>232</v>
      </c>
      <c r="G389" s="297" t="s">
        <v>145</v>
      </c>
      <c r="H389" s="301">
        <v>622.28571428571433</v>
      </c>
      <c r="I389" s="302">
        <v>28.89</v>
      </c>
      <c r="J389" s="301">
        <v>17345</v>
      </c>
      <c r="K389" s="237">
        <v>0.1</v>
      </c>
      <c r="L389" s="301">
        <f t="shared" si="275"/>
        <v>15610.5</v>
      </c>
      <c r="M389" s="303">
        <f t="shared" si="276"/>
        <v>25.085743801652889</v>
      </c>
      <c r="N389" s="304">
        <v>7.33</v>
      </c>
      <c r="O389" s="304">
        <v>5.58</v>
      </c>
      <c r="P389" s="304">
        <v>5.59</v>
      </c>
      <c r="Q389" s="304">
        <v>8.14</v>
      </c>
      <c r="R389" s="304">
        <v>8.89</v>
      </c>
      <c r="S389" s="305">
        <v>6.69</v>
      </c>
      <c r="T389" s="305"/>
      <c r="V389" s="306"/>
      <c r="W389" s="306"/>
      <c r="X389" s="307">
        <v>0.28000000000000003</v>
      </c>
      <c r="Y389" s="307"/>
      <c r="Z389" s="304">
        <v>0.33</v>
      </c>
      <c r="AA389" s="431">
        <v>46199</v>
      </c>
      <c r="AB389" s="233">
        <f t="shared" si="316"/>
        <v>70.75</v>
      </c>
      <c r="AC389" s="233">
        <f t="shared" si="277"/>
        <v>19.810000000000002</v>
      </c>
      <c r="AD389" s="233">
        <f t="shared" si="317"/>
        <v>5.3520942367601254</v>
      </c>
      <c r="AE389" s="233"/>
      <c r="AF389" s="448"/>
      <c r="AH389" s="306"/>
      <c r="AI389" s="296">
        <v>55</v>
      </c>
      <c r="AJ389" s="296">
        <v>52</v>
      </c>
      <c r="AK389" s="296">
        <v>72</v>
      </c>
      <c r="AL389" s="296">
        <v>64</v>
      </c>
      <c r="AM389" s="296">
        <v>55</v>
      </c>
      <c r="AN389" s="296">
        <v>70</v>
      </c>
      <c r="AO389" s="296">
        <v>85</v>
      </c>
      <c r="AP389" s="296">
        <v>90</v>
      </c>
      <c r="AQ389" s="296">
        <v>72</v>
      </c>
      <c r="AR389" s="296">
        <v>69</v>
      </c>
      <c r="AS389" s="296">
        <v>81</v>
      </c>
      <c r="AT389" s="296">
        <v>84</v>
      </c>
    </row>
    <row r="390" spans="1:64" s="113" customFormat="1">
      <c r="A390" s="113" t="s">
        <v>437</v>
      </c>
      <c r="B390" s="126" t="s">
        <v>533</v>
      </c>
      <c r="C390" s="114" t="s">
        <v>534</v>
      </c>
      <c r="D390" s="128" t="s">
        <v>87</v>
      </c>
      <c r="E390" s="127" t="s">
        <v>221</v>
      </c>
      <c r="F390" s="126" t="s">
        <v>222</v>
      </c>
      <c r="G390" s="126" t="s">
        <v>273</v>
      </c>
      <c r="H390" s="123">
        <v>622.28571428571433</v>
      </c>
      <c r="I390" s="125">
        <v>24.87</v>
      </c>
      <c r="J390" s="123">
        <v>15349</v>
      </c>
      <c r="K390" s="124"/>
      <c r="L390" s="123">
        <f t="shared" si="275"/>
        <v>15349</v>
      </c>
      <c r="M390" s="122">
        <f t="shared" si="276"/>
        <v>24.66551882460973</v>
      </c>
      <c r="N390" s="118">
        <v>8.51</v>
      </c>
      <c r="O390" s="118">
        <v>6.99</v>
      </c>
      <c r="P390" s="118">
        <v>9</v>
      </c>
      <c r="Q390" s="118">
        <v>11.16</v>
      </c>
      <c r="R390" s="118">
        <v>8.6999999999999993</v>
      </c>
      <c r="S390" s="153">
        <v>8.64</v>
      </c>
      <c r="T390" s="153"/>
      <c r="V390" s="115"/>
      <c r="W390" s="115"/>
      <c r="X390" s="120">
        <v>0.45</v>
      </c>
      <c r="Y390" s="120"/>
      <c r="Z390" s="118">
        <v>0.55000000000000004</v>
      </c>
      <c r="AA390" s="430">
        <v>46155</v>
      </c>
      <c r="AB390" s="117">
        <f t="shared" si="316"/>
        <v>66.86666666666666</v>
      </c>
      <c r="AC390" s="117">
        <f t="shared" si="277"/>
        <v>30.089999999999996</v>
      </c>
      <c r="AD390" s="117">
        <f t="shared" si="317"/>
        <v>9.2853118214716517</v>
      </c>
      <c r="AE390" s="117"/>
      <c r="AF390" s="447"/>
      <c r="AG390" s="175"/>
      <c r="AH390" s="115" t="s">
        <v>91</v>
      </c>
      <c r="AI390" s="113">
        <v>60</v>
      </c>
      <c r="AJ390" s="113">
        <v>86</v>
      </c>
      <c r="AK390" s="113">
        <v>54</v>
      </c>
      <c r="AL390" s="113">
        <v>69</v>
      </c>
      <c r="AM390" s="113">
        <v>58</v>
      </c>
      <c r="AN390" s="113">
        <v>58</v>
      </c>
      <c r="AO390" s="113">
        <v>76</v>
      </c>
      <c r="AP390" s="113">
        <v>61</v>
      </c>
      <c r="AQ390" s="113">
        <v>79</v>
      </c>
      <c r="AR390" s="113">
        <v>67</v>
      </c>
      <c r="AS390" s="113">
        <v>59</v>
      </c>
      <c r="AT390" s="113">
        <v>62</v>
      </c>
      <c r="AU390" s="113">
        <v>54</v>
      </c>
      <c r="AV390" s="113">
        <v>71</v>
      </c>
      <c r="AW390" s="113">
        <v>89</v>
      </c>
    </row>
    <row r="391" spans="1:64" s="113" customFormat="1">
      <c r="A391" s="113" t="s">
        <v>437</v>
      </c>
      <c r="B391" s="126" t="s">
        <v>533</v>
      </c>
      <c r="C391" s="114" t="s">
        <v>534</v>
      </c>
      <c r="D391" s="128" t="s">
        <v>87</v>
      </c>
      <c r="E391" s="127" t="s">
        <v>221</v>
      </c>
      <c r="F391" s="126" t="s">
        <v>222</v>
      </c>
      <c r="G391" s="126" t="s">
        <v>273</v>
      </c>
      <c r="H391" s="123">
        <v>622.28571428571433</v>
      </c>
      <c r="I391" s="125">
        <v>24.87</v>
      </c>
      <c r="J391" s="123">
        <v>15349</v>
      </c>
      <c r="K391" s="124"/>
      <c r="L391" s="123">
        <f t="shared" ref="L391:L427" si="327">J391-(J391*K391)</f>
        <v>15349</v>
      </c>
      <c r="M391" s="122">
        <f t="shared" ref="M391:M427" si="328">L391/H391</f>
        <v>24.66551882460973</v>
      </c>
      <c r="N391" s="118">
        <v>8.51</v>
      </c>
      <c r="O391" s="118">
        <v>6.99</v>
      </c>
      <c r="P391" s="118">
        <v>9</v>
      </c>
      <c r="Q391" s="118">
        <v>11.16</v>
      </c>
      <c r="R391" s="118">
        <v>8.6999999999999993</v>
      </c>
      <c r="S391" s="153">
        <v>8.64</v>
      </c>
      <c r="T391" s="153"/>
      <c r="V391" s="115"/>
      <c r="W391" s="115"/>
      <c r="X391" s="120">
        <v>0.45</v>
      </c>
      <c r="Y391" s="120"/>
      <c r="Z391" s="118">
        <v>0.55000000000000004</v>
      </c>
      <c r="AA391" s="430">
        <v>46204</v>
      </c>
      <c r="AB391" s="117">
        <f t="shared" si="316"/>
        <v>67.599999999999994</v>
      </c>
      <c r="AC391" s="117">
        <f t="shared" ref="AC391:AC425" si="329">IFERROR(AB391*X391,"")</f>
        <v>30.419999999999998</v>
      </c>
      <c r="AD391" s="117">
        <f t="shared" si="317"/>
        <v>9.3871447527141125</v>
      </c>
      <c r="AE391" s="117"/>
      <c r="AF391" s="447"/>
      <c r="AG391" s="175"/>
      <c r="AH391" s="115"/>
      <c r="AI391" s="113">
        <v>72</v>
      </c>
      <c r="AJ391" s="113">
        <v>77</v>
      </c>
      <c r="AK391" s="113">
        <v>51</v>
      </c>
      <c r="AL391" s="113">
        <v>61</v>
      </c>
      <c r="AM391" s="113">
        <v>59</v>
      </c>
      <c r="AN391" s="113">
        <v>74</v>
      </c>
      <c r="AO391" s="113">
        <v>54</v>
      </c>
      <c r="AP391" s="113">
        <v>60</v>
      </c>
      <c r="AQ391" s="113">
        <v>81</v>
      </c>
      <c r="AR391" s="113">
        <v>68</v>
      </c>
      <c r="AS391" s="113">
        <v>74</v>
      </c>
      <c r="AT391" s="113">
        <v>55</v>
      </c>
      <c r="AU391" s="113">
        <v>84</v>
      </c>
      <c r="AV391" s="113">
        <v>75</v>
      </c>
      <c r="AW391" s="113">
        <v>59</v>
      </c>
      <c r="AX391" s="113">
        <v>86</v>
      </c>
      <c r="AY391" s="113">
        <v>67</v>
      </c>
      <c r="AZ391" s="113">
        <v>78</v>
      </c>
      <c r="BA391" s="113">
        <v>64</v>
      </c>
      <c r="BB391" s="113">
        <v>55</v>
      </c>
      <c r="BC391" s="113">
        <v>74</v>
      </c>
      <c r="BD391" s="113">
        <v>57</v>
      </c>
      <c r="BE391" s="113">
        <v>77</v>
      </c>
      <c r="BF391" s="113">
        <v>65</v>
      </c>
      <c r="BG391" s="113">
        <v>63</v>
      </c>
      <c r="BH391" s="113">
        <v>78</v>
      </c>
      <c r="BI391" s="113">
        <v>74</v>
      </c>
      <c r="BJ391" s="113">
        <v>84</v>
      </c>
      <c r="BK391" s="113">
        <v>71</v>
      </c>
      <c r="BL391" s="113">
        <v>66</v>
      </c>
    </row>
    <row r="392" spans="1:64" s="296" customFormat="1">
      <c r="A392" s="296" t="s">
        <v>437</v>
      </c>
      <c r="B392" s="297" t="s">
        <v>535</v>
      </c>
      <c r="C392" s="298" t="s">
        <v>536</v>
      </c>
      <c r="D392" s="299" t="s">
        <v>87</v>
      </c>
      <c r="E392" s="300" t="s">
        <v>160</v>
      </c>
      <c r="F392" s="297" t="s">
        <v>537</v>
      </c>
      <c r="G392" s="297" t="s">
        <v>273</v>
      </c>
      <c r="H392" s="301">
        <v>622.28571428571433</v>
      </c>
      <c r="I392" s="302">
        <f>J392/622</f>
        <v>9.4019292604501601</v>
      </c>
      <c r="J392" s="301">
        <v>5848</v>
      </c>
      <c r="K392" s="237"/>
      <c r="L392" s="301">
        <f t="shared" si="327"/>
        <v>5848</v>
      </c>
      <c r="M392" s="303">
        <f t="shared" si="328"/>
        <v>9.3976124885215793</v>
      </c>
      <c r="N392" s="304"/>
      <c r="O392" s="304"/>
      <c r="P392" s="304"/>
      <c r="Q392" s="304"/>
      <c r="R392" s="304"/>
      <c r="S392" s="305">
        <v>6.95</v>
      </c>
      <c r="T392" s="305"/>
      <c r="U392" s="296" t="s">
        <v>115</v>
      </c>
      <c r="V392" s="306" t="s">
        <v>115</v>
      </c>
      <c r="W392" s="306"/>
      <c r="X392" s="307">
        <v>0.41</v>
      </c>
      <c r="Y392" s="307"/>
      <c r="Z392" s="304">
        <v>0.4</v>
      </c>
      <c r="AA392" s="431">
        <v>46111</v>
      </c>
      <c r="AB392" s="233">
        <f t="shared" si="316"/>
        <v>68.2</v>
      </c>
      <c r="AC392" s="233">
        <f t="shared" si="329"/>
        <v>27.962</v>
      </c>
      <c r="AD392" s="233">
        <f t="shared" si="317"/>
        <v>8.6961820000000021</v>
      </c>
      <c r="AE392" s="233"/>
      <c r="AF392" s="448"/>
      <c r="AH392" s="306" t="s">
        <v>91</v>
      </c>
      <c r="AI392" s="296">
        <v>82</v>
      </c>
      <c r="AJ392" s="296">
        <v>76</v>
      </c>
      <c r="AK392" s="296">
        <v>64</v>
      </c>
      <c r="AL392" s="296">
        <v>70</v>
      </c>
      <c r="AM392" s="296">
        <v>78</v>
      </c>
      <c r="AN392" s="296">
        <v>60</v>
      </c>
      <c r="AO392" s="296">
        <v>70</v>
      </c>
      <c r="AP392" s="296">
        <v>75</v>
      </c>
      <c r="AQ392" s="296">
        <v>68</v>
      </c>
      <c r="AR392" s="296">
        <v>68</v>
      </c>
      <c r="AS392" s="296">
        <v>67</v>
      </c>
      <c r="AT392" s="296">
        <v>69</v>
      </c>
      <c r="AU392" s="296">
        <v>74</v>
      </c>
      <c r="AV392" s="296">
        <v>61</v>
      </c>
      <c r="AW392" s="296">
        <v>61</v>
      </c>
      <c r="AX392" s="296">
        <v>58</v>
      </c>
      <c r="AY392" s="296">
        <v>46</v>
      </c>
      <c r="AZ392" s="296">
        <v>69</v>
      </c>
      <c r="BA392" s="296">
        <v>70</v>
      </c>
      <c r="BB392" s="296">
        <v>78</v>
      </c>
    </row>
    <row r="393" spans="1:64" s="296" customFormat="1">
      <c r="A393" s="296" t="s">
        <v>437</v>
      </c>
      <c r="B393" s="297" t="s">
        <v>535</v>
      </c>
      <c r="C393" s="298" t="s">
        <v>536</v>
      </c>
      <c r="D393" s="299" t="s">
        <v>87</v>
      </c>
      <c r="E393" s="300" t="s">
        <v>160</v>
      </c>
      <c r="F393" s="297" t="s">
        <v>537</v>
      </c>
      <c r="G393" s="297" t="s">
        <v>273</v>
      </c>
      <c r="H393" s="301">
        <v>622.28571428571433</v>
      </c>
      <c r="I393" s="302">
        <f>J393/622</f>
        <v>9.4019292604501601</v>
      </c>
      <c r="J393" s="301">
        <v>5848</v>
      </c>
      <c r="K393" s="237"/>
      <c r="L393" s="301">
        <f t="shared" ref="L393" si="330">J393-(J393*K393)</f>
        <v>5848</v>
      </c>
      <c r="M393" s="303">
        <f t="shared" ref="M393" si="331">L393/H393</f>
        <v>9.3976124885215793</v>
      </c>
      <c r="N393" s="304"/>
      <c r="O393" s="304"/>
      <c r="P393" s="304"/>
      <c r="Q393" s="304"/>
      <c r="R393" s="304"/>
      <c r="S393" s="305">
        <v>6.95</v>
      </c>
      <c r="T393" s="305"/>
      <c r="U393" s="296" t="s">
        <v>115</v>
      </c>
      <c r="V393" s="306" t="s">
        <v>115</v>
      </c>
      <c r="W393" s="306"/>
      <c r="X393" s="307">
        <v>0.41</v>
      </c>
      <c r="Y393" s="307"/>
      <c r="Z393" s="304">
        <v>0.4</v>
      </c>
      <c r="AA393" s="431">
        <v>46181</v>
      </c>
      <c r="AB393" s="233">
        <f t="shared" ref="AB393" si="332">IFERROR(AVERAGE(AI393:BG393),"")</f>
        <v>60.875</v>
      </c>
      <c r="AC393" s="233">
        <f t="shared" ref="AC393" si="333">IFERROR(AB393*X393,"")</f>
        <v>24.958749999999998</v>
      </c>
      <c r="AD393" s="233">
        <f t="shared" ref="AD393" si="334">IFERROR(((AC393*L393)/2000)/I393,"")</f>
        <v>7.7621712499999997</v>
      </c>
      <c r="AE393" s="233"/>
      <c r="AF393" s="448"/>
      <c r="AH393" s="306" t="s">
        <v>91</v>
      </c>
      <c r="AI393" s="296">
        <v>63</v>
      </c>
      <c r="AJ393" s="296">
        <v>61</v>
      </c>
      <c r="AK393" s="296">
        <v>58</v>
      </c>
      <c r="AL393" s="296">
        <v>65</v>
      </c>
      <c r="AM393" s="296">
        <v>65</v>
      </c>
      <c r="AN393" s="296">
        <v>61</v>
      </c>
      <c r="AO393" s="296">
        <v>60</v>
      </c>
      <c r="AP393" s="296">
        <v>59</v>
      </c>
      <c r="AQ393" s="296">
        <v>64</v>
      </c>
      <c r="AR393" s="296">
        <v>60</v>
      </c>
      <c r="AS393" s="296">
        <v>56</v>
      </c>
      <c r="AT393" s="296">
        <v>59</v>
      </c>
      <c r="AU393" s="296">
        <v>61</v>
      </c>
      <c r="AV393" s="296">
        <v>55</v>
      </c>
      <c r="AW393" s="296">
        <v>58</v>
      </c>
      <c r="AX393" s="296">
        <v>69</v>
      </c>
    </row>
    <row r="394" spans="1:64" s="296" customFormat="1">
      <c r="A394" s="296" t="s">
        <v>437</v>
      </c>
      <c r="B394" s="297" t="s">
        <v>535</v>
      </c>
      <c r="C394" s="298" t="s">
        <v>538</v>
      </c>
      <c r="D394" s="299" t="s">
        <v>87</v>
      </c>
      <c r="E394" s="300" t="s">
        <v>160</v>
      </c>
      <c r="F394" s="297" t="s">
        <v>537</v>
      </c>
      <c r="G394" s="297" t="s">
        <v>273</v>
      </c>
      <c r="H394" s="301">
        <v>622.28571428571433</v>
      </c>
      <c r="I394" s="302">
        <f>J394/622</f>
        <v>8.979099678456592</v>
      </c>
      <c r="J394" s="301">
        <v>5585</v>
      </c>
      <c r="K394" s="237"/>
      <c r="L394" s="301">
        <f t="shared" si="327"/>
        <v>5585</v>
      </c>
      <c r="M394" s="303">
        <f t="shared" si="328"/>
        <v>8.9749770431588605</v>
      </c>
      <c r="N394" s="304"/>
      <c r="O394" s="304"/>
      <c r="P394" s="304"/>
      <c r="Q394" s="304"/>
      <c r="R394" s="304"/>
      <c r="S394" s="305">
        <v>6.95</v>
      </c>
      <c r="T394" s="305"/>
      <c r="V394" s="306"/>
      <c r="W394" s="306"/>
      <c r="X394" s="307">
        <v>0.36</v>
      </c>
      <c r="Y394" s="307"/>
      <c r="Z394" s="304">
        <v>0.4</v>
      </c>
      <c r="AA394" s="431">
        <v>46181</v>
      </c>
      <c r="AB394" s="233">
        <f t="shared" si="316"/>
        <v>60.733333333333334</v>
      </c>
      <c r="AC394" s="233">
        <f t="shared" si="329"/>
        <v>21.864000000000001</v>
      </c>
      <c r="AD394" s="233">
        <f>IFERROR(((AC394*L394)/2000)/I394,"")</f>
        <v>6.7997039999999993</v>
      </c>
      <c r="AE394" s="233">
        <v>5.96</v>
      </c>
      <c r="AF394" s="448">
        <f>(AD394-AE394)/AD394</f>
        <v>0.12349125785475359</v>
      </c>
      <c r="AG394" s="296" t="s">
        <v>539</v>
      </c>
      <c r="AH394" s="306"/>
      <c r="AI394" s="296">
        <v>58</v>
      </c>
      <c r="AJ394" s="296">
        <v>65</v>
      </c>
      <c r="AK394" s="296">
        <v>60</v>
      </c>
      <c r="AL394" s="296">
        <v>57</v>
      </c>
      <c r="AM394" s="296">
        <v>63</v>
      </c>
      <c r="AN394" s="296">
        <v>63</v>
      </c>
      <c r="AO394" s="296">
        <v>59</v>
      </c>
      <c r="AP394" s="296">
        <v>59</v>
      </c>
      <c r="AQ394" s="296">
        <v>63</v>
      </c>
      <c r="AR394" s="296">
        <v>60</v>
      </c>
      <c r="AS394" s="296">
        <v>68</v>
      </c>
      <c r="AT394" s="296">
        <v>57</v>
      </c>
      <c r="AU394" s="296">
        <v>59</v>
      </c>
      <c r="AV394" s="296">
        <v>55</v>
      </c>
      <c r="AW394" s="296">
        <v>65</v>
      </c>
    </row>
    <row r="395" spans="1:64" s="113" customFormat="1">
      <c r="A395" s="113" t="s">
        <v>437</v>
      </c>
      <c r="B395" s="126" t="s">
        <v>540</v>
      </c>
      <c r="C395" s="114" t="s">
        <v>541</v>
      </c>
      <c r="D395" s="128" t="s">
        <v>193</v>
      </c>
      <c r="E395" s="127" t="s">
        <v>88</v>
      </c>
      <c r="F395" s="126" t="s">
        <v>542</v>
      </c>
      <c r="G395" s="126" t="s">
        <v>513</v>
      </c>
      <c r="H395" s="123">
        <v>726</v>
      </c>
      <c r="I395" s="125">
        <v>28.73</v>
      </c>
      <c r="J395" s="123">
        <v>20726</v>
      </c>
      <c r="K395" s="124">
        <v>0.01</v>
      </c>
      <c r="L395" s="123">
        <f t="shared" si="327"/>
        <v>20518.740000000002</v>
      </c>
      <c r="M395" s="122">
        <f t="shared" si="328"/>
        <v>28.262727272727275</v>
      </c>
      <c r="N395" s="125"/>
      <c r="O395" s="125"/>
      <c r="P395" s="125"/>
      <c r="Q395" s="125"/>
      <c r="R395" s="125"/>
      <c r="S395" s="154">
        <v>5.55</v>
      </c>
      <c r="T395" s="154"/>
      <c r="V395" s="115"/>
      <c r="W395" s="115"/>
      <c r="X395" s="120">
        <v>0.27</v>
      </c>
      <c r="Y395" s="120">
        <v>0.28000000000000003</v>
      </c>
      <c r="Z395" s="118">
        <v>0.33</v>
      </c>
      <c r="AA395" s="430">
        <v>46127</v>
      </c>
      <c r="AB395" s="117">
        <f t="shared" si="316"/>
        <v>105.6</v>
      </c>
      <c r="AC395" s="117">
        <f t="shared" si="329"/>
        <v>28.512</v>
      </c>
      <c r="AD395" s="117">
        <f t="shared" si="317"/>
        <v>10.181523057431258</v>
      </c>
      <c r="AE395" s="117"/>
      <c r="AF395" s="447"/>
      <c r="AH395" s="115" t="s">
        <v>91</v>
      </c>
      <c r="AI395" s="113">
        <v>123</v>
      </c>
      <c r="AJ395" s="113">
        <v>78</v>
      </c>
      <c r="AK395" s="113">
        <v>105</v>
      </c>
      <c r="AL395" s="113">
        <v>113</v>
      </c>
      <c r="AM395" s="113">
        <v>117</v>
      </c>
      <c r="AN395" s="113">
        <v>91</v>
      </c>
      <c r="AO395" s="113">
        <v>113</v>
      </c>
      <c r="AP395" s="113">
        <v>122</v>
      </c>
      <c r="AQ395" s="113">
        <v>121</v>
      </c>
      <c r="AR395" s="113">
        <v>121</v>
      </c>
      <c r="AS395" s="113">
        <v>113</v>
      </c>
      <c r="AT395" s="113">
        <v>111</v>
      </c>
      <c r="AU395" s="113">
        <v>71</v>
      </c>
      <c r="AV395" s="113">
        <v>86</v>
      </c>
      <c r="AW395" s="113">
        <v>99</v>
      </c>
    </row>
    <row r="396" spans="1:64" s="113" customFormat="1">
      <c r="A396" s="113" t="s">
        <v>437</v>
      </c>
      <c r="B396" s="126" t="s">
        <v>540</v>
      </c>
      <c r="C396" s="114" t="s">
        <v>541</v>
      </c>
      <c r="D396" s="128" t="s">
        <v>193</v>
      </c>
      <c r="E396" s="127" t="s">
        <v>88</v>
      </c>
      <c r="F396" s="126" t="s">
        <v>542</v>
      </c>
      <c r="G396" s="126" t="s">
        <v>513</v>
      </c>
      <c r="H396" s="123">
        <v>726</v>
      </c>
      <c r="I396" s="125">
        <v>28.73</v>
      </c>
      <c r="J396" s="123">
        <v>20726</v>
      </c>
      <c r="K396" s="124">
        <v>0.01</v>
      </c>
      <c r="L396" s="123">
        <f t="shared" si="327"/>
        <v>20518.740000000002</v>
      </c>
      <c r="M396" s="122">
        <f t="shared" si="328"/>
        <v>28.262727272727275</v>
      </c>
      <c r="N396" s="125"/>
      <c r="O396" s="125"/>
      <c r="P396" s="125"/>
      <c r="Q396" s="125"/>
      <c r="R396" s="125"/>
      <c r="S396" s="154">
        <v>5.55</v>
      </c>
      <c r="T396" s="154"/>
      <c r="V396" s="115"/>
      <c r="W396" s="115"/>
      <c r="X396" s="120">
        <v>0.27</v>
      </c>
      <c r="Y396" s="120"/>
      <c r="Z396" s="118">
        <v>0.33</v>
      </c>
      <c r="AA396" s="430">
        <v>46156</v>
      </c>
      <c r="AB396" s="117">
        <f t="shared" si="316"/>
        <v>102.6</v>
      </c>
      <c r="AC396" s="117">
        <f t="shared" si="329"/>
        <v>27.702000000000002</v>
      </c>
      <c r="AD396" s="117">
        <f t="shared" si="317"/>
        <v>9.8922752432996859</v>
      </c>
      <c r="AE396" s="117"/>
      <c r="AF396" s="447"/>
      <c r="AH396" s="115" t="s">
        <v>91</v>
      </c>
      <c r="AI396" s="113">
        <v>93</v>
      </c>
      <c r="AJ396" s="113">
        <v>95</v>
      </c>
      <c r="AK396" s="113">
        <v>127</v>
      </c>
      <c r="AL396" s="113">
        <v>106</v>
      </c>
      <c r="AM396" s="113">
        <v>97</v>
      </c>
      <c r="AN396" s="113">
        <v>105</v>
      </c>
      <c r="AO396" s="113">
        <v>87</v>
      </c>
      <c r="AP396" s="113">
        <v>112</v>
      </c>
      <c r="AQ396" s="113">
        <v>99</v>
      </c>
      <c r="AR396" s="113">
        <v>97</v>
      </c>
      <c r="AS396" s="113">
        <v>91</v>
      </c>
      <c r="AT396" s="113">
        <v>101</v>
      </c>
      <c r="AU396" s="113">
        <v>116</v>
      </c>
      <c r="AV396" s="113">
        <v>102</v>
      </c>
      <c r="AW396" s="113">
        <v>111</v>
      </c>
    </row>
    <row r="397" spans="1:64" s="113" customFormat="1">
      <c r="A397" s="113" t="s">
        <v>437</v>
      </c>
      <c r="B397" s="126" t="s">
        <v>540</v>
      </c>
      <c r="C397" s="114" t="s">
        <v>543</v>
      </c>
      <c r="D397" s="128" t="s">
        <v>193</v>
      </c>
      <c r="E397" s="127" t="s">
        <v>88</v>
      </c>
      <c r="F397" s="126" t="s">
        <v>542</v>
      </c>
      <c r="G397" s="126" t="s">
        <v>513</v>
      </c>
      <c r="H397" s="123">
        <v>726</v>
      </c>
      <c r="I397" s="125">
        <v>29.35</v>
      </c>
      <c r="J397" s="123">
        <v>21179</v>
      </c>
      <c r="K397" s="124">
        <v>0.01</v>
      </c>
      <c r="L397" s="123">
        <f t="shared" si="327"/>
        <v>20967.21</v>
      </c>
      <c r="M397" s="122">
        <f t="shared" si="328"/>
        <v>28.880454545454544</v>
      </c>
      <c r="N397" s="125"/>
      <c r="O397" s="125"/>
      <c r="P397" s="125"/>
      <c r="Q397" s="125"/>
      <c r="R397" s="125"/>
      <c r="S397" s="154">
        <v>5.55</v>
      </c>
      <c r="T397" s="154"/>
      <c r="V397" s="115"/>
      <c r="W397" s="115"/>
      <c r="X397" s="120">
        <v>0.27</v>
      </c>
      <c r="Y397" s="120"/>
      <c r="Z397" s="118">
        <v>0.33</v>
      </c>
      <c r="AA397" s="430">
        <v>46156</v>
      </c>
      <c r="AB397" s="117">
        <f t="shared" si="316"/>
        <v>89.333333333333329</v>
      </c>
      <c r="AC397" s="117">
        <f t="shared" si="329"/>
        <v>24.12</v>
      </c>
      <c r="AD397" s="117">
        <f t="shared" si="317"/>
        <v>8.6154873117546842</v>
      </c>
      <c r="AE397" s="117"/>
      <c r="AF397" s="447"/>
      <c r="AH397" s="115" t="s">
        <v>91</v>
      </c>
      <c r="AI397" s="113">
        <v>103</v>
      </c>
      <c r="AJ397" s="113">
        <v>71</v>
      </c>
      <c r="AK397" s="113">
        <v>92</v>
      </c>
      <c r="AL397" s="113">
        <v>88</v>
      </c>
      <c r="AM397" s="113">
        <v>79</v>
      </c>
      <c r="AN397" s="113">
        <v>97</v>
      </c>
      <c r="AO397" s="113">
        <v>81</v>
      </c>
      <c r="AP397" s="113">
        <v>104</v>
      </c>
      <c r="AQ397" s="113">
        <v>80</v>
      </c>
      <c r="AR397" s="113">
        <v>97</v>
      </c>
      <c r="AS397" s="113">
        <v>87</v>
      </c>
      <c r="AT397" s="113">
        <v>93</v>
      </c>
      <c r="AU397" s="113">
        <v>96</v>
      </c>
      <c r="AV397" s="113">
        <v>92</v>
      </c>
      <c r="AW397" s="113">
        <v>80</v>
      </c>
    </row>
    <row r="398" spans="1:64" s="113" customFormat="1">
      <c r="A398" s="113" t="s">
        <v>437</v>
      </c>
      <c r="B398" s="126" t="s">
        <v>540</v>
      </c>
      <c r="C398" s="114" t="s">
        <v>543</v>
      </c>
      <c r="D398" s="128" t="s">
        <v>193</v>
      </c>
      <c r="E398" s="127" t="s">
        <v>88</v>
      </c>
      <c r="F398" s="126" t="s">
        <v>542</v>
      </c>
      <c r="G398" s="126" t="s">
        <v>513</v>
      </c>
      <c r="H398" s="123">
        <v>726</v>
      </c>
      <c r="I398" s="125">
        <v>29.35</v>
      </c>
      <c r="J398" s="123">
        <v>21179</v>
      </c>
      <c r="K398" s="124">
        <v>0.01</v>
      </c>
      <c r="L398" s="123">
        <f t="shared" si="327"/>
        <v>20967.21</v>
      </c>
      <c r="M398" s="122">
        <f t="shared" si="328"/>
        <v>28.880454545454544</v>
      </c>
      <c r="N398" s="125"/>
      <c r="O398" s="125"/>
      <c r="P398" s="125"/>
      <c r="Q398" s="125"/>
      <c r="R398" s="125"/>
      <c r="S398" s="154">
        <v>5.55</v>
      </c>
      <c r="T398" s="154"/>
      <c r="V398" s="115"/>
      <c r="W398" s="115"/>
      <c r="X398" s="120">
        <v>0.27</v>
      </c>
      <c r="Y398" s="120"/>
      <c r="Z398" s="118">
        <v>0.33</v>
      </c>
      <c r="AA398" s="430"/>
      <c r="AB398" s="117" t="str">
        <f t="shared" si="316"/>
        <v/>
      </c>
      <c r="AC398" s="117" t="str">
        <f t="shared" si="329"/>
        <v/>
      </c>
      <c r="AD398" s="117" t="str">
        <f t="shared" si="317"/>
        <v/>
      </c>
      <c r="AE398" s="117"/>
      <c r="AF398" s="447"/>
      <c r="AH398" s="115"/>
    </row>
    <row r="399" spans="1:64" s="296" customFormat="1">
      <c r="A399" s="296" t="s">
        <v>437</v>
      </c>
      <c r="B399" s="297" t="s">
        <v>544</v>
      </c>
      <c r="C399" s="298" t="s">
        <v>545</v>
      </c>
      <c r="D399" s="299" t="s">
        <v>87</v>
      </c>
      <c r="E399" s="300" t="s">
        <v>546</v>
      </c>
      <c r="F399" s="297" t="s">
        <v>170</v>
      </c>
      <c r="G399" s="297" t="s">
        <v>475</v>
      </c>
      <c r="H399" s="301">
        <v>777.85714285714289</v>
      </c>
      <c r="I399" s="302">
        <v>38.380000000000003</v>
      </c>
      <c r="J399" s="301">
        <v>29280</v>
      </c>
      <c r="K399" s="237">
        <v>0.1</v>
      </c>
      <c r="L399" s="301">
        <f t="shared" si="327"/>
        <v>26352</v>
      </c>
      <c r="M399" s="303">
        <f t="shared" si="328"/>
        <v>33.877685950413223</v>
      </c>
      <c r="N399" s="304">
        <v>8.7100000000000009</v>
      </c>
      <c r="O399" s="304">
        <v>5.8</v>
      </c>
      <c r="P399" s="304">
        <v>8.69</v>
      </c>
      <c r="Q399" s="304">
        <v>7.18</v>
      </c>
      <c r="R399" s="304">
        <v>7.79</v>
      </c>
      <c r="S399" s="305">
        <v>5.96</v>
      </c>
      <c r="T399" s="305"/>
      <c r="V399" s="306"/>
      <c r="W399" s="306"/>
      <c r="X399" s="307">
        <v>0.21</v>
      </c>
      <c r="Y399" s="307"/>
      <c r="Z399" s="304">
        <v>0.3</v>
      </c>
      <c r="AA399" s="431">
        <v>46112</v>
      </c>
      <c r="AB399" s="233">
        <f t="shared" si="316"/>
        <v>104.1</v>
      </c>
      <c r="AC399" s="233">
        <f t="shared" si="329"/>
        <v>21.860999999999997</v>
      </c>
      <c r="AD399" s="233">
        <f t="shared" si="317"/>
        <v>7.5049644606565904</v>
      </c>
      <c r="AE399" s="233"/>
      <c r="AF399" s="448"/>
      <c r="AH399" s="306" t="s">
        <v>91</v>
      </c>
      <c r="AI399" s="296">
        <v>102</v>
      </c>
      <c r="AJ399" s="296">
        <v>150</v>
      </c>
      <c r="AK399" s="296">
        <v>119</v>
      </c>
      <c r="AL399" s="296">
        <v>53</v>
      </c>
      <c r="AM399" s="296">
        <v>97</v>
      </c>
      <c r="AN399" s="296">
        <v>98</v>
      </c>
      <c r="AO399" s="296">
        <v>80</v>
      </c>
      <c r="AP399" s="296">
        <v>103</v>
      </c>
      <c r="AQ399" s="296">
        <v>73</v>
      </c>
      <c r="AR399" s="296">
        <v>116</v>
      </c>
      <c r="AS399" s="296">
        <v>143</v>
      </c>
      <c r="AT399" s="296">
        <v>94</v>
      </c>
      <c r="AU399" s="296">
        <v>121</v>
      </c>
      <c r="AV399" s="296">
        <v>136</v>
      </c>
      <c r="AW399" s="296">
        <v>50</v>
      </c>
      <c r="AX399" s="296">
        <v>90</v>
      </c>
      <c r="AY399" s="296">
        <v>100</v>
      </c>
      <c r="AZ399" s="296">
        <v>126</v>
      </c>
      <c r="BA399" s="296">
        <v>102</v>
      </c>
      <c r="BB399" s="296">
        <v>129</v>
      </c>
    </row>
    <row r="400" spans="1:64" s="296" customFormat="1">
      <c r="A400" s="296" t="s">
        <v>437</v>
      </c>
      <c r="B400" s="297" t="s">
        <v>544</v>
      </c>
      <c r="C400" s="298" t="s">
        <v>545</v>
      </c>
      <c r="D400" s="299" t="s">
        <v>87</v>
      </c>
      <c r="E400" s="300" t="s">
        <v>546</v>
      </c>
      <c r="F400" s="297" t="s">
        <v>170</v>
      </c>
      <c r="G400" s="297" t="s">
        <v>475</v>
      </c>
      <c r="H400" s="301">
        <v>777.85714285714289</v>
      </c>
      <c r="I400" s="302">
        <v>38.380000000000003</v>
      </c>
      <c r="J400" s="301">
        <v>29280</v>
      </c>
      <c r="K400" s="237">
        <v>0.1</v>
      </c>
      <c r="L400" s="301">
        <f t="shared" si="327"/>
        <v>26352</v>
      </c>
      <c r="M400" s="303">
        <f t="shared" si="328"/>
        <v>33.877685950413223</v>
      </c>
      <c r="N400" s="304">
        <v>8.7100000000000009</v>
      </c>
      <c r="O400" s="304">
        <v>5.8</v>
      </c>
      <c r="P400" s="304">
        <v>8.69</v>
      </c>
      <c r="Q400" s="304">
        <v>7.18</v>
      </c>
      <c r="R400" s="304">
        <v>7.79</v>
      </c>
      <c r="S400" s="305">
        <v>5.96</v>
      </c>
      <c r="T400" s="305"/>
      <c r="V400" s="306"/>
      <c r="W400" s="306"/>
      <c r="X400" s="307">
        <v>0.21</v>
      </c>
      <c r="Y400" s="307"/>
      <c r="Z400" s="304">
        <v>0.25</v>
      </c>
      <c r="AA400" s="431">
        <v>46124</v>
      </c>
      <c r="AB400" s="233">
        <v>78</v>
      </c>
      <c r="AC400" s="233">
        <f t="shared" si="329"/>
        <v>16.38</v>
      </c>
      <c r="AD400" s="233">
        <f t="shared" si="317"/>
        <v>5.6233163105784252</v>
      </c>
      <c r="AE400" s="233"/>
      <c r="AF400" s="448"/>
      <c r="AH400" s="306" t="s">
        <v>165</v>
      </c>
    </row>
    <row r="401" spans="1:54" s="296" customFormat="1">
      <c r="A401" s="296" t="s">
        <v>437</v>
      </c>
      <c r="B401" s="297" t="s">
        <v>544</v>
      </c>
      <c r="C401" s="298" t="s">
        <v>545</v>
      </c>
      <c r="D401" s="299" t="s">
        <v>87</v>
      </c>
      <c r="E401" s="300" t="s">
        <v>546</v>
      </c>
      <c r="F401" s="297" t="s">
        <v>170</v>
      </c>
      <c r="G401" s="297" t="s">
        <v>475</v>
      </c>
      <c r="H401" s="301">
        <v>777.85714285714289</v>
      </c>
      <c r="I401" s="302">
        <v>38.380000000000003</v>
      </c>
      <c r="J401" s="301">
        <v>29280</v>
      </c>
      <c r="K401" s="237">
        <v>0.1</v>
      </c>
      <c r="L401" s="301">
        <f t="shared" ref="L401" si="335">J401-(J401*K401)</f>
        <v>26352</v>
      </c>
      <c r="M401" s="303">
        <f t="shared" ref="M401" si="336">L401/H401</f>
        <v>33.877685950413223</v>
      </c>
      <c r="N401" s="304">
        <v>8.7100000000000009</v>
      </c>
      <c r="O401" s="304">
        <v>5.8</v>
      </c>
      <c r="P401" s="304">
        <v>8.69</v>
      </c>
      <c r="Q401" s="304">
        <v>7.18</v>
      </c>
      <c r="R401" s="304">
        <v>7.79</v>
      </c>
      <c r="S401" s="305">
        <v>5.96</v>
      </c>
      <c r="T401" s="305"/>
      <c r="V401" s="306"/>
      <c r="W401" s="306"/>
      <c r="X401" s="307">
        <v>0.21</v>
      </c>
      <c r="Y401" s="307"/>
      <c r="Z401" s="304">
        <v>0.3</v>
      </c>
      <c r="AA401" s="431"/>
      <c r="AB401" s="233" t="str">
        <f t="shared" ref="AB401:AB406" si="337">IFERROR(AVERAGE(AI401:BG401),"")</f>
        <v/>
      </c>
      <c r="AC401" s="233" t="str">
        <f t="shared" ref="AC401" si="338">IFERROR(AB401*X401,"")</f>
        <v/>
      </c>
      <c r="AD401" s="233" t="str">
        <f t="shared" ref="AD401" si="339">IFERROR(((AC401*L401)/2000)/I401,"")</f>
        <v/>
      </c>
      <c r="AE401" s="233"/>
      <c r="AF401" s="448"/>
      <c r="AH401" s="306"/>
    </row>
    <row r="402" spans="1:54" s="296" customFormat="1">
      <c r="A402" s="296" t="s">
        <v>437</v>
      </c>
      <c r="B402" s="297" t="s">
        <v>544</v>
      </c>
      <c r="C402" s="298" t="s">
        <v>545</v>
      </c>
      <c r="D402" s="299" t="s">
        <v>87</v>
      </c>
      <c r="E402" s="300" t="s">
        <v>546</v>
      </c>
      <c r="F402" s="297" t="s">
        <v>170</v>
      </c>
      <c r="G402" s="297" t="s">
        <v>475</v>
      </c>
      <c r="H402" s="301">
        <v>777.85714285714289</v>
      </c>
      <c r="I402" s="302">
        <v>38.380000000000003</v>
      </c>
      <c r="J402" s="301">
        <v>29280</v>
      </c>
      <c r="K402" s="237">
        <v>0.1</v>
      </c>
      <c r="L402" s="301">
        <f t="shared" si="327"/>
        <v>26352</v>
      </c>
      <c r="M402" s="303">
        <f t="shared" si="328"/>
        <v>33.877685950413223</v>
      </c>
      <c r="N402" s="304">
        <v>8.7100000000000009</v>
      </c>
      <c r="O402" s="304">
        <v>5.8</v>
      </c>
      <c r="P402" s="304">
        <v>8.69</v>
      </c>
      <c r="Q402" s="304">
        <v>7.18</v>
      </c>
      <c r="R402" s="304">
        <v>7.79</v>
      </c>
      <c r="S402" s="305">
        <v>5.96</v>
      </c>
      <c r="T402" s="305"/>
      <c r="V402" s="306"/>
      <c r="W402" s="306"/>
      <c r="X402" s="307">
        <v>0.28000000000000003</v>
      </c>
      <c r="Y402" s="307"/>
      <c r="Z402" s="304">
        <v>0.3</v>
      </c>
      <c r="AA402" s="431"/>
      <c r="AB402" s="233" t="str">
        <f t="shared" si="337"/>
        <v/>
      </c>
      <c r="AC402" s="233" t="str">
        <f t="shared" si="329"/>
        <v/>
      </c>
      <c r="AD402" s="233" t="str">
        <f t="shared" si="317"/>
        <v/>
      </c>
      <c r="AE402" s="233"/>
      <c r="AF402" s="448"/>
      <c r="AH402" s="306"/>
    </row>
    <row r="403" spans="1:54" s="113" customFormat="1">
      <c r="A403" s="113" t="s">
        <v>437</v>
      </c>
      <c r="B403" s="126" t="s">
        <v>547</v>
      </c>
      <c r="C403" s="114" t="s">
        <v>548</v>
      </c>
      <c r="D403" s="128" t="s">
        <v>111</v>
      </c>
      <c r="E403" s="127" t="s">
        <v>160</v>
      </c>
      <c r="F403" s="126" t="s">
        <v>549</v>
      </c>
      <c r="G403" s="126" t="s">
        <v>265</v>
      </c>
      <c r="H403" s="123">
        <v>806.66666666666663</v>
      </c>
      <c r="I403" s="125">
        <v>37.340000000000003</v>
      </c>
      <c r="J403" s="123">
        <v>30338</v>
      </c>
      <c r="K403" s="124">
        <v>0.01</v>
      </c>
      <c r="L403" s="123">
        <f t="shared" si="327"/>
        <v>30034.62</v>
      </c>
      <c r="M403" s="122">
        <f t="shared" si="328"/>
        <v>37.232999999999997</v>
      </c>
      <c r="N403" s="118"/>
      <c r="O403" s="118"/>
      <c r="P403" s="118"/>
      <c r="Q403" s="118"/>
      <c r="R403" s="118">
        <v>4.04</v>
      </c>
      <c r="S403" s="153">
        <v>7.32</v>
      </c>
      <c r="T403" s="153"/>
      <c r="V403" s="115"/>
      <c r="W403" s="115"/>
      <c r="X403" s="120">
        <v>0.35</v>
      </c>
      <c r="Y403" s="255"/>
      <c r="Z403" s="118">
        <v>0.4</v>
      </c>
      <c r="AA403" s="430">
        <v>46141</v>
      </c>
      <c r="AB403" s="117">
        <f t="shared" si="337"/>
        <v>60.666666666666664</v>
      </c>
      <c r="AC403" s="117">
        <f t="shared" si="329"/>
        <v>21.233333333333331</v>
      </c>
      <c r="AD403" s="117">
        <f t="shared" si="317"/>
        <v>8.5395701392608441</v>
      </c>
      <c r="AE403" s="117"/>
      <c r="AF403" s="447"/>
      <c r="AH403" s="115" t="s">
        <v>137</v>
      </c>
      <c r="AI403" s="113">
        <v>63</v>
      </c>
      <c r="AJ403" s="113">
        <v>62</v>
      </c>
      <c r="AK403" s="113">
        <v>61</v>
      </c>
      <c r="AL403" s="113">
        <v>72</v>
      </c>
      <c r="AM403" s="113">
        <v>60</v>
      </c>
      <c r="AN403" s="113">
        <v>51</v>
      </c>
      <c r="AO403" s="113">
        <v>66</v>
      </c>
      <c r="AP403" s="113">
        <v>60</v>
      </c>
      <c r="AQ403" s="113">
        <v>69</v>
      </c>
      <c r="AR403" s="113">
        <v>63</v>
      </c>
      <c r="AS403" s="113">
        <v>60</v>
      </c>
      <c r="AT403" s="113">
        <v>55</v>
      </c>
      <c r="AU403" s="113">
        <v>57</v>
      </c>
      <c r="AV403" s="113">
        <v>50</v>
      </c>
      <c r="AW403" s="113">
        <v>61</v>
      </c>
    </row>
    <row r="404" spans="1:54" s="113" customFormat="1">
      <c r="A404" s="113" t="s">
        <v>437</v>
      </c>
      <c r="B404" s="126" t="s">
        <v>547</v>
      </c>
      <c r="C404" s="114" t="s">
        <v>548</v>
      </c>
      <c r="D404" s="128" t="s">
        <v>111</v>
      </c>
      <c r="E404" s="127" t="s">
        <v>160</v>
      </c>
      <c r="F404" s="126" t="s">
        <v>549</v>
      </c>
      <c r="G404" s="126" t="s">
        <v>265</v>
      </c>
      <c r="H404" s="123">
        <v>806.66666666666663</v>
      </c>
      <c r="I404" s="125">
        <v>37.340000000000003</v>
      </c>
      <c r="J404" s="123">
        <v>30338</v>
      </c>
      <c r="K404" s="124">
        <v>0.01</v>
      </c>
      <c r="L404" s="123">
        <f t="shared" si="327"/>
        <v>30034.62</v>
      </c>
      <c r="M404" s="122">
        <f t="shared" si="328"/>
        <v>37.232999999999997</v>
      </c>
      <c r="N404" s="118"/>
      <c r="O404" s="118"/>
      <c r="P404" s="118"/>
      <c r="Q404" s="118"/>
      <c r="R404" s="118">
        <v>4.04</v>
      </c>
      <c r="S404" s="153">
        <v>7.32</v>
      </c>
      <c r="T404" s="153"/>
      <c r="V404" s="115"/>
      <c r="W404" s="115"/>
      <c r="X404" s="120">
        <v>0.35</v>
      </c>
      <c r="Y404" s="255"/>
      <c r="Z404" s="118">
        <v>0.4</v>
      </c>
      <c r="AA404" s="430">
        <v>46175</v>
      </c>
      <c r="AB404" s="117">
        <f t="shared" si="337"/>
        <v>54.333333333333336</v>
      </c>
      <c r="AC404" s="117">
        <f t="shared" si="329"/>
        <v>19.016666666666666</v>
      </c>
      <c r="AD404" s="117">
        <f t="shared" si="317"/>
        <v>7.6480765532940529</v>
      </c>
      <c r="AE404" s="117"/>
      <c r="AF404" s="447"/>
      <c r="AG404" s="175"/>
      <c r="AH404" s="115" t="s">
        <v>116</v>
      </c>
      <c r="AI404" s="113">
        <v>58</v>
      </c>
      <c r="AJ404" s="113">
        <v>60</v>
      </c>
      <c r="AK404" s="113">
        <v>59</v>
      </c>
      <c r="AL404" s="113">
        <v>63</v>
      </c>
      <c r="AM404" s="113">
        <v>46</v>
      </c>
      <c r="AN404" s="113">
        <v>64</v>
      </c>
      <c r="AO404" s="113">
        <v>49</v>
      </c>
      <c r="AP404" s="113">
        <v>53</v>
      </c>
      <c r="AQ404" s="113">
        <v>57</v>
      </c>
      <c r="AR404" s="113">
        <v>48</v>
      </c>
      <c r="AS404" s="113">
        <v>60</v>
      </c>
      <c r="AT404" s="113">
        <v>53</v>
      </c>
      <c r="AU404" s="113">
        <v>46</v>
      </c>
      <c r="AV404" s="113">
        <v>50</v>
      </c>
      <c r="AW404" s="113">
        <v>49</v>
      </c>
    </row>
    <row r="405" spans="1:54" s="113" customFormat="1">
      <c r="A405" s="113" t="s">
        <v>437</v>
      </c>
      <c r="B405" s="126" t="s">
        <v>547</v>
      </c>
      <c r="C405" s="114" t="s">
        <v>548</v>
      </c>
      <c r="D405" s="128" t="s">
        <v>111</v>
      </c>
      <c r="E405" s="127" t="s">
        <v>160</v>
      </c>
      <c r="F405" s="126" t="s">
        <v>549</v>
      </c>
      <c r="G405" s="126" t="s">
        <v>265</v>
      </c>
      <c r="H405" s="123">
        <v>806.66666666666663</v>
      </c>
      <c r="I405" s="125">
        <v>37.340000000000003</v>
      </c>
      <c r="J405" s="123">
        <v>30338</v>
      </c>
      <c r="K405" s="124">
        <v>0.01</v>
      </c>
      <c r="L405" s="123">
        <f t="shared" si="327"/>
        <v>30034.62</v>
      </c>
      <c r="M405" s="122">
        <f t="shared" si="328"/>
        <v>37.232999999999997</v>
      </c>
      <c r="N405" s="118"/>
      <c r="O405" s="118"/>
      <c r="P405" s="118"/>
      <c r="Q405" s="118"/>
      <c r="R405" s="118">
        <v>4.04</v>
      </c>
      <c r="S405" s="153">
        <v>7.32</v>
      </c>
      <c r="T405" s="153"/>
      <c r="V405" s="115"/>
      <c r="W405" s="115"/>
      <c r="X405" s="120">
        <v>0.35</v>
      </c>
      <c r="Y405" s="255"/>
      <c r="Z405" s="118">
        <v>0.4</v>
      </c>
      <c r="AA405" s="430"/>
      <c r="AB405" s="117" t="str">
        <f t="shared" si="337"/>
        <v/>
      </c>
      <c r="AC405" s="117" t="str">
        <f t="shared" si="329"/>
        <v/>
      </c>
      <c r="AD405" s="117" t="str">
        <f t="shared" si="317"/>
        <v/>
      </c>
      <c r="AE405" s="117"/>
      <c r="AF405" s="447"/>
      <c r="AG405" s="175"/>
      <c r="AH405" s="115"/>
    </row>
    <row r="406" spans="1:54" s="113" customFormat="1">
      <c r="A406" s="113" t="s">
        <v>437</v>
      </c>
      <c r="B406" s="126" t="s">
        <v>547</v>
      </c>
      <c r="C406" s="114" t="s">
        <v>548</v>
      </c>
      <c r="D406" s="128" t="s">
        <v>111</v>
      </c>
      <c r="E406" s="127" t="s">
        <v>160</v>
      </c>
      <c r="F406" s="126" t="s">
        <v>549</v>
      </c>
      <c r="G406" s="126" t="s">
        <v>265</v>
      </c>
      <c r="H406" s="123">
        <v>806.66666666666663</v>
      </c>
      <c r="I406" s="125">
        <v>37.340000000000003</v>
      </c>
      <c r="J406" s="123">
        <v>30338</v>
      </c>
      <c r="K406" s="124">
        <v>0.01</v>
      </c>
      <c r="L406" s="123">
        <f t="shared" si="327"/>
        <v>30034.62</v>
      </c>
      <c r="M406" s="122">
        <f t="shared" si="328"/>
        <v>37.232999999999997</v>
      </c>
      <c r="N406" s="118"/>
      <c r="O406" s="118"/>
      <c r="P406" s="118"/>
      <c r="Q406" s="118"/>
      <c r="R406" s="118">
        <v>4.04</v>
      </c>
      <c r="S406" s="153">
        <v>7.32</v>
      </c>
      <c r="T406" s="153"/>
      <c r="V406" s="115"/>
      <c r="W406" s="115"/>
      <c r="X406" s="120">
        <v>0.35</v>
      </c>
      <c r="Y406" s="255"/>
      <c r="Z406" s="118">
        <v>0.4</v>
      </c>
      <c r="AA406" s="430"/>
      <c r="AB406" s="117" t="str">
        <f t="shared" si="337"/>
        <v/>
      </c>
      <c r="AC406" s="117" t="str">
        <f t="shared" si="329"/>
        <v/>
      </c>
      <c r="AD406" s="117" t="str">
        <f t="shared" si="317"/>
        <v/>
      </c>
      <c r="AE406" s="117"/>
      <c r="AF406" s="447"/>
      <c r="AG406" s="175"/>
      <c r="AH406" s="115"/>
    </row>
    <row r="407" spans="1:54" s="296" customFormat="1">
      <c r="A407" s="296" t="s">
        <v>437</v>
      </c>
      <c r="B407" s="297" t="s">
        <v>550</v>
      </c>
      <c r="C407" s="298" t="s">
        <v>551</v>
      </c>
      <c r="D407" s="299" t="s">
        <v>111</v>
      </c>
      <c r="E407" s="300" t="s">
        <v>148</v>
      </c>
      <c r="F407" s="297">
        <v>30</v>
      </c>
      <c r="G407" s="297" t="s">
        <v>273</v>
      </c>
      <c r="H407" s="301">
        <v>726</v>
      </c>
      <c r="I407" s="302">
        <v>37.450000000000003</v>
      </c>
      <c r="J407" s="301">
        <v>27203</v>
      </c>
      <c r="K407" s="237">
        <v>5.0000000000000001E-3</v>
      </c>
      <c r="L407" s="301">
        <f t="shared" si="327"/>
        <v>27066.985000000001</v>
      </c>
      <c r="M407" s="303">
        <f t="shared" si="328"/>
        <v>37.282348484848484</v>
      </c>
      <c r="N407" s="304"/>
      <c r="O407" s="304"/>
      <c r="P407" s="304"/>
      <c r="Q407" s="304"/>
      <c r="R407" s="304">
        <v>5.04</v>
      </c>
      <c r="S407" s="305">
        <v>9.2799999999999994</v>
      </c>
      <c r="T407" s="305"/>
      <c r="U407" s="296" t="s">
        <v>365</v>
      </c>
      <c r="V407" s="306"/>
      <c r="W407" s="306"/>
      <c r="X407" s="307">
        <v>0.25</v>
      </c>
      <c r="Y407" s="307"/>
      <c r="Z407" s="304">
        <v>0.35</v>
      </c>
      <c r="AA407" s="431">
        <v>46119</v>
      </c>
      <c r="AB407" s="233">
        <v>96</v>
      </c>
      <c r="AC407" s="233">
        <f t="shared" si="329"/>
        <v>24</v>
      </c>
      <c r="AD407" s="233">
        <f t="shared" si="317"/>
        <v>8.67299919893191</v>
      </c>
      <c r="AE407" s="233"/>
      <c r="AF407" s="448"/>
      <c r="AH407" s="306" t="s">
        <v>137</v>
      </c>
    </row>
    <row r="408" spans="1:54" s="296" customFormat="1">
      <c r="A408" s="296" t="s">
        <v>437</v>
      </c>
      <c r="B408" s="297" t="s">
        <v>550</v>
      </c>
      <c r="C408" s="298" t="s">
        <v>551</v>
      </c>
      <c r="D408" s="299" t="s">
        <v>111</v>
      </c>
      <c r="E408" s="300" t="s">
        <v>148</v>
      </c>
      <c r="F408" s="297">
        <v>30</v>
      </c>
      <c r="G408" s="297" t="s">
        <v>273</v>
      </c>
      <c r="H408" s="301">
        <v>726</v>
      </c>
      <c r="I408" s="302">
        <v>37.450000000000003</v>
      </c>
      <c r="J408" s="301">
        <v>27203</v>
      </c>
      <c r="K408" s="237">
        <v>5.0000000000000001E-3</v>
      </c>
      <c r="L408" s="301">
        <f t="shared" si="327"/>
        <v>27066.985000000001</v>
      </c>
      <c r="M408" s="303">
        <f t="shared" si="328"/>
        <v>37.282348484848484</v>
      </c>
      <c r="N408" s="304"/>
      <c r="O408" s="304"/>
      <c r="P408" s="304"/>
      <c r="Q408" s="304"/>
      <c r="R408" s="304">
        <v>5.04</v>
      </c>
      <c r="S408" s="305">
        <v>9.2799999999999994</v>
      </c>
      <c r="T408" s="305"/>
      <c r="V408" s="306"/>
      <c r="W408" s="306"/>
      <c r="X408" s="307">
        <v>0.25</v>
      </c>
      <c r="Y408" s="307"/>
      <c r="Z408" s="304">
        <v>0.35</v>
      </c>
      <c r="AA408" s="431">
        <v>46171</v>
      </c>
      <c r="AB408" s="233">
        <f t="shared" ref="AB408:AB418" si="340">IFERROR(AVERAGE(AI408:BG408),"")</f>
        <v>98.933333333333337</v>
      </c>
      <c r="AC408" s="233">
        <f t="shared" si="329"/>
        <v>24.733333333333334</v>
      </c>
      <c r="AD408" s="233">
        <f t="shared" si="317"/>
        <v>8.9380075077881624</v>
      </c>
      <c r="AE408" s="233"/>
      <c r="AF408" s="448"/>
      <c r="AG408" s="296" t="s">
        <v>552</v>
      </c>
      <c r="AH408" s="306" t="s">
        <v>116</v>
      </c>
      <c r="AI408" s="296">
        <v>98</v>
      </c>
      <c r="AJ408" s="296">
        <v>108</v>
      </c>
      <c r="AK408" s="296">
        <v>89</v>
      </c>
      <c r="AL408" s="296">
        <v>93</v>
      </c>
      <c r="AM408" s="296">
        <v>100</v>
      </c>
      <c r="AN408" s="296">
        <v>98</v>
      </c>
      <c r="AO408" s="296">
        <v>91</v>
      </c>
      <c r="AP408" s="296">
        <v>105</v>
      </c>
      <c r="AQ408" s="296">
        <v>100</v>
      </c>
      <c r="AR408" s="296">
        <v>96</v>
      </c>
      <c r="AS408" s="296">
        <v>107</v>
      </c>
      <c r="AT408" s="296">
        <v>103</v>
      </c>
      <c r="AU408" s="296">
        <v>100</v>
      </c>
      <c r="AV408" s="296">
        <v>97</v>
      </c>
      <c r="AW408" s="296">
        <v>99</v>
      </c>
    </row>
    <row r="409" spans="1:54" s="296" customFormat="1">
      <c r="A409" s="296" t="s">
        <v>437</v>
      </c>
      <c r="B409" s="297" t="s">
        <v>550</v>
      </c>
      <c r="C409" s="298" t="s">
        <v>551</v>
      </c>
      <c r="D409" s="299" t="s">
        <v>111</v>
      </c>
      <c r="E409" s="300" t="s">
        <v>148</v>
      </c>
      <c r="F409" s="297">
        <v>30</v>
      </c>
      <c r="G409" s="297" t="s">
        <v>273</v>
      </c>
      <c r="H409" s="301">
        <v>726</v>
      </c>
      <c r="I409" s="302">
        <v>37.450000000000003</v>
      </c>
      <c r="J409" s="301">
        <v>27203</v>
      </c>
      <c r="K409" s="237">
        <v>5.0000000000000001E-3</v>
      </c>
      <c r="L409" s="301">
        <f t="shared" si="327"/>
        <v>27066.985000000001</v>
      </c>
      <c r="M409" s="303">
        <f t="shared" si="328"/>
        <v>37.282348484848484</v>
      </c>
      <c r="N409" s="304"/>
      <c r="O409" s="304"/>
      <c r="P409" s="304"/>
      <c r="Q409" s="304"/>
      <c r="R409" s="304">
        <v>5.04</v>
      </c>
      <c r="S409" s="305">
        <v>9.2799999999999994</v>
      </c>
      <c r="T409" s="305"/>
      <c r="V409" s="306"/>
      <c r="W409" s="306"/>
      <c r="X409" s="307">
        <v>0.25</v>
      </c>
      <c r="Y409" s="307"/>
      <c r="Z409" s="304">
        <v>0.35</v>
      </c>
      <c r="AA409" s="431"/>
      <c r="AB409" s="233" t="str">
        <f t="shared" si="340"/>
        <v/>
      </c>
      <c r="AC409" s="233" t="str">
        <f t="shared" si="329"/>
        <v/>
      </c>
      <c r="AD409" s="233" t="str">
        <f t="shared" si="317"/>
        <v/>
      </c>
      <c r="AE409" s="233"/>
      <c r="AF409" s="448"/>
      <c r="AH409" s="306"/>
    </row>
    <row r="410" spans="1:54" s="113" customFormat="1">
      <c r="A410" s="113" t="s">
        <v>437</v>
      </c>
      <c r="B410" s="126" t="s">
        <v>553</v>
      </c>
      <c r="C410" s="114" t="s">
        <v>554</v>
      </c>
      <c r="D410" s="128" t="s">
        <v>87</v>
      </c>
      <c r="E410" s="127" t="s">
        <v>156</v>
      </c>
      <c r="F410" s="126" t="s">
        <v>181</v>
      </c>
      <c r="G410" s="126" t="s">
        <v>475</v>
      </c>
      <c r="H410" s="123">
        <v>907.5</v>
      </c>
      <c r="I410" s="125">
        <v>9.75</v>
      </c>
      <c r="J410" s="123">
        <v>8809</v>
      </c>
      <c r="K410" s="124">
        <v>0.02</v>
      </c>
      <c r="L410" s="123">
        <f t="shared" si="327"/>
        <v>8632.82</v>
      </c>
      <c r="M410" s="122">
        <f t="shared" si="328"/>
        <v>9.5127493112947654</v>
      </c>
      <c r="N410" s="118">
        <v>9.32</v>
      </c>
      <c r="O410" s="118">
        <v>9.35</v>
      </c>
      <c r="P410" s="118">
        <v>6.75</v>
      </c>
      <c r="Q410" s="118">
        <v>6.54</v>
      </c>
      <c r="R410" s="118">
        <v>7.84</v>
      </c>
      <c r="S410" s="153">
        <v>10.01</v>
      </c>
      <c r="T410" s="153"/>
      <c r="V410" s="115"/>
      <c r="W410" s="115"/>
      <c r="X410" s="120">
        <v>0.35</v>
      </c>
      <c r="Y410" s="120"/>
      <c r="Z410" s="118">
        <v>0.32</v>
      </c>
      <c r="AA410" s="430">
        <v>46174</v>
      </c>
      <c r="AB410" s="117">
        <f t="shared" si="340"/>
        <v>40.866666666666667</v>
      </c>
      <c r="AC410" s="117">
        <f t="shared" si="329"/>
        <v>14.303333333333333</v>
      </c>
      <c r="AD410" s="117">
        <f t="shared" si="317"/>
        <v>6.3322103623931625</v>
      </c>
      <c r="AE410" s="117"/>
      <c r="AF410" s="447"/>
      <c r="AH410" s="115"/>
      <c r="AI410" s="113">
        <v>45</v>
      </c>
      <c r="AJ410" s="113">
        <v>39</v>
      </c>
      <c r="AK410" s="113">
        <v>43</v>
      </c>
      <c r="AL410" s="113">
        <v>40</v>
      </c>
      <c r="AM410" s="113">
        <v>34</v>
      </c>
      <c r="AN410" s="113">
        <v>47</v>
      </c>
      <c r="AO410" s="113">
        <v>40</v>
      </c>
      <c r="AP410" s="113">
        <v>39</v>
      </c>
      <c r="AQ410" s="113">
        <v>37</v>
      </c>
      <c r="AR410" s="113">
        <v>43</v>
      </c>
      <c r="AS410" s="113">
        <v>41</v>
      </c>
      <c r="AT410" s="113">
        <v>39</v>
      </c>
      <c r="AU410" s="113">
        <v>46</v>
      </c>
      <c r="AV410" s="113">
        <v>35</v>
      </c>
      <c r="AW410" s="113">
        <v>45</v>
      </c>
    </row>
    <row r="411" spans="1:54" s="113" customFormat="1">
      <c r="A411" s="113" t="s">
        <v>437</v>
      </c>
      <c r="B411" s="126" t="s">
        <v>553</v>
      </c>
      <c r="C411" s="114" t="s">
        <v>554</v>
      </c>
      <c r="D411" s="128" t="s">
        <v>87</v>
      </c>
      <c r="E411" s="127" t="s">
        <v>156</v>
      </c>
      <c r="F411" s="126" t="s">
        <v>181</v>
      </c>
      <c r="G411" s="126" t="s">
        <v>475</v>
      </c>
      <c r="H411" s="123">
        <v>907.5</v>
      </c>
      <c r="I411" s="125">
        <v>9.75</v>
      </c>
      <c r="J411" s="123">
        <v>8809</v>
      </c>
      <c r="K411" s="124">
        <v>0.02</v>
      </c>
      <c r="L411" s="123">
        <f t="shared" si="327"/>
        <v>8632.82</v>
      </c>
      <c r="M411" s="122">
        <f t="shared" si="328"/>
        <v>9.5127493112947654</v>
      </c>
      <c r="N411" s="118">
        <v>9.32</v>
      </c>
      <c r="O411" s="118">
        <v>9.35</v>
      </c>
      <c r="P411" s="118">
        <v>6.75</v>
      </c>
      <c r="Q411" s="118">
        <v>6.54</v>
      </c>
      <c r="R411" s="118">
        <v>7.84</v>
      </c>
      <c r="S411" s="153">
        <v>10.01</v>
      </c>
      <c r="T411" s="153"/>
      <c r="V411" s="115"/>
      <c r="W411" s="115"/>
      <c r="X411" s="120">
        <v>0.23</v>
      </c>
      <c r="Y411" s="120"/>
      <c r="Z411" s="118">
        <v>0.32</v>
      </c>
      <c r="AA411" s="430"/>
      <c r="AB411" s="117">
        <f t="shared" si="340"/>
        <v>73.1875</v>
      </c>
      <c r="AC411" s="117">
        <f t="shared" si="329"/>
        <v>16.833124999999999</v>
      </c>
      <c r="AD411" s="117">
        <f t="shared" si="317"/>
        <v>7.452171187820511</v>
      </c>
      <c r="AE411" s="117"/>
      <c r="AF411" s="447"/>
      <c r="AH411" s="115"/>
      <c r="AI411" s="113">
        <v>79</v>
      </c>
      <c r="AJ411" s="113">
        <v>70</v>
      </c>
      <c r="AK411" s="113">
        <v>88</v>
      </c>
      <c r="AL411" s="113">
        <v>74</v>
      </c>
      <c r="AM411" s="113">
        <v>72</v>
      </c>
      <c r="AN411" s="113">
        <v>62</v>
      </c>
      <c r="AO411" s="113">
        <v>74</v>
      </c>
      <c r="AP411" s="113">
        <v>73</v>
      </c>
      <c r="AQ411" s="113">
        <v>69</v>
      </c>
      <c r="AR411" s="113">
        <v>79</v>
      </c>
      <c r="AS411" s="113">
        <v>82</v>
      </c>
      <c r="AT411" s="113">
        <v>78</v>
      </c>
      <c r="AU411" s="113">
        <v>54</v>
      </c>
      <c r="AV411" s="113">
        <v>70</v>
      </c>
      <c r="AW411" s="113">
        <v>73</v>
      </c>
      <c r="AX411" s="113">
        <v>74</v>
      </c>
    </row>
    <row r="412" spans="1:54" s="296" customFormat="1">
      <c r="A412" s="296" t="s">
        <v>437</v>
      </c>
      <c r="B412" s="297" t="s">
        <v>555</v>
      </c>
      <c r="C412" s="298" t="s">
        <v>556</v>
      </c>
      <c r="D412" s="299" t="s">
        <v>87</v>
      </c>
      <c r="E412" s="300" t="s">
        <v>453</v>
      </c>
      <c r="F412" s="297" t="s">
        <v>557</v>
      </c>
      <c r="G412" s="297" t="s">
        <v>90</v>
      </c>
      <c r="H412" s="301">
        <v>605</v>
      </c>
      <c r="I412" s="302">
        <v>16.87</v>
      </c>
      <c r="J412" s="301">
        <v>10120</v>
      </c>
      <c r="K412" s="237"/>
      <c r="L412" s="301">
        <f t="shared" si="327"/>
        <v>10120</v>
      </c>
      <c r="M412" s="303">
        <f t="shared" si="328"/>
        <v>16.727272727272727</v>
      </c>
      <c r="N412" s="304">
        <v>13.26</v>
      </c>
      <c r="O412" s="304">
        <v>10.32</v>
      </c>
      <c r="P412" s="304">
        <v>14.85</v>
      </c>
      <c r="Q412" s="304">
        <v>13.89</v>
      </c>
      <c r="R412" s="304">
        <v>11.55</v>
      </c>
      <c r="S412" s="305">
        <v>5.53</v>
      </c>
      <c r="T412" s="305"/>
      <c r="U412" s="296" t="s">
        <v>106</v>
      </c>
      <c r="V412" s="306"/>
      <c r="W412" s="306"/>
      <c r="X412" s="307">
        <v>0.44</v>
      </c>
      <c r="Y412" s="307"/>
      <c r="Z412" s="304">
        <v>0.5</v>
      </c>
      <c r="AA412" s="431">
        <v>46112</v>
      </c>
      <c r="AB412" s="233">
        <f t="shared" si="340"/>
        <v>58.07692307692308</v>
      </c>
      <c r="AC412" s="233">
        <f t="shared" si="329"/>
        <v>25.553846153846155</v>
      </c>
      <c r="AD412" s="233">
        <f t="shared" si="317"/>
        <v>7.6646390953444898</v>
      </c>
      <c r="AE412" s="233"/>
      <c r="AF412" s="448"/>
      <c r="AH412" s="306" t="s">
        <v>165</v>
      </c>
      <c r="AI412" s="296">
        <v>64</v>
      </c>
      <c r="AJ412" s="296">
        <v>50</v>
      </c>
      <c r="AK412" s="296">
        <v>62</v>
      </c>
      <c r="AL412" s="296">
        <v>58</v>
      </c>
      <c r="AM412" s="296">
        <v>61</v>
      </c>
      <c r="AN412" s="296">
        <v>56</v>
      </c>
      <c r="AO412" s="296">
        <v>50</v>
      </c>
      <c r="AP412" s="296">
        <v>57</v>
      </c>
      <c r="AQ412" s="296">
        <v>50</v>
      </c>
      <c r="AR412" s="296">
        <v>59</v>
      </c>
      <c r="AS412" s="296">
        <v>70</v>
      </c>
      <c r="AT412" s="296">
        <v>57</v>
      </c>
      <c r="AU412" s="296">
        <v>61</v>
      </c>
    </row>
    <row r="413" spans="1:54" s="296" customFormat="1">
      <c r="A413" s="296" t="s">
        <v>437</v>
      </c>
      <c r="B413" s="297" t="s">
        <v>555</v>
      </c>
      <c r="C413" s="298" t="s">
        <v>556</v>
      </c>
      <c r="D413" s="299" t="s">
        <v>87</v>
      </c>
      <c r="E413" s="300" t="s">
        <v>453</v>
      </c>
      <c r="F413" s="297" t="s">
        <v>557</v>
      </c>
      <c r="G413" s="297" t="s">
        <v>90</v>
      </c>
      <c r="H413" s="301">
        <v>605</v>
      </c>
      <c r="I413" s="302">
        <v>16.87</v>
      </c>
      <c r="J413" s="301">
        <v>10120</v>
      </c>
      <c r="K413" s="237"/>
      <c r="L413" s="301">
        <f t="shared" si="327"/>
        <v>10120</v>
      </c>
      <c r="M413" s="303">
        <f t="shared" si="328"/>
        <v>16.727272727272727</v>
      </c>
      <c r="N413" s="304">
        <v>13.26</v>
      </c>
      <c r="O413" s="304">
        <v>10.32</v>
      </c>
      <c r="P413" s="304">
        <v>14.85</v>
      </c>
      <c r="Q413" s="304">
        <v>13.89</v>
      </c>
      <c r="R413" s="304">
        <v>11.55</v>
      </c>
      <c r="S413" s="305">
        <v>5.53</v>
      </c>
      <c r="T413" s="305"/>
      <c r="V413" s="306"/>
      <c r="W413" s="306"/>
      <c r="X413" s="307">
        <v>0.44</v>
      </c>
      <c r="Y413" s="307"/>
      <c r="Z413" s="304">
        <v>0.5</v>
      </c>
      <c r="AA413" s="431">
        <v>46183</v>
      </c>
      <c r="AB413" s="233">
        <f t="shared" si="340"/>
        <v>40.6</v>
      </c>
      <c r="AC413" s="233">
        <f t="shared" si="329"/>
        <v>17.864000000000001</v>
      </c>
      <c r="AD413" s="233">
        <f t="shared" si="317"/>
        <v>5.3581410788381749</v>
      </c>
      <c r="AE413" s="233"/>
      <c r="AF413" s="448"/>
      <c r="AG413" s="308"/>
      <c r="AH413" s="306" t="s">
        <v>116</v>
      </c>
      <c r="AI413" s="296">
        <v>46</v>
      </c>
      <c r="AJ413" s="296">
        <v>40</v>
      </c>
      <c r="AK413" s="296">
        <v>43</v>
      </c>
      <c r="AL413" s="296">
        <v>39</v>
      </c>
      <c r="AM413" s="296">
        <v>48</v>
      </c>
      <c r="AN413" s="296">
        <v>38</v>
      </c>
      <c r="AO413" s="296">
        <v>38</v>
      </c>
      <c r="AP413" s="296">
        <v>49</v>
      </c>
      <c r="AQ413" s="296">
        <v>46</v>
      </c>
      <c r="AR413" s="296">
        <v>46</v>
      </c>
      <c r="AS413" s="296">
        <v>49</v>
      </c>
      <c r="AT413" s="296">
        <v>38</v>
      </c>
      <c r="AU413" s="296">
        <v>37</v>
      </c>
      <c r="AV413" s="296">
        <v>40</v>
      </c>
      <c r="AW413" s="296">
        <v>39</v>
      </c>
      <c r="AX413" s="296">
        <v>38</v>
      </c>
      <c r="AY413" s="296">
        <v>36</v>
      </c>
      <c r="AZ413" s="296">
        <v>40</v>
      </c>
      <c r="BA413" s="296">
        <v>31</v>
      </c>
      <c r="BB413" s="296">
        <v>31</v>
      </c>
    </row>
    <row r="414" spans="1:54" s="296" customFormat="1">
      <c r="A414" s="296" t="s">
        <v>437</v>
      </c>
      <c r="B414" s="297" t="s">
        <v>555</v>
      </c>
      <c r="C414" s="298" t="s">
        <v>556</v>
      </c>
      <c r="D414" s="299" t="s">
        <v>87</v>
      </c>
      <c r="E414" s="300" t="s">
        <v>453</v>
      </c>
      <c r="F414" s="297" t="s">
        <v>557</v>
      </c>
      <c r="G414" s="297" t="s">
        <v>90</v>
      </c>
      <c r="H414" s="301">
        <v>605</v>
      </c>
      <c r="I414" s="302">
        <v>16.87</v>
      </c>
      <c r="J414" s="301">
        <v>10120</v>
      </c>
      <c r="K414" s="237"/>
      <c r="L414" s="301">
        <f t="shared" si="327"/>
        <v>10120</v>
      </c>
      <c r="M414" s="303">
        <f t="shared" si="328"/>
        <v>16.727272727272727</v>
      </c>
      <c r="N414" s="304">
        <v>13.26</v>
      </c>
      <c r="O414" s="304">
        <v>10.32</v>
      </c>
      <c r="P414" s="304">
        <v>14.85</v>
      </c>
      <c r="Q414" s="304">
        <v>13.89</v>
      </c>
      <c r="R414" s="304">
        <v>11.55</v>
      </c>
      <c r="S414" s="305">
        <v>5.53</v>
      </c>
      <c r="T414" s="305"/>
      <c r="V414" s="306"/>
      <c r="W414" s="306"/>
      <c r="X414" s="307">
        <v>0.44</v>
      </c>
      <c r="Y414" s="307"/>
      <c r="Z414" s="304">
        <v>0.5</v>
      </c>
      <c r="AA414" s="431"/>
      <c r="AB414" s="233" t="str">
        <f t="shared" si="340"/>
        <v/>
      </c>
      <c r="AC414" s="233" t="str">
        <f t="shared" si="329"/>
        <v/>
      </c>
      <c r="AD414" s="233" t="str">
        <f t="shared" si="317"/>
        <v/>
      </c>
      <c r="AE414" s="233"/>
      <c r="AF414" s="448"/>
      <c r="AG414" s="308"/>
      <c r="AH414" s="306"/>
    </row>
    <row r="415" spans="1:54" s="113" customFormat="1">
      <c r="A415" s="113" t="s">
        <v>437</v>
      </c>
      <c r="B415" s="126" t="s">
        <v>558</v>
      </c>
      <c r="C415" s="114" t="s">
        <v>559</v>
      </c>
      <c r="D415" s="128" t="s">
        <v>87</v>
      </c>
      <c r="E415" s="127" t="s">
        <v>169</v>
      </c>
      <c r="F415" s="126" t="s">
        <v>181</v>
      </c>
      <c r="G415" s="126" t="s">
        <v>90</v>
      </c>
      <c r="H415" s="123">
        <v>605</v>
      </c>
      <c r="I415" s="125">
        <v>19.71</v>
      </c>
      <c r="J415" s="123">
        <v>11744</v>
      </c>
      <c r="K415" s="124"/>
      <c r="L415" s="123">
        <f t="shared" si="327"/>
        <v>11744</v>
      </c>
      <c r="M415" s="122">
        <f t="shared" si="328"/>
        <v>19.411570247933884</v>
      </c>
      <c r="N415" s="118">
        <v>6.77</v>
      </c>
      <c r="O415" s="118">
        <v>7.11</v>
      </c>
      <c r="P415" s="118">
        <v>8.7200000000000006</v>
      </c>
      <c r="Q415" s="118">
        <v>6.5</v>
      </c>
      <c r="R415" s="118">
        <v>7.32</v>
      </c>
      <c r="S415" s="153">
        <v>6.2</v>
      </c>
      <c r="T415" s="153"/>
      <c r="V415" s="115"/>
      <c r="W415" s="115"/>
      <c r="X415" s="120">
        <v>0.34</v>
      </c>
      <c r="Y415" s="120"/>
      <c r="Z415" s="118">
        <v>0.34</v>
      </c>
      <c r="AA415" s="430"/>
      <c r="AB415" s="117" t="str">
        <f t="shared" si="340"/>
        <v/>
      </c>
      <c r="AC415" s="117" t="str">
        <f t="shared" si="329"/>
        <v/>
      </c>
      <c r="AD415" s="117" t="str">
        <f t="shared" si="317"/>
        <v/>
      </c>
      <c r="AE415" s="117"/>
      <c r="AF415" s="447"/>
      <c r="AH415" s="115"/>
    </row>
    <row r="416" spans="1:54" s="296" customFormat="1">
      <c r="A416" s="296" t="s">
        <v>437</v>
      </c>
      <c r="B416" s="297" t="s">
        <v>560</v>
      </c>
      <c r="C416" s="298" t="s">
        <v>561</v>
      </c>
      <c r="D416" s="299" t="s">
        <v>87</v>
      </c>
      <c r="E416" s="300" t="s">
        <v>546</v>
      </c>
      <c r="F416" s="297" t="s">
        <v>181</v>
      </c>
      <c r="G416" s="297" t="s">
        <v>90</v>
      </c>
      <c r="H416" s="301">
        <v>605</v>
      </c>
      <c r="I416" s="302">
        <v>16.13</v>
      </c>
      <c r="J416" s="301">
        <v>9777</v>
      </c>
      <c r="K416" s="237">
        <v>0.02</v>
      </c>
      <c r="L416" s="301">
        <f t="shared" si="327"/>
        <v>9581.4599999999991</v>
      </c>
      <c r="M416" s="303">
        <f t="shared" si="328"/>
        <v>15.837123966942148</v>
      </c>
      <c r="N416" s="304">
        <v>8.5500000000000007</v>
      </c>
      <c r="O416" s="304">
        <v>7.57</v>
      </c>
      <c r="P416" s="304">
        <v>11</v>
      </c>
      <c r="Q416" s="304">
        <v>9.99</v>
      </c>
      <c r="R416" s="304">
        <v>11.7</v>
      </c>
      <c r="S416" s="305">
        <v>7.92</v>
      </c>
      <c r="T416" s="305">
        <v>6.39</v>
      </c>
      <c r="V416" s="306"/>
      <c r="W416" s="306"/>
      <c r="X416" s="307">
        <v>0.2</v>
      </c>
      <c r="Y416" s="307"/>
      <c r="Z416" s="304">
        <v>0.3</v>
      </c>
      <c r="AA416" s="431">
        <v>46111</v>
      </c>
      <c r="AB416" s="233">
        <f t="shared" si="340"/>
        <v>98.2</v>
      </c>
      <c r="AC416" s="233">
        <f t="shared" si="329"/>
        <v>19.64</v>
      </c>
      <c r="AD416" s="233">
        <f t="shared" si="317"/>
        <v>5.8332261128332297</v>
      </c>
      <c r="AE416" s="233"/>
      <c r="AF416" s="448"/>
      <c r="AH416" s="306" t="s">
        <v>137</v>
      </c>
      <c r="AI416" s="296">
        <v>112</v>
      </c>
      <c r="AJ416" s="296">
        <v>103</v>
      </c>
      <c r="AK416" s="296">
        <v>96</v>
      </c>
      <c r="AL416" s="296">
        <v>121</v>
      </c>
      <c r="AM416" s="296">
        <v>128</v>
      </c>
      <c r="AN416" s="296">
        <v>111</v>
      </c>
      <c r="AO416" s="296">
        <v>87</v>
      </c>
      <c r="AP416" s="296">
        <v>99</v>
      </c>
      <c r="AQ416" s="296">
        <v>76</v>
      </c>
      <c r="AR416" s="296">
        <v>85</v>
      </c>
      <c r="AS416" s="296">
        <v>103</v>
      </c>
      <c r="AT416" s="296">
        <v>119</v>
      </c>
      <c r="AU416" s="296">
        <v>103</v>
      </c>
      <c r="AV416" s="296">
        <v>78</v>
      </c>
      <c r="AW416" s="296">
        <v>81</v>
      </c>
      <c r="AX416" s="296">
        <v>73</v>
      </c>
      <c r="AY416" s="296">
        <v>90</v>
      </c>
      <c r="AZ416" s="296">
        <v>101</v>
      </c>
      <c r="BA416" s="296">
        <v>93</v>
      </c>
      <c r="BB416" s="296">
        <v>105</v>
      </c>
    </row>
    <row r="417" spans="1:64" s="296" customFormat="1">
      <c r="A417" s="296" t="s">
        <v>437</v>
      </c>
      <c r="B417" s="297" t="s">
        <v>560</v>
      </c>
      <c r="C417" s="298" t="s">
        <v>561</v>
      </c>
      <c r="D417" s="299" t="s">
        <v>87</v>
      </c>
      <c r="E417" s="300" t="s">
        <v>546</v>
      </c>
      <c r="F417" s="297" t="s">
        <v>181</v>
      </c>
      <c r="G417" s="297" t="s">
        <v>90</v>
      </c>
      <c r="H417" s="301">
        <v>605</v>
      </c>
      <c r="I417" s="302">
        <v>16.13</v>
      </c>
      <c r="J417" s="301">
        <v>9777</v>
      </c>
      <c r="K417" s="237">
        <v>0.02</v>
      </c>
      <c r="L417" s="301">
        <f t="shared" si="327"/>
        <v>9581.4599999999991</v>
      </c>
      <c r="M417" s="303">
        <f t="shared" si="328"/>
        <v>15.837123966942148</v>
      </c>
      <c r="N417" s="304">
        <v>8.5500000000000007</v>
      </c>
      <c r="O417" s="304">
        <v>7.57</v>
      </c>
      <c r="P417" s="304">
        <v>11</v>
      </c>
      <c r="Q417" s="304">
        <v>9.99</v>
      </c>
      <c r="R417" s="304">
        <v>11.7</v>
      </c>
      <c r="S417" s="305">
        <v>7.92</v>
      </c>
      <c r="T417" s="305">
        <v>6.39</v>
      </c>
      <c r="V417" s="306"/>
      <c r="W417" s="306"/>
      <c r="X417" s="307">
        <v>0.2</v>
      </c>
      <c r="Y417" s="307"/>
      <c r="Z417" s="304">
        <v>0.3</v>
      </c>
      <c r="AA417" s="431">
        <v>46115</v>
      </c>
      <c r="AB417" s="233">
        <f t="shared" si="340"/>
        <v>118</v>
      </c>
      <c r="AC417" s="233">
        <f t="shared" si="329"/>
        <v>23.6</v>
      </c>
      <c r="AD417" s="233">
        <f t="shared" si="317"/>
        <v>7.0093755734655927</v>
      </c>
      <c r="AE417" s="233"/>
      <c r="AF417" s="448"/>
      <c r="AH417" s="306" t="s">
        <v>91</v>
      </c>
      <c r="AI417" s="296">
        <v>98</v>
      </c>
      <c r="AJ417" s="296">
        <v>109</v>
      </c>
      <c r="AK417" s="296">
        <v>124</v>
      </c>
      <c r="AL417" s="296">
        <v>101</v>
      </c>
      <c r="AM417" s="296">
        <v>140</v>
      </c>
      <c r="AN417" s="296">
        <v>83</v>
      </c>
      <c r="AO417" s="296">
        <v>98</v>
      </c>
      <c r="AP417" s="296">
        <v>157</v>
      </c>
      <c r="AQ417" s="296">
        <v>116</v>
      </c>
      <c r="AR417" s="296">
        <v>106</v>
      </c>
      <c r="AS417" s="296">
        <v>104</v>
      </c>
      <c r="AT417" s="296">
        <v>142</v>
      </c>
      <c r="AU417" s="296">
        <v>141</v>
      </c>
      <c r="AV417" s="296">
        <v>156</v>
      </c>
      <c r="AW417" s="296">
        <v>116</v>
      </c>
      <c r="AX417" s="296">
        <v>142</v>
      </c>
      <c r="AY417" s="296">
        <v>123</v>
      </c>
      <c r="AZ417" s="296">
        <v>95</v>
      </c>
      <c r="BA417" s="296">
        <v>105</v>
      </c>
      <c r="BB417" s="296">
        <v>104</v>
      </c>
    </row>
    <row r="418" spans="1:64" s="296" customFormat="1">
      <c r="A418" s="296" t="s">
        <v>437</v>
      </c>
      <c r="B418" s="297" t="s">
        <v>560</v>
      </c>
      <c r="C418" s="298" t="s">
        <v>561</v>
      </c>
      <c r="D418" s="299" t="s">
        <v>87</v>
      </c>
      <c r="E418" s="300" t="s">
        <v>546</v>
      </c>
      <c r="F418" s="297" t="s">
        <v>181</v>
      </c>
      <c r="G418" s="297" t="s">
        <v>90</v>
      </c>
      <c r="H418" s="301">
        <v>605</v>
      </c>
      <c r="I418" s="302">
        <v>16.13</v>
      </c>
      <c r="J418" s="301">
        <v>9777</v>
      </c>
      <c r="K418" s="237">
        <v>0.02</v>
      </c>
      <c r="L418" s="301">
        <f t="shared" ref="L418" si="341">J418-(J418*K418)</f>
        <v>9581.4599999999991</v>
      </c>
      <c r="M418" s="303">
        <f t="shared" ref="M418" si="342">L418/H418</f>
        <v>15.837123966942148</v>
      </c>
      <c r="N418" s="304">
        <v>8.5500000000000007</v>
      </c>
      <c r="O418" s="304">
        <v>7.57</v>
      </c>
      <c r="P418" s="304">
        <v>11</v>
      </c>
      <c r="Q418" s="304">
        <v>9.99</v>
      </c>
      <c r="R418" s="304">
        <v>11.7</v>
      </c>
      <c r="S418" s="305">
        <v>7.92</v>
      </c>
      <c r="T418" s="305">
        <v>6.39</v>
      </c>
      <c r="V418" s="306"/>
      <c r="W418" s="306"/>
      <c r="X418" s="307">
        <v>0.2</v>
      </c>
      <c r="Y418" s="307"/>
      <c r="Z418" s="304">
        <v>0.3</v>
      </c>
      <c r="AA418" s="431">
        <v>46169</v>
      </c>
      <c r="AB418" s="233">
        <f t="shared" si="340"/>
        <v>75.36</v>
      </c>
      <c r="AC418" s="233">
        <f t="shared" ref="AC418" si="343">IFERROR(AB418*X418,"")</f>
        <v>15.072000000000001</v>
      </c>
      <c r="AD418" s="233">
        <f t="shared" ref="AD418" si="344">IFERROR(((AC418*L418)/2000)/I418,"")</f>
        <v>4.4764961289522622</v>
      </c>
      <c r="AE418" s="233"/>
      <c r="AF418" s="448"/>
      <c r="AG418" s="296" t="s">
        <v>562</v>
      </c>
      <c r="AH418" s="306" t="s">
        <v>165</v>
      </c>
      <c r="AI418" s="296">
        <v>93</v>
      </c>
      <c r="AJ418" s="296">
        <v>62</v>
      </c>
      <c r="AK418" s="296">
        <v>62</v>
      </c>
      <c r="AL418" s="296">
        <v>78</v>
      </c>
      <c r="AM418" s="296">
        <v>75</v>
      </c>
      <c r="AN418" s="296">
        <v>72</v>
      </c>
      <c r="AO418" s="296">
        <v>76</v>
      </c>
      <c r="AP418" s="296">
        <v>79</v>
      </c>
      <c r="AQ418" s="296">
        <v>73</v>
      </c>
      <c r="AR418" s="296">
        <v>79</v>
      </c>
      <c r="AS418" s="296">
        <v>77</v>
      </c>
      <c r="AT418" s="296">
        <v>74</v>
      </c>
      <c r="AU418" s="296">
        <v>63</v>
      </c>
      <c r="AV418" s="296">
        <v>83</v>
      </c>
      <c r="AW418" s="296">
        <v>68</v>
      </c>
      <c r="AX418" s="296">
        <v>70</v>
      </c>
      <c r="AY418" s="296">
        <v>63</v>
      </c>
      <c r="AZ418" s="296">
        <v>80</v>
      </c>
      <c r="BA418" s="296">
        <v>71</v>
      </c>
      <c r="BB418" s="296">
        <v>74</v>
      </c>
      <c r="BC418" s="296">
        <v>78</v>
      </c>
      <c r="BD418" s="296">
        <v>80</v>
      </c>
      <c r="BE418" s="296">
        <v>84</v>
      </c>
      <c r="BF418" s="296">
        <v>79</v>
      </c>
      <c r="BG418" s="296">
        <v>91</v>
      </c>
      <c r="BH418" s="296">
        <v>63</v>
      </c>
      <c r="BI418" s="296">
        <v>61</v>
      </c>
      <c r="BJ418" s="296">
        <v>79</v>
      </c>
      <c r="BK418" s="296">
        <v>80</v>
      </c>
      <c r="BL418" s="296">
        <v>94</v>
      </c>
    </row>
    <row r="419" spans="1:64" s="296" customFormat="1">
      <c r="B419" s="297"/>
      <c r="C419" s="298"/>
      <c r="D419" s="299"/>
      <c r="E419" s="300"/>
      <c r="F419" s="297"/>
      <c r="G419" s="297"/>
      <c r="H419" s="301"/>
      <c r="I419" s="302"/>
      <c r="J419" s="301"/>
      <c r="K419" s="237"/>
      <c r="L419" s="301"/>
      <c r="M419" s="303"/>
      <c r="N419" s="304"/>
      <c r="O419" s="304"/>
      <c r="P419" s="304"/>
      <c r="Q419" s="304"/>
      <c r="R419" s="304"/>
      <c r="S419" s="305"/>
      <c r="T419" s="305"/>
      <c r="V419" s="306"/>
      <c r="W419" s="306"/>
      <c r="X419" s="307"/>
      <c r="Y419" s="307"/>
      <c r="Z419" s="304"/>
      <c r="AA419" s="431"/>
      <c r="AB419" s="233"/>
      <c r="AC419" s="233"/>
      <c r="AD419" s="233"/>
      <c r="AE419" s="233"/>
      <c r="AF419" s="448"/>
      <c r="AH419" s="306"/>
    </row>
    <row r="420" spans="1:64" s="113" customFormat="1">
      <c r="A420" s="113" t="s">
        <v>437</v>
      </c>
      <c r="B420" s="126" t="s">
        <v>563</v>
      </c>
      <c r="C420" s="114" t="s">
        <v>564</v>
      </c>
      <c r="D420" s="128" t="s">
        <v>87</v>
      </c>
      <c r="E420" s="127" t="s">
        <v>546</v>
      </c>
      <c r="F420" s="126" t="s">
        <v>181</v>
      </c>
      <c r="G420" s="126" t="s">
        <v>565</v>
      </c>
      <c r="H420" s="123">
        <v>777.85714285714289</v>
      </c>
      <c r="I420" s="125">
        <v>11.78</v>
      </c>
      <c r="J420" s="123">
        <v>9125</v>
      </c>
      <c r="K420" s="124">
        <v>0.05</v>
      </c>
      <c r="L420" s="123">
        <f t="shared" si="327"/>
        <v>8668.75</v>
      </c>
      <c r="M420" s="122">
        <f t="shared" si="328"/>
        <v>11.144398530762167</v>
      </c>
      <c r="N420" s="118">
        <v>8.5500000000000007</v>
      </c>
      <c r="O420" s="118">
        <v>7.57</v>
      </c>
      <c r="P420" s="118">
        <v>11</v>
      </c>
      <c r="Q420" s="118">
        <v>9.99</v>
      </c>
      <c r="R420" s="118">
        <v>10.75</v>
      </c>
      <c r="S420" s="153">
        <v>7.92</v>
      </c>
      <c r="T420" s="153">
        <v>7.95</v>
      </c>
      <c r="V420" s="115"/>
      <c r="W420" s="115"/>
      <c r="X420" s="120">
        <v>0.21</v>
      </c>
      <c r="Y420" s="120"/>
      <c r="Z420" s="118">
        <v>0.3</v>
      </c>
      <c r="AA420" s="430">
        <v>46115</v>
      </c>
      <c r="AB420" s="117">
        <f>IFERROR(AVERAGE(AI420:BG420),"")</f>
        <v>120.35</v>
      </c>
      <c r="AC420" s="117">
        <f t="shared" si="329"/>
        <v>25.273499999999999</v>
      </c>
      <c r="AD420" s="117">
        <f t="shared" si="317"/>
        <v>9.29922127016129</v>
      </c>
      <c r="AE420" s="117"/>
      <c r="AF420" s="447"/>
      <c r="AH420" s="115" t="s">
        <v>91</v>
      </c>
      <c r="AI420" s="113">
        <v>131</v>
      </c>
      <c r="AJ420" s="113">
        <v>134</v>
      </c>
      <c r="AK420" s="113">
        <v>120</v>
      </c>
      <c r="AL420" s="113">
        <v>131</v>
      </c>
      <c r="AM420" s="113">
        <v>107</v>
      </c>
      <c r="AN420" s="113">
        <v>120</v>
      </c>
      <c r="AO420" s="113">
        <v>110</v>
      </c>
      <c r="AP420" s="113">
        <v>135</v>
      </c>
      <c r="AQ420" s="113">
        <v>99</v>
      </c>
      <c r="AR420" s="113">
        <v>110</v>
      </c>
      <c r="AS420" s="113">
        <v>131</v>
      </c>
      <c r="AT420" s="113">
        <v>133</v>
      </c>
      <c r="AU420" s="113">
        <v>137</v>
      </c>
      <c r="AV420" s="113">
        <v>140</v>
      </c>
      <c r="AW420" s="113">
        <v>133</v>
      </c>
      <c r="AX420" s="113">
        <v>97</v>
      </c>
      <c r="AY420" s="113">
        <v>113</v>
      </c>
      <c r="AZ420" s="113">
        <v>122</v>
      </c>
      <c r="BA420" s="113">
        <v>107</v>
      </c>
      <c r="BB420" s="113">
        <v>97</v>
      </c>
    </row>
    <row r="421" spans="1:64" s="113" customFormat="1">
      <c r="A421" s="113" t="s">
        <v>437</v>
      </c>
      <c r="B421" s="126" t="s">
        <v>563</v>
      </c>
      <c r="C421" s="114" t="s">
        <v>564</v>
      </c>
      <c r="D421" s="128" t="s">
        <v>87</v>
      </c>
      <c r="E421" s="127" t="s">
        <v>546</v>
      </c>
      <c r="F421" s="126" t="s">
        <v>181</v>
      </c>
      <c r="G421" s="126" t="s">
        <v>565</v>
      </c>
      <c r="H421" s="123">
        <v>777.85714285714289</v>
      </c>
      <c r="I421" s="125">
        <v>11.78</v>
      </c>
      <c r="J421" s="123">
        <v>9125</v>
      </c>
      <c r="K421" s="124">
        <v>0.05</v>
      </c>
      <c r="L421" s="123">
        <f t="shared" si="327"/>
        <v>8668.75</v>
      </c>
      <c r="M421" s="122">
        <f t="shared" si="328"/>
        <v>11.144398530762167</v>
      </c>
      <c r="N421" s="118">
        <v>8.5500000000000007</v>
      </c>
      <c r="O421" s="118">
        <v>7.57</v>
      </c>
      <c r="P421" s="118">
        <v>11</v>
      </c>
      <c r="Q421" s="118">
        <v>9.99</v>
      </c>
      <c r="R421" s="118">
        <v>10.75</v>
      </c>
      <c r="S421" s="153">
        <v>7.92</v>
      </c>
      <c r="T421" s="153">
        <v>7.95</v>
      </c>
      <c r="V421" s="115"/>
      <c r="W421" s="115"/>
      <c r="X421" s="120">
        <v>0.21</v>
      </c>
      <c r="Y421" s="120"/>
      <c r="Z421" s="118">
        <v>0.3</v>
      </c>
      <c r="AA421" s="430">
        <v>46169</v>
      </c>
      <c r="AB421" s="117">
        <v>90</v>
      </c>
      <c r="AC421" s="117">
        <f t="shared" si="329"/>
        <v>18.899999999999999</v>
      </c>
      <c r="AD421" s="117">
        <f t="shared" si="317"/>
        <v>6.954133064516129</v>
      </c>
      <c r="AE421" s="117"/>
      <c r="AF421" s="447"/>
      <c r="AG421" s="15" t="s">
        <v>566</v>
      </c>
      <c r="AH421" s="115" t="s">
        <v>165</v>
      </c>
      <c r="AI421" s="113">
        <v>84</v>
      </c>
      <c r="AJ421" s="113">
        <v>93</v>
      </c>
      <c r="AK421" s="113">
        <v>94</v>
      </c>
      <c r="AL421" s="113">
        <v>96</v>
      </c>
      <c r="AM421" s="113">
        <v>69</v>
      </c>
      <c r="AN421" s="113">
        <v>88</v>
      </c>
      <c r="AO421" s="113">
        <v>78</v>
      </c>
      <c r="AP421" s="113">
        <v>98</v>
      </c>
      <c r="AQ421" s="113">
        <v>89</v>
      </c>
      <c r="AR421" s="113">
        <v>90</v>
      </c>
      <c r="AS421" s="113">
        <v>73</v>
      </c>
      <c r="AT421" s="113">
        <v>77</v>
      </c>
      <c r="AU421" s="113">
        <v>85</v>
      </c>
      <c r="AV421" s="113">
        <v>93</v>
      </c>
      <c r="AW421" s="113">
        <v>82</v>
      </c>
    </row>
    <row r="422" spans="1:64" s="113" customFormat="1">
      <c r="B422" s="126"/>
      <c r="C422" s="114"/>
      <c r="D422" s="128"/>
      <c r="E422" s="127"/>
      <c r="F422" s="126"/>
      <c r="G422" s="126"/>
      <c r="H422" s="123"/>
      <c r="I422" s="125"/>
      <c r="J422" s="123"/>
      <c r="K422" s="124"/>
      <c r="L422" s="123"/>
      <c r="M422" s="122"/>
      <c r="N422" s="118"/>
      <c r="O422" s="118"/>
      <c r="P422" s="118"/>
      <c r="Q422" s="118"/>
      <c r="R422" s="118"/>
      <c r="S422" s="153"/>
      <c r="T422" s="153"/>
      <c r="V422" s="115"/>
      <c r="W422" s="115"/>
      <c r="X422" s="120"/>
      <c r="Y422" s="120"/>
      <c r="Z422" s="118"/>
      <c r="AA422" s="430"/>
      <c r="AB422" s="117"/>
      <c r="AC422" s="117"/>
      <c r="AD422" s="117"/>
      <c r="AE422" s="117"/>
      <c r="AF422" s="447"/>
      <c r="AH422" s="115"/>
    </row>
    <row r="423" spans="1:64" s="296" customFormat="1">
      <c r="A423" s="296" t="s">
        <v>437</v>
      </c>
      <c r="B423" s="297" t="s">
        <v>567</v>
      </c>
      <c r="C423" s="298" t="s">
        <v>568</v>
      </c>
      <c r="D423" s="299" t="s">
        <v>87</v>
      </c>
      <c r="E423" s="300" t="s">
        <v>88</v>
      </c>
      <c r="F423" s="297" t="s">
        <v>170</v>
      </c>
      <c r="G423" s="297" t="s">
        <v>170</v>
      </c>
      <c r="H423" s="301">
        <v>726</v>
      </c>
      <c r="I423" s="302">
        <v>83.49</v>
      </c>
      <c r="J423" s="301">
        <v>59411</v>
      </c>
      <c r="K423" s="237"/>
      <c r="L423" s="301">
        <f t="shared" si="327"/>
        <v>59411</v>
      </c>
      <c r="M423" s="303">
        <f t="shared" si="328"/>
        <v>81.833333333333329</v>
      </c>
      <c r="N423" s="304"/>
      <c r="O423" s="304">
        <v>4.16</v>
      </c>
      <c r="P423" s="304">
        <v>8.18</v>
      </c>
      <c r="Q423" s="304">
        <v>7.22</v>
      </c>
      <c r="R423" s="304">
        <v>11.51</v>
      </c>
      <c r="S423" s="305">
        <v>7.6</v>
      </c>
      <c r="T423" s="305"/>
      <c r="V423" s="306"/>
      <c r="W423" s="306"/>
      <c r="X423" s="307">
        <v>0.28000000000000003</v>
      </c>
      <c r="Y423" s="307"/>
      <c r="Z423" s="304">
        <v>0.33</v>
      </c>
      <c r="AA423" s="431"/>
      <c r="AB423" s="233" t="str">
        <f>IFERROR(AVERAGE(AI423:BG423),"")</f>
        <v/>
      </c>
      <c r="AC423" s="233" t="str">
        <f t="shared" si="329"/>
        <v/>
      </c>
      <c r="AD423" s="233" t="str">
        <f t="shared" si="317"/>
        <v/>
      </c>
      <c r="AE423" s="233"/>
      <c r="AF423" s="448"/>
      <c r="AH423" s="306"/>
    </row>
    <row r="424" spans="1:64" s="296" customFormat="1">
      <c r="A424" s="296" t="s">
        <v>437</v>
      </c>
      <c r="B424" s="297" t="s">
        <v>567</v>
      </c>
      <c r="C424" s="298" t="s">
        <v>569</v>
      </c>
      <c r="D424" s="299" t="s">
        <v>87</v>
      </c>
      <c r="E424" s="300" t="s">
        <v>88</v>
      </c>
      <c r="F424" s="297" t="s">
        <v>170</v>
      </c>
      <c r="G424" s="297" t="s">
        <v>170</v>
      </c>
      <c r="H424" s="301">
        <v>726</v>
      </c>
      <c r="I424" s="302">
        <v>64.14</v>
      </c>
      <c r="J424" s="301">
        <v>45642</v>
      </c>
      <c r="K424" s="237"/>
      <c r="L424" s="301">
        <f t="shared" si="327"/>
        <v>45642</v>
      </c>
      <c r="M424" s="303">
        <f t="shared" si="328"/>
        <v>62.867768595041319</v>
      </c>
      <c r="N424" s="304"/>
      <c r="O424" s="304">
        <v>4.16</v>
      </c>
      <c r="P424" s="304">
        <v>8.18</v>
      </c>
      <c r="Q424" s="304">
        <v>7.22</v>
      </c>
      <c r="R424" s="304">
        <v>11.51</v>
      </c>
      <c r="S424" s="305">
        <v>7.6</v>
      </c>
      <c r="T424" s="305"/>
      <c r="V424" s="306"/>
      <c r="W424" s="306"/>
      <c r="X424" s="307">
        <v>0.28000000000000003</v>
      </c>
      <c r="Y424" s="307"/>
      <c r="Z424" s="304">
        <v>0.33</v>
      </c>
      <c r="AA424" s="431"/>
      <c r="AB424" s="233" t="str">
        <f>IFERROR(AVERAGE(AI424:BG424),"")</f>
        <v/>
      </c>
      <c r="AC424" s="233" t="str">
        <f t="shared" si="329"/>
        <v/>
      </c>
      <c r="AD424" s="233" t="str">
        <f t="shared" si="317"/>
        <v/>
      </c>
      <c r="AE424" s="233"/>
      <c r="AF424" s="448"/>
      <c r="AH424" s="306"/>
    </row>
    <row r="425" spans="1:64" s="296" customFormat="1">
      <c r="A425" s="296" t="s">
        <v>437</v>
      </c>
      <c r="B425" s="297" t="s">
        <v>567</v>
      </c>
      <c r="C425" s="298" t="s">
        <v>570</v>
      </c>
      <c r="D425" s="299" t="s">
        <v>87</v>
      </c>
      <c r="E425" s="300" t="s">
        <v>88</v>
      </c>
      <c r="F425" s="297" t="s">
        <v>170</v>
      </c>
      <c r="G425" s="297" t="s">
        <v>170</v>
      </c>
      <c r="H425" s="301">
        <v>726</v>
      </c>
      <c r="I425" s="302">
        <v>19.350000000000001</v>
      </c>
      <c r="J425" s="301">
        <v>13769</v>
      </c>
      <c r="K425" s="237"/>
      <c r="L425" s="301">
        <f t="shared" si="327"/>
        <v>13769</v>
      </c>
      <c r="M425" s="303">
        <f t="shared" si="328"/>
        <v>18.965564738292009</v>
      </c>
      <c r="N425" s="304"/>
      <c r="O425" s="304">
        <v>4.16</v>
      </c>
      <c r="P425" s="304">
        <v>8.18</v>
      </c>
      <c r="Q425" s="304">
        <v>7.22</v>
      </c>
      <c r="R425" s="304">
        <v>11.51</v>
      </c>
      <c r="S425" s="305">
        <v>7.6</v>
      </c>
      <c r="T425" s="305"/>
      <c r="V425" s="306"/>
      <c r="W425" s="306"/>
      <c r="X425" s="307">
        <v>0.28000000000000003</v>
      </c>
      <c r="Y425" s="307"/>
      <c r="Z425" s="304">
        <v>0.33</v>
      </c>
      <c r="AA425" s="431"/>
      <c r="AB425" s="233" t="str">
        <f>IFERROR(AVERAGE(AI425:BG425),"")</f>
        <v/>
      </c>
      <c r="AC425" s="233" t="str">
        <f t="shared" si="329"/>
        <v/>
      </c>
      <c r="AD425" s="233" t="str">
        <f t="shared" si="317"/>
        <v/>
      </c>
      <c r="AE425" s="233"/>
      <c r="AF425" s="448"/>
      <c r="AH425" s="306"/>
    </row>
    <row r="426" spans="1:64" s="113" customFormat="1">
      <c r="A426" s="113" t="s">
        <v>437</v>
      </c>
      <c r="B426" s="126" t="s">
        <v>571</v>
      </c>
      <c r="C426" s="114" t="s">
        <v>572</v>
      </c>
      <c r="D426" s="128" t="s">
        <v>87</v>
      </c>
      <c r="E426" s="127" t="s">
        <v>134</v>
      </c>
      <c r="F426" s="126" t="s">
        <v>573</v>
      </c>
      <c r="G426" s="126" t="s">
        <v>273</v>
      </c>
      <c r="H426" s="123">
        <v>726</v>
      </c>
      <c r="I426" s="125">
        <v>14.91</v>
      </c>
      <c r="J426" s="123">
        <v>10726</v>
      </c>
      <c r="K426" s="124"/>
      <c r="L426" s="123">
        <f t="shared" si="327"/>
        <v>10726</v>
      </c>
      <c r="M426" s="122">
        <f t="shared" si="328"/>
        <v>14.774104683195592</v>
      </c>
      <c r="N426" s="125"/>
      <c r="O426" s="125"/>
      <c r="P426" s="125"/>
      <c r="Q426" s="125">
        <v>3.66</v>
      </c>
      <c r="R426" s="125">
        <v>7.1</v>
      </c>
      <c r="S426" s="154">
        <v>6.45</v>
      </c>
      <c r="T426" s="154"/>
      <c r="V426" s="115"/>
      <c r="W426" s="115"/>
      <c r="X426" s="120">
        <v>0.27</v>
      </c>
      <c r="Y426" s="120"/>
      <c r="Z426" s="118">
        <v>0.31</v>
      </c>
      <c r="AA426" s="430">
        <v>46169</v>
      </c>
      <c r="AB426" s="117">
        <f>IFERROR(AVERAGE(AI426:BG426),"")</f>
        <v>103.46666666666667</v>
      </c>
      <c r="AC426" s="117">
        <f t="shared" ref="AC426:AC427" si="345">IFERROR(AB426*X426,"")</f>
        <v>27.936000000000003</v>
      </c>
      <c r="AD426" s="117">
        <f t="shared" ref="AD426:AD427" si="346">IFERROR(((AC426*L426)/2000)/I426,"")</f>
        <v>10.04834124748491</v>
      </c>
      <c r="AE426" s="117"/>
      <c r="AF426" s="447"/>
      <c r="AH426" s="115" t="s">
        <v>116</v>
      </c>
      <c r="AI426" s="113">
        <v>99</v>
      </c>
      <c r="AJ426" s="113">
        <v>120</v>
      </c>
      <c r="AK426" s="113">
        <v>105</v>
      </c>
      <c r="AL426" s="113">
        <v>100</v>
      </c>
      <c r="AM426" s="113">
        <v>117</v>
      </c>
      <c r="AN426" s="113">
        <v>88</v>
      </c>
      <c r="AO426" s="113">
        <v>97</v>
      </c>
      <c r="AP426" s="113">
        <v>110</v>
      </c>
      <c r="AQ426" s="113">
        <v>108</v>
      </c>
      <c r="AR426" s="113">
        <v>96</v>
      </c>
      <c r="AS426" s="113">
        <v>99</v>
      </c>
      <c r="AT426" s="113">
        <v>110</v>
      </c>
      <c r="AU426" s="113">
        <v>115</v>
      </c>
      <c r="AV426" s="113">
        <v>90</v>
      </c>
      <c r="AW426" s="113">
        <v>98</v>
      </c>
    </row>
    <row r="427" spans="1:64" s="113" customFormat="1">
      <c r="A427" s="113" t="s">
        <v>437</v>
      </c>
      <c r="B427" s="126" t="s">
        <v>571</v>
      </c>
      <c r="C427" s="114" t="s">
        <v>572</v>
      </c>
      <c r="D427" s="128" t="s">
        <v>87</v>
      </c>
      <c r="E427" s="127" t="s">
        <v>134</v>
      </c>
      <c r="F427" s="126" t="s">
        <v>573</v>
      </c>
      <c r="G427" s="126" t="s">
        <v>273</v>
      </c>
      <c r="H427" s="123">
        <v>726</v>
      </c>
      <c r="I427" s="125">
        <v>14.91</v>
      </c>
      <c r="J427" s="123">
        <v>10726</v>
      </c>
      <c r="K427" s="124"/>
      <c r="L427" s="123">
        <f t="shared" si="327"/>
        <v>10726</v>
      </c>
      <c r="M427" s="122">
        <f t="shared" si="328"/>
        <v>14.774104683195592</v>
      </c>
      <c r="N427" s="125"/>
      <c r="O427" s="125"/>
      <c r="P427" s="125"/>
      <c r="Q427" s="125">
        <v>3.66</v>
      </c>
      <c r="R427" s="125">
        <v>7.1</v>
      </c>
      <c r="S427" s="154">
        <v>6.45</v>
      </c>
      <c r="T427" s="154"/>
      <c r="V427" s="115"/>
      <c r="W427" s="115"/>
      <c r="X427" s="120">
        <v>0.27</v>
      </c>
      <c r="Y427" s="120"/>
      <c r="Z427" s="118">
        <v>0.31</v>
      </c>
      <c r="AA427" s="430">
        <v>46157</v>
      </c>
      <c r="AB427" s="117">
        <f t="shared" ref="AB427" si="347">IFERROR(AVERAGE(AI427:BG427),"")</f>
        <v>91.066666666666663</v>
      </c>
      <c r="AC427" s="117">
        <f t="shared" si="345"/>
        <v>24.588000000000001</v>
      </c>
      <c r="AD427" s="117">
        <f t="shared" si="346"/>
        <v>8.8440941649899418</v>
      </c>
      <c r="AE427" s="117"/>
      <c r="AF427" s="447"/>
      <c r="AH427" s="115" t="s">
        <v>116</v>
      </c>
      <c r="AI427" s="113">
        <v>86</v>
      </c>
      <c r="AJ427" s="113">
        <v>90</v>
      </c>
      <c r="AK427" s="113">
        <v>95</v>
      </c>
      <c r="AL427" s="113">
        <v>89</v>
      </c>
      <c r="AM427" s="113">
        <v>93</v>
      </c>
      <c r="AN427" s="113">
        <v>90</v>
      </c>
      <c r="AO427" s="113">
        <v>88</v>
      </c>
      <c r="AP427" s="113">
        <v>94</v>
      </c>
      <c r="AQ427" s="113">
        <v>97</v>
      </c>
      <c r="AR427" s="113">
        <v>89</v>
      </c>
      <c r="AS427" s="113">
        <v>86</v>
      </c>
      <c r="AT427" s="113">
        <v>98</v>
      </c>
      <c r="AU427" s="113">
        <v>90</v>
      </c>
      <c r="AV427" s="113">
        <v>88</v>
      </c>
      <c r="AW427" s="113">
        <v>93</v>
      </c>
    </row>
    <row r="428" spans="1:64" s="113" customFormat="1">
      <c r="A428" s="113" t="s">
        <v>437</v>
      </c>
      <c r="B428" s="126" t="s">
        <v>571</v>
      </c>
      <c r="C428" s="114" t="s">
        <v>572</v>
      </c>
      <c r="D428" s="128" t="s">
        <v>87</v>
      </c>
      <c r="E428" s="127" t="s">
        <v>134</v>
      </c>
      <c r="F428" s="126" t="s">
        <v>573</v>
      </c>
      <c r="G428" s="126" t="s">
        <v>273</v>
      </c>
      <c r="H428" s="123">
        <v>726</v>
      </c>
      <c r="I428" s="125">
        <v>14.91</v>
      </c>
      <c r="J428" s="123">
        <v>10726</v>
      </c>
      <c r="K428" s="124"/>
      <c r="L428" s="123">
        <f t="shared" ref="L428:L468" si="348">J428-(J428*K428)</f>
        <v>10726</v>
      </c>
      <c r="M428" s="122">
        <f t="shared" ref="M428:M468" si="349">L428/H428</f>
        <v>14.774104683195592</v>
      </c>
      <c r="N428" s="125"/>
      <c r="O428" s="125"/>
      <c r="P428" s="125"/>
      <c r="Q428" s="125">
        <v>3.66</v>
      </c>
      <c r="R428" s="125">
        <v>7.1</v>
      </c>
      <c r="S428" s="154">
        <v>6.45</v>
      </c>
      <c r="T428" s="154"/>
      <c r="V428" s="115"/>
      <c r="W428" s="115"/>
      <c r="X428" s="120">
        <v>0.27</v>
      </c>
      <c r="Y428" s="120"/>
      <c r="Z428" s="118">
        <v>0.31</v>
      </c>
      <c r="AA428" s="430"/>
      <c r="AB428" s="117"/>
      <c r="AC428" s="117"/>
      <c r="AD428" s="117">
        <f t="shared" si="317"/>
        <v>0</v>
      </c>
      <c r="AE428" s="117"/>
      <c r="AF428" s="447"/>
      <c r="AH428" s="115"/>
    </row>
    <row r="429" spans="1:64" s="113" customFormat="1">
      <c r="A429" s="113" t="s">
        <v>437</v>
      </c>
      <c r="B429" s="126" t="s">
        <v>571</v>
      </c>
      <c r="C429" s="114" t="s">
        <v>572</v>
      </c>
      <c r="D429" s="128" t="s">
        <v>87</v>
      </c>
      <c r="E429" s="127" t="s">
        <v>134</v>
      </c>
      <c r="F429" s="126" t="s">
        <v>573</v>
      </c>
      <c r="G429" s="126" t="s">
        <v>273</v>
      </c>
      <c r="H429" s="123">
        <v>726</v>
      </c>
      <c r="I429" s="125">
        <v>14.91</v>
      </c>
      <c r="J429" s="123">
        <v>10726</v>
      </c>
      <c r="K429" s="124"/>
      <c r="L429" s="123">
        <f t="shared" si="348"/>
        <v>10726</v>
      </c>
      <c r="M429" s="122">
        <f t="shared" si="349"/>
        <v>14.774104683195592</v>
      </c>
      <c r="N429" s="125"/>
      <c r="O429" s="125"/>
      <c r="P429" s="125"/>
      <c r="Q429" s="125">
        <v>3.66</v>
      </c>
      <c r="R429" s="125">
        <v>7.1</v>
      </c>
      <c r="S429" s="154">
        <v>6.45</v>
      </c>
      <c r="T429" s="154"/>
      <c r="V429" s="115"/>
      <c r="W429" s="115"/>
      <c r="X429" s="120">
        <v>0.27</v>
      </c>
      <c r="Y429" s="120"/>
      <c r="Z429" s="118">
        <v>0.31</v>
      </c>
      <c r="AA429" s="430"/>
      <c r="AB429" s="117" t="str">
        <f t="shared" ref="AB429:AB502" si="350">IFERROR(AVERAGE(AI429:BG429),"")</f>
        <v/>
      </c>
      <c r="AC429" s="117" t="str">
        <f t="shared" ref="AC428:AC468" si="351">IFERROR(AB429*X429,"")</f>
        <v/>
      </c>
      <c r="AD429" s="117" t="str">
        <f t="shared" si="317"/>
        <v/>
      </c>
      <c r="AE429" s="117"/>
      <c r="AF429" s="447"/>
      <c r="AH429" s="115"/>
    </row>
    <row r="430" spans="1:64" s="296" customFormat="1">
      <c r="A430" s="296" t="s">
        <v>437</v>
      </c>
      <c r="B430" s="297" t="s">
        <v>574</v>
      </c>
      <c r="C430" s="298" t="s">
        <v>575</v>
      </c>
      <c r="D430" s="299" t="s">
        <v>87</v>
      </c>
      <c r="E430" s="300" t="s">
        <v>88</v>
      </c>
      <c r="F430" s="297">
        <v>7</v>
      </c>
      <c r="G430" s="297" t="s">
        <v>140</v>
      </c>
      <c r="H430" s="301">
        <v>726</v>
      </c>
      <c r="I430" s="302">
        <v>11.29</v>
      </c>
      <c r="J430" s="301">
        <v>8094</v>
      </c>
      <c r="K430" s="237"/>
      <c r="L430" s="301">
        <f t="shared" si="348"/>
        <v>8094</v>
      </c>
      <c r="M430" s="303">
        <f t="shared" si="349"/>
        <v>11.148760330578513</v>
      </c>
      <c r="N430" s="304"/>
      <c r="O430" s="304">
        <v>4.72</v>
      </c>
      <c r="P430" s="304">
        <v>9.6999999999999993</v>
      </c>
      <c r="Q430" s="304">
        <v>7.18</v>
      </c>
      <c r="R430" s="304">
        <v>10.57</v>
      </c>
      <c r="S430" s="305">
        <v>6.45</v>
      </c>
      <c r="T430" s="305"/>
      <c r="U430" s="296" t="s">
        <v>576</v>
      </c>
      <c r="V430" s="306"/>
      <c r="W430" s="306"/>
      <c r="X430" s="307">
        <v>0.26</v>
      </c>
      <c r="Y430" s="307"/>
      <c r="Z430" s="304">
        <v>0.33</v>
      </c>
      <c r="AA430" s="431"/>
      <c r="AB430" s="233">
        <f t="shared" si="350"/>
        <v>91.7</v>
      </c>
      <c r="AC430" s="233">
        <f t="shared" si="351"/>
        <v>23.842000000000002</v>
      </c>
      <c r="AD430" s="233">
        <f t="shared" si="317"/>
        <v>8.5463750221434918</v>
      </c>
      <c r="AE430" s="233"/>
      <c r="AF430" s="448"/>
      <c r="AG430" s="296" t="s">
        <v>577</v>
      </c>
      <c r="AH430" s="306"/>
      <c r="AI430" s="296">
        <v>68</v>
      </c>
      <c r="AJ430" s="296">
        <v>77</v>
      </c>
      <c r="AK430" s="296">
        <v>86</v>
      </c>
      <c r="AL430" s="296">
        <v>85</v>
      </c>
      <c r="AM430" s="296">
        <v>117</v>
      </c>
      <c r="AN430" s="296">
        <v>111</v>
      </c>
      <c r="AO430" s="296">
        <v>113</v>
      </c>
      <c r="AP430" s="296">
        <v>83</v>
      </c>
      <c r="AQ430" s="296">
        <v>95</v>
      </c>
      <c r="AR430" s="296">
        <v>82</v>
      </c>
    </row>
    <row r="431" spans="1:64" s="296" customFormat="1">
      <c r="A431" s="296" t="s">
        <v>437</v>
      </c>
      <c r="B431" s="297" t="s">
        <v>574</v>
      </c>
      <c r="C431" s="298" t="s">
        <v>575</v>
      </c>
      <c r="D431" s="299" t="s">
        <v>87</v>
      </c>
      <c r="E431" s="300" t="s">
        <v>88</v>
      </c>
      <c r="F431" s="297">
        <v>7</v>
      </c>
      <c r="G431" s="297" t="s">
        <v>140</v>
      </c>
      <c r="H431" s="301">
        <v>726</v>
      </c>
      <c r="I431" s="302">
        <v>11.29</v>
      </c>
      <c r="J431" s="301">
        <v>8094</v>
      </c>
      <c r="K431" s="237"/>
      <c r="L431" s="301">
        <f t="shared" si="348"/>
        <v>8094</v>
      </c>
      <c r="M431" s="303">
        <f t="shared" si="349"/>
        <v>11.148760330578513</v>
      </c>
      <c r="N431" s="304"/>
      <c r="O431" s="304">
        <v>4.72</v>
      </c>
      <c r="P431" s="304">
        <v>9.6999999999999993</v>
      </c>
      <c r="Q431" s="304">
        <v>7.18</v>
      </c>
      <c r="R431" s="304">
        <v>10.57</v>
      </c>
      <c r="S431" s="305">
        <v>6.45</v>
      </c>
      <c r="T431" s="305"/>
      <c r="V431" s="306"/>
      <c r="W431" s="306"/>
      <c r="X431" s="307">
        <v>0.26</v>
      </c>
      <c r="Y431" s="307"/>
      <c r="Z431" s="304">
        <v>0.33</v>
      </c>
      <c r="AA431" s="431">
        <v>46139</v>
      </c>
      <c r="AB431" s="233">
        <f t="shared" si="350"/>
        <v>96.933333333333337</v>
      </c>
      <c r="AC431" s="233">
        <f t="shared" si="351"/>
        <v>25.202666666666669</v>
      </c>
      <c r="AD431" s="233">
        <f t="shared" si="317"/>
        <v>9.0341179805137291</v>
      </c>
      <c r="AE431" s="233"/>
      <c r="AF431" s="448"/>
      <c r="AH431" s="306" t="s">
        <v>91</v>
      </c>
      <c r="AI431" s="296">
        <v>91</v>
      </c>
      <c r="AJ431" s="296">
        <v>77</v>
      </c>
      <c r="AK431" s="296">
        <v>108</v>
      </c>
      <c r="AL431" s="296">
        <v>118</v>
      </c>
      <c r="AM431" s="296">
        <v>98</v>
      </c>
      <c r="AN431" s="296">
        <v>104</v>
      </c>
      <c r="AO431" s="296">
        <v>105</v>
      </c>
      <c r="AP431" s="296">
        <v>94</v>
      </c>
      <c r="AQ431" s="296">
        <v>91</v>
      </c>
      <c r="AR431" s="296">
        <v>96</v>
      </c>
      <c r="AS431" s="296">
        <v>108</v>
      </c>
      <c r="AT431" s="296">
        <v>76</v>
      </c>
      <c r="AU431" s="296">
        <v>105</v>
      </c>
      <c r="AV431" s="296">
        <v>102</v>
      </c>
      <c r="AW431" s="296">
        <v>81</v>
      </c>
    </row>
    <row r="432" spans="1:64" s="296" customFormat="1">
      <c r="A432" s="296" t="s">
        <v>437</v>
      </c>
      <c r="B432" s="297" t="s">
        <v>574</v>
      </c>
      <c r="C432" s="298" t="s">
        <v>575</v>
      </c>
      <c r="D432" s="299" t="s">
        <v>87</v>
      </c>
      <c r="E432" s="300" t="s">
        <v>88</v>
      </c>
      <c r="F432" s="297">
        <v>7</v>
      </c>
      <c r="G432" s="297" t="s">
        <v>140</v>
      </c>
      <c r="H432" s="301">
        <v>726</v>
      </c>
      <c r="I432" s="302">
        <v>11.29</v>
      </c>
      <c r="J432" s="301">
        <v>8094</v>
      </c>
      <c r="K432" s="237"/>
      <c r="L432" s="301">
        <f t="shared" ref="L432" si="352">J432-(J432*K432)</f>
        <v>8094</v>
      </c>
      <c r="M432" s="303">
        <f t="shared" ref="M432" si="353">L432/H432</f>
        <v>11.148760330578513</v>
      </c>
      <c r="N432" s="304"/>
      <c r="O432" s="304">
        <v>4.72</v>
      </c>
      <c r="P432" s="304">
        <v>9.6999999999999993</v>
      </c>
      <c r="Q432" s="304">
        <v>7.18</v>
      </c>
      <c r="R432" s="304">
        <v>10.57</v>
      </c>
      <c r="S432" s="305">
        <v>6.45</v>
      </c>
      <c r="T432" s="305"/>
      <c r="V432" s="306"/>
      <c r="W432" s="306"/>
      <c r="X432" s="307">
        <v>0.26</v>
      </c>
      <c r="Y432" s="307"/>
      <c r="Z432" s="304">
        <v>0.33</v>
      </c>
      <c r="AA432" s="431">
        <v>46156</v>
      </c>
      <c r="AB432" s="233">
        <f t="shared" ref="AB432" si="354">IFERROR(AVERAGE(AI432:BG432),"")</f>
        <v>88.333333333333329</v>
      </c>
      <c r="AC432" s="233">
        <f t="shared" ref="AC432" si="355">IFERROR(AB432*X432,"")</f>
        <v>22.966666666666665</v>
      </c>
      <c r="AD432" s="233">
        <f t="shared" ref="AD432" si="356">IFERROR(((AC432*L432)/2000)/I432,"")</f>
        <v>8.2326040744021256</v>
      </c>
      <c r="AE432" s="233"/>
      <c r="AF432" s="448"/>
      <c r="AH432" s="306" t="s">
        <v>91</v>
      </c>
      <c r="AI432" s="296">
        <v>84</v>
      </c>
      <c r="AJ432" s="296">
        <v>93</v>
      </c>
      <c r="AK432" s="296">
        <v>82</v>
      </c>
      <c r="AL432" s="296">
        <v>90</v>
      </c>
      <c r="AM432" s="296">
        <v>92</v>
      </c>
      <c r="AN432" s="296">
        <v>87</v>
      </c>
      <c r="AO432" s="296">
        <v>91</v>
      </c>
      <c r="AP432" s="296">
        <v>86</v>
      </c>
      <c r="AQ432" s="296">
        <v>89</v>
      </c>
      <c r="AR432" s="296">
        <v>84</v>
      </c>
      <c r="AS432" s="296">
        <v>91</v>
      </c>
      <c r="AT432" s="296">
        <v>90</v>
      </c>
      <c r="AU432" s="296">
        <v>88</v>
      </c>
      <c r="AV432" s="296">
        <v>87</v>
      </c>
      <c r="AW432" s="296">
        <v>91</v>
      </c>
    </row>
    <row r="433" spans="1:49" s="296" customFormat="1">
      <c r="A433" s="296" t="s">
        <v>437</v>
      </c>
      <c r="B433" s="297" t="s">
        <v>574</v>
      </c>
      <c r="C433" s="298" t="s">
        <v>575</v>
      </c>
      <c r="D433" s="299" t="s">
        <v>87</v>
      </c>
      <c r="E433" s="300" t="s">
        <v>88</v>
      </c>
      <c r="F433" s="297">
        <v>7</v>
      </c>
      <c r="G433" s="297" t="s">
        <v>140</v>
      </c>
      <c r="H433" s="301">
        <v>726</v>
      </c>
      <c r="I433" s="302">
        <v>11.29</v>
      </c>
      <c r="J433" s="301">
        <v>8094</v>
      </c>
      <c r="K433" s="237"/>
      <c r="L433" s="301">
        <f t="shared" si="348"/>
        <v>8094</v>
      </c>
      <c r="M433" s="303">
        <f t="shared" si="349"/>
        <v>11.148760330578513</v>
      </c>
      <c r="N433" s="304"/>
      <c r="O433" s="304">
        <v>4.72</v>
      </c>
      <c r="P433" s="304">
        <v>9.6999999999999993</v>
      </c>
      <c r="Q433" s="304">
        <v>7.18</v>
      </c>
      <c r="R433" s="304">
        <v>10.57</v>
      </c>
      <c r="S433" s="305">
        <v>6.45</v>
      </c>
      <c r="T433" s="305"/>
      <c r="V433" s="306"/>
      <c r="W433" s="306"/>
      <c r="X433" s="307">
        <v>0.26</v>
      </c>
      <c r="Y433" s="307"/>
      <c r="Z433" s="304">
        <v>0.33</v>
      </c>
      <c r="AA433" s="431"/>
      <c r="AB433" s="233" t="str">
        <f t="shared" si="350"/>
        <v/>
      </c>
      <c r="AC433" s="233" t="str">
        <f t="shared" si="351"/>
        <v/>
      </c>
      <c r="AD433" s="233" t="str">
        <f t="shared" si="317"/>
        <v/>
      </c>
      <c r="AE433" s="233"/>
      <c r="AF433" s="448"/>
      <c r="AH433" s="306"/>
    </row>
    <row r="434" spans="1:49" s="113" customFormat="1">
      <c r="A434" s="113" t="s">
        <v>437</v>
      </c>
      <c r="B434" s="126" t="s">
        <v>578</v>
      </c>
      <c r="C434" s="114" t="s">
        <v>579</v>
      </c>
      <c r="D434" s="128" t="s">
        <v>193</v>
      </c>
      <c r="E434" s="127" t="s">
        <v>88</v>
      </c>
      <c r="F434" s="126">
        <v>30</v>
      </c>
      <c r="G434" s="126" t="s">
        <v>265</v>
      </c>
      <c r="H434" s="123">
        <v>806.66666666666663</v>
      </c>
      <c r="I434" s="125">
        <v>29.38</v>
      </c>
      <c r="J434" s="123">
        <v>23285</v>
      </c>
      <c r="K434" s="124"/>
      <c r="L434" s="123">
        <f t="shared" si="348"/>
        <v>23285</v>
      </c>
      <c r="M434" s="122">
        <f t="shared" si="349"/>
        <v>28.865702479338843</v>
      </c>
      <c r="N434" s="125"/>
      <c r="O434" s="125"/>
      <c r="P434" s="125"/>
      <c r="Q434" s="125"/>
      <c r="R434" s="125"/>
      <c r="S434" s="154">
        <v>6.18</v>
      </c>
      <c r="T434" s="154"/>
      <c r="U434" s="113" t="s">
        <v>106</v>
      </c>
      <c r="V434" s="115"/>
      <c r="W434" s="115"/>
      <c r="X434" s="120">
        <v>0.28000000000000003</v>
      </c>
      <c r="Y434" s="120"/>
      <c r="Z434" s="118">
        <v>0.33</v>
      </c>
      <c r="AA434" s="430">
        <v>46132</v>
      </c>
      <c r="AB434" s="117">
        <f t="shared" si="350"/>
        <v>70.733333333333334</v>
      </c>
      <c r="AC434" s="117">
        <f t="shared" ref="AC434:AC439" si="357">IFERROR(AB434*X434,"")</f>
        <v>19.805333333333337</v>
      </c>
      <c r="AD434" s="117">
        <f t="shared" si="317"/>
        <v>7.8483183571590667</v>
      </c>
      <c r="AE434" s="117"/>
      <c r="AF434" s="447"/>
      <c r="AH434" s="115" t="s">
        <v>91</v>
      </c>
      <c r="AI434" s="113">
        <v>69</v>
      </c>
      <c r="AJ434" s="113">
        <v>60</v>
      </c>
      <c r="AK434" s="113">
        <v>83</v>
      </c>
      <c r="AL434" s="113">
        <v>78</v>
      </c>
      <c r="AM434" s="113">
        <v>78</v>
      </c>
      <c r="AN434" s="113">
        <v>83</v>
      </c>
      <c r="AO434" s="113">
        <v>65</v>
      </c>
      <c r="AP434" s="113">
        <v>69</v>
      </c>
      <c r="AQ434" s="113">
        <v>72</v>
      </c>
      <c r="AR434" s="113">
        <v>74</v>
      </c>
      <c r="AS434" s="113">
        <v>54</v>
      </c>
      <c r="AT434" s="113">
        <v>68</v>
      </c>
      <c r="AU434" s="113">
        <v>74</v>
      </c>
      <c r="AV434" s="113">
        <v>62</v>
      </c>
      <c r="AW434" s="113">
        <v>72</v>
      </c>
    </row>
    <row r="435" spans="1:49" s="113" customFormat="1">
      <c r="A435" s="113" t="s">
        <v>437</v>
      </c>
      <c r="B435" s="126" t="s">
        <v>578</v>
      </c>
      <c r="C435" s="114" t="s">
        <v>579</v>
      </c>
      <c r="D435" s="128" t="s">
        <v>193</v>
      </c>
      <c r="E435" s="127" t="s">
        <v>88</v>
      </c>
      <c r="F435" s="126">
        <v>30</v>
      </c>
      <c r="G435" s="126" t="s">
        <v>265</v>
      </c>
      <c r="H435" s="123">
        <v>806.66666666666663</v>
      </c>
      <c r="I435" s="125">
        <v>29.38</v>
      </c>
      <c r="J435" s="123">
        <v>23285</v>
      </c>
      <c r="K435" s="124"/>
      <c r="L435" s="123">
        <f t="shared" ref="L435:L436" si="358">J435-(J435*K435)</f>
        <v>23285</v>
      </c>
      <c r="M435" s="122">
        <f t="shared" ref="M435:M436" si="359">L435/H435</f>
        <v>28.865702479338843</v>
      </c>
      <c r="N435" s="125"/>
      <c r="O435" s="125"/>
      <c r="P435" s="125"/>
      <c r="Q435" s="125"/>
      <c r="R435" s="125"/>
      <c r="S435" s="154">
        <v>6.18</v>
      </c>
      <c r="T435" s="154"/>
      <c r="U435" s="113" t="s">
        <v>106</v>
      </c>
      <c r="V435" s="115"/>
      <c r="W435" s="115"/>
      <c r="X435" s="120">
        <v>0.28000000000000003</v>
      </c>
      <c r="Y435" s="120"/>
      <c r="Z435" s="118">
        <v>0.33</v>
      </c>
      <c r="AA435" s="430">
        <v>46121</v>
      </c>
      <c r="AB435" s="117">
        <f t="shared" ref="AB435:AB436" si="360">IFERROR(AVERAGE(AI435:BG435),"")</f>
        <v>70.125</v>
      </c>
      <c r="AC435" s="117">
        <f t="shared" si="357"/>
        <v>19.635000000000002</v>
      </c>
      <c r="AD435" s="117">
        <f t="shared" ref="AD435:AD436" si="361">IFERROR(((AC435*L435)/2000)/I435,"")</f>
        <v>7.7808198604492862</v>
      </c>
      <c r="AE435" s="117"/>
      <c r="AF435" s="447"/>
      <c r="AH435" s="115" t="s">
        <v>91</v>
      </c>
      <c r="AI435" s="113">
        <v>78</v>
      </c>
      <c r="AJ435" s="113">
        <v>75</v>
      </c>
      <c r="AK435" s="113">
        <v>67</v>
      </c>
      <c r="AL435" s="113">
        <v>64</v>
      </c>
      <c r="AM435" s="113">
        <v>76</v>
      </c>
      <c r="AN435" s="113">
        <v>62</v>
      </c>
      <c r="AO435" s="113">
        <v>71</v>
      </c>
      <c r="AP435" s="113">
        <v>68</v>
      </c>
    </row>
    <row r="436" spans="1:49" s="113" customFormat="1">
      <c r="A436" s="113" t="s">
        <v>437</v>
      </c>
      <c r="B436" s="126" t="s">
        <v>578</v>
      </c>
      <c r="C436" s="114" t="s">
        <v>579</v>
      </c>
      <c r="D436" s="128" t="s">
        <v>193</v>
      </c>
      <c r="E436" s="127" t="s">
        <v>88</v>
      </c>
      <c r="F436" s="126">
        <v>30</v>
      </c>
      <c r="G436" s="126" t="s">
        <v>265</v>
      </c>
      <c r="H436" s="123">
        <v>806.66666666666663</v>
      </c>
      <c r="I436" s="125">
        <v>29.38</v>
      </c>
      <c r="J436" s="123">
        <v>23285</v>
      </c>
      <c r="K436" s="124"/>
      <c r="L436" s="123">
        <f t="shared" si="358"/>
        <v>23285</v>
      </c>
      <c r="M436" s="122">
        <f t="shared" si="359"/>
        <v>28.865702479338843</v>
      </c>
      <c r="N436" s="125"/>
      <c r="O436" s="125"/>
      <c r="P436" s="125"/>
      <c r="Q436" s="125"/>
      <c r="R436" s="125"/>
      <c r="S436" s="154">
        <v>6.18</v>
      </c>
      <c r="T436" s="154"/>
      <c r="V436" s="115"/>
      <c r="W436" s="115"/>
      <c r="X436" s="120">
        <v>0.28000000000000003</v>
      </c>
      <c r="Y436" s="120"/>
      <c r="Z436" s="118">
        <v>0.33</v>
      </c>
      <c r="AA436" s="430">
        <v>46125</v>
      </c>
      <c r="AB436" s="117">
        <f t="shared" si="360"/>
        <v>70.166666666666671</v>
      </c>
      <c r="AC436" s="117">
        <f t="shared" si="357"/>
        <v>19.646666666666668</v>
      </c>
      <c r="AD436" s="117">
        <f t="shared" si="361"/>
        <v>7.7854430451554357</v>
      </c>
      <c r="AE436" s="117"/>
      <c r="AF436" s="447"/>
      <c r="AH436" s="115"/>
      <c r="AI436" s="113">
        <v>74</v>
      </c>
      <c r="AJ436" s="113">
        <v>69</v>
      </c>
      <c r="AK436" s="113">
        <v>72</v>
      </c>
      <c r="AL436" s="113">
        <v>66</v>
      </c>
      <c r="AM436" s="113">
        <v>67</v>
      </c>
      <c r="AN436" s="113">
        <v>75</v>
      </c>
      <c r="AO436" s="113">
        <v>71</v>
      </c>
      <c r="AP436" s="113">
        <v>69</v>
      </c>
      <c r="AQ436" s="113">
        <v>73</v>
      </c>
      <c r="AR436" s="113">
        <v>64</v>
      </c>
      <c r="AS436" s="113">
        <v>70</v>
      </c>
      <c r="AT436" s="113">
        <v>72</v>
      </c>
    </row>
    <row r="437" spans="1:49" s="113" customFormat="1">
      <c r="A437" s="113" t="s">
        <v>437</v>
      </c>
      <c r="B437" s="126" t="s">
        <v>578</v>
      </c>
      <c r="C437" s="114" t="s">
        <v>579</v>
      </c>
      <c r="D437" s="128" t="s">
        <v>193</v>
      </c>
      <c r="E437" s="127" t="s">
        <v>88</v>
      </c>
      <c r="F437" s="126">
        <v>30</v>
      </c>
      <c r="G437" s="126" t="s">
        <v>265</v>
      </c>
      <c r="H437" s="123">
        <v>806.66666666666663</v>
      </c>
      <c r="I437" s="125">
        <v>29.38</v>
      </c>
      <c r="J437" s="123">
        <v>23285</v>
      </c>
      <c r="K437" s="124"/>
      <c r="L437" s="123">
        <f t="shared" ref="L437:L438" si="362">J437-(J437*K437)</f>
        <v>23285</v>
      </c>
      <c r="M437" s="122">
        <f t="shared" ref="M437:M438" si="363">L437/H437</f>
        <v>28.865702479338843</v>
      </c>
      <c r="N437" s="125"/>
      <c r="O437" s="125"/>
      <c r="P437" s="125"/>
      <c r="Q437" s="125"/>
      <c r="R437" s="125"/>
      <c r="S437" s="154">
        <v>6.18</v>
      </c>
      <c r="T437" s="154"/>
      <c r="V437" s="115"/>
      <c r="W437" s="115"/>
      <c r="X437" s="120">
        <v>0.28000000000000003</v>
      </c>
      <c r="Y437" s="120"/>
      <c r="Z437" s="118">
        <v>0.33</v>
      </c>
      <c r="AA437" s="430">
        <v>46169</v>
      </c>
      <c r="AB437" s="117">
        <f>IFERROR(AVERAGE(AI437:BG437),"")</f>
        <v>72.7</v>
      </c>
      <c r="AC437" s="117">
        <f t="shared" si="357"/>
        <v>20.356000000000002</v>
      </c>
      <c r="AD437" s="117">
        <f>IFERROR(((AC437*L437)/2000)/I437,"")</f>
        <v>8.0665326752893129</v>
      </c>
      <c r="AE437" s="117"/>
      <c r="AF437" s="447"/>
      <c r="AG437" s="113" t="s">
        <v>580</v>
      </c>
      <c r="AH437" s="115" t="s">
        <v>91</v>
      </c>
      <c r="AI437" s="113">
        <v>90</v>
      </c>
      <c r="AJ437" s="113">
        <v>78</v>
      </c>
      <c r="AK437" s="113">
        <v>74</v>
      </c>
      <c r="AL437" s="113">
        <v>58</v>
      </c>
      <c r="AM437" s="113">
        <v>75</v>
      </c>
      <c r="AN437" s="113">
        <v>76</v>
      </c>
      <c r="AO437" s="113">
        <v>62</v>
      </c>
      <c r="AP437" s="113">
        <v>61</v>
      </c>
      <c r="AQ437" s="113">
        <v>72</v>
      </c>
      <c r="AR437" s="113">
        <v>81</v>
      </c>
    </row>
    <row r="438" spans="1:49" s="113" customFormat="1">
      <c r="A438" s="113" t="s">
        <v>437</v>
      </c>
      <c r="B438" s="126" t="s">
        <v>578</v>
      </c>
      <c r="C438" s="114" t="s">
        <v>579</v>
      </c>
      <c r="D438" s="128" t="s">
        <v>193</v>
      </c>
      <c r="E438" s="127" t="s">
        <v>88</v>
      </c>
      <c r="F438" s="126">
        <v>30</v>
      </c>
      <c r="G438" s="126" t="s">
        <v>265</v>
      </c>
      <c r="H438" s="123">
        <v>806.66666666666663</v>
      </c>
      <c r="I438" s="125">
        <v>29.38</v>
      </c>
      <c r="J438" s="123">
        <v>23285</v>
      </c>
      <c r="K438" s="124"/>
      <c r="L438" s="123">
        <f t="shared" si="362"/>
        <v>23285</v>
      </c>
      <c r="M438" s="122">
        <f t="shared" si="363"/>
        <v>28.865702479338843</v>
      </c>
      <c r="N438" s="125"/>
      <c r="O438" s="125"/>
      <c r="P438" s="125"/>
      <c r="Q438" s="125"/>
      <c r="R438" s="125"/>
      <c r="S438" s="154">
        <v>6.18</v>
      </c>
      <c r="T438" s="154"/>
      <c r="V438" s="115"/>
      <c r="W438" s="115"/>
      <c r="X438" s="120">
        <v>0.28000000000000003</v>
      </c>
      <c r="Y438" s="120"/>
      <c r="Z438" s="118">
        <v>0.33</v>
      </c>
      <c r="AA438" s="430"/>
      <c r="AB438" s="117" t="str">
        <f t="shared" ref="AB438" si="364">IFERROR(AVERAGE(AI438:BG438),"")</f>
        <v/>
      </c>
      <c r="AC438" s="117" t="str">
        <f t="shared" si="357"/>
        <v/>
      </c>
      <c r="AD438" s="117" t="str">
        <f t="shared" ref="AD438" si="365">IFERROR(((AC438*L438)/2000)/I438,"")</f>
        <v/>
      </c>
      <c r="AE438" s="117"/>
      <c r="AF438" s="447"/>
      <c r="AH438" s="115"/>
    </row>
    <row r="439" spans="1:49" s="113" customFormat="1">
      <c r="A439" s="113" t="s">
        <v>437</v>
      </c>
      <c r="B439" s="126" t="s">
        <v>578</v>
      </c>
      <c r="C439" s="114" t="s">
        <v>579</v>
      </c>
      <c r="D439" s="128" t="s">
        <v>193</v>
      </c>
      <c r="E439" s="127" t="s">
        <v>88</v>
      </c>
      <c r="F439" s="126">
        <v>30</v>
      </c>
      <c r="G439" s="126" t="s">
        <v>265</v>
      </c>
      <c r="H439" s="123">
        <v>806.66666666666663</v>
      </c>
      <c r="I439" s="125">
        <v>29.38</v>
      </c>
      <c r="J439" s="123">
        <v>23285</v>
      </c>
      <c r="K439" s="124"/>
      <c r="L439" s="123">
        <f t="shared" si="348"/>
        <v>23285</v>
      </c>
      <c r="M439" s="122">
        <f t="shared" si="349"/>
        <v>28.865702479338843</v>
      </c>
      <c r="N439" s="125"/>
      <c r="O439" s="125"/>
      <c r="P439" s="125"/>
      <c r="Q439" s="125"/>
      <c r="R439" s="125"/>
      <c r="S439" s="154">
        <v>6.18</v>
      </c>
      <c r="T439" s="154"/>
      <c r="V439" s="115"/>
      <c r="W439" s="115"/>
      <c r="X439" s="120">
        <v>0.28000000000000003</v>
      </c>
      <c r="Y439" s="120"/>
      <c r="Z439" s="118">
        <v>0.33</v>
      </c>
      <c r="AA439" s="430"/>
      <c r="AB439" s="117" t="str">
        <f t="shared" si="350"/>
        <v/>
      </c>
      <c r="AC439" s="117" t="str">
        <f t="shared" si="357"/>
        <v/>
      </c>
      <c r="AD439" s="117" t="str">
        <f t="shared" si="317"/>
        <v/>
      </c>
      <c r="AE439" s="117"/>
      <c r="AF439" s="447"/>
      <c r="AH439" s="115"/>
    </row>
    <row r="440" spans="1:49" s="296" customFormat="1">
      <c r="A440" s="296" t="s">
        <v>437</v>
      </c>
      <c r="B440" s="297" t="s">
        <v>581</v>
      </c>
      <c r="C440" s="298" t="s">
        <v>582</v>
      </c>
      <c r="D440" s="299" t="s">
        <v>87</v>
      </c>
      <c r="E440" s="300" t="s">
        <v>88</v>
      </c>
      <c r="F440" s="297">
        <v>7</v>
      </c>
      <c r="G440" s="297" t="s">
        <v>140</v>
      </c>
      <c r="H440" s="301">
        <v>622.28571428571433</v>
      </c>
      <c r="I440" s="302">
        <v>8.48</v>
      </c>
      <c r="J440" s="301">
        <v>5198</v>
      </c>
      <c r="K440" s="237"/>
      <c r="L440" s="301">
        <f t="shared" si="348"/>
        <v>5198</v>
      </c>
      <c r="M440" s="303">
        <f t="shared" si="349"/>
        <v>8.35307621671258</v>
      </c>
      <c r="N440" s="304">
        <v>7.95</v>
      </c>
      <c r="O440" s="304">
        <v>5.53</v>
      </c>
      <c r="P440" s="304">
        <v>7.83</v>
      </c>
      <c r="Q440" s="304">
        <v>7.53</v>
      </c>
      <c r="R440" s="304">
        <v>8.17</v>
      </c>
      <c r="S440" s="305">
        <v>8.1199999999999992</v>
      </c>
      <c r="T440" s="305"/>
      <c r="V440" s="306"/>
      <c r="W440" s="306"/>
      <c r="X440" s="307">
        <v>0.3</v>
      </c>
      <c r="Y440" s="307"/>
      <c r="Z440" s="304">
        <v>0.33</v>
      </c>
      <c r="AA440" s="431">
        <v>46156</v>
      </c>
      <c r="AB440" s="233">
        <f t="shared" si="350"/>
        <v>88.909090909090907</v>
      </c>
      <c r="AC440" s="233">
        <f t="shared" si="351"/>
        <v>26.672727272727272</v>
      </c>
      <c r="AD440" s="233">
        <f t="shared" si="317"/>
        <v>8.1748134648370492</v>
      </c>
      <c r="AE440" s="233"/>
      <c r="AF440" s="448"/>
      <c r="AG440" s="296">
        <v>8.25</v>
      </c>
      <c r="AH440" s="306" t="s">
        <v>91</v>
      </c>
      <c r="AI440" s="296">
        <v>103</v>
      </c>
      <c r="AJ440" s="296">
        <v>71</v>
      </c>
      <c r="AK440" s="296">
        <v>92</v>
      </c>
      <c r="AL440" s="296">
        <v>88</v>
      </c>
      <c r="AM440" s="296">
        <v>79</v>
      </c>
      <c r="AN440" s="296">
        <v>97</v>
      </c>
      <c r="AO440" s="296">
        <v>87</v>
      </c>
      <c r="AP440" s="296">
        <v>93</v>
      </c>
      <c r="AQ440" s="296">
        <v>96</v>
      </c>
      <c r="AR440" s="296">
        <v>92</v>
      </c>
      <c r="AS440" s="296">
        <v>80</v>
      </c>
    </row>
    <row r="441" spans="1:49" s="113" customFormat="1">
      <c r="A441" s="113" t="s">
        <v>437</v>
      </c>
      <c r="B441" s="126" t="s">
        <v>583</v>
      </c>
      <c r="C441" s="114" t="s">
        <v>584</v>
      </c>
      <c r="D441" s="128" t="s">
        <v>87</v>
      </c>
      <c r="E441" s="127" t="s">
        <v>585</v>
      </c>
      <c r="F441" s="126">
        <v>3</v>
      </c>
      <c r="G441" s="126" t="s">
        <v>140</v>
      </c>
      <c r="H441" s="123">
        <v>691.42857142857144</v>
      </c>
      <c r="I441" s="125">
        <v>4.6900000000000004</v>
      </c>
      <c r="J441" s="123">
        <v>3134</v>
      </c>
      <c r="K441" s="124"/>
      <c r="L441" s="123">
        <f t="shared" si="348"/>
        <v>3134</v>
      </c>
      <c r="M441" s="122">
        <f t="shared" si="349"/>
        <v>4.532644628099173</v>
      </c>
      <c r="N441" s="118">
        <v>5.23</v>
      </c>
      <c r="O441" s="118">
        <v>4.4400000000000004</v>
      </c>
      <c r="P441" s="118">
        <v>5.92</v>
      </c>
      <c r="Q441" s="118">
        <v>12.51</v>
      </c>
      <c r="R441" s="118">
        <v>4.7699999999999996</v>
      </c>
      <c r="S441" s="153">
        <v>6.94</v>
      </c>
      <c r="T441" s="153"/>
      <c r="V441" s="115"/>
      <c r="W441" s="115"/>
      <c r="X441" s="120">
        <v>0.26</v>
      </c>
      <c r="Y441" s="120"/>
      <c r="Z441" s="118">
        <v>0.38</v>
      </c>
      <c r="AA441" s="430">
        <v>46185</v>
      </c>
      <c r="AB441" s="117">
        <f t="shared" si="350"/>
        <v>74.333333333333329</v>
      </c>
      <c r="AC441" s="117">
        <f t="shared" si="351"/>
        <v>19.326666666666664</v>
      </c>
      <c r="AD441" s="117">
        <f t="shared" si="317"/>
        <v>6.4573319118692236</v>
      </c>
      <c r="AE441" s="117"/>
      <c r="AF441" s="447"/>
      <c r="AG441" s="446" t="s">
        <v>586</v>
      </c>
      <c r="AH441" s="115"/>
      <c r="AI441" s="113">
        <v>38</v>
      </c>
      <c r="AJ441" s="113">
        <v>60</v>
      </c>
      <c r="AK441" s="113">
        <v>45</v>
      </c>
      <c r="AL441" s="113">
        <v>66</v>
      </c>
      <c r="AM441" s="113">
        <v>63</v>
      </c>
      <c r="AN441" s="113">
        <v>79</v>
      </c>
      <c r="AO441" s="113">
        <v>79</v>
      </c>
      <c r="AP441" s="113">
        <v>60</v>
      </c>
      <c r="AQ441" s="113">
        <v>85</v>
      </c>
      <c r="AR441" s="113">
        <v>79</v>
      </c>
      <c r="AS441" s="113">
        <v>93</v>
      </c>
      <c r="AT441" s="113">
        <v>74</v>
      </c>
      <c r="AU441" s="113">
        <v>93</v>
      </c>
      <c r="AV441" s="113">
        <v>101</v>
      </c>
      <c r="AW441" s="113">
        <v>100</v>
      </c>
    </row>
    <row r="442" spans="1:49" s="113" customFormat="1">
      <c r="A442" s="113" t="s">
        <v>437</v>
      </c>
      <c r="B442" s="126" t="s">
        <v>583</v>
      </c>
      <c r="C442" s="114" t="s">
        <v>584</v>
      </c>
      <c r="D442" s="128" t="s">
        <v>87</v>
      </c>
      <c r="E442" s="127" t="s">
        <v>585</v>
      </c>
      <c r="F442" s="126">
        <v>3</v>
      </c>
      <c r="G442" s="126" t="s">
        <v>140</v>
      </c>
      <c r="H442" s="123">
        <v>691.42857142857144</v>
      </c>
      <c r="I442" s="125">
        <v>4.6900000000000004</v>
      </c>
      <c r="J442" s="123">
        <v>3134</v>
      </c>
      <c r="K442" s="124"/>
      <c r="L442" s="123">
        <f t="shared" ref="L442" si="366">J442-(J442*K442)</f>
        <v>3134</v>
      </c>
      <c r="M442" s="122">
        <f t="shared" ref="M442" si="367">L442/H442</f>
        <v>4.532644628099173</v>
      </c>
      <c r="N442" s="118">
        <v>5.23</v>
      </c>
      <c r="O442" s="118">
        <v>4.4400000000000004</v>
      </c>
      <c r="P442" s="118">
        <v>5.92</v>
      </c>
      <c r="Q442" s="118">
        <v>12.51</v>
      </c>
      <c r="R442" s="118">
        <v>4.7699999999999996</v>
      </c>
      <c r="S442" s="153">
        <v>6.94</v>
      </c>
      <c r="T442" s="153"/>
      <c r="V442" s="115"/>
      <c r="W442" s="115"/>
      <c r="X442" s="120">
        <v>0.26</v>
      </c>
      <c r="Y442" s="120"/>
      <c r="Z442" s="118">
        <v>0.38</v>
      </c>
      <c r="AA442" s="430">
        <v>46185</v>
      </c>
      <c r="AB442" s="117">
        <f t="shared" ref="AB442" si="368">IFERROR(AVERAGE(AI442:BG442),"")</f>
        <v>79.13333333333334</v>
      </c>
      <c r="AC442" s="117">
        <f t="shared" ref="AC442" si="369">IFERROR(AB442*X442,"")</f>
        <v>20.574666666666669</v>
      </c>
      <c r="AD442" s="117">
        <f t="shared" ref="AD442" si="370">IFERROR(((AC442*L442)/2000)/I442,"")</f>
        <v>6.8743076048329783</v>
      </c>
      <c r="AE442" s="117"/>
      <c r="AF442" s="447"/>
      <c r="AG442" s="446" t="s">
        <v>587</v>
      </c>
      <c r="AH442" s="115"/>
      <c r="AI442" s="113">
        <v>99</v>
      </c>
      <c r="AJ442" s="113">
        <v>104</v>
      </c>
      <c r="AK442" s="113">
        <v>117</v>
      </c>
      <c r="AL442" s="113">
        <v>93</v>
      </c>
      <c r="AM442" s="113">
        <v>106</v>
      </c>
      <c r="AN442" s="113">
        <v>21</v>
      </c>
      <c r="AO442" s="113">
        <v>52</v>
      </c>
      <c r="AP442" s="113">
        <v>107</v>
      </c>
      <c r="AQ442" s="113">
        <v>113</v>
      </c>
      <c r="AR442" s="113">
        <v>89</v>
      </c>
      <c r="AS442" s="113">
        <v>93</v>
      </c>
      <c r="AT442" s="113">
        <v>86</v>
      </c>
      <c r="AU442" s="113">
        <v>51</v>
      </c>
      <c r="AV442" s="113">
        <v>37</v>
      </c>
      <c r="AW442" s="113">
        <v>19</v>
      </c>
    </row>
    <row r="443" spans="1:49" s="296" customFormat="1">
      <c r="A443" s="296" t="s">
        <v>437</v>
      </c>
      <c r="B443" s="297" t="s">
        <v>588</v>
      </c>
      <c r="C443" s="298" t="s">
        <v>589</v>
      </c>
      <c r="D443" s="299" t="s">
        <v>87</v>
      </c>
      <c r="E443" s="300" t="s">
        <v>590</v>
      </c>
      <c r="F443" s="297" t="s">
        <v>591</v>
      </c>
      <c r="G443" s="297" t="s">
        <v>527</v>
      </c>
      <c r="H443" s="301">
        <v>806.66666666666663</v>
      </c>
      <c r="I443" s="302">
        <v>6.75</v>
      </c>
      <c r="J443" s="301">
        <v>5324</v>
      </c>
      <c r="K443" s="237"/>
      <c r="L443" s="301">
        <f t="shared" si="348"/>
        <v>5324</v>
      </c>
      <c r="M443" s="303">
        <f t="shared" si="349"/>
        <v>6.6000000000000005</v>
      </c>
      <c r="N443" s="302">
        <v>7.72</v>
      </c>
      <c r="O443" s="302">
        <v>7.31</v>
      </c>
      <c r="P443" s="302">
        <v>9.0399999999999991</v>
      </c>
      <c r="Q443" s="302">
        <v>9.7200000000000006</v>
      </c>
      <c r="R443" s="302">
        <v>10.42</v>
      </c>
      <c r="S443" s="320">
        <v>9.8000000000000007</v>
      </c>
      <c r="T443" s="320"/>
      <c r="V443" s="306"/>
      <c r="W443" s="306"/>
      <c r="X443" s="307">
        <v>0.44</v>
      </c>
      <c r="Y443" s="307"/>
      <c r="Z443" s="304">
        <v>0.45</v>
      </c>
      <c r="AA443" s="431">
        <v>46141</v>
      </c>
      <c r="AB443" s="233">
        <f t="shared" si="350"/>
        <v>53.533333333333331</v>
      </c>
      <c r="AC443" s="233">
        <f t="shared" si="351"/>
        <v>23.554666666666666</v>
      </c>
      <c r="AD443" s="233">
        <f t="shared" si="317"/>
        <v>9.289262617283951</v>
      </c>
      <c r="AE443" s="233"/>
      <c r="AF443" s="448"/>
      <c r="AH443" s="306" t="s">
        <v>91</v>
      </c>
      <c r="AI443" s="296">
        <v>56</v>
      </c>
      <c r="AJ443" s="296">
        <v>59</v>
      </c>
      <c r="AK443" s="296">
        <v>62</v>
      </c>
      <c r="AL443" s="296">
        <v>64</v>
      </c>
      <c r="AM443" s="296">
        <v>59</v>
      </c>
      <c r="AN443" s="296">
        <v>54</v>
      </c>
      <c r="AO443" s="296">
        <v>53</v>
      </c>
      <c r="AP443" s="296">
        <v>54</v>
      </c>
      <c r="AQ443" s="296">
        <v>49</v>
      </c>
      <c r="AR443" s="296">
        <v>58</v>
      </c>
      <c r="AS443" s="296">
        <v>46</v>
      </c>
      <c r="AT443" s="296">
        <v>48</v>
      </c>
      <c r="AU443" s="296">
        <v>54</v>
      </c>
      <c r="AV443" s="296">
        <v>53</v>
      </c>
      <c r="AW443" s="296">
        <v>34</v>
      </c>
    </row>
    <row r="444" spans="1:49" s="296" customFormat="1">
      <c r="A444" s="296" t="s">
        <v>437</v>
      </c>
      <c r="B444" s="297" t="s">
        <v>588</v>
      </c>
      <c r="C444" s="298" t="s">
        <v>589</v>
      </c>
      <c r="D444" s="299" t="s">
        <v>87</v>
      </c>
      <c r="E444" s="300" t="s">
        <v>590</v>
      </c>
      <c r="F444" s="297" t="s">
        <v>591</v>
      </c>
      <c r="G444" s="297" t="s">
        <v>527</v>
      </c>
      <c r="H444" s="301">
        <v>806.66666666666663</v>
      </c>
      <c r="I444" s="302">
        <v>6.75</v>
      </c>
      <c r="J444" s="301">
        <v>5324</v>
      </c>
      <c r="K444" s="237"/>
      <c r="L444" s="301">
        <f t="shared" si="348"/>
        <v>5324</v>
      </c>
      <c r="M444" s="303">
        <f t="shared" si="349"/>
        <v>6.6000000000000005</v>
      </c>
      <c r="N444" s="302">
        <v>7.72</v>
      </c>
      <c r="O444" s="302">
        <v>7.31</v>
      </c>
      <c r="P444" s="302">
        <v>9.0399999999999991</v>
      </c>
      <c r="Q444" s="302">
        <v>9.7200000000000006</v>
      </c>
      <c r="R444" s="302">
        <v>10.42</v>
      </c>
      <c r="S444" s="320">
        <v>9.8000000000000007</v>
      </c>
      <c r="T444" s="320"/>
      <c r="V444" s="306"/>
      <c r="W444" s="306"/>
      <c r="X444" s="307">
        <v>0.44</v>
      </c>
      <c r="Y444" s="307"/>
      <c r="Z444" s="304">
        <v>0.45</v>
      </c>
      <c r="AA444" s="431">
        <v>46195</v>
      </c>
      <c r="AB444" s="233">
        <f t="shared" si="350"/>
        <v>46.583333333333336</v>
      </c>
      <c r="AC444" s="233">
        <f t="shared" si="351"/>
        <v>20.496666666666666</v>
      </c>
      <c r="AD444" s="233">
        <f t="shared" si="317"/>
        <v>8.0832780246913583</v>
      </c>
      <c r="AE444" s="233"/>
      <c r="AF444" s="448"/>
      <c r="AH444" s="306"/>
      <c r="AI444" s="296">
        <v>37</v>
      </c>
      <c r="AJ444" s="296">
        <v>42</v>
      </c>
      <c r="AK444" s="296">
        <v>42</v>
      </c>
      <c r="AL444" s="296">
        <v>63</v>
      </c>
      <c r="AM444" s="296">
        <v>44</v>
      </c>
      <c r="AN444" s="296">
        <v>51</v>
      </c>
      <c r="AO444" s="296">
        <v>49</v>
      </c>
      <c r="AP444" s="296">
        <v>40</v>
      </c>
      <c r="AQ444" s="296">
        <v>49</v>
      </c>
      <c r="AR444" s="296">
        <v>41</v>
      </c>
      <c r="AS444" s="296">
        <v>55</v>
      </c>
      <c r="AT444" s="296">
        <v>46</v>
      </c>
    </row>
    <row r="445" spans="1:49" s="296" customFormat="1">
      <c r="A445" s="296" t="s">
        <v>437</v>
      </c>
      <c r="B445" s="297" t="s">
        <v>588</v>
      </c>
      <c r="C445" s="298" t="s">
        <v>589</v>
      </c>
      <c r="D445" s="299" t="s">
        <v>87</v>
      </c>
      <c r="E445" s="300" t="s">
        <v>590</v>
      </c>
      <c r="F445" s="297" t="s">
        <v>591</v>
      </c>
      <c r="G445" s="297" t="s">
        <v>527</v>
      </c>
      <c r="H445" s="301">
        <v>806.66666666666663</v>
      </c>
      <c r="I445" s="302">
        <v>6.75</v>
      </c>
      <c r="J445" s="301">
        <v>5324</v>
      </c>
      <c r="K445" s="237"/>
      <c r="L445" s="301">
        <f t="shared" si="348"/>
        <v>5324</v>
      </c>
      <c r="M445" s="303">
        <f t="shared" si="349"/>
        <v>6.6000000000000005</v>
      </c>
      <c r="N445" s="302">
        <v>7.72</v>
      </c>
      <c r="O445" s="302">
        <v>7.31</v>
      </c>
      <c r="P445" s="302">
        <v>9.0399999999999991</v>
      </c>
      <c r="Q445" s="302">
        <v>9.7200000000000006</v>
      </c>
      <c r="R445" s="302">
        <v>10.42</v>
      </c>
      <c r="S445" s="320">
        <v>9.8000000000000007</v>
      </c>
      <c r="T445" s="320"/>
      <c r="V445" s="306"/>
      <c r="W445" s="306"/>
      <c r="X445" s="307">
        <v>0.44</v>
      </c>
      <c r="Y445" s="307"/>
      <c r="Z445" s="304">
        <v>0.45</v>
      </c>
      <c r="AA445" s="431"/>
      <c r="AB445" s="233" t="str">
        <f t="shared" si="350"/>
        <v/>
      </c>
      <c r="AC445" s="233" t="str">
        <f t="shared" si="351"/>
        <v/>
      </c>
      <c r="AD445" s="233" t="str">
        <f t="shared" si="317"/>
        <v/>
      </c>
      <c r="AE445" s="233"/>
      <c r="AF445" s="448"/>
      <c r="AH445" s="306"/>
    </row>
    <row r="446" spans="1:49" s="296" customFormat="1">
      <c r="A446" s="296" t="s">
        <v>437</v>
      </c>
      <c r="B446" s="297" t="s">
        <v>588</v>
      </c>
      <c r="C446" s="298" t="s">
        <v>589</v>
      </c>
      <c r="D446" s="299" t="s">
        <v>87</v>
      </c>
      <c r="E446" s="300" t="s">
        <v>590</v>
      </c>
      <c r="F446" s="297" t="s">
        <v>591</v>
      </c>
      <c r="G446" s="297" t="s">
        <v>527</v>
      </c>
      <c r="H446" s="301">
        <v>806.66666666666663</v>
      </c>
      <c r="I446" s="302">
        <v>6.75</v>
      </c>
      <c r="J446" s="301">
        <v>5324</v>
      </c>
      <c r="K446" s="237"/>
      <c r="L446" s="301">
        <f t="shared" si="348"/>
        <v>5324</v>
      </c>
      <c r="M446" s="303">
        <f t="shared" si="349"/>
        <v>6.6000000000000005</v>
      </c>
      <c r="N446" s="302">
        <v>7.72</v>
      </c>
      <c r="O446" s="302">
        <v>7.31</v>
      </c>
      <c r="P446" s="302">
        <v>9.0399999999999991</v>
      </c>
      <c r="Q446" s="302">
        <v>9.7200000000000006</v>
      </c>
      <c r="R446" s="302">
        <v>10.42</v>
      </c>
      <c r="S446" s="320">
        <v>9.8000000000000007</v>
      </c>
      <c r="T446" s="320"/>
      <c r="V446" s="306"/>
      <c r="W446" s="306"/>
      <c r="X446" s="307">
        <v>0.44</v>
      </c>
      <c r="Y446" s="307"/>
      <c r="Z446" s="304">
        <v>0.45</v>
      </c>
      <c r="AA446" s="431"/>
      <c r="AB446" s="233" t="str">
        <f t="shared" si="350"/>
        <v/>
      </c>
      <c r="AC446" s="233" t="str">
        <f t="shared" si="351"/>
        <v/>
      </c>
      <c r="AD446" s="233" t="str">
        <f t="shared" si="317"/>
        <v/>
      </c>
      <c r="AE446" s="233"/>
      <c r="AF446" s="448"/>
      <c r="AH446" s="306"/>
    </row>
    <row r="447" spans="1:49" s="296" customFormat="1">
      <c r="A447" s="296" t="s">
        <v>437</v>
      </c>
      <c r="B447" s="297" t="s">
        <v>588</v>
      </c>
      <c r="C447" s="298" t="s">
        <v>589</v>
      </c>
      <c r="D447" s="299" t="s">
        <v>87</v>
      </c>
      <c r="E447" s="300" t="s">
        <v>590</v>
      </c>
      <c r="F447" s="297" t="s">
        <v>591</v>
      </c>
      <c r="G447" s="297" t="s">
        <v>527</v>
      </c>
      <c r="H447" s="301">
        <v>806.66666666666663</v>
      </c>
      <c r="I447" s="302">
        <v>6.75</v>
      </c>
      <c r="J447" s="301">
        <v>5324</v>
      </c>
      <c r="K447" s="237"/>
      <c r="L447" s="301">
        <f t="shared" si="348"/>
        <v>5324</v>
      </c>
      <c r="M447" s="303">
        <f t="shared" si="349"/>
        <v>6.6000000000000005</v>
      </c>
      <c r="N447" s="302">
        <v>7.72</v>
      </c>
      <c r="O447" s="302">
        <v>7.31</v>
      </c>
      <c r="P447" s="302">
        <v>9.0399999999999991</v>
      </c>
      <c r="Q447" s="302">
        <v>9.7200000000000006</v>
      </c>
      <c r="R447" s="302">
        <v>10.42</v>
      </c>
      <c r="S447" s="320">
        <v>9.8000000000000007</v>
      </c>
      <c r="T447" s="320"/>
      <c r="V447" s="306"/>
      <c r="W447" s="306"/>
      <c r="X447" s="307">
        <v>0.44</v>
      </c>
      <c r="Y447" s="307"/>
      <c r="Z447" s="304">
        <v>0.45</v>
      </c>
      <c r="AA447" s="431"/>
      <c r="AB447" s="233" t="str">
        <f t="shared" si="350"/>
        <v/>
      </c>
      <c r="AC447" s="233" t="str">
        <f t="shared" si="351"/>
        <v/>
      </c>
      <c r="AD447" s="233" t="str">
        <f t="shared" si="317"/>
        <v/>
      </c>
      <c r="AE447" s="233"/>
      <c r="AF447" s="448"/>
      <c r="AH447" s="306"/>
    </row>
    <row r="448" spans="1:49" s="113" customFormat="1">
      <c r="A448" s="113" t="s">
        <v>437</v>
      </c>
      <c r="B448" s="126" t="s">
        <v>592</v>
      </c>
      <c r="C448" s="114" t="s">
        <v>593</v>
      </c>
      <c r="D448" s="128" t="s">
        <v>87</v>
      </c>
      <c r="E448" s="127" t="s">
        <v>594</v>
      </c>
      <c r="F448" s="126">
        <v>1</v>
      </c>
      <c r="G448" s="126" t="s">
        <v>265</v>
      </c>
      <c r="H448" s="123">
        <v>691.42857142857144</v>
      </c>
      <c r="I448" s="125">
        <v>5.05</v>
      </c>
      <c r="J448" s="123">
        <v>3444</v>
      </c>
      <c r="K448" s="124"/>
      <c r="L448" s="123">
        <f t="shared" si="348"/>
        <v>3444</v>
      </c>
      <c r="M448" s="122">
        <f t="shared" si="349"/>
        <v>4.9809917355371898</v>
      </c>
      <c r="N448" s="118"/>
      <c r="O448" s="118"/>
      <c r="P448" s="118"/>
      <c r="Q448" s="118"/>
      <c r="R448" s="118">
        <v>1.83</v>
      </c>
      <c r="S448" s="153">
        <v>10.130000000000001</v>
      </c>
      <c r="T448" s="153"/>
      <c r="V448" s="115"/>
      <c r="W448" s="115"/>
      <c r="X448" s="120">
        <v>0.6</v>
      </c>
      <c r="Y448" s="120"/>
      <c r="Z448" s="118">
        <v>0.4</v>
      </c>
      <c r="AA448" s="430">
        <v>46141</v>
      </c>
      <c r="AB448" s="117">
        <f t="shared" si="350"/>
        <v>56.266666666666666</v>
      </c>
      <c r="AC448" s="117">
        <f t="shared" si="351"/>
        <v>33.76</v>
      </c>
      <c r="AD448" s="117">
        <f t="shared" si="317"/>
        <v>11.511825742574256</v>
      </c>
      <c r="AE448" s="117"/>
      <c r="AF448" s="447"/>
      <c r="AH448" s="115" t="s">
        <v>91</v>
      </c>
      <c r="AI448" s="113">
        <v>55</v>
      </c>
      <c r="AJ448" s="113">
        <v>57</v>
      </c>
      <c r="AK448" s="113">
        <v>58</v>
      </c>
      <c r="AL448" s="113">
        <v>62</v>
      </c>
      <c r="AM448" s="113">
        <v>60</v>
      </c>
      <c r="AN448" s="113">
        <v>51</v>
      </c>
      <c r="AO448" s="113">
        <v>73</v>
      </c>
      <c r="AP448" s="113">
        <v>60</v>
      </c>
      <c r="AQ448" s="113">
        <v>43</v>
      </c>
      <c r="AR448" s="113">
        <v>61</v>
      </c>
      <c r="AS448" s="113">
        <v>63</v>
      </c>
      <c r="AT448" s="113">
        <v>50</v>
      </c>
      <c r="AU448" s="113">
        <v>37</v>
      </c>
      <c r="AV448" s="113">
        <v>49</v>
      </c>
      <c r="AW448" s="113">
        <v>65</v>
      </c>
    </row>
    <row r="449" spans="1:49" s="113" customFormat="1">
      <c r="A449" s="113" t="s">
        <v>437</v>
      </c>
      <c r="B449" s="126" t="s">
        <v>592</v>
      </c>
      <c r="C449" s="114" t="s">
        <v>593</v>
      </c>
      <c r="D449" s="128" t="s">
        <v>87</v>
      </c>
      <c r="E449" s="127" t="s">
        <v>594</v>
      </c>
      <c r="F449" s="126">
        <v>1</v>
      </c>
      <c r="G449" s="126" t="s">
        <v>265</v>
      </c>
      <c r="H449" s="123">
        <v>691.42857142857144</v>
      </c>
      <c r="I449" s="125">
        <v>5.05</v>
      </c>
      <c r="J449" s="123">
        <v>3444</v>
      </c>
      <c r="K449" s="124"/>
      <c r="L449" s="123">
        <f t="shared" si="348"/>
        <v>3444</v>
      </c>
      <c r="M449" s="122">
        <f t="shared" si="349"/>
        <v>4.9809917355371898</v>
      </c>
      <c r="N449" s="118"/>
      <c r="O449" s="118"/>
      <c r="P449" s="118"/>
      <c r="Q449" s="118"/>
      <c r="R449" s="118">
        <v>1.83</v>
      </c>
      <c r="S449" s="153">
        <v>10.130000000000001</v>
      </c>
      <c r="T449" s="153"/>
      <c r="V449" s="115"/>
      <c r="W449" s="115"/>
      <c r="X449" s="120">
        <v>0.6</v>
      </c>
      <c r="Y449" s="120"/>
      <c r="Z449" s="118">
        <v>0.4</v>
      </c>
      <c r="AA449" s="430">
        <v>46181</v>
      </c>
      <c r="AB449" s="117">
        <f t="shared" si="350"/>
        <v>57.266666666666666</v>
      </c>
      <c r="AC449" s="117">
        <f t="shared" si="351"/>
        <v>34.36</v>
      </c>
      <c r="AD449" s="117">
        <f t="shared" si="317"/>
        <v>11.716419801980198</v>
      </c>
      <c r="AE449" s="117"/>
      <c r="AF449" s="447"/>
      <c r="AH449" s="115"/>
      <c r="AI449" s="113">
        <v>54</v>
      </c>
      <c r="AJ449" s="113">
        <v>56</v>
      </c>
      <c r="AK449" s="113">
        <v>69</v>
      </c>
      <c r="AL449" s="113">
        <v>53</v>
      </c>
      <c r="AM449" s="113">
        <v>59</v>
      </c>
      <c r="AN449" s="113">
        <v>59</v>
      </c>
      <c r="AO449" s="113">
        <v>63</v>
      </c>
      <c r="AP449" s="113">
        <v>62</v>
      </c>
      <c r="AQ449" s="113">
        <v>47</v>
      </c>
      <c r="AR449" s="113">
        <v>59</v>
      </c>
      <c r="AS449" s="113">
        <v>56</v>
      </c>
      <c r="AT449" s="113">
        <v>53</v>
      </c>
      <c r="AU449" s="113">
        <v>59</v>
      </c>
      <c r="AV449" s="113">
        <v>58</v>
      </c>
      <c r="AW449" s="113">
        <v>52</v>
      </c>
    </row>
    <row r="450" spans="1:49" s="113" customFormat="1">
      <c r="A450" s="113" t="s">
        <v>437</v>
      </c>
      <c r="B450" s="126" t="s">
        <v>592</v>
      </c>
      <c r="C450" s="114" t="s">
        <v>593</v>
      </c>
      <c r="D450" s="128" t="s">
        <v>87</v>
      </c>
      <c r="E450" s="127" t="s">
        <v>594</v>
      </c>
      <c r="F450" s="126">
        <v>1</v>
      </c>
      <c r="G450" s="126" t="s">
        <v>265</v>
      </c>
      <c r="H450" s="123">
        <v>691.42857142857144</v>
      </c>
      <c r="I450" s="125">
        <v>5.05</v>
      </c>
      <c r="J450" s="123">
        <v>3444</v>
      </c>
      <c r="K450" s="124"/>
      <c r="L450" s="123">
        <f t="shared" si="348"/>
        <v>3444</v>
      </c>
      <c r="M450" s="122">
        <f t="shared" si="349"/>
        <v>4.9809917355371898</v>
      </c>
      <c r="N450" s="118"/>
      <c r="O450" s="118"/>
      <c r="P450" s="118"/>
      <c r="Q450" s="118"/>
      <c r="R450" s="118">
        <v>1.83</v>
      </c>
      <c r="S450" s="153">
        <v>10.130000000000001</v>
      </c>
      <c r="T450" s="153"/>
      <c r="V450" s="115"/>
      <c r="W450" s="115"/>
      <c r="X450" s="120">
        <v>0.6</v>
      </c>
      <c r="Y450" s="120"/>
      <c r="Z450" s="118">
        <v>0.4</v>
      </c>
      <c r="AA450" s="430">
        <v>46190</v>
      </c>
      <c r="AB450" s="117">
        <f t="shared" ref="AB450" si="371">IFERROR(AVERAGE(AI450:BG450),"")</f>
        <v>46.93333333333333</v>
      </c>
      <c r="AC450" s="117">
        <f t="shared" ref="AC450" si="372">IFERROR(AB450*X450,"")</f>
        <v>28.159999999999997</v>
      </c>
      <c r="AD450" s="117">
        <f t="shared" ref="AD450" si="373">IFERROR(((AC450*L450)/2000)/I450,"")</f>
        <v>9.6022811881188108</v>
      </c>
      <c r="AE450" s="117"/>
      <c r="AF450" s="447"/>
      <c r="AG450" s="113" t="s">
        <v>387</v>
      </c>
      <c r="AH450" s="115"/>
      <c r="AI450" s="113">
        <v>44</v>
      </c>
      <c r="AJ450" s="113">
        <v>43</v>
      </c>
      <c r="AK450" s="113">
        <v>50</v>
      </c>
      <c r="AL450" s="113">
        <v>49</v>
      </c>
      <c r="AM450" s="113">
        <v>45</v>
      </c>
      <c r="AN450" s="113">
        <v>47</v>
      </c>
      <c r="AO450" s="113">
        <v>49</v>
      </c>
      <c r="AP450" s="113">
        <v>52</v>
      </c>
      <c r="AQ450" s="113">
        <v>46</v>
      </c>
      <c r="AR450" s="113">
        <v>49</v>
      </c>
      <c r="AS450" s="113">
        <v>50</v>
      </c>
      <c r="AT450" s="113">
        <v>45</v>
      </c>
      <c r="AU450" s="113">
        <v>39</v>
      </c>
      <c r="AV450" s="113">
        <v>47</v>
      </c>
      <c r="AW450" s="113">
        <v>49</v>
      </c>
    </row>
    <row r="451" spans="1:49" s="113" customFormat="1">
      <c r="A451" s="113" t="s">
        <v>437</v>
      </c>
      <c r="B451" s="126" t="s">
        <v>592</v>
      </c>
      <c r="C451" s="114" t="s">
        <v>593</v>
      </c>
      <c r="D451" s="128" t="s">
        <v>87</v>
      </c>
      <c r="E451" s="127" t="s">
        <v>594</v>
      </c>
      <c r="F451" s="126">
        <v>1</v>
      </c>
      <c r="G451" s="126" t="s">
        <v>265</v>
      </c>
      <c r="H451" s="123">
        <v>691.42857142857144</v>
      </c>
      <c r="I451" s="125">
        <v>5.05</v>
      </c>
      <c r="J451" s="123">
        <v>3444</v>
      </c>
      <c r="K451" s="124"/>
      <c r="L451" s="123">
        <f t="shared" si="348"/>
        <v>3444</v>
      </c>
      <c r="M451" s="122">
        <f t="shared" si="349"/>
        <v>4.9809917355371898</v>
      </c>
      <c r="N451" s="118"/>
      <c r="O451" s="118"/>
      <c r="P451" s="118"/>
      <c r="Q451" s="118"/>
      <c r="R451" s="118">
        <v>1.83</v>
      </c>
      <c r="S451" s="153">
        <v>10.130000000000001</v>
      </c>
      <c r="T451" s="153"/>
      <c r="V451" s="115"/>
      <c r="W451" s="115"/>
      <c r="X451" s="120">
        <v>0.6</v>
      </c>
      <c r="Y451" s="120"/>
      <c r="Z451" s="118">
        <v>0.4</v>
      </c>
      <c r="AA451" s="430">
        <v>46191</v>
      </c>
      <c r="AB451" s="117">
        <v>44.7</v>
      </c>
      <c r="AC451" s="117">
        <f t="shared" si="351"/>
        <v>26.82</v>
      </c>
      <c r="AD451" s="117">
        <f t="shared" si="317"/>
        <v>9.1453544554455455</v>
      </c>
      <c r="AE451" s="117"/>
      <c r="AF451" s="447"/>
      <c r="AH451" s="115"/>
    </row>
    <row r="452" spans="1:49" s="113" customFormat="1">
      <c r="A452" s="113" t="s">
        <v>437</v>
      </c>
      <c r="B452" s="126" t="s">
        <v>592</v>
      </c>
      <c r="C452" s="114" t="s">
        <v>593</v>
      </c>
      <c r="D452" s="128" t="s">
        <v>87</v>
      </c>
      <c r="E452" s="127" t="s">
        <v>594</v>
      </c>
      <c r="F452" s="126">
        <v>1</v>
      </c>
      <c r="G452" s="126" t="s">
        <v>265</v>
      </c>
      <c r="H452" s="123">
        <v>691.42857142857144</v>
      </c>
      <c r="I452" s="125">
        <v>5.05</v>
      </c>
      <c r="J452" s="123">
        <v>3444</v>
      </c>
      <c r="K452" s="124"/>
      <c r="L452" s="123">
        <f t="shared" ref="L452" si="374">J452-(J452*K452)</f>
        <v>3444</v>
      </c>
      <c r="M452" s="122">
        <f t="shared" ref="M452" si="375">L452/H452</f>
        <v>4.9809917355371898</v>
      </c>
      <c r="N452" s="118"/>
      <c r="O452" s="118"/>
      <c r="P452" s="118"/>
      <c r="Q452" s="118"/>
      <c r="R452" s="118">
        <v>1.83</v>
      </c>
      <c r="S452" s="153">
        <v>10.130000000000001</v>
      </c>
      <c r="T452" s="153"/>
      <c r="V452" s="115"/>
      <c r="W452" s="115"/>
      <c r="X452" s="120">
        <v>0.6</v>
      </c>
      <c r="Y452" s="120"/>
      <c r="Z452" s="118"/>
      <c r="AA452" s="430">
        <v>46215</v>
      </c>
      <c r="AB452" s="117">
        <f t="shared" ref="AB452" si="376">IFERROR(AVERAGE(AI452:BG452),"")</f>
        <v>46.666666666666664</v>
      </c>
      <c r="AC452" s="117">
        <f t="shared" si="351"/>
        <v>27.999999999999996</v>
      </c>
      <c r="AD452" s="117">
        <f t="shared" si="317"/>
        <v>9.5477227722772273</v>
      </c>
      <c r="AE452" s="117"/>
      <c r="AF452" s="447"/>
      <c r="AH452" s="115"/>
      <c r="AI452" s="113">
        <v>47</v>
      </c>
      <c r="AJ452" s="113">
        <v>40</v>
      </c>
      <c r="AK452" s="113">
        <v>48</v>
      </c>
      <c r="AL452" s="113">
        <v>43</v>
      </c>
      <c r="AM452" s="113">
        <v>43</v>
      </c>
      <c r="AN452" s="113">
        <v>58</v>
      </c>
      <c r="AO452" s="113">
        <v>60</v>
      </c>
      <c r="AP452" s="113">
        <v>50</v>
      </c>
      <c r="AQ452" s="113">
        <v>57</v>
      </c>
      <c r="AR452" s="113">
        <v>52</v>
      </c>
      <c r="AS452" s="113">
        <v>38</v>
      </c>
      <c r="AT452" s="113">
        <v>38</v>
      </c>
      <c r="AU452" s="113">
        <v>39</v>
      </c>
      <c r="AV452" s="113">
        <v>46</v>
      </c>
      <c r="AW452" s="113">
        <v>41</v>
      </c>
    </row>
    <row r="453" spans="1:49" s="296" customFormat="1">
      <c r="A453" s="296" t="s">
        <v>437</v>
      </c>
      <c r="B453" s="297" t="s">
        <v>595</v>
      </c>
      <c r="C453" s="298" t="s">
        <v>596</v>
      </c>
      <c r="D453" s="299" t="s">
        <v>87</v>
      </c>
      <c r="E453" s="300" t="s">
        <v>597</v>
      </c>
      <c r="F453" s="297">
        <v>1</v>
      </c>
      <c r="G453" s="297" t="s">
        <v>265</v>
      </c>
      <c r="H453" s="301">
        <v>691.42857142857144</v>
      </c>
      <c r="I453" s="302">
        <v>4.75</v>
      </c>
      <c r="J453" s="301">
        <v>3193</v>
      </c>
      <c r="K453" s="237"/>
      <c r="L453" s="301">
        <f t="shared" si="348"/>
        <v>3193</v>
      </c>
      <c r="M453" s="303">
        <f t="shared" si="349"/>
        <v>4.61797520661157</v>
      </c>
      <c r="N453" s="304"/>
      <c r="O453" s="304"/>
      <c r="P453" s="304"/>
      <c r="Q453" s="304"/>
      <c r="R453" s="304">
        <v>5</v>
      </c>
      <c r="S453" s="305">
        <v>10.65</v>
      </c>
      <c r="T453" s="305"/>
      <c r="V453" s="306"/>
      <c r="W453" s="306"/>
      <c r="X453" s="307">
        <v>0.45</v>
      </c>
      <c r="Y453" s="307"/>
      <c r="Z453" s="304">
        <v>0.42</v>
      </c>
      <c r="AA453" s="431">
        <v>46141</v>
      </c>
      <c r="AB453" s="233">
        <f t="shared" si="350"/>
        <v>57.4</v>
      </c>
      <c r="AC453" s="233">
        <f t="shared" si="351"/>
        <v>25.83</v>
      </c>
      <c r="AD453" s="233">
        <f t="shared" si="317"/>
        <v>8.6815989473684194</v>
      </c>
      <c r="AE453" s="233"/>
      <c r="AF453" s="448"/>
      <c r="AH453" s="306" t="s">
        <v>91</v>
      </c>
      <c r="AI453" s="296">
        <v>54</v>
      </c>
      <c r="AJ453" s="296">
        <v>58</v>
      </c>
      <c r="AK453" s="296">
        <v>42</v>
      </c>
      <c r="AL453" s="296">
        <v>58</v>
      </c>
      <c r="AM453" s="296">
        <v>46</v>
      </c>
      <c r="AN453" s="296">
        <v>77</v>
      </c>
      <c r="AO453" s="296">
        <v>54</v>
      </c>
      <c r="AP453" s="296">
        <v>72</v>
      </c>
      <c r="AQ453" s="296">
        <v>72</v>
      </c>
      <c r="AR453" s="296">
        <v>73</v>
      </c>
      <c r="AS453" s="296">
        <v>42</v>
      </c>
      <c r="AT453" s="296">
        <v>63</v>
      </c>
      <c r="AU453" s="296">
        <v>48</v>
      </c>
      <c r="AV453" s="296">
        <v>60</v>
      </c>
      <c r="AW453" s="296">
        <v>42</v>
      </c>
    </row>
    <row r="454" spans="1:49" s="296" customFormat="1">
      <c r="A454" s="296" t="s">
        <v>437</v>
      </c>
      <c r="B454" s="297" t="s">
        <v>595</v>
      </c>
      <c r="C454" s="298" t="s">
        <v>596</v>
      </c>
      <c r="D454" s="299" t="s">
        <v>87</v>
      </c>
      <c r="E454" s="300" t="s">
        <v>597</v>
      </c>
      <c r="F454" s="297">
        <v>1</v>
      </c>
      <c r="G454" s="297" t="s">
        <v>265</v>
      </c>
      <c r="H454" s="301">
        <v>691.42857142857144</v>
      </c>
      <c r="I454" s="302">
        <v>4.75</v>
      </c>
      <c r="J454" s="301">
        <v>3193</v>
      </c>
      <c r="K454" s="237"/>
      <c r="L454" s="301">
        <f t="shared" si="348"/>
        <v>3193</v>
      </c>
      <c r="M454" s="303">
        <f t="shared" si="349"/>
        <v>4.61797520661157</v>
      </c>
      <c r="N454" s="304"/>
      <c r="O454" s="304"/>
      <c r="P454" s="304"/>
      <c r="Q454" s="304"/>
      <c r="R454" s="304">
        <v>5</v>
      </c>
      <c r="S454" s="305">
        <v>10.65</v>
      </c>
      <c r="T454" s="305"/>
      <c r="V454" s="306"/>
      <c r="W454" s="306"/>
      <c r="X454" s="307">
        <v>0.45</v>
      </c>
      <c r="Y454" s="307"/>
      <c r="Z454" s="304">
        <v>0.42</v>
      </c>
      <c r="AA454" s="431">
        <v>46181</v>
      </c>
      <c r="AB454" s="233">
        <f t="shared" si="350"/>
        <v>54.466666666666669</v>
      </c>
      <c r="AC454" s="233">
        <f t="shared" si="351"/>
        <v>24.51</v>
      </c>
      <c r="AD454" s="233">
        <f t="shared" si="317"/>
        <v>8.2379400000000018</v>
      </c>
      <c r="AE454" s="233"/>
      <c r="AF454" s="448"/>
      <c r="AH454" s="306" t="s">
        <v>91</v>
      </c>
      <c r="AI454" s="296">
        <v>36</v>
      </c>
      <c r="AJ454" s="296">
        <v>71</v>
      </c>
      <c r="AK454" s="296">
        <v>46</v>
      </c>
      <c r="AL454" s="296">
        <v>59</v>
      </c>
      <c r="AM454" s="296">
        <v>50</v>
      </c>
      <c r="AN454" s="296">
        <v>83</v>
      </c>
      <c r="AO454" s="296">
        <v>62</v>
      </c>
      <c r="AP454" s="296">
        <v>48</v>
      </c>
      <c r="AQ454" s="296">
        <v>49</v>
      </c>
      <c r="AR454" s="296">
        <v>57</v>
      </c>
      <c r="AS454" s="296">
        <v>46</v>
      </c>
      <c r="AT454" s="296">
        <v>55</v>
      </c>
      <c r="AU454" s="296">
        <v>60</v>
      </c>
      <c r="AV454" s="296">
        <v>48</v>
      </c>
      <c r="AW454" s="296">
        <v>47</v>
      </c>
    </row>
    <row r="455" spans="1:49" s="296" customFormat="1">
      <c r="A455" s="296" t="s">
        <v>437</v>
      </c>
      <c r="B455" s="297" t="s">
        <v>595</v>
      </c>
      <c r="C455" s="298" t="s">
        <v>596</v>
      </c>
      <c r="D455" s="299" t="s">
        <v>87</v>
      </c>
      <c r="E455" s="300" t="s">
        <v>597</v>
      </c>
      <c r="F455" s="297">
        <v>1</v>
      </c>
      <c r="G455" s="297" t="s">
        <v>265</v>
      </c>
      <c r="H455" s="301">
        <v>691.42857142857144</v>
      </c>
      <c r="I455" s="302">
        <v>4.75</v>
      </c>
      <c r="J455" s="301">
        <v>3193</v>
      </c>
      <c r="K455" s="237"/>
      <c r="L455" s="301">
        <f t="shared" si="348"/>
        <v>3193</v>
      </c>
      <c r="M455" s="303">
        <f t="shared" si="349"/>
        <v>4.61797520661157</v>
      </c>
      <c r="N455" s="304"/>
      <c r="O455" s="304"/>
      <c r="P455" s="304"/>
      <c r="Q455" s="304"/>
      <c r="R455" s="304">
        <v>5</v>
      </c>
      <c r="S455" s="305">
        <v>10.65</v>
      </c>
      <c r="T455" s="305"/>
      <c r="V455" s="306"/>
      <c r="W455" s="306"/>
      <c r="X455" s="307">
        <v>0.45</v>
      </c>
      <c r="Y455" s="307"/>
      <c r="Z455" s="304">
        <v>0.42</v>
      </c>
      <c r="AA455" s="431"/>
      <c r="AB455" s="233"/>
      <c r="AC455" s="233">
        <f t="shared" si="351"/>
        <v>0</v>
      </c>
      <c r="AD455" s="233">
        <f t="shared" si="317"/>
        <v>0</v>
      </c>
      <c r="AE455" s="233"/>
      <c r="AF455" s="448"/>
      <c r="AH455" s="306"/>
    </row>
    <row r="456" spans="1:49" s="296" customFormat="1">
      <c r="A456" s="296" t="s">
        <v>437</v>
      </c>
      <c r="B456" s="297" t="s">
        <v>595</v>
      </c>
      <c r="C456" s="298" t="s">
        <v>596</v>
      </c>
      <c r="D456" s="299" t="s">
        <v>87</v>
      </c>
      <c r="E456" s="300" t="s">
        <v>597</v>
      </c>
      <c r="F456" s="297">
        <v>1</v>
      </c>
      <c r="G456" s="297" t="s">
        <v>265</v>
      </c>
      <c r="H456" s="301">
        <v>691.42857142857144</v>
      </c>
      <c r="I456" s="302">
        <v>4.75</v>
      </c>
      <c r="J456" s="301">
        <v>3193</v>
      </c>
      <c r="K456" s="237"/>
      <c r="L456" s="301">
        <f t="shared" si="348"/>
        <v>3193</v>
      </c>
      <c r="M456" s="303">
        <f t="shared" si="349"/>
        <v>4.61797520661157</v>
      </c>
      <c r="N456" s="304"/>
      <c r="O456" s="304"/>
      <c r="P456" s="304"/>
      <c r="Q456" s="304"/>
      <c r="R456" s="304">
        <v>5</v>
      </c>
      <c r="S456" s="305">
        <v>10.65</v>
      </c>
      <c r="T456" s="305"/>
      <c r="V456" s="306"/>
      <c r="W456" s="306"/>
      <c r="X456" s="307">
        <v>0.65</v>
      </c>
      <c r="Y456" s="307"/>
      <c r="Z456" s="304">
        <v>0.42</v>
      </c>
      <c r="AA456" s="431"/>
      <c r="AB456" s="233" t="str">
        <f t="shared" si="350"/>
        <v/>
      </c>
      <c r="AC456" s="233" t="str">
        <f t="shared" si="351"/>
        <v/>
      </c>
      <c r="AD456" s="233" t="str">
        <f t="shared" si="317"/>
        <v/>
      </c>
      <c r="AE456" s="233"/>
      <c r="AF456" s="448"/>
      <c r="AH456" s="306"/>
    </row>
    <row r="457" spans="1:49" s="113" customFormat="1">
      <c r="A457" s="113" t="s">
        <v>437</v>
      </c>
      <c r="B457" s="126" t="s">
        <v>598</v>
      </c>
      <c r="C457" s="114" t="s">
        <v>599</v>
      </c>
      <c r="D457" s="128" t="s">
        <v>87</v>
      </c>
      <c r="E457" s="127" t="s">
        <v>194</v>
      </c>
      <c r="F457" s="126">
        <v>3</v>
      </c>
      <c r="G457" s="126" t="s">
        <v>273</v>
      </c>
      <c r="H457" s="123">
        <v>691.42857142857144</v>
      </c>
      <c r="I457" s="125">
        <v>27.8</v>
      </c>
      <c r="J457" s="123">
        <v>18780</v>
      </c>
      <c r="K457" s="124"/>
      <c r="L457" s="123">
        <f t="shared" si="348"/>
        <v>18780</v>
      </c>
      <c r="M457" s="122">
        <f t="shared" si="349"/>
        <v>27.161157024793386</v>
      </c>
      <c r="N457" s="118">
        <v>10.35</v>
      </c>
      <c r="O457" s="118">
        <v>8.8800000000000008</v>
      </c>
      <c r="P457" s="118">
        <v>8.11</v>
      </c>
      <c r="Q457" s="118">
        <v>8.1999999999999993</v>
      </c>
      <c r="R457" s="118">
        <v>9.2200000000000006</v>
      </c>
      <c r="S457" s="153">
        <v>8.43</v>
      </c>
      <c r="T457" s="153"/>
      <c r="U457" s="113" t="s">
        <v>101</v>
      </c>
      <c r="V457" s="115" t="s">
        <v>131</v>
      </c>
      <c r="W457" s="115"/>
      <c r="X457" s="120">
        <v>0.48</v>
      </c>
      <c r="Y457" s="120"/>
      <c r="Z457" s="118">
        <v>0.45</v>
      </c>
      <c r="AA457" s="430">
        <v>46112</v>
      </c>
      <c r="AB457" s="117">
        <f t="shared" si="350"/>
        <v>52</v>
      </c>
      <c r="AC457" s="117">
        <f t="shared" si="351"/>
        <v>24.96</v>
      </c>
      <c r="AD457" s="117">
        <f t="shared" si="317"/>
        <v>8.4307338129496401</v>
      </c>
      <c r="AE457" s="117"/>
      <c r="AF457" s="447"/>
      <c r="AH457" s="115" t="s">
        <v>165</v>
      </c>
      <c r="AI457" s="113">
        <v>48</v>
      </c>
      <c r="AJ457" s="113">
        <v>55</v>
      </c>
      <c r="AK457" s="113">
        <v>44</v>
      </c>
      <c r="AL457" s="113">
        <v>44</v>
      </c>
      <c r="AM457" s="113">
        <v>54</v>
      </c>
      <c r="AN457" s="113">
        <v>60</v>
      </c>
      <c r="AO457" s="113">
        <v>46</v>
      </c>
      <c r="AP457" s="113">
        <v>45</v>
      </c>
      <c r="AQ457" s="113">
        <v>57</v>
      </c>
      <c r="AR457" s="113">
        <v>67</v>
      </c>
    </row>
    <row r="458" spans="1:49" s="113" customFormat="1">
      <c r="A458" s="113" t="s">
        <v>437</v>
      </c>
      <c r="B458" s="126" t="s">
        <v>598</v>
      </c>
      <c r="C458" s="114" t="s">
        <v>599</v>
      </c>
      <c r="D458" s="128" t="s">
        <v>87</v>
      </c>
      <c r="E458" s="127" t="s">
        <v>194</v>
      </c>
      <c r="F458" s="126">
        <v>3</v>
      </c>
      <c r="G458" s="126" t="s">
        <v>273</v>
      </c>
      <c r="H458" s="123">
        <v>691.42857142857144</v>
      </c>
      <c r="I458" s="125">
        <v>27.8</v>
      </c>
      <c r="J458" s="123">
        <v>18780</v>
      </c>
      <c r="K458" s="124"/>
      <c r="L458" s="123">
        <f t="shared" si="348"/>
        <v>18780</v>
      </c>
      <c r="M458" s="122">
        <f t="shared" si="349"/>
        <v>27.161157024793386</v>
      </c>
      <c r="N458" s="118">
        <v>10.35</v>
      </c>
      <c r="O458" s="118">
        <v>8.8800000000000008</v>
      </c>
      <c r="P458" s="118">
        <v>8.11</v>
      </c>
      <c r="Q458" s="118">
        <v>8.1999999999999993</v>
      </c>
      <c r="R458" s="118">
        <v>9.2200000000000006</v>
      </c>
      <c r="S458" s="153">
        <v>8.43</v>
      </c>
      <c r="T458" s="153"/>
      <c r="V458" s="115"/>
      <c r="W458" s="115"/>
      <c r="X458" s="120">
        <v>0.48</v>
      </c>
      <c r="Y458" s="120"/>
      <c r="Z458" s="118">
        <v>0.45</v>
      </c>
      <c r="AA458" s="430">
        <v>46175</v>
      </c>
      <c r="AB458" s="117">
        <f t="shared" si="350"/>
        <v>51.06666666666667</v>
      </c>
      <c r="AC458" s="117">
        <f t="shared" si="351"/>
        <v>24.512</v>
      </c>
      <c r="AD458" s="117">
        <f t="shared" si="317"/>
        <v>8.2794129496402871</v>
      </c>
      <c r="AE458" s="117"/>
      <c r="AF458" s="447"/>
      <c r="AH458" s="115" t="s">
        <v>116</v>
      </c>
      <c r="AI458" s="113">
        <v>50</v>
      </c>
      <c r="AJ458" s="113">
        <v>55</v>
      </c>
      <c r="AK458" s="113">
        <v>48</v>
      </c>
      <c r="AL458" s="113">
        <v>53</v>
      </c>
      <c r="AM458" s="113">
        <v>49</v>
      </c>
      <c r="AN458" s="113">
        <v>54</v>
      </c>
      <c r="AO458" s="113">
        <v>50</v>
      </c>
      <c r="AP458" s="113">
        <v>49</v>
      </c>
      <c r="AQ458" s="113">
        <v>53</v>
      </c>
      <c r="AR458" s="113">
        <v>58</v>
      </c>
      <c r="AS458" s="113">
        <v>48</v>
      </c>
      <c r="AT458" s="113">
        <v>56</v>
      </c>
      <c r="AU458" s="113">
        <v>44</v>
      </c>
      <c r="AV458" s="113">
        <v>50</v>
      </c>
      <c r="AW458" s="113">
        <v>49</v>
      </c>
    </row>
    <row r="459" spans="1:49" s="113" customFormat="1">
      <c r="A459" s="113" t="s">
        <v>437</v>
      </c>
      <c r="B459" s="126" t="s">
        <v>598</v>
      </c>
      <c r="C459" s="114" t="s">
        <v>599</v>
      </c>
      <c r="D459" s="128" t="s">
        <v>87</v>
      </c>
      <c r="E459" s="127" t="s">
        <v>194</v>
      </c>
      <c r="F459" s="126">
        <v>3</v>
      </c>
      <c r="G459" s="126" t="s">
        <v>273</v>
      </c>
      <c r="H459" s="123">
        <v>691.42857142857144</v>
      </c>
      <c r="I459" s="125">
        <v>27.8</v>
      </c>
      <c r="J459" s="123">
        <v>18780</v>
      </c>
      <c r="K459" s="124"/>
      <c r="L459" s="123">
        <f t="shared" si="348"/>
        <v>18780</v>
      </c>
      <c r="M459" s="122">
        <f t="shared" si="349"/>
        <v>27.161157024793386</v>
      </c>
      <c r="N459" s="118">
        <v>10.35</v>
      </c>
      <c r="O459" s="118">
        <v>8.8800000000000008</v>
      </c>
      <c r="P459" s="118">
        <v>8.11</v>
      </c>
      <c r="Q459" s="118">
        <v>8.1999999999999993</v>
      </c>
      <c r="R459" s="118">
        <v>9.2200000000000006</v>
      </c>
      <c r="S459" s="153">
        <v>8.43</v>
      </c>
      <c r="T459" s="153"/>
      <c r="V459" s="115"/>
      <c r="W459" s="115"/>
      <c r="X459" s="120">
        <v>0.48</v>
      </c>
      <c r="Y459" s="120"/>
      <c r="Z459" s="118">
        <v>0.45</v>
      </c>
      <c r="AA459" s="430">
        <v>46227</v>
      </c>
      <c r="AB459" s="117">
        <v>55</v>
      </c>
      <c r="AC459" s="117">
        <f t="shared" si="351"/>
        <v>26.4</v>
      </c>
      <c r="AD459" s="117">
        <f t="shared" si="317"/>
        <v>8.9171223021582726</v>
      </c>
      <c r="AE459" s="117"/>
      <c r="AF459" s="447"/>
      <c r="AH459" s="115"/>
    </row>
    <row r="460" spans="1:49" s="113" customFormat="1">
      <c r="A460" s="113" t="s">
        <v>437</v>
      </c>
      <c r="B460" s="126" t="s">
        <v>598</v>
      </c>
      <c r="C460" s="114" t="s">
        <v>599</v>
      </c>
      <c r="D460" s="128" t="s">
        <v>87</v>
      </c>
      <c r="E460" s="127" t="s">
        <v>194</v>
      </c>
      <c r="F460" s="126">
        <v>3</v>
      </c>
      <c r="G460" s="126" t="s">
        <v>273</v>
      </c>
      <c r="H460" s="123">
        <v>691.42857142857144</v>
      </c>
      <c r="I460" s="125">
        <v>27.8</v>
      </c>
      <c r="J460" s="123">
        <v>18780</v>
      </c>
      <c r="K460" s="124"/>
      <c r="L460" s="123">
        <f t="shared" si="348"/>
        <v>18780</v>
      </c>
      <c r="M460" s="122">
        <f t="shared" si="349"/>
        <v>27.161157024793386</v>
      </c>
      <c r="N460" s="118">
        <v>10.35</v>
      </c>
      <c r="O460" s="118">
        <v>8.8800000000000008</v>
      </c>
      <c r="P460" s="118">
        <v>8.11</v>
      </c>
      <c r="Q460" s="118">
        <v>8.1999999999999993</v>
      </c>
      <c r="R460" s="118">
        <v>9.2200000000000006</v>
      </c>
      <c r="S460" s="153">
        <v>8.43</v>
      </c>
      <c r="T460" s="153"/>
      <c r="V460" s="115"/>
      <c r="W460" s="115"/>
      <c r="X460" s="120">
        <v>0.48</v>
      </c>
      <c r="Y460" s="120"/>
      <c r="Z460" s="118">
        <v>0.45</v>
      </c>
      <c r="AA460" s="430"/>
      <c r="AB460" s="117" t="str">
        <f t="shared" si="350"/>
        <v/>
      </c>
      <c r="AC460" s="117" t="str">
        <f t="shared" si="351"/>
        <v/>
      </c>
      <c r="AD460" s="117" t="str">
        <f t="shared" si="317"/>
        <v/>
      </c>
      <c r="AE460" s="117"/>
      <c r="AF460" s="447"/>
      <c r="AH460" s="115"/>
    </row>
    <row r="461" spans="1:49" s="113" customFormat="1">
      <c r="A461" s="113" t="s">
        <v>437</v>
      </c>
      <c r="B461" s="126" t="s">
        <v>598</v>
      </c>
      <c r="C461" s="114" t="s">
        <v>599</v>
      </c>
      <c r="D461" s="128" t="s">
        <v>87</v>
      </c>
      <c r="E461" s="127" t="s">
        <v>194</v>
      </c>
      <c r="F461" s="126">
        <v>3</v>
      </c>
      <c r="G461" s="126" t="s">
        <v>273</v>
      </c>
      <c r="H461" s="123">
        <v>691.42857142857144</v>
      </c>
      <c r="I461" s="125">
        <v>27.8</v>
      </c>
      <c r="J461" s="123">
        <v>18780</v>
      </c>
      <c r="K461" s="124"/>
      <c r="L461" s="123">
        <f t="shared" si="348"/>
        <v>18780</v>
      </c>
      <c r="M461" s="122">
        <f t="shared" si="349"/>
        <v>27.161157024793386</v>
      </c>
      <c r="N461" s="118">
        <v>10.35</v>
      </c>
      <c r="O461" s="118">
        <v>8.8800000000000008</v>
      </c>
      <c r="P461" s="118">
        <v>8.11</v>
      </c>
      <c r="Q461" s="118">
        <v>8.1999999999999993</v>
      </c>
      <c r="R461" s="118">
        <v>9.2200000000000006</v>
      </c>
      <c r="S461" s="153">
        <v>8.43</v>
      </c>
      <c r="T461" s="153"/>
      <c r="V461" s="115"/>
      <c r="W461" s="115"/>
      <c r="X461" s="120">
        <v>0.48</v>
      </c>
      <c r="Y461" s="120"/>
      <c r="Z461" s="118">
        <v>0.45</v>
      </c>
      <c r="AA461" s="430"/>
      <c r="AB461" s="117" t="str">
        <f t="shared" si="350"/>
        <v/>
      </c>
      <c r="AC461" s="117" t="str">
        <f t="shared" si="351"/>
        <v/>
      </c>
      <c r="AD461" s="117" t="str">
        <f t="shared" si="317"/>
        <v/>
      </c>
      <c r="AE461" s="117"/>
      <c r="AF461" s="447"/>
      <c r="AH461" s="115"/>
    </row>
    <row r="462" spans="1:49" s="296" customFormat="1">
      <c r="A462" s="296" t="s">
        <v>437</v>
      </c>
      <c r="B462" s="297" t="s">
        <v>600</v>
      </c>
      <c r="C462" s="298" t="s">
        <v>601</v>
      </c>
      <c r="D462" s="299" t="s">
        <v>87</v>
      </c>
      <c r="E462" s="300" t="s">
        <v>602</v>
      </c>
      <c r="F462" s="297" t="s">
        <v>603</v>
      </c>
      <c r="G462" s="297" t="s">
        <v>90</v>
      </c>
      <c r="H462" s="301">
        <v>691.42857142857144</v>
      </c>
      <c r="I462" s="302">
        <v>0.33</v>
      </c>
      <c r="J462" s="301"/>
      <c r="K462" s="237"/>
      <c r="L462" s="301">
        <f t="shared" si="348"/>
        <v>0</v>
      </c>
      <c r="M462" s="303">
        <f t="shared" si="349"/>
        <v>0</v>
      </c>
      <c r="N462" s="304"/>
      <c r="O462" s="304"/>
      <c r="P462" s="304">
        <v>4.55</v>
      </c>
      <c r="Q462" s="304">
        <v>6.24</v>
      </c>
      <c r="R462" s="304">
        <v>7.21</v>
      </c>
      <c r="S462" s="305">
        <v>6.55</v>
      </c>
      <c r="T462" s="305"/>
      <c r="V462" s="306"/>
      <c r="W462" s="306"/>
      <c r="X462" s="307">
        <v>0.45</v>
      </c>
      <c r="Y462" s="307"/>
      <c r="Z462" s="304">
        <v>0.45</v>
      </c>
      <c r="AA462" s="431"/>
      <c r="AB462" s="233" t="str">
        <f t="shared" si="350"/>
        <v/>
      </c>
      <c r="AC462" s="233" t="str">
        <f t="shared" si="351"/>
        <v/>
      </c>
      <c r="AD462" s="233" t="str">
        <f t="shared" ref="AD462:AD511" si="377">IFERROR(((AC462*L462)/2000)/I462,"")</f>
        <v/>
      </c>
      <c r="AE462" s="233"/>
      <c r="AF462" s="448"/>
      <c r="AH462" s="306"/>
    </row>
    <row r="463" spans="1:49" s="113" customFormat="1">
      <c r="A463" s="113" t="s">
        <v>437</v>
      </c>
      <c r="B463" s="126" t="s">
        <v>604</v>
      </c>
      <c r="C463" s="114" t="s">
        <v>605</v>
      </c>
      <c r="D463" s="128" t="s">
        <v>87</v>
      </c>
      <c r="E463" s="127" t="s">
        <v>88</v>
      </c>
      <c r="F463" s="126">
        <v>8</v>
      </c>
      <c r="G463" s="126" t="s">
        <v>606</v>
      </c>
      <c r="H463" s="123">
        <v>726</v>
      </c>
      <c r="I463" s="125">
        <v>57.29</v>
      </c>
      <c r="J463" s="123">
        <v>41547</v>
      </c>
      <c r="K463" s="124">
        <v>0.02</v>
      </c>
      <c r="L463" s="123">
        <f t="shared" si="348"/>
        <v>40716.06</v>
      </c>
      <c r="M463" s="122">
        <f t="shared" si="349"/>
        <v>56.082727272727269</v>
      </c>
      <c r="N463" s="118"/>
      <c r="O463" s="118"/>
      <c r="P463" s="118">
        <v>7.03</v>
      </c>
      <c r="Q463" s="118">
        <v>7.33</v>
      </c>
      <c r="R463" s="118">
        <v>9.8800000000000008</v>
      </c>
      <c r="S463" s="153">
        <v>7.26</v>
      </c>
      <c r="T463" s="153"/>
      <c r="V463" s="115"/>
      <c r="W463" s="115"/>
      <c r="X463" s="120">
        <v>0.28000000000000003</v>
      </c>
      <c r="Y463" s="120"/>
      <c r="Z463" s="118">
        <v>0.33</v>
      </c>
      <c r="AA463" s="430">
        <v>46156</v>
      </c>
      <c r="AB463" s="117">
        <f t="shared" si="350"/>
        <v>104.53333333333333</v>
      </c>
      <c r="AC463" s="117">
        <f t="shared" si="351"/>
        <v>29.269333333333336</v>
      </c>
      <c r="AD463" s="117">
        <f t="shared" si="377"/>
        <v>10.40087216058649</v>
      </c>
      <c r="AE463" s="117"/>
      <c r="AF463" s="447"/>
      <c r="AH463" s="115"/>
      <c r="AI463" s="113">
        <v>102</v>
      </c>
      <c r="AJ463" s="113">
        <v>99</v>
      </c>
      <c r="AK463" s="113">
        <v>115</v>
      </c>
      <c r="AL463" s="113">
        <v>113</v>
      </c>
      <c r="AM463" s="113">
        <v>118</v>
      </c>
      <c r="AN463" s="113">
        <v>107</v>
      </c>
      <c r="AO463" s="113">
        <v>112</v>
      </c>
      <c r="AP463" s="113">
        <v>103</v>
      </c>
      <c r="AQ463" s="113">
        <v>76</v>
      </c>
      <c r="AR463" s="113">
        <v>100</v>
      </c>
      <c r="AS463" s="113">
        <v>104</v>
      </c>
      <c r="AT463" s="113">
        <v>99</v>
      </c>
      <c r="AU463" s="113">
        <v>107</v>
      </c>
      <c r="AV463" s="113">
        <v>110</v>
      </c>
      <c r="AW463" s="113">
        <v>103</v>
      </c>
    </row>
    <row r="464" spans="1:49" s="113" customFormat="1">
      <c r="A464" s="113" t="s">
        <v>437</v>
      </c>
      <c r="B464" s="126" t="s">
        <v>604</v>
      </c>
      <c r="C464" s="114" t="s">
        <v>605</v>
      </c>
      <c r="D464" s="128" t="s">
        <v>87</v>
      </c>
      <c r="E464" s="127" t="s">
        <v>88</v>
      </c>
      <c r="F464" s="126">
        <v>8</v>
      </c>
      <c r="G464" s="126" t="s">
        <v>606</v>
      </c>
      <c r="H464" s="123">
        <v>726</v>
      </c>
      <c r="I464" s="125">
        <v>57.29</v>
      </c>
      <c r="J464" s="123">
        <v>41547</v>
      </c>
      <c r="K464" s="124">
        <v>0.02</v>
      </c>
      <c r="L464" s="123">
        <f t="shared" ref="L464" si="378">J464-(J464*K464)</f>
        <v>40716.06</v>
      </c>
      <c r="M464" s="122">
        <f t="shared" ref="M464" si="379">L464/H464</f>
        <v>56.082727272727269</v>
      </c>
      <c r="N464" s="118"/>
      <c r="O464" s="118"/>
      <c r="P464" s="118">
        <v>7.03</v>
      </c>
      <c r="Q464" s="118">
        <v>7.33</v>
      </c>
      <c r="R464" s="118">
        <v>9.8800000000000008</v>
      </c>
      <c r="S464" s="153">
        <v>7.26</v>
      </c>
      <c r="T464" s="153"/>
      <c r="V464" s="115"/>
      <c r="W464" s="115"/>
      <c r="X464" s="120">
        <v>0.28000000000000003</v>
      </c>
      <c r="Y464" s="120"/>
      <c r="Z464" s="118">
        <v>0.33</v>
      </c>
      <c r="AA464" s="430">
        <v>46202</v>
      </c>
      <c r="AB464" s="117">
        <f t="shared" ref="AB464" si="380">IFERROR(AVERAGE(AI464:BG464),"")</f>
        <v>106.53333333333333</v>
      </c>
      <c r="AC464" s="117">
        <f t="shared" ref="AC464" si="381">IFERROR(AB464*X464,"")</f>
        <v>29.829333333333334</v>
      </c>
      <c r="AD464" s="117">
        <f t="shared" ref="AD464" si="382">IFERROR(((AC464*L464)/2000)/I464,"")</f>
        <v>10.599868439169141</v>
      </c>
      <c r="AE464" s="117"/>
      <c r="AF464" s="447"/>
      <c r="AH464" s="115"/>
      <c r="AI464" s="113">
        <v>111</v>
      </c>
      <c r="AJ464" s="113">
        <v>88</v>
      </c>
      <c r="AK464" s="113">
        <v>123</v>
      </c>
      <c r="AL464" s="113">
        <v>117</v>
      </c>
      <c r="AM464" s="113">
        <v>116</v>
      </c>
      <c r="AN464" s="113">
        <v>105</v>
      </c>
      <c r="AO464" s="113">
        <v>135</v>
      </c>
      <c r="AP464" s="113">
        <v>89</v>
      </c>
      <c r="AQ464" s="113">
        <v>93</v>
      </c>
      <c r="AR464" s="113">
        <v>117</v>
      </c>
      <c r="AS464" s="113">
        <v>112</v>
      </c>
      <c r="AT464" s="113">
        <v>88</v>
      </c>
      <c r="AU464" s="113">
        <v>110</v>
      </c>
      <c r="AV464" s="113">
        <v>94</v>
      </c>
      <c r="AW464" s="113">
        <v>100</v>
      </c>
    </row>
    <row r="465" spans="1:53" s="296" customFormat="1">
      <c r="A465" s="296" t="s">
        <v>437</v>
      </c>
      <c r="B465" s="297" t="s">
        <v>607</v>
      </c>
      <c r="C465" s="298" t="s">
        <v>608</v>
      </c>
      <c r="D465" s="299" t="s">
        <v>87</v>
      </c>
      <c r="E465" s="300" t="s">
        <v>148</v>
      </c>
      <c r="F465" s="297">
        <v>30</v>
      </c>
      <c r="G465" s="297" t="s">
        <v>140</v>
      </c>
      <c r="H465" s="301">
        <v>622.28571428571433</v>
      </c>
      <c r="I465" s="302">
        <v>56.02</v>
      </c>
      <c r="J465" s="301">
        <v>34846</v>
      </c>
      <c r="K465" s="237"/>
      <c r="L465" s="301">
        <f t="shared" si="348"/>
        <v>34846</v>
      </c>
      <c r="M465" s="303">
        <f t="shared" si="349"/>
        <v>55.996786042240586</v>
      </c>
      <c r="N465" s="304"/>
      <c r="O465" s="304"/>
      <c r="P465" s="304">
        <v>7.92</v>
      </c>
      <c r="Q465" s="304">
        <v>7.62</v>
      </c>
      <c r="R465" s="304">
        <v>8.9700000000000006</v>
      </c>
      <c r="S465" s="305">
        <v>9.26</v>
      </c>
      <c r="T465" s="305"/>
      <c r="V465" s="306"/>
      <c r="W465" s="306"/>
      <c r="X465" s="307">
        <v>0.25</v>
      </c>
      <c r="Y465" s="307"/>
      <c r="Z465" s="304">
        <v>0.35</v>
      </c>
      <c r="AA465" s="431">
        <v>46122</v>
      </c>
      <c r="AB465" s="233">
        <f t="shared" si="350"/>
        <v>111.13333333333334</v>
      </c>
      <c r="AC465" s="233">
        <f t="shared" si="351"/>
        <v>27.783333333333335</v>
      </c>
      <c r="AD465" s="233">
        <f t="shared" si="377"/>
        <v>8.6410035106509575</v>
      </c>
      <c r="AE465" s="233"/>
      <c r="AF465" s="448"/>
      <c r="AH465" s="306" t="s">
        <v>91</v>
      </c>
      <c r="AI465" s="306">
        <v>122</v>
      </c>
      <c r="AJ465" s="296">
        <v>101</v>
      </c>
      <c r="AK465" s="296">
        <v>95</v>
      </c>
      <c r="AL465" s="296">
        <v>115</v>
      </c>
      <c r="AM465" s="296">
        <v>108</v>
      </c>
      <c r="AN465" s="296">
        <v>99</v>
      </c>
      <c r="AO465" s="296">
        <v>117</v>
      </c>
      <c r="AP465" s="296">
        <v>127</v>
      </c>
      <c r="AQ465" s="296">
        <v>125</v>
      </c>
      <c r="AR465" s="296">
        <v>135</v>
      </c>
      <c r="AS465" s="296">
        <v>92</v>
      </c>
      <c r="AT465" s="296">
        <v>102</v>
      </c>
      <c r="AU465" s="296">
        <v>109</v>
      </c>
      <c r="AV465" s="296">
        <v>119</v>
      </c>
      <c r="AW465" s="296">
        <v>101</v>
      </c>
    </row>
    <row r="466" spans="1:53" s="296" customFormat="1">
      <c r="A466" s="296" t="s">
        <v>437</v>
      </c>
      <c r="B466" s="297" t="s">
        <v>607</v>
      </c>
      <c r="C466" s="298" t="s">
        <v>608</v>
      </c>
      <c r="D466" s="299" t="s">
        <v>87</v>
      </c>
      <c r="E466" s="300" t="s">
        <v>148</v>
      </c>
      <c r="F466" s="297">
        <v>30</v>
      </c>
      <c r="G466" s="297" t="s">
        <v>140</v>
      </c>
      <c r="H466" s="301">
        <v>622.28571428571433</v>
      </c>
      <c r="I466" s="302">
        <v>56.02</v>
      </c>
      <c r="J466" s="301">
        <v>34846</v>
      </c>
      <c r="K466" s="237"/>
      <c r="L466" s="301">
        <f t="shared" si="348"/>
        <v>34846</v>
      </c>
      <c r="M466" s="303">
        <f t="shared" si="349"/>
        <v>55.996786042240586</v>
      </c>
      <c r="N466" s="304"/>
      <c r="O466" s="304"/>
      <c r="P466" s="304">
        <v>7.92</v>
      </c>
      <c r="Q466" s="304">
        <v>7.62</v>
      </c>
      <c r="R466" s="304">
        <v>8.9700000000000006</v>
      </c>
      <c r="S466" s="305">
        <v>9.26</v>
      </c>
      <c r="T466" s="305"/>
      <c r="V466" s="306"/>
      <c r="W466" s="306"/>
      <c r="X466" s="307">
        <v>0.25</v>
      </c>
      <c r="Y466" s="307"/>
      <c r="Z466" s="304">
        <v>0.35</v>
      </c>
      <c r="AA466" s="431">
        <v>46156</v>
      </c>
      <c r="AB466" s="233">
        <f t="shared" si="350"/>
        <v>70.5625</v>
      </c>
      <c r="AC466" s="233">
        <f t="shared" si="351"/>
        <v>17.640625</v>
      </c>
      <c r="AD466" s="233">
        <f t="shared" si="377"/>
        <v>5.4864799959835766</v>
      </c>
      <c r="AE466" s="233"/>
      <c r="AF466" s="448"/>
      <c r="AH466" s="306" t="s">
        <v>91</v>
      </c>
      <c r="AI466" s="296">
        <v>65</v>
      </c>
      <c r="AJ466" s="296">
        <v>42</v>
      </c>
      <c r="AK466" s="296">
        <v>83</v>
      </c>
      <c r="AL466" s="296">
        <v>67</v>
      </c>
      <c r="AM466" s="296">
        <v>53</v>
      </c>
      <c r="AN466" s="296">
        <v>68</v>
      </c>
      <c r="AO466" s="296">
        <v>98</v>
      </c>
      <c r="AP466" s="296">
        <v>90</v>
      </c>
      <c r="AQ466" s="296">
        <v>87</v>
      </c>
      <c r="AR466" s="296">
        <v>84</v>
      </c>
      <c r="AS466" s="296">
        <v>80</v>
      </c>
      <c r="AT466" s="296">
        <v>52</v>
      </c>
      <c r="AU466" s="296">
        <v>60</v>
      </c>
      <c r="AV466" s="296">
        <v>53</v>
      </c>
      <c r="AW466" s="296">
        <v>74</v>
      </c>
      <c r="AX466" s="296">
        <v>73</v>
      </c>
    </row>
    <row r="467" spans="1:53" s="296" customFormat="1">
      <c r="A467" s="296" t="s">
        <v>437</v>
      </c>
      <c r="B467" s="297" t="s">
        <v>607</v>
      </c>
      <c r="C467" s="298" t="s">
        <v>608</v>
      </c>
      <c r="D467" s="299" t="s">
        <v>87</v>
      </c>
      <c r="E467" s="300" t="s">
        <v>148</v>
      </c>
      <c r="F467" s="297">
        <v>30</v>
      </c>
      <c r="G467" s="297" t="s">
        <v>140</v>
      </c>
      <c r="H467" s="301">
        <v>622.28571428571433</v>
      </c>
      <c r="I467" s="302">
        <v>56.02</v>
      </c>
      <c r="J467" s="301">
        <v>34846</v>
      </c>
      <c r="K467" s="237"/>
      <c r="L467" s="301">
        <f t="shared" ref="L467" si="383">J467-(J467*K467)</f>
        <v>34846</v>
      </c>
      <c r="M467" s="303">
        <f t="shared" ref="M467" si="384">L467/H467</f>
        <v>55.996786042240586</v>
      </c>
      <c r="N467" s="304"/>
      <c r="O467" s="304"/>
      <c r="P467" s="304">
        <v>7.92</v>
      </c>
      <c r="Q467" s="304">
        <v>7.62</v>
      </c>
      <c r="R467" s="304">
        <v>8.9700000000000006</v>
      </c>
      <c r="S467" s="305">
        <v>9.26</v>
      </c>
      <c r="T467" s="305"/>
      <c r="V467" s="306"/>
      <c r="W467" s="306"/>
      <c r="X467" s="307">
        <v>0.25</v>
      </c>
      <c r="Y467" s="307"/>
      <c r="Z467" s="304">
        <v>0.35</v>
      </c>
      <c r="AA467" s="431">
        <v>46185</v>
      </c>
      <c r="AB467" s="233">
        <f t="shared" ref="AB467" si="385">IFERROR(AVERAGE(AI467:BG467),"")</f>
        <v>65.533333333333331</v>
      </c>
      <c r="AC467" s="233">
        <f t="shared" ref="AC467" si="386">IFERROR(AB467*X467,"")</f>
        <v>16.383333333333333</v>
      </c>
      <c r="AD467" s="233">
        <f t="shared" ref="AD467" si="387">IFERROR(((AC467*L467)/2000)/I467,"")</f>
        <v>5.0954447816256101</v>
      </c>
      <c r="AE467" s="233"/>
      <c r="AF467" s="448"/>
      <c r="AH467" s="306" t="s">
        <v>91</v>
      </c>
      <c r="AI467" s="296">
        <v>86</v>
      </c>
      <c r="AJ467" s="296">
        <v>54</v>
      </c>
      <c r="AK467" s="296">
        <v>76</v>
      </c>
      <c r="AL467" s="296">
        <v>47</v>
      </c>
      <c r="AM467" s="296">
        <v>62</v>
      </c>
      <c r="AN467" s="296">
        <v>81</v>
      </c>
      <c r="AO467" s="296">
        <v>61</v>
      </c>
      <c r="AP467" s="296">
        <v>86</v>
      </c>
      <c r="AQ467" s="296">
        <v>50</v>
      </c>
      <c r="AR467" s="296">
        <v>92</v>
      </c>
      <c r="AS467" s="296">
        <v>37</v>
      </c>
      <c r="AT467" s="296">
        <v>41</v>
      </c>
      <c r="AU467" s="296">
        <v>56</v>
      </c>
      <c r="AV467" s="296">
        <v>47</v>
      </c>
      <c r="AW467" s="296">
        <v>107</v>
      </c>
    </row>
    <row r="468" spans="1:53" s="113" customFormat="1">
      <c r="A468" s="113" t="s">
        <v>437</v>
      </c>
      <c r="B468" s="126" t="s">
        <v>609</v>
      </c>
      <c r="C468" s="114" t="s">
        <v>610</v>
      </c>
      <c r="D468" s="128" t="s">
        <v>87</v>
      </c>
      <c r="E468" s="127" t="s">
        <v>88</v>
      </c>
      <c r="F468" s="126">
        <v>8</v>
      </c>
      <c r="G468" s="126" t="s">
        <v>96</v>
      </c>
      <c r="H468" s="123">
        <v>726</v>
      </c>
      <c r="I468" s="125">
        <v>54.49</v>
      </c>
      <c r="J468" s="123">
        <v>39384</v>
      </c>
      <c r="K468" s="124">
        <v>0.03</v>
      </c>
      <c r="L468" s="123">
        <f t="shared" si="348"/>
        <v>38202.480000000003</v>
      </c>
      <c r="M468" s="122">
        <f t="shared" si="349"/>
        <v>52.620495867768597</v>
      </c>
      <c r="N468" s="118"/>
      <c r="O468" s="118"/>
      <c r="P468" s="118"/>
      <c r="Q468" s="118">
        <v>4.1900000000000004</v>
      </c>
      <c r="R468" s="118">
        <v>9.2899999999999991</v>
      </c>
      <c r="S468" s="153">
        <v>5.39</v>
      </c>
      <c r="T468" s="153"/>
      <c r="V468" s="115"/>
      <c r="W468" s="115"/>
      <c r="X468" s="120">
        <v>0.26</v>
      </c>
      <c r="Y468" s="120"/>
      <c r="Z468" s="118">
        <v>0.33</v>
      </c>
      <c r="AA468" s="430">
        <v>46122</v>
      </c>
      <c r="AB468" s="117">
        <f t="shared" si="350"/>
        <v>123.9</v>
      </c>
      <c r="AC468" s="117">
        <f t="shared" si="351"/>
        <v>32.214000000000006</v>
      </c>
      <c r="AD468" s="117">
        <f t="shared" si="377"/>
        <v>11.292482021655353</v>
      </c>
      <c r="AE468" s="117"/>
      <c r="AF468" s="447"/>
      <c r="AH468" s="115" t="s">
        <v>91</v>
      </c>
      <c r="AI468" s="113">
        <v>128</v>
      </c>
      <c r="AJ468" s="113">
        <v>133</v>
      </c>
      <c r="AK468" s="113">
        <v>116</v>
      </c>
      <c r="AL468" s="113">
        <v>109</v>
      </c>
      <c r="AM468" s="113">
        <v>128</v>
      </c>
      <c r="AN468" s="113">
        <v>137</v>
      </c>
      <c r="AO468" s="113">
        <v>138</v>
      </c>
      <c r="AP468" s="113">
        <v>120</v>
      </c>
      <c r="AQ468" s="113">
        <v>111</v>
      </c>
      <c r="AR468" s="113">
        <v>119</v>
      </c>
    </row>
    <row r="469" spans="1:53" s="113" customFormat="1">
      <c r="A469" s="113" t="s">
        <v>437</v>
      </c>
      <c r="B469" s="126" t="s">
        <v>609</v>
      </c>
      <c r="C469" s="114" t="s">
        <v>610</v>
      </c>
      <c r="D469" s="128" t="s">
        <v>87</v>
      </c>
      <c r="E469" s="127" t="s">
        <v>88</v>
      </c>
      <c r="F469" s="126">
        <v>8</v>
      </c>
      <c r="G469" s="126" t="s">
        <v>96</v>
      </c>
      <c r="H469" s="123">
        <v>726</v>
      </c>
      <c r="I469" s="125">
        <v>54.49</v>
      </c>
      <c r="J469" s="123">
        <v>39384</v>
      </c>
      <c r="K469" s="124">
        <v>0.03</v>
      </c>
      <c r="L469" s="123">
        <f t="shared" ref="L469" si="388">J469-(J469*K469)</f>
        <v>38202.480000000003</v>
      </c>
      <c r="M469" s="122">
        <f t="shared" ref="M469" si="389">L469/H469</f>
        <v>52.620495867768597</v>
      </c>
      <c r="N469" s="118"/>
      <c r="O469" s="118"/>
      <c r="P469" s="118"/>
      <c r="Q469" s="118">
        <v>4.1900000000000004</v>
      </c>
      <c r="R469" s="118">
        <v>9.2899999999999991</v>
      </c>
      <c r="S469" s="153">
        <v>5.39</v>
      </c>
      <c r="T469" s="153"/>
      <c r="V469" s="115"/>
      <c r="W469" s="115"/>
      <c r="X469" s="120">
        <v>0.26</v>
      </c>
      <c r="Y469" s="120"/>
      <c r="Z469" s="118">
        <v>0.33</v>
      </c>
      <c r="AA469" s="430">
        <v>46154</v>
      </c>
      <c r="AB469" s="117">
        <f t="shared" si="350"/>
        <v>116.26666666666667</v>
      </c>
      <c r="AC469" s="117">
        <f t="shared" ref="AC469" si="390">IFERROR(AB469*X469,"")</f>
        <v>30.229333333333333</v>
      </c>
      <c r="AD469" s="117">
        <f t="shared" si="377"/>
        <v>10.596765480638648</v>
      </c>
      <c r="AE469" s="117"/>
      <c r="AF469" s="447"/>
      <c r="AH469" s="115" t="s">
        <v>611</v>
      </c>
      <c r="AI469" s="113">
        <v>100</v>
      </c>
      <c r="AJ469" s="113">
        <v>155</v>
      </c>
      <c r="AK469" s="113">
        <v>122</v>
      </c>
      <c r="AL469" s="113">
        <v>133</v>
      </c>
      <c r="AM469" s="113">
        <v>107</v>
      </c>
      <c r="AN469" s="113">
        <v>131</v>
      </c>
      <c r="AO469" s="113">
        <v>150</v>
      </c>
      <c r="AP469" s="113">
        <v>130</v>
      </c>
      <c r="AQ469" s="113">
        <v>104</v>
      </c>
      <c r="AR469" s="113">
        <v>78</v>
      </c>
      <c r="AS469" s="113">
        <v>107</v>
      </c>
      <c r="AT469" s="113">
        <v>103</v>
      </c>
      <c r="AU469" s="113">
        <v>89</v>
      </c>
      <c r="AV469" s="113">
        <v>117</v>
      </c>
      <c r="AW469" s="113">
        <v>118</v>
      </c>
    </row>
    <row r="470" spans="1:53" s="113" customFormat="1">
      <c r="A470" s="113" t="s">
        <v>437</v>
      </c>
      <c r="B470" s="126" t="s">
        <v>609</v>
      </c>
      <c r="C470" s="114" t="s">
        <v>610</v>
      </c>
      <c r="D470" s="128" t="s">
        <v>87</v>
      </c>
      <c r="E470" s="127" t="s">
        <v>88</v>
      </c>
      <c r="F470" s="126">
        <v>8</v>
      </c>
      <c r="G470" s="126" t="s">
        <v>96</v>
      </c>
      <c r="H470" s="123">
        <v>726</v>
      </c>
      <c r="I470" s="125">
        <v>54.49</v>
      </c>
      <c r="J470" s="123">
        <v>39384</v>
      </c>
      <c r="K470" s="124">
        <v>0.03</v>
      </c>
      <c r="L470" s="123">
        <f t="shared" ref="L470" si="391">J470-(J470*K470)</f>
        <v>38202.480000000003</v>
      </c>
      <c r="M470" s="122">
        <f t="shared" ref="M470" si="392">L470/H470</f>
        <v>52.620495867768597</v>
      </c>
      <c r="N470" s="118"/>
      <c r="O470" s="118"/>
      <c r="P470" s="118"/>
      <c r="Q470" s="118">
        <v>4.1900000000000004</v>
      </c>
      <c r="R470" s="118">
        <v>9.2899999999999991</v>
      </c>
      <c r="S470" s="153">
        <v>5.39</v>
      </c>
      <c r="T470" s="153"/>
      <c r="V470" s="115"/>
      <c r="W470" s="115"/>
      <c r="X470" s="120">
        <v>0.26</v>
      </c>
      <c r="Y470" s="120"/>
      <c r="Z470" s="118">
        <v>0.33</v>
      </c>
      <c r="AA470" s="430">
        <v>46169</v>
      </c>
      <c r="AB470" s="117">
        <f>IFERROR(AVERAGE(AI470:BG470),"")</f>
        <v>103.26315789473684</v>
      </c>
      <c r="AC470" s="117">
        <f>IFERROR(AB470*X470,"")</f>
        <v>26.848421052631579</v>
      </c>
      <c r="AD470" s="117">
        <f>IFERROR(((AC470*L470)/2000)/I470,"")</f>
        <v>9.411600920304064</v>
      </c>
      <c r="AE470" s="117"/>
      <c r="AF470" s="447"/>
      <c r="AG470" s="113" t="s">
        <v>612</v>
      </c>
      <c r="AH470" s="115" t="s">
        <v>91</v>
      </c>
      <c r="AI470" s="113">
        <v>115</v>
      </c>
      <c r="AJ470" s="113">
        <v>99</v>
      </c>
      <c r="AK470" s="113">
        <v>109</v>
      </c>
      <c r="AL470" s="113">
        <v>121</v>
      </c>
      <c r="AM470" s="113">
        <v>92</v>
      </c>
      <c r="AN470" s="113">
        <v>116</v>
      </c>
      <c r="AO470" s="113">
        <v>119</v>
      </c>
      <c r="AP470" s="113">
        <v>111</v>
      </c>
      <c r="AQ470" s="113">
        <v>115</v>
      </c>
      <c r="AR470" s="113">
        <v>118</v>
      </c>
      <c r="AS470" s="113">
        <v>110</v>
      </c>
      <c r="AT470" s="113">
        <v>112</v>
      </c>
      <c r="AU470" s="113">
        <v>103</v>
      </c>
      <c r="AV470" s="113">
        <v>93</v>
      </c>
      <c r="AW470" s="113">
        <v>90</v>
      </c>
      <c r="AX470" s="113">
        <v>88</v>
      </c>
      <c r="AY470" s="113">
        <v>76</v>
      </c>
      <c r="AZ470" s="113">
        <v>75</v>
      </c>
      <c r="BA470" s="113">
        <v>100</v>
      </c>
    </row>
    <row r="471" spans="1:53" s="113" customFormat="1">
      <c r="A471" s="113" t="s">
        <v>437</v>
      </c>
      <c r="B471" s="126" t="s">
        <v>609</v>
      </c>
      <c r="C471" s="114" t="s">
        <v>610</v>
      </c>
      <c r="D471" s="128" t="s">
        <v>87</v>
      </c>
      <c r="E471" s="127" t="s">
        <v>88</v>
      </c>
      <c r="F471" s="126">
        <v>8</v>
      </c>
      <c r="G471" s="126" t="s">
        <v>96</v>
      </c>
      <c r="H471" s="123">
        <v>726</v>
      </c>
      <c r="I471" s="125">
        <v>54.49</v>
      </c>
      <c r="J471" s="123">
        <v>39384</v>
      </c>
      <c r="K471" s="124">
        <v>0.03</v>
      </c>
      <c r="L471" s="123">
        <f t="shared" ref="L471" si="393">J471-(J471*K471)</f>
        <v>38202.480000000003</v>
      </c>
      <c r="M471" s="122">
        <f t="shared" ref="M471" si="394">L471/H471</f>
        <v>52.620495867768597</v>
      </c>
      <c r="N471" s="118"/>
      <c r="O471" s="118"/>
      <c r="P471" s="118"/>
      <c r="Q471" s="118">
        <v>4.1900000000000004</v>
      </c>
      <c r="R471" s="118">
        <v>9.2899999999999991</v>
      </c>
      <c r="S471" s="153">
        <v>5.39</v>
      </c>
      <c r="T471" s="153"/>
      <c r="V471" s="115"/>
      <c r="W471" s="115"/>
      <c r="X471" s="120">
        <v>0.26</v>
      </c>
      <c r="Y471" s="120"/>
      <c r="Z471" s="118">
        <v>0.33</v>
      </c>
      <c r="AA471" s="430">
        <v>46190</v>
      </c>
      <c r="AB471" s="117">
        <f>IFERROR(AVERAGE(AI471:BG471),"")</f>
        <v>117.76923076923077</v>
      </c>
      <c r="AC471" s="117">
        <f>IFERROR(AB471*X471,"")</f>
        <v>30.62</v>
      </c>
      <c r="AD471" s="117">
        <f>IFERROR(((AC471*L471)/2000)/I471,"")</f>
        <v>10.733712035235824</v>
      </c>
      <c r="AE471" s="117"/>
      <c r="AF471" s="447"/>
      <c r="AH471" s="115"/>
      <c r="AI471" s="113">
        <v>126</v>
      </c>
      <c r="AJ471" s="113">
        <v>122</v>
      </c>
      <c r="AK471" s="113">
        <v>71</v>
      </c>
      <c r="AL471" s="113">
        <v>124</v>
      </c>
      <c r="AM471" s="113">
        <v>111</v>
      </c>
      <c r="AN471" s="113">
        <v>146</v>
      </c>
      <c r="AO471" s="113">
        <v>104</v>
      </c>
      <c r="AP471" s="113">
        <v>85</v>
      </c>
      <c r="AQ471" s="113">
        <v>131</v>
      </c>
      <c r="AR471" s="113">
        <v>159</v>
      </c>
      <c r="AS471" s="113">
        <v>146</v>
      </c>
      <c r="AT471" s="113">
        <v>92</v>
      </c>
      <c r="AU471" s="113">
        <v>114</v>
      </c>
    </row>
    <row r="472" spans="1:53" s="296" customFormat="1">
      <c r="A472" s="296" t="s">
        <v>437</v>
      </c>
      <c r="B472" s="297" t="s">
        <v>613</v>
      </c>
      <c r="C472" s="298" t="s">
        <v>614</v>
      </c>
      <c r="D472" s="299" t="s">
        <v>615</v>
      </c>
      <c r="E472" s="300" t="s">
        <v>160</v>
      </c>
      <c r="F472" s="297"/>
      <c r="G472" s="297"/>
      <c r="H472" s="301">
        <v>792</v>
      </c>
      <c r="I472" s="302">
        <v>11.12</v>
      </c>
      <c r="J472" s="301">
        <v>8807</v>
      </c>
      <c r="K472" s="237"/>
      <c r="L472" s="301">
        <f>11.12*H472</f>
        <v>8807.0399999999991</v>
      </c>
      <c r="M472" s="303">
        <v>11.12</v>
      </c>
      <c r="N472" s="304"/>
      <c r="O472" s="304"/>
      <c r="P472" s="304"/>
      <c r="Q472" s="304"/>
      <c r="R472" s="304"/>
      <c r="S472" s="305"/>
      <c r="T472" s="305"/>
      <c r="V472" s="306"/>
      <c r="W472" s="306"/>
      <c r="X472" s="307">
        <v>0.38</v>
      </c>
      <c r="Y472" s="307"/>
      <c r="Z472" s="304">
        <v>0.38</v>
      </c>
      <c r="AA472" s="431">
        <v>46175</v>
      </c>
      <c r="AB472" s="426">
        <f t="shared" si="350"/>
        <v>19.399999999999999</v>
      </c>
      <c r="AC472" s="426">
        <f>IFERROR(AB472*X472,"")</f>
        <v>7.3719999999999999</v>
      </c>
      <c r="AD472" s="426">
        <f>IFERROR(((AC472*L472)/2000)/I472,"")</f>
        <v>2.9193119999999997</v>
      </c>
      <c r="AE472" s="233"/>
      <c r="AF472" s="448"/>
      <c r="AH472" s="306"/>
      <c r="AI472" s="296">
        <v>18</v>
      </c>
      <c r="AJ472" s="296">
        <v>26</v>
      </c>
      <c r="AK472" s="296">
        <v>19</v>
      </c>
      <c r="AL472" s="296">
        <v>22</v>
      </c>
      <c r="AM472" s="296">
        <v>17</v>
      </c>
      <c r="AN472" s="296">
        <v>22</v>
      </c>
      <c r="AO472" s="296">
        <v>25</v>
      </c>
      <c r="AP472" s="296">
        <v>24</v>
      </c>
      <c r="AQ472" s="296">
        <v>11</v>
      </c>
      <c r="AR472" s="296">
        <v>10</v>
      </c>
    </row>
    <row r="473" spans="1:53" s="113" customFormat="1">
      <c r="A473" s="113" t="s">
        <v>437</v>
      </c>
      <c r="B473" s="126" t="s">
        <v>616</v>
      </c>
      <c r="C473" s="114" t="s">
        <v>617</v>
      </c>
      <c r="D473" s="128" t="s">
        <v>615</v>
      </c>
      <c r="E473" s="127" t="s">
        <v>618</v>
      </c>
      <c r="F473" s="126"/>
      <c r="G473" s="126"/>
      <c r="H473" s="123">
        <v>792</v>
      </c>
      <c r="I473" s="125">
        <f>J473/792</f>
        <v>2.6136363636363638</v>
      </c>
      <c r="J473" s="123">
        <v>2070</v>
      </c>
      <c r="K473" s="124"/>
      <c r="L473" s="123">
        <v>2070</v>
      </c>
      <c r="M473" s="122">
        <v>2.5</v>
      </c>
      <c r="N473" s="118"/>
      <c r="O473" s="118"/>
      <c r="P473" s="118"/>
      <c r="Q473" s="118"/>
      <c r="R473" s="118"/>
      <c r="S473" s="153"/>
      <c r="T473" s="153"/>
      <c r="V473" s="115"/>
      <c r="W473" s="115"/>
      <c r="X473" s="120">
        <v>0.25</v>
      </c>
      <c r="Y473" s="120"/>
      <c r="Z473" s="118">
        <v>0.35</v>
      </c>
      <c r="AA473" s="430">
        <v>46174</v>
      </c>
      <c r="AB473" s="117">
        <f t="shared" si="350"/>
        <v>23.266666666666666</v>
      </c>
      <c r="AC473" s="117">
        <f>IFERROR(AB473*X473,"")</f>
        <v>5.8166666666666664</v>
      </c>
      <c r="AD473" s="117">
        <f>IFERROR(((AC473*L473)/2000)/I473,"")</f>
        <v>2.3033999999999999</v>
      </c>
      <c r="AE473" s="117"/>
      <c r="AF473" s="447"/>
      <c r="AH473" s="115" t="s">
        <v>137</v>
      </c>
      <c r="AI473" s="113">
        <v>18</v>
      </c>
      <c r="AJ473" s="113">
        <v>25</v>
      </c>
      <c r="AK473" s="113">
        <v>19</v>
      </c>
      <c r="AL473" s="113">
        <v>30</v>
      </c>
      <c r="AM473" s="113">
        <v>34</v>
      </c>
      <c r="AN473" s="113">
        <v>14</v>
      </c>
      <c r="AO473" s="113">
        <v>17</v>
      </c>
      <c r="AP473" s="113">
        <v>20</v>
      </c>
      <c r="AQ473" s="113">
        <v>23</v>
      </c>
      <c r="AR473" s="113">
        <v>18</v>
      </c>
      <c r="AS473" s="113">
        <v>29</v>
      </c>
      <c r="AT473" s="113">
        <v>23</v>
      </c>
      <c r="AU473" s="113">
        <v>21</v>
      </c>
      <c r="AV473" s="113">
        <v>23</v>
      </c>
      <c r="AW473" s="113">
        <v>35</v>
      </c>
    </row>
    <row r="474" spans="1:53" s="296" customFormat="1">
      <c r="A474" s="296" t="s">
        <v>437</v>
      </c>
      <c r="B474" s="297" t="s">
        <v>619</v>
      </c>
      <c r="C474" s="298" t="s">
        <v>620</v>
      </c>
      <c r="D474" s="299" t="s">
        <v>87</v>
      </c>
      <c r="E474" s="300" t="s">
        <v>88</v>
      </c>
      <c r="F474" s="364" t="s">
        <v>621</v>
      </c>
      <c r="G474" s="297" t="s">
        <v>622</v>
      </c>
      <c r="H474" s="301">
        <v>680.625</v>
      </c>
      <c r="I474" s="302">
        <v>40.39</v>
      </c>
      <c r="J474" s="301">
        <v>27160</v>
      </c>
      <c r="K474" s="237">
        <v>0.05</v>
      </c>
      <c r="L474" s="301">
        <f t="shared" ref="L474:L511" si="395">J474-(J474*K474)</f>
        <v>25802</v>
      </c>
      <c r="M474" s="303">
        <f t="shared" ref="M474:M511" si="396">L474/H474</f>
        <v>37.90927456382002</v>
      </c>
      <c r="N474" s="304">
        <v>6.99</v>
      </c>
      <c r="O474" s="304">
        <v>6.34</v>
      </c>
      <c r="P474" s="304">
        <v>5.94</v>
      </c>
      <c r="Q474" s="304">
        <v>7.6</v>
      </c>
      <c r="R474" s="304">
        <v>9.27</v>
      </c>
      <c r="S474" s="305">
        <v>7.33</v>
      </c>
      <c r="T474" s="305"/>
      <c r="V474" s="306"/>
      <c r="W474" s="306"/>
      <c r="X474" s="307">
        <v>0.22</v>
      </c>
      <c r="Y474" s="307"/>
      <c r="Z474" s="304">
        <v>0.33</v>
      </c>
      <c r="AA474" s="431">
        <v>46176</v>
      </c>
      <c r="AB474" s="233">
        <f t="shared" si="350"/>
        <v>84.666666666666671</v>
      </c>
      <c r="AC474" s="233">
        <f t="shared" ref="AC474:AC511" si="397">IFERROR(AB474*X474,"")</f>
        <v>18.626666666666669</v>
      </c>
      <c r="AD474" s="233">
        <f t="shared" si="377"/>
        <v>5.9495574812247263</v>
      </c>
      <c r="AE474" s="233"/>
      <c r="AF474" s="448"/>
      <c r="AH474" s="306" t="s">
        <v>116</v>
      </c>
      <c r="AI474" s="296">
        <v>83</v>
      </c>
      <c r="AJ474" s="296">
        <v>95</v>
      </c>
      <c r="AK474" s="296">
        <v>88</v>
      </c>
      <c r="AL474" s="296">
        <v>93</v>
      </c>
      <c r="AM474" s="296">
        <v>90</v>
      </c>
      <c r="AN474" s="296">
        <v>88</v>
      </c>
      <c r="AO474" s="296">
        <v>81</v>
      </c>
      <c r="AP474" s="296">
        <v>89</v>
      </c>
      <c r="AQ474" s="296">
        <v>68</v>
      </c>
      <c r="AR474" s="296">
        <v>77</v>
      </c>
      <c r="AS474" s="296">
        <v>93</v>
      </c>
      <c r="AT474" s="296">
        <v>68</v>
      </c>
      <c r="AU474" s="296">
        <v>90</v>
      </c>
      <c r="AV474" s="296">
        <v>79</v>
      </c>
      <c r="AW474" s="296">
        <v>88</v>
      </c>
    </row>
    <row r="475" spans="1:53" s="296" customFormat="1">
      <c r="A475" s="296" t="s">
        <v>437</v>
      </c>
      <c r="B475" s="297" t="s">
        <v>619</v>
      </c>
      <c r="C475" s="298" t="s">
        <v>620</v>
      </c>
      <c r="D475" s="299" t="s">
        <v>87</v>
      </c>
      <c r="E475" s="300" t="s">
        <v>88</v>
      </c>
      <c r="F475" s="364" t="s">
        <v>621</v>
      </c>
      <c r="G475" s="297" t="s">
        <v>622</v>
      </c>
      <c r="H475" s="301">
        <v>680.625</v>
      </c>
      <c r="I475" s="302">
        <v>40.39</v>
      </c>
      <c r="J475" s="301">
        <v>27160</v>
      </c>
      <c r="K475" s="237">
        <v>0.05</v>
      </c>
      <c r="L475" s="301">
        <f t="shared" si="395"/>
        <v>25802</v>
      </c>
      <c r="M475" s="303">
        <f t="shared" si="396"/>
        <v>37.90927456382002</v>
      </c>
      <c r="N475" s="304">
        <v>6.99</v>
      </c>
      <c r="O475" s="304">
        <v>6.34</v>
      </c>
      <c r="P475" s="304">
        <v>5.94</v>
      </c>
      <c r="Q475" s="304">
        <v>7.6</v>
      </c>
      <c r="R475" s="304">
        <v>9.27</v>
      </c>
      <c r="S475" s="305">
        <v>7.33</v>
      </c>
      <c r="T475" s="305"/>
      <c r="V475" s="306"/>
      <c r="W475" s="306"/>
      <c r="X475" s="307">
        <v>0.22</v>
      </c>
      <c r="Y475" s="307"/>
      <c r="Z475" s="304">
        <v>0.33</v>
      </c>
      <c r="AA475" s="431"/>
      <c r="AB475" s="233" t="str">
        <f t="shared" si="350"/>
        <v/>
      </c>
      <c r="AC475" s="233" t="str">
        <f t="shared" si="397"/>
        <v/>
      </c>
      <c r="AD475" s="233" t="str">
        <f t="shared" si="377"/>
        <v/>
      </c>
      <c r="AE475" s="233"/>
      <c r="AF475" s="448"/>
      <c r="AH475" s="306"/>
    </row>
    <row r="476" spans="1:53" s="113" customFormat="1">
      <c r="A476" s="113" t="s">
        <v>437</v>
      </c>
      <c r="B476" s="126" t="s">
        <v>623</v>
      </c>
      <c r="C476" s="114" t="s">
        <v>624</v>
      </c>
      <c r="D476" s="128" t="s">
        <v>87</v>
      </c>
      <c r="E476" s="127" t="s">
        <v>148</v>
      </c>
      <c r="F476" s="126" t="s">
        <v>625</v>
      </c>
      <c r="G476" s="126" t="s">
        <v>145</v>
      </c>
      <c r="H476" s="123">
        <v>622.28571428571433</v>
      </c>
      <c r="I476" s="125">
        <v>49.45</v>
      </c>
      <c r="J476" s="123">
        <v>30523</v>
      </c>
      <c r="K476" s="124">
        <v>0.15</v>
      </c>
      <c r="L476" s="123">
        <f t="shared" si="395"/>
        <v>25944.55</v>
      </c>
      <c r="M476" s="122">
        <f t="shared" si="396"/>
        <v>41.692343893480256</v>
      </c>
      <c r="N476" s="118">
        <v>6.84</v>
      </c>
      <c r="O476" s="118">
        <v>7.67</v>
      </c>
      <c r="P476" s="118">
        <v>8.56</v>
      </c>
      <c r="Q476" s="118">
        <v>7.27</v>
      </c>
      <c r="R476" s="118">
        <v>8.35</v>
      </c>
      <c r="S476" s="153">
        <v>5.19</v>
      </c>
      <c r="T476" s="153"/>
      <c r="V476" s="115"/>
      <c r="W476" s="115"/>
      <c r="X476" s="120">
        <v>0.26</v>
      </c>
      <c r="Y476" s="120"/>
      <c r="Z476" s="118">
        <v>0.35</v>
      </c>
      <c r="AA476" s="430"/>
      <c r="AB476" s="117" t="str">
        <f t="shared" si="350"/>
        <v/>
      </c>
      <c r="AC476" s="117" t="str">
        <f t="shared" si="397"/>
        <v/>
      </c>
      <c r="AD476" s="117" t="str">
        <f t="shared" si="377"/>
        <v/>
      </c>
      <c r="AE476" s="117"/>
      <c r="AF476" s="447"/>
      <c r="AH476" s="115"/>
    </row>
    <row r="477" spans="1:53" s="113" customFormat="1">
      <c r="A477" s="113" t="s">
        <v>437</v>
      </c>
      <c r="B477" s="126" t="s">
        <v>623</v>
      </c>
      <c r="C477" s="114" t="s">
        <v>624</v>
      </c>
      <c r="D477" s="128" t="s">
        <v>87</v>
      </c>
      <c r="E477" s="127" t="s">
        <v>148</v>
      </c>
      <c r="F477" s="126" t="s">
        <v>625</v>
      </c>
      <c r="G477" s="126" t="s">
        <v>145</v>
      </c>
      <c r="H477" s="123">
        <v>622.28571428571433</v>
      </c>
      <c r="I477" s="125">
        <v>49.45</v>
      </c>
      <c r="J477" s="123">
        <v>30523</v>
      </c>
      <c r="K477" s="124">
        <v>0.15</v>
      </c>
      <c r="L477" s="123">
        <f t="shared" si="395"/>
        <v>25944.55</v>
      </c>
      <c r="M477" s="122">
        <f t="shared" si="396"/>
        <v>41.692343893480256</v>
      </c>
      <c r="N477" s="118">
        <v>6.84</v>
      </c>
      <c r="O477" s="118">
        <v>7.67</v>
      </c>
      <c r="P477" s="118">
        <v>8.56</v>
      </c>
      <c r="Q477" s="118">
        <v>7.27</v>
      </c>
      <c r="R477" s="118">
        <v>8.35</v>
      </c>
      <c r="S477" s="153">
        <v>5.19</v>
      </c>
      <c r="T477" s="153"/>
      <c r="V477" s="115"/>
      <c r="W477" s="115"/>
      <c r="X477" s="120">
        <v>0.26</v>
      </c>
      <c r="Y477" s="120"/>
      <c r="Z477" s="118">
        <v>0.35</v>
      </c>
      <c r="AA477" s="430"/>
      <c r="AB477" s="117" t="str">
        <f t="shared" si="350"/>
        <v/>
      </c>
      <c r="AC477" s="117" t="str">
        <f t="shared" si="397"/>
        <v/>
      </c>
      <c r="AD477" s="117" t="str">
        <f t="shared" si="377"/>
        <v/>
      </c>
      <c r="AE477" s="117"/>
      <c r="AF477" s="447"/>
      <c r="AH477" s="115"/>
    </row>
    <row r="478" spans="1:53" s="296" customFormat="1">
      <c r="A478" s="296" t="s">
        <v>437</v>
      </c>
      <c r="B478" s="296" t="s">
        <v>626</v>
      </c>
      <c r="C478" s="298" t="s">
        <v>627</v>
      </c>
      <c r="D478" s="299" t="s">
        <v>87</v>
      </c>
      <c r="E478" s="300" t="s">
        <v>88</v>
      </c>
      <c r="F478" s="297">
        <v>8</v>
      </c>
      <c r="G478" s="297" t="s">
        <v>96</v>
      </c>
      <c r="H478" s="301">
        <v>726</v>
      </c>
      <c r="I478" s="302">
        <v>31.12</v>
      </c>
      <c r="J478" s="301">
        <v>22202</v>
      </c>
      <c r="K478" s="237"/>
      <c r="L478" s="301">
        <f t="shared" si="395"/>
        <v>22202</v>
      </c>
      <c r="M478" s="303">
        <f t="shared" si="396"/>
        <v>30.581267217630852</v>
      </c>
      <c r="N478" s="304"/>
      <c r="O478" s="304"/>
      <c r="P478" s="304"/>
      <c r="Q478" s="304"/>
      <c r="R478" s="304">
        <v>4.28</v>
      </c>
      <c r="S478" s="305">
        <v>5.28</v>
      </c>
      <c r="T478" s="305"/>
      <c r="V478" s="306"/>
      <c r="W478" s="306"/>
      <c r="X478" s="307">
        <v>0.32</v>
      </c>
      <c r="Y478" s="307"/>
      <c r="Z478" s="304">
        <v>0.33</v>
      </c>
      <c r="AA478" s="431"/>
      <c r="AB478" s="233" t="str">
        <f t="shared" si="350"/>
        <v/>
      </c>
      <c r="AC478" s="233" t="str">
        <f t="shared" si="397"/>
        <v/>
      </c>
      <c r="AD478" s="233" t="str">
        <f t="shared" si="377"/>
        <v/>
      </c>
      <c r="AE478" s="233"/>
      <c r="AF478" s="448"/>
      <c r="AH478" s="306"/>
    </row>
    <row r="479" spans="1:53" s="113" customFormat="1">
      <c r="A479" s="113" t="s">
        <v>437</v>
      </c>
      <c r="B479" s="113" t="s">
        <v>628</v>
      </c>
      <c r="C479" s="114" t="s">
        <v>629</v>
      </c>
      <c r="D479" s="128" t="s">
        <v>87</v>
      </c>
      <c r="E479" s="127" t="s">
        <v>88</v>
      </c>
      <c r="F479" s="126" t="s">
        <v>630</v>
      </c>
      <c r="G479" s="126" t="s">
        <v>96</v>
      </c>
      <c r="H479" s="123">
        <v>726</v>
      </c>
      <c r="I479" s="125">
        <v>36.409999999999997</v>
      </c>
      <c r="J479" s="123">
        <v>25885</v>
      </c>
      <c r="K479" s="124"/>
      <c r="L479" s="123">
        <f t="shared" si="395"/>
        <v>25885</v>
      </c>
      <c r="M479" s="122">
        <f t="shared" si="396"/>
        <v>35.654269972451793</v>
      </c>
      <c r="N479" s="118"/>
      <c r="O479" s="118"/>
      <c r="P479" s="118"/>
      <c r="Q479" s="118"/>
      <c r="R479" s="118">
        <v>3.98</v>
      </c>
      <c r="S479" s="153">
        <v>5.56</v>
      </c>
      <c r="T479" s="153"/>
      <c r="V479" s="115"/>
      <c r="W479" s="115"/>
      <c r="X479" s="120">
        <v>0.32</v>
      </c>
      <c r="Y479" s="120"/>
      <c r="Z479" s="118">
        <v>0.33</v>
      </c>
      <c r="AA479" s="430"/>
      <c r="AB479" s="117" t="str">
        <f t="shared" si="350"/>
        <v/>
      </c>
      <c r="AC479" s="117" t="str">
        <f t="shared" si="397"/>
        <v/>
      </c>
      <c r="AD479" s="117" t="str">
        <f t="shared" si="377"/>
        <v/>
      </c>
      <c r="AE479" s="117"/>
      <c r="AF479" s="447"/>
      <c r="AH479" s="115"/>
    </row>
    <row r="480" spans="1:53" s="296" customFormat="1">
      <c r="A480" s="296" t="s">
        <v>437</v>
      </c>
      <c r="B480" s="296" t="s">
        <v>631</v>
      </c>
      <c r="C480" s="298" t="s">
        <v>632</v>
      </c>
      <c r="D480" s="299" t="s">
        <v>87</v>
      </c>
      <c r="E480" s="300" t="s">
        <v>148</v>
      </c>
      <c r="F480" s="297" t="s">
        <v>625</v>
      </c>
      <c r="G480" s="297" t="s">
        <v>140</v>
      </c>
      <c r="H480" s="301">
        <v>605</v>
      </c>
      <c r="I480" s="302">
        <v>21.38</v>
      </c>
      <c r="J480" s="301">
        <v>12811</v>
      </c>
      <c r="K480" s="237"/>
      <c r="L480" s="301">
        <f t="shared" si="395"/>
        <v>12811</v>
      </c>
      <c r="M480" s="303">
        <f t="shared" si="396"/>
        <v>21.175206611570246</v>
      </c>
      <c r="N480" s="304">
        <v>11.09</v>
      </c>
      <c r="O480" s="304">
        <v>11.56</v>
      </c>
      <c r="P480" s="304">
        <v>9.4600000000000009</v>
      </c>
      <c r="Q480" s="304">
        <v>8.5</v>
      </c>
      <c r="R480" s="304">
        <v>13.88</v>
      </c>
      <c r="S480" s="305">
        <v>8.3800000000000008</v>
      </c>
      <c r="T480" s="305"/>
      <c r="V480" s="306"/>
      <c r="W480" s="306"/>
      <c r="X480" s="307">
        <v>0.33</v>
      </c>
      <c r="Y480" s="307"/>
      <c r="Z480" s="304">
        <v>0.3</v>
      </c>
      <c r="AA480" s="431">
        <v>46162</v>
      </c>
      <c r="AB480" s="233">
        <f t="shared" si="350"/>
        <v>78.071428571428569</v>
      </c>
      <c r="AC480" s="233">
        <f t="shared" si="397"/>
        <v>25.763571428571428</v>
      </c>
      <c r="AD480" s="233">
        <f t="shared" si="377"/>
        <v>7.7188286616330357</v>
      </c>
      <c r="AE480" s="233"/>
      <c r="AF480" s="448"/>
      <c r="AH480" s="306"/>
      <c r="AI480" s="296">
        <v>70</v>
      </c>
      <c r="AJ480" s="296">
        <v>69</v>
      </c>
      <c r="AK480" s="296">
        <v>76</v>
      </c>
      <c r="AL480" s="296">
        <v>87</v>
      </c>
      <c r="AM480" s="296">
        <v>79</v>
      </c>
      <c r="AN480" s="296">
        <v>85</v>
      </c>
      <c r="AO480" s="296">
        <v>89</v>
      </c>
      <c r="AP480" s="296">
        <v>76</v>
      </c>
      <c r="AQ480" s="296">
        <v>80</v>
      </c>
      <c r="AR480" s="296">
        <v>83</v>
      </c>
      <c r="AS480" s="296">
        <v>76</v>
      </c>
      <c r="AT480" s="296">
        <v>69</v>
      </c>
      <c r="AU480" s="296">
        <v>78</v>
      </c>
      <c r="AV480" s="296">
        <v>76</v>
      </c>
    </row>
    <row r="481" spans="1:63" s="296" customFormat="1">
      <c r="A481" s="296" t="s">
        <v>437</v>
      </c>
      <c r="B481" s="296" t="s">
        <v>633</v>
      </c>
      <c r="C481" s="298" t="s">
        <v>634</v>
      </c>
      <c r="D481" s="299" t="s">
        <v>87</v>
      </c>
      <c r="E481" s="300" t="s">
        <v>156</v>
      </c>
      <c r="F481" s="297">
        <v>146</v>
      </c>
      <c r="G481" s="297" t="s">
        <v>140</v>
      </c>
      <c r="H481" s="301">
        <v>680.625</v>
      </c>
      <c r="I481" s="302">
        <v>20.98</v>
      </c>
      <c r="J481" s="301">
        <v>14141</v>
      </c>
      <c r="K481" s="237"/>
      <c r="L481" s="301">
        <f t="shared" si="395"/>
        <v>14141</v>
      </c>
      <c r="M481" s="303">
        <f t="shared" si="396"/>
        <v>20.776492194674013</v>
      </c>
      <c r="N481" s="304">
        <v>10.16</v>
      </c>
      <c r="O481" s="304">
        <v>9.1300000000000008</v>
      </c>
      <c r="P481" s="304">
        <v>6.35</v>
      </c>
      <c r="Q481" s="304">
        <v>8.19</v>
      </c>
      <c r="R481" s="304">
        <v>11.17</v>
      </c>
      <c r="S481" s="305">
        <v>9.7799999999999994</v>
      </c>
      <c r="T481" s="305"/>
      <c r="V481" s="306"/>
      <c r="W481" s="306"/>
      <c r="X481" s="307">
        <v>0.28999999999999998</v>
      </c>
      <c r="Y481" s="307"/>
      <c r="Z481" s="304">
        <v>0.32</v>
      </c>
      <c r="AA481" s="431">
        <v>46162</v>
      </c>
      <c r="AB481" s="233">
        <f t="shared" si="350"/>
        <v>85.8</v>
      </c>
      <c r="AC481" s="233">
        <f t="shared" si="397"/>
        <v>24.881999999999998</v>
      </c>
      <c r="AD481" s="233">
        <f t="shared" si="377"/>
        <v>8.3855186367969488</v>
      </c>
      <c r="AE481" s="233"/>
      <c r="AF481" s="448"/>
      <c r="AH481" s="306"/>
      <c r="AI481" s="296">
        <v>84</v>
      </c>
      <c r="AJ481" s="296">
        <v>92</v>
      </c>
      <c r="AK481" s="296">
        <v>90</v>
      </c>
      <c r="AL481" s="296">
        <v>88</v>
      </c>
      <c r="AM481" s="296">
        <v>89</v>
      </c>
      <c r="AN481" s="296">
        <v>95</v>
      </c>
      <c r="AO481" s="296">
        <v>83</v>
      </c>
      <c r="AP481" s="296">
        <v>78</v>
      </c>
      <c r="AQ481" s="296">
        <v>90</v>
      </c>
      <c r="AR481" s="296">
        <v>85</v>
      </c>
      <c r="AS481" s="296">
        <v>79</v>
      </c>
      <c r="AT481" s="296">
        <v>88</v>
      </c>
      <c r="AU481" s="296">
        <v>78</v>
      </c>
      <c r="AV481" s="296">
        <v>85</v>
      </c>
      <c r="AW481" s="296">
        <v>83</v>
      </c>
    </row>
    <row r="482" spans="1:63" s="113" customFormat="1">
      <c r="A482" s="113" t="s">
        <v>437</v>
      </c>
      <c r="B482" s="113" t="s">
        <v>635</v>
      </c>
      <c r="C482" s="114" t="s">
        <v>636</v>
      </c>
      <c r="D482" s="128" t="s">
        <v>87</v>
      </c>
      <c r="E482" s="127" t="s">
        <v>88</v>
      </c>
      <c r="F482" s="126">
        <v>7</v>
      </c>
      <c r="G482" s="126" t="s">
        <v>145</v>
      </c>
      <c r="H482" s="123">
        <v>622.28571428571433</v>
      </c>
      <c r="I482" s="125">
        <v>64.31</v>
      </c>
      <c r="J482" s="123">
        <v>38947</v>
      </c>
      <c r="K482" s="124">
        <v>0.08</v>
      </c>
      <c r="L482" s="123">
        <f t="shared" si="395"/>
        <v>35831.24</v>
      </c>
      <c r="M482" s="122">
        <f t="shared" si="396"/>
        <v>57.58004591368227</v>
      </c>
      <c r="N482" s="118">
        <v>8.69</v>
      </c>
      <c r="O482" s="118">
        <v>7.52</v>
      </c>
      <c r="P482" s="118">
        <v>8.5299999999999994</v>
      </c>
      <c r="Q482" s="118">
        <v>7.33</v>
      </c>
      <c r="R482" s="118">
        <v>12.19</v>
      </c>
      <c r="S482" s="153">
        <v>7.86</v>
      </c>
      <c r="T482" s="153"/>
      <c r="V482" s="115"/>
      <c r="W482" s="115"/>
      <c r="X482" s="120"/>
      <c r="Y482" s="120"/>
      <c r="Z482" s="118">
        <v>0.33</v>
      </c>
      <c r="AA482" s="430"/>
      <c r="AB482" s="117" t="str">
        <f t="shared" si="350"/>
        <v/>
      </c>
      <c r="AC482" s="117" t="str">
        <f t="shared" si="397"/>
        <v/>
      </c>
      <c r="AD482" s="117" t="str">
        <f t="shared" si="377"/>
        <v/>
      </c>
      <c r="AE482" s="117"/>
      <c r="AF482" s="447"/>
      <c r="AH482" s="115"/>
    </row>
    <row r="483" spans="1:63" s="296" customFormat="1">
      <c r="A483" s="296" t="s">
        <v>437</v>
      </c>
      <c r="B483" s="296" t="s">
        <v>637</v>
      </c>
      <c r="C483" s="298" t="s">
        <v>638</v>
      </c>
      <c r="D483" s="299" t="s">
        <v>87</v>
      </c>
      <c r="E483" s="300" t="s">
        <v>88</v>
      </c>
      <c r="F483" s="297" t="s">
        <v>630</v>
      </c>
      <c r="G483" s="297" t="s">
        <v>639</v>
      </c>
      <c r="H483" s="301">
        <v>726</v>
      </c>
      <c r="I483" s="302">
        <v>18.59</v>
      </c>
      <c r="J483" s="301">
        <v>13156</v>
      </c>
      <c r="K483" s="237"/>
      <c r="L483" s="301">
        <f t="shared" si="395"/>
        <v>13156</v>
      </c>
      <c r="M483" s="303">
        <f t="shared" si="396"/>
        <v>18.121212121212121</v>
      </c>
      <c r="N483" s="304"/>
      <c r="O483" s="304"/>
      <c r="P483" s="304"/>
      <c r="Q483" s="304">
        <v>4.5599999999999996</v>
      </c>
      <c r="R483" s="304">
        <v>9.57</v>
      </c>
      <c r="S483" s="305">
        <v>8.0500000000000007</v>
      </c>
      <c r="T483" s="305"/>
      <c r="V483" s="306"/>
      <c r="W483" s="306"/>
      <c r="X483" s="307">
        <v>0.28000000000000003</v>
      </c>
      <c r="Y483" s="307"/>
      <c r="Z483" s="304">
        <v>0.33</v>
      </c>
      <c r="AA483" s="431">
        <v>46132</v>
      </c>
      <c r="AB483" s="233">
        <f t="shared" si="350"/>
        <v>99.058823529411768</v>
      </c>
      <c r="AC483" s="233">
        <f t="shared" si="397"/>
        <v>27.736470588235299</v>
      </c>
      <c r="AD483" s="233">
        <f t="shared" si="377"/>
        <v>9.8144434389140294</v>
      </c>
      <c r="AE483" s="233"/>
      <c r="AF483" s="448"/>
      <c r="AH483" s="306" t="s">
        <v>91</v>
      </c>
      <c r="AI483" s="296">
        <v>105</v>
      </c>
      <c r="AJ483" s="296">
        <v>109</v>
      </c>
      <c r="AK483" s="296">
        <v>124</v>
      </c>
      <c r="AL483" s="296">
        <v>97</v>
      </c>
      <c r="AM483" s="296">
        <v>83</v>
      </c>
      <c r="AN483" s="296">
        <v>98</v>
      </c>
      <c r="AO483" s="296">
        <v>103</v>
      </c>
      <c r="AP483" s="296">
        <v>91</v>
      </c>
      <c r="AQ483" s="296">
        <v>87</v>
      </c>
      <c r="AR483" s="296">
        <v>64</v>
      </c>
      <c r="AS483" s="296">
        <v>120</v>
      </c>
      <c r="AT483" s="296">
        <v>114</v>
      </c>
      <c r="AU483" s="296">
        <v>115</v>
      </c>
      <c r="AV483" s="296">
        <v>108</v>
      </c>
      <c r="AW483" s="296">
        <v>86</v>
      </c>
      <c r="AX483" s="296">
        <v>92</v>
      </c>
      <c r="AY483" s="296">
        <v>88</v>
      </c>
    </row>
    <row r="484" spans="1:63" s="296" customFormat="1">
      <c r="A484" s="296" t="s">
        <v>437</v>
      </c>
      <c r="B484" s="296" t="s">
        <v>637</v>
      </c>
      <c r="C484" s="298" t="s">
        <v>638</v>
      </c>
      <c r="D484" s="299" t="s">
        <v>87</v>
      </c>
      <c r="E484" s="300" t="s">
        <v>88</v>
      </c>
      <c r="F484" s="297" t="s">
        <v>630</v>
      </c>
      <c r="G484" s="297" t="s">
        <v>639</v>
      </c>
      <c r="H484" s="301">
        <v>726</v>
      </c>
      <c r="I484" s="302">
        <v>18.59</v>
      </c>
      <c r="J484" s="301">
        <v>13156</v>
      </c>
      <c r="K484" s="237"/>
      <c r="L484" s="301">
        <f t="shared" si="395"/>
        <v>13156</v>
      </c>
      <c r="M484" s="303">
        <f t="shared" si="396"/>
        <v>18.121212121212121</v>
      </c>
      <c r="N484" s="304"/>
      <c r="O484" s="304"/>
      <c r="P484" s="304"/>
      <c r="Q484" s="304">
        <v>4.5599999999999996</v>
      </c>
      <c r="R484" s="304">
        <v>9.57</v>
      </c>
      <c r="S484" s="305">
        <v>8.0500000000000007</v>
      </c>
      <c r="T484" s="305"/>
      <c r="V484" s="306"/>
      <c r="W484" s="306"/>
      <c r="X484" s="307">
        <v>0.28000000000000003</v>
      </c>
      <c r="Y484" s="307"/>
      <c r="Z484" s="304">
        <v>0.33</v>
      </c>
      <c r="AA484" s="431">
        <v>46156</v>
      </c>
      <c r="AB484" s="233">
        <f t="shared" si="350"/>
        <v>95.2</v>
      </c>
      <c r="AC484" s="233">
        <f t="shared" si="397"/>
        <v>26.656000000000002</v>
      </c>
      <c r="AD484" s="233">
        <f t="shared" si="377"/>
        <v>9.4321230769230766</v>
      </c>
      <c r="AE484" s="233"/>
      <c r="AF484" s="448"/>
      <c r="AH484" s="306" t="s">
        <v>91</v>
      </c>
      <c r="AI484" s="296">
        <v>99</v>
      </c>
      <c r="AJ484" s="296">
        <v>103</v>
      </c>
      <c r="AK484" s="296">
        <v>105</v>
      </c>
      <c r="AL484" s="296">
        <v>97</v>
      </c>
      <c r="AM484" s="296">
        <v>99</v>
      </c>
      <c r="AN484" s="296">
        <v>107</v>
      </c>
      <c r="AO484" s="296">
        <v>110</v>
      </c>
      <c r="AP484" s="296">
        <v>87</v>
      </c>
      <c r="AQ484" s="296">
        <v>95</v>
      </c>
      <c r="AR484" s="296">
        <v>100</v>
      </c>
      <c r="AS484" s="296">
        <v>87</v>
      </c>
      <c r="AT484" s="296">
        <v>74</v>
      </c>
      <c r="AU484" s="296">
        <v>80</v>
      </c>
      <c r="AV484" s="296">
        <v>90</v>
      </c>
      <c r="AW484" s="296">
        <v>95</v>
      </c>
    </row>
    <row r="485" spans="1:63" s="296" customFormat="1">
      <c r="A485" s="296" t="s">
        <v>437</v>
      </c>
      <c r="B485" s="296" t="s">
        <v>637</v>
      </c>
      <c r="C485" s="298" t="s">
        <v>638</v>
      </c>
      <c r="D485" s="299" t="s">
        <v>87</v>
      </c>
      <c r="E485" s="300" t="s">
        <v>88</v>
      </c>
      <c r="F485" s="297" t="s">
        <v>630</v>
      </c>
      <c r="G485" s="297" t="s">
        <v>639</v>
      </c>
      <c r="H485" s="301">
        <v>726</v>
      </c>
      <c r="I485" s="302">
        <v>18.59</v>
      </c>
      <c r="J485" s="301">
        <v>13156</v>
      </c>
      <c r="K485" s="237"/>
      <c r="L485" s="301">
        <f t="shared" si="395"/>
        <v>13156</v>
      </c>
      <c r="M485" s="303">
        <f t="shared" si="396"/>
        <v>18.121212121212121</v>
      </c>
      <c r="N485" s="304"/>
      <c r="O485" s="304"/>
      <c r="P485" s="304"/>
      <c r="Q485" s="304">
        <v>4.5599999999999996</v>
      </c>
      <c r="R485" s="304">
        <v>9.57</v>
      </c>
      <c r="S485" s="305">
        <v>8.0500000000000007</v>
      </c>
      <c r="T485" s="305"/>
      <c r="V485" s="306"/>
      <c r="W485" s="306"/>
      <c r="X485" s="307">
        <v>0.28000000000000003</v>
      </c>
      <c r="Y485" s="307"/>
      <c r="Z485" s="304">
        <v>0.33</v>
      </c>
      <c r="AA485" s="431"/>
      <c r="AB485" s="233" t="str">
        <f t="shared" si="350"/>
        <v/>
      </c>
      <c r="AC485" s="233" t="str">
        <f t="shared" si="397"/>
        <v/>
      </c>
      <c r="AD485" s="233" t="str">
        <f t="shared" si="377"/>
        <v/>
      </c>
      <c r="AE485" s="233"/>
      <c r="AF485" s="448"/>
      <c r="AH485" s="306"/>
    </row>
    <row r="486" spans="1:63" s="296" customFormat="1">
      <c r="A486" s="296" t="s">
        <v>437</v>
      </c>
      <c r="B486" s="296" t="s">
        <v>637</v>
      </c>
      <c r="C486" s="298" t="s">
        <v>638</v>
      </c>
      <c r="D486" s="299" t="s">
        <v>87</v>
      </c>
      <c r="E486" s="300" t="s">
        <v>88</v>
      </c>
      <c r="F486" s="297" t="s">
        <v>630</v>
      </c>
      <c r="G486" s="297" t="s">
        <v>639</v>
      </c>
      <c r="H486" s="301">
        <v>726</v>
      </c>
      <c r="I486" s="302">
        <v>18.59</v>
      </c>
      <c r="J486" s="301">
        <v>13156</v>
      </c>
      <c r="K486" s="237"/>
      <c r="L486" s="301">
        <f t="shared" si="395"/>
        <v>13156</v>
      </c>
      <c r="M486" s="303">
        <f t="shared" si="396"/>
        <v>18.121212121212121</v>
      </c>
      <c r="N486" s="304"/>
      <c r="O486" s="304"/>
      <c r="P486" s="304"/>
      <c r="Q486" s="304">
        <v>4.5599999999999996</v>
      </c>
      <c r="R486" s="304">
        <v>9.57</v>
      </c>
      <c r="S486" s="305">
        <v>8.0500000000000007</v>
      </c>
      <c r="T486" s="305"/>
      <c r="V486" s="306"/>
      <c r="W486" s="306"/>
      <c r="X486" s="307">
        <v>0.28000000000000003</v>
      </c>
      <c r="Y486" s="307"/>
      <c r="Z486" s="304">
        <v>0.33</v>
      </c>
      <c r="AA486" s="431"/>
      <c r="AB486" s="233" t="str">
        <f t="shared" si="350"/>
        <v/>
      </c>
      <c r="AC486" s="233" t="str">
        <f t="shared" si="397"/>
        <v/>
      </c>
      <c r="AD486" s="233" t="str">
        <f t="shared" si="377"/>
        <v/>
      </c>
      <c r="AE486" s="233"/>
      <c r="AF486" s="448"/>
      <c r="AH486" s="306"/>
    </row>
    <row r="487" spans="1:63" s="113" customFormat="1">
      <c r="A487" s="113" t="s">
        <v>437</v>
      </c>
      <c r="B487" s="113" t="s">
        <v>640</v>
      </c>
      <c r="C487" s="114" t="s">
        <v>641</v>
      </c>
      <c r="D487" s="128" t="s">
        <v>87</v>
      </c>
      <c r="E487" s="127" t="s">
        <v>221</v>
      </c>
      <c r="F487" s="126">
        <v>4</v>
      </c>
      <c r="G487" s="126" t="s">
        <v>140</v>
      </c>
      <c r="H487" s="123">
        <v>806.66666666666663</v>
      </c>
      <c r="I487" s="125">
        <v>19.55</v>
      </c>
      <c r="J487" s="123">
        <v>15530</v>
      </c>
      <c r="K487" s="124"/>
      <c r="L487" s="123">
        <f t="shared" si="395"/>
        <v>15530</v>
      </c>
      <c r="M487" s="122">
        <f t="shared" si="396"/>
        <v>19.25206611570248</v>
      </c>
      <c r="N487" s="118">
        <v>8.0500000000000007</v>
      </c>
      <c r="O487" s="118">
        <v>6.16</v>
      </c>
      <c r="P487" s="118">
        <v>9.83</v>
      </c>
      <c r="Q487" s="118">
        <v>9.64</v>
      </c>
      <c r="R487" s="118">
        <v>10.9</v>
      </c>
      <c r="S487" s="153">
        <v>8.31</v>
      </c>
      <c r="T487" s="153"/>
      <c r="V487" s="115"/>
      <c r="W487" s="115"/>
      <c r="X487" s="120">
        <v>0.43</v>
      </c>
      <c r="Y487" s="120"/>
      <c r="Z487" s="118">
        <v>0.55000000000000004</v>
      </c>
      <c r="AA487" s="430">
        <v>46135</v>
      </c>
      <c r="AB487" s="117">
        <f t="shared" si="350"/>
        <v>46.6</v>
      </c>
      <c r="AC487" s="117">
        <f>IFERROR(AB487*X487,"")</f>
        <v>20.038</v>
      </c>
      <c r="AD487" s="117">
        <f>IFERROR(((AC487*L487)/2000)/I487,"")</f>
        <v>7.9588271099744254</v>
      </c>
      <c r="AE487" s="117"/>
      <c r="AF487" s="447"/>
      <c r="AH487" s="115" t="s">
        <v>91</v>
      </c>
      <c r="AI487" s="113">
        <v>60</v>
      </c>
      <c r="AJ487" s="113">
        <v>60</v>
      </c>
      <c r="AK487" s="113">
        <v>33</v>
      </c>
      <c r="AL487" s="113">
        <v>44</v>
      </c>
      <c r="AM487" s="113">
        <v>62</v>
      </c>
      <c r="AN487" s="113">
        <v>44</v>
      </c>
      <c r="AO487" s="113">
        <v>48</v>
      </c>
      <c r="AP487" s="113">
        <v>32</v>
      </c>
      <c r="AQ487" s="113">
        <v>50</v>
      </c>
      <c r="AR487" s="113">
        <v>43</v>
      </c>
      <c r="AS487" s="113">
        <v>44</v>
      </c>
      <c r="AT487" s="113">
        <v>50</v>
      </c>
      <c r="AU487" s="113">
        <v>38</v>
      </c>
      <c r="AV487" s="113">
        <v>43</v>
      </c>
      <c r="AW487" s="113">
        <v>48</v>
      </c>
    </row>
    <row r="488" spans="1:63" s="113" customFormat="1">
      <c r="A488" s="113" t="s">
        <v>437</v>
      </c>
      <c r="B488" s="113" t="s">
        <v>640</v>
      </c>
      <c r="C488" s="114" t="s">
        <v>641</v>
      </c>
      <c r="D488" s="128" t="s">
        <v>87</v>
      </c>
      <c r="E488" s="127" t="s">
        <v>221</v>
      </c>
      <c r="F488" s="126">
        <v>4</v>
      </c>
      <c r="G488" s="126" t="s">
        <v>140</v>
      </c>
      <c r="H488" s="123">
        <v>806.66666666666663</v>
      </c>
      <c r="I488" s="125">
        <v>19.55</v>
      </c>
      <c r="J488" s="123">
        <v>15530</v>
      </c>
      <c r="K488" s="124"/>
      <c r="L488" s="123">
        <f t="shared" si="395"/>
        <v>15530</v>
      </c>
      <c r="M488" s="122">
        <f t="shared" si="396"/>
        <v>19.25206611570248</v>
      </c>
      <c r="N488" s="118">
        <v>8.0500000000000007</v>
      </c>
      <c r="O488" s="118">
        <v>6.16</v>
      </c>
      <c r="P488" s="118">
        <v>9.83</v>
      </c>
      <c r="Q488" s="118">
        <v>9.64</v>
      </c>
      <c r="R488" s="118">
        <v>10.9</v>
      </c>
      <c r="S488" s="153">
        <v>8.31</v>
      </c>
      <c r="T488" s="153"/>
      <c r="V488" s="115"/>
      <c r="W488" s="115"/>
      <c r="X488" s="120">
        <v>0.43</v>
      </c>
      <c r="Y488" s="120"/>
      <c r="Z488" s="118">
        <v>0.55000000000000004</v>
      </c>
      <c r="AA488" s="430">
        <v>46113</v>
      </c>
      <c r="AB488" s="117">
        <f>IFERROR(AVERAGE(AI488:BG488),"")</f>
        <v>51.272727272727273</v>
      </c>
      <c r="AC488" s="117">
        <f>IFERROR(AB488*X488,"")</f>
        <v>22.047272727272727</v>
      </c>
      <c r="AD488" s="117">
        <f>IFERROR(((AC488*L488)/2000)/I488,"")</f>
        <v>8.756883515461519</v>
      </c>
      <c r="AE488" s="429"/>
      <c r="AF488" s="457"/>
      <c r="AH488" s="115" t="s">
        <v>137</v>
      </c>
      <c r="AI488" s="113">
        <v>49</v>
      </c>
      <c r="AJ488" s="113">
        <v>52</v>
      </c>
      <c r="AK488" s="113">
        <v>49</v>
      </c>
      <c r="AL488" s="113">
        <v>50</v>
      </c>
      <c r="AM488" s="113">
        <v>58</v>
      </c>
      <c r="AN488" s="113">
        <v>45</v>
      </c>
      <c r="AO488" s="113">
        <v>45</v>
      </c>
      <c r="AP488" s="113">
        <v>50</v>
      </c>
      <c r="AQ488" s="113">
        <v>58</v>
      </c>
      <c r="AR488" s="113">
        <v>58</v>
      </c>
      <c r="AS488" s="113">
        <v>50</v>
      </c>
    </row>
    <row r="489" spans="1:63" s="113" customFormat="1">
      <c r="A489" s="113" t="s">
        <v>437</v>
      </c>
      <c r="B489" s="113" t="s">
        <v>640</v>
      </c>
      <c r="C489" s="114" t="s">
        <v>641</v>
      </c>
      <c r="D489" s="128" t="s">
        <v>87</v>
      </c>
      <c r="E489" s="127" t="s">
        <v>221</v>
      </c>
      <c r="F489" s="126">
        <v>4</v>
      </c>
      <c r="G489" s="126" t="s">
        <v>140</v>
      </c>
      <c r="H489" s="123">
        <v>806.66666666666663</v>
      </c>
      <c r="I489" s="125">
        <v>19.55</v>
      </c>
      <c r="J489" s="123">
        <v>15530</v>
      </c>
      <c r="K489" s="124"/>
      <c r="L489" s="123">
        <f t="shared" si="395"/>
        <v>15530</v>
      </c>
      <c r="M489" s="122">
        <f t="shared" si="396"/>
        <v>19.25206611570248</v>
      </c>
      <c r="N489" s="118">
        <v>8.0500000000000007</v>
      </c>
      <c r="O489" s="118">
        <v>6.16</v>
      </c>
      <c r="P489" s="118">
        <v>9.83</v>
      </c>
      <c r="Q489" s="118">
        <v>9.64</v>
      </c>
      <c r="R489" s="118">
        <v>10.9</v>
      </c>
      <c r="S489" s="153">
        <v>8.31</v>
      </c>
      <c r="T489" s="153"/>
      <c r="V489" s="115"/>
      <c r="W489" s="115"/>
      <c r="X489" s="120">
        <v>0.43</v>
      </c>
      <c r="Y489" s="120"/>
      <c r="Z489" s="118">
        <v>0.55000000000000004</v>
      </c>
      <c r="AA489" s="430">
        <v>46155</v>
      </c>
      <c r="AB489" s="117">
        <f t="shared" si="350"/>
        <v>62.6</v>
      </c>
      <c r="AC489" s="117">
        <f t="shared" si="397"/>
        <v>26.917999999999999</v>
      </c>
      <c r="AD489" s="442">
        <f>IFERROR(((AC489*L489)/2000)/I489,"")</f>
        <v>10.691471611253197</v>
      </c>
      <c r="AE489" s="441"/>
      <c r="AF489" s="458"/>
      <c r="AH489" s="115" t="s">
        <v>116</v>
      </c>
      <c r="AI489" s="113">
        <v>64</v>
      </c>
      <c r="AJ489" s="113">
        <v>70</v>
      </c>
      <c r="AK489" s="113">
        <v>66</v>
      </c>
      <c r="AL489" s="113">
        <v>55</v>
      </c>
      <c r="AM489" s="113">
        <v>63</v>
      </c>
      <c r="AN489" s="113">
        <v>69</v>
      </c>
      <c r="AO489" s="113">
        <v>59</v>
      </c>
      <c r="AP489" s="113">
        <v>67</v>
      </c>
      <c r="AQ489" s="113">
        <v>62</v>
      </c>
      <c r="AR489" s="113">
        <v>58</v>
      </c>
      <c r="AS489" s="113">
        <v>65</v>
      </c>
      <c r="AT489" s="113">
        <v>59</v>
      </c>
      <c r="AU489" s="113">
        <v>56</v>
      </c>
      <c r="AV489" s="113">
        <v>61</v>
      </c>
      <c r="AW489" s="113">
        <v>65</v>
      </c>
    </row>
    <row r="490" spans="1:63" s="296" customFormat="1">
      <c r="A490" s="296" t="s">
        <v>437</v>
      </c>
      <c r="B490" s="296" t="s">
        <v>642</v>
      </c>
      <c r="C490" s="298" t="s">
        <v>643</v>
      </c>
      <c r="D490" s="299" t="s">
        <v>87</v>
      </c>
      <c r="E490" s="300" t="s">
        <v>546</v>
      </c>
      <c r="F490" s="297">
        <v>1</v>
      </c>
      <c r="G490" s="297" t="s">
        <v>140</v>
      </c>
      <c r="H490" s="301">
        <v>605</v>
      </c>
      <c r="I490" s="302">
        <v>19.350000000000001</v>
      </c>
      <c r="J490" s="301">
        <v>11526</v>
      </c>
      <c r="K490" s="237">
        <v>0.05</v>
      </c>
      <c r="L490" s="301">
        <f t="shared" si="395"/>
        <v>10949.7</v>
      </c>
      <c r="M490" s="303">
        <f t="shared" si="396"/>
        <v>18.098677685950413</v>
      </c>
      <c r="N490" s="304">
        <v>8.6199999999999992</v>
      </c>
      <c r="O490" s="304">
        <v>8.3000000000000007</v>
      </c>
      <c r="P490" s="304">
        <v>10.18</v>
      </c>
      <c r="Q490" s="304">
        <v>11.24</v>
      </c>
      <c r="R490" s="304">
        <v>9.9499999999999993</v>
      </c>
      <c r="S490" s="305">
        <v>7.95</v>
      </c>
      <c r="T490" s="305"/>
      <c r="V490" s="306"/>
      <c r="W490" s="306"/>
      <c r="X490" s="307">
        <v>0.25</v>
      </c>
      <c r="Y490" s="307"/>
      <c r="Z490" s="304">
        <v>0.3</v>
      </c>
      <c r="AA490" s="431">
        <v>46168</v>
      </c>
      <c r="AB490" s="233">
        <f t="shared" si="350"/>
        <v>103.73333333333333</v>
      </c>
      <c r="AC490" s="428">
        <f t="shared" si="397"/>
        <v>25.933333333333334</v>
      </c>
      <c r="AD490" s="443">
        <f t="shared" si="377"/>
        <v>7.3375250645994825</v>
      </c>
      <c r="AE490" s="427"/>
      <c r="AF490" s="459"/>
      <c r="AH490" s="306" t="s">
        <v>116</v>
      </c>
      <c r="AI490" s="296">
        <v>106</v>
      </c>
      <c r="AJ490" s="296">
        <v>103</v>
      </c>
      <c r="AK490" s="296">
        <v>115</v>
      </c>
      <c r="AL490" s="296">
        <v>77</v>
      </c>
      <c r="AM490" s="296">
        <v>101</v>
      </c>
      <c r="AN490" s="296">
        <v>99</v>
      </c>
      <c r="AO490" s="296">
        <v>110</v>
      </c>
      <c r="AP490" s="296">
        <v>93</v>
      </c>
      <c r="AQ490" s="296">
        <v>115</v>
      </c>
      <c r="AR490" s="296">
        <v>98</v>
      </c>
      <c r="AS490" s="296">
        <v>89</v>
      </c>
      <c r="AT490" s="296">
        <v>119</v>
      </c>
      <c r="AU490" s="296">
        <v>112</v>
      </c>
      <c r="AV490" s="296">
        <v>120</v>
      </c>
      <c r="AW490" s="296">
        <v>99</v>
      </c>
    </row>
    <row r="491" spans="1:63" s="296" customFormat="1">
      <c r="A491" s="296" t="s">
        <v>437</v>
      </c>
      <c r="B491" s="296" t="s">
        <v>642</v>
      </c>
      <c r="C491" s="298" t="s">
        <v>643</v>
      </c>
      <c r="D491" s="299" t="s">
        <v>87</v>
      </c>
      <c r="E491" s="300" t="s">
        <v>546</v>
      </c>
      <c r="F491" s="297">
        <v>1</v>
      </c>
      <c r="G491" s="297" t="s">
        <v>140</v>
      </c>
      <c r="H491" s="301">
        <v>605</v>
      </c>
      <c r="I491" s="302">
        <v>19.350000000000001</v>
      </c>
      <c r="J491" s="301">
        <v>11526</v>
      </c>
      <c r="K491" s="237">
        <v>0.05</v>
      </c>
      <c r="L491" s="301">
        <f t="shared" si="395"/>
        <v>10949.7</v>
      </c>
      <c r="M491" s="303">
        <f t="shared" si="396"/>
        <v>18.098677685950413</v>
      </c>
      <c r="N491" s="304">
        <v>8.6199999999999992</v>
      </c>
      <c r="O491" s="304">
        <v>8.3000000000000007</v>
      </c>
      <c r="P491" s="304">
        <v>10.18</v>
      </c>
      <c r="Q491" s="304">
        <v>11.24</v>
      </c>
      <c r="R491" s="304">
        <v>9.9499999999999993</v>
      </c>
      <c r="S491" s="305">
        <v>7.95</v>
      </c>
      <c r="T491" s="305"/>
      <c r="V491" s="306"/>
      <c r="W491" s="306"/>
      <c r="X491" s="307">
        <v>0.25</v>
      </c>
      <c r="Y491" s="307"/>
      <c r="Z491" s="304">
        <v>0.3</v>
      </c>
      <c r="AA491" s="431">
        <v>46205</v>
      </c>
      <c r="AB491" s="233">
        <f t="shared" si="350"/>
        <v>86.466666666666669</v>
      </c>
      <c r="AC491" s="428">
        <f t="shared" si="397"/>
        <v>21.616666666666667</v>
      </c>
      <c r="AD491" s="443">
        <f t="shared" si="377"/>
        <v>6.1161760981912145</v>
      </c>
      <c r="AE491" s="427"/>
      <c r="AF491" s="459"/>
      <c r="AG491" s="296" t="s">
        <v>644</v>
      </c>
      <c r="AH491" s="306" t="s">
        <v>91</v>
      </c>
      <c r="AI491" s="296">
        <v>87</v>
      </c>
      <c r="AJ491" s="296">
        <v>106</v>
      </c>
      <c r="AK491" s="296">
        <v>77</v>
      </c>
      <c r="AL491" s="296">
        <v>93</v>
      </c>
      <c r="AM491" s="296">
        <v>86</v>
      </c>
      <c r="AN491" s="296">
        <v>88</v>
      </c>
      <c r="AO491" s="296">
        <v>55</v>
      </c>
      <c r="AP491" s="296">
        <v>87</v>
      </c>
      <c r="AQ491" s="296">
        <v>101</v>
      </c>
      <c r="AR491" s="296">
        <v>89</v>
      </c>
      <c r="AS491" s="296">
        <v>91</v>
      </c>
      <c r="AT491" s="296">
        <v>89</v>
      </c>
      <c r="AU491" s="296">
        <v>88</v>
      </c>
      <c r="AV491" s="296">
        <v>79</v>
      </c>
      <c r="AW491" s="296">
        <v>81</v>
      </c>
    </row>
    <row r="492" spans="1:63" s="113" customFormat="1">
      <c r="A492" s="113" t="s">
        <v>437</v>
      </c>
      <c r="B492" s="113" t="s">
        <v>645</v>
      </c>
      <c r="C492" s="114" t="s">
        <v>646</v>
      </c>
      <c r="D492" s="128" t="s">
        <v>87</v>
      </c>
      <c r="E492" s="127" t="s">
        <v>160</v>
      </c>
      <c r="F492" s="126">
        <v>4</v>
      </c>
      <c r="G492" s="126" t="s">
        <v>140</v>
      </c>
      <c r="H492" s="123">
        <v>605</v>
      </c>
      <c r="I492" s="125">
        <v>19.13</v>
      </c>
      <c r="J492" s="123">
        <v>11455</v>
      </c>
      <c r="K492" s="124">
        <v>0.05</v>
      </c>
      <c r="L492" s="123">
        <f t="shared" si="395"/>
        <v>10882.25</v>
      </c>
      <c r="M492" s="122">
        <f t="shared" si="396"/>
        <v>17.987190082644627</v>
      </c>
      <c r="N492" s="118">
        <v>8.41</v>
      </c>
      <c r="O492" s="118">
        <v>8.85</v>
      </c>
      <c r="P492" s="118">
        <v>9.67</v>
      </c>
      <c r="Q492" s="118">
        <v>10.4</v>
      </c>
      <c r="R492" s="118">
        <v>10.99</v>
      </c>
      <c r="S492" s="153">
        <v>8.43</v>
      </c>
      <c r="T492" s="153"/>
      <c r="V492" s="115"/>
      <c r="W492" s="115"/>
      <c r="X492" s="120">
        <v>0.42899999999999999</v>
      </c>
      <c r="Y492" s="120"/>
      <c r="Z492" s="118">
        <v>0.4</v>
      </c>
      <c r="AA492" s="430"/>
      <c r="AB492" s="117" t="str">
        <f t="shared" si="350"/>
        <v/>
      </c>
      <c r="AC492" s="117" t="str">
        <f t="shared" si="397"/>
        <v/>
      </c>
      <c r="AD492" s="444" t="str">
        <f t="shared" si="377"/>
        <v/>
      </c>
      <c r="AE492" s="441"/>
      <c r="AF492" s="458"/>
      <c r="AH492" s="115"/>
    </row>
    <row r="493" spans="1:63" s="113" customFormat="1">
      <c r="A493" s="113" t="s">
        <v>437</v>
      </c>
      <c r="B493" s="113" t="s">
        <v>645</v>
      </c>
      <c r="C493" s="114" t="s">
        <v>646</v>
      </c>
      <c r="D493" s="128" t="s">
        <v>87</v>
      </c>
      <c r="E493" s="127" t="s">
        <v>160</v>
      </c>
      <c r="F493" s="126">
        <v>4</v>
      </c>
      <c r="G493" s="126" t="s">
        <v>140</v>
      </c>
      <c r="H493" s="123">
        <v>605</v>
      </c>
      <c r="I493" s="125">
        <v>19.13</v>
      </c>
      <c r="J493" s="123">
        <v>11455</v>
      </c>
      <c r="K493" s="124">
        <v>0.05</v>
      </c>
      <c r="L493" s="123">
        <f t="shared" si="395"/>
        <v>10882.25</v>
      </c>
      <c r="M493" s="122">
        <f t="shared" si="396"/>
        <v>17.987190082644627</v>
      </c>
      <c r="N493" s="118">
        <v>8.41</v>
      </c>
      <c r="O493" s="118">
        <v>8.85</v>
      </c>
      <c r="P493" s="118">
        <v>9.67</v>
      </c>
      <c r="Q493" s="118">
        <v>10.4</v>
      </c>
      <c r="R493" s="118">
        <v>10.99</v>
      </c>
      <c r="S493" s="153">
        <v>8.43</v>
      </c>
      <c r="T493" s="153"/>
      <c r="V493" s="115"/>
      <c r="W493" s="115"/>
      <c r="X493" s="120">
        <v>0.42899999999999999</v>
      </c>
      <c r="Y493" s="120"/>
      <c r="Z493" s="118">
        <v>0.4</v>
      </c>
      <c r="AA493" s="430"/>
      <c r="AB493" s="117" t="str">
        <f t="shared" si="350"/>
        <v/>
      </c>
      <c r="AC493" s="117" t="str">
        <f t="shared" si="397"/>
        <v/>
      </c>
      <c r="AD493" s="445" t="str">
        <f t="shared" si="377"/>
        <v/>
      </c>
      <c r="AE493" s="441"/>
      <c r="AF493" s="458"/>
      <c r="AH493" s="115"/>
    </row>
    <row r="494" spans="1:63" s="296" customFormat="1">
      <c r="A494" s="296" t="s">
        <v>437</v>
      </c>
      <c r="B494" s="296" t="s">
        <v>647</v>
      </c>
      <c r="C494" s="298" t="s">
        <v>648</v>
      </c>
      <c r="D494" s="299" t="s">
        <v>193</v>
      </c>
      <c r="E494" s="300" t="s">
        <v>148</v>
      </c>
      <c r="F494" s="297" t="s">
        <v>649</v>
      </c>
      <c r="G494" s="297" t="s">
        <v>650</v>
      </c>
      <c r="H494" s="301">
        <v>622</v>
      </c>
      <c r="I494" s="302">
        <v>35.5</v>
      </c>
      <c r="J494" s="301">
        <v>21904</v>
      </c>
      <c r="K494" s="237">
        <v>0.05</v>
      </c>
      <c r="L494" s="301">
        <f t="shared" si="395"/>
        <v>20808.8</v>
      </c>
      <c r="M494" s="303">
        <f t="shared" si="396"/>
        <v>33.454662379421222</v>
      </c>
      <c r="N494" s="302"/>
      <c r="O494" s="302"/>
      <c r="P494" s="302"/>
      <c r="Q494" s="302"/>
      <c r="R494" s="302"/>
      <c r="S494" s="320">
        <v>4.63</v>
      </c>
      <c r="T494" s="320"/>
      <c r="V494" s="306"/>
      <c r="W494" s="306"/>
      <c r="X494" s="307">
        <v>0.35</v>
      </c>
      <c r="Y494" s="307"/>
      <c r="Z494" s="304">
        <v>0.35</v>
      </c>
      <c r="AA494" s="431">
        <v>46125</v>
      </c>
      <c r="AB494" s="233">
        <f t="shared" si="350"/>
        <v>79.86666666666666</v>
      </c>
      <c r="AC494" s="233">
        <f t="shared" si="397"/>
        <v>27.95333333333333</v>
      </c>
      <c r="AD494" s="428">
        <f t="shared" si="377"/>
        <v>8.1926101784037542</v>
      </c>
      <c r="AE494" s="427"/>
      <c r="AF494" s="459"/>
      <c r="AG494" s="308"/>
      <c r="AH494" s="306" t="s">
        <v>91</v>
      </c>
      <c r="AI494" s="296">
        <v>90</v>
      </c>
      <c r="AJ494" s="296">
        <v>93</v>
      </c>
      <c r="AK494" s="296">
        <v>86</v>
      </c>
      <c r="AL494" s="296">
        <v>98</v>
      </c>
      <c r="AM494" s="296">
        <v>83</v>
      </c>
      <c r="AN494" s="296">
        <v>91</v>
      </c>
      <c r="AO494" s="296">
        <v>77</v>
      </c>
      <c r="AP494" s="296">
        <v>68</v>
      </c>
      <c r="AQ494" s="296">
        <v>60</v>
      </c>
      <c r="AR494" s="296">
        <v>66</v>
      </c>
      <c r="AS494" s="296">
        <v>80</v>
      </c>
      <c r="AT494" s="296">
        <v>89</v>
      </c>
      <c r="AU494" s="296">
        <v>64</v>
      </c>
      <c r="AV494" s="296">
        <v>66</v>
      </c>
      <c r="AW494" s="296">
        <v>87</v>
      </c>
    </row>
    <row r="495" spans="1:63" s="296" customFormat="1">
      <c r="A495" s="296" t="s">
        <v>437</v>
      </c>
      <c r="B495" s="296" t="s">
        <v>647</v>
      </c>
      <c r="C495" s="298" t="s">
        <v>648</v>
      </c>
      <c r="D495" s="299" t="s">
        <v>193</v>
      </c>
      <c r="E495" s="300" t="s">
        <v>148</v>
      </c>
      <c r="F495" s="297" t="s">
        <v>649</v>
      </c>
      <c r="G495" s="297" t="s">
        <v>650</v>
      </c>
      <c r="H495" s="301">
        <v>622</v>
      </c>
      <c r="I495" s="302">
        <v>35.5</v>
      </c>
      <c r="J495" s="301">
        <v>21904</v>
      </c>
      <c r="K495" s="237">
        <v>0.05</v>
      </c>
      <c r="L495" s="301">
        <f t="shared" si="395"/>
        <v>20808.8</v>
      </c>
      <c r="M495" s="303">
        <f t="shared" si="396"/>
        <v>33.454662379421222</v>
      </c>
      <c r="N495" s="302"/>
      <c r="O495" s="302"/>
      <c r="P495" s="302"/>
      <c r="Q495" s="302"/>
      <c r="R495" s="302"/>
      <c r="S495" s="320">
        <v>4.63</v>
      </c>
      <c r="T495" s="320"/>
      <c r="V495" s="306"/>
      <c r="W495" s="306"/>
      <c r="X495" s="307">
        <v>0.35</v>
      </c>
      <c r="Y495" s="307"/>
      <c r="Z495" s="304">
        <v>0.35</v>
      </c>
      <c r="AA495" s="431">
        <v>46162</v>
      </c>
      <c r="AB495" s="233">
        <f t="shared" si="350"/>
        <v>71.56</v>
      </c>
      <c r="AC495" s="233">
        <f t="shared" si="397"/>
        <v>25.045999999999999</v>
      </c>
      <c r="AD495" s="428">
        <f t="shared" si="377"/>
        <v>7.340524011267604</v>
      </c>
      <c r="AE495" s="427"/>
      <c r="AF495" s="459"/>
      <c r="AG495" s="308"/>
      <c r="AH495" s="306" t="s">
        <v>116</v>
      </c>
      <c r="AI495" s="296">
        <v>70</v>
      </c>
      <c r="AJ495" s="296">
        <v>75</v>
      </c>
      <c r="AK495" s="296">
        <v>60</v>
      </c>
      <c r="AL495" s="296">
        <v>68</v>
      </c>
      <c r="AM495" s="296">
        <v>70</v>
      </c>
      <c r="AN495" s="296">
        <v>59</v>
      </c>
      <c r="AO495" s="296">
        <v>63</v>
      </c>
      <c r="AP495" s="296">
        <v>67</v>
      </c>
      <c r="AQ495" s="296">
        <v>73</v>
      </c>
      <c r="AR495" s="296">
        <v>60</v>
      </c>
      <c r="AS495" s="296">
        <v>58</v>
      </c>
      <c r="AT495" s="296">
        <v>67</v>
      </c>
      <c r="AU495" s="296">
        <v>71</v>
      </c>
      <c r="AV495" s="296">
        <v>63</v>
      </c>
      <c r="AW495" s="296">
        <v>59</v>
      </c>
      <c r="AX495" s="296">
        <v>73</v>
      </c>
      <c r="AY495" s="296">
        <v>89</v>
      </c>
      <c r="AZ495" s="296">
        <v>83</v>
      </c>
      <c r="BA495" s="296">
        <v>67</v>
      </c>
      <c r="BB495" s="296">
        <v>81</v>
      </c>
      <c r="BC495" s="296">
        <v>69</v>
      </c>
      <c r="BD495" s="296">
        <v>74</v>
      </c>
      <c r="BE495" s="296">
        <v>95</v>
      </c>
      <c r="BF495" s="296">
        <v>89</v>
      </c>
      <c r="BG495" s="296">
        <v>86</v>
      </c>
      <c r="BH495" s="296">
        <v>83</v>
      </c>
      <c r="BI495" s="296">
        <v>91</v>
      </c>
      <c r="BJ495" s="296">
        <v>85</v>
      </c>
      <c r="BK495" s="296">
        <v>89</v>
      </c>
    </row>
    <row r="496" spans="1:63" s="296" customFormat="1">
      <c r="A496" s="296" t="s">
        <v>437</v>
      </c>
      <c r="B496" s="296" t="s">
        <v>647</v>
      </c>
      <c r="C496" s="298" t="s">
        <v>648</v>
      </c>
      <c r="D496" s="299" t="s">
        <v>193</v>
      </c>
      <c r="E496" s="300" t="s">
        <v>148</v>
      </c>
      <c r="F496" s="297" t="s">
        <v>649</v>
      </c>
      <c r="G496" s="297" t="s">
        <v>650</v>
      </c>
      <c r="H496" s="301">
        <v>622</v>
      </c>
      <c r="I496" s="302">
        <v>35.5</v>
      </c>
      <c r="J496" s="301">
        <v>21904</v>
      </c>
      <c r="K496" s="237">
        <v>0.05</v>
      </c>
      <c r="L496" s="301">
        <f t="shared" si="395"/>
        <v>20808.8</v>
      </c>
      <c r="M496" s="303">
        <f t="shared" si="396"/>
        <v>33.454662379421222</v>
      </c>
      <c r="N496" s="302"/>
      <c r="O496" s="302"/>
      <c r="P496" s="302"/>
      <c r="Q496" s="302"/>
      <c r="R496" s="302"/>
      <c r="S496" s="320">
        <v>4.63</v>
      </c>
      <c r="T496" s="320"/>
      <c r="V496" s="306"/>
      <c r="W496" s="306"/>
      <c r="X496" s="307">
        <v>0.35</v>
      </c>
      <c r="Y496" s="307"/>
      <c r="Z496" s="304">
        <v>0.35</v>
      </c>
      <c r="AA496" s="431">
        <v>46204</v>
      </c>
      <c r="AB496" s="233">
        <f t="shared" si="350"/>
        <v>68.066666666666663</v>
      </c>
      <c r="AC496" s="233">
        <f t="shared" si="397"/>
        <v>23.823333333333331</v>
      </c>
      <c r="AD496" s="428">
        <f t="shared" si="377"/>
        <v>6.9821827981220652</v>
      </c>
      <c r="AE496" s="427"/>
      <c r="AF496" s="459"/>
      <c r="AG496" s="308"/>
      <c r="AH496" s="306" t="s">
        <v>116</v>
      </c>
      <c r="AI496" s="296">
        <v>75</v>
      </c>
      <c r="AJ496" s="296">
        <v>70</v>
      </c>
      <c r="AK496" s="296">
        <v>69</v>
      </c>
      <c r="AL496" s="296">
        <v>65</v>
      </c>
      <c r="AM496" s="296">
        <v>73</v>
      </c>
      <c r="AN496" s="296">
        <v>61</v>
      </c>
      <c r="AO496" s="296">
        <v>58</v>
      </c>
      <c r="AP496" s="296">
        <v>68</v>
      </c>
      <c r="AQ496" s="296">
        <v>73</v>
      </c>
      <c r="AR496" s="296">
        <v>70</v>
      </c>
      <c r="AS496" s="296">
        <v>59</v>
      </c>
      <c r="AT496" s="296">
        <v>71</v>
      </c>
      <c r="AU496" s="296">
        <v>67</v>
      </c>
      <c r="AV496" s="296">
        <v>73</v>
      </c>
      <c r="AW496" s="296">
        <v>69</v>
      </c>
    </row>
    <row r="497" spans="1:54" s="113" customFormat="1">
      <c r="A497" s="113" t="s">
        <v>437</v>
      </c>
      <c r="B497" s="113" t="s">
        <v>651</v>
      </c>
      <c r="C497" s="114" t="s">
        <v>652</v>
      </c>
      <c r="D497" s="128" t="s">
        <v>87</v>
      </c>
      <c r="E497" s="127" t="s">
        <v>261</v>
      </c>
      <c r="F497" s="126">
        <v>23</v>
      </c>
      <c r="G497" s="126" t="s">
        <v>140</v>
      </c>
      <c r="H497" s="123">
        <v>691.42857142857144</v>
      </c>
      <c r="I497" s="125">
        <v>23.24</v>
      </c>
      <c r="J497" s="123">
        <v>15976</v>
      </c>
      <c r="K497" s="124"/>
      <c r="L497" s="123">
        <f t="shared" si="395"/>
        <v>15976</v>
      </c>
      <c r="M497" s="122">
        <f t="shared" si="396"/>
        <v>23.105785123966943</v>
      </c>
      <c r="N497" s="118">
        <v>9.5399999999999991</v>
      </c>
      <c r="O497" s="118">
        <v>10.23</v>
      </c>
      <c r="P497" s="118">
        <v>10.74</v>
      </c>
      <c r="Q497" s="118">
        <v>11.39</v>
      </c>
      <c r="R497" s="118">
        <v>11.16</v>
      </c>
      <c r="S497" s="153">
        <v>8.39</v>
      </c>
      <c r="T497" s="153"/>
      <c r="U497" s="113" t="s">
        <v>653</v>
      </c>
      <c r="V497" s="115"/>
      <c r="W497" s="115"/>
      <c r="X497" s="120">
        <v>0.38</v>
      </c>
      <c r="Y497" s="120"/>
      <c r="Z497" s="118">
        <v>0.38</v>
      </c>
      <c r="AA497" s="430">
        <v>46114</v>
      </c>
      <c r="AB497" s="117">
        <f t="shared" si="350"/>
        <v>68.333333333333329</v>
      </c>
      <c r="AC497" s="117">
        <f t="shared" si="397"/>
        <v>25.966666666666665</v>
      </c>
      <c r="AD497" s="117">
        <f t="shared" si="377"/>
        <v>8.9252036718301788</v>
      </c>
      <c r="AE497" s="289"/>
      <c r="AF497" s="455"/>
      <c r="AH497" s="115" t="s">
        <v>165</v>
      </c>
      <c r="AI497" s="113">
        <v>59</v>
      </c>
      <c r="AJ497" s="113">
        <v>71</v>
      </c>
      <c r="AK497" s="113">
        <v>64</v>
      </c>
      <c r="AL497" s="113">
        <v>76</v>
      </c>
      <c r="AM497" s="113">
        <v>63</v>
      </c>
      <c r="AN497" s="113">
        <v>66</v>
      </c>
      <c r="AO497" s="113">
        <v>71</v>
      </c>
      <c r="AP497" s="113">
        <v>67</v>
      </c>
      <c r="AQ497" s="113">
        <v>73</v>
      </c>
      <c r="AR497" s="113">
        <v>68</v>
      </c>
      <c r="AS497" s="113">
        <v>74</v>
      </c>
      <c r="AT497" s="113">
        <v>68</v>
      </c>
    </row>
    <row r="498" spans="1:54" s="113" customFormat="1">
      <c r="A498" s="113" t="s">
        <v>437</v>
      </c>
      <c r="B498" s="113" t="s">
        <v>651</v>
      </c>
      <c r="C498" s="114" t="s">
        <v>652</v>
      </c>
      <c r="D498" s="128" t="s">
        <v>87</v>
      </c>
      <c r="E498" s="127" t="s">
        <v>261</v>
      </c>
      <c r="F498" s="126">
        <v>23</v>
      </c>
      <c r="G498" s="126" t="s">
        <v>140</v>
      </c>
      <c r="H498" s="123">
        <v>691.42857142857144</v>
      </c>
      <c r="I498" s="125">
        <v>23.24</v>
      </c>
      <c r="J498" s="123">
        <v>15976</v>
      </c>
      <c r="K498" s="124"/>
      <c r="L498" s="123">
        <f t="shared" si="395"/>
        <v>15976</v>
      </c>
      <c r="M498" s="122">
        <f t="shared" si="396"/>
        <v>23.105785123966943</v>
      </c>
      <c r="N498" s="118">
        <v>9.5399999999999991</v>
      </c>
      <c r="O498" s="118">
        <v>10.23</v>
      </c>
      <c r="P498" s="118">
        <v>10.74</v>
      </c>
      <c r="Q498" s="118">
        <v>11.39</v>
      </c>
      <c r="R498" s="118">
        <v>11.16</v>
      </c>
      <c r="S498" s="153">
        <v>8.39</v>
      </c>
      <c r="T498" s="153"/>
      <c r="V498" s="115"/>
      <c r="W498" s="115"/>
      <c r="X498" s="120">
        <v>0.38</v>
      </c>
      <c r="Y498" s="120"/>
      <c r="Z498" s="118">
        <v>0.38</v>
      </c>
      <c r="AA498" s="430">
        <v>46175</v>
      </c>
      <c r="AB498" s="117">
        <f t="shared" si="350"/>
        <v>46.388888888888886</v>
      </c>
      <c r="AC498" s="117">
        <f t="shared" si="397"/>
        <v>17.627777777777776</v>
      </c>
      <c r="AD498" s="117">
        <f t="shared" si="377"/>
        <v>6.0589797284375599</v>
      </c>
      <c r="AE498" s="117"/>
      <c r="AF498" s="447"/>
      <c r="AG498" s="113" t="s">
        <v>654</v>
      </c>
      <c r="AH498" s="115" t="s">
        <v>116</v>
      </c>
      <c r="AI498" s="113">
        <v>42</v>
      </c>
      <c r="AJ498" s="113">
        <v>47</v>
      </c>
      <c r="AK498" s="113">
        <v>57</v>
      </c>
      <c r="AL498" s="113">
        <v>39</v>
      </c>
      <c r="AM498" s="113">
        <v>54</v>
      </c>
      <c r="AN498" s="113">
        <v>49</v>
      </c>
      <c r="AO498" s="113">
        <v>47</v>
      </c>
      <c r="AP498" s="113">
        <v>53</v>
      </c>
      <c r="AQ498" s="113">
        <v>49</v>
      </c>
      <c r="AR498" s="113">
        <v>58</v>
      </c>
      <c r="AS498" s="113">
        <v>33</v>
      </c>
      <c r="AT498" s="113">
        <v>39</v>
      </c>
      <c r="AU498" s="113">
        <v>46</v>
      </c>
      <c r="AV498" s="113">
        <v>50</v>
      </c>
      <c r="AW498" s="113">
        <v>49</v>
      </c>
      <c r="AX498" s="113">
        <v>33</v>
      </c>
      <c r="AY498" s="113">
        <v>43</v>
      </c>
      <c r="AZ498" s="113">
        <v>47</v>
      </c>
    </row>
    <row r="499" spans="1:54" s="113" customFormat="1">
      <c r="A499" s="113" t="s">
        <v>437</v>
      </c>
      <c r="B499" s="113" t="s">
        <v>651</v>
      </c>
      <c r="C499" s="114" t="s">
        <v>652</v>
      </c>
      <c r="D499" s="128" t="s">
        <v>87</v>
      </c>
      <c r="E499" s="127" t="s">
        <v>261</v>
      </c>
      <c r="F499" s="126">
        <v>23</v>
      </c>
      <c r="G499" s="126" t="s">
        <v>140</v>
      </c>
      <c r="H499" s="123">
        <v>691.42857142857144</v>
      </c>
      <c r="I499" s="125">
        <v>23.24</v>
      </c>
      <c r="J499" s="123">
        <v>15976</v>
      </c>
      <c r="K499" s="124"/>
      <c r="L499" s="123">
        <f t="shared" si="395"/>
        <v>15976</v>
      </c>
      <c r="M499" s="122">
        <f t="shared" si="396"/>
        <v>23.105785123966943</v>
      </c>
      <c r="N499" s="118">
        <v>9.5399999999999991</v>
      </c>
      <c r="O499" s="118">
        <v>10.23</v>
      </c>
      <c r="P499" s="118">
        <v>10.74</v>
      </c>
      <c r="Q499" s="118">
        <v>11.39</v>
      </c>
      <c r="R499" s="118">
        <v>11.16</v>
      </c>
      <c r="S499" s="153">
        <v>8.39</v>
      </c>
      <c r="T499" s="153"/>
      <c r="V499" s="115"/>
      <c r="W499" s="115"/>
      <c r="X499" s="120">
        <v>0.38</v>
      </c>
      <c r="Y499" s="120"/>
      <c r="Z499" s="118">
        <v>0.38</v>
      </c>
      <c r="AA499" s="430">
        <v>46196</v>
      </c>
      <c r="AB499" s="117">
        <f t="shared" si="350"/>
        <v>65.466666666666669</v>
      </c>
      <c r="AC499" s="117">
        <f t="shared" si="397"/>
        <v>24.877333333333333</v>
      </c>
      <c r="AD499" s="117">
        <f t="shared" si="377"/>
        <v>8.5507804934021809</v>
      </c>
      <c r="AE499" s="117"/>
      <c r="AF499" s="447"/>
      <c r="AH499" s="115" t="s">
        <v>91</v>
      </c>
      <c r="AI499" s="113">
        <v>65</v>
      </c>
      <c r="AJ499" s="113">
        <v>60</v>
      </c>
      <c r="AK499" s="113">
        <v>70</v>
      </c>
      <c r="AL499" s="113">
        <v>67</v>
      </c>
      <c r="AM499" s="113">
        <v>43</v>
      </c>
      <c r="AN499" s="113">
        <v>68</v>
      </c>
      <c r="AO499" s="113">
        <v>64</v>
      </c>
      <c r="AP499" s="113">
        <v>62</v>
      </c>
      <c r="AQ499" s="113">
        <v>49</v>
      </c>
      <c r="AR499" s="113">
        <v>81</v>
      </c>
      <c r="AS499" s="113">
        <v>70</v>
      </c>
      <c r="AT499" s="113">
        <v>60</v>
      </c>
      <c r="AU499" s="113">
        <v>80</v>
      </c>
      <c r="AV499" s="113">
        <v>58</v>
      </c>
      <c r="AW499" s="113">
        <v>85</v>
      </c>
    </row>
    <row r="500" spans="1:54" s="296" customFormat="1">
      <c r="A500" s="296" t="s">
        <v>437</v>
      </c>
      <c r="B500" s="296" t="s">
        <v>655</v>
      </c>
      <c r="C500" s="298" t="s">
        <v>656</v>
      </c>
      <c r="D500" s="299" t="s">
        <v>87</v>
      </c>
      <c r="E500" s="300" t="s">
        <v>129</v>
      </c>
      <c r="F500" s="297" t="s">
        <v>657</v>
      </c>
      <c r="G500" s="297" t="s">
        <v>140</v>
      </c>
      <c r="H500" s="301">
        <v>622.28571428571433</v>
      </c>
      <c r="I500" s="302">
        <v>4.72</v>
      </c>
      <c r="J500" s="301">
        <v>2790</v>
      </c>
      <c r="K500" s="237"/>
      <c r="L500" s="301">
        <f t="shared" si="395"/>
        <v>2790</v>
      </c>
      <c r="M500" s="303">
        <f t="shared" si="396"/>
        <v>4.4834710743801649</v>
      </c>
      <c r="N500" s="304">
        <v>7.46</v>
      </c>
      <c r="O500" s="304">
        <v>7.57</v>
      </c>
      <c r="P500" s="304">
        <v>6.24</v>
      </c>
      <c r="Q500" s="304">
        <v>7.88</v>
      </c>
      <c r="R500" s="304">
        <v>10.14</v>
      </c>
      <c r="S500" s="305">
        <v>7.58</v>
      </c>
      <c r="T500" s="305"/>
      <c r="V500" s="306"/>
      <c r="W500" s="306"/>
      <c r="X500" s="307">
        <v>0.44</v>
      </c>
      <c r="Y500" s="307"/>
      <c r="Z500" s="304">
        <v>0.45</v>
      </c>
      <c r="AA500" s="431">
        <v>46125</v>
      </c>
      <c r="AB500" s="233">
        <f t="shared" si="350"/>
        <v>51.93333333333333</v>
      </c>
      <c r="AC500" s="233">
        <f t="shared" si="397"/>
        <v>22.850666666666665</v>
      </c>
      <c r="AD500" s="233">
        <f t="shared" si="377"/>
        <v>6.7535338983050845</v>
      </c>
      <c r="AE500" s="233"/>
      <c r="AF500" s="448"/>
      <c r="AH500" s="306"/>
      <c r="AI500" s="296">
        <v>37</v>
      </c>
      <c r="AJ500" s="296">
        <v>54</v>
      </c>
      <c r="AK500" s="296">
        <v>68</v>
      </c>
      <c r="AL500" s="296">
        <v>68</v>
      </c>
      <c r="AM500" s="296">
        <v>52</v>
      </c>
      <c r="AN500" s="296">
        <v>36</v>
      </c>
      <c r="AO500" s="296">
        <v>50</v>
      </c>
      <c r="AP500" s="296">
        <v>57</v>
      </c>
      <c r="AQ500" s="296">
        <v>40</v>
      </c>
      <c r="AR500" s="296">
        <v>61</v>
      </c>
      <c r="AS500" s="296">
        <v>35</v>
      </c>
      <c r="AT500" s="296">
        <v>61</v>
      </c>
      <c r="AU500" s="296">
        <v>53</v>
      </c>
      <c r="AV500" s="296">
        <v>56</v>
      </c>
      <c r="AW500" s="296">
        <v>51</v>
      </c>
    </row>
    <row r="501" spans="1:54" s="296" customFormat="1">
      <c r="A501" s="296" t="s">
        <v>437</v>
      </c>
      <c r="B501" s="296" t="s">
        <v>655</v>
      </c>
      <c r="C501" s="298" t="s">
        <v>656</v>
      </c>
      <c r="D501" s="299" t="s">
        <v>87</v>
      </c>
      <c r="E501" s="300" t="s">
        <v>129</v>
      </c>
      <c r="F501" s="297" t="s">
        <v>657</v>
      </c>
      <c r="G501" s="297" t="s">
        <v>140</v>
      </c>
      <c r="H501" s="301">
        <v>622.28571428571433</v>
      </c>
      <c r="I501" s="302">
        <v>4.72</v>
      </c>
      <c r="J501" s="301">
        <v>2790</v>
      </c>
      <c r="K501" s="237"/>
      <c r="L501" s="301">
        <f t="shared" si="395"/>
        <v>2790</v>
      </c>
      <c r="M501" s="303">
        <f t="shared" si="396"/>
        <v>4.4834710743801649</v>
      </c>
      <c r="N501" s="304">
        <v>7.46</v>
      </c>
      <c r="O501" s="304">
        <v>7.57</v>
      </c>
      <c r="P501" s="304">
        <v>6.24</v>
      </c>
      <c r="Q501" s="304">
        <v>7.88</v>
      </c>
      <c r="R501" s="304">
        <v>10.14</v>
      </c>
      <c r="S501" s="305">
        <v>7.58</v>
      </c>
      <c r="T501" s="305"/>
      <c r="V501" s="306"/>
      <c r="W501" s="306"/>
      <c r="X501" s="307">
        <v>0.44</v>
      </c>
      <c r="Y501" s="307"/>
      <c r="Z501" s="304">
        <v>0.45</v>
      </c>
      <c r="AA501" s="431">
        <v>46195</v>
      </c>
      <c r="AB501" s="233">
        <f t="shared" si="350"/>
        <v>35.799999999999997</v>
      </c>
      <c r="AC501" s="233">
        <f t="shared" si="397"/>
        <v>15.751999999999999</v>
      </c>
      <c r="AD501" s="233">
        <v>7</v>
      </c>
      <c r="AE501" s="233"/>
      <c r="AF501" s="448"/>
      <c r="AH501" s="306" t="s">
        <v>116</v>
      </c>
      <c r="AI501" s="296">
        <v>38</v>
      </c>
      <c r="AJ501" s="296">
        <v>40</v>
      </c>
      <c r="AK501" s="296">
        <v>38</v>
      </c>
      <c r="AL501" s="296">
        <v>35</v>
      </c>
      <c r="AM501" s="296">
        <v>41</v>
      </c>
      <c r="AN501" s="296">
        <v>39</v>
      </c>
      <c r="AO501" s="296">
        <v>35</v>
      </c>
      <c r="AP501" s="296">
        <v>43</v>
      </c>
      <c r="AQ501" s="296">
        <v>31</v>
      </c>
      <c r="AR501" s="296">
        <v>29</v>
      </c>
      <c r="AS501" s="296">
        <v>33</v>
      </c>
      <c r="AT501" s="296">
        <v>28</v>
      </c>
      <c r="AU501" s="296">
        <v>37</v>
      </c>
      <c r="AV501" s="296">
        <v>32</v>
      </c>
      <c r="AW501" s="296">
        <v>38</v>
      </c>
    </row>
    <row r="502" spans="1:54" s="296" customFormat="1">
      <c r="A502" s="296" t="s">
        <v>437</v>
      </c>
      <c r="B502" s="296" t="s">
        <v>655</v>
      </c>
      <c r="C502" s="298" t="s">
        <v>656</v>
      </c>
      <c r="D502" s="299" t="s">
        <v>87</v>
      </c>
      <c r="E502" s="300" t="s">
        <v>129</v>
      </c>
      <c r="F502" s="297" t="s">
        <v>657</v>
      </c>
      <c r="G502" s="297" t="s">
        <v>140</v>
      </c>
      <c r="H502" s="301">
        <v>622.28571428571433</v>
      </c>
      <c r="I502" s="302">
        <v>4.72</v>
      </c>
      <c r="J502" s="301">
        <v>2790</v>
      </c>
      <c r="K502" s="237"/>
      <c r="L502" s="301">
        <f t="shared" si="395"/>
        <v>2790</v>
      </c>
      <c r="M502" s="303">
        <f t="shared" si="396"/>
        <v>4.4834710743801649</v>
      </c>
      <c r="N502" s="304">
        <v>7.46</v>
      </c>
      <c r="O502" s="304">
        <v>7.57</v>
      </c>
      <c r="P502" s="304">
        <v>6.24</v>
      </c>
      <c r="Q502" s="304">
        <v>7.88</v>
      </c>
      <c r="R502" s="304">
        <v>10.14</v>
      </c>
      <c r="S502" s="305">
        <v>7.58</v>
      </c>
      <c r="T502" s="305"/>
      <c r="V502" s="306"/>
      <c r="W502" s="306"/>
      <c r="X502" s="307">
        <v>0.44</v>
      </c>
      <c r="Y502" s="307"/>
      <c r="Z502" s="304">
        <v>0.45</v>
      </c>
      <c r="AA502" s="431"/>
      <c r="AB502" s="233" t="str">
        <f t="shared" si="350"/>
        <v/>
      </c>
      <c r="AC502" s="233" t="str">
        <f t="shared" si="397"/>
        <v/>
      </c>
      <c r="AD502" s="233" t="str">
        <f t="shared" si="377"/>
        <v/>
      </c>
      <c r="AE502" s="233"/>
      <c r="AF502" s="448"/>
      <c r="AH502" s="306"/>
    </row>
    <row r="503" spans="1:54" s="113" customFormat="1">
      <c r="A503" s="113" t="s">
        <v>437</v>
      </c>
      <c r="B503" s="113" t="s">
        <v>658</v>
      </c>
      <c r="C503" s="114" t="s">
        <v>659</v>
      </c>
      <c r="D503" s="128" t="s">
        <v>87</v>
      </c>
      <c r="E503" s="127" t="s">
        <v>194</v>
      </c>
      <c r="F503" s="126">
        <v>3</v>
      </c>
      <c r="G503" s="126" t="s">
        <v>140</v>
      </c>
      <c r="H503" s="123">
        <v>691.42857142857144</v>
      </c>
      <c r="I503" s="125">
        <v>7.16</v>
      </c>
      <c r="J503" s="123">
        <v>4940</v>
      </c>
      <c r="K503" s="124"/>
      <c r="L503" s="123">
        <f t="shared" si="395"/>
        <v>4940</v>
      </c>
      <c r="M503" s="122">
        <f t="shared" si="396"/>
        <v>7.1446280991735538</v>
      </c>
      <c r="N503" s="118">
        <v>7.63</v>
      </c>
      <c r="O503" s="118">
        <v>6.26</v>
      </c>
      <c r="P503" s="118">
        <v>7.08</v>
      </c>
      <c r="Q503" s="118">
        <v>6.2</v>
      </c>
      <c r="R503" s="118">
        <v>6.97</v>
      </c>
      <c r="S503" s="153">
        <v>8.15</v>
      </c>
      <c r="T503" s="153">
        <v>6.78</v>
      </c>
      <c r="V503" s="115"/>
      <c r="W503" s="115"/>
      <c r="X503" s="120">
        <v>0.38</v>
      </c>
      <c r="Y503" s="120"/>
      <c r="Z503" s="118">
        <v>0.45</v>
      </c>
      <c r="AA503" s="430">
        <v>46125</v>
      </c>
      <c r="AB503" s="117">
        <f t="shared" ref="AB503:AB511" si="398">IFERROR(AVERAGE(AI503:BG503),"")</f>
        <v>65.86666666666666</v>
      </c>
      <c r="AC503" s="117">
        <f t="shared" si="397"/>
        <v>25.02933333333333</v>
      </c>
      <c r="AD503" s="117">
        <f t="shared" si="377"/>
        <v>8.6344208566107987</v>
      </c>
      <c r="AE503" s="117"/>
      <c r="AF503" s="447"/>
      <c r="AH503" s="315"/>
      <c r="AI503" s="113">
        <v>79</v>
      </c>
      <c r="AJ503" s="113">
        <v>69</v>
      </c>
      <c r="AK503" s="113">
        <v>55</v>
      </c>
      <c r="AL503" s="113">
        <v>44</v>
      </c>
      <c r="AM503" s="113">
        <v>59</v>
      </c>
      <c r="AN503" s="113">
        <v>66</v>
      </c>
      <c r="AO503" s="113">
        <v>68</v>
      </c>
      <c r="AP503" s="113">
        <v>73</v>
      </c>
      <c r="AQ503" s="113">
        <v>74</v>
      </c>
      <c r="AR503" s="113">
        <v>66</v>
      </c>
      <c r="AS503" s="113">
        <v>62</v>
      </c>
      <c r="AT503" s="113">
        <v>69</v>
      </c>
      <c r="AU503" s="113">
        <v>63</v>
      </c>
      <c r="AV503" s="113">
        <v>71</v>
      </c>
      <c r="AW503" s="113">
        <v>70</v>
      </c>
    </row>
    <row r="504" spans="1:54" s="113" customFormat="1">
      <c r="A504" s="113" t="s">
        <v>437</v>
      </c>
      <c r="B504" s="113" t="s">
        <v>658</v>
      </c>
      <c r="C504" s="114" t="s">
        <v>659</v>
      </c>
      <c r="D504" s="128" t="s">
        <v>87</v>
      </c>
      <c r="E504" s="127" t="s">
        <v>194</v>
      </c>
      <c r="F504" s="126">
        <v>3</v>
      </c>
      <c r="G504" s="126" t="s">
        <v>140</v>
      </c>
      <c r="H504" s="123">
        <v>691.42857142857144</v>
      </c>
      <c r="I504" s="125">
        <v>7.16</v>
      </c>
      <c r="J504" s="123">
        <v>4940</v>
      </c>
      <c r="K504" s="124"/>
      <c r="L504" s="123">
        <f t="shared" si="395"/>
        <v>4940</v>
      </c>
      <c r="M504" s="122">
        <f t="shared" si="396"/>
        <v>7.1446280991735538</v>
      </c>
      <c r="N504" s="118">
        <v>7.63</v>
      </c>
      <c r="O504" s="118">
        <v>6.26</v>
      </c>
      <c r="P504" s="118">
        <v>7.08</v>
      </c>
      <c r="Q504" s="118">
        <v>6.2</v>
      </c>
      <c r="R504" s="118">
        <v>6.97</v>
      </c>
      <c r="S504" s="153">
        <v>8.15</v>
      </c>
      <c r="T504" s="153">
        <v>6.78</v>
      </c>
      <c r="V504" s="115"/>
      <c r="W504" s="115"/>
      <c r="X504" s="120">
        <v>0.38</v>
      </c>
      <c r="Y504" s="120"/>
      <c r="Z504" s="118">
        <v>0.45</v>
      </c>
      <c r="AA504" s="430"/>
      <c r="AB504" s="117" t="str">
        <f t="shared" si="398"/>
        <v/>
      </c>
      <c r="AC504" s="117" t="str">
        <f t="shared" si="397"/>
        <v/>
      </c>
      <c r="AD504" s="117" t="str">
        <f t="shared" si="377"/>
        <v/>
      </c>
      <c r="AE504" s="117"/>
      <c r="AF504" s="447"/>
      <c r="AH504" s="315"/>
    </row>
    <row r="505" spans="1:54" s="113" customFormat="1">
      <c r="A505" s="113" t="s">
        <v>437</v>
      </c>
      <c r="B505" s="113" t="s">
        <v>658</v>
      </c>
      <c r="C505" s="114" t="s">
        <v>659</v>
      </c>
      <c r="D505" s="128" t="s">
        <v>87</v>
      </c>
      <c r="E505" s="127" t="s">
        <v>194</v>
      </c>
      <c r="F505" s="126">
        <v>3</v>
      </c>
      <c r="G505" s="126" t="s">
        <v>140</v>
      </c>
      <c r="H505" s="123">
        <v>691.42857142857144</v>
      </c>
      <c r="I505" s="125">
        <v>7.16</v>
      </c>
      <c r="J505" s="123">
        <v>4940</v>
      </c>
      <c r="K505" s="124"/>
      <c r="L505" s="123">
        <f t="shared" si="395"/>
        <v>4940</v>
      </c>
      <c r="M505" s="122">
        <f t="shared" si="396"/>
        <v>7.1446280991735538</v>
      </c>
      <c r="N505" s="118">
        <v>7.63</v>
      </c>
      <c r="O505" s="118">
        <v>6.26</v>
      </c>
      <c r="P505" s="118">
        <v>7.08</v>
      </c>
      <c r="Q505" s="118">
        <v>6.2</v>
      </c>
      <c r="R505" s="118">
        <v>6.97</v>
      </c>
      <c r="S505" s="153">
        <v>8.15</v>
      </c>
      <c r="T505" s="153">
        <v>6.78</v>
      </c>
      <c r="V505" s="115"/>
      <c r="W505" s="115"/>
      <c r="X505" s="120">
        <v>0.38</v>
      </c>
      <c r="Y505" s="120"/>
      <c r="Z505" s="118">
        <v>0.4</v>
      </c>
      <c r="AA505" s="430"/>
      <c r="AB505" s="117" t="str">
        <f t="shared" si="398"/>
        <v/>
      </c>
      <c r="AC505" s="117" t="str">
        <f t="shared" si="397"/>
        <v/>
      </c>
      <c r="AD505" s="117" t="str">
        <f t="shared" si="377"/>
        <v/>
      </c>
      <c r="AE505" s="117"/>
      <c r="AF505" s="447"/>
      <c r="AH505" s="315"/>
    </row>
    <row r="506" spans="1:54" s="296" customFormat="1">
      <c r="A506" s="296" t="s">
        <v>437</v>
      </c>
      <c r="B506" s="296" t="s">
        <v>660</v>
      </c>
      <c r="C506" s="298" t="s">
        <v>661</v>
      </c>
      <c r="D506" s="299" t="s">
        <v>87</v>
      </c>
      <c r="E506" s="300" t="s">
        <v>160</v>
      </c>
      <c r="F506" s="297"/>
      <c r="G506" s="297"/>
      <c r="H506" s="301">
        <v>691</v>
      </c>
      <c r="I506" s="302">
        <v>22.58</v>
      </c>
      <c r="J506" s="301">
        <v>15475</v>
      </c>
      <c r="K506" s="237"/>
      <c r="L506" s="301">
        <f t="shared" si="395"/>
        <v>15475</v>
      </c>
      <c r="M506" s="303">
        <f t="shared" si="396"/>
        <v>22.395079594790158</v>
      </c>
      <c r="N506" s="304"/>
      <c r="O506" s="304"/>
      <c r="P506" s="304"/>
      <c r="Q506" s="304"/>
      <c r="R506" s="304"/>
      <c r="S506" s="305"/>
      <c r="T506" s="305">
        <v>5.21</v>
      </c>
      <c r="V506" s="306"/>
      <c r="W506" s="306"/>
      <c r="X506" s="307">
        <v>0.28999999999999998</v>
      </c>
      <c r="Y506" s="307"/>
      <c r="Z506" s="304">
        <v>0.41</v>
      </c>
      <c r="AA506" s="431">
        <v>46117</v>
      </c>
      <c r="AB506" s="233">
        <f t="shared" si="398"/>
        <v>68.583333333333329</v>
      </c>
      <c r="AC506" s="233">
        <f t="shared" si="397"/>
        <v>19.889166666666664</v>
      </c>
      <c r="AD506" s="233">
        <f t="shared" si="377"/>
        <v>6.815430783141422</v>
      </c>
      <c r="AE506" s="233"/>
      <c r="AF506" s="448"/>
      <c r="AH506" s="365" t="s">
        <v>91</v>
      </c>
      <c r="AI506" s="296">
        <v>69</v>
      </c>
      <c r="AJ506" s="296">
        <v>97</v>
      </c>
      <c r="AK506" s="296">
        <v>53</v>
      </c>
      <c r="AL506" s="296">
        <v>78</v>
      </c>
      <c r="AM506" s="296">
        <v>75</v>
      </c>
      <c r="AN506" s="296">
        <v>66</v>
      </c>
      <c r="AO506" s="296">
        <v>96</v>
      </c>
      <c r="AP506" s="296">
        <v>43</v>
      </c>
      <c r="AQ506" s="296">
        <v>77</v>
      </c>
      <c r="AR506" s="296">
        <v>67</v>
      </c>
      <c r="AS506" s="296">
        <v>42</v>
      </c>
      <c r="AT506" s="296">
        <v>60</v>
      </c>
    </row>
    <row r="507" spans="1:54" s="113" customFormat="1">
      <c r="A507" s="113" t="s">
        <v>437</v>
      </c>
      <c r="B507" s="113" t="s">
        <v>662</v>
      </c>
      <c r="C507" s="114" t="s">
        <v>663</v>
      </c>
      <c r="D507" s="128" t="s">
        <v>87</v>
      </c>
      <c r="E507" s="127" t="s">
        <v>129</v>
      </c>
      <c r="F507" s="126"/>
      <c r="G507" s="126"/>
      <c r="H507" s="123">
        <v>691</v>
      </c>
      <c r="I507" s="125">
        <v>22.87</v>
      </c>
      <c r="J507" s="123">
        <v>15664</v>
      </c>
      <c r="K507" s="124"/>
      <c r="L507" s="123">
        <f t="shared" si="395"/>
        <v>15664</v>
      </c>
      <c r="M507" s="122">
        <f t="shared" si="396"/>
        <v>22.668596237337191</v>
      </c>
      <c r="N507" s="118"/>
      <c r="O507" s="118"/>
      <c r="P507" s="118"/>
      <c r="Q507" s="118"/>
      <c r="R507" s="118"/>
      <c r="S507" s="153"/>
      <c r="T507" s="153"/>
      <c r="V507" s="115"/>
      <c r="W507" s="115"/>
      <c r="X507" s="120"/>
      <c r="Y507" s="120"/>
      <c r="Z507" s="118">
        <v>0.45</v>
      </c>
      <c r="AA507" s="430"/>
      <c r="AB507" s="117" t="str">
        <f t="shared" si="398"/>
        <v/>
      </c>
      <c r="AC507" s="117" t="str">
        <f t="shared" si="397"/>
        <v/>
      </c>
      <c r="AD507" s="117" t="str">
        <f t="shared" si="377"/>
        <v/>
      </c>
      <c r="AE507" s="117"/>
      <c r="AF507" s="447"/>
      <c r="AH507" s="315"/>
    </row>
    <row r="508" spans="1:54" s="296" customFormat="1">
      <c r="A508" s="296" t="s">
        <v>437</v>
      </c>
      <c r="B508" s="296" t="s">
        <v>664</v>
      </c>
      <c r="C508" s="298" t="s">
        <v>665</v>
      </c>
      <c r="D508" s="299" t="s">
        <v>111</v>
      </c>
      <c r="E508" s="300" t="s">
        <v>160</v>
      </c>
      <c r="F508" s="316" t="s">
        <v>666</v>
      </c>
      <c r="G508" s="297" t="s">
        <v>140</v>
      </c>
      <c r="H508" s="301">
        <v>726</v>
      </c>
      <c r="I508" s="302">
        <v>26.2</v>
      </c>
      <c r="J508" s="301">
        <v>18798</v>
      </c>
      <c r="K508" s="237"/>
      <c r="L508" s="301">
        <f t="shared" si="395"/>
        <v>18798</v>
      </c>
      <c r="M508" s="303">
        <f t="shared" si="396"/>
        <v>25.892561983471076</v>
      </c>
      <c r="N508" s="302"/>
      <c r="O508" s="302"/>
      <c r="P508" s="302"/>
      <c r="Q508" s="302"/>
      <c r="R508" s="302"/>
      <c r="S508" s="320">
        <v>1.81</v>
      </c>
      <c r="T508" s="320">
        <v>7.18</v>
      </c>
      <c r="U508" s="296" t="s">
        <v>115</v>
      </c>
      <c r="V508" s="306" t="s">
        <v>115</v>
      </c>
      <c r="W508" s="306"/>
      <c r="X508" s="307">
        <v>0.45</v>
      </c>
      <c r="Y508" s="307"/>
      <c r="Z508" s="304">
        <v>0.41</v>
      </c>
      <c r="AA508" s="431">
        <v>46108</v>
      </c>
      <c r="AB508" s="233">
        <f t="shared" si="398"/>
        <v>70.900000000000006</v>
      </c>
      <c r="AC508" s="233">
        <f t="shared" si="397"/>
        <v>31.905000000000005</v>
      </c>
      <c r="AD508" s="233">
        <f t="shared" si="377"/>
        <v>11.445614312977101</v>
      </c>
      <c r="AE508" s="233"/>
      <c r="AF508" s="448"/>
      <c r="AH508" s="306" t="s">
        <v>137</v>
      </c>
      <c r="AI508" s="296">
        <v>71</v>
      </c>
      <c r="AJ508" s="296">
        <v>66</v>
      </c>
      <c r="AK508" s="296">
        <v>59</v>
      </c>
      <c r="AL508" s="296">
        <v>70</v>
      </c>
      <c r="AM508" s="296">
        <v>68</v>
      </c>
      <c r="AN508" s="296">
        <v>66</v>
      </c>
      <c r="AO508" s="296">
        <v>82</v>
      </c>
      <c r="AP508" s="296">
        <v>74</v>
      </c>
      <c r="AQ508" s="296">
        <v>80</v>
      </c>
      <c r="AR508" s="296">
        <v>73</v>
      </c>
    </row>
    <row r="509" spans="1:54" s="296" customFormat="1">
      <c r="A509" s="296" t="s">
        <v>437</v>
      </c>
      <c r="B509" s="296" t="s">
        <v>664</v>
      </c>
      <c r="C509" s="298" t="s">
        <v>665</v>
      </c>
      <c r="D509" s="299" t="s">
        <v>111</v>
      </c>
      <c r="E509" s="300" t="s">
        <v>160</v>
      </c>
      <c r="F509" s="316" t="s">
        <v>666</v>
      </c>
      <c r="G509" s="297" t="s">
        <v>140</v>
      </c>
      <c r="H509" s="301">
        <v>726</v>
      </c>
      <c r="I509" s="302">
        <v>26.2</v>
      </c>
      <c r="J509" s="301">
        <v>18798</v>
      </c>
      <c r="K509" s="237"/>
      <c r="L509" s="301">
        <f t="shared" si="395"/>
        <v>18798</v>
      </c>
      <c r="M509" s="303">
        <f t="shared" si="396"/>
        <v>25.892561983471076</v>
      </c>
      <c r="N509" s="302"/>
      <c r="O509" s="302"/>
      <c r="P509" s="302"/>
      <c r="Q509" s="302"/>
      <c r="R509" s="302"/>
      <c r="S509" s="320">
        <v>1.81</v>
      </c>
      <c r="T509" s="320">
        <v>7.18</v>
      </c>
      <c r="U509" s="296" t="s">
        <v>115</v>
      </c>
      <c r="V509" s="306" t="s">
        <v>103</v>
      </c>
      <c r="W509" s="306"/>
      <c r="X509" s="307">
        <v>0.45</v>
      </c>
      <c r="Y509" s="307"/>
      <c r="Z509" s="304">
        <v>0.41</v>
      </c>
      <c r="AA509" s="431">
        <v>46112</v>
      </c>
      <c r="AB509" s="233">
        <f t="shared" si="398"/>
        <v>61.8</v>
      </c>
      <c r="AC509" s="233">
        <f t="shared" si="397"/>
        <v>27.81</v>
      </c>
      <c r="AD509" s="233">
        <f t="shared" si="377"/>
        <v>9.976572137404581</v>
      </c>
      <c r="AE509" s="233"/>
      <c r="AF509" s="448"/>
      <c r="AH509" s="306" t="s">
        <v>91</v>
      </c>
      <c r="AI509" s="296">
        <v>76</v>
      </c>
      <c r="AJ509" s="296">
        <v>66</v>
      </c>
      <c r="AK509" s="296">
        <v>72</v>
      </c>
      <c r="AL509" s="296">
        <v>51</v>
      </c>
      <c r="AM509" s="296">
        <v>52</v>
      </c>
      <c r="AN509" s="296">
        <v>53</v>
      </c>
      <c r="AO509" s="296">
        <v>45</v>
      </c>
      <c r="AP509" s="296">
        <v>62</v>
      </c>
      <c r="AQ509" s="296">
        <v>56</v>
      </c>
      <c r="AR509" s="296">
        <v>63</v>
      </c>
      <c r="AS509" s="296">
        <v>42</v>
      </c>
      <c r="AT509" s="296">
        <v>94</v>
      </c>
      <c r="AU509" s="296">
        <v>60</v>
      </c>
      <c r="AV509" s="296">
        <v>77</v>
      </c>
      <c r="AW509" s="296">
        <v>54</v>
      </c>
      <c r="AX509" s="296">
        <v>50</v>
      </c>
      <c r="AY509" s="296">
        <v>48</v>
      </c>
      <c r="AZ509" s="296">
        <v>50</v>
      </c>
      <c r="BA509" s="296">
        <v>95</v>
      </c>
      <c r="BB509" s="296">
        <v>70</v>
      </c>
    </row>
    <row r="510" spans="1:54" s="296" customFormat="1">
      <c r="A510" s="296" t="s">
        <v>437</v>
      </c>
      <c r="B510" s="296" t="s">
        <v>664</v>
      </c>
      <c r="C510" s="298" t="s">
        <v>665</v>
      </c>
      <c r="D510" s="299" t="s">
        <v>111</v>
      </c>
      <c r="E510" s="300" t="s">
        <v>160</v>
      </c>
      <c r="F510" s="316" t="s">
        <v>666</v>
      </c>
      <c r="G510" s="297" t="s">
        <v>140</v>
      </c>
      <c r="H510" s="301">
        <v>726</v>
      </c>
      <c r="I510" s="302">
        <v>26.2</v>
      </c>
      <c r="J510" s="301">
        <v>18798</v>
      </c>
      <c r="K510" s="237"/>
      <c r="L510" s="301">
        <f t="shared" si="395"/>
        <v>18798</v>
      </c>
      <c r="M510" s="303">
        <f t="shared" si="396"/>
        <v>25.892561983471076</v>
      </c>
      <c r="N510" s="302"/>
      <c r="O510" s="302"/>
      <c r="P510" s="302"/>
      <c r="Q510" s="302"/>
      <c r="R510" s="302"/>
      <c r="S510" s="320">
        <v>1.81</v>
      </c>
      <c r="T510" s="320">
        <v>7.18</v>
      </c>
      <c r="V510" s="306" t="s">
        <v>667</v>
      </c>
      <c r="W510" s="306"/>
      <c r="X510" s="307">
        <v>0.45</v>
      </c>
      <c r="Y510" s="307"/>
      <c r="Z510" s="304">
        <v>0.41</v>
      </c>
      <c r="AA510" s="431">
        <v>46164</v>
      </c>
      <c r="AB510" s="233">
        <f t="shared" si="398"/>
        <v>49.166666666666664</v>
      </c>
      <c r="AC510" s="233">
        <f t="shared" si="397"/>
        <v>22.125</v>
      </c>
      <c r="AD510" s="233">
        <f t="shared" si="377"/>
        <v>7.9371326335877868</v>
      </c>
      <c r="AE510" s="233"/>
      <c r="AF510" s="448"/>
      <c r="AG510" s="296" t="s">
        <v>668</v>
      </c>
      <c r="AH510" s="306" t="s">
        <v>116</v>
      </c>
      <c r="AI510" s="296">
        <v>41</v>
      </c>
      <c r="AJ510" s="296">
        <v>43</v>
      </c>
      <c r="AK510" s="296">
        <v>50</v>
      </c>
      <c r="AL510" s="296">
        <v>55</v>
      </c>
      <c r="AM510" s="296">
        <v>57</v>
      </c>
      <c r="AN510" s="296">
        <v>53</v>
      </c>
      <c r="AO510" s="296">
        <v>49</v>
      </c>
      <c r="AP510" s="296">
        <v>52</v>
      </c>
      <c r="AQ510" s="296">
        <v>60</v>
      </c>
      <c r="AR510" s="296">
        <v>41</v>
      </c>
      <c r="AS510" s="296">
        <v>49</v>
      </c>
      <c r="AT510" s="296">
        <v>56</v>
      </c>
      <c r="AU510" s="296">
        <v>52</v>
      </c>
      <c r="AV510" s="296">
        <v>57</v>
      </c>
      <c r="AW510" s="296">
        <v>49</v>
      </c>
      <c r="AX510" s="296">
        <v>42</v>
      </c>
      <c r="AY510" s="296">
        <v>40</v>
      </c>
      <c r="AZ510" s="296">
        <v>39</v>
      </c>
    </row>
    <row r="511" spans="1:54" s="296" customFormat="1">
      <c r="A511" s="296" t="s">
        <v>437</v>
      </c>
      <c r="B511" s="296" t="s">
        <v>664</v>
      </c>
      <c r="C511" s="298" t="s">
        <v>665</v>
      </c>
      <c r="D511" s="299" t="s">
        <v>111</v>
      </c>
      <c r="E511" s="300" t="s">
        <v>160</v>
      </c>
      <c r="F511" s="316" t="s">
        <v>666</v>
      </c>
      <c r="G511" s="297" t="s">
        <v>140</v>
      </c>
      <c r="H511" s="301">
        <v>726</v>
      </c>
      <c r="I511" s="302">
        <v>26.2</v>
      </c>
      <c r="J511" s="301">
        <v>18798</v>
      </c>
      <c r="K511" s="237"/>
      <c r="L511" s="301">
        <f t="shared" si="395"/>
        <v>18798</v>
      </c>
      <c r="M511" s="303">
        <f t="shared" si="396"/>
        <v>25.892561983471076</v>
      </c>
      <c r="N511" s="302"/>
      <c r="O511" s="302"/>
      <c r="P511" s="302"/>
      <c r="Q511" s="302"/>
      <c r="R511" s="302"/>
      <c r="S511" s="320">
        <v>1.81</v>
      </c>
      <c r="T511" s="320">
        <v>7.18</v>
      </c>
      <c r="V511" s="306"/>
      <c r="W511" s="306"/>
      <c r="X511" s="307">
        <v>0.45</v>
      </c>
      <c r="Y511" s="307"/>
      <c r="Z511" s="304">
        <v>0.41</v>
      </c>
      <c r="AA511" s="431"/>
      <c r="AB511" s="233" t="str">
        <f t="shared" si="398"/>
        <v/>
      </c>
      <c r="AC511" s="233" t="str">
        <f t="shared" si="397"/>
        <v/>
      </c>
      <c r="AD511" s="233" t="str">
        <f t="shared" si="377"/>
        <v/>
      </c>
      <c r="AE511" s="233"/>
      <c r="AF511" s="448"/>
      <c r="AH511" s="306"/>
    </row>
    <row r="512" spans="1:54">
      <c r="AC512" s="36">
        <f t="shared" ref="AC512:AC520" si="399">IFERROR(AB512*X512,"")</f>
        <v>0</v>
      </c>
    </row>
    <row r="513" spans="1:84">
      <c r="C513" s="6"/>
      <c r="D513" s="11"/>
      <c r="AC513" s="36">
        <f t="shared" si="399"/>
        <v>0</v>
      </c>
    </row>
    <row r="514" spans="1:84">
      <c r="C514" s="6"/>
      <c r="D514" s="11"/>
      <c r="AC514" s="36">
        <f t="shared" si="399"/>
        <v>0</v>
      </c>
    </row>
    <row r="515" spans="1:84">
      <c r="C515" s="6"/>
      <c r="D515" s="11"/>
      <c r="AC515" s="36">
        <f t="shared" si="399"/>
        <v>0</v>
      </c>
    </row>
    <row r="516" spans="1:84">
      <c r="C516" s="6"/>
      <c r="D516" s="11"/>
      <c r="AC516" s="36">
        <f t="shared" si="399"/>
        <v>0</v>
      </c>
    </row>
    <row r="517" spans="1:84">
      <c r="C517" s="6"/>
      <c r="D517" s="11"/>
      <c r="AC517" s="36">
        <f t="shared" si="399"/>
        <v>0</v>
      </c>
    </row>
    <row r="518" spans="1:84" s="7" customFormat="1">
      <c r="A518" s="5"/>
      <c r="B518" s="5"/>
      <c r="C518" s="6"/>
      <c r="D518" s="11"/>
      <c r="F518" s="5"/>
      <c r="G518" s="5"/>
      <c r="I518" s="8"/>
      <c r="J518" s="9"/>
      <c r="K518" s="9"/>
      <c r="L518" s="9"/>
      <c r="M518" s="9"/>
      <c r="N518" s="10"/>
      <c r="O518" s="10"/>
      <c r="P518" s="10"/>
      <c r="Q518" s="10"/>
      <c r="R518" s="10"/>
      <c r="S518" s="10"/>
      <c r="T518" s="10"/>
      <c r="U518" s="6"/>
      <c r="V518" s="11"/>
      <c r="W518" s="11"/>
      <c r="X518" s="34"/>
      <c r="Y518" s="34"/>
      <c r="Z518" s="34"/>
      <c r="AA518" s="440"/>
      <c r="AB518" s="36"/>
      <c r="AC518" s="36">
        <f t="shared" si="399"/>
        <v>0</v>
      </c>
      <c r="AD518" s="36"/>
      <c r="AE518" s="36"/>
      <c r="AF518" s="458"/>
      <c r="AG518" s="6"/>
      <c r="AH518" s="11"/>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row>
    <row r="519" spans="1:84" s="7" customFormat="1">
      <c r="A519" s="5"/>
      <c r="B519" s="5"/>
      <c r="C519" s="6"/>
      <c r="D519" s="11"/>
      <c r="F519" s="5"/>
      <c r="G519" s="5"/>
      <c r="I519" s="8"/>
      <c r="J519" s="9"/>
      <c r="K519" s="9"/>
      <c r="L519" s="9"/>
      <c r="M519" s="9"/>
      <c r="N519" s="10"/>
      <c r="O519" s="10"/>
      <c r="P519" s="10"/>
      <c r="Q519" s="10"/>
      <c r="R519" s="10"/>
      <c r="S519" s="10"/>
      <c r="T519" s="10"/>
      <c r="U519" s="6"/>
      <c r="V519" s="11"/>
      <c r="W519" s="11"/>
      <c r="X519" s="34"/>
      <c r="Y519" s="34"/>
      <c r="Z519" s="34"/>
      <c r="AA519" s="440"/>
      <c r="AB519" s="36"/>
      <c r="AC519" s="36">
        <f t="shared" si="399"/>
        <v>0</v>
      </c>
      <c r="AD519" s="36"/>
      <c r="AE519" s="36"/>
      <c r="AF519" s="458"/>
      <c r="AG519" s="6"/>
      <c r="AH519" s="11"/>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row>
    <row r="520" spans="1:84" s="7" customFormat="1">
      <c r="A520" s="5"/>
      <c r="B520" s="5"/>
      <c r="C520" s="6"/>
      <c r="D520" s="11"/>
      <c r="F520" s="5"/>
      <c r="G520" s="5"/>
      <c r="I520" s="8"/>
      <c r="J520" s="9"/>
      <c r="K520" s="9"/>
      <c r="L520" s="9"/>
      <c r="M520" s="9"/>
      <c r="N520" s="10"/>
      <c r="O520" s="10"/>
      <c r="P520" s="10"/>
      <c r="Q520" s="10"/>
      <c r="R520" s="10"/>
      <c r="S520" s="10"/>
      <c r="T520" s="10"/>
      <c r="U520" s="6"/>
      <c r="V520" s="11"/>
      <c r="W520" s="11"/>
      <c r="X520" s="34"/>
      <c r="Y520" s="34"/>
      <c r="Z520" s="34"/>
      <c r="AA520" s="440"/>
      <c r="AB520" s="36"/>
      <c r="AC520" s="36">
        <f t="shared" si="399"/>
        <v>0</v>
      </c>
      <c r="AD520" s="36"/>
      <c r="AE520" s="36"/>
      <c r="AF520" s="458"/>
      <c r="AG520" s="6"/>
      <c r="AH520" s="11"/>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row>
    <row r="521" spans="1:84" s="7" customFormat="1">
      <c r="A521" s="5"/>
      <c r="B521" s="5"/>
      <c r="C521" s="6"/>
      <c r="D521" s="11"/>
      <c r="F521" s="5"/>
      <c r="G521" s="5"/>
      <c r="I521" s="8"/>
      <c r="J521" s="9"/>
      <c r="K521" s="9"/>
      <c r="L521" s="9"/>
      <c r="M521" s="9"/>
      <c r="N521" s="10"/>
      <c r="O521" s="10"/>
      <c r="P521" s="10"/>
      <c r="Q521" s="10"/>
      <c r="R521" s="10"/>
      <c r="S521" s="10"/>
      <c r="T521" s="10"/>
      <c r="U521" s="6"/>
      <c r="V521" s="11"/>
      <c r="W521" s="11"/>
      <c r="X521" s="34"/>
      <c r="Y521" s="34"/>
      <c r="Z521" s="34"/>
      <c r="AA521" s="440"/>
      <c r="AB521" s="36"/>
      <c r="AC521" s="36"/>
      <c r="AD521" s="36"/>
      <c r="AE521" s="36"/>
      <c r="AF521" s="458"/>
      <c r="AG521" s="6"/>
      <c r="AH521" s="11"/>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row>
    <row r="522" spans="1:84" s="7" customFormat="1">
      <c r="A522" s="5"/>
      <c r="B522" s="5"/>
      <c r="C522" s="6"/>
      <c r="D522" s="11"/>
      <c r="F522" s="5"/>
      <c r="G522" s="5"/>
      <c r="I522" s="8"/>
      <c r="J522" s="9"/>
      <c r="K522" s="9"/>
      <c r="L522" s="9"/>
      <c r="M522" s="9"/>
      <c r="N522" s="10"/>
      <c r="O522" s="10"/>
      <c r="P522" s="10"/>
      <c r="Q522" s="10"/>
      <c r="R522" s="10"/>
      <c r="S522" s="10"/>
      <c r="T522" s="10"/>
      <c r="U522" s="6"/>
      <c r="V522" s="11"/>
      <c r="W522" s="11"/>
      <c r="X522" s="34"/>
      <c r="Y522" s="34"/>
      <c r="Z522" s="34"/>
      <c r="AA522" s="440"/>
      <c r="AB522" s="36"/>
      <c r="AC522" s="36"/>
      <c r="AD522" s="36"/>
      <c r="AE522" s="36"/>
      <c r="AF522" s="458"/>
      <c r="AG522" s="6"/>
      <c r="AH522" s="11"/>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row>
    <row r="523" spans="1:84" s="7" customFormat="1">
      <c r="A523" s="5"/>
      <c r="B523" s="5"/>
      <c r="C523" s="6"/>
      <c r="D523" s="11"/>
      <c r="F523" s="5"/>
      <c r="G523" s="5"/>
      <c r="I523" s="8"/>
      <c r="J523" s="9"/>
      <c r="K523" s="9"/>
      <c r="L523" s="9"/>
      <c r="M523" s="9"/>
      <c r="N523" s="10"/>
      <c r="O523" s="10"/>
      <c r="P523" s="10"/>
      <c r="Q523" s="10"/>
      <c r="R523" s="10"/>
      <c r="S523" s="10"/>
      <c r="T523" s="10"/>
      <c r="U523" s="6"/>
      <c r="V523" s="11"/>
      <c r="W523" s="11"/>
      <c r="X523" s="34"/>
      <c r="Y523" s="34"/>
      <c r="Z523" s="34"/>
      <c r="AA523" s="440"/>
      <c r="AB523" s="36"/>
      <c r="AC523" s="36"/>
      <c r="AD523" s="36"/>
      <c r="AE523" s="36"/>
      <c r="AF523" s="458"/>
      <c r="AG523" s="6"/>
      <c r="AH523" s="11"/>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row>
    <row r="524" spans="1:84" s="7" customFormat="1">
      <c r="A524" s="5"/>
      <c r="B524" s="5"/>
      <c r="C524" s="6"/>
      <c r="D524" s="11"/>
      <c r="F524" s="5"/>
      <c r="G524" s="5"/>
      <c r="I524" s="8"/>
      <c r="J524" s="9"/>
      <c r="K524" s="9"/>
      <c r="L524" s="9"/>
      <c r="M524" s="9"/>
      <c r="N524" s="10"/>
      <c r="O524" s="10"/>
      <c r="P524" s="10"/>
      <c r="Q524" s="10"/>
      <c r="R524" s="10"/>
      <c r="S524" s="10"/>
      <c r="T524" s="10"/>
      <c r="U524" s="6"/>
      <c r="V524" s="11"/>
      <c r="W524" s="11"/>
      <c r="X524" s="34"/>
      <c r="Y524" s="34"/>
      <c r="Z524" s="34"/>
      <c r="AA524" s="440"/>
      <c r="AB524" s="36"/>
      <c r="AC524" s="36"/>
      <c r="AD524" s="36"/>
      <c r="AE524" s="36"/>
      <c r="AF524" s="458"/>
      <c r="AG524" s="6"/>
      <c r="AH524" s="11"/>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row>
    <row r="525" spans="1:84" s="7" customFormat="1">
      <c r="A525" s="5"/>
      <c r="B525" s="5"/>
      <c r="C525" s="6"/>
      <c r="D525" s="11"/>
      <c r="F525" s="5"/>
      <c r="G525" s="5"/>
      <c r="I525" s="8"/>
      <c r="J525" s="9"/>
      <c r="K525" s="9"/>
      <c r="L525" s="9"/>
      <c r="M525" s="9"/>
      <c r="N525" s="10"/>
      <c r="O525" s="10"/>
      <c r="P525" s="10"/>
      <c r="Q525" s="10"/>
      <c r="R525" s="10"/>
      <c r="S525" s="10"/>
      <c r="T525" s="10"/>
      <c r="U525" s="6"/>
      <c r="V525" s="11"/>
      <c r="W525" s="11"/>
      <c r="X525" s="34"/>
      <c r="Y525" s="34"/>
      <c r="Z525" s="34"/>
      <c r="AA525" s="440"/>
      <c r="AB525" s="36"/>
      <c r="AC525" s="36"/>
      <c r="AD525" s="36"/>
      <c r="AE525" s="36"/>
      <c r="AF525" s="458"/>
      <c r="AG525" s="6"/>
      <c r="AH525" s="11"/>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row>
    <row r="526" spans="1:84" s="7" customFormat="1">
      <c r="A526" s="5"/>
      <c r="B526" s="5"/>
      <c r="C526" s="6"/>
      <c r="D526" s="11"/>
      <c r="F526" s="5"/>
      <c r="G526" s="5"/>
      <c r="I526" s="8"/>
      <c r="J526" s="9"/>
      <c r="K526" s="9"/>
      <c r="L526" s="9"/>
      <c r="M526" s="9"/>
      <c r="N526" s="10"/>
      <c r="O526" s="10"/>
      <c r="P526" s="10"/>
      <c r="Q526" s="10"/>
      <c r="R526" s="10"/>
      <c r="S526" s="10"/>
      <c r="T526" s="10"/>
      <c r="U526" s="6"/>
      <c r="V526" s="11"/>
      <c r="W526" s="11"/>
      <c r="X526" s="34"/>
      <c r="Y526" s="34"/>
      <c r="Z526" s="34"/>
      <c r="AA526" s="440"/>
      <c r="AB526" s="36"/>
      <c r="AC526" s="36"/>
      <c r="AD526" s="36"/>
      <c r="AE526" s="36"/>
      <c r="AF526" s="458"/>
      <c r="AG526" s="6"/>
      <c r="AH526" s="11"/>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row>
    <row r="527" spans="1:84" s="7" customFormat="1">
      <c r="A527" s="5"/>
      <c r="B527" s="5"/>
      <c r="C527" s="6"/>
      <c r="D527" s="11"/>
      <c r="F527" s="5"/>
      <c r="G527" s="5"/>
      <c r="I527" s="8"/>
      <c r="J527" s="9"/>
      <c r="K527" s="9"/>
      <c r="L527" s="9"/>
      <c r="M527" s="9"/>
      <c r="N527" s="10"/>
      <c r="O527" s="10"/>
      <c r="P527" s="10"/>
      <c r="Q527" s="10"/>
      <c r="R527" s="10"/>
      <c r="S527" s="10"/>
      <c r="T527" s="10"/>
      <c r="U527" s="6"/>
      <c r="V527" s="11"/>
      <c r="W527" s="11"/>
      <c r="X527" s="34"/>
      <c r="Y527" s="34"/>
      <c r="Z527" s="34"/>
      <c r="AA527" s="440"/>
      <c r="AB527" s="36"/>
      <c r="AC527" s="36"/>
      <c r="AD527" s="36"/>
      <c r="AE527" s="36"/>
      <c r="AF527" s="458"/>
      <c r="AG527" s="6"/>
      <c r="AH527" s="11"/>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row>
    <row r="528" spans="1:84" s="7" customFormat="1">
      <c r="A528" s="5"/>
      <c r="B528" s="5"/>
      <c r="C528" s="6"/>
      <c r="D528" s="11"/>
      <c r="F528" s="5"/>
      <c r="G528" s="5"/>
      <c r="I528" s="8"/>
      <c r="J528" s="9"/>
      <c r="K528" s="9"/>
      <c r="L528" s="9"/>
      <c r="M528" s="9"/>
      <c r="N528" s="10"/>
      <c r="O528" s="10"/>
      <c r="P528" s="10"/>
      <c r="Q528" s="10"/>
      <c r="R528" s="10"/>
      <c r="S528" s="10"/>
      <c r="T528" s="10"/>
      <c r="U528" s="6"/>
      <c r="V528" s="11"/>
      <c r="W528" s="11"/>
      <c r="X528" s="34"/>
      <c r="Y528" s="34"/>
      <c r="Z528" s="34"/>
      <c r="AA528" s="440"/>
      <c r="AB528" s="36"/>
      <c r="AC528" s="36"/>
      <c r="AD528" s="36"/>
      <c r="AE528" s="36"/>
      <c r="AF528" s="458"/>
      <c r="AG528" s="6"/>
      <c r="AH528" s="11"/>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row>
    <row r="529" spans="1:84" s="7" customFormat="1">
      <c r="A529" s="5"/>
      <c r="B529" s="5"/>
      <c r="C529" s="6"/>
      <c r="D529" s="11"/>
      <c r="F529" s="5"/>
      <c r="G529" s="5"/>
      <c r="I529" s="8"/>
      <c r="J529" s="9"/>
      <c r="K529" s="9"/>
      <c r="L529" s="9"/>
      <c r="M529" s="9"/>
      <c r="N529" s="10"/>
      <c r="O529" s="10"/>
      <c r="P529" s="10"/>
      <c r="Q529" s="10"/>
      <c r="R529" s="10"/>
      <c r="S529" s="10"/>
      <c r="T529" s="10"/>
      <c r="U529" s="6"/>
      <c r="V529" s="11"/>
      <c r="W529" s="11"/>
      <c r="X529" s="34"/>
      <c r="Y529" s="34"/>
      <c r="Z529" s="34"/>
      <c r="AA529" s="440"/>
      <c r="AB529" s="36"/>
      <c r="AC529" s="36"/>
      <c r="AD529" s="36"/>
      <c r="AE529" s="36"/>
      <c r="AF529" s="458"/>
      <c r="AG529" s="6"/>
      <c r="AH529" s="11"/>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row>
    <row r="530" spans="1:84" s="7" customFormat="1">
      <c r="A530" s="5"/>
      <c r="B530" s="5"/>
      <c r="C530" s="6"/>
      <c r="D530" s="11"/>
      <c r="F530" s="5"/>
      <c r="G530" s="5"/>
      <c r="I530" s="8"/>
      <c r="J530" s="9"/>
      <c r="K530" s="9"/>
      <c r="L530" s="9"/>
      <c r="M530" s="9"/>
      <c r="N530" s="10"/>
      <c r="O530" s="10"/>
      <c r="P530" s="10"/>
      <c r="Q530" s="10"/>
      <c r="R530" s="10"/>
      <c r="S530" s="10"/>
      <c r="T530" s="10"/>
      <c r="U530" s="6"/>
      <c r="V530" s="11"/>
      <c r="W530" s="11"/>
      <c r="X530" s="34"/>
      <c r="Y530" s="34"/>
      <c r="Z530" s="34"/>
      <c r="AA530" s="440"/>
      <c r="AB530" s="36"/>
      <c r="AC530" s="36"/>
      <c r="AD530" s="36"/>
      <c r="AE530" s="36"/>
      <c r="AF530" s="458"/>
      <c r="AG530" s="6"/>
      <c r="AH530" s="11"/>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row>
    <row r="531" spans="1:84" s="7" customFormat="1">
      <c r="A531" s="5"/>
      <c r="B531" s="5"/>
      <c r="C531" s="6"/>
      <c r="D531" s="11"/>
      <c r="F531" s="5"/>
      <c r="G531" s="5"/>
      <c r="I531" s="8"/>
      <c r="J531" s="9"/>
      <c r="K531" s="9"/>
      <c r="L531" s="9"/>
      <c r="M531" s="9"/>
      <c r="N531" s="10"/>
      <c r="O531" s="10"/>
      <c r="P531" s="10"/>
      <c r="Q531" s="10"/>
      <c r="R531" s="10"/>
      <c r="S531" s="10"/>
      <c r="T531" s="10"/>
      <c r="U531" s="6"/>
      <c r="V531" s="11"/>
      <c r="W531" s="11"/>
      <c r="X531" s="34"/>
      <c r="Y531" s="34"/>
      <c r="Z531" s="34"/>
      <c r="AA531" s="440"/>
      <c r="AB531" s="36"/>
      <c r="AC531" s="36"/>
      <c r="AD531" s="36"/>
      <c r="AE531" s="36"/>
      <c r="AF531" s="458"/>
      <c r="AG531" s="6"/>
      <c r="AH531" s="11"/>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row>
    <row r="532" spans="1:84" s="7" customFormat="1">
      <c r="A532" s="5"/>
      <c r="B532" s="5"/>
      <c r="C532" s="6"/>
      <c r="D532" s="11"/>
      <c r="F532" s="5"/>
      <c r="G532" s="5"/>
      <c r="I532" s="8"/>
      <c r="J532" s="9"/>
      <c r="K532" s="9"/>
      <c r="L532" s="9"/>
      <c r="M532" s="9"/>
      <c r="N532" s="10"/>
      <c r="O532" s="10"/>
      <c r="P532" s="10"/>
      <c r="Q532" s="10"/>
      <c r="R532" s="10"/>
      <c r="S532" s="10"/>
      <c r="T532" s="10"/>
      <c r="U532" s="6"/>
      <c r="V532" s="11"/>
      <c r="W532" s="11"/>
      <c r="X532" s="34"/>
      <c r="Y532" s="34"/>
      <c r="Z532" s="34"/>
      <c r="AA532" s="440"/>
      <c r="AB532" s="36"/>
      <c r="AC532" s="36"/>
      <c r="AD532" s="36"/>
      <c r="AE532" s="36"/>
      <c r="AF532" s="458"/>
      <c r="AG532" s="6"/>
      <c r="AH532" s="11"/>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row>
    <row r="533" spans="1:84" s="7" customFormat="1">
      <c r="A533" s="5"/>
      <c r="B533" s="5"/>
      <c r="C533" s="6"/>
      <c r="D533" s="11"/>
      <c r="F533" s="5"/>
      <c r="G533" s="5"/>
      <c r="I533" s="8"/>
      <c r="J533" s="9"/>
      <c r="K533" s="9"/>
      <c r="L533" s="9"/>
      <c r="M533" s="9"/>
      <c r="N533" s="10"/>
      <c r="O533" s="10"/>
      <c r="P533" s="10"/>
      <c r="Q533" s="10"/>
      <c r="R533" s="10"/>
      <c r="S533" s="10"/>
      <c r="T533" s="10"/>
      <c r="U533" s="6"/>
      <c r="V533" s="11"/>
      <c r="W533" s="11"/>
      <c r="X533" s="34"/>
      <c r="Y533" s="34"/>
      <c r="Z533" s="34"/>
      <c r="AA533" s="440"/>
      <c r="AB533" s="36"/>
      <c r="AC533" s="36"/>
      <c r="AD533" s="36"/>
      <c r="AE533" s="36"/>
      <c r="AF533" s="458"/>
      <c r="AG533" s="6"/>
      <c r="AH533" s="11"/>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row>
    <row r="534" spans="1:84" s="7" customFormat="1">
      <c r="A534" s="5"/>
      <c r="B534" s="5"/>
      <c r="C534" s="6"/>
      <c r="D534" s="11"/>
      <c r="F534" s="5"/>
      <c r="G534" s="5"/>
      <c r="I534" s="8"/>
      <c r="J534" s="9"/>
      <c r="K534" s="9"/>
      <c r="L534" s="9"/>
      <c r="M534" s="9"/>
      <c r="N534" s="10"/>
      <c r="O534" s="10"/>
      <c r="P534" s="10"/>
      <c r="Q534" s="10"/>
      <c r="R534" s="10"/>
      <c r="S534" s="10"/>
      <c r="T534" s="10"/>
      <c r="U534" s="6"/>
      <c r="V534" s="11"/>
      <c r="W534" s="11"/>
      <c r="X534" s="34"/>
      <c r="Y534" s="34"/>
      <c r="Z534" s="34"/>
      <c r="AA534" s="440"/>
      <c r="AB534" s="36"/>
      <c r="AC534" s="36"/>
      <c r="AD534" s="36"/>
      <c r="AE534" s="36"/>
      <c r="AF534" s="458"/>
      <c r="AG534" s="6"/>
      <c r="AH534" s="11"/>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row>
    <row r="535" spans="1:84" s="7" customFormat="1">
      <c r="A535" s="5"/>
      <c r="B535" s="5"/>
      <c r="C535" s="6"/>
      <c r="D535" s="11"/>
      <c r="F535" s="5"/>
      <c r="G535" s="5"/>
      <c r="I535" s="8"/>
      <c r="J535" s="9"/>
      <c r="K535" s="9"/>
      <c r="L535" s="9"/>
      <c r="M535" s="9"/>
      <c r="N535" s="10"/>
      <c r="O535" s="10"/>
      <c r="P535" s="10"/>
      <c r="Q535" s="10"/>
      <c r="R535" s="10"/>
      <c r="S535" s="10"/>
      <c r="T535" s="10"/>
      <c r="U535" s="6"/>
      <c r="V535" s="11"/>
      <c r="W535" s="11"/>
      <c r="X535" s="34"/>
      <c r="Y535" s="34"/>
      <c r="Z535" s="34"/>
      <c r="AA535" s="440"/>
      <c r="AB535" s="36"/>
      <c r="AC535" s="36"/>
      <c r="AD535" s="36"/>
      <c r="AE535" s="36"/>
      <c r="AF535" s="458"/>
      <c r="AG535" s="6"/>
      <c r="AH535" s="11"/>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row>
    <row r="536" spans="1:84" s="7" customFormat="1">
      <c r="A536" s="5"/>
      <c r="B536" s="5"/>
      <c r="C536" s="6"/>
      <c r="D536" s="11"/>
      <c r="F536" s="5"/>
      <c r="G536" s="5"/>
      <c r="I536" s="8"/>
      <c r="J536" s="9"/>
      <c r="K536" s="9"/>
      <c r="L536" s="9"/>
      <c r="M536" s="9"/>
      <c r="N536" s="10"/>
      <c r="O536" s="10"/>
      <c r="P536" s="10"/>
      <c r="Q536" s="10"/>
      <c r="R536" s="10"/>
      <c r="S536" s="10"/>
      <c r="T536" s="10"/>
      <c r="U536" s="6"/>
      <c r="V536" s="11"/>
      <c r="W536" s="11"/>
      <c r="X536" s="34"/>
      <c r="Y536" s="34"/>
      <c r="Z536" s="34"/>
      <c r="AA536" s="440"/>
      <c r="AB536" s="36"/>
      <c r="AC536" s="36"/>
      <c r="AD536" s="36"/>
      <c r="AE536" s="36"/>
      <c r="AF536" s="458"/>
      <c r="AG536" s="6"/>
      <c r="AH536" s="11"/>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row>
    <row r="537" spans="1:84" s="7" customFormat="1">
      <c r="A537" s="5"/>
      <c r="B537" s="5"/>
      <c r="C537" s="6"/>
      <c r="D537" s="11"/>
      <c r="F537" s="5"/>
      <c r="G537" s="5"/>
      <c r="I537" s="8"/>
      <c r="J537" s="9"/>
      <c r="K537" s="9"/>
      <c r="L537" s="9"/>
      <c r="M537" s="9"/>
      <c r="N537" s="10"/>
      <c r="O537" s="10"/>
      <c r="P537" s="10"/>
      <c r="Q537" s="10"/>
      <c r="R537" s="10"/>
      <c r="S537" s="10"/>
      <c r="T537" s="10"/>
      <c r="U537" s="6"/>
      <c r="V537" s="11"/>
      <c r="W537" s="11"/>
      <c r="X537" s="34"/>
      <c r="Y537" s="34"/>
      <c r="Z537" s="34"/>
      <c r="AA537" s="440"/>
      <c r="AB537" s="36"/>
      <c r="AC537" s="36"/>
      <c r="AD537" s="36"/>
      <c r="AE537" s="36"/>
      <c r="AF537" s="458"/>
      <c r="AG537" s="6"/>
      <c r="AH537" s="11"/>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row>
    <row r="538" spans="1:84" s="7" customFormat="1">
      <c r="A538" s="5"/>
      <c r="B538" s="5"/>
      <c r="C538" s="6"/>
      <c r="D538" s="11"/>
      <c r="F538" s="5"/>
      <c r="G538" s="5"/>
      <c r="I538" s="8"/>
      <c r="J538" s="9"/>
      <c r="K538" s="9"/>
      <c r="L538" s="9"/>
      <c r="M538" s="9"/>
      <c r="N538" s="10"/>
      <c r="O538" s="10"/>
      <c r="P538" s="10"/>
      <c r="Q538" s="10"/>
      <c r="R538" s="10"/>
      <c r="S538" s="10"/>
      <c r="T538" s="10"/>
      <c r="U538" s="6"/>
      <c r="V538" s="11"/>
      <c r="W538" s="11"/>
      <c r="X538" s="34"/>
      <c r="Y538" s="34"/>
      <c r="Z538" s="34"/>
      <c r="AA538" s="440"/>
      <c r="AB538" s="36"/>
      <c r="AC538" s="36"/>
      <c r="AD538" s="36"/>
      <c r="AE538" s="36"/>
      <c r="AF538" s="458"/>
      <c r="AG538" s="6"/>
      <c r="AH538" s="11"/>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row>
    <row r="539" spans="1:84" s="7" customFormat="1">
      <c r="A539" s="5"/>
      <c r="B539" s="5"/>
      <c r="C539" s="6"/>
      <c r="D539" s="11"/>
      <c r="F539" s="5"/>
      <c r="G539" s="5"/>
      <c r="I539" s="8"/>
      <c r="J539" s="9"/>
      <c r="K539" s="9"/>
      <c r="L539" s="9"/>
      <c r="M539" s="9"/>
      <c r="N539" s="10"/>
      <c r="O539" s="10"/>
      <c r="P539" s="10"/>
      <c r="Q539" s="10"/>
      <c r="R539" s="10"/>
      <c r="S539" s="10"/>
      <c r="T539" s="10"/>
      <c r="U539" s="6"/>
      <c r="V539" s="11"/>
      <c r="W539" s="11"/>
      <c r="X539" s="34"/>
      <c r="Y539" s="34"/>
      <c r="Z539" s="34"/>
      <c r="AA539" s="440"/>
      <c r="AB539" s="36"/>
      <c r="AC539" s="36"/>
      <c r="AD539" s="36"/>
      <c r="AE539" s="36"/>
      <c r="AF539" s="458"/>
      <c r="AG539" s="6"/>
      <c r="AH539" s="11"/>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row>
    <row r="540" spans="1:84" s="7" customFormat="1">
      <c r="A540" s="5"/>
      <c r="B540" s="5"/>
      <c r="C540" s="6"/>
      <c r="D540" s="11"/>
      <c r="F540" s="5"/>
      <c r="G540" s="5"/>
      <c r="I540" s="8"/>
      <c r="J540" s="9"/>
      <c r="K540" s="9"/>
      <c r="L540" s="9"/>
      <c r="M540" s="9"/>
      <c r="N540" s="10"/>
      <c r="O540" s="10"/>
      <c r="P540" s="10"/>
      <c r="Q540" s="10"/>
      <c r="R540" s="10"/>
      <c r="S540" s="10"/>
      <c r="T540" s="10"/>
      <c r="U540" s="6"/>
      <c r="V540" s="11"/>
      <c r="W540" s="11"/>
      <c r="X540" s="34"/>
      <c r="Y540" s="34"/>
      <c r="Z540" s="34"/>
      <c r="AA540" s="440"/>
      <c r="AB540" s="36"/>
      <c r="AC540" s="36"/>
      <c r="AD540" s="36"/>
      <c r="AE540" s="36"/>
      <c r="AF540" s="458"/>
      <c r="AG540" s="6"/>
      <c r="AH540" s="11"/>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row>
    <row r="541" spans="1:84" s="7" customFormat="1">
      <c r="A541" s="5"/>
      <c r="B541" s="5"/>
      <c r="C541" s="6"/>
      <c r="D541" s="11"/>
      <c r="F541" s="5"/>
      <c r="G541" s="5"/>
      <c r="I541" s="8"/>
      <c r="J541" s="9"/>
      <c r="K541" s="9"/>
      <c r="L541" s="9"/>
      <c r="M541" s="9"/>
      <c r="N541" s="10"/>
      <c r="O541" s="10"/>
      <c r="P541" s="10"/>
      <c r="Q541" s="10"/>
      <c r="R541" s="10"/>
      <c r="S541" s="10"/>
      <c r="T541" s="10"/>
      <c r="U541" s="6"/>
      <c r="V541" s="11"/>
      <c r="W541" s="11"/>
      <c r="X541" s="34"/>
      <c r="Y541" s="34"/>
      <c r="Z541" s="34"/>
      <c r="AA541" s="440"/>
      <c r="AB541" s="36"/>
      <c r="AC541" s="36"/>
      <c r="AD541" s="36"/>
      <c r="AE541" s="36"/>
      <c r="AF541" s="458"/>
      <c r="AG541" s="6"/>
      <c r="AH541" s="11"/>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row>
    <row r="542" spans="1:84" s="7" customFormat="1">
      <c r="A542" s="5"/>
      <c r="B542" s="5"/>
      <c r="C542" s="6"/>
      <c r="D542" s="11"/>
      <c r="F542" s="5"/>
      <c r="G542" s="5"/>
      <c r="I542" s="8"/>
      <c r="J542" s="9"/>
      <c r="K542" s="9"/>
      <c r="L542" s="9"/>
      <c r="M542" s="9"/>
      <c r="N542" s="10"/>
      <c r="O542" s="10"/>
      <c r="P542" s="10"/>
      <c r="Q542" s="10"/>
      <c r="R542" s="10"/>
      <c r="S542" s="10"/>
      <c r="T542" s="10"/>
      <c r="U542" s="6"/>
      <c r="V542" s="11"/>
      <c r="W542" s="11"/>
      <c r="X542" s="34"/>
      <c r="Y542" s="34"/>
      <c r="Z542" s="34"/>
      <c r="AA542" s="440"/>
      <c r="AB542" s="36"/>
      <c r="AC542" s="36"/>
      <c r="AD542" s="36"/>
      <c r="AE542" s="36"/>
      <c r="AF542" s="458"/>
      <c r="AG542" s="6"/>
      <c r="AH542" s="11"/>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row>
    <row r="543" spans="1:84" s="7" customFormat="1">
      <c r="A543" s="5"/>
      <c r="B543" s="5"/>
      <c r="C543" s="6"/>
      <c r="D543" s="11"/>
      <c r="F543" s="5"/>
      <c r="G543" s="5"/>
      <c r="I543" s="8"/>
      <c r="J543" s="9"/>
      <c r="K543" s="9"/>
      <c r="L543" s="9"/>
      <c r="M543" s="9"/>
      <c r="N543" s="10"/>
      <c r="O543" s="10"/>
      <c r="P543" s="10"/>
      <c r="Q543" s="10"/>
      <c r="R543" s="10"/>
      <c r="S543" s="10"/>
      <c r="T543" s="10"/>
      <c r="U543" s="6"/>
      <c r="V543" s="11"/>
      <c r="W543" s="11"/>
      <c r="X543" s="34"/>
      <c r="Y543" s="34"/>
      <c r="Z543" s="34"/>
      <c r="AA543" s="440"/>
      <c r="AB543" s="36"/>
      <c r="AC543" s="36"/>
      <c r="AD543" s="36"/>
      <c r="AE543" s="36"/>
      <c r="AF543" s="458"/>
      <c r="AG543" s="6"/>
      <c r="AH543" s="11"/>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row>
    <row r="544" spans="1:84" s="7" customFormat="1">
      <c r="A544" s="5"/>
      <c r="B544" s="5"/>
      <c r="C544" s="6"/>
      <c r="D544" s="11"/>
      <c r="F544" s="5"/>
      <c r="G544" s="5"/>
      <c r="I544" s="8"/>
      <c r="J544" s="9"/>
      <c r="K544" s="9"/>
      <c r="L544" s="9"/>
      <c r="M544" s="9"/>
      <c r="N544" s="10"/>
      <c r="O544" s="10"/>
      <c r="P544" s="10"/>
      <c r="Q544" s="10"/>
      <c r="R544" s="10"/>
      <c r="S544" s="10"/>
      <c r="T544" s="10"/>
      <c r="U544" s="6"/>
      <c r="V544" s="11"/>
      <c r="W544" s="11"/>
      <c r="X544" s="34"/>
      <c r="Y544" s="34"/>
      <c r="Z544" s="34"/>
      <c r="AA544" s="440"/>
      <c r="AB544" s="36"/>
      <c r="AC544" s="36"/>
      <c r="AD544" s="36"/>
      <c r="AE544" s="36"/>
      <c r="AF544" s="458"/>
      <c r="AG544" s="6"/>
      <c r="AH544" s="11"/>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row>
    <row r="545" spans="1:84" s="7" customFormat="1">
      <c r="A545" s="5"/>
      <c r="B545" s="5"/>
      <c r="C545" s="6"/>
      <c r="D545" s="11"/>
      <c r="F545" s="5"/>
      <c r="G545" s="5"/>
      <c r="I545" s="8"/>
      <c r="J545" s="9"/>
      <c r="K545" s="9"/>
      <c r="L545" s="9"/>
      <c r="M545" s="9"/>
      <c r="N545" s="10"/>
      <c r="O545" s="10"/>
      <c r="P545" s="10"/>
      <c r="Q545" s="10"/>
      <c r="R545" s="10"/>
      <c r="S545" s="10"/>
      <c r="T545" s="10"/>
      <c r="U545" s="6"/>
      <c r="V545" s="11"/>
      <c r="W545" s="11"/>
      <c r="X545" s="34"/>
      <c r="Y545" s="34"/>
      <c r="Z545" s="34"/>
      <c r="AA545" s="440"/>
      <c r="AB545" s="36"/>
      <c r="AC545" s="36"/>
      <c r="AD545" s="36"/>
      <c r="AE545" s="36"/>
      <c r="AF545" s="458"/>
      <c r="AG545" s="6"/>
      <c r="AH545" s="11"/>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row>
    <row r="546" spans="1:84" s="7" customFormat="1">
      <c r="A546" s="5"/>
      <c r="B546" s="5"/>
      <c r="C546" s="6"/>
      <c r="D546" s="11"/>
      <c r="F546" s="5"/>
      <c r="G546" s="5"/>
      <c r="I546" s="8"/>
      <c r="J546" s="9"/>
      <c r="K546" s="9"/>
      <c r="L546" s="9"/>
      <c r="M546" s="9"/>
      <c r="N546" s="10"/>
      <c r="O546" s="10"/>
      <c r="P546" s="10"/>
      <c r="Q546" s="10"/>
      <c r="R546" s="10"/>
      <c r="S546" s="10"/>
      <c r="T546" s="10"/>
      <c r="U546" s="6"/>
      <c r="V546" s="11"/>
      <c r="W546" s="11"/>
      <c r="X546" s="34"/>
      <c r="Y546" s="34"/>
      <c r="Z546" s="34"/>
      <c r="AA546" s="440"/>
      <c r="AB546" s="36"/>
      <c r="AC546" s="36"/>
      <c r="AD546" s="36"/>
      <c r="AE546" s="36"/>
      <c r="AF546" s="458"/>
      <c r="AG546" s="6"/>
      <c r="AH546" s="11"/>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row>
    <row r="547" spans="1:84" s="7" customFormat="1">
      <c r="A547" s="5"/>
      <c r="B547" s="5"/>
      <c r="C547" s="6"/>
      <c r="D547" s="11"/>
      <c r="F547" s="5"/>
      <c r="G547" s="5"/>
      <c r="I547" s="8"/>
      <c r="J547" s="9"/>
      <c r="K547" s="9"/>
      <c r="L547" s="9"/>
      <c r="M547" s="9"/>
      <c r="N547" s="10"/>
      <c r="O547" s="10"/>
      <c r="P547" s="10"/>
      <c r="Q547" s="10"/>
      <c r="R547" s="10"/>
      <c r="S547" s="10"/>
      <c r="T547" s="10"/>
      <c r="U547" s="6"/>
      <c r="V547" s="11"/>
      <c r="W547" s="11"/>
      <c r="X547" s="34"/>
      <c r="Y547" s="34"/>
      <c r="Z547" s="34"/>
      <c r="AA547" s="440"/>
      <c r="AB547" s="36"/>
      <c r="AC547" s="36"/>
      <c r="AD547" s="36"/>
      <c r="AE547" s="36"/>
      <c r="AF547" s="458"/>
      <c r="AG547" s="6"/>
      <c r="AH547" s="11"/>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row>
    <row r="548" spans="1:84" s="7" customFormat="1">
      <c r="A548" s="5"/>
      <c r="B548" s="5"/>
      <c r="C548" s="6"/>
      <c r="D548" s="11"/>
      <c r="F548" s="5"/>
      <c r="G548" s="5"/>
      <c r="I548" s="8"/>
      <c r="J548" s="9"/>
      <c r="K548" s="9"/>
      <c r="L548" s="9"/>
      <c r="M548" s="9"/>
      <c r="N548" s="10"/>
      <c r="O548" s="10"/>
      <c r="P548" s="10"/>
      <c r="Q548" s="10"/>
      <c r="R548" s="10"/>
      <c r="S548" s="10"/>
      <c r="T548" s="10"/>
      <c r="U548" s="6"/>
      <c r="V548" s="11"/>
      <c r="W548" s="11"/>
      <c r="X548" s="34"/>
      <c r="Y548" s="34"/>
      <c r="Z548" s="34"/>
      <c r="AA548" s="440"/>
      <c r="AB548" s="36"/>
      <c r="AC548" s="36"/>
      <c r="AD548" s="36"/>
      <c r="AE548" s="36"/>
      <c r="AF548" s="458"/>
      <c r="AG548" s="6"/>
      <c r="AH548" s="11"/>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row>
    <row r="549" spans="1:84" s="7" customFormat="1">
      <c r="A549" s="5"/>
      <c r="B549" s="5"/>
      <c r="C549" s="6"/>
      <c r="D549" s="11"/>
      <c r="F549" s="5"/>
      <c r="G549" s="5"/>
      <c r="I549" s="8"/>
      <c r="J549" s="9"/>
      <c r="K549" s="9"/>
      <c r="L549" s="9"/>
      <c r="M549" s="9"/>
      <c r="N549" s="10"/>
      <c r="O549" s="10"/>
      <c r="P549" s="10"/>
      <c r="Q549" s="10"/>
      <c r="R549" s="10"/>
      <c r="S549" s="10"/>
      <c r="T549" s="10"/>
      <c r="U549" s="6"/>
      <c r="V549" s="11"/>
      <c r="W549" s="11"/>
      <c r="X549" s="34"/>
      <c r="Y549" s="34"/>
      <c r="Z549" s="34"/>
      <c r="AA549" s="440"/>
      <c r="AB549" s="36"/>
      <c r="AC549" s="36"/>
      <c r="AD549" s="36"/>
      <c r="AE549" s="36"/>
      <c r="AF549" s="458"/>
      <c r="AG549" s="6"/>
      <c r="AH549" s="11"/>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row>
    <row r="550" spans="1:84" s="7" customFormat="1">
      <c r="A550" s="5"/>
      <c r="B550" s="5"/>
      <c r="C550" s="6"/>
      <c r="D550" s="11"/>
      <c r="F550" s="5"/>
      <c r="G550" s="5"/>
      <c r="I550" s="8"/>
      <c r="J550" s="9"/>
      <c r="K550" s="9"/>
      <c r="L550" s="9"/>
      <c r="M550" s="9"/>
      <c r="N550" s="10"/>
      <c r="O550" s="10"/>
      <c r="P550" s="10"/>
      <c r="Q550" s="10"/>
      <c r="R550" s="10"/>
      <c r="S550" s="10"/>
      <c r="T550" s="10"/>
      <c r="U550" s="6"/>
      <c r="V550" s="11"/>
      <c r="W550" s="11"/>
      <c r="X550" s="34"/>
      <c r="Y550" s="34"/>
      <c r="Z550" s="34"/>
      <c r="AA550" s="440"/>
      <c r="AB550" s="36"/>
      <c r="AC550" s="36"/>
      <c r="AD550" s="36"/>
      <c r="AE550" s="36"/>
      <c r="AF550" s="458"/>
      <c r="AG550" s="6"/>
      <c r="AH550" s="11"/>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row>
    <row r="551" spans="1:84" s="7" customFormat="1">
      <c r="A551" s="5"/>
      <c r="B551" s="5"/>
      <c r="C551" s="6"/>
      <c r="D551" s="11"/>
      <c r="F551" s="5"/>
      <c r="G551" s="5"/>
      <c r="I551" s="8"/>
      <c r="J551" s="9"/>
      <c r="K551" s="9"/>
      <c r="L551" s="9"/>
      <c r="M551" s="9"/>
      <c r="N551" s="10"/>
      <c r="O551" s="10"/>
      <c r="P551" s="10"/>
      <c r="Q551" s="10"/>
      <c r="R551" s="10"/>
      <c r="S551" s="10"/>
      <c r="T551" s="10"/>
      <c r="U551" s="6"/>
      <c r="V551" s="11"/>
      <c r="W551" s="11"/>
      <c r="X551" s="34"/>
      <c r="Y551" s="34"/>
      <c r="Z551" s="34"/>
      <c r="AA551" s="440"/>
      <c r="AB551" s="36"/>
      <c r="AC551" s="36"/>
      <c r="AD551" s="36"/>
      <c r="AE551" s="36"/>
      <c r="AF551" s="458"/>
      <c r="AG551" s="6"/>
      <c r="AH551" s="11"/>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row>
    <row r="552" spans="1:84" s="7" customFormat="1">
      <c r="A552" s="5"/>
      <c r="B552" s="5"/>
      <c r="C552" s="6"/>
      <c r="D552" s="11"/>
      <c r="F552" s="5"/>
      <c r="G552" s="5"/>
      <c r="I552" s="8"/>
      <c r="J552" s="9"/>
      <c r="K552" s="9"/>
      <c r="L552" s="9"/>
      <c r="M552" s="9"/>
      <c r="N552" s="10"/>
      <c r="O552" s="10"/>
      <c r="P552" s="10"/>
      <c r="Q552" s="10"/>
      <c r="R552" s="10"/>
      <c r="S552" s="10"/>
      <c r="T552" s="10"/>
      <c r="U552" s="6"/>
      <c r="V552" s="11"/>
      <c r="W552" s="11"/>
      <c r="X552" s="34"/>
      <c r="Y552" s="34"/>
      <c r="Z552" s="34"/>
      <c r="AA552" s="440"/>
      <c r="AB552" s="36"/>
      <c r="AC552" s="36"/>
      <c r="AD552" s="36"/>
      <c r="AE552" s="36"/>
      <c r="AF552" s="458"/>
      <c r="AG552" s="6"/>
      <c r="AH552" s="11"/>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row>
    <row r="553" spans="1:84" s="7" customFormat="1">
      <c r="A553" s="5"/>
      <c r="B553" s="5"/>
      <c r="C553" s="6"/>
      <c r="D553" s="11"/>
      <c r="F553" s="5"/>
      <c r="G553" s="5"/>
      <c r="I553" s="8"/>
      <c r="J553" s="9"/>
      <c r="K553" s="9"/>
      <c r="L553" s="9"/>
      <c r="M553" s="9"/>
      <c r="N553" s="10"/>
      <c r="O553" s="10"/>
      <c r="P553" s="10"/>
      <c r="Q553" s="10"/>
      <c r="R553" s="10"/>
      <c r="S553" s="10"/>
      <c r="T553" s="10"/>
      <c r="U553" s="6"/>
      <c r="V553" s="11"/>
      <c r="W553" s="11"/>
      <c r="X553" s="34"/>
      <c r="Y553" s="34"/>
      <c r="Z553" s="34"/>
      <c r="AA553" s="440"/>
      <c r="AB553" s="36"/>
      <c r="AC553" s="36"/>
      <c r="AD553" s="36"/>
      <c r="AE553" s="36"/>
      <c r="AF553" s="458"/>
      <c r="AG553" s="6"/>
      <c r="AH553" s="11"/>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row>
    <row r="554" spans="1:84" s="7" customFormat="1">
      <c r="A554" s="5"/>
      <c r="B554" s="5"/>
      <c r="C554" s="6"/>
      <c r="D554" s="11"/>
      <c r="F554" s="5"/>
      <c r="G554" s="5"/>
      <c r="I554" s="8"/>
      <c r="J554" s="9"/>
      <c r="K554" s="9"/>
      <c r="L554" s="9"/>
      <c r="M554" s="9"/>
      <c r="N554" s="10"/>
      <c r="O554" s="10"/>
      <c r="P554" s="10"/>
      <c r="Q554" s="10"/>
      <c r="R554" s="10"/>
      <c r="S554" s="10"/>
      <c r="T554" s="10"/>
      <c r="U554" s="6"/>
      <c r="V554" s="11"/>
      <c r="W554" s="11"/>
      <c r="X554" s="34"/>
      <c r="Y554" s="34"/>
      <c r="Z554" s="34"/>
      <c r="AA554" s="440"/>
      <c r="AB554" s="36"/>
      <c r="AC554" s="36"/>
      <c r="AD554" s="36"/>
      <c r="AE554" s="36"/>
      <c r="AF554" s="458"/>
      <c r="AG554" s="6"/>
      <c r="AH554" s="11"/>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row>
    <row r="555" spans="1:84" s="7" customFormat="1">
      <c r="A555" s="5"/>
      <c r="B555" s="5"/>
      <c r="C555" s="6"/>
      <c r="D555" s="11"/>
      <c r="F555" s="5"/>
      <c r="G555" s="5"/>
      <c r="I555" s="8"/>
      <c r="J555" s="9"/>
      <c r="K555" s="9"/>
      <c r="L555" s="9"/>
      <c r="M555" s="9"/>
      <c r="N555" s="10"/>
      <c r="O555" s="10"/>
      <c r="P555" s="10"/>
      <c r="Q555" s="10"/>
      <c r="R555" s="10"/>
      <c r="S555" s="10"/>
      <c r="T555" s="10"/>
      <c r="U555" s="6"/>
      <c r="V555" s="11"/>
      <c r="W555" s="11"/>
      <c r="X555" s="34"/>
      <c r="Y555" s="34"/>
      <c r="Z555" s="34"/>
      <c r="AA555" s="440"/>
      <c r="AB555" s="36"/>
      <c r="AC555" s="36"/>
      <c r="AD555" s="36"/>
      <c r="AE555" s="36"/>
      <c r="AF555" s="458"/>
      <c r="AG555" s="6"/>
      <c r="AH555" s="11"/>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row>
    <row r="556" spans="1:84" s="7" customFormat="1">
      <c r="A556" s="5"/>
      <c r="B556" s="5"/>
      <c r="C556" s="6"/>
      <c r="D556" s="11"/>
      <c r="F556" s="5"/>
      <c r="G556" s="5"/>
      <c r="I556" s="8"/>
      <c r="J556" s="9"/>
      <c r="K556" s="9"/>
      <c r="L556" s="9"/>
      <c r="M556" s="9"/>
      <c r="N556" s="10"/>
      <c r="O556" s="10"/>
      <c r="P556" s="10"/>
      <c r="Q556" s="10"/>
      <c r="R556" s="10"/>
      <c r="S556" s="10"/>
      <c r="T556" s="10"/>
      <c r="U556" s="6"/>
      <c r="V556" s="11"/>
      <c r="W556" s="11"/>
      <c r="X556" s="34"/>
      <c r="Y556" s="34"/>
      <c r="Z556" s="34"/>
      <c r="AA556" s="440"/>
      <c r="AB556" s="36"/>
      <c r="AC556" s="36"/>
      <c r="AD556" s="36"/>
      <c r="AE556" s="36"/>
      <c r="AF556" s="458"/>
      <c r="AG556" s="6"/>
      <c r="AH556" s="11"/>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row>
    <row r="557" spans="1:84" s="7" customFormat="1">
      <c r="A557" s="5"/>
      <c r="B557" s="5"/>
      <c r="C557" s="6"/>
      <c r="D557" s="11"/>
      <c r="F557" s="5"/>
      <c r="G557" s="5"/>
      <c r="I557" s="8"/>
      <c r="J557" s="9"/>
      <c r="K557" s="9"/>
      <c r="L557" s="9"/>
      <c r="M557" s="9"/>
      <c r="N557" s="10"/>
      <c r="O557" s="10"/>
      <c r="P557" s="10"/>
      <c r="Q557" s="10"/>
      <c r="R557" s="10"/>
      <c r="S557" s="10"/>
      <c r="T557" s="10"/>
      <c r="U557" s="6"/>
      <c r="V557" s="11"/>
      <c r="W557" s="11"/>
      <c r="X557" s="34"/>
      <c r="Y557" s="34"/>
      <c r="Z557" s="34"/>
      <c r="AA557" s="440"/>
      <c r="AB557" s="36"/>
      <c r="AC557" s="36"/>
      <c r="AD557" s="36"/>
      <c r="AE557" s="36"/>
      <c r="AF557" s="458"/>
      <c r="AG557" s="6"/>
      <c r="AH557" s="11"/>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row>
    <row r="558" spans="1:84" s="7" customFormat="1">
      <c r="A558" s="5"/>
      <c r="B558" s="5"/>
      <c r="C558" s="6"/>
      <c r="D558" s="11"/>
      <c r="F558" s="5"/>
      <c r="G558" s="5"/>
      <c r="I558" s="8"/>
      <c r="J558" s="9"/>
      <c r="K558" s="9"/>
      <c r="L558" s="9"/>
      <c r="M558" s="9"/>
      <c r="N558" s="10"/>
      <c r="O558" s="10"/>
      <c r="P558" s="10"/>
      <c r="Q558" s="10"/>
      <c r="R558" s="10"/>
      <c r="S558" s="10"/>
      <c r="T558" s="10"/>
      <c r="U558" s="6"/>
      <c r="V558" s="11"/>
      <c r="W558" s="11"/>
      <c r="X558" s="34"/>
      <c r="Y558" s="34"/>
      <c r="Z558" s="34"/>
      <c r="AA558" s="440"/>
      <c r="AB558" s="36"/>
      <c r="AC558" s="36"/>
      <c r="AD558" s="36"/>
      <c r="AE558" s="36"/>
      <c r="AF558" s="458"/>
      <c r="AG558" s="6"/>
      <c r="AH558" s="11"/>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row>
    <row r="559" spans="1:84" s="7" customFormat="1">
      <c r="A559" s="5"/>
      <c r="B559" s="5"/>
      <c r="C559" s="6"/>
      <c r="D559" s="11"/>
      <c r="F559" s="5"/>
      <c r="G559" s="5"/>
      <c r="I559" s="8"/>
      <c r="J559" s="9"/>
      <c r="K559" s="9"/>
      <c r="L559" s="9"/>
      <c r="M559" s="9"/>
      <c r="N559" s="10"/>
      <c r="O559" s="10"/>
      <c r="P559" s="10"/>
      <c r="Q559" s="10"/>
      <c r="R559" s="10"/>
      <c r="S559" s="10"/>
      <c r="T559" s="10"/>
      <c r="U559" s="6"/>
      <c r="V559" s="11"/>
      <c r="W559" s="11"/>
      <c r="X559" s="34"/>
      <c r="Y559" s="34"/>
      <c r="Z559" s="34"/>
      <c r="AA559" s="440"/>
      <c r="AB559" s="36"/>
      <c r="AC559" s="36"/>
      <c r="AD559" s="36"/>
      <c r="AE559" s="36"/>
      <c r="AF559" s="458"/>
      <c r="AG559" s="6"/>
      <c r="AH559" s="11"/>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row>
    <row r="560" spans="1:84" s="7" customFormat="1">
      <c r="A560" s="5"/>
      <c r="B560" s="5"/>
      <c r="C560" s="6"/>
      <c r="D560" s="11"/>
      <c r="F560" s="5"/>
      <c r="G560" s="5"/>
      <c r="I560" s="8"/>
      <c r="J560" s="9"/>
      <c r="K560" s="9"/>
      <c r="L560" s="9"/>
      <c r="M560" s="9"/>
      <c r="N560" s="10"/>
      <c r="O560" s="10"/>
      <c r="P560" s="10"/>
      <c r="Q560" s="10"/>
      <c r="R560" s="10"/>
      <c r="S560" s="10"/>
      <c r="T560" s="10"/>
      <c r="U560" s="6"/>
      <c r="V560" s="11"/>
      <c r="W560" s="11"/>
      <c r="X560" s="34"/>
      <c r="Y560" s="34"/>
      <c r="Z560" s="34"/>
      <c r="AA560" s="440"/>
      <c r="AB560" s="36"/>
      <c r="AC560" s="36"/>
      <c r="AD560" s="36"/>
      <c r="AE560" s="36"/>
      <c r="AF560" s="458"/>
      <c r="AG560" s="6"/>
      <c r="AH560" s="11"/>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row>
    <row r="561" spans="1:84" s="7" customFormat="1">
      <c r="A561" s="5"/>
      <c r="B561" s="5"/>
      <c r="C561" s="6"/>
      <c r="D561" s="11"/>
      <c r="F561" s="5"/>
      <c r="G561" s="5"/>
      <c r="I561" s="8"/>
      <c r="J561" s="9"/>
      <c r="K561" s="9"/>
      <c r="L561" s="9"/>
      <c r="M561" s="9"/>
      <c r="N561" s="10"/>
      <c r="O561" s="10"/>
      <c r="P561" s="10"/>
      <c r="Q561" s="10"/>
      <c r="R561" s="10"/>
      <c r="S561" s="10"/>
      <c r="T561" s="10"/>
      <c r="U561" s="6"/>
      <c r="V561" s="11"/>
      <c r="W561" s="11"/>
      <c r="X561" s="34"/>
      <c r="Y561" s="34"/>
      <c r="Z561" s="34"/>
      <c r="AA561" s="440"/>
      <c r="AB561" s="36"/>
      <c r="AC561" s="36"/>
      <c r="AD561" s="36"/>
      <c r="AE561" s="36"/>
      <c r="AF561" s="458"/>
      <c r="AG561" s="6"/>
      <c r="AH561" s="11"/>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row>
    <row r="562" spans="1:84" s="7" customFormat="1">
      <c r="A562" s="5"/>
      <c r="B562" s="5"/>
      <c r="C562" s="6"/>
      <c r="D562" s="11"/>
      <c r="F562" s="5"/>
      <c r="G562" s="5"/>
      <c r="I562" s="8"/>
      <c r="J562" s="9"/>
      <c r="K562" s="9"/>
      <c r="L562" s="9"/>
      <c r="M562" s="9"/>
      <c r="N562" s="10"/>
      <c r="O562" s="10"/>
      <c r="P562" s="10"/>
      <c r="Q562" s="10"/>
      <c r="R562" s="10"/>
      <c r="S562" s="10"/>
      <c r="T562" s="10"/>
      <c r="U562" s="6"/>
      <c r="V562" s="11"/>
      <c r="W562" s="11"/>
      <c r="X562" s="34"/>
      <c r="Y562" s="34"/>
      <c r="Z562" s="34"/>
      <c r="AA562" s="440"/>
      <c r="AB562" s="36"/>
      <c r="AC562" s="36"/>
      <c r="AD562" s="36"/>
      <c r="AE562" s="36"/>
      <c r="AF562" s="458"/>
      <c r="AG562" s="6"/>
      <c r="AH562" s="11"/>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row>
    <row r="563" spans="1:84" s="7" customFormat="1">
      <c r="A563" s="5"/>
      <c r="B563" s="5"/>
      <c r="C563" s="6"/>
      <c r="D563" s="11"/>
      <c r="F563" s="5"/>
      <c r="G563" s="5"/>
      <c r="I563" s="8"/>
      <c r="J563" s="9"/>
      <c r="K563" s="9"/>
      <c r="L563" s="9"/>
      <c r="M563" s="9"/>
      <c r="N563" s="10"/>
      <c r="O563" s="10"/>
      <c r="P563" s="10"/>
      <c r="Q563" s="10"/>
      <c r="R563" s="10"/>
      <c r="S563" s="10"/>
      <c r="T563" s="10"/>
      <c r="U563" s="6"/>
      <c r="V563" s="11"/>
      <c r="W563" s="11"/>
      <c r="X563" s="34"/>
      <c r="Y563" s="34"/>
      <c r="Z563" s="34"/>
      <c r="AA563" s="440"/>
      <c r="AB563" s="36"/>
      <c r="AC563" s="36"/>
      <c r="AD563" s="36"/>
      <c r="AE563" s="36"/>
      <c r="AF563" s="458"/>
      <c r="AG563" s="6"/>
      <c r="AH563" s="11"/>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row>
    <row r="564" spans="1:84" s="7" customFormat="1">
      <c r="A564" s="5"/>
      <c r="B564" s="5"/>
      <c r="C564" s="6"/>
      <c r="D564" s="11"/>
      <c r="F564" s="5"/>
      <c r="G564" s="5"/>
      <c r="I564" s="8"/>
      <c r="J564" s="9"/>
      <c r="K564" s="9"/>
      <c r="L564" s="9"/>
      <c r="M564" s="9"/>
      <c r="N564" s="10"/>
      <c r="O564" s="10"/>
      <c r="P564" s="10"/>
      <c r="Q564" s="10"/>
      <c r="R564" s="10"/>
      <c r="S564" s="10"/>
      <c r="T564" s="10"/>
      <c r="U564" s="6"/>
      <c r="V564" s="11"/>
      <c r="W564" s="11"/>
      <c r="X564" s="34"/>
      <c r="Y564" s="34"/>
      <c r="Z564" s="34"/>
      <c r="AA564" s="440"/>
      <c r="AB564" s="36"/>
      <c r="AC564" s="36"/>
      <c r="AD564" s="36"/>
      <c r="AE564" s="36"/>
      <c r="AF564" s="458"/>
      <c r="AG564" s="6"/>
      <c r="AH564" s="11"/>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row>
    <row r="565" spans="1:84" s="7" customFormat="1">
      <c r="A565" s="5"/>
      <c r="B565" s="5"/>
      <c r="C565" s="6"/>
      <c r="D565" s="11"/>
      <c r="F565" s="5"/>
      <c r="G565" s="5"/>
      <c r="I565" s="8"/>
      <c r="J565" s="9"/>
      <c r="K565" s="9"/>
      <c r="L565" s="9"/>
      <c r="M565" s="9"/>
      <c r="N565" s="10"/>
      <c r="O565" s="10"/>
      <c r="P565" s="10"/>
      <c r="Q565" s="10"/>
      <c r="R565" s="10"/>
      <c r="S565" s="10"/>
      <c r="T565" s="10"/>
      <c r="U565" s="6"/>
      <c r="V565" s="11"/>
      <c r="W565" s="11"/>
      <c r="X565" s="34"/>
      <c r="Y565" s="34"/>
      <c r="Z565" s="34"/>
      <c r="AA565" s="440"/>
      <c r="AB565" s="36"/>
      <c r="AC565" s="36"/>
      <c r="AD565" s="36"/>
      <c r="AE565" s="36"/>
      <c r="AF565" s="458"/>
      <c r="AG565" s="6"/>
      <c r="AH565" s="11"/>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row>
    <row r="566" spans="1:84" s="7" customFormat="1">
      <c r="A566" s="5"/>
      <c r="B566" s="5"/>
      <c r="C566" s="6"/>
      <c r="D566" s="11"/>
      <c r="F566" s="5"/>
      <c r="G566" s="5"/>
      <c r="I566" s="8"/>
      <c r="J566" s="9"/>
      <c r="K566" s="9"/>
      <c r="L566" s="9"/>
      <c r="M566" s="9"/>
      <c r="N566" s="10"/>
      <c r="O566" s="10"/>
      <c r="P566" s="10"/>
      <c r="Q566" s="10"/>
      <c r="R566" s="10"/>
      <c r="S566" s="10"/>
      <c r="T566" s="10"/>
      <c r="U566" s="6"/>
      <c r="V566" s="11"/>
      <c r="W566" s="11"/>
      <c r="X566" s="34"/>
      <c r="Y566" s="34"/>
      <c r="Z566" s="34"/>
      <c r="AA566" s="440"/>
      <c r="AB566" s="36"/>
      <c r="AC566" s="36"/>
      <c r="AD566" s="36"/>
      <c r="AE566" s="36"/>
      <c r="AF566" s="458"/>
      <c r="AG566" s="6"/>
      <c r="AH566" s="11"/>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row>
    <row r="567" spans="1:84" s="7" customFormat="1">
      <c r="A567" s="5"/>
      <c r="B567" s="5"/>
      <c r="C567" s="6"/>
      <c r="D567" s="11"/>
      <c r="F567" s="5"/>
      <c r="G567" s="5"/>
      <c r="I567" s="8"/>
      <c r="J567" s="9"/>
      <c r="K567" s="9"/>
      <c r="L567" s="9"/>
      <c r="M567" s="9"/>
      <c r="N567" s="10"/>
      <c r="O567" s="10"/>
      <c r="P567" s="10"/>
      <c r="Q567" s="10"/>
      <c r="R567" s="10"/>
      <c r="S567" s="10"/>
      <c r="T567" s="10"/>
      <c r="U567" s="6"/>
      <c r="V567" s="11"/>
      <c r="W567" s="11"/>
      <c r="X567" s="34"/>
      <c r="Y567" s="34"/>
      <c r="Z567" s="34"/>
      <c r="AA567" s="440"/>
      <c r="AB567" s="36"/>
      <c r="AC567" s="36"/>
      <c r="AD567" s="36"/>
      <c r="AE567" s="36"/>
      <c r="AF567" s="458"/>
      <c r="AG567" s="6"/>
      <c r="AH567" s="11"/>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row>
    <row r="568" spans="1:84" s="7" customFormat="1">
      <c r="A568" s="5"/>
      <c r="B568" s="5"/>
      <c r="C568" s="6"/>
      <c r="D568" s="11"/>
      <c r="F568" s="5"/>
      <c r="G568" s="5"/>
      <c r="I568" s="8"/>
      <c r="J568" s="9"/>
      <c r="K568" s="9"/>
      <c r="L568" s="9"/>
      <c r="M568" s="9"/>
      <c r="N568" s="10"/>
      <c r="O568" s="10"/>
      <c r="P568" s="10"/>
      <c r="Q568" s="10"/>
      <c r="R568" s="10"/>
      <c r="S568" s="10"/>
      <c r="T568" s="10"/>
      <c r="U568" s="6"/>
      <c r="V568" s="11"/>
      <c r="W568" s="11"/>
      <c r="X568" s="34"/>
      <c r="Y568" s="34"/>
      <c r="Z568" s="34"/>
      <c r="AA568" s="440"/>
      <c r="AB568" s="36"/>
      <c r="AC568" s="36"/>
      <c r="AD568" s="36"/>
      <c r="AE568" s="36"/>
      <c r="AF568" s="458"/>
      <c r="AG568" s="6"/>
      <c r="AH568" s="11"/>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row>
    <row r="569" spans="1:84" s="7" customFormat="1">
      <c r="A569" s="5"/>
      <c r="B569" s="5"/>
      <c r="C569" s="6"/>
      <c r="D569" s="11"/>
      <c r="F569" s="5"/>
      <c r="G569" s="5"/>
      <c r="I569" s="8"/>
      <c r="J569" s="9"/>
      <c r="K569" s="9"/>
      <c r="L569" s="9"/>
      <c r="M569" s="9"/>
      <c r="N569" s="10"/>
      <c r="O569" s="10"/>
      <c r="P569" s="10"/>
      <c r="Q569" s="10"/>
      <c r="R569" s="10"/>
      <c r="S569" s="10"/>
      <c r="T569" s="10"/>
      <c r="U569" s="6"/>
      <c r="V569" s="11"/>
      <c r="W569" s="11"/>
      <c r="X569" s="34"/>
      <c r="Y569" s="34"/>
      <c r="Z569" s="34"/>
      <c r="AA569" s="440"/>
      <c r="AB569" s="36"/>
      <c r="AC569" s="36"/>
      <c r="AD569" s="36"/>
      <c r="AE569" s="36"/>
      <c r="AF569" s="458"/>
      <c r="AG569" s="6"/>
      <c r="AH569" s="11"/>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row>
    <row r="570" spans="1:84" s="7" customFormat="1">
      <c r="A570" s="5"/>
      <c r="B570" s="5"/>
      <c r="C570" s="6"/>
      <c r="D570" s="11"/>
      <c r="F570" s="5"/>
      <c r="G570" s="5"/>
      <c r="I570" s="8"/>
      <c r="J570" s="9"/>
      <c r="K570" s="9"/>
      <c r="L570" s="9"/>
      <c r="M570" s="9"/>
      <c r="N570" s="10"/>
      <c r="O570" s="10"/>
      <c r="P570" s="10"/>
      <c r="Q570" s="10"/>
      <c r="R570" s="10"/>
      <c r="S570" s="10"/>
      <c r="T570" s="10"/>
      <c r="U570" s="6"/>
      <c r="V570" s="11"/>
      <c r="W570" s="11"/>
      <c r="X570" s="34"/>
      <c r="Y570" s="34"/>
      <c r="Z570" s="34"/>
      <c r="AA570" s="440"/>
      <c r="AB570" s="36"/>
      <c r="AC570" s="36"/>
      <c r="AD570" s="36"/>
      <c r="AE570" s="36"/>
      <c r="AF570" s="458"/>
      <c r="AG570" s="6"/>
      <c r="AH570" s="11"/>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row>
    <row r="571" spans="1:84" s="7" customFormat="1">
      <c r="A571" s="5"/>
      <c r="B571" s="5"/>
      <c r="C571" s="6"/>
      <c r="D571" s="11"/>
      <c r="F571" s="5"/>
      <c r="G571" s="5"/>
      <c r="I571" s="8"/>
      <c r="J571" s="9"/>
      <c r="K571" s="9"/>
      <c r="L571" s="9"/>
      <c r="M571" s="9"/>
      <c r="N571" s="10"/>
      <c r="O571" s="10"/>
      <c r="P571" s="10"/>
      <c r="Q571" s="10"/>
      <c r="R571" s="10"/>
      <c r="S571" s="10"/>
      <c r="T571" s="10"/>
      <c r="U571" s="6"/>
      <c r="V571" s="11"/>
      <c r="W571" s="11"/>
      <c r="X571" s="34"/>
      <c r="Y571" s="34"/>
      <c r="Z571" s="34"/>
      <c r="AA571" s="440"/>
      <c r="AB571" s="36"/>
      <c r="AC571" s="36"/>
      <c r="AD571" s="36"/>
      <c r="AE571" s="36"/>
      <c r="AF571" s="458"/>
      <c r="AG571" s="6"/>
      <c r="AH571" s="11"/>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row>
    <row r="572" spans="1:84" s="7" customFormat="1">
      <c r="A572" s="5"/>
      <c r="B572" s="5"/>
      <c r="C572" s="6"/>
      <c r="D572" s="11"/>
      <c r="F572" s="5"/>
      <c r="G572" s="5"/>
      <c r="I572" s="8"/>
      <c r="J572" s="9"/>
      <c r="K572" s="9"/>
      <c r="L572" s="9"/>
      <c r="M572" s="9"/>
      <c r="N572" s="10"/>
      <c r="O572" s="10"/>
      <c r="P572" s="10"/>
      <c r="Q572" s="10"/>
      <c r="R572" s="10"/>
      <c r="S572" s="10"/>
      <c r="T572" s="10"/>
      <c r="U572" s="6"/>
      <c r="V572" s="11"/>
      <c r="W572" s="11"/>
      <c r="X572" s="34"/>
      <c r="Y572" s="34"/>
      <c r="Z572" s="34"/>
      <c r="AA572" s="440"/>
      <c r="AB572" s="36"/>
      <c r="AC572" s="36"/>
      <c r="AD572" s="36"/>
      <c r="AE572" s="36"/>
      <c r="AF572" s="458"/>
      <c r="AG572" s="6"/>
      <c r="AH572" s="11"/>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row>
    <row r="573" spans="1:84" s="7" customFormat="1">
      <c r="A573" s="5"/>
      <c r="B573" s="5"/>
      <c r="C573" s="6"/>
      <c r="D573" s="11"/>
      <c r="F573" s="5"/>
      <c r="G573" s="5"/>
      <c r="I573" s="8"/>
      <c r="J573" s="9"/>
      <c r="K573" s="9"/>
      <c r="L573" s="9"/>
      <c r="M573" s="9"/>
      <c r="N573" s="10"/>
      <c r="O573" s="10"/>
      <c r="P573" s="10"/>
      <c r="Q573" s="10"/>
      <c r="R573" s="10"/>
      <c r="S573" s="10"/>
      <c r="T573" s="10"/>
      <c r="U573" s="6"/>
      <c r="V573" s="11"/>
      <c r="W573" s="11"/>
      <c r="X573" s="34"/>
      <c r="Y573" s="34"/>
      <c r="Z573" s="34"/>
      <c r="AA573" s="440"/>
      <c r="AB573" s="36"/>
      <c r="AC573" s="36"/>
      <c r="AD573" s="36"/>
      <c r="AE573" s="36"/>
      <c r="AF573" s="458"/>
      <c r="AG573" s="6"/>
      <c r="AH573" s="11"/>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row>
    <row r="574" spans="1:84" s="7" customFormat="1">
      <c r="A574" s="5"/>
      <c r="B574" s="5"/>
      <c r="C574" s="6"/>
      <c r="D574" s="11"/>
      <c r="F574" s="5"/>
      <c r="G574" s="5"/>
      <c r="I574" s="8"/>
      <c r="J574" s="9"/>
      <c r="K574" s="9"/>
      <c r="L574" s="9"/>
      <c r="M574" s="9"/>
      <c r="N574" s="10"/>
      <c r="O574" s="10"/>
      <c r="P574" s="10"/>
      <c r="Q574" s="10"/>
      <c r="R574" s="10"/>
      <c r="S574" s="10"/>
      <c r="T574" s="10"/>
      <c r="U574" s="6"/>
      <c r="V574" s="11"/>
      <c r="W574" s="11"/>
      <c r="X574" s="34"/>
      <c r="Y574" s="34"/>
      <c r="Z574" s="34"/>
      <c r="AA574" s="440"/>
      <c r="AB574" s="36"/>
      <c r="AC574" s="36"/>
      <c r="AD574" s="36"/>
      <c r="AE574" s="36"/>
      <c r="AF574" s="458"/>
      <c r="AG574" s="6"/>
      <c r="AH574" s="11"/>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row>
    <row r="575" spans="1:84" s="7" customFormat="1">
      <c r="A575" s="5"/>
      <c r="B575" s="5"/>
      <c r="C575" s="6"/>
      <c r="D575" s="11"/>
      <c r="F575" s="5"/>
      <c r="G575" s="5"/>
      <c r="I575" s="8"/>
      <c r="J575" s="9"/>
      <c r="K575" s="9"/>
      <c r="L575" s="9"/>
      <c r="M575" s="9"/>
      <c r="N575" s="10"/>
      <c r="O575" s="10"/>
      <c r="P575" s="10"/>
      <c r="Q575" s="10"/>
      <c r="R575" s="10"/>
      <c r="S575" s="10"/>
      <c r="T575" s="10"/>
      <c r="U575" s="6"/>
      <c r="V575" s="11"/>
      <c r="W575" s="11"/>
      <c r="X575" s="34"/>
      <c r="Y575" s="34"/>
      <c r="Z575" s="34"/>
      <c r="AA575" s="440"/>
      <c r="AB575" s="36"/>
      <c r="AC575" s="36"/>
      <c r="AD575" s="36"/>
      <c r="AE575" s="36"/>
      <c r="AF575" s="458"/>
      <c r="AG575" s="6"/>
      <c r="AH575" s="11"/>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row>
    <row r="576" spans="1:84" s="7" customFormat="1">
      <c r="A576" s="5"/>
      <c r="B576" s="5"/>
      <c r="C576" s="6"/>
      <c r="D576" s="11"/>
      <c r="F576" s="5"/>
      <c r="G576" s="5"/>
      <c r="I576" s="8"/>
      <c r="J576" s="9"/>
      <c r="K576" s="9"/>
      <c r="L576" s="9"/>
      <c r="M576" s="9"/>
      <c r="N576" s="10"/>
      <c r="O576" s="10"/>
      <c r="P576" s="10"/>
      <c r="Q576" s="10"/>
      <c r="R576" s="10"/>
      <c r="S576" s="10"/>
      <c r="T576" s="10"/>
      <c r="U576" s="6"/>
      <c r="V576" s="11"/>
      <c r="W576" s="11"/>
      <c r="X576" s="34"/>
      <c r="Y576" s="34"/>
      <c r="Z576" s="34"/>
      <c r="AA576" s="440"/>
      <c r="AB576" s="36"/>
      <c r="AC576" s="36"/>
      <c r="AD576" s="36"/>
      <c r="AE576" s="36"/>
      <c r="AF576" s="458"/>
      <c r="AG576" s="6"/>
      <c r="AH576" s="11"/>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row>
    <row r="577" spans="1:84" s="7" customFormat="1">
      <c r="A577" s="5"/>
      <c r="B577" s="5"/>
      <c r="C577" s="6"/>
      <c r="D577" s="11"/>
      <c r="F577" s="5"/>
      <c r="G577" s="5"/>
      <c r="I577" s="8"/>
      <c r="J577" s="9"/>
      <c r="K577" s="9"/>
      <c r="L577" s="9"/>
      <c r="M577" s="9"/>
      <c r="N577" s="10"/>
      <c r="O577" s="10"/>
      <c r="P577" s="10"/>
      <c r="Q577" s="10"/>
      <c r="R577" s="10"/>
      <c r="S577" s="10"/>
      <c r="T577" s="10"/>
      <c r="U577" s="6"/>
      <c r="V577" s="11"/>
      <c r="W577" s="11"/>
      <c r="X577" s="34"/>
      <c r="Y577" s="34"/>
      <c r="Z577" s="34"/>
      <c r="AA577" s="440"/>
      <c r="AB577" s="36"/>
      <c r="AC577" s="36"/>
      <c r="AD577" s="36"/>
      <c r="AE577" s="36"/>
      <c r="AF577" s="458"/>
      <c r="AG577" s="6"/>
      <c r="AH577" s="11"/>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row>
    <row r="578" spans="1:84" s="7" customFormat="1">
      <c r="A578" s="5"/>
      <c r="B578" s="5"/>
      <c r="C578" s="6"/>
      <c r="D578" s="11"/>
      <c r="F578" s="5"/>
      <c r="G578" s="5"/>
      <c r="I578" s="8"/>
      <c r="J578" s="9"/>
      <c r="K578" s="9"/>
      <c r="L578" s="9"/>
      <c r="M578" s="9"/>
      <c r="N578" s="10"/>
      <c r="O578" s="10"/>
      <c r="P578" s="10"/>
      <c r="Q578" s="10"/>
      <c r="R578" s="10"/>
      <c r="S578" s="10"/>
      <c r="T578" s="10"/>
      <c r="U578" s="6"/>
      <c r="V578" s="11"/>
      <c r="W578" s="11"/>
      <c r="X578" s="34"/>
      <c r="Y578" s="34"/>
      <c r="Z578" s="34"/>
      <c r="AA578" s="440"/>
      <c r="AB578" s="36"/>
      <c r="AC578" s="36"/>
      <c r="AD578" s="36"/>
      <c r="AE578" s="36"/>
      <c r="AF578" s="458"/>
      <c r="AG578" s="6"/>
      <c r="AH578" s="11"/>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row>
    <row r="579" spans="1:84" s="7" customFormat="1">
      <c r="A579" s="5"/>
      <c r="B579" s="5"/>
      <c r="C579" s="6"/>
      <c r="D579" s="11"/>
      <c r="F579" s="5"/>
      <c r="G579" s="5"/>
      <c r="I579" s="8"/>
      <c r="J579" s="9"/>
      <c r="K579" s="9"/>
      <c r="L579" s="9"/>
      <c r="M579" s="9"/>
      <c r="N579" s="10"/>
      <c r="O579" s="10"/>
      <c r="P579" s="10"/>
      <c r="Q579" s="10"/>
      <c r="R579" s="10"/>
      <c r="S579" s="10"/>
      <c r="T579" s="10"/>
      <c r="U579" s="6"/>
      <c r="V579" s="11"/>
      <c r="W579" s="11"/>
      <c r="X579" s="34"/>
      <c r="Y579" s="34"/>
      <c r="Z579" s="34"/>
      <c r="AA579" s="440"/>
      <c r="AB579" s="36"/>
      <c r="AC579" s="36"/>
      <c r="AD579" s="36"/>
      <c r="AE579" s="36"/>
      <c r="AF579" s="458"/>
      <c r="AG579" s="6"/>
      <c r="AH579" s="11"/>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row>
    <row r="580" spans="1:84" s="7" customFormat="1">
      <c r="A580" s="5"/>
      <c r="B580" s="5"/>
      <c r="C580" s="6"/>
      <c r="D580" s="11"/>
      <c r="F580" s="5"/>
      <c r="G580" s="5"/>
      <c r="I580" s="8"/>
      <c r="J580" s="9"/>
      <c r="K580" s="9"/>
      <c r="L580" s="9"/>
      <c r="M580" s="9"/>
      <c r="N580" s="10"/>
      <c r="O580" s="10"/>
      <c r="P580" s="10"/>
      <c r="Q580" s="10"/>
      <c r="R580" s="10"/>
      <c r="S580" s="10"/>
      <c r="T580" s="10"/>
      <c r="U580" s="6"/>
      <c r="V580" s="11"/>
      <c r="W580" s="11"/>
      <c r="X580" s="34"/>
      <c r="Y580" s="34"/>
      <c r="Z580" s="34"/>
      <c r="AA580" s="440"/>
      <c r="AB580" s="36"/>
      <c r="AC580" s="36"/>
      <c r="AD580" s="36"/>
      <c r="AE580" s="36"/>
      <c r="AF580" s="458"/>
      <c r="AG580" s="6"/>
      <c r="AH580" s="11"/>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row>
    <row r="581" spans="1:84" s="7" customFormat="1">
      <c r="A581" s="5"/>
      <c r="B581" s="5"/>
      <c r="C581" s="6"/>
      <c r="D581" s="11"/>
      <c r="F581" s="5"/>
      <c r="G581" s="5"/>
      <c r="I581" s="8"/>
      <c r="J581" s="9"/>
      <c r="K581" s="9"/>
      <c r="L581" s="9"/>
      <c r="M581" s="9"/>
      <c r="N581" s="10"/>
      <c r="O581" s="10"/>
      <c r="P581" s="10"/>
      <c r="Q581" s="10"/>
      <c r="R581" s="10"/>
      <c r="S581" s="10"/>
      <c r="T581" s="10"/>
      <c r="U581" s="6"/>
      <c r="V581" s="11"/>
      <c r="W581" s="11"/>
      <c r="X581" s="34"/>
      <c r="Y581" s="34"/>
      <c r="Z581" s="34"/>
      <c r="AA581" s="440"/>
      <c r="AB581" s="36"/>
      <c r="AC581" s="36"/>
      <c r="AD581" s="36"/>
      <c r="AE581" s="36"/>
      <c r="AF581" s="458"/>
      <c r="AG581" s="6"/>
      <c r="AH581" s="11"/>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row>
    <row r="582" spans="1:84" s="7" customFormat="1">
      <c r="A582" s="5"/>
      <c r="B582" s="5"/>
      <c r="C582" s="6"/>
      <c r="D582" s="11"/>
      <c r="F582" s="5"/>
      <c r="G582" s="5"/>
      <c r="I582" s="8"/>
      <c r="J582" s="9"/>
      <c r="K582" s="9"/>
      <c r="L582" s="9"/>
      <c r="M582" s="9"/>
      <c r="N582" s="10"/>
      <c r="O582" s="10"/>
      <c r="P582" s="10"/>
      <c r="Q582" s="10"/>
      <c r="R582" s="10"/>
      <c r="S582" s="10"/>
      <c r="T582" s="10"/>
      <c r="U582" s="6"/>
      <c r="V582" s="11"/>
      <c r="W582" s="11"/>
      <c r="X582" s="34"/>
      <c r="Y582" s="34"/>
      <c r="Z582" s="34"/>
      <c r="AA582" s="440"/>
      <c r="AB582" s="36"/>
      <c r="AC582" s="36"/>
      <c r="AD582" s="36"/>
      <c r="AE582" s="36"/>
      <c r="AF582" s="458"/>
      <c r="AG582" s="6"/>
      <c r="AH582" s="11"/>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row>
    <row r="583" spans="1:84" s="7" customFormat="1">
      <c r="A583" s="5"/>
      <c r="B583" s="5"/>
      <c r="C583" s="6"/>
      <c r="D583" s="11"/>
      <c r="F583" s="5"/>
      <c r="G583" s="5"/>
      <c r="I583" s="8"/>
      <c r="J583" s="9"/>
      <c r="K583" s="9"/>
      <c r="L583" s="9"/>
      <c r="M583" s="9"/>
      <c r="N583" s="10"/>
      <c r="O583" s="10"/>
      <c r="P583" s="10"/>
      <c r="Q583" s="10"/>
      <c r="R583" s="10"/>
      <c r="S583" s="10"/>
      <c r="T583" s="10"/>
      <c r="U583" s="6"/>
      <c r="V583" s="11"/>
      <c r="W583" s="11"/>
      <c r="X583" s="34"/>
      <c r="Y583" s="34"/>
      <c r="Z583" s="34"/>
      <c r="AA583" s="440"/>
      <c r="AB583" s="36"/>
      <c r="AC583" s="36"/>
      <c r="AD583" s="36"/>
      <c r="AE583" s="36"/>
      <c r="AF583" s="458"/>
      <c r="AG583" s="6"/>
      <c r="AH583" s="11"/>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row>
    <row r="584" spans="1:84" s="7" customFormat="1">
      <c r="A584" s="5"/>
      <c r="B584" s="5"/>
      <c r="C584" s="6"/>
      <c r="D584" s="11"/>
      <c r="F584" s="5"/>
      <c r="G584" s="5"/>
      <c r="I584" s="8"/>
      <c r="J584" s="9"/>
      <c r="K584" s="9"/>
      <c r="L584" s="9"/>
      <c r="M584" s="9"/>
      <c r="N584" s="10"/>
      <c r="O584" s="10"/>
      <c r="P584" s="10"/>
      <c r="Q584" s="10"/>
      <c r="R584" s="10"/>
      <c r="S584" s="10"/>
      <c r="T584" s="10"/>
      <c r="U584" s="6"/>
      <c r="V584" s="11"/>
      <c r="W584" s="11"/>
      <c r="X584" s="34"/>
      <c r="Y584" s="34"/>
      <c r="Z584" s="34"/>
      <c r="AA584" s="440"/>
      <c r="AB584" s="36"/>
      <c r="AC584" s="36"/>
      <c r="AD584" s="36"/>
      <c r="AE584" s="36"/>
      <c r="AF584" s="458"/>
      <c r="AG584" s="6"/>
      <c r="AH584" s="11"/>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row>
    <row r="585" spans="1:84" s="7" customFormat="1">
      <c r="A585" s="5"/>
      <c r="B585" s="5"/>
      <c r="C585" s="6"/>
      <c r="D585" s="11"/>
      <c r="F585" s="5"/>
      <c r="G585" s="5"/>
      <c r="I585" s="8"/>
      <c r="J585" s="9"/>
      <c r="K585" s="9"/>
      <c r="L585" s="9"/>
      <c r="M585" s="9"/>
      <c r="N585" s="10"/>
      <c r="O585" s="10"/>
      <c r="P585" s="10"/>
      <c r="Q585" s="10"/>
      <c r="R585" s="10"/>
      <c r="S585" s="10"/>
      <c r="T585" s="10"/>
      <c r="U585" s="6"/>
      <c r="V585" s="11"/>
      <c r="W585" s="11"/>
      <c r="X585" s="34"/>
      <c r="Y585" s="34"/>
      <c r="Z585" s="34"/>
      <c r="AA585" s="440"/>
      <c r="AB585" s="36"/>
      <c r="AC585" s="36"/>
      <c r="AD585" s="36"/>
      <c r="AE585" s="36"/>
      <c r="AF585" s="458"/>
      <c r="AG585" s="6"/>
      <c r="AH585" s="11"/>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row>
    <row r="586" spans="1:84" s="7" customFormat="1">
      <c r="A586" s="5"/>
      <c r="B586" s="5"/>
      <c r="C586" s="6"/>
      <c r="D586" s="11"/>
      <c r="F586" s="5"/>
      <c r="G586" s="5"/>
      <c r="I586" s="8"/>
      <c r="J586" s="9"/>
      <c r="K586" s="9"/>
      <c r="L586" s="9"/>
      <c r="M586" s="9"/>
      <c r="N586" s="10"/>
      <c r="O586" s="10"/>
      <c r="P586" s="10"/>
      <c r="Q586" s="10"/>
      <c r="R586" s="10"/>
      <c r="S586" s="10"/>
      <c r="T586" s="10"/>
      <c r="U586" s="6"/>
      <c r="V586" s="11"/>
      <c r="W586" s="11"/>
      <c r="X586" s="34"/>
      <c r="Y586" s="34"/>
      <c r="Z586" s="34"/>
      <c r="AA586" s="440"/>
      <c r="AB586" s="36"/>
      <c r="AC586" s="36"/>
      <c r="AD586" s="36"/>
      <c r="AE586" s="36"/>
      <c r="AF586" s="458"/>
      <c r="AG586" s="6"/>
      <c r="AH586" s="11"/>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row>
    <row r="587" spans="1:84" s="7" customFormat="1">
      <c r="A587" s="5"/>
      <c r="B587" s="5"/>
      <c r="C587" s="6"/>
      <c r="D587" s="11"/>
      <c r="F587" s="5"/>
      <c r="G587" s="5"/>
      <c r="I587" s="8"/>
      <c r="J587" s="9"/>
      <c r="K587" s="9"/>
      <c r="L587" s="9"/>
      <c r="M587" s="9"/>
      <c r="N587" s="10"/>
      <c r="O587" s="10"/>
      <c r="P587" s="10"/>
      <c r="Q587" s="10"/>
      <c r="R587" s="10"/>
      <c r="S587" s="10"/>
      <c r="T587" s="10"/>
      <c r="U587" s="6"/>
      <c r="V587" s="11"/>
      <c r="W587" s="11"/>
      <c r="X587" s="34"/>
      <c r="Y587" s="34"/>
      <c r="Z587" s="34"/>
      <c r="AA587" s="440"/>
      <c r="AB587" s="36"/>
      <c r="AC587" s="36"/>
      <c r="AD587" s="36"/>
      <c r="AE587" s="36"/>
      <c r="AF587" s="458"/>
      <c r="AG587" s="6"/>
      <c r="AH587" s="11"/>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row>
    <row r="588" spans="1:84" s="7" customFormat="1">
      <c r="A588" s="5"/>
      <c r="B588" s="5"/>
      <c r="C588" s="6"/>
      <c r="D588" s="11"/>
      <c r="F588" s="5"/>
      <c r="G588" s="5"/>
      <c r="I588" s="8"/>
      <c r="J588" s="9"/>
      <c r="K588" s="9"/>
      <c r="L588" s="9"/>
      <c r="M588" s="9"/>
      <c r="N588" s="10"/>
      <c r="O588" s="10"/>
      <c r="P588" s="10"/>
      <c r="Q588" s="10"/>
      <c r="R588" s="10"/>
      <c r="S588" s="10"/>
      <c r="T588" s="10"/>
      <c r="U588" s="6"/>
      <c r="V588" s="11"/>
      <c r="W588" s="11"/>
      <c r="X588" s="34"/>
      <c r="Y588" s="34"/>
      <c r="Z588" s="34"/>
      <c r="AA588" s="440"/>
      <c r="AB588" s="36"/>
      <c r="AC588" s="36"/>
      <c r="AD588" s="36"/>
      <c r="AE588" s="36"/>
      <c r="AF588" s="458"/>
      <c r="AG588" s="6"/>
      <c r="AH588" s="11"/>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row>
    <row r="589" spans="1:84" s="7" customFormat="1">
      <c r="A589" s="5"/>
      <c r="B589" s="5"/>
      <c r="C589" s="6"/>
      <c r="D589" s="11"/>
      <c r="F589" s="5"/>
      <c r="G589" s="5"/>
      <c r="I589" s="8"/>
      <c r="J589" s="9"/>
      <c r="K589" s="9"/>
      <c r="L589" s="9"/>
      <c r="M589" s="9"/>
      <c r="N589" s="10"/>
      <c r="O589" s="10"/>
      <c r="P589" s="10"/>
      <c r="Q589" s="10"/>
      <c r="R589" s="10"/>
      <c r="S589" s="10"/>
      <c r="T589" s="10"/>
      <c r="U589" s="6"/>
      <c r="V589" s="11"/>
      <c r="W589" s="11"/>
      <c r="X589" s="34"/>
      <c r="Y589" s="34"/>
      <c r="Z589" s="34"/>
      <c r="AA589" s="440"/>
      <c r="AB589" s="36"/>
      <c r="AC589" s="36"/>
      <c r="AD589" s="36"/>
      <c r="AE589" s="36"/>
      <c r="AF589" s="458"/>
      <c r="AG589" s="6"/>
      <c r="AH589" s="11"/>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row>
    <row r="590" spans="1:84" s="7" customFormat="1">
      <c r="A590" s="5"/>
      <c r="B590" s="5"/>
      <c r="C590" s="6"/>
      <c r="D590" s="11"/>
      <c r="F590" s="5"/>
      <c r="G590" s="5"/>
      <c r="I590" s="8"/>
      <c r="J590" s="9"/>
      <c r="K590" s="9"/>
      <c r="L590" s="9"/>
      <c r="M590" s="9"/>
      <c r="N590" s="10"/>
      <c r="O590" s="10"/>
      <c r="P590" s="10"/>
      <c r="Q590" s="10"/>
      <c r="R590" s="10"/>
      <c r="S590" s="10"/>
      <c r="T590" s="10"/>
      <c r="U590" s="6"/>
      <c r="V590" s="11"/>
      <c r="W590" s="11"/>
      <c r="X590" s="34"/>
      <c r="Y590" s="34"/>
      <c r="Z590" s="34"/>
      <c r="AA590" s="440"/>
      <c r="AB590" s="36"/>
      <c r="AC590" s="36"/>
      <c r="AD590" s="36"/>
      <c r="AE590" s="36"/>
      <c r="AF590" s="458"/>
      <c r="AG590" s="6"/>
      <c r="AH590" s="11"/>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row>
    <row r="591" spans="1:84" s="7" customFormat="1">
      <c r="A591" s="5"/>
      <c r="B591" s="5"/>
      <c r="C591" s="6"/>
      <c r="D591" s="11"/>
      <c r="F591" s="5"/>
      <c r="G591" s="5"/>
      <c r="I591" s="8"/>
      <c r="J591" s="9"/>
      <c r="K591" s="9"/>
      <c r="L591" s="9"/>
      <c r="M591" s="9"/>
      <c r="N591" s="10"/>
      <c r="O591" s="10"/>
      <c r="P591" s="10"/>
      <c r="Q591" s="10"/>
      <c r="R591" s="10"/>
      <c r="S591" s="10"/>
      <c r="T591" s="10"/>
      <c r="U591" s="6"/>
      <c r="V591" s="11"/>
      <c r="W591" s="11"/>
      <c r="X591" s="34"/>
      <c r="Y591" s="34"/>
      <c r="Z591" s="34"/>
      <c r="AA591" s="440"/>
      <c r="AB591" s="36"/>
      <c r="AC591" s="36"/>
      <c r="AD591" s="36"/>
      <c r="AE591" s="36"/>
      <c r="AF591" s="458"/>
      <c r="AG591" s="6"/>
      <c r="AH591" s="11"/>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row>
    <row r="592" spans="1:84" s="7" customFormat="1">
      <c r="A592" s="5"/>
      <c r="B592" s="5"/>
      <c r="C592" s="6"/>
      <c r="D592" s="11"/>
      <c r="F592" s="5"/>
      <c r="G592" s="5"/>
      <c r="I592" s="8"/>
      <c r="J592" s="9"/>
      <c r="K592" s="9"/>
      <c r="L592" s="9"/>
      <c r="M592" s="9"/>
      <c r="N592" s="10"/>
      <c r="O592" s="10"/>
      <c r="P592" s="10"/>
      <c r="Q592" s="10"/>
      <c r="R592" s="10"/>
      <c r="S592" s="10"/>
      <c r="T592" s="10"/>
      <c r="U592" s="6"/>
      <c r="V592" s="11"/>
      <c r="W592" s="11"/>
      <c r="X592" s="34"/>
      <c r="Y592" s="34"/>
      <c r="Z592" s="34"/>
      <c r="AA592" s="440"/>
      <c r="AB592" s="36"/>
      <c r="AC592" s="36"/>
      <c r="AD592" s="36"/>
      <c r="AE592" s="36"/>
      <c r="AF592" s="458"/>
      <c r="AG592" s="6"/>
      <c r="AH592" s="11"/>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row>
    <row r="593" spans="1:84" s="7" customFormat="1">
      <c r="A593" s="5"/>
      <c r="B593" s="5"/>
      <c r="C593" s="6"/>
      <c r="D593" s="11"/>
      <c r="F593" s="5"/>
      <c r="G593" s="5"/>
      <c r="I593" s="8"/>
      <c r="J593" s="9"/>
      <c r="K593" s="9"/>
      <c r="L593" s="9"/>
      <c r="M593" s="9"/>
      <c r="N593" s="10"/>
      <c r="O593" s="10"/>
      <c r="P593" s="10"/>
      <c r="Q593" s="10"/>
      <c r="R593" s="10"/>
      <c r="S593" s="10"/>
      <c r="T593" s="10"/>
      <c r="U593" s="6"/>
      <c r="V593" s="11"/>
      <c r="W593" s="11"/>
      <c r="X593" s="34"/>
      <c r="Y593" s="34"/>
      <c r="Z593" s="34"/>
      <c r="AA593" s="440"/>
      <c r="AB593" s="36"/>
      <c r="AC593" s="36"/>
      <c r="AD593" s="36"/>
      <c r="AE593" s="36"/>
      <c r="AF593" s="458"/>
      <c r="AG593" s="6"/>
      <c r="AH593" s="11"/>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row>
    <row r="594" spans="1:84" s="7" customFormat="1">
      <c r="A594" s="5"/>
      <c r="B594" s="5"/>
      <c r="C594" s="6"/>
      <c r="D594" s="11"/>
      <c r="F594" s="5"/>
      <c r="G594" s="5"/>
      <c r="I594" s="8"/>
      <c r="J594" s="9"/>
      <c r="K594" s="9"/>
      <c r="L594" s="9"/>
      <c r="M594" s="9"/>
      <c r="N594" s="10"/>
      <c r="O594" s="10"/>
      <c r="P594" s="10"/>
      <c r="Q594" s="10"/>
      <c r="R594" s="10"/>
      <c r="S594" s="10"/>
      <c r="T594" s="10"/>
      <c r="U594" s="6"/>
      <c r="V594" s="11"/>
      <c r="W594" s="11"/>
      <c r="X594" s="34"/>
      <c r="Y594" s="34"/>
      <c r="Z594" s="34"/>
      <c r="AA594" s="440"/>
      <c r="AB594" s="36"/>
      <c r="AC594" s="36"/>
      <c r="AD594" s="36"/>
      <c r="AE594" s="36"/>
      <c r="AF594" s="458"/>
      <c r="AG594" s="6"/>
      <c r="AH594" s="11"/>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row>
  </sheetData>
  <autoFilter ref="A1:CF520" xr:uid="{7DC5E056-4F23-43C0-991A-F15C4779412B}"/>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F8972-ADB7-4916-9ED0-06BE3D5F484E}">
  <dimension ref="A1:M65"/>
  <sheetViews>
    <sheetView zoomScale="80" zoomScaleNormal="80" workbookViewId="0">
      <selection activeCell="O14" sqref="O14"/>
    </sheetView>
  </sheetViews>
  <sheetFormatPr defaultRowHeight="15"/>
  <cols>
    <col min="1" max="1" width="17.85546875" customWidth="1"/>
    <col min="2" max="2" width="17.28515625" customWidth="1"/>
    <col min="9" max="9" width="13.28515625" customWidth="1"/>
    <col min="13" max="13" width="44.28515625" customWidth="1"/>
  </cols>
  <sheetData>
    <row r="1" spans="1:13" ht="16.5">
      <c r="A1" s="37" t="s">
        <v>669</v>
      </c>
      <c r="B1" s="38"/>
      <c r="C1" s="38"/>
      <c r="D1" s="38"/>
      <c r="E1" s="38"/>
      <c r="F1" s="38"/>
      <c r="G1" s="38"/>
      <c r="H1" s="39"/>
      <c r="I1" s="39"/>
      <c r="J1" s="47"/>
      <c r="K1" s="48"/>
      <c r="L1" s="48"/>
      <c r="M1" s="55"/>
    </row>
    <row r="2" spans="1:13" ht="16.5">
      <c r="A2" s="37" t="s">
        <v>7</v>
      </c>
      <c r="B2" s="38"/>
      <c r="C2" s="38"/>
      <c r="D2" s="38"/>
      <c r="E2" s="38"/>
      <c r="F2" s="38"/>
      <c r="G2" s="38"/>
      <c r="H2" s="39"/>
      <c r="I2" s="39"/>
      <c r="J2" s="47"/>
      <c r="K2" s="48"/>
      <c r="L2" s="48"/>
      <c r="M2" s="55"/>
    </row>
    <row r="3" spans="1:13" ht="70.900000000000006" customHeight="1">
      <c r="A3" s="51" t="s">
        <v>670</v>
      </c>
      <c r="B3" s="51" t="s">
        <v>671</v>
      </c>
      <c r="C3" s="51" t="s">
        <v>672</v>
      </c>
      <c r="D3" s="51" t="s">
        <v>673</v>
      </c>
      <c r="E3" s="51" t="s">
        <v>674</v>
      </c>
      <c r="F3" s="52" t="s">
        <v>675</v>
      </c>
      <c r="G3" s="52" t="s">
        <v>676</v>
      </c>
      <c r="H3" s="52" t="s">
        <v>677</v>
      </c>
      <c r="I3" s="53" t="s">
        <v>678</v>
      </c>
      <c r="J3" s="52" t="s">
        <v>679</v>
      </c>
      <c r="K3" s="54" t="s">
        <v>680</v>
      </c>
      <c r="L3" s="54" t="s">
        <v>681</v>
      </c>
      <c r="M3" s="54" t="s">
        <v>32</v>
      </c>
    </row>
    <row r="4" spans="1:13" ht="16.5">
      <c r="A4" s="40">
        <v>1</v>
      </c>
      <c r="B4" s="41"/>
      <c r="C4" s="41"/>
      <c r="D4" s="43"/>
      <c r="E4" s="42" t="e">
        <f>D4/C4</f>
        <v>#DIV/0!</v>
      </c>
      <c r="F4" s="43"/>
      <c r="G4" s="42">
        <f>F4*D4</f>
        <v>0</v>
      </c>
      <c r="H4" s="42" t="e">
        <f>E4*F4</f>
        <v>#DIV/0!</v>
      </c>
      <c r="I4" s="43">
        <f>D4*$B$2/2000</f>
        <v>0</v>
      </c>
      <c r="J4" s="44">
        <f>G4*$B$2/2000</f>
        <v>0</v>
      </c>
      <c r="K4" s="44"/>
      <c r="L4" s="44" t="e">
        <f>(J4-K4)*2000/$B$2/H9</f>
        <v>#DIV/0!</v>
      </c>
      <c r="M4" s="461"/>
    </row>
    <row r="5" spans="1:13" ht="16.5">
      <c r="A5" s="40">
        <v>2</v>
      </c>
      <c r="B5" s="41"/>
      <c r="C5" s="41"/>
      <c r="D5" s="43"/>
      <c r="E5" s="42" t="e">
        <f>D5/C5</f>
        <v>#DIV/0!</v>
      </c>
      <c r="F5" s="43"/>
      <c r="G5" s="42">
        <f>F5*D5</f>
        <v>0</v>
      </c>
      <c r="H5" s="42" t="e">
        <f>E5*F5</f>
        <v>#DIV/0!</v>
      </c>
      <c r="I5" s="43">
        <f t="shared" ref="I5:I8" si="0">D5*$B$2/2000</f>
        <v>0</v>
      </c>
      <c r="J5" s="43">
        <f t="shared" ref="J5:J8" si="1">G5*$B$2/2000</f>
        <v>0</v>
      </c>
      <c r="K5" s="43"/>
      <c r="L5" s="43" t="e">
        <f t="shared" ref="L5:L8" si="2">(J5-K5)*2000/$B$2/H10</f>
        <v>#DIV/0!</v>
      </c>
      <c r="M5" s="462"/>
    </row>
    <row r="6" spans="1:13" ht="16.5">
      <c r="A6" s="40">
        <v>3</v>
      </c>
      <c r="B6" s="41"/>
      <c r="C6" s="41"/>
      <c r="D6" s="43"/>
      <c r="E6" s="42" t="e">
        <f>D6/C6</f>
        <v>#DIV/0!</v>
      </c>
      <c r="F6" s="43"/>
      <c r="G6" s="42">
        <f>F6*D6</f>
        <v>0</v>
      </c>
      <c r="H6" s="42" t="e">
        <f>E6*F6</f>
        <v>#DIV/0!</v>
      </c>
      <c r="I6" s="43">
        <f t="shared" si="0"/>
        <v>0</v>
      </c>
      <c r="J6" s="43">
        <f t="shared" si="1"/>
        <v>0</v>
      </c>
      <c r="K6" s="43"/>
      <c r="L6" s="43" t="e">
        <f t="shared" si="2"/>
        <v>#DIV/0!</v>
      </c>
      <c r="M6" s="462"/>
    </row>
    <row r="7" spans="1:13" ht="16.5">
      <c r="A7" s="40">
        <v>4</v>
      </c>
      <c r="B7" s="41"/>
      <c r="C7" s="41"/>
      <c r="D7" s="42"/>
      <c r="E7" s="42" t="e">
        <f>D7/C7</f>
        <v>#DIV/0!</v>
      </c>
      <c r="F7" s="43"/>
      <c r="G7" s="42">
        <f>F7*D7</f>
        <v>0</v>
      </c>
      <c r="H7" s="42" t="e">
        <f>E7*F7</f>
        <v>#DIV/0!</v>
      </c>
      <c r="I7" s="43">
        <f t="shared" si="0"/>
        <v>0</v>
      </c>
      <c r="J7" s="43">
        <f t="shared" si="1"/>
        <v>0</v>
      </c>
      <c r="K7" s="43"/>
      <c r="L7" s="43" t="e">
        <f t="shared" si="2"/>
        <v>#DIV/0!</v>
      </c>
      <c r="M7" s="462"/>
    </row>
    <row r="8" spans="1:13" ht="16.5">
      <c r="A8" s="40">
        <v>5</v>
      </c>
      <c r="B8" s="41"/>
      <c r="C8" s="41"/>
      <c r="D8" s="42"/>
      <c r="E8" s="42" t="e">
        <f>D8/C8</f>
        <v>#DIV/0!</v>
      </c>
      <c r="F8" s="43"/>
      <c r="G8" s="42">
        <f>F8*D8</f>
        <v>0</v>
      </c>
      <c r="H8" s="42" t="e">
        <f>E8*F8</f>
        <v>#DIV/0!</v>
      </c>
      <c r="I8" s="43">
        <f t="shared" si="0"/>
        <v>0</v>
      </c>
      <c r="J8" s="43">
        <f t="shared" si="1"/>
        <v>0</v>
      </c>
      <c r="K8" s="43"/>
      <c r="L8" s="43" t="e">
        <f t="shared" si="2"/>
        <v>#DIV/0!</v>
      </c>
      <c r="M8" s="462"/>
    </row>
    <row r="9" spans="1:13" ht="16.5">
      <c r="A9" s="466" t="s">
        <v>682</v>
      </c>
      <c r="B9" s="467"/>
      <c r="C9" s="45" t="e">
        <f>AVERAGE(C4:C7)</f>
        <v>#DIV/0!</v>
      </c>
      <c r="D9" s="46" t="e">
        <f>AVERAGE(D4:D8)</f>
        <v>#DIV/0!</v>
      </c>
      <c r="E9" s="46" t="e">
        <f>AVERAGE(E4:E8)</f>
        <v>#DIV/0!</v>
      </c>
      <c r="F9" s="46"/>
      <c r="G9" s="46">
        <f>AVERAGE(G4:G8)</f>
        <v>0</v>
      </c>
      <c r="H9" s="46" t="e">
        <f>AVERAGE(H4:H8)</f>
        <v>#DIV/0!</v>
      </c>
      <c r="I9" s="45">
        <f>AVERAGE(I4:I8)</f>
        <v>0</v>
      </c>
      <c r="J9" s="45">
        <f>G9*$B$2/2000</f>
        <v>0</v>
      </c>
      <c r="K9" s="45"/>
      <c r="L9" s="45" t="e">
        <f>AVERAGE(L4:L8)</f>
        <v>#DIV/0!</v>
      </c>
      <c r="M9" s="462"/>
    </row>
    <row r="10" spans="1:13" ht="16.5">
      <c r="A10" s="464" t="s">
        <v>683</v>
      </c>
      <c r="B10" s="465"/>
      <c r="C10" s="45"/>
      <c r="D10" s="46"/>
      <c r="E10" s="46"/>
      <c r="F10" s="46"/>
      <c r="G10" s="46"/>
      <c r="H10" s="46"/>
      <c r="I10" s="45" t="e">
        <f>((C10*E9)*B2)/2000</f>
        <v>#DIV/0!</v>
      </c>
      <c r="J10" s="45" t="e">
        <f>I10*F4</f>
        <v>#DIV/0!</v>
      </c>
      <c r="K10" s="45"/>
      <c r="L10" s="45" t="e">
        <f>(((J10-K4)*2000)/E1)/H9</f>
        <v>#DIV/0!</v>
      </c>
      <c r="M10" s="463"/>
    </row>
    <row r="12" spans="1:13" ht="16.5">
      <c r="A12" s="37" t="s">
        <v>669</v>
      </c>
      <c r="B12" s="38"/>
      <c r="C12" s="38"/>
      <c r="D12" s="38"/>
      <c r="E12" s="38"/>
      <c r="F12" s="38"/>
      <c r="G12" s="38"/>
      <c r="H12" s="39"/>
      <c r="I12" s="39"/>
      <c r="J12" s="47"/>
      <c r="K12" s="48"/>
      <c r="L12" s="48"/>
      <c r="M12" s="55"/>
    </row>
    <row r="13" spans="1:13" ht="16.5">
      <c r="A13" s="37" t="s">
        <v>7</v>
      </c>
      <c r="B13" s="38"/>
      <c r="C13" s="38"/>
      <c r="D13" s="38"/>
      <c r="E13" s="38"/>
      <c r="F13" s="38"/>
      <c r="G13" s="38"/>
      <c r="H13" s="39"/>
      <c r="I13" s="39"/>
      <c r="J13" s="47"/>
      <c r="K13" s="48"/>
      <c r="L13" s="48"/>
      <c r="M13" s="55"/>
    </row>
    <row r="14" spans="1:13" ht="66">
      <c r="A14" s="51" t="s">
        <v>670</v>
      </c>
      <c r="B14" s="51" t="s">
        <v>671</v>
      </c>
      <c r="C14" s="51" t="s">
        <v>672</v>
      </c>
      <c r="D14" s="51" t="s">
        <v>673</v>
      </c>
      <c r="E14" s="51" t="s">
        <v>674</v>
      </c>
      <c r="F14" s="52" t="s">
        <v>675</v>
      </c>
      <c r="G14" s="52" t="s">
        <v>676</v>
      </c>
      <c r="H14" s="52" t="s">
        <v>677</v>
      </c>
      <c r="I14" s="53" t="s">
        <v>678</v>
      </c>
      <c r="J14" s="52" t="s">
        <v>679</v>
      </c>
      <c r="K14" s="54" t="s">
        <v>680</v>
      </c>
      <c r="L14" s="54" t="s">
        <v>681</v>
      </c>
      <c r="M14" s="54" t="s">
        <v>32</v>
      </c>
    </row>
    <row r="15" spans="1:13" ht="16.5">
      <c r="A15" s="40">
        <v>1</v>
      </c>
      <c r="B15" s="41"/>
      <c r="C15" s="41"/>
      <c r="D15" s="43"/>
      <c r="E15" s="42" t="e">
        <f>D15/C15</f>
        <v>#DIV/0!</v>
      </c>
      <c r="F15" s="43"/>
      <c r="G15" s="42">
        <f>F15*D15</f>
        <v>0</v>
      </c>
      <c r="H15" s="42" t="e">
        <f>E15*F15</f>
        <v>#DIV/0!</v>
      </c>
      <c r="I15" s="43">
        <f>D15*$B$2/2000</f>
        <v>0</v>
      </c>
      <c r="J15" s="44">
        <f>G15*$B$2/2000</f>
        <v>0</v>
      </c>
      <c r="K15" s="44"/>
      <c r="L15" s="44" t="e">
        <f>(J15-K15)*2000/$B$2/H20</f>
        <v>#DIV/0!</v>
      </c>
      <c r="M15" s="461"/>
    </row>
    <row r="16" spans="1:13" ht="16.5">
      <c r="A16" s="40">
        <v>2</v>
      </c>
      <c r="B16" s="41"/>
      <c r="C16" s="41"/>
      <c r="D16" s="43"/>
      <c r="E16" s="42" t="e">
        <f>D16/C16</f>
        <v>#DIV/0!</v>
      </c>
      <c r="F16" s="43"/>
      <c r="G16" s="42">
        <f>F16*D16</f>
        <v>0</v>
      </c>
      <c r="H16" s="42" t="e">
        <f>E16*F16</f>
        <v>#DIV/0!</v>
      </c>
      <c r="I16" s="43">
        <f t="shared" ref="I16:I19" si="3">D16*$B$2/2000</f>
        <v>0</v>
      </c>
      <c r="J16" s="43">
        <f t="shared" ref="J16:J19" si="4">G16*$B$2/2000</f>
        <v>0</v>
      </c>
      <c r="K16" s="43"/>
      <c r="L16" s="43" t="e">
        <f t="shared" ref="L16:L19" si="5">(J16-K16)*2000/$B$2/H21</f>
        <v>#DIV/0!</v>
      </c>
      <c r="M16" s="462"/>
    </row>
    <row r="17" spans="1:13" ht="16.5">
      <c r="A17" s="40">
        <v>3</v>
      </c>
      <c r="B17" s="41"/>
      <c r="C17" s="41"/>
      <c r="D17" s="43"/>
      <c r="E17" s="42" t="e">
        <f>D17/C17</f>
        <v>#DIV/0!</v>
      </c>
      <c r="F17" s="43"/>
      <c r="G17" s="42">
        <f>F17*D17</f>
        <v>0</v>
      </c>
      <c r="H17" s="42" t="e">
        <f>E17*F17</f>
        <v>#DIV/0!</v>
      </c>
      <c r="I17" s="43">
        <f t="shared" si="3"/>
        <v>0</v>
      </c>
      <c r="J17" s="43">
        <f t="shared" si="4"/>
        <v>0</v>
      </c>
      <c r="K17" s="43"/>
      <c r="L17" s="43" t="e">
        <f t="shared" si="5"/>
        <v>#DIV/0!</v>
      </c>
      <c r="M17" s="462"/>
    </row>
    <row r="18" spans="1:13" ht="16.5">
      <c r="A18" s="40">
        <v>4</v>
      </c>
      <c r="B18" s="41"/>
      <c r="C18" s="41"/>
      <c r="D18" s="42"/>
      <c r="E18" s="42" t="e">
        <f>D18/C18</f>
        <v>#DIV/0!</v>
      </c>
      <c r="F18" s="43"/>
      <c r="G18" s="42">
        <f>F18*D18</f>
        <v>0</v>
      </c>
      <c r="H18" s="42" t="e">
        <f>E18*F18</f>
        <v>#DIV/0!</v>
      </c>
      <c r="I18" s="43">
        <f t="shared" si="3"/>
        <v>0</v>
      </c>
      <c r="J18" s="43">
        <f t="shared" si="4"/>
        <v>0</v>
      </c>
      <c r="K18" s="43"/>
      <c r="L18" s="43" t="e">
        <f t="shared" si="5"/>
        <v>#DIV/0!</v>
      </c>
      <c r="M18" s="462"/>
    </row>
    <row r="19" spans="1:13" ht="16.5">
      <c r="A19" s="40">
        <v>5</v>
      </c>
      <c r="B19" s="41"/>
      <c r="C19" s="41"/>
      <c r="D19" s="42"/>
      <c r="E19" s="42" t="e">
        <f>D19/C19</f>
        <v>#DIV/0!</v>
      </c>
      <c r="F19" s="43"/>
      <c r="G19" s="42">
        <f>F19*D19</f>
        <v>0</v>
      </c>
      <c r="H19" s="42" t="e">
        <f>E19*F19</f>
        <v>#DIV/0!</v>
      </c>
      <c r="I19" s="43">
        <f t="shared" si="3"/>
        <v>0</v>
      </c>
      <c r="J19" s="43">
        <f t="shared" si="4"/>
        <v>0</v>
      </c>
      <c r="K19" s="43"/>
      <c r="L19" s="43" t="e">
        <f t="shared" si="5"/>
        <v>#DIV/0!</v>
      </c>
      <c r="M19" s="462"/>
    </row>
    <row r="20" spans="1:13" ht="16.5">
      <c r="A20" s="466" t="s">
        <v>682</v>
      </c>
      <c r="B20" s="467"/>
      <c r="C20" s="45" t="e">
        <f>AVERAGE(C15:C18)</f>
        <v>#DIV/0!</v>
      </c>
      <c r="D20" s="46" t="e">
        <f>AVERAGE(D15:D19)</f>
        <v>#DIV/0!</v>
      </c>
      <c r="E20" s="46" t="e">
        <f>AVERAGE(E15:E19)</f>
        <v>#DIV/0!</v>
      </c>
      <c r="F20" s="46"/>
      <c r="G20" s="46">
        <f>AVERAGE(G15:G19)</f>
        <v>0</v>
      </c>
      <c r="H20" s="46" t="e">
        <f>AVERAGE(H15:H19)</f>
        <v>#DIV/0!</v>
      </c>
      <c r="I20" s="45">
        <f>AVERAGE(I15:I19)</f>
        <v>0</v>
      </c>
      <c r="J20" s="45">
        <f>G20*$B$2/2000</f>
        <v>0</v>
      </c>
      <c r="K20" s="45"/>
      <c r="L20" s="45" t="e">
        <f>AVERAGE(L15:L19)</f>
        <v>#DIV/0!</v>
      </c>
      <c r="M20" s="462"/>
    </row>
    <row r="21" spans="1:13" ht="16.5">
      <c r="A21" s="464" t="s">
        <v>683</v>
      </c>
      <c r="B21" s="465"/>
      <c r="C21" s="45"/>
      <c r="D21" s="46"/>
      <c r="E21" s="46"/>
      <c r="F21" s="46"/>
      <c r="G21" s="46"/>
      <c r="H21" s="46"/>
      <c r="I21" s="45" t="e">
        <f>((C21*E20)*B13)/2000</f>
        <v>#DIV/0!</v>
      </c>
      <c r="J21" s="45" t="e">
        <f>I21*F15</f>
        <v>#DIV/0!</v>
      </c>
      <c r="K21" s="45"/>
      <c r="L21" s="45" t="e">
        <f>(((J21-K15)*2000)/E12)/H20</f>
        <v>#DIV/0!</v>
      </c>
      <c r="M21" s="463"/>
    </row>
    <row r="23" spans="1:13" ht="16.5">
      <c r="A23" s="37" t="s">
        <v>669</v>
      </c>
      <c r="B23" s="38"/>
      <c r="C23" s="38"/>
      <c r="D23" s="38"/>
      <c r="E23" s="38"/>
      <c r="F23" s="38"/>
      <c r="G23" s="38"/>
      <c r="H23" s="39"/>
      <c r="I23" s="39"/>
      <c r="J23" s="47"/>
      <c r="K23" s="48"/>
      <c r="L23" s="48"/>
      <c r="M23" s="55"/>
    </row>
    <row r="24" spans="1:13" ht="16.5">
      <c r="A24" s="37" t="s">
        <v>7</v>
      </c>
      <c r="B24" s="38"/>
      <c r="C24" s="38"/>
      <c r="D24" s="38"/>
      <c r="E24" s="38"/>
      <c r="F24" s="38"/>
      <c r="G24" s="38"/>
      <c r="H24" s="39"/>
      <c r="I24" s="39"/>
      <c r="J24" s="47"/>
      <c r="K24" s="48"/>
      <c r="L24" s="48"/>
      <c r="M24" s="55"/>
    </row>
    <row r="25" spans="1:13" ht="66">
      <c r="A25" s="51" t="s">
        <v>670</v>
      </c>
      <c r="B25" s="51" t="s">
        <v>671</v>
      </c>
      <c r="C25" s="51" t="s">
        <v>672</v>
      </c>
      <c r="D25" s="51" t="s">
        <v>673</v>
      </c>
      <c r="E25" s="51" t="s">
        <v>674</v>
      </c>
      <c r="F25" s="52" t="s">
        <v>675</v>
      </c>
      <c r="G25" s="52" t="s">
        <v>676</v>
      </c>
      <c r="H25" s="52" t="s">
        <v>677</v>
      </c>
      <c r="I25" s="53" t="s">
        <v>678</v>
      </c>
      <c r="J25" s="52" t="s">
        <v>679</v>
      </c>
      <c r="K25" s="54" t="s">
        <v>680</v>
      </c>
      <c r="L25" s="54" t="s">
        <v>681</v>
      </c>
      <c r="M25" s="54" t="s">
        <v>32</v>
      </c>
    </row>
    <row r="26" spans="1:13" ht="16.5">
      <c r="A26" s="40">
        <v>1</v>
      </c>
      <c r="B26" s="41"/>
      <c r="C26" s="41"/>
      <c r="D26" s="43"/>
      <c r="E26" s="42" t="e">
        <f>D26/C26</f>
        <v>#DIV/0!</v>
      </c>
      <c r="F26" s="43"/>
      <c r="G26" s="42">
        <f>F26*D26</f>
        <v>0</v>
      </c>
      <c r="H26" s="42" t="e">
        <f>E26*F26</f>
        <v>#DIV/0!</v>
      </c>
      <c r="I26" s="43">
        <f>D26*$B$2/2000</f>
        <v>0</v>
      </c>
      <c r="J26" s="44">
        <f>G26*$B$2/2000</f>
        <v>0</v>
      </c>
      <c r="K26" s="44"/>
      <c r="L26" s="44" t="e">
        <f>(J26-K26)*2000/$B$2/H31</f>
        <v>#DIV/0!</v>
      </c>
      <c r="M26" s="461"/>
    </row>
    <row r="27" spans="1:13" ht="16.5">
      <c r="A27" s="40">
        <v>2</v>
      </c>
      <c r="B27" s="41"/>
      <c r="C27" s="41"/>
      <c r="D27" s="43"/>
      <c r="E27" s="42" t="e">
        <f>D27/C27</f>
        <v>#DIV/0!</v>
      </c>
      <c r="F27" s="43"/>
      <c r="G27" s="42">
        <f>F27*D27</f>
        <v>0</v>
      </c>
      <c r="H27" s="42" t="e">
        <f>E27*F27</f>
        <v>#DIV/0!</v>
      </c>
      <c r="I27" s="43">
        <f t="shared" ref="I27:I30" si="6">D27*$B$2/2000</f>
        <v>0</v>
      </c>
      <c r="J27" s="43">
        <f t="shared" ref="J27:J30" si="7">G27*$B$2/2000</f>
        <v>0</v>
      </c>
      <c r="K27" s="43"/>
      <c r="L27" s="43" t="e">
        <f t="shared" ref="L27:L30" si="8">(J27-K27)*2000/$B$2/H32</f>
        <v>#DIV/0!</v>
      </c>
      <c r="M27" s="462"/>
    </row>
    <row r="28" spans="1:13" ht="16.5">
      <c r="A28" s="40">
        <v>3</v>
      </c>
      <c r="B28" s="41"/>
      <c r="C28" s="41"/>
      <c r="D28" s="43"/>
      <c r="E28" s="42" t="e">
        <f>D28/C28</f>
        <v>#DIV/0!</v>
      </c>
      <c r="F28" s="43"/>
      <c r="G28" s="42">
        <f>F28*D28</f>
        <v>0</v>
      </c>
      <c r="H28" s="42" t="e">
        <f>E28*F28</f>
        <v>#DIV/0!</v>
      </c>
      <c r="I28" s="43">
        <f t="shared" si="6"/>
        <v>0</v>
      </c>
      <c r="J28" s="43">
        <f t="shared" si="7"/>
        <v>0</v>
      </c>
      <c r="K28" s="43"/>
      <c r="L28" s="43" t="e">
        <f t="shared" si="8"/>
        <v>#DIV/0!</v>
      </c>
      <c r="M28" s="462"/>
    </row>
    <row r="29" spans="1:13" ht="16.5">
      <c r="A29" s="40">
        <v>4</v>
      </c>
      <c r="B29" s="41"/>
      <c r="C29" s="41"/>
      <c r="D29" s="42"/>
      <c r="E29" s="42" t="e">
        <f>D29/C29</f>
        <v>#DIV/0!</v>
      </c>
      <c r="F29" s="43"/>
      <c r="G29" s="42">
        <f>F29*D29</f>
        <v>0</v>
      </c>
      <c r="H29" s="42" t="e">
        <f>E29*F29</f>
        <v>#DIV/0!</v>
      </c>
      <c r="I29" s="43">
        <f t="shared" si="6"/>
        <v>0</v>
      </c>
      <c r="J29" s="43">
        <f t="shared" si="7"/>
        <v>0</v>
      </c>
      <c r="K29" s="43"/>
      <c r="L29" s="43" t="e">
        <f t="shared" si="8"/>
        <v>#DIV/0!</v>
      </c>
      <c r="M29" s="462"/>
    </row>
    <row r="30" spans="1:13" ht="16.5">
      <c r="A30" s="40">
        <v>5</v>
      </c>
      <c r="B30" s="41"/>
      <c r="C30" s="41"/>
      <c r="D30" s="42"/>
      <c r="E30" s="42" t="e">
        <f>D30/C30</f>
        <v>#DIV/0!</v>
      </c>
      <c r="F30" s="43"/>
      <c r="G30" s="42">
        <f>F30*D30</f>
        <v>0</v>
      </c>
      <c r="H30" s="42" t="e">
        <f>E30*F30</f>
        <v>#DIV/0!</v>
      </c>
      <c r="I30" s="43">
        <f t="shared" si="6"/>
        <v>0</v>
      </c>
      <c r="J30" s="43">
        <f t="shared" si="7"/>
        <v>0</v>
      </c>
      <c r="K30" s="43"/>
      <c r="L30" s="43" t="e">
        <f t="shared" si="8"/>
        <v>#DIV/0!</v>
      </c>
      <c r="M30" s="462"/>
    </row>
    <row r="31" spans="1:13" ht="16.5">
      <c r="A31" s="466" t="s">
        <v>682</v>
      </c>
      <c r="B31" s="467"/>
      <c r="C31" s="45" t="e">
        <f>AVERAGE(C26:C29)</f>
        <v>#DIV/0!</v>
      </c>
      <c r="D31" s="46" t="e">
        <f>AVERAGE(D26:D30)</f>
        <v>#DIV/0!</v>
      </c>
      <c r="E31" s="46" t="e">
        <f>AVERAGE(E26:E30)</f>
        <v>#DIV/0!</v>
      </c>
      <c r="F31" s="46"/>
      <c r="G31" s="46">
        <f>AVERAGE(G26:G30)</f>
        <v>0</v>
      </c>
      <c r="H31" s="46" t="e">
        <f>AVERAGE(H26:H30)</f>
        <v>#DIV/0!</v>
      </c>
      <c r="I31" s="45">
        <f>AVERAGE(I26:I30)</f>
        <v>0</v>
      </c>
      <c r="J31" s="45">
        <f>G31*$B$2/2000</f>
        <v>0</v>
      </c>
      <c r="K31" s="45"/>
      <c r="L31" s="45" t="e">
        <f>AVERAGE(L26:L30)</f>
        <v>#DIV/0!</v>
      </c>
      <c r="M31" s="462"/>
    </row>
    <row r="32" spans="1:13" ht="16.5">
      <c r="A32" s="464" t="s">
        <v>683</v>
      </c>
      <c r="B32" s="465"/>
      <c r="C32" s="45"/>
      <c r="D32" s="46"/>
      <c r="E32" s="46"/>
      <c r="F32" s="46"/>
      <c r="G32" s="46"/>
      <c r="H32" s="46"/>
      <c r="I32" s="45" t="e">
        <f>((C32*E31)*B24)/2000</f>
        <v>#DIV/0!</v>
      </c>
      <c r="J32" s="45" t="e">
        <f>I32*F26</f>
        <v>#DIV/0!</v>
      </c>
      <c r="K32" s="45"/>
      <c r="L32" s="45" t="e">
        <f>(((J32-K26)*2000)/E23)/H31</f>
        <v>#DIV/0!</v>
      </c>
      <c r="M32" s="463"/>
    </row>
    <row r="34" spans="1:13" ht="16.5">
      <c r="A34" s="37" t="s">
        <v>669</v>
      </c>
      <c r="B34" s="38"/>
      <c r="C34" s="38"/>
      <c r="D34" s="38"/>
      <c r="E34" s="38"/>
      <c r="F34" s="38"/>
      <c r="G34" s="38"/>
      <c r="H34" s="39"/>
      <c r="I34" s="39"/>
      <c r="J34" s="47"/>
      <c r="K34" s="48"/>
      <c r="L34" s="48"/>
      <c r="M34" s="55"/>
    </row>
    <row r="35" spans="1:13" ht="16.5">
      <c r="A35" s="37" t="s">
        <v>7</v>
      </c>
      <c r="B35" s="38"/>
      <c r="C35" s="38"/>
      <c r="D35" s="38"/>
      <c r="E35" s="38"/>
      <c r="F35" s="38"/>
      <c r="G35" s="38"/>
      <c r="H35" s="39"/>
      <c r="I35" s="39"/>
      <c r="J35" s="47"/>
      <c r="K35" s="48"/>
      <c r="L35" s="48"/>
      <c r="M35" s="55"/>
    </row>
    <row r="36" spans="1:13" ht="66">
      <c r="A36" s="51" t="s">
        <v>670</v>
      </c>
      <c r="B36" s="51" t="s">
        <v>671</v>
      </c>
      <c r="C36" s="51" t="s">
        <v>672</v>
      </c>
      <c r="D36" s="51" t="s">
        <v>673</v>
      </c>
      <c r="E36" s="51" t="s">
        <v>674</v>
      </c>
      <c r="F36" s="52" t="s">
        <v>675</v>
      </c>
      <c r="G36" s="52" t="s">
        <v>676</v>
      </c>
      <c r="H36" s="52" t="s">
        <v>677</v>
      </c>
      <c r="I36" s="53" t="s">
        <v>678</v>
      </c>
      <c r="J36" s="52" t="s">
        <v>679</v>
      </c>
      <c r="K36" s="54" t="s">
        <v>680</v>
      </c>
      <c r="L36" s="54" t="s">
        <v>681</v>
      </c>
      <c r="M36" s="54" t="s">
        <v>32</v>
      </c>
    </row>
    <row r="37" spans="1:13" ht="16.5">
      <c r="A37" s="40">
        <v>1</v>
      </c>
      <c r="B37" s="41"/>
      <c r="C37" s="41"/>
      <c r="D37" s="43"/>
      <c r="E37" s="42" t="e">
        <f>D37/C37</f>
        <v>#DIV/0!</v>
      </c>
      <c r="F37" s="43"/>
      <c r="G37" s="42">
        <f>F37*D37</f>
        <v>0</v>
      </c>
      <c r="H37" s="42" t="e">
        <f>E37*F37</f>
        <v>#DIV/0!</v>
      </c>
      <c r="I37" s="43">
        <f>D37*$B$2/2000</f>
        <v>0</v>
      </c>
      <c r="J37" s="44">
        <f>G37*$B$2/2000</f>
        <v>0</v>
      </c>
      <c r="K37" s="44"/>
      <c r="L37" s="44" t="e">
        <f>(J37-K37)*2000/$B$2/H42</f>
        <v>#DIV/0!</v>
      </c>
      <c r="M37" s="461"/>
    </row>
    <row r="38" spans="1:13" ht="16.5">
      <c r="A38" s="40">
        <v>2</v>
      </c>
      <c r="B38" s="41"/>
      <c r="C38" s="41"/>
      <c r="D38" s="43"/>
      <c r="E38" s="42" t="e">
        <f>D38/C38</f>
        <v>#DIV/0!</v>
      </c>
      <c r="F38" s="43"/>
      <c r="G38" s="42">
        <f>F38*D38</f>
        <v>0</v>
      </c>
      <c r="H38" s="42" t="e">
        <f>E38*F38</f>
        <v>#DIV/0!</v>
      </c>
      <c r="I38" s="43">
        <f t="shared" ref="I38:I41" si="9">D38*$B$2/2000</f>
        <v>0</v>
      </c>
      <c r="J38" s="43">
        <f t="shared" ref="J38:J41" si="10">G38*$B$2/2000</f>
        <v>0</v>
      </c>
      <c r="K38" s="43"/>
      <c r="L38" s="43" t="e">
        <f t="shared" ref="L38:L41" si="11">(J38-K38)*2000/$B$2/H43</f>
        <v>#DIV/0!</v>
      </c>
      <c r="M38" s="462"/>
    </row>
    <row r="39" spans="1:13" ht="16.5">
      <c r="A39" s="40">
        <v>3</v>
      </c>
      <c r="B39" s="41"/>
      <c r="C39" s="41"/>
      <c r="D39" s="43"/>
      <c r="E39" s="42" t="e">
        <f>D39/C39</f>
        <v>#DIV/0!</v>
      </c>
      <c r="F39" s="43"/>
      <c r="G39" s="42">
        <f>F39*D39</f>
        <v>0</v>
      </c>
      <c r="H39" s="42" t="e">
        <f>E39*F39</f>
        <v>#DIV/0!</v>
      </c>
      <c r="I39" s="43">
        <f t="shared" si="9"/>
        <v>0</v>
      </c>
      <c r="J39" s="43">
        <f t="shared" si="10"/>
        <v>0</v>
      </c>
      <c r="K39" s="43"/>
      <c r="L39" s="43" t="e">
        <f t="shared" si="11"/>
        <v>#DIV/0!</v>
      </c>
      <c r="M39" s="462"/>
    </row>
    <row r="40" spans="1:13" ht="16.5">
      <c r="A40" s="40">
        <v>4</v>
      </c>
      <c r="B40" s="41"/>
      <c r="C40" s="41"/>
      <c r="D40" s="42"/>
      <c r="E40" s="42" t="e">
        <f>D40/C40</f>
        <v>#DIV/0!</v>
      </c>
      <c r="F40" s="43"/>
      <c r="G40" s="42">
        <f>F40*D40</f>
        <v>0</v>
      </c>
      <c r="H40" s="42" t="e">
        <f>E40*F40</f>
        <v>#DIV/0!</v>
      </c>
      <c r="I40" s="43">
        <f t="shared" si="9"/>
        <v>0</v>
      </c>
      <c r="J40" s="43">
        <f t="shared" si="10"/>
        <v>0</v>
      </c>
      <c r="K40" s="43"/>
      <c r="L40" s="43" t="e">
        <f t="shared" si="11"/>
        <v>#DIV/0!</v>
      </c>
      <c r="M40" s="462"/>
    </row>
    <row r="41" spans="1:13" ht="16.5">
      <c r="A41" s="40">
        <v>5</v>
      </c>
      <c r="B41" s="41"/>
      <c r="C41" s="41"/>
      <c r="D41" s="42"/>
      <c r="E41" s="42" t="e">
        <f>D41/C41</f>
        <v>#DIV/0!</v>
      </c>
      <c r="F41" s="43"/>
      <c r="G41" s="42">
        <f>F41*D41</f>
        <v>0</v>
      </c>
      <c r="H41" s="42" t="e">
        <f>E41*F41</f>
        <v>#DIV/0!</v>
      </c>
      <c r="I41" s="43">
        <f t="shared" si="9"/>
        <v>0</v>
      </c>
      <c r="J41" s="43">
        <f t="shared" si="10"/>
        <v>0</v>
      </c>
      <c r="K41" s="43"/>
      <c r="L41" s="43" t="e">
        <f t="shared" si="11"/>
        <v>#DIV/0!</v>
      </c>
      <c r="M41" s="462"/>
    </row>
    <row r="42" spans="1:13" ht="16.5">
      <c r="A42" s="466" t="s">
        <v>682</v>
      </c>
      <c r="B42" s="467"/>
      <c r="C42" s="45" t="e">
        <f>AVERAGE(C37:C40)</f>
        <v>#DIV/0!</v>
      </c>
      <c r="D42" s="46" t="e">
        <f>AVERAGE(D37:D41)</f>
        <v>#DIV/0!</v>
      </c>
      <c r="E42" s="46" t="e">
        <f>AVERAGE(E37:E41)</f>
        <v>#DIV/0!</v>
      </c>
      <c r="F42" s="46"/>
      <c r="G42" s="46">
        <f>AVERAGE(G37:G41)</f>
        <v>0</v>
      </c>
      <c r="H42" s="46" t="e">
        <f>AVERAGE(H37:H41)</f>
        <v>#DIV/0!</v>
      </c>
      <c r="I42" s="45">
        <f>AVERAGE(I37:I41)</f>
        <v>0</v>
      </c>
      <c r="J42" s="45">
        <f>G42*$B$2/2000</f>
        <v>0</v>
      </c>
      <c r="K42" s="45"/>
      <c r="L42" s="45" t="e">
        <f>AVERAGE(L37:L41)</f>
        <v>#DIV/0!</v>
      </c>
      <c r="M42" s="462"/>
    </row>
    <row r="43" spans="1:13" ht="16.5">
      <c r="A43" s="464" t="s">
        <v>683</v>
      </c>
      <c r="B43" s="465"/>
      <c r="C43" s="45"/>
      <c r="D43" s="46"/>
      <c r="E43" s="46"/>
      <c r="F43" s="46"/>
      <c r="G43" s="46"/>
      <c r="H43" s="46"/>
      <c r="I43" s="45" t="e">
        <f>((C43*E42)*B35)/2000</f>
        <v>#DIV/0!</v>
      </c>
      <c r="J43" s="45" t="e">
        <f>I43*F37</f>
        <v>#DIV/0!</v>
      </c>
      <c r="K43" s="45"/>
      <c r="L43" s="45" t="e">
        <f>(((J43-K37)*2000)/E34)/H42</f>
        <v>#DIV/0!</v>
      </c>
      <c r="M43" s="463"/>
    </row>
    <row r="45" spans="1:13" ht="16.5">
      <c r="A45" s="37" t="s">
        <v>669</v>
      </c>
      <c r="B45" s="38"/>
      <c r="C45" s="38"/>
      <c r="D45" s="38"/>
      <c r="E45" s="38"/>
      <c r="F45" s="38"/>
      <c r="G45" s="38"/>
      <c r="H45" s="39"/>
      <c r="I45" s="39"/>
      <c r="J45" s="47"/>
      <c r="K45" s="48"/>
      <c r="L45" s="48"/>
      <c r="M45" s="55"/>
    </row>
    <row r="46" spans="1:13" ht="16.5">
      <c r="A46" s="37" t="s">
        <v>7</v>
      </c>
      <c r="B46" s="38"/>
      <c r="C46" s="38"/>
      <c r="D46" s="38"/>
      <c r="E46" s="38"/>
      <c r="F46" s="38"/>
      <c r="G46" s="38"/>
      <c r="H46" s="39"/>
      <c r="I46" s="39"/>
      <c r="J46" s="47"/>
      <c r="K46" s="48"/>
      <c r="L46" s="48"/>
      <c r="M46" s="55"/>
    </row>
    <row r="47" spans="1:13" ht="66">
      <c r="A47" s="51" t="s">
        <v>670</v>
      </c>
      <c r="B47" s="51" t="s">
        <v>671</v>
      </c>
      <c r="C47" s="51" t="s">
        <v>672</v>
      </c>
      <c r="D47" s="51" t="s">
        <v>673</v>
      </c>
      <c r="E47" s="51" t="s">
        <v>674</v>
      </c>
      <c r="F47" s="52" t="s">
        <v>675</v>
      </c>
      <c r="G47" s="52" t="s">
        <v>676</v>
      </c>
      <c r="H47" s="52" t="s">
        <v>677</v>
      </c>
      <c r="I47" s="53" t="s">
        <v>678</v>
      </c>
      <c r="J47" s="52" t="s">
        <v>679</v>
      </c>
      <c r="K47" s="54" t="s">
        <v>680</v>
      </c>
      <c r="L47" s="54" t="s">
        <v>681</v>
      </c>
      <c r="M47" s="54" t="s">
        <v>32</v>
      </c>
    </row>
    <row r="48" spans="1:13" ht="16.5">
      <c r="A48" s="40">
        <v>1</v>
      </c>
      <c r="B48" s="41"/>
      <c r="C48" s="41"/>
      <c r="D48" s="43"/>
      <c r="E48" s="42" t="e">
        <f>D48/C48</f>
        <v>#DIV/0!</v>
      </c>
      <c r="F48" s="43"/>
      <c r="G48" s="42">
        <f>F48*D48</f>
        <v>0</v>
      </c>
      <c r="H48" s="42" t="e">
        <f>E48*F48</f>
        <v>#DIV/0!</v>
      </c>
      <c r="I48" s="43">
        <f>D48*$B$2/2000</f>
        <v>0</v>
      </c>
      <c r="J48" s="44">
        <f>G48*$B$2/2000</f>
        <v>0</v>
      </c>
      <c r="K48" s="44"/>
      <c r="L48" s="44" t="e">
        <f>(J48-K48)*2000/$B$2/H53</f>
        <v>#DIV/0!</v>
      </c>
      <c r="M48" s="461"/>
    </row>
    <row r="49" spans="1:13" ht="16.5">
      <c r="A49" s="40">
        <v>2</v>
      </c>
      <c r="B49" s="41"/>
      <c r="C49" s="41"/>
      <c r="D49" s="43"/>
      <c r="E49" s="42" t="e">
        <f>D49/C49</f>
        <v>#DIV/0!</v>
      </c>
      <c r="F49" s="43"/>
      <c r="G49" s="42">
        <f>F49*D49</f>
        <v>0</v>
      </c>
      <c r="H49" s="42" t="e">
        <f>E49*F49</f>
        <v>#DIV/0!</v>
      </c>
      <c r="I49" s="43">
        <f t="shared" ref="I49:I52" si="12">D49*$B$2/2000</f>
        <v>0</v>
      </c>
      <c r="J49" s="43">
        <f t="shared" ref="J49:J52" si="13">G49*$B$2/2000</f>
        <v>0</v>
      </c>
      <c r="K49" s="43"/>
      <c r="L49" s="43" t="e">
        <f t="shared" ref="L49:L52" si="14">(J49-K49)*2000/$B$2/H54</f>
        <v>#DIV/0!</v>
      </c>
      <c r="M49" s="462"/>
    </row>
    <row r="50" spans="1:13" ht="16.5">
      <c r="A50" s="40">
        <v>3</v>
      </c>
      <c r="B50" s="41"/>
      <c r="C50" s="41"/>
      <c r="D50" s="43"/>
      <c r="E50" s="42" t="e">
        <f>D50/C50</f>
        <v>#DIV/0!</v>
      </c>
      <c r="F50" s="43"/>
      <c r="G50" s="42">
        <f>F50*D50</f>
        <v>0</v>
      </c>
      <c r="H50" s="42" t="e">
        <f>E50*F50</f>
        <v>#DIV/0!</v>
      </c>
      <c r="I50" s="43">
        <f t="shared" si="12"/>
        <v>0</v>
      </c>
      <c r="J50" s="43">
        <f t="shared" si="13"/>
        <v>0</v>
      </c>
      <c r="K50" s="43"/>
      <c r="L50" s="43" t="e">
        <f t="shared" si="14"/>
        <v>#DIV/0!</v>
      </c>
      <c r="M50" s="462"/>
    </row>
    <row r="51" spans="1:13" ht="16.5">
      <c r="A51" s="40">
        <v>4</v>
      </c>
      <c r="B51" s="41"/>
      <c r="C51" s="41"/>
      <c r="D51" s="42"/>
      <c r="E51" s="42" t="e">
        <f>D51/C51</f>
        <v>#DIV/0!</v>
      </c>
      <c r="F51" s="43"/>
      <c r="G51" s="42">
        <f>F51*D51</f>
        <v>0</v>
      </c>
      <c r="H51" s="42" t="e">
        <f>E51*F51</f>
        <v>#DIV/0!</v>
      </c>
      <c r="I51" s="43">
        <f t="shared" si="12"/>
        <v>0</v>
      </c>
      <c r="J51" s="43">
        <f t="shared" si="13"/>
        <v>0</v>
      </c>
      <c r="K51" s="43"/>
      <c r="L51" s="43" t="e">
        <f t="shared" si="14"/>
        <v>#DIV/0!</v>
      </c>
      <c r="M51" s="462"/>
    </row>
    <row r="52" spans="1:13" ht="16.5">
      <c r="A52" s="40">
        <v>5</v>
      </c>
      <c r="B52" s="41"/>
      <c r="C52" s="41"/>
      <c r="D52" s="42"/>
      <c r="E52" s="42" t="e">
        <f>D52/C52</f>
        <v>#DIV/0!</v>
      </c>
      <c r="F52" s="43"/>
      <c r="G52" s="42">
        <f>F52*D52</f>
        <v>0</v>
      </c>
      <c r="H52" s="42" t="e">
        <f>E52*F52</f>
        <v>#DIV/0!</v>
      </c>
      <c r="I52" s="43">
        <f t="shared" si="12"/>
        <v>0</v>
      </c>
      <c r="J52" s="43">
        <f t="shared" si="13"/>
        <v>0</v>
      </c>
      <c r="K52" s="43"/>
      <c r="L52" s="43" t="e">
        <f t="shared" si="14"/>
        <v>#DIV/0!</v>
      </c>
      <c r="M52" s="462"/>
    </row>
    <row r="53" spans="1:13" ht="16.5">
      <c r="A53" s="466" t="s">
        <v>682</v>
      </c>
      <c r="B53" s="467"/>
      <c r="C53" s="45" t="e">
        <f>AVERAGE(C48:C51)</f>
        <v>#DIV/0!</v>
      </c>
      <c r="D53" s="46" t="e">
        <f>AVERAGE(D48:D52)</f>
        <v>#DIV/0!</v>
      </c>
      <c r="E53" s="46" t="e">
        <f>AVERAGE(E48:E52)</f>
        <v>#DIV/0!</v>
      </c>
      <c r="F53" s="46"/>
      <c r="G53" s="46">
        <f>AVERAGE(G48:G52)</f>
        <v>0</v>
      </c>
      <c r="H53" s="46" t="e">
        <f>AVERAGE(H48:H52)</f>
        <v>#DIV/0!</v>
      </c>
      <c r="I53" s="45">
        <f>AVERAGE(I48:I52)</f>
        <v>0</v>
      </c>
      <c r="J53" s="45">
        <f>G53*$B$2/2000</f>
        <v>0</v>
      </c>
      <c r="K53" s="45"/>
      <c r="L53" s="45" t="e">
        <f>AVERAGE(L48:L52)</f>
        <v>#DIV/0!</v>
      </c>
      <c r="M53" s="462"/>
    </row>
    <row r="54" spans="1:13" ht="16.5">
      <c r="A54" s="464" t="s">
        <v>683</v>
      </c>
      <c r="B54" s="465"/>
      <c r="C54" s="45"/>
      <c r="D54" s="46"/>
      <c r="E54" s="46"/>
      <c r="F54" s="46"/>
      <c r="G54" s="46"/>
      <c r="H54" s="46"/>
      <c r="I54" s="45" t="e">
        <f>((C54*E53)*B46)/2000</f>
        <v>#DIV/0!</v>
      </c>
      <c r="J54" s="45" t="e">
        <f>I54*F48</f>
        <v>#DIV/0!</v>
      </c>
      <c r="K54" s="45"/>
      <c r="L54" s="45" t="e">
        <f>(((J54-K48)*2000)/E45)/H53</f>
        <v>#DIV/0!</v>
      </c>
      <c r="M54" s="463"/>
    </row>
    <row r="56" spans="1:13" ht="16.5">
      <c r="A56" s="37" t="s">
        <v>669</v>
      </c>
      <c r="B56" s="38"/>
      <c r="C56" s="38"/>
      <c r="D56" s="38"/>
      <c r="E56" s="38"/>
      <c r="F56" s="38"/>
      <c r="G56" s="38"/>
      <c r="H56" s="39"/>
      <c r="I56" s="39"/>
      <c r="J56" s="47"/>
      <c r="K56" s="48"/>
      <c r="L56" s="48"/>
      <c r="M56" s="55"/>
    </row>
    <row r="57" spans="1:13" ht="16.5">
      <c r="A57" s="37" t="s">
        <v>7</v>
      </c>
      <c r="B57" s="38"/>
      <c r="C57" s="38"/>
      <c r="D57" s="38"/>
      <c r="E57" s="38"/>
      <c r="F57" s="38"/>
      <c r="G57" s="38"/>
      <c r="H57" s="39"/>
      <c r="I57" s="39"/>
      <c r="J57" s="47"/>
      <c r="K57" s="48"/>
      <c r="L57" s="48"/>
      <c r="M57" s="55"/>
    </row>
    <row r="58" spans="1:13" ht="66">
      <c r="A58" s="51" t="s">
        <v>670</v>
      </c>
      <c r="B58" s="51" t="s">
        <v>671</v>
      </c>
      <c r="C58" s="51" t="s">
        <v>672</v>
      </c>
      <c r="D58" s="51" t="s">
        <v>673</v>
      </c>
      <c r="E58" s="51" t="s">
        <v>674</v>
      </c>
      <c r="F58" s="52" t="s">
        <v>675</v>
      </c>
      <c r="G58" s="52" t="s">
        <v>676</v>
      </c>
      <c r="H58" s="52" t="s">
        <v>677</v>
      </c>
      <c r="I58" s="53" t="s">
        <v>678</v>
      </c>
      <c r="J58" s="52" t="s">
        <v>679</v>
      </c>
      <c r="K58" s="54" t="s">
        <v>680</v>
      </c>
      <c r="L58" s="54" t="s">
        <v>681</v>
      </c>
      <c r="M58" s="54" t="s">
        <v>32</v>
      </c>
    </row>
    <row r="59" spans="1:13" ht="16.5">
      <c r="A59" s="40">
        <v>1</v>
      </c>
      <c r="B59" s="41"/>
      <c r="C59" s="41"/>
      <c r="D59" s="43"/>
      <c r="E59" s="42" t="e">
        <f>D59/C59</f>
        <v>#DIV/0!</v>
      </c>
      <c r="F59" s="43"/>
      <c r="G59" s="42">
        <f>F59*D59</f>
        <v>0</v>
      </c>
      <c r="H59" s="42" t="e">
        <f>E59*F59</f>
        <v>#DIV/0!</v>
      </c>
      <c r="I59" s="43">
        <f>D59*$B$2/2000</f>
        <v>0</v>
      </c>
      <c r="J59" s="44">
        <f>G59*$B$2/2000</f>
        <v>0</v>
      </c>
      <c r="K59" s="44"/>
      <c r="L59" s="44" t="e">
        <f>(J59-K59)*2000/$B$2/H64</f>
        <v>#DIV/0!</v>
      </c>
      <c r="M59" s="461"/>
    </row>
    <row r="60" spans="1:13" ht="16.5">
      <c r="A60" s="40">
        <v>2</v>
      </c>
      <c r="B60" s="41"/>
      <c r="C60" s="41"/>
      <c r="D60" s="43"/>
      <c r="E60" s="42" t="e">
        <f>D60/C60</f>
        <v>#DIV/0!</v>
      </c>
      <c r="F60" s="43"/>
      <c r="G60" s="42">
        <f>F60*D60</f>
        <v>0</v>
      </c>
      <c r="H60" s="42" t="e">
        <f>E60*F60</f>
        <v>#DIV/0!</v>
      </c>
      <c r="I60" s="43">
        <f t="shared" ref="I60:I63" si="15">D60*$B$2/2000</f>
        <v>0</v>
      </c>
      <c r="J60" s="43">
        <f t="shared" ref="J60:J63" si="16">G60*$B$2/2000</f>
        <v>0</v>
      </c>
      <c r="K60" s="43"/>
      <c r="L60" s="43" t="e">
        <f t="shared" ref="L60:L63" si="17">(J60-K60)*2000/$B$2/H65</f>
        <v>#DIV/0!</v>
      </c>
      <c r="M60" s="462"/>
    </row>
    <row r="61" spans="1:13" ht="16.5">
      <c r="A61" s="40">
        <v>3</v>
      </c>
      <c r="B61" s="41"/>
      <c r="C61" s="41"/>
      <c r="D61" s="43"/>
      <c r="E61" s="42" t="e">
        <f>D61/C61</f>
        <v>#DIV/0!</v>
      </c>
      <c r="F61" s="43"/>
      <c r="G61" s="42">
        <f>F61*D61</f>
        <v>0</v>
      </c>
      <c r="H61" s="42" t="e">
        <f>E61*F61</f>
        <v>#DIV/0!</v>
      </c>
      <c r="I61" s="43">
        <f t="shared" si="15"/>
        <v>0</v>
      </c>
      <c r="J61" s="43">
        <f t="shared" si="16"/>
        <v>0</v>
      </c>
      <c r="K61" s="43"/>
      <c r="L61" s="43" t="e">
        <f t="shared" si="17"/>
        <v>#DIV/0!</v>
      </c>
      <c r="M61" s="462"/>
    </row>
    <row r="62" spans="1:13" ht="16.5">
      <c r="A62" s="40">
        <v>4</v>
      </c>
      <c r="B62" s="41"/>
      <c r="C62" s="41"/>
      <c r="D62" s="42"/>
      <c r="E62" s="42" t="e">
        <f>D62/C62</f>
        <v>#DIV/0!</v>
      </c>
      <c r="F62" s="43"/>
      <c r="G62" s="42">
        <f>F62*D62</f>
        <v>0</v>
      </c>
      <c r="H62" s="42" t="e">
        <f>E62*F62</f>
        <v>#DIV/0!</v>
      </c>
      <c r="I62" s="43">
        <f t="shared" si="15"/>
        <v>0</v>
      </c>
      <c r="J62" s="43">
        <f t="shared" si="16"/>
        <v>0</v>
      </c>
      <c r="K62" s="43"/>
      <c r="L62" s="43" t="e">
        <f t="shared" si="17"/>
        <v>#DIV/0!</v>
      </c>
      <c r="M62" s="462"/>
    </row>
    <row r="63" spans="1:13" ht="16.5">
      <c r="A63" s="40">
        <v>5</v>
      </c>
      <c r="B63" s="41"/>
      <c r="C63" s="41"/>
      <c r="D63" s="42"/>
      <c r="E63" s="42" t="e">
        <f>D63/C63</f>
        <v>#DIV/0!</v>
      </c>
      <c r="F63" s="43"/>
      <c r="G63" s="42">
        <f>F63*D63</f>
        <v>0</v>
      </c>
      <c r="H63" s="42" t="e">
        <f>E63*F63</f>
        <v>#DIV/0!</v>
      </c>
      <c r="I63" s="43">
        <f t="shared" si="15"/>
        <v>0</v>
      </c>
      <c r="J63" s="43">
        <f t="shared" si="16"/>
        <v>0</v>
      </c>
      <c r="K63" s="43"/>
      <c r="L63" s="43" t="e">
        <f t="shared" si="17"/>
        <v>#DIV/0!</v>
      </c>
      <c r="M63" s="462"/>
    </row>
    <row r="64" spans="1:13" ht="16.5">
      <c r="A64" s="466" t="s">
        <v>682</v>
      </c>
      <c r="B64" s="467"/>
      <c r="C64" s="45" t="e">
        <f>AVERAGE(C59:C62)</f>
        <v>#DIV/0!</v>
      </c>
      <c r="D64" s="46" t="e">
        <f>AVERAGE(D59:D63)</f>
        <v>#DIV/0!</v>
      </c>
      <c r="E64" s="46" t="e">
        <f>AVERAGE(E59:E63)</f>
        <v>#DIV/0!</v>
      </c>
      <c r="F64" s="46"/>
      <c r="G64" s="46">
        <f>AVERAGE(G59:G63)</f>
        <v>0</v>
      </c>
      <c r="H64" s="46" t="e">
        <f>AVERAGE(H59:H63)</f>
        <v>#DIV/0!</v>
      </c>
      <c r="I64" s="45">
        <f>AVERAGE(I59:I63)</f>
        <v>0</v>
      </c>
      <c r="J64" s="45">
        <f>G64*$B$2/2000</f>
        <v>0</v>
      </c>
      <c r="K64" s="45"/>
      <c r="L64" s="45" t="e">
        <f>AVERAGE(L59:L63)</f>
        <v>#DIV/0!</v>
      </c>
      <c r="M64" s="462"/>
    </row>
    <row r="65" spans="1:13" ht="16.5">
      <c r="A65" s="464" t="s">
        <v>683</v>
      </c>
      <c r="B65" s="465"/>
      <c r="C65" s="45"/>
      <c r="D65" s="46"/>
      <c r="E65" s="46"/>
      <c r="F65" s="46"/>
      <c r="G65" s="46"/>
      <c r="H65" s="46"/>
      <c r="I65" s="45" t="e">
        <f>((C65*E64)*B57)/2000</f>
        <v>#DIV/0!</v>
      </c>
      <c r="J65" s="45" t="e">
        <f>I65*F59</f>
        <v>#DIV/0!</v>
      </c>
      <c r="K65" s="45"/>
      <c r="L65" s="45" t="e">
        <f>(((J65-K59)*2000)/E56)/H64</f>
        <v>#DIV/0!</v>
      </c>
      <c r="M65" s="463"/>
    </row>
  </sheetData>
  <mergeCells count="18">
    <mergeCell ref="M48:M54"/>
    <mergeCell ref="A53:B53"/>
    <mergeCell ref="A54:B54"/>
    <mergeCell ref="M59:M65"/>
    <mergeCell ref="A64:B64"/>
    <mergeCell ref="A65:B65"/>
    <mergeCell ref="A21:B21"/>
    <mergeCell ref="A9:B9"/>
    <mergeCell ref="A10:B10"/>
    <mergeCell ref="M4:M10"/>
    <mergeCell ref="M15:M21"/>
    <mergeCell ref="A20:B20"/>
    <mergeCell ref="M26:M32"/>
    <mergeCell ref="A32:B32"/>
    <mergeCell ref="A31:B31"/>
    <mergeCell ref="M37:M43"/>
    <mergeCell ref="A42:B42"/>
    <mergeCell ref="A43:B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E056-4F23-43C0-991A-F15C4779412B}">
  <dimension ref="A1:CP588"/>
  <sheetViews>
    <sheetView showZeros="0" zoomScale="102" zoomScaleNormal="100" workbookViewId="0">
      <pane xSplit="3" ySplit="2" topLeftCell="AE55" activePane="bottomRight" state="frozen"/>
      <selection pane="bottomRight" activeCell="AH443" sqref="AH443:AH444"/>
      <selection pane="bottomLeft" activeCell="A3" sqref="A3"/>
      <selection pane="topRight" activeCell="D1" sqref="D1"/>
    </sheetView>
  </sheetViews>
  <sheetFormatPr defaultColWidth="8.85546875" defaultRowHeight="12.75"/>
  <cols>
    <col min="1" max="1" width="9.7109375" style="5" customWidth="1"/>
    <col min="2" max="2" width="14.140625" style="5" customWidth="1"/>
    <col min="3" max="3" width="32.140625" style="14" customWidth="1"/>
    <col min="4" max="4" width="13.42578125" style="50" hidden="1" customWidth="1"/>
    <col min="5" max="5" width="6.85546875" style="7" customWidth="1"/>
    <col min="6" max="6" width="11.7109375" style="5" hidden="1" customWidth="1"/>
    <col min="7" max="7" width="13.28515625" style="5" customWidth="1"/>
    <col min="8" max="8" width="5.5703125" style="7" customWidth="1"/>
    <col min="9" max="9" width="8.85546875" style="8" customWidth="1"/>
    <col min="10" max="11" width="8.140625" style="9" customWidth="1"/>
    <col min="12" max="12" width="9.42578125" style="9" customWidth="1"/>
    <col min="13" max="13" width="8.5703125" style="9" customWidth="1"/>
    <col min="14" max="19" width="8.85546875" style="10" customWidth="1"/>
    <col min="20" max="20" width="8.85546875" style="33" customWidth="1"/>
    <col min="21" max="21" width="53" style="6" customWidth="1"/>
    <col min="22" max="23" width="9.7109375" style="11" customWidth="1"/>
    <col min="24" max="25" width="10" style="34" customWidth="1"/>
    <col min="26" max="26" width="9.5703125" style="34" customWidth="1"/>
    <col min="27" max="27" width="12.140625" style="35" customWidth="1"/>
    <col min="28" max="28" width="12.85546875" style="36" customWidth="1"/>
    <col min="29" max="29" width="9.85546875" style="36" customWidth="1"/>
    <col min="30" max="30" width="9" style="36" customWidth="1"/>
    <col min="31" max="31" width="13.140625" style="36" bestFit="1" customWidth="1"/>
    <col min="32" max="32" width="18.42578125" style="168" hidden="1" customWidth="1"/>
    <col min="33" max="33" width="9.7109375" style="272" customWidth="1"/>
    <col min="34" max="34" width="17.7109375" style="272" customWidth="1"/>
    <col min="35" max="35" width="8.140625" style="11" customWidth="1"/>
    <col min="36" max="36" width="15.5703125" style="12" customWidth="1"/>
    <col min="37" max="38" width="7.7109375" style="13" customWidth="1"/>
    <col min="39" max="39" width="9.7109375" style="13" customWidth="1"/>
    <col min="40" max="40" width="18.42578125" style="13" customWidth="1"/>
    <col min="41" max="42" width="11.7109375" style="13" customWidth="1"/>
    <col min="43" max="43" width="42.5703125" style="6" customWidth="1"/>
    <col min="44" max="44" width="7.85546875" style="11" customWidth="1"/>
    <col min="45" max="16384" width="8.85546875" style="6"/>
  </cols>
  <sheetData>
    <row r="1" spans="1:94" s="15" customFormat="1" ht="51">
      <c r="A1" s="96" t="s">
        <v>0</v>
      </c>
      <c r="B1" s="96" t="s">
        <v>1</v>
      </c>
      <c r="C1" s="96" t="s">
        <v>2</v>
      </c>
      <c r="D1" s="96" t="s">
        <v>3</v>
      </c>
      <c r="E1" s="96" t="s">
        <v>4</v>
      </c>
      <c r="F1" s="96" t="s">
        <v>5</v>
      </c>
      <c r="G1" s="96" t="s">
        <v>6</v>
      </c>
      <c r="H1" s="96" t="s">
        <v>7</v>
      </c>
      <c r="I1" s="97" t="s">
        <v>8</v>
      </c>
      <c r="J1" s="98" t="s">
        <v>9</v>
      </c>
      <c r="K1" s="98" t="s">
        <v>10</v>
      </c>
      <c r="L1" s="98" t="s">
        <v>11</v>
      </c>
      <c r="M1" s="98" t="s">
        <v>12</v>
      </c>
      <c r="N1" s="99" t="s">
        <v>13</v>
      </c>
      <c r="O1" s="99" t="s">
        <v>14</v>
      </c>
      <c r="P1" s="99" t="s">
        <v>15</v>
      </c>
      <c r="Q1" s="99" t="s">
        <v>16</v>
      </c>
      <c r="R1" s="99" t="s">
        <v>17</v>
      </c>
      <c r="S1" s="100" t="s">
        <v>18</v>
      </c>
      <c r="T1" s="101" t="s">
        <v>684</v>
      </c>
      <c r="U1" s="102" t="s">
        <v>685</v>
      </c>
      <c r="V1" s="102" t="s">
        <v>21</v>
      </c>
      <c r="W1" s="102" t="s">
        <v>686</v>
      </c>
      <c r="X1" s="103" t="s">
        <v>23</v>
      </c>
      <c r="Y1" s="103" t="s">
        <v>687</v>
      </c>
      <c r="Z1" s="103" t="s">
        <v>688</v>
      </c>
      <c r="AA1" s="104" t="s">
        <v>26</v>
      </c>
      <c r="AB1" s="105" t="s">
        <v>27</v>
      </c>
      <c r="AC1" s="105" t="s">
        <v>28</v>
      </c>
      <c r="AD1" s="106" t="s">
        <v>689</v>
      </c>
      <c r="AE1" s="106" t="s">
        <v>690</v>
      </c>
      <c r="AF1" s="169" t="s">
        <v>691</v>
      </c>
      <c r="AG1" s="262" t="s">
        <v>692</v>
      </c>
      <c r="AH1" s="262" t="s">
        <v>693</v>
      </c>
      <c r="AI1" s="107" t="s">
        <v>680</v>
      </c>
      <c r="AJ1" s="108" t="s">
        <v>694</v>
      </c>
      <c r="AK1" s="109" t="s">
        <v>695</v>
      </c>
      <c r="AL1" s="109" t="s">
        <v>696</v>
      </c>
      <c r="AM1" s="109" t="s">
        <v>697</v>
      </c>
      <c r="AN1" s="110" t="s">
        <v>698</v>
      </c>
      <c r="AO1" s="110" t="s">
        <v>699</v>
      </c>
      <c r="AP1" s="110" t="s">
        <v>700</v>
      </c>
      <c r="AQ1" s="111" t="s">
        <v>32</v>
      </c>
      <c r="AR1" s="112" t="s">
        <v>33</v>
      </c>
      <c r="AS1" s="112" t="s">
        <v>34</v>
      </c>
      <c r="AT1" s="112" t="s">
        <v>35</v>
      </c>
      <c r="AU1" s="112" t="s">
        <v>36</v>
      </c>
      <c r="AV1" s="112" t="s">
        <v>37</v>
      </c>
      <c r="AW1" s="112" t="s">
        <v>38</v>
      </c>
      <c r="AX1" s="112" t="s">
        <v>39</v>
      </c>
      <c r="AY1" s="112" t="s">
        <v>40</v>
      </c>
      <c r="AZ1" s="112" t="s">
        <v>41</v>
      </c>
      <c r="BA1" s="112" t="s">
        <v>42</v>
      </c>
      <c r="BB1" s="112" t="s">
        <v>43</v>
      </c>
      <c r="BC1" s="112" t="s">
        <v>44</v>
      </c>
      <c r="BD1" s="112" t="s">
        <v>45</v>
      </c>
      <c r="BE1" s="112" t="s">
        <v>46</v>
      </c>
      <c r="BF1" s="112" t="s">
        <v>47</v>
      </c>
      <c r="BG1" s="112" t="s">
        <v>48</v>
      </c>
      <c r="BH1" s="112" t="s">
        <v>49</v>
      </c>
      <c r="BI1" s="112" t="s">
        <v>50</v>
      </c>
      <c r="BJ1" s="112" t="s">
        <v>51</v>
      </c>
      <c r="BK1" s="112" t="s">
        <v>52</v>
      </c>
      <c r="BL1" s="112" t="s">
        <v>53</v>
      </c>
      <c r="BM1" s="112" t="s">
        <v>54</v>
      </c>
      <c r="BN1" s="112" t="s">
        <v>55</v>
      </c>
      <c r="BO1" s="112" t="s">
        <v>56</v>
      </c>
      <c r="BP1" s="112" t="s">
        <v>57</v>
      </c>
      <c r="BQ1" s="112" t="s">
        <v>58</v>
      </c>
      <c r="BR1" s="112" t="s">
        <v>59</v>
      </c>
      <c r="BS1" s="112" t="s">
        <v>60</v>
      </c>
      <c r="BT1" s="112" t="s">
        <v>61</v>
      </c>
      <c r="BU1" s="112" t="s">
        <v>62</v>
      </c>
      <c r="BV1" s="112" t="s">
        <v>63</v>
      </c>
      <c r="BW1" s="112" t="s">
        <v>64</v>
      </c>
      <c r="BX1" s="112" t="s">
        <v>65</v>
      </c>
      <c r="BY1" s="112" t="s">
        <v>66</v>
      </c>
      <c r="BZ1" s="112" t="s">
        <v>67</v>
      </c>
      <c r="CA1" s="112" t="s">
        <v>68</v>
      </c>
      <c r="CB1" s="112" t="s">
        <v>69</v>
      </c>
      <c r="CC1" s="112" t="s">
        <v>70</v>
      </c>
      <c r="CD1" s="112" t="s">
        <v>71</v>
      </c>
      <c r="CE1" s="112" t="s">
        <v>72</v>
      </c>
      <c r="CF1" s="112" t="s">
        <v>73</v>
      </c>
      <c r="CG1" s="112" t="s">
        <v>74</v>
      </c>
      <c r="CH1" s="112" t="s">
        <v>75</v>
      </c>
      <c r="CI1" s="112" t="s">
        <v>76</v>
      </c>
      <c r="CJ1" s="112" t="s">
        <v>77</v>
      </c>
      <c r="CK1" s="112" t="s">
        <v>78</v>
      </c>
      <c r="CL1" s="112" t="s">
        <v>79</v>
      </c>
      <c r="CM1" s="112" t="s">
        <v>80</v>
      </c>
      <c r="CN1" s="112" t="s">
        <v>81</v>
      </c>
      <c r="CO1" s="112" t="s">
        <v>82</v>
      </c>
      <c r="CP1" s="112" t="s">
        <v>83</v>
      </c>
    </row>
    <row r="2" spans="1:94" s="113" customFormat="1">
      <c r="A2" s="15" t="s">
        <v>84</v>
      </c>
      <c r="B2" s="15" t="s">
        <v>85</v>
      </c>
      <c r="C2" s="16" t="s">
        <v>86</v>
      </c>
      <c r="D2" s="49" t="s">
        <v>87</v>
      </c>
      <c r="E2" s="17" t="s">
        <v>88</v>
      </c>
      <c r="F2" s="18" t="s">
        <v>89</v>
      </c>
      <c r="G2" s="18" t="s">
        <v>90</v>
      </c>
      <c r="H2" s="19">
        <v>726</v>
      </c>
      <c r="I2" s="20">
        <v>22.94568353</v>
      </c>
      <c r="J2" s="21">
        <v>16379</v>
      </c>
      <c r="K2" s="22">
        <v>2E-3</v>
      </c>
      <c r="L2" s="21">
        <f t="shared" ref="L2:L53" si="0">J2-(J2*K2)</f>
        <v>16346.242</v>
      </c>
      <c r="M2" s="23">
        <f t="shared" ref="M2:M85" si="1">L2/H2</f>
        <v>22.515484848484849</v>
      </c>
      <c r="N2" s="30"/>
      <c r="O2" s="30"/>
      <c r="P2" s="30"/>
      <c r="Q2" s="30">
        <v>5.17</v>
      </c>
      <c r="R2" s="30">
        <v>9.48</v>
      </c>
      <c r="S2" s="56">
        <v>7.96</v>
      </c>
      <c r="T2" s="31">
        <f t="shared" ref="T2:T49" si="2">AVERAGE(N2:R2)</f>
        <v>7.3250000000000002</v>
      </c>
      <c r="U2" s="15" t="s">
        <v>365</v>
      </c>
      <c r="V2" s="25" t="s">
        <v>103</v>
      </c>
      <c r="W2" s="25"/>
      <c r="X2" s="26">
        <v>0.25</v>
      </c>
      <c r="Y2" s="26"/>
      <c r="Z2" s="24">
        <v>0.33</v>
      </c>
      <c r="AA2" s="27">
        <v>45779</v>
      </c>
      <c r="AB2" s="28">
        <f>AVERAGE(AS2:BH2)</f>
        <v>126.25</v>
      </c>
      <c r="AC2" s="28">
        <f t="shared" ref="AC2:AC7" si="3">AB2*X2</f>
        <v>31.5625</v>
      </c>
      <c r="AD2" s="28">
        <f t="shared" ref="AD2:AD85" si="4">(AC2*L2)/2000</f>
        <v>257.96413156249997</v>
      </c>
      <c r="AE2" s="28">
        <f t="shared" ref="AE2:AE57" si="5">IFERROR((AD2/I2),"")</f>
        <v>11.242381654276217</v>
      </c>
      <c r="AF2" s="171">
        <f t="shared" ref="AF2:AF57" si="6">IFERROR(((AE2-S2)/AE2),"")</f>
        <v>0.29196497283364431</v>
      </c>
      <c r="AG2" s="263">
        <v>6.74</v>
      </c>
      <c r="AH2" s="265">
        <f>(((AG2*M2)*2000)/L2)/AB2</f>
        <v>0.14706925237978344</v>
      </c>
      <c r="AI2" s="25"/>
      <c r="AJ2" s="24">
        <f t="shared" ref="AJ2:AJ53" si="7">AD2-(AI2*I2)</f>
        <v>257.96413156249997</v>
      </c>
      <c r="AK2" s="29">
        <f t="shared" ref="AK2:AK53" si="8">AJ2/I2</f>
        <v>11.242381654276217</v>
      </c>
      <c r="AL2" s="29"/>
      <c r="AM2" s="29">
        <f t="shared" ref="AM2:AM53" si="9">((AJ2*2000)/Z2)/J2</f>
        <v>95.452651515151501</v>
      </c>
      <c r="AN2" s="29" t="s">
        <v>701</v>
      </c>
      <c r="AO2" s="29">
        <f t="shared" ref="AO2:AO7" si="10">9*I2</f>
        <v>206.51115177</v>
      </c>
      <c r="AP2" s="29">
        <f t="shared" ref="AP2:AP49" si="11">AD2-AO2</f>
        <v>51.452979792499974</v>
      </c>
      <c r="AQ2" s="15"/>
      <c r="AR2" s="25" t="s">
        <v>91</v>
      </c>
      <c r="AS2" s="15">
        <v>134</v>
      </c>
      <c r="AT2" s="15">
        <v>153</v>
      </c>
      <c r="AU2" s="15">
        <v>161</v>
      </c>
      <c r="AV2" s="15">
        <v>128</v>
      </c>
      <c r="AW2" s="15">
        <v>95</v>
      </c>
      <c r="AX2" s="15">
        <v>155</v>
      </c>
      <c r="AY2" s="15">
        <v>154</v>
      </c>
      <c r="AZ2" s="15">
        <v>145</v>
      </c>
      <c r="BA2" s="15">
        <v>128</v>
      </c>
      <c r="BB2" s="15">
        <v>150</v>
      </c>
      <c r="BC2" s="15">
        <v>96</v>
      </c>
      <c r="BD2" s="15">
        <v>106</v>
      </c>
      <c r="BE2" s="15">
        <v>124</v>
      </c>
      <c r="BF2" s="15">
        <v>80</v>
      </c>
      <c r="BG2" s="15">
        <v>110</v>
      </c>
      <c r="BH2" s="15">
        <v>101</v>
      </c>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row>
    <row r="3" spans="1:94" s="113" customFormat="1">
      <c r="A3" s="15" t="s">
        <v>84</v>
      </c>
      <c r="B3" s="15" t="s">
        <v>85</v>
      </c>
      <c r="C3" s="16" t="s">
        <v>86</v>
      </c>
      <c r="D3" s="49" t="s">
        <v>87</v>
      </c>
      <c r="E3" s="17" t="s">
        <v>88</v>
      </c>
      <c r="F3" s="18" t="s">
        <v>89</v>
      </c>
      <c r="G3" s="18" t="s">
        <v>90</v>
      </c>
      <c r="H3" s="19">
        <v>726</v>
      </c>
      <c r="I3" s="20">
        <v>22.94568353</v>
      </c>
      <c r="J3" s="21">
        <v>16379</v>
      </c>
      <c r="K3" s="22">
        <v>2E-3</v>
      </c>
      <c r="L3" s="21">
        <f t="shared" si="0"/>
        <v>16346.242</v>
      </c>
      <c r="M3" s="23">
        <f t="shared" si="1"/>
        <v>22.515484848484849</v>
      </c>
      <c r="N3" s="30"/>
      <c r="O3" s="30"/>
      <c r="P3" s="30"/>
      <c r="Q3" s="30">
        <v>5.17</v>
      </c>
      <c r="R3" s="30">
        <v>9.48</v>
      </c>
      <c r="S3" s="56">
        <v>7.96</v>
      </c>
      <c r="T3" s="31">
        <f t="shared" si="2"/>
        <v>7.3250000000000002</v>
      </c>
      <c r="U3" s="15" t="s">
        <v>365</v>
      </c>
      <c r="V3" s="25" t="s">
        <v>103</v>
      </c>
      <c r="W3" s="25"/>
      <c r="X3" s="26">
        <v>0.25</v>
      </c>
      <c r="Y3" s="26"/>
      <c r="Z3" s="24">
        <v>0.33</v>
      </c>
      <c r="AA3" s="27">
        <v>45805</v>
      </c>
      <c r="AB3" s="28">
        <f t="shared" ref="AB3:AB4" si="12">AVERAGE(AS3:BH3)</f>
        <v>118.0625</v>
      </c>
      <c r="AC3" s="28">
        <f t="shared" si="3"/>
        <v>29.515625</v>
      </c>
      <c r="AD3" s="28">
        <f t="shared" si="4"/>
        <v>241.23477451562499</v>
      </c>
      <c r="AE3" s="28">
        <f t="shared" si="5"/>
        <v>10.513296507389988</v>
      </c>
      <c r="AF3" s="171">
        <f t="shared" si="6"/>
        <v>0.24286354956271133</v>
      </c>
      <c r="AG3" s="263">
        <v>6.74</v>
      </c>
      <c r="AH3" s="265">
        <f>(((AG3*M3)*2000)/L3)/AB3</f>
        <v>0.15726833764275414</v>
      </c>
      <c r="AI3" s="25"/>
      <c r="AJ3" s="24">
        <f t="shared" si="7"/>
        <v>241.23477451562499</v>
      </c>
      <c r="AK3" s="29">
        <f t="shared" si="8"/>
        <v>10.513296507389988</v>
      </c>
      <c r="AL3" s="29"/>
      <c r="AM3" s="29">
        <f t="shared" si="9"/>
        <v>89.262405303030292</v>
      </c>
      <c r="AN3" s="29" t="s">
        <v>701</v>
      </c>
      <c r="AO3" s="29">
        <f t="shared" si="10"/>
        <v>206.51115177</v>
      </c>
      <c r="AP3" s="29">
        <f t="shared" si="11"/>
        <v>34.723622745624994</v>
      </c>
      <c r="AQ3" s="15"/>
      <c r="AR3" s="25" t="s">
        <v>116</v>
      </c>
      <c r="AS3" s="15">
        <v>125</v>
      </c>
      <c r="AT3" s="15">
        <v>109</v>
      </c>
      <c r="AU3" s="15">
        <v>115</v>
      </c>
      <c r="AV3" s="15">
        <v>137</v>
      </c>
      <c r="AW3" s="15">
        <v>117</v>
      </c>
      <c r="AX3" s="15">
        <v>108</v>
      </c>
      <c r="AY3" s="15">
        <v>126</v>
      </c>
      <c r="AZ3" s="15">
        <v>112</v>
      </c>
      <c r="BA3" s="15">
        <v>141</v>
      </c>
      <c r="BB3" s="15">
        <v>109</v>
      </c>
      <c r="BC3" s="15">
        <v>116</v>
      </c>
      <c r="BD3" s="15">
        <v>135</v>
      </c>
      <c r="BE3" s="15">
        <v>103</v>
      </c>
      <c r="BF3" s="15">
        <v>101</v>
      </c>
      <c r="BG3" s="15">
        <v>99</v>
      </c>
      <c r="BH3" s="15">
        <v>136</v>
      </c>
      <c r="BI3" s="15">
        <v>107</v>
      </c>
      <c r="BJ3" s="15">
        <v>119</v>
      </c>
      <c r="BK3" s="15">
        <v>105</v>
      </c>
      <c r="BL3" s="15">
        <v>142</v>
      </c>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row>
    <row r="4" spans="1:94" s="113" customFormat="1">
      <c r="A4" s="15" t="s">
        <v>84</v>
      </c>
      <c r="B4" s="15" t="s">
        <v>85</v>
      </c>
      <c r="C4" s="16" t="s">
        <v>86</v>
      </c>
      <c r="D4" s="49" t="s">
        <v>87</v>
      </c>
      <c r="E4" s="17" t="s">
        <v>88</v>
      </c>
      <c r="F4" s="18" t="s">
        <v>89</v>
      </c>
      <c r="G4" s="18" t="s">
        <v>90</v>
      </c>
      <c r="H4" s="19">
        <v>726</v>
      </c>
      <c r="I4" s="20">
        <v>22.94568353</v>
      </c>
      <c r="J4" s="21">
        <v>16379</v>
      </c>
      <c r="K4" s="22">
        <v>2E-3</v>
      </c>
      <c r="L4" s="21">
        <f t="shared" ref="L4" si="13">J4-(J4*K4)</f>
        <v>16346.242</v>
      </c>
      <c r="M4" s="23">
        <f t="shared" ref="M4" si="14">L4/H4</f>
        <v>22.515484848484849</v>
      </c>
      <c r="N4" s="30"/>
      <c r="O4" s="30"/>
      <c r="P4" s="30"/>
      <c r="Q4" s="30">
        <v>5.17</v>
      </c>
      <c r="R4" s="30">
        <v>9.48</v>
      </c>
      <c r="S4" s="56">
        <v>7.96</v>
      </c>
      <c r="T4" s="31">
        <f t="shared" ref="T4" si="15">AVERAGE(N4:R4)</f>
        <v>7.3250000000000002</v>
      </c>
      <c r="U4" s="15" t="s">
        <v>365</v>
      </c>
      <c r="V4" s="25" t="s">
        <v>103</v>
      </c>
      <c r="W4" s="25"/>
      <c r="X4" s="26">
        <v>0.25</v>
      </c>
      <c r="Y4" s="26"/>
      <c r="Z4" s="24">
        <v>0.33</v>
      </c>
      <c r="AA4" s="27">
        <v>45841</v>
      </c>
      <c r="AB4" s="28">
        <f t="shared" si="12"/>
        <v>100.41666666666667</v>
      </c>
      <c r="AC4" s="28">
        <f t="shared" si="3"/>
        <v>25.104166666666668</v>
      </c>
      <c r="AD4" s="28">
        <f t="shared" ref="AD4" si="16">(AC4*L4)/2000</f>
        <v>205.17939177083335</v>
      </c>
      <c r="AE4" s="28">
        <f t="shared" ref="AE4" si="17">IFERROR((AD4/I4),"")</f>
        <v>8.9419603256784459</v>
      </c>
      <c r="AF4" s="171">
        <f t="shared" ref="AF4" si="18">IFERROR(((AE4-S4)/AE4),"")</f>
        <v>0.10981488285723774</v>
      </c>
      <c r="AG4" s="263">
        <v>6.74</v>
      </c>
      <c r="AH4" s="263">
        <f t="shared" ref="AH4:AH68" si="19">(((AG4*M4)*2000)/L4)/AB4</f>
        <v>0.18490449573059908</v>
      </c>
      <c r="AI4" s="25"/>
      <c r="AJ4" s="24">
        <f t="shared" ref="AJ4" si="20">AD4-(AI4*I4)</f>
        <v>205.17939177083335</v>
      </c>
      <c r="AK4" s="29">
        <f t="shared" ref="AK4" si="21">AJ4/I4</f>
        <v>8.9419603256784459</v>
      </c>
      <c r="AL4" s="29"/>
      <c r="AM4" s="29">
        <f t="shared" ref="AM4" si="22">((AJ4*2000)/Z4)/J4</f>
        <v>75.921085858585855</v>
      </c>
      <c r="AN4" s="29" t="s">
        <v>701</v>
      </c>
      <c r="AO4" s="29">
        <f t="shared" si="10"/>
        <v>206.51115177</v>
      </c>
      <c r="AP4" s="29">
        <f t="shared" ref="AP4" si="23">AD4-AO4</f>
        <v>-1.3317599991666498</v>
      </c>
      <c r="AQ4" s="15"/>
      <c r="AR4" s="25" t="s">
        <v>91</v>
      </c>
      <c r="AS4" s="15">
        <v>124</v>
      </c>
      <c r="AT4" s="15">
        <v>99</v>
      </c>
      <c r="AU4" s="15">
        <v>111</v>
      </c>
      <c r="AV4" s="15">
        <v>99</v>
      </c>
      <c r="AW4" s="15">
        <v>84</v>
      </c>
      <c r="AX4" s="15">
        <v>96</v>
      </c>
      <c r="AY4" s="15">
        <v>116</v>
      </c>
      <c r="AZ4" s="15">
        <v>109</v>
      </c>
      <c r="BA4" s="15">
        <v>115</v>
      </c>
      <c r="BB4" s="15">
        <v>95</v>
      </c>
      <c r="BC4" s="15">
        <v>80</v>
      </c>
      <c r="BD4" s="15">
        <v>77</v>
      </c>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row>
    <row r="5" spans="1:94" s="15" customFormat="1">
      <c r="A5" s="63" t="s">
        <v>84</v>
      </c>
      <c r="B5" s="63" t="s">
        <v>93</v>
      </c>
      <c r="C5" s="64" t="s">
        <v>94</v>
      </c>
      <c r="D5" s="65" t="s">
        <v>87</v>
      </c>
      <c r="E5" s="66" t="s">
        <v>88</v>
      </c>
      <c r="F5" s="67" t="s">
        <v>95</v>
      </c>
      <c r="G5" s="68" t="s">
        <v>96</v>
      </c>
      <c r="H5" s="69">
        <v>726</v>
      </c>
      <c r="I5" s="70">
        <v>15.910719889999999</v>
      </c>
      <c r="J5" s="71">
        <v>11178</v>
      </c>
      <c r="K5" s="237">
        <v>2E-3</v>
      </c>
      <c r="L5" s="71">
        <f t="shared" si="0"/>
        <v>11155.644</v>
      </c>
      <c r="M5" s="73">
        <f t="shared" si="1"/>
        <v>15.365900826446282</v>
      </c>
      <c r="N5" s="74"/>
      <c r="O5" s="74"/>
      <c r="P5" s="74"/>
      <c r="Q5" s="74">
        <v>4.4800000000000004</v>
      </c>
      <c r="R5" s="74">
        <v>8.68</v>
      </c>
      <c r="S5" s="75">
        <v>7.09</v>
      </c>
      <c r="T5" s="76">
        <f t="shared" si="2"/>
        <v>6.58</v>
      </c>
      <c r="U5" s="63" t="s">
        <v>365</v>
      </c>
      <c r="V5" s="77" t="s">
        <v>103</v>
      </c>
      <c r="W5" s="77"/>
      <c r="X5" s="78">
        <v>0.25</v>
      </c>
      <c r="Y5" s="78"/>
      <c r="Z5" s="79">
        <v>0.33</v>
      </c>
      <c r="AA5" s="80">
        <v>45779</v>
      </c>
      <c r="AB5" s="81">
        <f t="shared" ref="AB5:AB54" si="24">IFERROR(AVERAGE(AS5:CP5),0)</f>
        <v>114.625</v>
      </c>
      <c r="AC5" s="81">
        <f t="shared" si="3"/>
        <v>28.65625</v>
      </c>
      <c r="AD5" s="81">
        <f t="shared" si="4"/>
        <v>159.83946168750001</v>
      </c>
      <c r="AE5" s="81">
        <f t="shared" si="5"/>
        <v>10.046023234181895</v>
      </c>
      <c r="AF5" s="167">
        <f t="shared" si="6"/>
        <v>0.29424809850368827</v>
      </c>
      <c r="AG5" s="264">
        <v>7.65</v>
      </c>
      <c r="AH5" s="264">
        <f t="shared" si="19"/>
        <v>0.18385500689456274</v>
      </c>
      <c r="AI5" s="77"/>
      <c r="AJ5" s="79">
        <f t="shared" si="7"/>
        <v>159.83946168750001</v>
      </c>
      <c r="AK5" s="82">
        <f t="shared" si="8"/>
        <v>10.046023234181895</v>
      </c>
      <c r="AL5" s="82"/>
      <c r="AM5" s="82">
        <f t="shared" si="9"/>
        <v>86.663446969696977</v>
      </c>
      <c r="AN5" s="82" t="s">
        <v>701</v>
      </c>
      <c r="AO5" s="82">
        <f t="shared" si="10"/>
        <v>143.19647900999999</v>
      </c>
      <c r="AP5" s="82">
        <f t="shared" si="11"/>
        <v>16.642982677500015</v>
      </c>
      <c r="AQ5" s="63"/>
      <c r="AR5" s="77" t="s">
        <v>91</v>
      </c>
      <c r="AS5" s="63">
        <v>125</v>
      </c>
      <c r="AT5" s="63">
        <v>129</v>
      </c>
      <c r="AU5" s="63">
        <v>88</v>
      </c>
      <c r="AV5" s="63">
        <v>103</v>
      </c>
      <c r="AW5" s="63">
        <v>127</v>
      </c>
      <c r="AX5" s="63">
        <v>125</v>
      </c>
      <c r="AY5" s="63">
        <v>102</v>
      </c>
      <c r="AZ5" s="63">
        <v>133</v>
      </c>
      <c r="BA5" s="63">
        <v>132</v>
      </c>
      <c r="BB5" s="63">
        <v>104</v>
      </c>
      <c r="BC5" s="63">
        <v>123</v>
      </c>
      <c r="BD5" s="63">
        <v>126</v>
      </c>
      <c r="BE5" s="63">
        <v>84</v>
      </c>
      <c r="BF5" s="63">
        <v>92</v>
      </c>
      <c r="BG5" s="63">
        <v>113</v>
      </c>
      <c r="BH5" s="63">
        <v>128</v>
      </c>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row>
    <row r="6" spans="1:94" s="15" customFormat="1">
      <c r="A6" s="63" t="s">
        <v>84</v>
      </c>
      <c r="B6" s="63" t="s">
        <v>93</v>
      </c>
      <c r="C6" s="64" t="s">
        <v>94</v>
      </c>
      <c r="D6" s="65" t="s">
        <v>87</v>
      </c>
      <c r="E6" s="66" t="s">
        <v>88</v>
      </c>
      <c r="F6" s="67" t="s">
        <v>95</v>
      </c>
      <c r="G6" s="68" t="s">
        <v>96</v>
      </c>
      <c r="H6" s="69">
        <v>726</v>
      </c>
      <c r="I6" s="70">
        <v>15.910719889999999</v>
      </c>
      <c r="J6" s="71">
        <v>11178</v>
      </c>
      <c r="K6" s="237">
        <v>2E-3</v>
      </c>
      <c r="L6" s="71">
        <f t="shared" si="0"/>
        <v>11155.644</v>
      </c>
      <c r="M6" s="73">
        <f t="shared" si="1"/>
        <v>15.365900826446282</v>
      </c>
      <c r="N6" s="74"/>
      <c r="O6" s="74"/>
      <c r="P6" s="74"/>
      <c r="Q6" s="74">
        <v>4.4800000000000004</v>
      </c>
      <c r="R6" s="74">
        <v>8.68</v>
      </c>
      <c r="S6" s="75">
        <v>7.09</v>
      </c>
      <c r="T6" s="76">
        <f t="shared" si="2"/>
        <v>6.58</v>
      </c>
      <c r="U6" s="63" t="s">
        <v>365</v>
      </c>
      <c r="V6" s="77" t="s">
        <v>103</v>
      </c>
      <c r="W6" s="77"/>
      <c r="X6" s="78">
        <v>0.25</v>
      </c>
      <c r="Y6" s="78"/>
      <c r="Z6" s="79">
        <v>0.33</v>
      </c>
      <c r="AA6" s="80">
        <v>45805</v>
      </c>
      <c r="AB6" s="81">
        <f t="shared" si="24"/>
        <v>113.35</v>
      </c>
      <c r="AC6" s="81">
        <f t="shared" si="3"/>
        <v>28.337499999999999</v>
      </c>
      <c r="AD6" s="81">
        <f t="shared" si="4"/>
        <v>158.061530925</v>
      </c>
      <c r="AE6" s="81">
        <f t="shared" si="5"/>
        <v>9.9342790280873956</v>
      </c>
      <c r="AF6" s="167">
        <f t="shared" si="6"/>
        <v>0.28630955704442224</v>
      </c>
      <c r="AG6" s="264">
        <v>7.65</v>
      </c>
      <c r="AH6" s="264">
        <f t="shared" si="19"/>
        <v>0.18592307159496477</v>
      </c>
      <c r="AI6" s="77"/>
      <c r="AJ6" s="79">
        <f t="shared" si="7"/>
        <v>158.061530925</v>
      </c>
      <c r="AK6" s="82">
        <f t="shared" si="8"/>
        <v>9.9342790280873956</v>
      </c>
      <c r="AL6" s="82"/>
      <c r="AM6" s="82">
        <f t="shared" si="9"/>
        <v>85.6994696969697</v>
      </c>
      <c r="AN6" s="82" t="s">
        <v>701</v>
      </c>
      <c r="AO6" s="82">
        <f t="shared" si="10"/>
        <v>143.19647900999999</v>
      </c>
      <c r="AP6" s="82">
        <f t="shared" si="11"/>
        <v>14.865051915000009</v>
      </c>
      <c r="AQ6" s="63"/>
      <c r="AR6" s="77" t="s">
        <v>116</v>
      </c>
      <c r="AS6" s="63">
        <v>110</v>
      </c>
      <c r="AT6" s="63">
        <v>115</v>
      </c>
      <c r="AU6" s="63">
        <v>119</v>
      </c>
      <c r="AV6" s="63">
        <v>104</v>
      </c>
      <c r="AW6" s="63">
        <v>120</v>
      </c>
      <c r="AX6" s="63">
        <v>112</v>
      </c>
      <c r="AY6" s="63">
        <v>99</v>
      </c>
      <c r="AZ6" s="63">
        <v>101</v>
      </c>
      <c r="BA6" s="63">
        <v>118</v>
      </c>
      <c r="BB6" s="63">
        <v>130</v>
      </c>
      <c r="BC6" s="63">
        <v>132</v>
      </c>
      <c r="BD6" s="63">
        <v>113</v>
      </c>
      <c r="BE6" s="63">
        <v>115</v>
      </c>
      <c r="BF6" s="63">
        <v>98</v>
      </c>
      <c r="BG6" s="63">
        <v>102</v>
      </c>
      <c r="BH6" s="63">
        <v>129</v>
      </c>
      <c r="BI6" s="63">
        <v>113</v>
      </c>
      <c r="BJ6" s="63">
        <v>126</v>
      </c>
      <c r="BK6" s="63">
        <v>95</v>
      </c>
      <c r="BL6" s="63">
        <v>116</v>
      </c>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row>
    <row r="7" spans="1:94" s="15" customFormat="1">
      <c r="A7" s="63" t="s">
        <v>84</v>
      </c>
      <c r="B7" s="63" t="s">
        <v>93</v>
      </c>
      <c r="C7" s="64" t="s">
        <v>94</v>
      </c>
      <c r="D7" s="65" t="s">
        <v>87</v>
      </c>
      <c r="E7" s="66" t="s">
        <v>88</v>
      </c>
      <c r="F7" s="67" t="s">
        <v>95</v>
      </c>
      <c r="G7" s="68" t="s">
        <v>96</v>
      </c>
      <c r="H7" s="69">
        <v>726</v>
      </c>
      <c r="I7" s="70">
        <v>15.910719889999999</v>
      </c>
      <c r="J7" s="71">
        <v>11178</v>
      </c>
      <c r="K7" s="237">
        <v>2E-3</v>
      </c>
      <c r="L7" s="71">
        <f t="shared" ref="L7" si="25">J7-(J7*K7)</f>
        <v>11155.644</v>
      </c>
      <c r="M7" s="73">
        <f t="shared" ref="M7" si="26">L7/H7</f>
        <v>15.365900826446282</v>
      </c>
      <c r="N7" s="74"/>
      <c r="O7" s="74"/>
      <c r="P7" s="74"/>
      <c r="Q7" s="74">
        <v>4.4800000000000004</v>
      </c>
      <c r="R7" s="74">
        <v>8.68</v>
      </c>
      <c r="S7" s="75">
        <v>7.09</v>
      </c>
      <c r="T7" s="76">
        <f t="shared" ref="T7" si="27">AVERAGE(N7:R7)</f>
        <v>6.58</v>
      </c>
      <c r="U7" s="63" t="s">
        <v>365</v>
      </c>
      <c r="V7" s="77" t="s">
        <v>103</v>
      </c>
      <c r="W7" s="77"/>
      <c r="X7" s="78">
        <v>0.25</v>
      </c>
      <c r="Y7" s="78"/>
      <c r="Z7" s="79">
        <v>0.33</v>
      </c>
      <c r="AA7" s="80">
        <v>45841</v>
      </c>
      <c r="AB7" s="81">
        <f t="shared" ref="AB7" si="28">IFERROR(AVERAGE(AS7:CP7),0)</f>
        <v>99.666666666666671</v>
      </c>
      <c r="AC7" s="81">
        <f t="shared" si="3"/>
        <v>24.916666666666668</v>
      </c>
      <c r="AD7" s="81">
        <f t="shared" ref="AD7" si="29">(AC7*L7)/2000</f>
        <v>138.98073150000002</v>
      </c>
      <c r="AE7" s="81">
        <f t="shared" ref="AE7" si="30">IFERROR((AD7/I7),"")</f>
        <v>8.7350372868640846</v>
      </c>
      <c r="AF7" s="167">
        <f t="shared" ref="AF7" si="31">IFERROR(((AE7-S7)/AE7),"")</f>
        <v>0.18832630392292923</v>
      </c>
      <c r="AG7" s="264">
        <v>7.65</v>
      </c>
      <c r="AH7" s="264">
        <f t="shared" si="19"/>
        <v>0.21144863042096243</v>
      </c>
      <c r="AI7" s="77"/>
      <c r="AJ7" s="79">
        <f t="shared" ref="AJ7" si="32">AD7-(AI7*I7)</f>
        <v>138.98073150000002</v>
      </c>
      <c r="AK7" s="82">
        <f t="shared" ref="AK7" si="33">AJ7/I7</f>
        <v>8.7350372868640846</v>
      </c>
      <c r="AL7" s="82"/>
      <c r="AM7" s="82">
        <f t="shared" ref="AM7" si="34">((AJ7*2000)/Z7)/J7</f>
        <v>75.354040404040418</v>
      </c>
      <c r="AN7" s="82" t="s">
        <v>701</v>
      </c>
      <c r="AO7" s="82">
        <f t="shared" si="10"/>
        <v>143.19647900999999</v>
      </c>
      <c r="AP7" s="82">
        <f t="shared" ref="AP7" si="35">AD7-AO7</f>
        <v>-4.2157475099999715</v>
      </c>
      <c r="AQ7" s="63"/>
      <c r="AR7" s="77" t="s">
        <v>91</v>
      </c>
      <c r="AS7" s="63">
        <v>120</v>
      </c>
      <c r="AT7" s="63">
        <v>114</v>
      </c>
      <c r="AU7" s="63">
        <v>77</v>
      </c>
      <c r="AV7" s="63">
        <v>90</v>
      </c>
      <c r="AW7" s="63">
        <v>82</v>
      </c>
      <c r="AX7" s="63">
        <v>119</v>
      </c>
      <c r="AY7" s="63">
        <v>92</v>
      </c>
      <c r="AZ7" s="63">
        <v>82</v>
      </c>
      <c r="BA7" s="63">
        <v>98</v>
      </c>
      <c r="BB7" s="63">
        <v>122</v>
      </c>
      <c r="BC7" s="63">
        <v>105</v>
      </c>
      <c r="BD7" s="63">
        <v>95</v>
      </c>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row>
    <row r="8" spans="1:94" s="63" customFormat="1">
      <c r="A8" s="15" t="s">
        <v>84</v>
      </c>
      <c r="B8" s="15" t="s">
        <v>97</v>
      </c>
      <c r="C8" s="16" t="s">
        <v>98</v>
      </c>
      <c r="D8" s="49" t="s">
        <v>87</v>
      </c>
      <c r="E8" s="17" t="s">
        <v>99</v>
      </c>
      <c r="F8" s="18" t="s">
        <v>100</v>
      </c>
      <c r="G8" s="18" t="s">
        <v>96</v>
      </c>
      <c r="H8" s="19">
        <v>691.42857142857144</v>
      </c>
      <c r="I8" s="20">
        <v>19.051903790000001</v>
      </c>
      <c r="J8" s="21">
        <v>13027</v>
      </c>
      <c r="K8" s="22">
        <v>1E-3</v>
      </c>
      <c r="L8" s="21">
        <f t="shared" si="0"/>
        <v>13013.973</v>
      </c>
      <c r="M8" s="23">
        <f t="shared" si="1"/>
        <v>18.821861776859503</v>
      </c>
      <c r="N8" s="24"/>
      <c r="O8" s="24"/>
      <c r="P8" s="24"/>
      <c r="Q8" s="24">
        <v>6.45</v>
      </c>
      <c r="R8" s="24">
        <v>7.27</v>
      </c>
      <c r="S8" s="57">
        <v>6.5</v>
      </c>
      <c r="T8" s="32">
        <f t="shared" si="2"/>
        <v>6.8599999999999994</v>
      </c>
      <c r="U8" s="15" t="s">
        <v>297</v>
      </c>
      <c r="V8" s="25" t="s">
        <v>366</v>
      </c>
      <c r="W8" s="25"/>
      <c r="X8" s="26">
        <v>0.43</v>
      </c>
      <c r="Y8" s="26"/>
      <c r="Z8" s="24">
        <v>0.4</v>
      </c>
      <c r="AA8" s="27">
        <v>45779</v>
      </c>
      <c r="AB8" s="28">
        <f t="shared" si="24"/>
        <v>94.4375</v>
      </c>
      <c r="AC8" s="28">
        <f>AB8*X8</f>
        <v>40.608125000000001</v>
      </c>
      <c r="AD8" s="28">
        <f t="shared" si="4"/>
        <v>264.23652116531252</v>
      </c>
      <c r="AE8" s="28">
        <f t="shared" si="5"/>
        <v>13.869297476927501</v>
      </c>
      <c r="AF8" s="171">
        <f t="shared" si="6"/>
        <v>0.53133891526855037</v>
      </c>
      <c r="AG8" s="263">
        <v>7.87</v>
      </c>
      <c r="AH8" s="263">
        <f t="shared" si="19"/>
        <v>0.24105321307655703</v>
      </c>
      <c r="AI8" s="25">
        <v>8</v>
      </c>
      <c r="AJ8" s="24">
        <f t="shared" si="7"/>
        <v>111.82129084531252</v>
      </c>
      <c r="AK8" s="29">
        <f t="shared" si="8"/>
        <v>5.8692974769275024</v>
      </c>
      <c r="AL8" s="29">
        <f>(((AI8*M8)*2000)/L8)/X8</f>
        <v>53.815106669229287</v>
      </c>
      <c r="AM8" s="29">
        <f t="shared" si="9"/>
        <v>42.919049222888042</v>
      </c>
      <c r="AN8" s="29" t="s">
        <v>701</v>
      </c>
      <c r="AO8" s="29">
        <f t="shared" ref="AO8:AO13" si="36">7*I8</f>
        <v>133.36332652999999</v>
      </c>
      <c r="AP8" s="29">
        <f t="shared" si="11"/>
        <v>130.87319463531253</v>
      </c>
      <c r="AQ8" s="15"/>
      <c r="AR8" s="25" t="s">
        <v>91</v>
      </c>
      <c r="AS8" s="15">
        <v>107</v>
      </c>
      <c r="AT8" s="15">
        <v>70</v>
      </c>
      <c r="AU8" s="15">
        <v>90</v>
      </c>
      <c r="AV8" s="15">
        <v>92</v>
      </c>
      <c r="AW8" s="15">
        <v>86</v>
      </c>
      <c r="AX8" s="15">
        <v>89</v>
      </c>
      <c r="AY8" s="15">
        <v>87</v>
      </c>
      <c r="AZ8" s="15">
        <v>98</v>
      </c>
      <c r="BA8" s="15">
        <v>106</v>
      </c>
      <c r="BB8" s="15">
        <v>117</v>
      </c>
      <c r="BC8" s="15">
        <v>98</v>
      </c>
      <c r="BD8" s="15">
        <v>89</v>
      </c>
      <c r="BE8" s="15">
        <v>78</v>
      </c>
      <c r="BF8" s="15">
        <v>79</v>
      </c>
      <c r="BG8" s="15">
        <v>111</v>
      </c>
      <c r="BH8" s="15">
        <v>114</v>
      </c>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row>
    <row r="9" spans="1:94" s="63" customFormat="1">
      <c r="A9" s="15" t="s">
        <v>84</v>
      </c>
      <c r="B9" s="15" t="s">
        <v>97</v>
      </c>
      <c r="C9" s="16" t="s">
        <v>98</v>
      </c>
      <c r="D9" s="49" t="s">
        <v>87</v>
      </c>
      <c r="E9" s="17" t="s">
        <v>99</v>
      </c>
      <c r="F9" s="18" t="s">
        <v>100</v>
      </c>
      <c r="G9" s="18" t="s">
        <v>96</v>
      </c>
      <c r="H9" s="19">
        <v>691.42857142857144</v>
      </c>
      <c r="I9" s="20">
        <v>19.051903790000001</v>
      </c>
      <c r="J9" s="21">
        <v>13027</v>
      </c>
      <c r="K9" s="22">
        <v>1E-3</v>
      </c>
      <c r="L9" s="21">
        <f t="shared" si="0"/>
        <v>13013.973</v>
      </c>
      <c r="M9" s="23">
        <f t="shared" si="1"/>
        <v>18.821861776859503</v>
      </c>
      <c r="N9" s="24"/>
      <c r="O9" s="24"/>
      <c r="P9" s="24"/>
      <c r="Q9" s="24">
        <v>6.45</v>
      </c>
      <c r="R9" s="24">
        <v>7.27</v>
      </c>
      <c r="S9" s="57">
        <v>6.5</v>
      </c>
      <c r="T9" s="32">
        <f t="shared" si="2"/>
        <v>6.8599999999999994</v>
      </c>
      <c r="U9" s="15" t="s">
        <v>106</v>
      </c>
      <c r="V9" s="25" t="s">
        <v>366</v>
      </c>
      <c r="W9" s="25"/>
      <c r="X9" s="26">
        <v>0.43</v>
      </c>
      <c r="Y9" s="26"/>
      <c r="Z9" s="24">
        <v>0.4</v>
      </c>
      <c r="AA9" s="27">
        <v>45791</v>
      </c>
      <c r="AB9" s="28">
        <f t="shared" si="24"/>
        <v>71.166666666666671</v>
      </c>
      <c r="AC9" s="28">
        <f t="shared" ref="AC9:AC12" si="37">AB9*X9</f>
        <v>30.601666666666667</v>
      </c>
      <c r="AD9" s="28">
        <f t="shared" si="4"/>
        <v>199.12463187750001</v>
      </c>
      <c r="AE9" s="28">
        <f t="shared" si="5"/>
        <v>10.451692076149204</v>
      </c>
      <c r="AF9" s="171">
        <f t="shared" si="6"/>
        <v>0.37809113082913898</v>
      </c>
      <c r="AG9" s="263">
        <v>7.87</v>
      </c>
      <c r="AH9" s="263">
        <f t="shared" si="19"/>
        <v>0.31987535564286679</v>
      </c>
      <c r="AI9" s="25">
        <v>8</v>
      </c>
      <c r="AJ9" s="24">
        <f t="shared" si="7"/>
        <v>46.709401557500001</v>
      </c>
      <c r="AK9" s="29">
        <f t="shared" si="8"/>
        <v>2.4516920761492047</v>
      </c>
      <c r="AL9" s="29">
        <f t="shared" ref="AL9:AL12" si="38">(((AI9*M9)*2000)/L9)/X9</f>
        <v>53.815106669229287</v>
      </c>
      <c r="AM9" s="29">
        <f t="shared" si="9"/>
        <v>17.927919535388039</v>
      </c>
      <c r="AN9" s="29" t="s">
        <v>701</v>
      </c>
      <c r="AO9" s="29">
        <f t="shared" si="36"/>
        <v>133.36332652999999</v>
      </c>
      <c r="AP9" s="29">
        <f t="shared" si="11"/>
        <v>65.761305347500013</v>
      </c>
      <c r="AQ9" s="15"/>
      <c r="AR9" s="25" t="s">
        <v>91</v>
      </c>
      <c r="AS9" s="15">
        <v>69</v>
      </c>
      <c r="AT9" s="15">
        <v>66</v>
      </c>
      <c r="AU9" s="15">
        <v>79</v>
      </c>
      <c r="AV9" s="15">
        <v>69</v>
      </c>
      <c r="AW9" s="15">
        <v>65</v>
      </c>
      <c r="AX9" s="15">
        <v>70</v>
      </c>
      <c r="AY9" s="15">
        <v>65</v>
      </c>
      <c r="AZ9" s="15">
        <v>70</v>
      </c>
      <c r="BA9" s="15">
        <v>65</v>
      </c>
      <c r="BB9" s="15">
        <v>64</v>
      </c>
      <c r="BC9" s="15">
        <v>81</v>
      </c>
      <c r="BD9" s="15">
        <v>72</v>
      </c>
      <c r="BE9" s="15">
        <v>81</v>
      </c>
      <c r="BF9" s="15">
        <v>61</v>
      </c>
      <c r="BG9" s="15">
        <v>60</v>
      </c>
      <c r="BH9" s="15">
        <v>86</v>
      </c>
      <c r="BI9" s="15">
        <v>71</v>
      </c>
      <c r="BJ9" s="15">
        <v>87</v>
      </c>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row>
    <row r="10" spans="1:94" s="63" customFormat="1">
      <c r="A10" s="15" t="s">
        <v>84</v>
      </c>
      <c r="B10" s="15" t="s">
        <v>97</v>
      </c>
      <c r="C10" s="16" t="s">
        <v>98</v>
      </c>
      <c r="D10" s="49" t="s">
        <v>87</v>
      </c>
      <c r="E10" s="17" t="s">
        <v>99</v>
      </c>
      <c r="F10" s="18" t="s">
        <v>100</v>
      </c>
      <c r="G10" s="18" t="s">
        <v>96</v>
      </c>
      <c r="H10" s="19">
        <v>691.42857142857144</v>
      </c>
      <c r="I10" s="20">
        <v>19.051903790000001</v>
      </c>
      <c r="J10" s="21">
        <v>13027</v>
      </c>
      <c r="K10" s="22">
        <v>1E-3</v>
      </c>
      <c r="L10" s="21">
        <f t="shared" si="0"/>
        <v>13013.973</v>
      </c>
      <c r="M10" s="23">
        <f t="shared" si="1"/>
        <v>18.821861776859503</v>
      </c>
      <c r="N10" s="24"/>
      <c r="O10" s="24"/>
      <c r="P10" s="24"/>
      <c r="Q10" s="24">
        <v>6.45</v>
      </c>
      <c r="R10" s="24">
        <v>7.27</v>
      </c>
      <c r="S10" s="57">
        <v>6.5</v>
      </c>
      <c r="T10" s="32">
        <f t="shared" si="2"/>
        <v>6.8599999999999994</v>
      </c>
      <c r="U10" s="15" t="s">
        <v>106</v>
      </c>
      <c r="V10" s="25" t="s">
        <v>103</v>
      </c>
      <c r="W10" s="25"/>
      <c r="X10" s="26">
        <v>0.43</v>
      </c>
      <c r="Y10" s="26"/>
      <c r="Z10" s="24">
        <v>0.4</v>
      </c>
      <c r="AA10" s="27">
        <v>45810</v>
      </c>
      <c r="AB10" s="28">
        <f t="shared" si="24"/>
        <v>62.75</v>
      </c>
      <c r="AC10" s="28">
        <f t="shared" si="37"/>
        <v>26.982499999999998</v>
      </c>
      <c r="AD10" s="28">
        <f t="shared" si="4"/>
        <v>175.57476323624999</v>
      </c>
      <c r="AE10" s="28">
        <f t="shared" si="5"/>
        <v>9.2156020296725423</v>
      </c>
      <c r="AF10" s="171">
        <f t="shared" si="6"/>
        <v>0.29467440335735023</v>
      </c>
      <c r="AG10" s="263">
        <v>7.87</v>
      </c>
      <c r="AH10" s="263">
        <f t="shared" si="19"/>
        <v>0.36278028382338412</v>
      </c>
      <c r="AI10" s="25">
        <v>8</v>
      </c>
      <c r="AJ10" s="24">
        <f t="shared" si="7"/>
        <v>23.159532916249987</v>
      </c>
      <c r="AK10" s="29">
        <f t="shared" si="8"/>
        <v>1.2156020296725414</v>
      </c>
      <c r="AL10" s="29">
        <f t="shared" si="38"/>
        <v>53.815106669229287</v>
      </c>
      <c r="AM10" s="29">
        <f t="shared" si="9"/>
        <v>8.8890507853880347</v>
      </c>
      <c r="AN10" s="29" t="s">
        <v>701</v>
      </c>
      <c r="AO10" s="29">
        <f t="shared" si="36"/>
        <v>133.36332652999999</v>
      </c>
      <c r="AP10" s="29">
        <f t="shared" si="11"/>
        <v>42.211436706249998</v>
      </c>
      <c r="AQ10" s="15" t="s">
        <v>702</v>
      </c>
      <c r="AR10" s="25" t="s">
        <v>116</v>
      </c>
      <c r="AS10" s="15">
        <v>71</v>
      </c>
      <c r="AT10" s="15">
        <v>58</v>
      </c>
      <c r="AU10" s="15">
        <v>72</v>
      </c>
      <c r="AV10" s="15">
        <v>68</v>
      </c>
      <c r="AW10" s="15">
        <v>67</v>
      </c>
      <c r="AX10" s="15">
        <v>63</v>
      </c>
      <c r="AY10" s="15">
        <v>75</v>
      </c>
      <c r="AZ10" s="15">
        <v>6</v>
      </c>
      <c r="BA10" s="15">
        <v>64</v>
      </c>
      <c r="BB10" s="15">
        <v>82</v>
      </c>
      <c r="BC10" s="15">
        <v>74</v>
      </c>
      <c r="BD10" s="15">
        <v>53</v>
      </c>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row>
    <row r="11" spans="1:94" s="63" customFormat="1">
      <c r="A11" s="15" t="s">
        <v>84</v>
      </c>
      <c r="B11" s="15" t="s">
        <v>97</v>
      </c>
      <c r="C11" s="16" t="s">
        <v>98</v>
      </c>
      <c r="D11" s="49" t="s">
        <v>87</v>
      </c>
      <c r="E11" s="17" t="s">
        <v>99</v>
      </c>
      <c r="F11" s="18" t="s">
        <v>100</v>
      </c>
      <c r="G11" s="18" t="s">
        <v>96</v>
      </c>
      <c r="H11" s="19">
        <v>691.42857142857144</v>
      </c>
      <c r="I11" s="20">
        <v>19.051903790000001</v>
      </c>
      <c r="J11" s="21">
        <v>13027</v>
      </c>
      <c r="K11" s="22">
        <v>1E-3</v>
      </c>
      <c r="L11" s="21">
        <f t="shared" ref="L11" si="39">J11-(J11*K11)</f>
        <v>13013.973</v>
      </c>
      <c r="M11" s="23">
        <f t="shared" ref="M11" si="40">L11/H11</f>
        <v>18.821861776859503</v>
      </c>
      <c r="N11" s="24"/>
      <c r="O11" s="24"/>
      <c r="P11" s="24"/>
      <c r="Q11" s="24">
        <v>6.45</v>
      </c>
      <c r="R11" s="24">
        <v>7.27</v>
      </c>
      <c r="S11" s="57">
        <v>6.5</v>
      </c>
      <c r="T11" s="32">
        <f t="shared" ref="T11" si="41">AVERAGE(N11:R11)</f>
        <v>6.8599999999999994</v>
      </c>
      <c r="U11" s="15" t="s">
        <v>106</v>
      </c>
      <c r="V11" s="25" t="s">
        <v>103</v>
      </c>
      <c r="W11" s="25"/>
      <c r="X11" s="26">
        <v>0.43</v>
      </c>
      <c r="Y11" s="26"/>
      <c r="Z11" s="24">
        <v>0.4</v>
      </c>
      <c r="AA11" s="27">
        <v>45831</v>
      </c>
      <c r="AB11" s="28">
        <f t="shared" ref="AB11" si="42">IFERROR(AVERAGE(AS11:CP11),0)</f>
        <v>58.5625</v>
      </c>
      <c r="AC11" s="28">
        <f t="shared" si="37"/>
        <v>25.181874999999998</v>
      </c>
      <c r="AD11" s="28">
        <f t="shared" ref="AD11:AD12" si="43">(AC11*L11)/2000</f>
        <v>163.85812066968748</v>
      </c>
      <c r="AE11" s="28">
        <f t="shared" ref="AE11:AE12" si="44">IFERROR((AD11/I11),"")</f>
        <v>8.6006166352621225</v>
      </c>
      <c r="AF11" s="171">
        <f t="shared" ref="AF11" si="45">IFERROR(((AE11-S11)/AE11),"")</f>
        <v>0.24424023582793974</v>
      </c>
      <c r="AG11" s="263">
        <v>7.87</v>
      </c>
      <c r="AH11" s="263">
        <f t="shared" si="19"/>
        <v>0.38872081639133155</v>
      </c>
      <c r="AI11" s="25">
        <v>8</v>
      </c>
      <c r="AJ11" s="24">
        <f t="shared" ref="AJ11" si="46">AD11-(AI11*I11)</f>
        <v>11.442890349687474</v>
      </c>
      <c r="AK11" s="29">
        <f t="shared" ref="AK11" si="47">AJ11/I11</f>
        <v>0.60061663526212217</v>
      </c>
      <c r="AL11" s="29">
        <f t="shared" si="38"/>
        <v>53.815106669229287</v>
      </c>
      <c r="AM11" s="29">
        <f t="shared" ref="AM11" si="48">((AJ11*2000)/Z11)/J11</f>
        <v>4.3919898478880297</v>
      </c>
      <c r="AN11" s="29" t="s">
        <v>701</v>
      </c>
      <c r="AO11" s="29">
        <f t="shared" si="36"/>
        <v>133.36332652999999</v>
      </c>
      <c r="AP11" s="29">
        <f t="shared" ref="AP11" si="49">AD11-AO11</f>
        <v>30.494794139687485</v>
      </c>
      <c r="AQ11" s="15"/>
      <c r="AR11" s="25" t="s">
        <v>116</v>
      </c>
      <c r="AS11" s="15">
        <v>54</v>
      </c>
      <c r="AT11" s="15">
        <v>60</v>
      </c>
      <c r="AU11" s="15">
        <v>65</v>
      </c>
      <c r="AV11" s="15">
        <v>59</v>
      </c>
      <c r="AW11" s="15">
        <v>53</v>
      </c>
      <c r="AX11" s="15">
        <v>60</v>
      </c>
      <c r="AY11" s="15">
        <v>58</v>
      </c>
      <c r="AZ11" s="15">
        <v>69</v>
      </c>
      <c r="BA11" s="15">
        <v>50</v>
      </c>
      <c r="BB11" s="15">
        <v>54</v>
      </c>
      <c r="BC11" s="15">
        <v>66</v>
      </c>
      <c r="BD11" s="15">
        <v>63</v>
      </c>
      <c r="BE11" s="15">
        <v>60</v>
      </c>
      <c r="BF11" s="15">
        <v>51</v>
      </c>
      <c r="BG11" s="15">
        <v>63</v>
      </c>
      <c r="BH11" s="15">
        <v>52</v>
      </c>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row>
    <row r="12" spans="1:94" s="63" customFormat="1">
      <c r="A12" s="15" t="s">
        <v>84</v>
      </c>
      <c r="B12" s="15" t="s">
        <v>97</v>
      </c>
      <c r="C12" s="16" t="s">
        <v>98</v>
      </c>
      <c r="D12" s="49" t="s">
        <v>87</v>
      </c>
      <c r="E12" s="17" t="s">
        <v>99</v>
      </c>
      <c r="F12" s="18" t="s">
        <v>100</v>
      </c>
      <c r="G12" s="18" t="s">
        <v>96</v>
      </c>
      <c r="H12" s="19">
        <v>691.42857142857144</v>
      </c>
      <c r="I12" s="20">
        <v>19.051903790000001</v>
      </c>
      <c r="J12" s="21">
        <v>13027</v>
      </c>
      <c r="K12" s="22">
        <v>1E-3</v>
      </c>
      <c r="L12" s="21">
        <f t="shared" ref="L12" si="50">J12-(J12*K12)</f>
        <v>13013.973</v>
      </c>
      <c r="M12" s="23">
        <f t="shared" ref="M12" si="51">L12/H12</f>
        <v>18.821861776859503</v>
      </c>
      <c r="N12" s="24"/>
      <c r="O12" s="24"/>
      <c r="P12" s="24"/>
      <c r="Q12" s="24">
        <v>6.45</v>
      </c>
      <c r="R12" s="24">
        <v>7.27</v>
      </c>
      <c r="S12" s="57">
        <v>6.5</v>
      </c>
      <c r="T12" s="32">
        <f t="shared" ref="T12" si="52">AVERAGE(N12:R12)</f>
        <v>6.8599999999999994</v>
      </c>
      <c r="U12" s="15" t="s">
        <v>106</v>
      </c>
      <c r="V12" s="25" t="s">
        <v>103</v>
      </c>
      <c r="W12" s="25"/>
      <c r="X12" s="26">
        <v>0.43</v>
      </c>
      <c r="Y12" s="26"/>
      <c r="Z12" s="24">
        <v>0.4</v>
      </c>
      <c r="AA12" s="27">
        <v>45852</v>
      </c>
      <c r="AB12" s="28">
        <f t="shared" ref="AB12" si="53">IFERROR(AVERAGE(AS12:CP12),0)</f>
        <v>64</v>
      </c>
      <c r="AC12" s="28">
        <f t="shared" si="37"/>
        <v>27.52</v>
      </c>
      <c r="AD12" s="28">
        <f t="shared" si="43"/>
        <v>179.07226847999999</v>
      </c>
      <c r="AE12" s="28">
        <f t="shared" si="44"/>
        <v>9.3991797593472928</v>
      </c>
      <c r="AF12" s="171">
        <f t="shared" ref="AF12" si="54">IFERROR(((AE12-S12)/AE12),"")</f>
        <v>0.30845029391677692</v>
      </c>
      <c r="AG12" s="263">
        <v>7.87</v>
      </c>
      <c r="AH12" s="263">
        <f t="shared" si="19"/>
        <v>0.35569473140495866</v>
      </c>
      <c r="AI12" s="25">
        <v>8</v>
      </c>
      <c r="AJ12" s="24">
        <f>AD12-(AI12*I12)</f>
        <v>26.657038159999985</v>
      </c>
      <c r="AK12" s="29">
        <f t="shared" ref="AK12" si="55">AJ12/I12</f>
        <v>1.3991797593472932</v>
      </c>
      <c r="AL12" s="29">
        <f t="shared" si="38"/>
        <v>53.815106669229287</v>
      </c>
      <c r="AM12" s="29">
        <f>((AJ12*2000)/Z12)/J12</f>
        <v>10.231457035388035</v>
      </c>
      <c r="AN12" s="29" t="s">
        <v>701</v>
      </c>
      <c r="AO12" s="29">
        <f t="shared" si="36"/>
        <v>133.36332652999999</v>
      </c>
      <c r="AP12" s="29">
        <f t="shared" ref="AP12" si="56">AD12-AO12</f>
        <v>45.708941949999996</v>
      </c>
      <c r="AQ12" s="15"/>
      <c r="AR12" s="25" t="s">
        <v>116</v>
      </c>
      <c r="AS12" s="15">
        <v>74</v>
      </c>
      <c r="AT12" s="15">
        <v>69</v>
      </c>
      <c r="AU12" s="15">
        <v>77</v>
      </c>
      <c r="AV12" s="15">
        <v>73</v>
      </c>
      <c r="AW12" s="15">
        <v>49</v>
      </c>
      <c r="AX12" s="15">
        <v>53</v>
      </c>
      <c r="AY12" s="15">
        <v>59</v>
      </c>
      <c r="AZ12" s="15">
        <v>63</v>
      </c>
      <c r="BA12" s="15">
        <v>65</v>
      </c>
      <c r="BB12" s="15">
        <v>58</v>
      </c>
      <c r="BC12" s="15">
        <v>75</v>
      </c>
      <c r="BD12" s="15">
        <v>68</v>
      </c>
      <c r="BE12" s="15">
        <v>73</v>
      </c>
      <c r="BF12" s="15">
        <v>48</v>
      </c>
      <c r="BG12" s="15">
        <v>51</v>
      </c>
      <c r="BH12" s="15">
        <v>69</v>
      </c>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row>
    <row r="13" spans="1:94" s="63" customFormat="1">
      <c r="A13" s="15" t="s">
        <v>84</v>
      </c>
      <c r="B13" s="15" t="s">
        <v>97</v>
      </c>
      <c r="C13" s="16" t="s">
        <v>98</v>
      </c>
      <c r="D13" s="49" t="s">
        <v>87</v>
      </c>
      <c r="E13" s="17" t="s">
        <v>99</v>
      </c>
      <c r="F13" s="18" t="s">
        <v>100</v>
      </c>
      <c r="G13" s="18" t="s">
        <v>96</v>
      </c>
      <c r="H13" s="19">
        <v>691.42857142857144</v>
      </c>
      <c r="I13" s="20">
        <v>19.051903790000001</v>
      </c>
      <c r="J13" s="21">
        <v>13027</v>
      </c>
      <c r="K13" s="22">
        <v>1E-3</v>
      </c>
      <c r="L13" s="21">
        <f t="shared" ref="L13" si="57">J13-(J13*K13)</f>
        <v>13013.973</v>
      </c>
      <c r="M13" s="23">
        <f t="shared" ref="M13" si="58">L13/H13</f>
        <v>18.821861776859503</v>
      </c>
      <c r="N13" s="24"/>
      <c r="O13" s="24"/>
      <c r="P13" s="24"/>
      <c r="Q13" s="24">
        <v>6.45</v>
      </c>
      <c r="R13" s="24">
        <v>7.27</v>
      </c>
      <c r="S13" s="57">
        <v>6.5</v>
      </c>
      <c r="T13" s="32">
        <f t="shared" ref="T13" si="59">AVERAGE(N13:R13)</f>
        <v>6.8599999999999994</v>
      </c>
      <c r="U13" s="15" t="s">
        <v>106</v>
      </c>
      <c r="V13" s="25" t="s">
        <v>103</v>
      </c>
      <c r="W13" s="25"/>
      <c r="X13" s="26">
        <v>0.43</v>
      </c>
      <c r="Y13" s="26"/>
      <c r="Z13" s="24">
        <v>0.4</v>
      </c>
      <c r="AA13" s="27">
        <v>45859</v>
      </c>
      <c r="AB13" s="28">
        <f t="shared" ref="AB13" si="60">IFERROR(AVERAGE(AS13:CP13),0)</f>
        <v>50.98</v>
      </c>
      <c r="AC13" s="28">
        <f t="shared" ref="AC13" si="61">AB13*X13</f>
        <v>21.921399999999998</v>
      </c>
      <c r="AD13" s="28">
        <f t="shared" ref="AD13" si="62">(AC13*L13)/2000</f>
        <v>142.64225386109999</v>
      </c>
      <c r="AE13" s="28">
        <f t="shared" ref="AE13" si="63">IFERROR((AD13/I13),"")</f>
        <v>7.487034127055078</v>
      </c>
      <c r="AF13" s="171">
        <f t="shared" ref="AF13" si="64">IFERROR(((AE13-S13)/AE13),"")</f>
        <v>0.13183245999752299</v>
      </c>
      <c r="AG13" s="263">
        <v>7.87</v>
      </c>
      <c r="AH13" s="263">
        <f t="shared" si="19"/>
        <v>0.44653712848013644</v>
      </c>
      <c r="AI13" s="25">
        <v>8</v>
      </c>
      <c r="AJ13" s="24">
        <f>AD13-(AI13*I13)</f>
        <v>-9.7729764589000183</v>
      </c>
      <c r="AK13" s="29">
        <f t="shared" ref="AK13" si="65">AJ13/I13</f>
        <v>-0.51296587294492202</v>
      </c>
      <c r="AL13" s="29">
        <f t="shared" ref="AL13" si="66">(((AI13*M13)*2000)/L13)/X13</f>
        <v>53.815106669229287</v>
      </c>
      <c r="AM13" s="29">
        <f>((AJ13*2000)/Z13)/J13</f>
        <v>-3.7510464646119668</v>
      </c>
      <c r="AN13" s="29" t="s">
        <v>701</v>
      </c>
      <c r="AO13" s="29">
        <f t="shared" si="36"/>
        <v>133.36332652999999</v>
      </c>
      <c r="AP13" s="29">
        <f t="shared" ref="AP13" si="67">AD13-AO13</f>
        <v>9.2789273310999931</v>
      </c>
      <c r="AQ13" s="15"/>
      <c r="AR13" s="25" t="s">
        <v>116</v>
      </c>
      <c r="AS13" s="15">
        <v>48</v>
      </c>
      <c r="AT13" s="15">
        <v>60</v>
      </c>
      <c r="AU13" s="15">
        <v>59</v>
      </c>
      <c r="AV13" s="15">
        <v>61</v>
      </c>
      <c r="AW13" s="15">
        <v>55</v>
      </c>
      <c r="AX13" s="15">
        <v>58</v>
      </c>
      <c r="AY13" s="15">
        <v>49</v>
      </c>
      <c r="AZ13" s="15">
        <v>52</v>
      </c>
      <c r="BA13" s="15">
        <v>57</v>
      </c>
      <c r="BB13" s="15">
        <v>55</v>
      </c>
      <c r="BC13" s="15">
        <v>49</v>
      </c>
      <c r="BD13" s="15">
        <v>40</v>
      </c>
      <c r="BE13" s="15">
        <v>43</v>
      </c>
      <c r="BF13" s="15">
        <v>50</v>
      </c>
      <c r="BG13" s="15">
        <v>51</v>
      </c>
      <c r="BH13" s="15">
        <v>49</v>
      </c>
      <c r="BI13" s="15">
        <v>48</v>
      </c>
      <c r="BJ13" s="15">
        <v>45</v>
      </c>
      <c r="BK13" s="15">
        <v>55</v>
      </c>
      <c r="BL13" s="15">
        <v>49</v>
      </c>
      <c r="BM13" s="15">
        <v>53</v>
      </c>
      <c r="BN13" s="15">
        <v>51</v>
      </c>
      <c r="BO13" s="15">
        <v>50</v>
      </c>
      <c r="BP13" s="15">
        <v>49</v>
      </c>
      <c r="BQ13" s="15">
        <v>45</v>
      </c>
      <c r="BR13" s="15">
        <v>44</v>
      </c>
      <c r="BS13" s="15">
        <v>40</v>
      </c>
      <c r="BT13" s="15">
        <v>53</v>
      </c>
      <c r="BU13" s="15">
        <v>56</v>
      </c>
      <c r="BV13" s="15">
        <v>55</v>
      </c>
      <c r="BW13" s="15">
        <v>53</v>
      </c>
      <c r="BX13" s="15">
        <v>54</v>
      </c>
      <c r="BY13" s="15">
        <v>51</v>
      </c>
      <c r="BZ13" s="15">
        <v>53</v>
      </c>
      <c r="CA13" s="15">
        <v>52</v>
      </c>
      <c r="CB13" s="15">
        <v>49</v>
      </c>
      <c r="CC13" s="15">
        <v>50</v>
      </c>
      <c r="CD13" s="15">
        <v>55</v>
      </c>
      <c r="CE13" s="15">
        <v>53</v>
      </c>
      <c r="CF13" s="15">
        <v>50</v>
      </c>
      <c r="CG13" s="15">
        <v>48</v>
      </c>
      <c r="CH13" s="15">
        <v>47</v>
      </c>
      <c r="CI13" s="15">
        <v>49</v>
      </c>
      <c r="CJ13" s="15">
        <v>53</v>
      </c>
      <c r="CK13" s="15">
        <v>51</v>
      </c>
      <c r="CL13" s="15">
        <v>52</v>
      </c>
      <c r="CM13" s="15">
        <v>49</v>
      </c>
      <c r="CN13" s="15">
        <v>50</v>
      </c>
      <c r="CO13" s="15">
        <v>50</v>
      </c>
      <c r="CP13" s="15">
        <v>51</v>
      </c>
    </row>
    <row r="14" spans="1:94" s="15" customFormat="1">
      <c r="A14" s="63" t="s">
        <v>84</v>
      </c>
      <c r="B14" s="63" t="s">
        <v>104</v>
      </c>
      <c r="C14" s="64" t="s">
        <v>105</v>
      </c>
      <c r="D14" s="65" t="s">
        <v>87</v>
      </c>
      <c r="E14" s="66" t="s">
        <v>88</v>
      </c>
      <c r="F14" s="68">
        <v>337</v>
      </c>
      <c r="G14" s="68" t="s">
        <v>96</v>
      </c>
      <c r="H14" s="69">
        <v>691.42857142857144</v>
      </c>
      <c r="I14" s="70">
        <v>26.525628619999999</v>
      </c>
      <c r="J14" s="71">
        <v>18124</v>
      </c>
      <c r="K14" s="72">
        <v>2.5000000000000001E-3</v>
      </c>
      <c r="L14" s="71">
        <f t="shared" si="0"/>
        <v>18078.689999999999</v>
      </c>
      <c r="M14" s="73">
        <f t="shared" si="1"/>
        <v>26.146865702479335</v>
      </c>
      <c r="N14" s="74"/>
      <c r="O14" s="74"/>
      <c r="P14" s="74"/>
      <c r="Q14" s="74">
        <v>4.59</v>
      </c>
      <c r="R14" s="74">
        <v>9.11</v>
      </c>
      <c r="S14" s="75">
        <v>5.1100000000000003</v>
      </c>
      <c r="T14" s="76">
        <f t="shared" si="2"/>
        <v>6.85</v>
      </c>
      <c r="U14" s="63" t="s">
        <v>103</v>
      </c>
      <c r="V14" s="77" t="s">
        <v>103</v>
      </c>
      <c r="W14" s="77"/>
      <c r="X14" s="78">
        <v>0.3</v>
      </c>
      <c r="Y14" s="78">
        <v>0.316</v>
      </c>
      <c r="Z14" s="79">
        <v>0.33</v>
      </c>
      <c r="AA14" s="80">
        <v>45779</v>
      </c>
      <c r="AB14" s="81">
        <f t="shared" si="24"/>
        <v>100.5</v>
      </c>
      <c r="AC14" s="81">
        <f t="shared" ref="AC14:AC21" si="68">AB14*X14</f>
        <v>30.15</v>
      </c>
      <c r="AD14" s="81">
        <f t="shared" si="4"/>
        <v>272.53625175000002</v>
      </c>
      <c r="AE14" s="81">
        <f t="shared" si="5"/>
        <v>10.274450255422449</v>
      </c>
      <c r="AF14" s="167">
        <f t="shared" si="6"/>
        <v>0.50264978923780923</v>
      </c>
      <c r="AG14" s="264">
        <v>6.55</v>
      </c>
      <c r="AH14" s="264">
        <f t="shared" si="19"/>
        <v>0.18852020887299042</v>
      </c>
      <c r="AI14" s="77"/>
      <c r="AJ14" s="79">
        <f t="shared" si="7"/>
        <v>272.53625175000002</v>
      </c>
      <c r="AK14" s="82">
        <f t="shared" si="8"/>
        <v>10.274450255422449</v>
      </c>
      <c r="AL14" s="82"/>
      <c r="AM14" s="82">
        <f t="shared" si="9"/>
        <v>91.135227272727263</v>
      </c>
      <c r="AN14" s="82" t="s">
        <v>701</v>
      </c>
      <c r="AO14" s="82">
        <f t="shared" ref="AO14:AO20" si="69">9*I14</f>
        <v>238.73065757999998</v>
      </c>
      <c r="AP14" s="82">
        <f t="shared" si="11"/>
        <v>33.805594170000035</v>
      </c>
      <c r="AQ14" s="63"/>
      <c r="AR14" s="77" t="s">
        <v>91</v>
      </c>
      <c r="AS14" s="63">
        <v>107</v>
      </c>
      <c r="AT14" s="63">
        <v>102</v>
      </c>
      <c r="AU14" s="63">
        <v>110</v>
      </c>
      <c r="AV14" s="63">
        <v>83</v>
      </c>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row>
    <row r="15" spans="1:94" s="15" customFormat="1">
      <c r="A15" s="63" t="s">
        <v>84</v>
      </c>
      <c r="B15" s="63" t="s">
        <v>104</v>
      </c>
      <c r="C15" s="64" t="s">
        <v>105</v>
      </c>
      <c r="D15" s="65" t="s">
        <v>87</v>
      </c>
      <c r="E15" s="66" t="s">
        <v>88</v>
      </c>
      <c r="F15" s="68">
        <v>337</v>
      </c>
      <c r="G15" s="68" t="s">
        <v>96</v>
      </c>
      <c r="H15" s="69">
        <v>691.42857142857144</v>
      </c>
      <c r="I15" s="70">
        <v>26.525628619999999</v>
      </c>
      <c r="J15" s="71">
        <v>18124</v>
      </c>
      <c r="K15" s="72">
        <v>2.5000000000000001E-3</v>
      </c>
      <c r="L15" s="71">
        <f t="shared" si="0"/>
        <v>18078.689999999999</v>
      </c>
      <c r="M15" s="73">
        <f t="shared" si="1"/>
        <v>26.146865702479335</v>
      </c>
      <c r="N15" s="74"/>
      <c r="O15" s="74"/>
      <c r="P15" s="74"/>
      <c r="Q15" s="74">
        <v>4.59</v>
      </c>
      <c r="R15" s="74">
        <v>9.11</v>
      </c>
      <c r="S15" s="75">
        <v>5.1100000000000003</v>
      </c>
      <c r="T15" s="76">
        <f t="shared" si="2"/>
        <v>6.85</v>
      </c>
      <c r="U15" s="63" t="s">
        <v>103</v>
      </c>
      <c r="V15" s="77" t="s">
        <v>103</v>
      </c>
      <c r="W15" s="77"/>
      <c r="X15" s="78">
        <v>0.3</v>
      </c>
      <c r="Y15" s="78">
        <v>0.316</v>
      </c>
      <c r="Z15" s="79">
        <v>0.33</v>
      </c>
      <c r="AA15" s="80">
        <v>45799</v>
      </c>
      <c r="AB15" s="81">
        <f t="shared" si="24"/>
        <v>98.35</v>
      </c>
      <c r="AC15" s="81">
        <f t="shared" si="68"/>
        <v>29.504999999999995</v>
      </c>
      <c r="AD15" s="81">
        <f t="shared" si="4"/>
        <v>266.70587422499995</v>
      </c>
      <c r="AE15" s="81">
        <f t="shared" si="5"/>
        <v>10.054648583291518</v>
      </c>
      <c r="AF15" s="167">
        <f t="shared" si="6"/>
        <v>0.49177736470157407</v>
      </c>
      <c r="AG15" s="264">
        <v>6.55</v>
      </c>
      <c r="AH15" s="264">
        <f t="shared" si="19"/>
        <v>0.19264139290020885</v>
      </c>
      <c r="AI15" s="77"/>
      <c r="AJ15" s="79">
        <f t="shared" si="7"/>
        <v>266.70587422499995</v>
      </c>
      <c r="AK15" s="82">
        <f t="shared" si="8"/>
        <v>10.054648583291518</v>
      </c>
      <c r="AL15" s="82"/>
      <c r="AM15" s="82">
        <f t="shared" si="9"/>
        <v>89.185568181818141</v>
      </c>
      <c r="AN15" s="82" t="s">
        <v>701</v>
      </c>
      <c r="AO15" s="82">
        <f t="shared" si="69"/>
        <v>238.73065757999998</v>
      </c>
      <c r="AP15" s="82">
        <f t="shared" si="11"/>
        <v>27.975216644999961</v>
      </c>
      <c r="AQ15" s="63"/>
      <c r="AR15" s="77" t="s">
        <v>91</v>
      </c>
      <c r="AS15" s="63">
        <v>97</v>
      </c>
      <c r="AT15" s="63">
        <v>103</v>
      </c>
      <c r="AU15" s="63">
        <v>105</v>
      </c>
      <c r="AV15" s="63">
        <v>99</v>
      </c>
      <c r="AW15" s="63">
        <v>86</v>
      </c>
      <c r="AX15" s="63">
        <v>89</v>
      </c>
      <c r="AY15" s="63">
        <v>101</v>
      </c>
      <c r="AZ15" s="63">
        <v>85</v>
      </c>
      <c r="BA15" s="63">
        <v>93</v>
      </c>
      <c r="BB15" s="63">
        <v>110</v>
      </c>
      <c r="BC15" s="63">
        <v>113</v>
      </c>
      <c r="BD15" s="63">
        <v>97</v>
      </c>
      <c r="BE15" s="63">
        <v>95</v>
      </c>
      <c r="BF15" s="63">
        <v>89</v>
      </c>
      <c r="BG15" s="63">
        <v>83</v>
      </c>
      <c r="BH15" s="63">
        <v>104</v>
      </c>
      <c r="BI15" s="63">
        <v>112</v>
      </c>
      <c r="BJ15" s="63">
        <v>92</v>
      </c>
      <c r="BK15" s="63">
        <v>105</v>
      </c>
      <c r="BL15" s="63">
        <v>109</v>
      </c>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3"/>
      <c r="CL15" s="63"/>
      <c r="CM15" s="63"/>
      <c r="CN15" s="63"/>
      <c r="CO15" s="63"/>
      <c r="CP15" s="63"/>
    </row>
    <row r="16" spans="1:94" s="15" customFormat="1">
      <c r="A16" s="63" t="s">
        <v>84</v>
      </c>
      <c r="B16" s="63" t="s">
        <v>104</v>
      </c>
      <c r="C16" s="64" t="s">
        <v>105</v>
      </c>
      <c r="D16" s="65" t="s">
        <v>87</v>
      </c>
      <c r="E16" s="66" t="s">
        <v>88</v>
      </c>
      <c r="F16" s="68">
        <v>337</v>
      </c>
      <c r="G16" s="68" t="s">
        <v>96</v>
      </c>
      <c r="H16" s="69">
        <v>691.42857142857144</v>
      </c>
      <c r="I16" s="70">
        <v>26.525628619999999</v>
      </c>
      <c r="J16" s="71">
        <v>18124</v>
      </c>
      <c r="K16" s="72">
        <v>2.5000000000000001E-3</v>
      </c>
      <c r="L16" s="71">
        <f t="shared" si="0"/>
        <v>18078.689999999999</v>
      </c>
      <c r="M16" s="73">
        <f t="shared" si="1"/>
        <v>26.146865702479335</v>
      </c>
      <c r="N16" s="74"/>
      <c r="O16" s="74"/>
      <c r="P16" s="74"/>
      <c r="Q16" s="74">
        <v>4.59</v>
      </c>
      <c r="R16" s="74">
        <v>9.11</v>
      </c>
      <c r="S16" s="75">
        <v>5.1100000000000003</v>
      </c>
      <c r="T16" s="76">
        <f t="shared" si="2"/>
        <v>6.85</v>
      </c>
      <c r="U16" s="63" t="s">
        <v>103</v>
      </c>
      <c r="V16" s="77" t="s">
        <v>103</v>
      </c>
      <c r="W16" s="77"/>
      <c r="X16" s="78">
        <v>0.3</v>
      </c>
      <c r="Y16" s="78">
        <v>0.316</v>
      </c>
      <c r="Z16" s="79">
        <v>0.33</v>
      </c>
      <c r="AA16" s="80">
        <v>45810</v>
      </c>
      <c r="AB16" s="81">
        <f t="shared" si="24"/>
        <v>86.333333333333329</v>
      </c>
      <c r="AC16" s="81">
        <f t="shared" si="68"/>
        <v>25.9</v>
      </c>
      <c r="AD16" s="81">
        <f t="shared" si="4"/>
        <v>234.11903549999997</v>
      </c>
      <c r="AE16" s="81">
        <f t="shared" si="5"/>
        <v>8.8261446638620686</v>
      </c>
      <c r="AF16" s="167">
        <f t="shared" si="6"/>
        <v>0.42103826816679318</v>
      </c>
      <c r="AG16" s="264">
        <v>6.55</v>
      </c>
      <c r="AH16" s="264">
        <f t="shared" si="19"/>
        <v>0.21945499218226494</v>
      </c>
      <c r="AI16" s="77"/>
      <c r="AJ16" s="79">
        <f t="shared" si="7"/>
        <v>234.11903549999997</v>
      </c>
      <c r="AK16" s="82">
        <f t="shared" si="8"/>
        <v>8.8261446638620686</v>
      </c>
      <c r="AL16" s="82"/>
      <c r="AM16" s="82">
        <f t="shared" si="9"/>
        <v>78.288636363636343</v>
      </c>
      <c r="AN16" s="82" t="s">
        <v>701</v>
      </c>
      <c r="AO16" s="82">
        <f t="shared" si="69"/>
        <v>238.73065757999998</v>
      </c>
      <c r="AP16" s="82">
        <f t="shared" si="11"/>
        <v>-4.6116220800000178</v>
      </c>
      <c r="AQ16" s="63"/>
      <c r="AR16" s="77" t="s">
        <v>91</v>
      </c>
      <c r="AS16" s="63">
        <v>86</v>
      </c>
      <c r="AT16" s="63">
        <v>81</v>
      </c>
      <c r="AU16" s="63">
        <v>86</v>
      </c>
      <c r="AV16" s="63">
        <v>77</v>
      </c>
      <c r="AW16" s="63">
        <v>95</v>
      </c>
      <c r="AX16" s="63">
        <v>92</v>
      </c>
      <c r="AY16" s="63">
        <v>87</v>
      </c>
      <c r="AZ16" s="63">
        <v>93</v>
      </c>
      <c r="BA16" s="63">
        <v>87</v>
      </c>
      <c r="BB16" s="63">
        <v>80</v>
      </c>
      <c r="BC16" s="63">
        <v>84</v>
      </c>
      <c r="BD16" s="63">
        <v>88</v>
      </c>
      <c r="BE16" s="63"/>
      <c r="BF16" s="63"/>
      <c r="BG16" s="63"/>
      <c r="BH16" s="63"/>
      <c r="BI16" s="63"/>
      <c r="BJ16" s="63"/>
      <c r="BK16" s="63"/>
      <c r="BL16" s="63"/>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3"/>
      <c r="CL16" s="63"/>
      <c r="CM16" s="63"/>
      <c r="CN16" s="63"/>
      <c r="CO16" s="63"/>
      <c r="CP16" s="63"/>
    </row>
    <row r="17" spans="1:94" s="15" customFormat="1">
      <c r="A17" s="63" t="s">
        <v>84</v>
      </c>
      <c r="B17" s="63" t="s">
        <v>104</v>
      </c>
      <c r="C17" s="64" t="s">
        <v>105</v>
      </c>
      <c r="D17" s="65" t="s">
        <v>87</v>
      </c>
      <c r="E17" s="66" t="s">
        <v>88</v>
      </c>
      <c r="F17" s="68">
        <v>337</v>
      </c>
      <c r="G17" s="68" t="s">
        <v>96</v>
      </c>
      <c r="H17" s="69">
        <v>691.42857142857144</v>
      </c>
      <c r="I17" s="70">
        <v>26.525628619999999</v>
      </c>
      <c r="J17" s="71">
        <v>18124</v>
      </c>
      <c r="K17" s="72">
        <v>2.5000000000000001E-3</v>
      </c>
      <c r="L17" s="71">
        <f t="shared" ref="L17" si="70">J17-(J17*K17)</f>
        <v>18078.689999999999</v>
      </c>
      <c r="M17" s="73">
        <f t="shared" ref="M17" si="71">L17/H17</f>
        <v>26.146865702479335</v>
      </c>
      <c r="N17" s="74"/>
      <c r="O17" s="74"/>
      <c r="P17" s="74"/>
      <c r="Q17" s="74">
        <v>4.59</v>
      </c>
      <c r="R17" s="74">
        <v>9.11</v>
      </c>
      <c r="S17" s="75">
        <v>5.1100000000000003</v>
      </c>
      <c r="T17" s="76">
        <f t="shared" ref="T17" si="72">AVERAGE(N17:R17)</f>
        <v>6.85</v>
      </c>
      <c r="U17" s="63" t="s">
        <v>103</v>
      </c>
      <c r="V17" s="77" t="s">
        <v>103</v>
      </c>
      <c r="W17" s="77"/>
      <c r="X17" s="78">
        <v>0.3</v>
      </c>
      <c r="Y17" s="78">
        <v>0.316</v>
      </c>
      <c r="Z17" s="79">
        <v>0.33</v>
      </c>
      <c r="AA17" s="80">
        <v>45832</v>
      </c>
      <c r="AB17" s="81">
        <f t="shared" ref="AB17" si="73">IFERROR(AVERAGE(AS17:CP17),0)</f>
        <v>89</v>
      </c>
      <c r="AC17" s="81">
        <f t="shared" si="68"/>
        <v>26.7</v>
      </c>
      <c r="AD17" s="81">
        <f t="shared" ref="AD17" si="74">(AC17*L17)/2000</f>
        <v>241.35051149999995</v>
      </c>
      <c r="AE17" s="81">
        <f t="shared" si="5"/>
        <v>9.0987668928616685</v>
      </c>
      <c r="AF17" s="167">
        <f t="shared" ref="AF17" si="75">IFERROR(((AE17-S17)/AE17),"")</f>
        <v>0.43838543616179559</v>
      </c>
      <c r="AG17" s="264">
        <v>6.55</v>
      </c>
      <c r="AH17" s="264">
        <f t="shared" si="19"/>
        <v>0.21287956170489369</v>
      </c>
      <c r="AI17" s="77"/>
      <c r="AJ17" s="79">
        <f t="shared" ref="AJ17" si="76">AD17-(AI17*I17)</f>
        <v>241.35051149999995</v>
      </c>
      <c r="AK17" s="82">
        <f t="shared" ref="AK17" si="77">AJ17/I17</f>
        <v>9.0987668928616685</v>
      </c>
      <c r="AL17" s="82"/>
      <c r="AM17" s="82">
        <f t="shared" ref="AM17" si="78">((AJ17*2000)/Z17)/J17</f>
        <v>80.706818181818164</v>
      </c>
      <c r="AN17" s="82" t="s">
        <v>701</v>
      </c>
      <c r="AO17" s="82">
        <f t="shared" ref="AO17" si="79">9*I17</f>
        <v>238.73065757999998</v>
      </c>
      <c r="AP17" s="82">
        <f t="shared" ref="AP17" si="80">AD17-AO17</f>
        <v>2.6198539199999686</v>
      </c>
      <c r="AQ17" s="63"/>
      <c r="AR17" s="77" t="s">
        <v>91</v>
      </c>
      <c r="AS17" s="63">
        <v>100</v>
      </c>
      <c r="AT17" s="63">
        <v>94</v>
      </c>
      <c r="AU17" s="63">
        <v>90</v>
      </c>
      <c r="AV17" s="63">
        <v>101</v>
      </c>
      <c r="AW17" s="63">
        <v>92</v>
      </c>
      <c r="AX17" s="63">
        <v>91</v>
      </c>
      <c r="AY17" s="63">
        <v>88</v>
      </c>
      <c r="AZ17" s="63">
        <v>85</v>
      </c>
      <c r="BA17" s="63">
        <v>75</v>
      </c>
      <c r="BB17" s="63">
        <v>80</v>
      </c>
      <c r="BC17" s="63">
        <v>79</v>
      </c>
      <c r="BD17" s="63">
        <v>93</v>
      </c>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row>
    <row r="18" spans="1:94" s="15" customFormat="1">
      <c r="A18" s="63" t="s">
        <v>84</v>
      </c>
      <c r="B18" s="63" t="s">
        <v>104</v>
      </c>
      <c r="C18" s="64" t="s">
        <v>105</v>
      </c>
      <c r="D18" s="65" t="s">
        <v>87</v>
      </c>
      <c r="E18" s="66" t="s">
        <v>88</v>
      </c>
      <c r="F18" s="68">
        <v>337</v>
      </c>
      <c r="G18" s="68" t="s">
        <v>96</v>
      </c>
      <c r="H18" s="69">
        <v>691.42857142857144</v>
      </c>
      <c r="I18" s="70">
        <v>26.525628619999999</v>
      </c>
      <c r="J18" s="71">
        <v>18124</v>
      </c>
      <c r="K18" s="72">
        <v>4.0000000000000001E-3</v>
      </c>
      <c r="L18" s="71">
        <f t="shared" ref="L18" si="81">J18-(J18*K18)</f>
        <v>18051.504000000001</v>
      </c>
      <c r="M18" s="73">
        <f t="shared" ref="M18" si="82">L18/H18</f>
        <v>26.107547107438016</v>
      </c>
      <c r="N18" s="74"/>
      <c r="O18" s="74"/>
      <c r="P18" s="74"/>
      <c r="Q18" s="74">
        <v>4.59</v>
      </c>
      <c r="R18" s="74">
        <v>9.11</v>
      </c>
      <c r="S18" s="75">
        <v>5.1100000000000003</v>
      </c>
      <c r="T18" s="76">
        <f t="shared" ref="T18" si="83">AVERAGE(N18:R18)</f>
        <v>6.85</v>
      </c>
      <c r="U18" s="63" t="s">
        <v>103</v>
      </c>
      <c r="V18" s="77" t="s">
        <v>103</v>
      </c>
      <c r="W18" s="77"/>
      <c r="X18" s="78">
        <v>0.3</v>
      </c>
      <c r="Y18" s="78">
        <v>0.316</v>
      </c>
      <c r="Z18" s="79">
        <v>0.33</v>
      </c>
      <c r="AA18" s="80">
        <v>45895</v>
      </c>
      <c r="AB18" s="81">
        <f>IFERROR(AVERAGE(AS18:CP18),0)</f>
        <v>76.75</v>
      </c>
      <c r="AC18" s="81">
        <f t="shared" si="68"/>
        <v>23.024999999999999</v>
      </c>
      <c r="AD18" s="81">
        <f t="shared" ref="AD18" si="84">(AC18*L18)/2000</f>
        <v>207.8179398</v>
      </c>
      <c r="AE18" s="81">
        <f t="shared" ref="AE18" si="85">IFERROR((AD18/I18),"")</f>
        <v>7.8346094178257406</v>
      </c>
      <c r="AF18" s="167">
        <f t="shared" ref="AF18" si="86">IFERROR(((AE18-S18)/AE18),"")</f>
        <v>0.34776582628695657</v>
      </c>
      <c r="AG18" s="264">
        <v>6.55</v>
      </c>
      <c r="AH18" s="264">
        <f t="shared" si="19"/>
        <v>0.24685708132554443</v>
      </c>
      <c r="AI18" s="77"/>
      <c r="AJ18" s="79">
        <f t="shared" ref="AJ18" si="87">AD18-(AI18*I18)</f>
        <v>207.8179398</v>
      </c>
      <c r="AK18" s="82">
        <f t="shared" ref="AK18" si="88">AJ18/I18</f>
        <v>7.8346094178257406</v>
      </c>
      <c r="AL18" s="82"/>
      <c r="AM18" s="82">
        <f t="shared" ref="AM18" si="89">((AJ18*2000)/Z18)/J18</f>
        <v>69.493636363636355</v>
      </c>
      <c r="AN18" s="82" t="s">
        <v>701</v>
      </c>
      <c r="AO18" s="82">
        <f t="shared" ref="AO18" si="90">9*I18</f>
        <v>238.73065757999998</v>
      </c>
      <c r="AP18" s="82">
        <f t="shared" ref="AP18" si="91">AD18-AO18</f>
        <v>-30.91271777999998</v>
      </c>
      <c r="AQ18" s="63"/>
      <c r="AR18" s="77" t="s">
        <v>92</v>
      </c>
      <c r="AS18" s="63">
        <v>69</v>
      </c>
      <c r="AT18" s="63">
        <v>78</v>
      </c>
      <c r="AU18" s="63">
        <v>79</v>
      </c>
      <c r="AV18" s="63">
        <v>80</v>
      </c>
      <c r="AW18" s="63">
        <v>82</v>
      </c>
      <c r="AX18" s="63">
        <v>79</v>
      </c>
      <c r="AY18" s="63">
        <v>73</v>
      </c>
      <c r="AZ18" s="63">
        <v>74</v>
      </c>
      <c r="BA18" s="63">
        <v>73</v>
      </c>
      <c r="BB18" s="63">
        <v>79</v>
      </c>
      <c r="BC18" s="63">
        <v>71</v>
      </c>
      <c r="BD18" s="63">
        <v>80</v>
      </c>
      <c r="BE18" s="63">
        <v>76</v>
      </c>
      <c r="BF18" s="63">
        <v>83</v>
      </c>
      <c r="BG18" s="63">
        <v>77</v>
      </c>
      <c r="BH18" s="63">
        <v>75</v>
      </c>
      <c r="BI18" s="63"/>
      <c r="BJ18" s="63"/>
      <c r="BK18" s="63"/>
      <c r="BL18" s="63"/>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3"/>
      <c r="CM18" s="63"/>
      <c r="CN18" s="63"/>
      <c r="CO18" s="63"/>
      <c r="CP18" s="63"/>
    </row>
    <row r="19" spans="1:94" s="63" customFormat="1">
      <c r="A19" s="15" t="s">
        <v>84</v>
      </c>
      <c r="B19" s="15" t="s">
        <v>107</v>
      </c>
      <c r="C19" s="16" t="s">
        <v>108</v>
      </c>
      <c r="D19" s="49" t="s">
        <v>87</v>
      </c>
      <c r="E19" s="17" t="s">
        <v>88</v>
      </c>
      <c r="F19" s="18">
        <v>7</v>
      </c>
      <c r="G19" s="18" t="s">
        <v>90</v>
      </c>
      <c r="H19" s="19">
        <v>691.42857142857144</v>
      </c>
      <c r="I19" s="20">
        <v>20.232599889999999</v>
      </c>
      <c r="J19" s="21">
        <v>13746</v>
      </c>
      <c r="K19" s="22">
        <v>2.5000000000000001E-3</v>
      </c>
      <c r="L19" s="21">
        <f t="shared" si="0"/>
        <v>13711.635</v>
      </c>
      <c r="M19" s="23">
        <f t="shared" si="1"/>
        <v>19.830877066115701</v>
      </c>
      <c r="N19" s="30"/>
      <c r="O19" s="30"/>
      <c r="P19" s="30"/>
      <c r="Q19" s="30">
        <v>4.16</v>
      </c>
      <c r="R19" s="30">
        <v>8.6999999999999993</v>
      </c>
      <c r="S19" s="56">
        <v>5.91</v>
      </c>
      <c r="T19" s="31">
        <f t="shared" si="2"/>
        <v>6.43</v>
      </c>
      <c r="U19" s="15" t="s">
        <v>103</v>
      </c>
      <c r="V19" s="25" t="s">
        <v>103</v>
      </c>
      <c r="W19" s="25"/>
      <c r="X19" s="26">
        <v>0.3</v>
      </c>
      <c r="Y19" s="120">
        <v>0.316</v>
      </c>
      <c r="Z19" s="24">
        <v>0.33</v>
      </c>
      <c r="AA19" s="27">
        <v>45779</v>
      </c>
      <c r="AB19" s="28">
        <f t="shared" si="24"/>
        <v>92.5</v>
      </c>
      <c r="AC19" s="117">
        <f t="shared" si="68"/>
        <v>27.75</v>
      </c>
      <c r="AD19" s="28">
        <f t="shared" si="4"/>
        <v>190.248935625</v>
      </c>
      <c r="AE19" s="28">
        <f t="shared" si="5"/>
        <v>9.4030889089558336</v>
      </c>
      <c r="AF19" s="171">
        <f t="shared" si="6"/>
        <v>0.37148313099846292</v>
      </c>
      <c r="AG19" s="263">
        <v>6.86</v>
      </c>
      <c r="AH19" s="263">
        <f t="shared" si="19"/>
        <v>0.21451865088228719</v>
      </c>
      <c r="AI19" s="25"/>
      <c r="AJ19" s="24">
        <f t="shared" si="7"/>
        <v>190.248935625</v>
      </c>
      <c r="AK19" s="29">
        <f t="shared" si="8"/>
        <v>9.4030889089558336</v>
      </c>
      <c r="AL19" s="29"/>
      <c r="AM19" s="29">
        <f t="shared" si="9"/>
        <v>83.880681818181813</v>
      </c>
      <c r="AN19" s="29" t="s">
        <v>701</v>
      </c>
      <c r="AO19" s="29">
        <f t="shared" si="69"/>
        <v>182.09339900999998</v>
      </c>
      <c r="AP19" s="29">
        <f t="shared" si="11"/>
        <v>8.1555366150000168</v>
      </c>
      <c r="AQ19" s="15"/>
      <c r="AR19" s="25" t="s">
        <v>91</v>
      </c>
      <c r="AS19" s="15">
        <v>87</v>
      </c>
      <c r="AT19" s="15">
        <v>96</v>
      </c>
      <c r="AU19" s="15">
        <v>98</v>
      </c>
      <c r="AV19" s="15">
        <v>84</v>
      </c>
      <c r="AW19" s="15">
        <v>98</v>
      </c>
      <c r="AX19" s="15">
        <v>91</v>
      </c>
      <c r="AY19" s="15">
        <v>88</v>
      </c>
      <c r="AZ19" s="15">
        <v>94</v>
      </c>
      <c r="BA19" s="15">
        <v>97</v>
      </c>
      <c r="BB19" s="15">
        <v>78</v>
      </c>
      <c r="BC19" s="15">
        <v>100</v>
      </c>
      <c r="BD19" s="15">
        <v>99</v>
      </c>
      <c r="BE19" s="15">
        <v>92</v>
      </c>
      <c r="BF19" s="15">
        <v>99</v>
      </c>
      <c r="BG19" s="15">
        <v>95</v>
      </c>
      <c r="BH19" s="15">
        <v>89</v>
      </c>
      <c r="BI19" s="15">
        <v>81</v>
      </c>
      <c r="BJ19" s="15">
        <v>99</v>
      </c>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row>
    <row r="20" spans="1:94" s="63" customFormat="1">
      <c r="A20" s="15" t="s">
        <v>84</v>
      </c>
      <c r="B20" s="15" t="s">
        <v>107</v>
      </c>
      <c r="C20" s="16" t="s">
        <v>108</v>
      </c>
      <c r="D20" s="49" t="s">
        <v>87</v>
      </c>
      <c r="E20" s="17" t="s">
        <v>88</v>
      </c>
      <c r="F20" s="18">
        <v>7</v>
      </c>
      <c r="G20" s="18" t="s">
        <v>90</v>
      </c>
      <c r="H20" s="19">
        <v>691.42857142857144</v>
      </c>
      <c r="I20" s="20">
        <v>20.232599889999999</v>
      </c>
      <c r="J20" s="21">
        <v>13746</v>
      </c>
      <c r="K20" s="22">
        <v>2.5000000000000001E-3</v>
      </c>
      <c r="L20" s="21">
        <f t="shared" si="0"/>
        <v>13711.635</v>
      </c>
      <c r="M20" s="23">
        <f t="shared" si="1"/>
        <v>19.830877066115701</v>
      </c>
      <c r="N20" s="30"/>
      <c r="O20" s="30"/>
      <c r="P20" s="30"/>
      <c r="Q20" s="30">
        <v>4.16</v>
      </c>
      <c r="R20" s="30">
        <v>8.6999999999999993</v>
      </c>
      <c r="S20" s="56">
        <v>5.91</v>
      </c>
      <c r="T20" s="31">
        <f t="shared" si="2"/>
        <v>6.43</v>
      </c>
      <c r="U20" s="15" t="s">
        <v>103</v>
      </c>
      <c r="V20" s="25" t="s">
        <v>103</v>
      </c>
      <c r="W20" s="25"/>
      <c r="X20" s="26">
        <v>0.3</v>
      </c>
      <c r="Y20" s="120">
        <v>0.316</v>
      </c>
      <c r="Z20" s="24">
        <v>0.33</v>
      </c>
      <c r="AA20" s="27">
        <v>45805</v>
      </c>
      <c r="AB20" s="28">
        <f t="shared" si="24"/>
        <v>91.5</v>
      </c>
      <c r="AC20" s="117">
        <f t="shared" si="68"/>
        <v>27.45</v>
      </c>
      <c r="AD20" s="28">
        <f t="shared" si="4"/>
        <v>188.192190375</v>
      </c>
      <c r="AE20" s="28">
        <f t="shared" si="5"/>
        <v>9.3014338937238783</v>
      </c>
      <c r="AF20" s="171">
        <f t="shared" si="6"/>
        <v>0.36461409417877394</v>
      </c>
      <c r="AG20" s="263">
        <v>6.86</v>
      </c>
      <c r="AH20" s="263">
        <f t="shared" si="19"/>
        <v>0.21686311701214828</v>
      </c>
      <c r="AI20" s="25"/>
      <c r="AJ20" s="24">
        <f t="shared" si="7"/>
        <v>188.192190375</v>
      </c>
      <c r="AK20" s="29">
        <f t="shared" si="8"/>
        <v>9.3014338937238783</v>
      </c>
      <c r="AL20" s="29"/>
      <c r="AM20" s="29">
        <f t="shared" si="9"/>
        <v>82.973863636363632</v>
      </c>
      <c r="AN20" s="29" t="s">
        <v>701</v>
      </c>
      <c r="AO20" s="29">
        <f t="shared" si="69"/>
        <v>182.09339900999998</v>
      </c>
      <c r="AP20" s="29">
        <f t="shared" si="11"/>
        <v>6.098791365000011</v>
      </c>
      <c r="AQ20" s="15"/>
      <c r="AR20" s="25" t="s">
        <v>116</v>
      </c>
      <c r="AS20" s="15">
        <v>97</v>
      </c>
      <c r="AT20" s="15">
        <v>88</v>
      </c>
      <c r="AU20" s="15">
        <v>109</v>
      </c>
      <c r="AV20" s="15">
        <v>95</v>
      </c>
      <c r="AW20" s="15">
        <v>99</v>
      </c>
      <c r="AX20" s="15">
        <v>102</v>
      </c>
      <c r="AY20" s="15">
        <v>89</v>
      </c>
      <c r="AZ20" s="15">
        <v>78</v>
      </c>
      <c r="BA20" s="15">
        <v>86</v>
      </c>
      <c r="BB20" s="15">
        <v>97</v>
      </c>
      <c r="BC20" s="15">
        <v>79</v>
      </c>
      <c r="BD20" s="15">
        <v>99</v>
      </c>
      <c r="BE20" s="15">
        <v>101</v>
      </c>
      <c r="BF20" s="15">
        <v>88</v>
      </c>
      <c r="BG20" s="15">
        <v>86</v>
      </c>
      <c r="BH20" s="15">
        <v>74</v>
      </c>
      <c r="BI20" s="15">
        <v>85</v>
      </c>
      <c r="BJ20" s="15">
        <v>79</v>
      </c>
      <c r="BK20" s="15">
        <v>99</v>
      </c>
      <c r="BL20" s="15">
        <v>100</v>
      </c>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row>
    <row r="21" spans="1:94" s="63" customFormat="1">
      <c r="A21" s="15" t="s">
        <v>84</v>
      </c>
      <c r="B21" s="15" t="s">
        <v>107</v>
      </c>
      <c r="C21" s="16" t="s">
        <v>108</v>
      </c>
      <c r="D21" s="49" t="s">
        <v>87</v>
      </c>
      <c r="E21" s="17" t="s">
        <v>88</v>
      </c>
      <c r="F21" s="18">
        <v>7</v>
      </c>
      <c r="G21" s="18" t="s">
        <v>90</v>
      </c>
      <c r="H21" s="19">
        <v>691.42857142857144</v>
      </c>
      <c r="I21" s="20">
        <v>20.232599889999999</v>
      </c>
      <c r="J21" s="21">
        <v>13746</v>
      </c>
      <c r="K21" s="22">
        <v>2.5000000000000001E-3</v>
      </c>
      <c r="L21" s="21">
        <f t="shared" ref="L21" si="92">J21-(J21*K21)</f>
        <v>13711.635</v>
      </c>
      <c r="M21" s="23">
        <f t="shared" ref="M21" si="93">L21/H21</f>
        <v>19.830877066115701</v>
      </c>
      <c r="N21" s="30"/>
      <c r="O21" s="30"/>
      <c r="P21" s="30"/>
      <c r="Q21" s="30">
        <v>4.16</v>
      </c>
      <c r="R21" s="30">
        <v>8.6999999999999993</v>
      </c>
      <c r="S21" s="56">
        <v>5.91</v>
      </c>
      <c r="T21" s="31">
        <f t="shared" ref="T21" si="94">AVERAGE(N21:R21)</f>
        <v>6.43</v>
      </c>
      <c r="U21" s="15" t="s">
        <v>103</v>
      </c>
      <c r="V21" s="25" t="s">
        <v>103</v>
      </c>
      <c r="W21" s="25"/>
      <c r="X21" s="26">
        <v>0.3</v>
      </c>
      <c r="Y21" s="120">
        <v>0.316</v>
      </c>
      <c r="Z21" s="24">
        <v>0.33</v>
      </c>
      <c r="AA21" s="27">
        <v>45831</v>
      </c>
      <c r="AB21" s="28">
        <f>IFERROR(AVERAGE(AS21:CP21),0)</f>
        <v>77.666666666666671</v>
      </c>
      <c r="AC21" s="117">
        <f t="shared" si="68"/>
        <v>23.3</v>
      </c>
      <c r="AD21" s="28">
        <f t="shared" ref="AD21" si="95">(AC21*L21)/2000</f>
        <v>159.74054774999999</v>
      </c>
      <c r="AE21" s="28">
        <f t="shared" ref="AE21" si="96">IFERROR((AD21/I21),"")</f>
        <v>7.8952061830151674</v>
      </c>
      <c r="AF21" s="171">
        <f t="shared" ref="AF21" si="97">IFERROR(((AE21-S21)/AE21),"")</f>
        <v>0.25144450151104475</v>
      </c>
      <c r="AG21" s="263">
        <v>6.86</v>
      </c>
      <c r="AH21" s="263">
        <f t="shared" si="19"/>
        <v>0.25548895115808884</v>
      </c>
      <c r="AI21" s="25"/>
      <c r="AJ21" s="24">
        <f t="shared" ref="AJ21" si="98">AD21-(AI21*I21)</f>
        <v>159.74054774999999</v>
      </c>
      <c r="AK21" s="29">
        <f t="shared" ref="AK21" si="99">AJ21/I21</f>
        <v>7.8952061830151674</v>
      </c>
      <c r="AL21" s="29"/>
      <c r="AM21" s="29">
        <f t="shared" ref="AM21" si="100">((AJ21*2000)/Z21)/J21</f>
        <v>70.429545454545448</v>
      </c>
      <c r="AN21" s="29" t="s">
        <v>701</v>
      </c>
      <c r="AO21" s="29">
        <f t="shared" ref="AO21" si="101">9*I21</f>
        <v>182.09339900999998</v>
      </c>
      <c r="AP21" s="29">
        <f t="shared" ref="AP21" si="102">AD21-AO21</f>
        <v>-22.352851259999994</v>
      </c>
      <c r="AQ21" s="15"/>
      <c r="AR21" s="25" t="s">
        <v>91</v>
      </c>
      <c r="AS21" s="15">
        <v>80</v>
      </c>
      <c r="AT21" s="15">
        <v>89</v>
      </c>
      <c r="AU21" s="15">
        <v>58</v>
      </c>
      <c r="AV21" s="15">
        <v>76</v>
      </c>
      <c r="AW21" s="15">
        <v>85</v>
      </c>
      <c r="AX21" s="15">
        <v>88</v>
      </c>
      <c r="AY21" s="15">
        <v>61</v>
      </c>
      <c r="AZ21" s="15">
        <v>81</v>
      </c>
      <c r="BA21" s="15">
        <v>78</v>
      </c>
      <c r="BB21" s="15">
        <v>103</v>
      </c>
      <c r="BC21" s="15">
        <v>67</v>
      </c>
      <c r="BD21" s="15">
        <v>66</v>
      </c>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row>
    <row r="22" spans="1:94" s="63" customFormat="1">
      <c r="A22" s="15" t="s">
        <v>84</v>
      </c>
      <c r="B22" s="15" t="s">
        <v>107</v>
      </c>
      <c r="C22" s="16" t="s">
        <v>108</v>
      </c>
      <c r="D22" s="49" t="s">
        <v>87</v>
      </c>
      <c r="E22" s="17" t="s">
        <v>88</v>
      </c>
      <c r="F22" s="18">
        <v>7</v>
      </c>
      <c r="G22" s="18" t="s">
        <v>90</v>
      </c>
      <c r="H22" s="19">
        <v>691.42857142857144</v>
      </c>
      <c r="I22" s="20">
        <v>20.232599889999999</v>
      </c>
      <c r="J22" s="21">
        <v>13746</v>
      </c>
      <c r="K22" s="22">
        <v>2.5000000000000001E-3</v>
      </c>
      <c r="L22" s="21">
        <f t="shared" ref="L22" si="103">J22-(J22*K22)</f>
        <v>13711.635</v>
      </c>
      <c r="M22" s="23">
        <f t="shared" ref="M22" si="104">L22/H22</f>
        <v>19.830877066115701</v>
      </c>
      <c r="N22" s="30"/>
      <c r="O22" s="30"/>
      <c r="P22" s="30"/>
      <c r="Q22" s="30">
        <v>4.16</v>
      </c>
      <c r="R22" s="30">
        <v>8.6999999999999993</v>
      </c>
      <c r="S22" s="56">
        <v>5.91</v>
      </c>
      <c r="T22" s="31">
        <f t="shared" ref="T22" si="105">AVERAGE(N22:R22)</f>
        <v>6.43</v>
      </c>
      <c r="U22" s="15" t="s">
        <v>103</v>
      </c>
      <c r="V22" s="25" t="s">
        <v>103</v>
      </c>
      <c r="W22" s="25"/>
      <c r="X22" s="26">
        <v>0.3</v>
      </c>
      <c r="Y22" s="120">
        <v>0.316</v>
      </c>
      <c r="Z22" s="24">
        <v>0.33</v>
      </c>
      <c r="AA22" s="27">
        <v>45898</v>
      </c>
      <c r="AB22" s="28">
        <f>IFERROR(AVERAGE(AS22:CP22),0)</f>
        <v>0</v>
      </c>
      <c r="AC22" s="117">
        <v>21.33</v>
      </c>
      <c r="AD22" s="28">
        <f t="shared" ref="AD22" si="106">(AC22*L22)/2000</f>
        <v>146.234587275</v>
      </c>
      <c r="AE22" s="28">
        <f t="shared" ref="AE22" si="107">IFERROR((AD22/I22),"")</f>
        <v>7.2276715829919969</v>
      </c>
      <c r="AF22" s="171">
        <f t="shared" ref="AF22" si="108">IFERROR(((AE22-S22)/AE22),"")</f>
        <v>0.18230927731867527</v>
      </c>
      <c r="AG22" s="263">
        <v>6.86</v>
      </c>
      <c r="AH22" s="263"/>
      <c r="AI22" s="25"/>
      <c r="AJ22" s="24">
        <f t="shared" ref="AJ22" si="109">AD22-(AI22*I22)</f>
        <v>146.234587275</v>
      </c>
      <c r="AK22" s="29">
        <f t="shared" ref="AK22" si="110">AJ22/I22</f>
        <v>7.2276715829919969</v>
      </c>
      <c r="AL22" s="29"/>
      <c r="AM22" s="29">
        <f t="shared" ref="AM22" si="111">((AJ22*2000)/Z22)/J22</f>
        <v>64.474772727272722</v>
      </c>
      <c r="AN22" s="29" t="s">
        <v>701</v>
      </c>
      <c r="AO22" s="29">
        <f t="shared" ref="AO22" si="112">9*I22</f>
        <v>182.09339900999998</v>
      </c>
      <c r="AP22" s="29">
        <f t="shared" ref="AP22" si="113">AD22-AO22</f>
        <v>-35.858811734999989</v>
      </c>
      <c r="AQ22" s="15"/>
      <c r="AR22" s="25" t="s">
        <v>282</v>
      </c>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row>
    <row r="23" spans="1:94" s="15" customFormat="1">
      <c r="A23" s="63" t="s">
        <v>84</v>
      </c>
      <c r="B23" s="63" t="s">
        <v>109</v>
      </c>
      <c r="C23" s="64" t="s">
        <v>110</v>
      </c>
      <c r="D23" s="65" t="s">
        <v>111</v>
      </c>
      <c r="E23" s="66" t="s">
        <v>88</v>
      </c>
      <c r="F23" s="68">
        <v>181</v>
      </c>
      <c r="G23" s="68" t="s">
        <v>96</v>
      </c>
      <c r="H23" s="69">
        <v>691.42857142857144</v>
      </c>
      <c r="I23" s="83">
        <v>24.5</v>
      </c>
      <c r="J23" s="71">
        <v>15567</v>
      </c>
      <c r="K23" s="72">
        <v>2.5000000000000001E-3</v>
      </c>
      <c r="L23" s="71">
        <f t="shared" si="0"/>
        <v>15528.0825</v>
      </c>
      <c r="M23" s="73">
        <f t="shared" si="1"/>
        <v>22.45797055785124</v>
      </c>
      <c r="N23" s="74"/>
      <c r="O23" s="74"/>
      <c r="P23" s="74"/>
      <c r="Q23" s="74"/>
      <c r="R23" s="74">
        <v>1.8</v>
      </c>
      <c r="S23" s="75">
        <v>6.51</v>
      </c>
      <c r="T23" s="76">
        <f t="shared" si="2"/>
        <v>1.8</v>
      </c>
      <c r="U23" s="63" t="s">
        <v>365</v>
      </c>
      <c r="V23" s="77" t="s">
        <v>103</v>
      </c>
      <c r="W23" s="77"/>
      <c r="X23" s="78">
        <v>0.3</v>
      </c>
      <c r="Y23" s="78">
        <v>0.32</v>
      </c>
      <c r="Z23" s="79">
        <v>0.33</v>
      </c>
      <c r="AA23" s="80">
        <v>45779</v>
      </c>
      <c r="AB23" s="81">
        <f t="shared" si="24"/>
        <v>76.650000000000006</v>
      </c>
      <c r="AC23" s="81">
        <f>AB23*X23</f>
        <v>22.995000000000001</v>
      </c>
      <c r="AD23" s="81">
        <f t="shared" si="4"/>
        <v>178.53412854375</v>
      </c>
      <c r="AE23" s="81">
        <f t="shared" si="5"/>
        <v>7.2871072874999996</v>
      </c>
      <c r="AF23" s="167">
        <f t="shared" si="6"/>
        <v>0.10664139511614125</v>
      </c>
      <c r="AG23" s="264">
        <v>5.98</v>
      </c>
      <c r="AH23" s="264">
        <f t="shared" si="19"/>
        <v>0.22566889316577984</v>
      </c>
      <c r="AI23" s="77"/>
      <c r="AJ23" s="79">
        <f t="shared" si="7"/>
        <v>178.53412854375</v>
      </c>
      <c r="AK23" s="82">
        <f t="shared" si="8"/>
        <v>7.2871072874999996</v>
      </c>
      <c r="AL23" s="82"/>
      <c r="AM23" s="82">
        <f t="shared" si="9"/>
        <v>69.507613636363644</v>
      </c>
      <c r="AN23" s="82" t="s">
        <v>701</v>
      </c>
      <c r="AO23" s="82">
        <f>8*I23</f>
        <v>196</v>
      </c>
      <c r="AP23" s="82">
        <f t="shared" si="11"/>
        <v>-17.465871456249999</v>
      </c>
      <c r="AQ23" s="63"/>
      <c r="AR23" s="77" t="s">
        <v>91</v>
      </c>
      <c r="AS23" s="63">
        <v>82</v>
      </c>
      <c r="AT23" s="63">
        <v>78</v>
      </c>
      <c r="AU23" s="63">
        <v>64</v>
      </c>
      <c r="AV23" s="63">
        <v>76</v>
      </c>
      <c r="AW23" s="63">
        <v>74</v>
      </c>
      <c r="AX23" s="63">
        <v>78</v>
      </c>
      <c r="AY23" s="63">
        <v>83</v>
      </c>
      <c r="AZ23" s="63">
        <v>93</v>
      </c>
      <c r="BA23" s="63">
        <v>71</v>
      </c>
      <c r="BB23" s="63">
        <v>85</v>
      </c>
      <c r="BC23" s="63">
        <v>70</v>
      </c>
      <c r="BD23" s="63">
        <v>69</v>
      </c>
      <c r="BE23" s="63">
        <v>86</v>
      </c>
      <c r="BF23" s="63">
        <v>70</v>
      </c>
      <c r="BG23" s="63">
        <v>76</v>
      </c>
      <c r="BH23" s="63">
        <v>84</v>
      </c>
      <c r="BI23" s="63">
        <v>67</v>
      </c>
      <c r="BJ23" s="63">
        <v>62</v>
      </c>
      <c r="BK23" s="63">
        <v>85</v>
      </c>
      <c r="BL23" s="63">
        <v>80</v>
      </c>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row>
    <row r="24" spans="1:94" s="15" customFormat="1">
      <c r="A24" s="63" t="s">
        <v>84</v>
      </c>
      <c r="B24" s="63" t="s">
        <v>109</v>
      </c>
      <c r="C24" s="64" t="s">
        <v>110</v>
      </c>
      <c r="D24" s="65" t="s">
        <v>111</v>
      </c>
      <c r="E24" s="66" t="s">
        <v>88</v>
      </c>
      <c r="F24" s="68">
        <v>181</v>
      </c>
      <c r="G24" s="68" t="s">
        <v>96</v>
      </c>
      <c r="H24" s="69">
        <v>691.42857142857144</v>
      </c>
      <c r="I24" s="83">
        <v>24.5</v>
      </c>
      <c r="J24" s="71">
        <v>15567</v>
      </c>
      <c r="K24" s="72">
        <v>2.5000000000000001E-3</v>
      </c>
      <c r="L24" s="71">
        <f t="shared" si="0"/>
        <v>15528.0825</v>
      </c>
      <c r="M24" s="73">
        <f t="shared" si="1"/>
        <v>22.45797055785124</v>
      </c>
      <c r="N24" s="74"/>
      <c r="O24" s="74"/>
      <c r="P24" s="74"/>
      <c r="Q24" s="74"/>
      <c r="R24" s="74">
        <v>1.8</v>
      </c>
      <c r="S24" s="75">
        <v>6.51</v>
      </c>
      <c r="T24" s="76">
        <f t="shared" si="2"/>
        <v>1.8</v>
      </c>
      <c r="U24" s="63" t="s">
        <v>365</v>
      </c>
      <c r="V24" s="77" t="s">
        <v>103</v>
      </c>
      <c r="W24" s="77"/>
      <c r="X24" s="78">
        <v>0.3</v>
      </c>
      <c r="Y24" s="78">
        <v>0.316</v>
      </c>
      <c r="Z24" s="79">
        <v>0.33</v>
      </c>
      <c r="AA24" s="80">
        <v>45805</v>
      </c>
      <c r="AB24" s="81">
        <f t="shared" si="24"/>
        <v>79.95</v>
      </c>
      <c r="AC24" s="81">
        <f>AB24*X24</f>
        <v>23.984999999999999</v>
      </c>
      <c r="AD24" s="81">
        <f t="shared" si="4"/>
        <v>186.22052938125</v>
      </c>
      <c r="AE24" s="81">
        <f t="shared" si="5"/>
        <v>7.6008379339285712</v>
      </c>
      <c r="AF24" s="167">
        <f t="shared" si="6"/>
        <v>0.14351548387307353</v>
      </c>
      <c r="AG24" s="264">
        <v>5.98</v>
      </c>
      <c r="AH24" s="264">
        <f t="shared" si="19"/>
        <v>0.21635422965799908</v>
      </c>
      <c r="AI24" s="77"/>
      <c r="AJ24" s="79">
        <f t="shared" si="7"/>
        <v>186.22052938125</v>
      </c>
      <c r="AK24" s="82">
        <f t="shared" si="8"/>
        <v>7.6008379339285712</v>
      </c>
      <c r="AL24" s="82"/>
      <c r="AM24" s="82">
        <f t="shared" si="9"/>
        <v>72.500113636363636</v>
      </c>
      <c r="AN24" s="82" t="s">
        <v>701</v>
      </c>
      <c r="AO24" s="82">
        <f>8*I24</f>
        <v>196</v>
      </c>
      <c r="AP24" s="82">
        <f t="shared" si="11"/>
        <v>-9.7794706187499969</v>
      </c>
      <c r="AQ24" s="63"/>
      <c r="AR24" s="77" t="s">
        <v>116</v>
      </c>
      <c r="AS24" s="63">
        <v>68</v>
      </c>
      <c r="AT24" s="63">
        <v>97</v>
      </c>
      <c r="AU24" s="63">
        <v>76</v>
      </c>
      <c r="AV24" s="63">
        <v>79</v>
      </c>
      <c r="AW24" s="63">
        <v>73</v>
      </c>
      <c r="AX24" s="63">
        <v>74</v>
      </c>
      <c r="AY24" s="63">
        <v>85</v>
      </c>
      <c r="AZ24" s="63">
        <v>88</v>
      </c>
      <c r="BA24" s="63">
        <v>87</v>
      </c>
      <c r="BB24" s="63">
        <v>76</v>
      </c>
      <c r="BC24" s="63">
        <v>79</v>
      </c>
      <c r="BD24" s="63">
        <v>89</v>
      </c>
      <c r="BE24" s="63">
        <v>73</v>
      </c>
      <c r="BF24" s="63">
        <v>85</v>
      </c>
      <c r="BG24" s="63">
        <v>89</v>
      </c>
      <c r="BH24" s="63">
        <v>76</v>
      </c>
      <c r="BI24" s="63">
        <v>73</v>
      </c>
      <c r="BJ24" s="63">
        <v>62</v>
      </c>
      <c r="BK24" s="63">
        <v>83</v>
      </c>
      <c r="BL24" s="63">
        <v>87</v>
      </c>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row>
    <row r="25" spans="1:94" s="15" customFormat="1">
      <c r="A25" s="63" t="s">
        <v>84</v>
      </c>
      <c r="B25" s="63" t="s">
        <v>109</v>
      </c>
      <c r="C25" s="64" t="s">
        <v>110</v>
      </c>
      <c r="D25" s="65" t="s">
        <v>111</v>
      </c>
      <c r="E25" s="66" t="s">
        <v>88</v>
      </c>
      <c r="F25" s="68">
        <v>181</v>
      </c>
      <c r="G25" s="68" t="s">
        <v>96</v>
      </c>
      <c r="H25" s="69">
        <v>691.42857142857144</v>
      </c>
      <c r="I25" s="83">
        <v>24.5</v>
      </c>
      <c r="J25" s="71">
        <v>15567</v>
      </c>
      <c r="K25" s="72">
        <v>2.5000000000000001E-3</v>
      </c>
      <c r="L25" s="71">
        <f t="shared" ref="L25" si="114">J25-(J25*K25)</f>
        <v>15528.0825</v>
      </c>
      <c r="M25" s="73">
        <f t="shared" ref="M25" si="115">L25/H25</f>
        <v>22.45797055785124</v>
      </c>
      <c r="N25" s="74"/>
      <c r="O25" s="74"/>
      <c r="P25" s="74"/>
      <c r="Q25" s="74"/>
      <c r="R25" s="74">
        <v>1.8</v>
      </c>
      <c r="S25" s="75">
        <v>6.51</v>
      </c>
      <c r="T25" s="76">
        <f t="shared" ref="T25" si="116">AVERAGE(N25:R25)</f>
        <v>1.8</v>
      </c>
      <c r="U25" s="63" t="s">
        <v>365</v>
      </c>
      <c r="V25" s="77" t="s">
        <v>103</v>
      </c>
      <c r="W25" s="77"/>
      <c r="X25" s="78">
        <v>0.3</v>
      </c>
      <c r="Y25" s="78">
        <v>0.316</v>
      </c>
      <c r="Z25" s="79">
        <v>0.33</v>
      </c>
      <c r="AA25" s="80">
        <v>45833</v>
      </c>
      <c r="AB25" s="81">
        <f t="shared" ref="AB25" si="117">IFERROR(AVERAGE(AS25:CP25),0)</f>
        <v>72.916666666666671</v>
      </c>
      <c r="AC25" s="81">
        <f>AB25*X25</f>
        <v>21.875</v>
      </c>
      <c r="AD25" s="81">
        <f t="shared" ref="AD25" si="118">(AC25*L25)/2000</f>
        <v>169.83840234375</v>
      </c>
      <c r="AE25" s="81">
        <f t="shared" ref="AE25" si="119">IFERROR((AD25/I25),"")</f>
        <v>6.9321796875000006</v>
      </c>
      <c r="AF25" s="167">
        <f t="shared" ref="AF25" si="120">IFERROR(((AE25-S25)/AE25),"")</f>
        <v>6.0901434546087818E-2</v>
      </c>
      <c r="AG25" s="264">
        <v>5.98</v>
      </c>
      <c r="AH25" s="264">
        <f t="shared" si="19"/>
        <v>0.23722314049586776</v>
      </c>
      <c r="AI25" s="77"/>
      <c r="AJ25" s="79">
        <f t="shared" ref="AJ25" si="121">AD25-(AI25*I25)</f>
        <v>169.83840234375</v>
      </c>
      <c r="AK25" s="82">
        <f t="shared" ref="AK25" si="122">AJ25/I25</f>
        <v>6.9321796875000006</v>
      </c>
      <c r="AL25" s="82"/>
      <c r="AM25" s="82">
        <f t="shared" ref="AM25" si="123">((AJ25*2000)/Z25)/J25</f>
        <v>66.122159090909093</v>
      </c>
      <c r="AN25" s="82" t="s">
        <v>701</v>
      </c>
      <c r="AO25" s="82">
        <f>8*I25</f>
        <v>196</v>
      </c>
      <c r="AP25" s="82">
        <f t="shared" ref="AP25" si="124">AD25-AO25</f>
        <v>-26.161597656249995</v>
      </c>
      <c r="AQ25" s="63"/>
      <c r="AR25" s="77" t="s">
        <v>91</v>
      </c>
      <c r="AS25" s="63">
        <v>81</v>
      </c>
      <c r="AT25" s="63">
        <v>83</v>
      </c>
      <c r="AU25" s="63">
        <v>71</v>
      </c>
      <c r="AV25" s="63">
        <v>93</v>
      </c>
      <c r="AW25" s="63">
        <v>68</v>
      </c>
      <c r="AX25" s="63">
        <v>63</v>
      </c>
      <c r="AY25" s="63">
        <v>79</v>
      </c>
      <c r="AZ25" s="63">
        <v>77</v>
      </c>
      <c r="BA25" s="63">
        <v>75</v>
      </c>
      <c r="BB25" s="63">
        <v>69</v>
      </c>
      <c r="BC25" s="63">
        <v>54</v>
      </c>
      <c r="BD25" s="63">
        <v>62</v>
      </c>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row>
    <row r="26" spans="1:94" s="15" customFormat="1">
      <c r="A26" s="63" t="s">
        <v>84</v>
      </c>
      <c r="B26" s="63" t="s">
        <v>109</v>
      </c>
      <c r="C26" s="64" t="s">
        <v>110</v>
      </c>
      <c r="D26" s="65" t="s">
        <v>111</v>
      </c>
      <c r="E26" s="66" t="s">
        <v>88</v>
      </c>
      <c r="F26" s="68">
        <v>181</v>
      </c>
      <c r="G26" s="68" t="s">
        <v>96</v>
      </c>
      <c r="H26" s="69">
        <v>691.42857142857144</v>
      </c>
      <c r="I26" s="83">
        <v>24.5</v>
      </c>
      <c r="J26" s="71">
        <v>15567</v>
      </c>
      <c r="K26" s="72">
        <v>2.5000000000000001E-3</v>
      </c>
      <c r="L26" s="71">
        <f t="shared" ref="L26" si="125">J26-(J26*K26)</f>
        <v>15528.0825</v>
      </c>
      <c r="M26" s="73">
        <f t="shared" ref="M26" si="126">L26/H26</f>
        <v>22.45797055785124</v>
      </c>
      <c r="N26" s="74"/>
      <c r="O26" s="74"/>
      <c r="P26" s="74"/>
      <c r="Q26" s="74"/>
      <c r="R26" s="74">
        <v>1.8</v>
      </c>
      <c r="S26" s="75">
        <v>6.51</v>
      </c>
      <c r="T26" s="76">
        <f t="shared" ref="T26" si="127">AVERAGE(N26:R26)</f>
        <v>1.8</v>
      </c>
      <c r="U26" s="63" t="s">
        <v>365</v>
      </c>
      <c r="V26" s="77" t="s">
        <v>103</v>
      </c>
      <c r="W26" s="77"/>
      <c r="X26" s="78">
        <v>0.3</v>
      </c>
      <c r="Y26" s="78">
        <v>0.316</v>
      </c>
      <c r="Z26" s="79">
        <v>0.33</v>
      </c>
      <c r="AA26" s="80">
        <v>45849</v>
      </c>
      <c r="AB26" s="81">
        <f t="shared" ref="AB26" si="128">IFERROR(AVERAGE(AS26:CP26),0)</f>
        <v>63.592592592592595</v>
      </c>
      <c r="AC26" s="81">
        <f>AB26*X26</f>
        <v>19.077777777777779</v>
      </c>
      <c r="AD26" s="81">
        <f t="shared" ref="AD26" si="129">(AC26*L26)/2000</f>
        <v>148.12065362500002</v>
      </c>
      <c r="AE26" s="81">
        <f t="shared" ref="AE26" si="130">IFERROR((AD26/I26),"")</f>
        <v>6.0457409642857147</v>
      </c>
      <c r="AF26" s="167">
        <f t="shared" ref="AF26" si="131">IFERROR(((AE26-S26)/AE26),"")</f>
        <v>-7.6791089538374852E-2</v>
      </c>
      <c r="AG26" s="264">
        <v>5.98</v>
      </c>
      <c r="AH26" s="264">
        <f t="shared" si="19"/>
        <v>0.27200527539384955</v>
      </c>
      <c r="AI26" s="77"/>
      <c r="AJ26" s="79">
        <f t="shared" ref="AJ26" si="132">AD26-(AI26*I26)</f>
        <v>148.12065362500002</v>
      </c>
      <c r="AK26" s="82">
        <f t="shared" ref="AK26" si="133">AJ26/I26</f>
        <v>6.0457409642857147</v>
      </c>
      <c r="AL26" s="82"/>
      <c r="AM26" s="82">
        <f t="shared" ref="AM26" si="134">((AJ26*2000)/Z26)/J26</f>
        <v>57.666919191919192</v>
      </c>
      <c r="AN26" s="82" t="s">
        <v>701</v>
      </c>
      <c r="AO26" s="82">
        <f>8*I26</f>
        <v>196</v>
      </c>
      <c r="AP26" s="82">
        <f t="shared" ref="AP26" si="135">AD26-AO26</f>
        <v>-47.879346374999983</v>
      </c>
      <c r="AQ26" s="63"/>
      <c r="AR26" s="77" t="s">
        <v>91</v>
      </c>
      <c r="AS26" s="63">
        <v>52</v>
      </c>
      <c r="AT26" s="63">
        <v>59</v>
      </c>
      <c r="AU26" s="63">
        <v>49</v>
      </c>
      <c r="AV26" s="63">
        <v>60</v>
      </c>
      <c r="AW26" s="63">
        <v>56</v>
      </c>
      <c r="AX26" s="63">
        <v>48</v>
      </c>
      <c r="AY26" s="63">
        <v>60</v>
      </c>
      <c r="AZ26" s="63">
        <v>67</v>
      </c>
      <c r="BA26" s="63">
        <v>56</v>
      </c>
      <c r="BB26" s="63">
        <v>60</v>
      </c>
      <c r="BC26" s="63">
        <v>58</v>
      </c>
      <c r="BD26" s="63">
        <v>59</v>
      </c>
      <c r="BE26" s="63">
        <v>48</v>
      </c>
      <c r="BF26" s="63">
        <v>49</v>
      </c>
      <c r="BG26" s="63">
        <v>59</v>
      </c>
      <c r="BH26" s="63">
        <v>64</v>
      </c>
      <c r="BI26" s="63">
        <v>81</v>
      </c>
      <c r="BJ26" s="63">
        <v>83</v>
      </c>
      <c r="BK26" s="63">
        <v>71</v>
      </c>
      <c r="BL26" s="63">
        <v>93</v>
      </c>
      <c r="BM26" s="63">
        <v>68</v>
      </c>
      <c r="BN26" s="63">
        <v>63</v>
      </c>
      <c r="BO26" s="63">
        <v>79</v>
      </c>
      <c r="BP26" s="63">
        <v>77</v>
      </c>
      <c r="BQ26" s="63">
        <v>75</v>
      </c>
      <c r="BR26" s="63">
        <v>69</v>
      </c>
      <c r="BS26" s="63">
        <v>54</v>
      </c>
      <c r="BT26" s="63"/>
      <c r="BU26" s="63"/>
      <c r="BV26" s="63"/>
      <c r="BW26" s="63"/>
      <c r="BX26" s="63"/>
      <c r="BY26" s="63"/>
      <c r="BZ26" s="63"/>
      <c r="CA26" s="63"/>
      <c r="CB26" s="63"/>
      <c r="CC26" s="63"/>
      <c r="CD26" s="63"/>
      <c r="CE26" s="63"/>
      <c r="CF26" s="63"/>
      <c r="CG26" s="63"/>
      <c r="CH26" s="63"/>
      <c r="CI26" s="63"/>
      <c r="CJ26" s="63"/>
      <c r="CK26" s="63"/>
      <c r="CL26" s="63"/>
      <c r="CM26" s="63"/>
      <c r="CN26" s="63"/>
      <c r="CO26" s="63"/>
      <c r="CP26" s="63"/>
    </row>
    <row r="27" spans="1:94" s="15" customFormat="1">
      <c r="A27" s="63" t="s">
        <v>84</v>
      </c>
      <c r="B27" s="63" t="s">
        <v>109</v>
      </c>
      <c r="C27" s="64" t="s">
        <v>110</v>
      </c>
      <c r="D27" s="65" t="s">
        <v>111</v>
      </c>
      <c r="E27" s="66" t="s">
        <v>88</v>
      </c>
      <c r="F27" s="68">
        <v>181</v>
      </c>
      <c r="G27" s="68" t="s">
        <v>96</v>
      </c>
      <c r="H27" s="69">
        <v>691.42857142857144</v>
      </c>
      <c r="I27" s="83">
        <v>24.5</v>
      </c>
      <c r="J27" s="71">
        <v>15567</v>
      </c>
      <c r="K27" s="72">
        <v>2.5000000000000001E-3</v>
      </c>
      <c r="L27" s="71">
        <f t="shared" ref="L27" si="136">J27-(J27*K27)</f>
        <v>15528.0825</v>
      </c>
      <c r="M27" s="73">
        <f t="shared" ref="M27" si="137">L27/H27</f>
        <v>22.45797055785124</v>
      </c>
      <c r="N27" s="74"/>
      <c r="O27" s="74"/>
      <c r="P27" s="74"/>
      <c r="Q27" s="74"/>
      <c r="R27" s="74">
        <v>1.8</v>
      </c>
      <c r="S27" s="75">
        <v>6.51</v>
      </c>
      <c r="T27" s="76">
        <f t="shared" ref="T27" si="138">AVERAGE(N27:R27)</f>
        <v>1.8</v>
      </c>
      <c r="U27" s="63" t="s">
        <v>365</v>
      </c>
      <c r="V27" s="77" t="s">
        <v>103</v>
      </c>
      <c r="W27" s="77"/>
      <c r="X27" s="78">
        <v>0.3</v>
      </c>
      <c r="Y27" s="78">
        <v>0.316</v>
      </c>
      <c r="Z27" s="79">
        <v>0.33</v>
      </c>
      <c r="AA27" s="80">
        <v>45895</v>
      </c>
      <c r="AB27" s="81">
        <v>55.5</v>
      </c>
      <c r="AC27" s="81">
        <f>AB27*X27</f>
        <v>16.649999999999999</v>
      </c>
      <c r="AD27" s="81">
        <f t="shared" ref="AD27" si="139">(AC27*L27)/2000</f>
        <v>129.27128681249999</v>
      </c>
      <c r="AE27" s="81">
        <f t="shared" ref="AE27" si="140">IFERROR((AD27/I27),"")</f>
        <v>5.2763790535714286</v>
      </c>
      <c r="AF27" s="167">
        <f t="shared" ref="AF27" si="141">IFERROR(((AE27-S27)/AE27),"")</f>
        <v>-0.23380066782608594</v>
      </c>
      <c r="AG27" s="264">
        <v>5.98</v>
      </c>
      <c r="AH27" s="264">
        <f t="shared" si="19"/>
        <v>0.31166703893976622</v>
      </c>
      <c r="AI27" s="77"/>
      <c r="AJ27" s="79">
        <f t="shared" ref="AJ27" si="142">AD27-(AI27*I27)</f>
        <v>129.27128681249999</v>
      </c>
      <c r="AK27" s="82">
        <f t="shared" ref="AK27" si="143">AJ27/I27</f>
        <v>5.2763790535714286</v>
      </c>
      <c r="AL27" s="82"/>
      <c r="AM27" s="82">
        <f t="shared" ref="AM27" si="144">((AJ27*2000)/Z27)/J27</f>
        <v>50.328409090909084</v>
      </c>
      <c r="AN27" s="82" t="s">
        <v>701</v>
      </c>
      <c r="AO27" s="82">
        <f>8*I27</f>
        <v>196</v>
      </c>
      <c r="AP27" s="82">
        <f t="shared" ref="AP27" si="145">AD27-AO27</f>
        <v>-66.728713187500006</v>
      </c>
      <c r="AQ27" s="63"/>
      <c r="AR27" s="77" t="s">
        <v>282</v>
      </c>
      <c r="AS27" s="63">
        <v>46</v>
      </c>
      <c r="AT27" s="63">
        <v>51</v>
      </c>
      <c r="AU27" s="63">
        <v>52</v>
      </c>
      <c r="AV27" s="63">
        <v>49</v>
      </c>
      <c r="AW27" s="63">
        <v>47</v>
      </c>
      <c r="AX27" s="63">
        <v>52</v>
      </c>
      <c r="AY27" s="63">
        <v>49</v>
      </c>
      <c r="AZ27" s="63">
        <v>54</v>
      </c>
      <c r="BA27" s="63">
        <v>59</v>
      </c>
      <c r="BB27" s="63">
        <v>43</v>
      </c>
      <c r="BC27" s="63">
        <v>47</v>
      </c>
      <c r="BD27" s="63">
        <v>56</v>
      </c>
      <c r="BE27" s="63">
        <v>57</v>
      </c>
      <c r="BF27" s="63">
        <v>52</v>
      </c>
      <c r="BG27" s="63">
        <v>58</v>
      </c>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row>
    <row r="28" spans="1:94" s="63" customFormat="1">
      <c r="A28" s="15" t="s">
        <v>84</v>
      </c>
      <c r="B28" s="15" t="s">
        <v>112</v>
      </c>
      <c r="C28" s="16" t="s">
        <v>113</v>
      </c>
      <c r="D28" s="49" t="s">
        <v>111</v>
      </c>
      <c r="E28" s="17" t="s">
        <v>114</v>
      </c>
      <c r="F28" s="18">
        <v>181</v>
      </c>
      <c r="G28" s="18" t="s">
        <v>96</v>
      </c>
      <c r="H28" s="19">
        <v>691.42857142857144</v>
      </c>
      <c r="I28" s="58">
        <v>37.6</v>
      </c>
      <c r="J28" s="21">
        <v>25345</v>
      </c>
      <c r="K28" s="22">
        <v>1E-3</v>
      </c>
      <c r="L28" s="21">
        <f t="shared" si="0"/>
        <v>25319.654999999999</v>
      </c>
      <c r="M28" s="23">
        <f t="shared" si="1"/>
        <v>36.619335743801649</v>
      </c>
      <c r="N28" s="24"/>
      <c r="O28" s="24"/>
      <c r="P28" s="24"/>
      <c r="Q28" s="24"/>
      <c r="R28" s="24">
        <v>4.13</v>
      </c>
      <c r="S28" s="57">
        <v>6.66</v>
      </c>
      <c r="T28" s="32">
        <f t="shared" si="2"/>
        <v>4.13</v>
      </c>
      <c r="U28" s="15" t="s">
        <v>365</v>
      </c>
      <c r="V28" s="25" t="s">
        <v>103</v>
      </c>
      <c r="W28" s="25"/>
      <c r="X28" s="26">
        <v>0.35</v>
      </c>
      <c r="Y28" s="26">
        <v>0.28999999999999998</v>
      </c>
      <c r="Z28" s="24">
        <v>0.38</v>
      </c>
      <c r="AA28" s="27">
        <v>45770</v>
      </c>
      <c r="AB28" s="28">
        <f t="shared" si="24"/>
        <v>70.05</v>
      </c>
      <c r="AC28" s="28">
        <f t="shared" ref="AC28:AC32" si="146">AB28*Y28</f>
        <v>20.314499999999999</v>
      </c>
      <c r="AD28" s="28">
        <f t="shared" si="4"/>
        <v>257.17806574874999</v>
      </c>
      <c r="AE28" s="28">
        <f t="shared" si="5"/>
        <v>6.839842174168882</v>
      </c>
      <c r="AF28" s="171">
        <f t="shared" si="6"/>
        <v>2.6293322212618844E-2</v>
      </c>
      <c r="AG28" s="263">
        <v>5.07</v>
      </c>
      <c r="AH28" s="263">
        <f t="shared" si="19"/>
        <v>0.2093545932362362</v>
      </c>
      <c r="AI28" s="25"/>
      <c r="AJ28" s="24">
        <f t="shared" si="7"/>
        <v>257.17806574874999</v>
      </c>
      <c r="AK28" s="29">
        <f t="shared" si="8"/>
        <v>6.839842174168882</v>
      </c>
      <c r="AL28" s="29"/>
      <c r="AM28" s="29">
        <f t="shared" si="9"/>
        <v>53.405751315789466</v>
      </c>
      <c r="AN28" s="29" t="s">
        <v>701</v>
      </c>
      <c r="AO28" s="29">
        <f t="shared" ref="AO28:AO36" si="147">9*I28</f>
        <v>338.40000000000003</v>
      </c>
      <c r="AP28" s="29">
        <f t="shared" si="11"/>
        <v>-81.221934251250048</v>
      </c>
      <c r="AQ28" s="15" t="s">
        <v>703</v>
      </c>
      <c r="AR28" s="25" t="s">
        <v>116</v>
      </c>
      <c r="AS28" s="15">
        <v>68</v>
      </c>
      <c r="AT28" s="15">
        <v>60</v>
      </c>
      <c r="AU28" s="15">
        <v>75</v>
      </c>
      <c r="AV28" s="15">
        <v>56</v>
      </c>
      <c r="AW28" s="15">
        <v>69</v>
      </c>
      <c r="AX28" s="15">
        <v>64</v>
      </c>
      <c r="AY28" s="15">
        <v>73</v>
      </c>
      <c r="AZ28" s="15">
        <v>78</v>
      </c>
      <c r="BA28" s="15">
        <v>53</v>
      </c>
      <c r="BB28" s="15">
        <v>62</v>
      </c>
      <c r="BC28" s="15">
        <v>76</v>
      </c>
      <c r="BD28" s="15">
        <v>68</v>
      </c>
      <c r="BE28" s="15">
        <v>70</v>
      </c>
      <c r="BF28" s="15">
        <v>76</v>
      </c>
      <c r="BG28" s="15">
        <v>71</v>
      </c>
      <c r="BH28" s="15">
        <v>85</v>
      </c>
      <c r="BI28" s="15">
        <v>81</v>
      </c>
      <c r="BJ28" s="15">
        <v>76</v>
      </c>
      <c r="BK28" s="15">
        <v>69</v>
      </c>
      <c r="BL28" s="15">
        <v>71</v>
      </c>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row>
    <row r="29" spans="1:94" s="15" customFormat="1">
      <c r="A29" s="15" t="s">
        <v>84</v>
      </c>
      <c r="B29" s="15" t="s">
        <v>112</v>
      </c>
      <c r="C29" s="16" t="s">
        <v>113</v>
      </c>
      <c r="D29" s="49" t="s">
        <v>111</v>
      </c>
      <c r="E29" s="17" t="s">
        <v>114</v>
      </c>
      <c r="F29" s="18">
        <v>181</v>
      </c>
      <c r="G29" s="18" t="s">
        <v>96</v>
      </c>
      <c r="H29" s="19">
        <v>691.42857142857144</v>
      </c>
      <c r="I29" s="58">
        <v>37.6</v>
      </c>
      <c r="J29" s="21">
        <v>25345</v>
      </c>
      <c r="K29" s="22">
        <v>1E-3</v>
      </c>
      <c r="L29" s="21">
        <f t="shared" si="0"/>
        <v>25319.654999999999</v>
      </c>
      <c r="M29" s="23">
        <f t="shared" si="1"/>
        <v>36.619335743801649</v>
      </c>
      <c r="N29" s="24"/>
      <c r="O29" s="24"/>
      <c r="P29" s="24"/>
      <c r="Q29" s="24"/>
      <c r="R29" s="24">
        <v>4.13</v>
      </c>
      <c r="S29" s="57">
        <v>6.66</v>
      </c>
      <c r="T29" s="32">
        <f t="shared" si="2"/>
        <v>4.13</v>
      </c>
      <c r="U29" s="15" t="s">
        <v>365</v>
      </c>
      <c r="V29" s="25" t="s">
        <v>103</v>
      </c>
      <c r="W29" s="25"/>
      <c r="X29" s="26">
        <v>0.35</v>
      </c>
      <c r="Y29" s="26">
        <v>0.28999999999999998</v>
      </c>
      <c r="Z29" s="24">
        <v>0.38</v>
      </c>
      <c r="AA29" s="27">
        <v>45775</v>
      </c>
      <c r="AB29" s="28">
        <f t="shared" si="24"/>
        <v>75</v>
      </c>
      <c r="AC29" s="28">
        <f t="shared" si="146"/>
        <v>21.75</v>
      </c>
      <c r="AD29" s="28">
        <f t="shared" si="4"/>
        <v>275.35124812499998</v>
      </c>
      <c r="AE29" s="28">
        <f t="shared" si="5"/>
        <v>7.3231714926861695</v>
      </c>
      <c r="AF29" s="171">
        <f t="shared" si="6"/>
        <v>9.0557962946586051E-2</v>
      </c>
      <c r="AG29" s="263">
        <v>5.07</v>
      </c>
      <c r="AH29" s="263">
        <f t="shared" si="19"/>
        <v>0.19553719008264461</v>
      </c>
      <c r="AI29" s="25"/>
      <c r="AJ29" s="24">
        <f t="shared" si="7"/>
        <v>275.35124812499998</v>
      </c>
      <c r="AK29" s="29">
        <f t="shared" si="8"/>
        <v>7.3231714926861695</v>
      </c>
      <c r="AL29" s="29"/>
      <c r="AM29" s="29">
        <f t="shared" si="9"/>
        <v>57.179605263157896</v>
      </c>
      <c r="AN29" s="29" t="s">
        <v>701</v>
      </c>
      <c r="AO29" s="29">
        <f t="shared" si="147"/>
        <v>338.40000000000003</v>
      </c>
      <c r="AP29" s="29">
        <f t="shared" si="11"/>
        <v>-63.04875187500005</v>
      </c>
      <c r="AR29" s="25" t="s">
        <v>91</v>
      </c>
      <c r="AS29" s="15">
        <v>57</v>
      </c>
      <c r="AT29" s="15">
        <v>56</v>
      </c>
      <c r="AU29" s="15">
        <v>74</v>
      </c>
      <c r="AV29" s="15">
        <v>66</v>
      </c>
      <c r="AW29" s="15">
        <v>100</v>
      </c>
      <c r="AX29" s="15">
        <v>75</v>
      </c>
      <c r="AY29" s="15">
        <v>77</v>
      </c>
      <c r="AZ29" s="15">
        <v>73</v>
      </c>
      <c r="BA29" s="15">
        <v>94</v>
      </c>
      <c r="BB29" s="15">
        <v>76</v>
      </c>
      <c r="BC29" s="15">
        <v>70</v>
      </c>
      <c r="BD29" s="15">
        <v>72</v>
      </c>
      <c r="BE29" s="15">
        <v>77</v>
      </c>
      <c r="BF29" s="15">
        <v>79</v>
      </c>
      <c r="BG29" s="15">
        <v>79</v>
      </c>
    </row>
    <row r="30" spans="1:94" s="15" customFormat="1">
      <c r="A30" s="15" t="s">
        <v>84</v>
      </c>
      <c r="B30" s="15" t="s">
        <v>112</v>
      </c>
      <c r="C30" s="16" t="s">
        <v>113</v>
      </c>
      <c r="D30" s="49" t="s">
        <v>111</v>
      </c>
      <c r="E30" s="17" t="s">
        <v>114</v>
      </c>
      <c r="F30" s="18">
        <v>181</v>
      </c>
      <c r="G30" s="18" t="s">
        <v>96</v>
      </c>
      <c r="H30" s="19">
        <v>691.42857142857144</v>
      </c>
      <c r="I30" s="58">
        <v>37.6</v>
      </c>
      <c r="J30" s="21">
        <v>25345</v>
      </c>
      <c r="K30" s="22">
        <v>1E-3</v>
      </c>
      <c r="L30" s="21">
        <f t="shared" si="0"/>
        <v>25319.654999999999</v>
      </c>
      <c r="M30" s="23">
        <f t="shared" si="1"/>
        <v>36.619335743801649</v>
      </c>
      <c r="N30" s="24"/>
      <c r="O30" s="24"/>
      <c r="P30" s="24"/>
      <c r="Q30" s="24"/>
      <c r="R30" s="24">
        <v>4.13</v>
      </c>
      <c r="S30" s="57">
        <v>6.66</v>
      </c>
      <c r="T30" s="32">
        <f t="shared" si="2"/>
        <v>4.13</v>
      </c>
      <c r="U30" s="15" t="s">
        <v>365</v>
      </c>
      <c r="V30" s="25" t="s">
        <v>103</v>
      </c>
      <c r="W30" s="25"/>
      <c r="X30" s="26">
        <v>0.35</v>
      </c>
      <c r="Y30" s="26">
        <v>0.28999999999999998</v>
      </c>
      <c r="Z30" s="24">
        <v>0.38</v>
      </c>
      <c r="AA30" s="27">
        <v>45792</v>
      </c>
      <c r="AB30" s="28">
        <f t="shared" si="24"/>
        <v>62.4</v>
      </c>
      <c r="AC30" s="28">
        <f t="shared" si="146"/>
        <v>18.096</v>
      </c>
      <c r="AD30" s="28">
        <f t="shared" si="4"/>
        <v>229.09223843999999</v>
      </c>
      <c r="AE30" s="28">
        <f t="shared" si="5"/>
        <v>6.0928786819148932</v>
      </c>
      <c r="AF30" s="171">
        <f t="shared" si="6"/>
        <v>-9.3079371458430191E-2</v>
      </c>
      <c r="AG30" s="263">
        <v>5.07</v>
      </c>
      <c r="AH30" s="263">
        <f t="shared" si="19"/>
        <v>0.23502066115702477</v>
      </c>
      <c r="AI30" s="25"/>
      <c r="AJ30" s="24">
        <f t="shared" si="7"/>
        <v>229.09223843999999</v>
      </c>
      <c r="AK30" s="29">
        <f t="shared" si="8"/>
        <v>6.0928786819148932</v>
      </c>
      <c r="AL30" s="29"/>
      <c r="AM30" s="29">
        <f t="shared" si="9"/>
        <v>47.573431578947364</v>
      </c>
      <c r="AN30" s="29" t="s">
        <v>701</v>
      </c>
      <c r="AO30" s="29">
        <f t="shared" si="147"/>
        <v>338.40000000000003</v>
      </c>
      <c r="AP30" s="29">
        <f t="shared" si="11"/>
        <v>-109.30776156000005</v>
      </c>
      <c r="AR30" s="25" t="s">
        <v>116</v>
      </c>
      <c r="AS30" s="15">
        <v>60</v>
      </c>
      <c r="AT30" s="15">
        <v>55</v>
      </c>
      <c r="AU30" s="15">
        <v>77</v>
      </c>
      <c r="AV30" s="15">
        <v>54</v>
      </c>
      <c r="AW30" s="15">
        <v>60</v>
      </c>
      <c r="AX30" s="15">
        <v>65</v>
      </c>
      <c r="AY30" s="15">
        <v>49</v>
      </c>
      <c r="AZ30" s="15">
        <v>69</v>
      </c>
      <c r="BA30" s="15">
        <v>62</v>
      </c>
      <c r="BB30" s="15">
        <v>56</v>
      </c>
      <c r="BC30" s="15">
        <v>57</v>
      </c>
      <c r="BD30" s="15">
        <v>59</v>
      </c>
      <c r="BE30" s="15">
        <v>63</v>
      </c>
      <c r="BF30" s="15">
        <v>69</v>
      </c>
      <c r="BG30" s="15">
        <v>63</v>
      </c>
      <c r="BH30" s="15">
        <v>70</v>
      </c>
      <c r="BI30" s="15">
        <v>59</v>
      </c>
      <c r="BJ30" s="15">
        <v>68</v>
      </c>
      <c r="BK30" s="15">
        <v>68</v>
      </c>
      <c r="BL30" s="15">
        <v>65</v>
      </c>
    </row>
    <row r="31" spans="1:94" s="15" customFormat="1">
      <c r="A31" s="15" t="s">
        <v>84</v>
      </c>
      <c r="B31" s="15" t="s">
        <v>112</v>
      </c>
      <c r="C31" s="16" t="s">
        <v>113</v>
      </c>
      <c r="D31" s="49" t="s">
        <v>111</v>
      </c>
      <c r="E31" s="17" t="s">
        <v>114</v>
      </c>
      <c r="F31" s="18">
        <v>181</v>
      </c>
      <c r="G31" s="18" t="s">
        <v>96</v>
      </c>
      <c r="H31" s="19">
        <v>691.42857142857144</v>
      </c>
      <c r="I31" s="58">
        <v>37.6</v>
      </c>
      <c r="J31" s="21">
        <v>25345</v>
      </c>
      <c r="K31" s="22">
        <v>1E-3</v>
      </c>
      <c r="L31" s="21">
        <f t="shared" si="0"/>
        <v>25319.654999999999</v>
      </c>
      <c r="M31" s="23">
        <f t="shared" si="1"/>
        <v>36.619335743801649</v>
      </c>
      <c r="N31" s="24"/>
      <c r="O31" s="24"/>
      <c r="P31" s="24"/>
      <c r="Q31" s="24"/>
      <c r="R31" s="24">
        <v>4.13</v>
      </c>
      <c r="S31" s="57">
        <v>6.66</v>
      </c>
      <c r="T31" s="32">
        <f t="shared" si="2"/>
        <v>4.13</v>
      </c>
      <c r="U31" s="15" t="s">
        <v>365</v>
      </c>
      <c r="V31" s="25" t="s">
        <v>103</v>
      </c>
      <c r="W31" s="25"/>
      <c r="X31" s="26">
        <v>0.35</v>
      </c>
      <c r="Y31" s="26">
        <v>0.28999999999999998</v>
      </c>
      <c r="Z31" s="24">
        <v>0.38</v>
      </c>
      <c r="AA31" s="27">
        <v>45805</v>
      </c>
      <c r="AB31" s="28">
        <f t="shared" si="24"/>
        <v>64.3</v>
      </c>
      <c r="AC31" s="28">
        <f t="shared" si="146"/>
        <v>18.646999999999998</v>
      </c>
      <c r="AD31" s="28">
        <f t="shared" si="4"/>
        <v>236.06780339249997</v>
      </c>
      <c r="AE31" s="28">
        <f t="shared" si="5"/>
        <v>6.2783990263962757</v>
      </c>
      <c r="AF31" s="171">
        <f t="shared" si="6"/>
        <v>-6.077998101098056E-2</v>
      </c>
      <c r="AG31" s="263">
        <v>5.07</v>
      </c>
      <c r="AH31" s="263">
        <f t="shared" si="19"/>
        <v>0.22807603819904115</v>
      </c>
      <c r="AI31" s="25"/>
      <c r="AJ31" s="24">
        <f t="shared" si="7"/>
        <v>236.06780339249997</v>
      </c>
      <c r="AK31" s="29">
        <f t="shared" si="8"/>
        <v>6.2783990263962757</v>
      </c>
      <c r="AL31" s="29"/>
      <c r="AM31" s="29">
        <f t="shared" si="9"/>
        <v>49.021981578947361</v>
      </c>
      <c r="AN31" s="29" t="s">
        <v>701</v>
      </c>
      <c r="AO31" s="29">
        <f t="shared" si="147"/>
        <v>338.40000000000003</v>
      </c>
      <c r="AP31" s="29">
        <f t="shared" si="11"/>
        <v>-102.33219660750007</v>
      </c>
      <c r="AQ31" s="15" t="s">
        <v>704</v>
      </c>
      <c r="AR31" s="25" t="s">
        <v>116</v>
      </c>
      <c r="AS31" s="15">
        <v>55</v>
      </c>
      <c r="AT31" s="15">
        <v>69</v>
      </c>
      <c r="AU31" s="15">
        <v>58</v>
      </c>
      <c r="AV31" s="15">
        <v>70</v>
      </c>
      <c r="AW31" s="15">
        <v>68</v>
      </c>
      <c r="AX31" s="15">
        <v>65</v>
      </c>
      <c r="AY31" s="15">
        <v>59</v>
      </c>
      <c r="AZ31" s="15">
        <v>57</v>
      </c>
      <c r="BA31" s="15">
        <v>72</v>
      </c>
      <c r="BB31" s="15">
        <v>65</v>
      </c>
      <c r="BC31" s="15">
        <v>62</v>
      </c>
      <c r="BD31" s="15">
        <v>67</v>
      </c>
      <c r="BE31" s="15">
        <v>58</v>
      </c>
      <c r="BF31" s="15">
        <v>64</v>
      </c>
      <c r="BG31" s="15">
        <v>68</v>
      </c>
      <c r="BH31" s="15">
        <v>75</v>
      </c>
      <c r="BI31" s="15">
        <v>57</v>
      </c>
      <c r="BJ31" s="15">
        <v>59</v>
      </c>
      <c r="BK31" s="15">
        <v>68</v>
      </c>
      <c r="BL31" s="15">
        <v>70</v>
      </c>
    </row>
    <row r="32" spans="1:94" s="15" customFormat="1">
      <c r="A32" s="15" t="s">
        <v>84</v>
      </c>
      <c r="B32" s="15" t="s">
        <v>112</v>
      </c>
      <c r="C32" s="16" t="s">
        <v>113</v>
      </c>
      <c r="D32" s="49" t="s">
        <v>111</v>
      </c>
      <c r="E32" s="17" t="s">
        <v>114</v>
      </c>
      <c r="F32" s="18">
        <v>181</v>
      </c>
      <c r="G32" s="18" t="s">
        <v>96</v>
      </c>
      <c r="H32" s="19">
        <v>691.42857142857144</v>
      </c>
      <c r="I32" s="58">
        <v>37.6</v>
      </c>
      <c r="J32" s="21">
        <v>25345</v>
      </c>
      <c r="K32" s="22">
        <v>1E-3</v>
      </c>
      <c r="L32" s="21">
        <f t="shared" ref="L32" si="148">J32-(J32*K32)</f>
        <v>25319.654999999999</v>
      </c>
      <c r="M32" s="23">
        <f t="shared" ref="M32" si="149">L32/H32</f>
        <v>36.619335743801649</v>
      </c>
      <c r="N32" s="24"/>
      <c r="O32" s="24"/>
      <c r="P32" s="24"/>
      <c r="Q32" s="24"/>
      <c r="R32" s="24">
        <v>4.13</v>
      </c>
      <c r="S32" s="57">
        <v>6.66</v>
      </c>
      <c r="T32" s="32">
        <f t="shared" ref="T32" si="150">AVERAGE(N32:R32)</f>
        <v>4.13</v>
      </c>
      <c r="U32" s="15" t="s">
        <v>365</v>
      </c>
      <c r="V32" s="25" t="s">
        <v>103</v>
      </c>
      <c r="W32" s="25"/>
      <c r="X32" s="26">
        <v>0.35</v>
      </c>
      <c r="Y32" s="26">
        <v>0.28999999999999998</v>
      </c>
      <c r="Z32" s="24">
        <v>0.38</v>
      </c>
      <c r="AA32" s="27">
        <v>45833</v>
      </c>
      <c r="AB32" s="28">
        <f t="shared" ref="AB32" si="151">IFERROR(AVERAGE(AS32:CP32),0)</f>
        <v>66.666666666666671</v>
      </c>
      <c r="AC32" s="28">
        <f t="shared" si="146"/>
        <v>19.333333333333332</v>
      </c>
      <c r="AD32" s="28">
        <f t="shared" ref="AD32" si="152">(AC32*L32)/2000</f>
        <v>244.75666499999997</v>
      </c>
      <c r="AE32" s="28">
        <f t="shared" ref="AE32" si="153">IFERROR((AD32/I32),"")</f>
        <v>6.5094857712765943</v>
      </c>
      <c r="AF32" s="171">
        <f t="shared" ref="AF32" si="154">IFERROR(((AE32-S32)/AE32),"")</f>
        <v>-2.3122291685090821E-2</v>
      </c>
      <c r="AG32" s="263">
        <v>5.07</v>
      </c>
      <c r="AH32" s="263">
        <f t="shared" si="19"/>
        <v>0.21997933884297516</v>
      </c>
      <c r="AI32" s="25"/>
      <c r="AJ32" s="24">
        <f t="shared" ref="AJ32" si="155">AD32-(AI32*I32)</f>
        <v>244.75666499999997</v>
      </c>
      <c r="AK32" s="29">
        <f t="shared" ref="AK32" si="156">AJ32/I32</f>
        <v>6.5094857712765943</v>
      </c>
      <c r="AL32" s="29"/>
      <c r="AM32" s="29">
        <f t="shared" ref="AM32" si="157">((AJ32*2000)/Z32)/J32</f>
        <v>50.826315789473675</v>
      </c>
      <c r="AN32" s="29" t="s">
        <v>701</v>
      </c>
      <c r="AO32" s="29">
        <f t="shared" ref="AO32" si="158">9*I32</f>
        <v>338.40000000000003</v>
      </c>
      <c r="AP32" s="29">
        <f t="shared" ref="AP32" si="159">AD32-AO32</f>
        <v>-93.643335000000064</v>
      </c>
      <c r="AR32" s="25" t="s">
        <v>91</v>
      </c>
      <c r="AS32" s="15">
        <v>60</v>
      </c>
      <c r="AT32" s="15">
        <v>53</v>
      </c>
      <c r="AU32" s="15">
        <v>79</v>
      </c>
      <c r="AV32" s="15">
        <v>79</v>
      </c>
      <c r="AW32" s="15">
        <v>58</v>
      </c>
      <c r="AX32" s="15">
        <v>68</v>
      </c>
      <c r="AY32" s="15">
        <v>78</v>
      </c>
      <c r="AZ32" s="15">
        <v>73</v>
      </c>
      <c r="BA32" s="15">
        <v>58</v>
      </c>
      <c r="BB32" s="15">
        <v>58</v>
      </c>
      <c r="BC32" s="15">
        <v>64</v>
      </c>
      <c r="BD32" s="15">
        <v>72</v>
      </c>
    </row>
    <row r="33" spans="1:94" s="15" customFormat="1">
      <c r="A33" s="15" t="s">
        <v>84</v>
      </c>
      <c r="B33" s="15" t="s">
        <v>112</v>
      </c>
      <c r="C33" s="16" t="s">
        <v>113</v>
      </c>
      <c r="D33" s="49" t="s">
        <v>111</v>
      </c>
      <c r="E33" s="17" t="s">
        <v>114</v>
      </c>
      <c r="F33" s="18">
        <v>181</v>
      </c>
      <c r="G33" s="18" t="s">
        <v>96</v>
      </c>
      <c r="H33" s="19">
        <v>691.42857142857144</v>
      </c>
      <c r="I33" s="58">
        <v>37.6</v>
      </c>
      <c r="J33" s="21">
        <v>25345</v>
      </c>
      <c r="K33" s="22">
        <v>1E-3</v>
      </c>
      <c r="L33" s="21">
        <f t="shared" ref="L33" si="160">J33-(J33*K33)</f>
        <v>25319.654999999999</v>
      </c>
      <c r="M33" s="23">
        <f t="shared" ref="M33" si="161">L33/H33</f>
        <v>36.619335743801649</v>
      </c>
      <c r="N33" s="24"/>
      <c r="O33" s="24"/>
      <c r="P33" s="24"/>
      <c r="Q33" s="24"/>
      <c r="R33" s="24">
        <v>4.13</v>
      </c>
      <c r="S33" s="57">
        <v>6.66</v>
      </c>
      <c r="T33" s="32">
        <f t="shared" ref="T33" si="162">AVERAGE(N33:R33)</f>
        <v>4.13</v>
      </c>
      <c r="U33" s="15" t="s">
        <v>365</v>
      </c>
      <c r="V33" s="25" t="s">
        <v>103</v>
      </c>
      <c r="W33" s="25"/>
      <c r="X33" s="26">
        <v>0.35</v>
      </c>
      <c r="Y33" s="26">
        <v>0.28999999999999998</v>
      </c>
      <c r="Z33" s="24">
        <v>0.38</v>
      </c>
      <c r="AA33" s="27">
        <v>45852</v>
      </c>
      <c r="AB33" s="28">
        <f t="shared" ref="AB33" si="163">IFERROR(AVERAGE(AS33:CP33),0)</f>
        <v>63.6875</v>
      </c>
      <c r="AC33" s="28">
        <f>AB33*Y33</f>
        <v>18.469374999999999</v>
      </c>
      <c r="AD33" s="28">
        <f t="shared" ref="AD33" si="164">(AC33*L33)/2000</f>
        <v>233.81910153281248</v>
      </c>
      <c r="AE33" s="28">
        <f t="shared" ref="AE33" si="165">IFERROR((AD33/I33),"")</f>
        <v>6.2185931258726725</v>
      </c>
      <c r="AF33" s="171">
        <f t="shared" ref="AF33" si="166">IFERROR(((AE33-S33)/AE33),"")</f>
        <v>-7.0981790445629731E-2</v>
      </c>
      <c r="AG33" s="263">
        <v>5.07</v>
      </c>
      <c r="AH33" s="263">
        <f t="shared" si="19"/>
        <v>0.2302695074574814</v>
      </c>
      <c r="AI33" s="25"/>
      <c r="AJ33" s="24">
        <f t="shared" ref="AJ33" si="167">AD33-(AI33*I33)</f>
        <v>233.81910153281248</v>
      </c>
      <c r="AK33" s="29">
        <f t="shared" ref="AK33" si="168">AJ33/I33</f>
        <v>6.2185931258726725</v>
      </c>
      <c r="AL33" s="29"/>
      <c r="AM33" s="29">
        <f t="shared" ref="AM33" si="169">((AJ33*2000)/Z33)/J33</f>
        <v>48.555014802631575</v>
      </c>
      <c r="AN33" s="29" t="s">
        <v>701</v>
      </c>
      <c r="AO33" s="29">
        <f t="shared" ref="AO33" si="170">9*I33</f>
        <v>338.40000000000003</v>
      </c>
      <c r="AP33" s="29">
        <f t="shared" ref="AP33" si="171">AD33-AO33</f>
        <v>-104.58089846718755</v>
      </c>
      <c r="AR33" s="25" t="s">
        <v>116</v>
      </c>
      <c r="AS33" s="15">
        <v>62</v>
      </c>
      <c r="AT33" s="15">
        <v>66</v>
      </c>
      <c r="AU33" s="15">
        <v>59</v>
      </c>
      <c r="AV33" s="15">
        <v>69</v>
      </c>
      <c r="AW33" s="15">
        <v>55</v>
      </c>
      <c r="AX33" s="15">
        <v>61</v>
      </c>
      <c r="AY33" s="15">
        <v>70</v>
      </c>
      <c r="AZ33" s="15">
        <v>67</v>
      </c>
      <c r="BA33" s="15">
        <v>70</v>
      </c>
      <c r="BB33" s="15">
        <v>63</v>
      </c>
      <c r="BC33" s="15">
        <v>57</v>
      </c>
      <c r="BD33" s="15">
        <v>59</v>
      </c>
      <c r="BE33" s="15">
        <v>68</v>
      </c>
      <c r="BF33" s="15">
        <v>60</v>
      </c>
      <c r="BG33" s="15">
        <v>63</v>
      </c>
      <c r="BH33" s="15">
        <v>70</v>
      </c>
    </row>
    <row r="34" spans="1:94" s="15" customFormat="1">
      <c r="A34" s="63" t="s">
        <v>84</v>
      </c>
      <c r="B34" s="63" t="s">
        <v>117</v>
      </c>
      <c r="C34" s="64" t="s">
        <v>118</v>
      </c>
      <c r="D34" s="65" t="s">
        <v>111</v>
      </c>
      <c r="E34" s="66" t="s">
        <v>119</v>
      </c>
      <c r="F34" s="68" t="s">
        <v>120</v>
      </c>
      <c r="G34" s="68" t="s">
        <v>121</v>
      </c>
      <c r="H34" s="69">
        <v>691.42857142857144</v>
      </c>
      <c r="I34" s="83">
        <v>24.5</v>
      </c>
      <c r="J34" s="71">
        <v>16485</v>
      </c>
      <c r="K34" s="237">
        <v>1E-3</v>
      </c>
      <c r="L34" s="71">
        <f t="shared" si="0"/>
        <v>16468.514999999999</v>
      </c>
      <c r="M34" s="73">
        <f t="shared" si="1"/>
        <v>23.818100206611568</v>
      </c>
      <c r="N34" s="79"/>
      <c r="O34" s="79"/>
      <c r="P34" s="79"/>
      <c r="Q34" s="79"/>
      <c r="R34" s="79">
        <v>3.84</v>
      </c>
      <c r="S34" s="84">
        <v>7.21</v>
      </c>
      <c r="T34" s="85">
        <f t="shared" si="2"/>
        <v>3.84</v>
      </c>
      <c r="U34" s="63" t="s">
        <v>106</v>
      </c>
      <c r="V34" s="77" t="s">
        <v>103</v>
      </c>
      <c r="W34" s="77"/>
      <c r="X34" s="78">
        <v>0.5</v>
      </c>
      <c r="Y34" s="78"/>
      <c r="Z34" s="79">
        <v>0.52</v>
      </c>
      <c r="AA34" s="80">
        <v>45775</v>
      </c>
      <c r="AB34" s="81">
        <f t="shared" si="24"/>
        <v>38.666666666666664</v>
      </c>
      <c r="AC34" s="81">
        <f t="shared" ref="AC34:AC40" si="172">AB34*X34</f>
        <v>19.333333333333332</v>
      </c>
      <c r="AD34" s="81">
        <f t="shared" si="4"/>
        <v>159.19564499999998</v>
      </c>
      <c r="AE34" s="81">
        <f t="shared" si="5"/>
        <v>6.4977814285714279</v>
      </c>
      <c r="AF34" s="167">
        <f t="shared" si="6"/>
        <v>-0.10960949968197947</v>
      </c>
      <c r="AG34" s="264">
        <v>6.35</v>
      </c>
      <c r="AH34" s="264">
        <f t="shared" si="19"/>
        <v>0.47502849814762033</v>
      </c>
      <c r="AI34" s="77"/>
      <c r="AJ34" s="79">
        <f t="shared" si="7"/>
        <v>159.19564499999998</v>
      </c>
      <c r="AK34" s="82">
        <f t="shared" si="8"/>
        <v>6.4977814285714279</v>
      </c>
      <c r="AL34" s="82"/>
      <c r="AM34" s="82">
        <f t="shared" si="9"/>
        <v>37.142307692307689</v>
      </c>
      <c r="AN34" s="82" t="s">
        <v>701</v>
      </c>
      <c r="AO34" s="82">
        <f t="shared" si="147"/>
        <v>220.5</v>
      </c>
      <c r="AP34" s="82">
        <f t="shared" si="11"/>
        <v>-61.304355000000015</v>
      </c>
      <c r="AQ34" s="63"/>
      <c r="AR34" s="77" t="s">
        <v>91</v>
      </c>
      <c r="AS34" s="63">
        <v>24</v>
      </c>
      <c r="AT34" s="63">
        <v>40</v>
      </c>
      <c r="AU34" s="63">
        <v>19</v>
      </c>
      <c r="AV34" s="63">
        <v>39</v>
      </c>
      <c r="AW34" s="63">
        <v>31</v>
      </c>
      <c r="AX34" s="63">
        <v>59</v>
      </c>
      <c r="AY34" s="63">
        <v>43</v>
      </c>
      <c r="AZ34" s="63">
        <v>46</v>
      </c>
      <c r="BA34" s="63">
        <v>45</v>
      </c>
      <c r="BB34" s="63">
        <v>34</v>
      </c>
      <c r="BC34" s="63">
        <v>41</v>
      </c>
      <c r="BD34" s="63">
        <v>40</v>
      </c>
      <c r="BE34" s="63">
        <v>35</v>
      </c>
      <c r="BF34" s="63">
        <v>49</v>
      </c>
      <c r="BG34" s="63">
        <v>35</v>
      </c>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row>
    <row r="35" spans="1:94" s="15" customFormat="1">
      <c r="A35" s="63" t="s">
        <v>84</v>
      </c>
      <c r="B35" s="63" t="s">
        <v>117</v>
      </c>
      <c r="C35" s="64" t="s">
        <v>118</v>
      </c>
      <c r="D35" s="65" t="s">
        <v>111</v>
      </c>
      <c r="E35" s="66" t="s">
        <v>119</v>
      </c>
      <c r="F35" s="68" t="s">
        <v>120</v>
      </c>
      <c r="G35" s="68" t="s">
        <v>121</v>
      </c>
      <c r="H35" s="69">
        <v>691.42857142857144</v>
      </c>
      <c r="I35" s="83">
        <v>24.5</v>
      </c>
      <c r="J35" s="71">
        <v>16485</v>
      </c>
      <c r="K35" s="237">
        <v>1E-3</v>
      </c>
      <c r="L35" s="71">
        <f t="shared" si="0"/>
        <v>16468.514999999999</v>
      </c>
      <c r="M35" s="73">
        <f t="shared" si="1"/>
        <v>23.818100206611568</v>
      </c>
      <c r="N35" s="79"/>
      <c r="O35" s="79"/>
      <c r="P35" s="79"/>
      <c r="Q35" s="79"/>
      <c r="R35" s="79">
        <v>3.84</v>
      </c>
      <c r="S35" s="84">
        <v>7.21</v>
      </c>
      <c r="T35" s="85">
        <f t="shared" si="2"/>
        <v>3.84</v>
      </c>
      <c r="U35" s="63" t="s">
        <v>106</v>
      </c>
      <c r="V35" s="77" t="s">
        <v>103</v>
      </c>
      <c r="W35" s="77"/>
      <c r="X35" s="78">
        <v>0.5</v>
      </c>
      <c r="Y35" s="78"/>
      <c r="Z35" s="79">
        <v>0.52</v>
      </c>
      <c r="AA35" s="80">
        <v>45792</v>
      </c>
      <c r="AB35" s="81">
        <f t="shared" si="24"/>
        <v>47.15</v>
      </c>
      <c r="AC35" s="81">
        <f t="shared" si="172"/>
        <v>23.574999999999999</v>
      </c>
      <c r="AD35" s="81">
        <f t="shared" si="4"/>
        <v>194.1226205625</v>
      </c>
      <c r="AE35" s="81">
        <f t="shared" si="5"/>
        <v>7.9233722678571432</v>
      </c>
      <c r="AF35" s="167">
        <f t="shared" si="6"/>
        <v>9.0033920373915874E-2</v>
      </c>
      <c r="AG35" s="264">
        <v>6.35</v>
      </c>
      <c r="AH35" s="264">
        <f t="shared" si="19"/>
        <v>0.38956030954488485</v>
      </c>
      <c r="AI35" s="77"/>
      <c r="AJ35" s="79">
        <f t="shared" si="7"/>
        <v>194.1226205625</v>
      </c>
      <c r="AK35" s="82">
        <f t="shared" si="8"/>
        <v>7.9233722678571432</v>
      </c>
      <c r="AL35" s="82"/>
      <c r="AM35" s="82">
        <f t="shared" si="9"/>
        <v>45.291201923076919</v>
      </c>
      <c r="AN35" s="82" t="s">
        <v>701</v>
      </c>
      <c r="AO35" s="82">
        <f t="shared" si="147"/>
        <v>220.5</v>
      </c>
      <c r="AP35" s="82">
        <f t="shared" si="11"/>
        <v>-26.377379437499997</v>
      </c>
      <c r="AQ35" s="63"/>
      <c r="AR35" s="77" t="s">
        <v>116</v>
      </c>
      <c r="AS35" s="63">
        <v>44</v>
      </c>
      <c r="AT35" s="63">
        <v>42</v>
      </c>
      <c r="AU35" s="63">
        <v>33</v>
      </c>
      <c r="AV35" s="63">
        <v>40</v>
      </c>
      <c r="AW35" s="63">
        <v>52</v>
      </c>
      <c r="AX35" s="63">
        <v>49</v>
      </c>
      <c r="AY35" s="63">
        <v>47</v>
      </c>
      <c r="AZ35" s="63">
        <v>38</v>
      </c>
      <c r="BA35" s="63">
        <v>40</v>
      </c>
      <c r="BB35" s="63">
        <v>48</v>
      </c>
      <c r="BC35" s="63">
        <v>39</v>
      </c>
      <c r="BD35" s="63">
        <v>43</v>
      </c>
      <c r="BE35" s="63">
        <v>46</v>
      </c>
      <c r="BF35" s="63">
        <v>60</v>
      </c>
      <c r="BG35" s="63">
        <v>59</v>
      </c>
      <c r="BH35" s="63">
        <v>62</v>
      </c>
      <c r="BI35" s="63">
        <v>54</v>
      </c>
      <c r="BJ35" s="63">
        <v>49</v>
      </c>
      <c r="BK35" s="63">
        <v>53</v>
      </c>
      <c r="BL35" s="63">
        <v>45</v>
      </c>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row>
    <row r="36" spans="1:94" s="15" customFormat="1">
      <c r="A36" s="63" t="s">
        <v>84</v>
      </c>
      <c r="B36" s="63" t="s">
        <v>117</v>
      </c>
      <c r="C36" s="64" t="s">
        <v>118</v>
      </c>
      <c r="D36" s="65" t="s">
        <v>111</v>
      </c>
      <c r="E36" s="66" t="s">
        <v>119</v>
      </c>
      <c r="F36" s="68" t="s">
        <v>120</v>
      </c>
      <c r="G36" s="68" t="s">
        <v>121</v>
      </c>
      <c r="H36" s="69">
        <v>691.42857142857144</v>
      </c>
      <c r="I36" s="83">
        <v>24.5</v>
      </c>
      <c r="J36" s="71">
        <v>16485</v>
      </c>
      <c r="K36" s="237">
        <v>1E-3</v>
      </c>
      <c r="L36" s="71">
        <f t="shared" si="0"/>
        <v>16468.514999999999</v>
      </c>
      <c r="M36" s="73">
        <f t="shared" si="1"/>
        <v>23.818100206611568</v>
      </c>
      <c r="N36" s="79"/>
      <c r="O36" s="79"/>
      <c r="P36" s="79"/>
      <c r="Q36" s="79"/>
      <c r="R36" s="79">
        <v>3.84</v>
      </c>
      <c r="S36" s="84">
        <v>7.21</v>
      </c>
      <c r="T36" s="85">
        <f t="shared" si="2"/>
        <v>3.84</v>
      </c>
      <c r="U36" s="63" t="s">
        <v>106</v>
      </c>
      <c r="V36" s="77" t="s">
        <v>103</v>
      </c>
      <c r="W36" s="77"/>
      <c r="X36" s="78">
        <v>0.5</v>
      </c>
      <c r="Y36" s="78"/>
      <c r="Z36" s="79">
        <v>0.52</v>
      </c>
      <c r="AA36" s="80">
        <v>45805</v>
      </c>
      <c r="AB36" s="81">
        <f t="shared" si="24"/>
        <v>54.15</v>
      </c>
      <c r="AC36" s="81">
        <f t="shared" si="172"/>
        <v>27.074999999999999</v>
      </c>
      <c r="AD36" s="81">
        <f t="shared" si="4"/>
        <v>222.94252181249999</v>
      </c>
      <c r="AE36" s="81">
        <f t="shared" si="5"/>
        <v>9.0996947678571427</v>
      </c>
      <c r="AF36" s="167">
        <f t="shared" si="6"/>
        <v>0.20766573122123971</v>
      </c>
      <c r="AG36" s="264">
        <v>6.35</v>
      </c>
      <c r="AH36" s="264">
        <f t="shared" si="19"/>
        <v>0.33920163610417947</v>
      </c>
      <c r="AI36" s="77"/>
      <c r="AJ36" s="79">
        <f t="shared" si="7"/>
        <v>222.94252181249999</v>
      </c>
      <c r="AK36" s="82">
        <f t="shared" si="8"/>
        <v>9.0996947678571427</v>
      </c>
      <c r="AL36" s="82"/>
      <c r="AM36" s="82">
        <f t="shared" si="9"/>
        <v>52.015240384615382</v>
      </c>
      <c r="AN36" s="82" t="s">
        <v>701</v>
      </c>
      <c r="AO36" s="82">
        <f t="shared" si="147"/>
        <v>220.5</v>
      </c>
      <c r="AP36" s="82">
        <f t="shared" si="11"/>
        <v>2.4425218124999901</v>
      </c>
      <c r="AQ36" s="63" t="s">
        <v>705</v>
      </c>
      <c r="AR36" s="77" t="s">
        <v>116</v>
      </c>
      <c r="AS36" s="63">
        <v>49</v>
      </c>
      <c r="AT36" s="63">
        <v>54</v>
      </c>
      <c r="AU36" s="63">
        <v>65</v>
      </c>
      <c r="AV36" s="63">
        <v>43</v>
      </c>
      <c r="AW36" s="63">
        <v>49</v>
      </c>
      <c r="AX36" s="63">
        <v>68</v>
      </c>
      <c r="AY36" s="63">
        <v>53</v>
      </c>
      <c r="AZ36" s="63">
        <v>40</v>
      </c>
      <c r="BA36" s="63">
        <v>42</v>
      </c>
      <c r="BB36" s="63">
        <v>56</v>
      </c>
      <c r="BC36" s="63">
        <v>59</v>
      </c>
      <c r="BD36" s="63">
        <v>62</v>
      </c>
      <c r="BE36" s="63">
        <v>65</v>
      </c>
      <c r="BF36" s="63">
        <v>53</v>
      </c>
      <c r="BG36" s="63">
        <v>49</v>
      </c>
      <c r="BH36" s="63">
        <v>55</v>
      </c>
      <c r="BI36" s="63">
        <v>60</v>
      </c>
      <c r="BJ36" s="63">
        <v>44</v>
      </c>
      <c r="BK36" s="63">
        <v>57</v>
      </c>
      <c r="BL36" s="63">
        <v>60</v>
      </c>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row>
    <row r="37" spans="1:94" s="15" customFormat="1">
      <c r="A37" s="63" t="s">
        <v>84</v>
      </c>
      <c r="B37" s="63" t="s">
        <v>117</v>
      </c>
      <c r="C37" s="64" t="s">
        <v>118</v>
      </c>
      <c r="D37" s="65" t="s">
        <v>111</v>
      </c>
      <c r="E37" s="66" t="s">
        <v>119</v>
      </c>
      <c r="F37" s="68" t="s">
        <v>120</v>
      </c>
      <c r="G37" s="68" t="s">
        <v>121</v>
      </c>
      <c r="H37" s="69">
        <v>691.42857142857144</v>
      </c>
      <c r="I37" s="83">
        <v>24.5</v>
      </c>
      <c r="J37" s="71">
        <v>16485</v>
      </c>
      <c r="K37" s="237">
        <v>1E-3</v>
      </c>
      <c r="L37" s="71">
        <f t="shared" ref="L37" si="173">J37-(J37*K37)</f>
        <v>16468.514999999999</v>
      </c>
      <c r="M37" s="73">
        <f t="shared" ref="M37" si="174">L37/H37</f>
        <v>23.818100206611568</v>
      </c>
      <c r="N37" s="79"/>
      <c r="O37" s="79"/>
      <c r="P37" s="79"/>
      <c r="Q37" s="79"/>
      <c r="R37" s="79">
        <v>3.84</v>
      </c>
      <c r="S37" s="84">
        <v>7.21</v>
      </c>
      <c r="T37" s="85">
        <f t="shared" ref="T37" si="175">AVERAGE(N37:R37)</f>
        <v>3.84</v>
      </c>
      <c r="U37" s="63" t="s">
        <v>106</v>
      </c>
      <c r="V37" s="77" t="s">
        <v>103</v>
      </c>
      <c r="W37" s="77"/>
      <c r="X37" s="78">
        <v>0.5</v>
      </c>
      <c r="Y37" s="78"/>
      <c r="Z37" s="79">
        <v>0.52</v>
      </c>
      <c r="AA37" s="80">
        <v>45832</v>
      </c>
      <c r="AB37" s="81">
        <f t="shared" ref="AB37" si="176">IFERROR(AVERAGE(AS37:CP37),0)</f>
        <v>45.80952380952381</v>
      </c>
      <c r="AC37" s="81">
        <f>AB37*X37</f>
        <v>22.904761904761905</v>
      </c>
      <c r="AD37" s="81">
        <f t="shared" ref="AD37" si="177">(AC37*L37)/2000</f>
        <v>188.60370749999998</v>
      </c>
      <c r="AE37" s="81">
        <f t="shared" ref="AE37" si="178">IFERROR((AD37/I37),"")</f>
        <v>7.6981105102040814</v>
      </c>
      <c r="AF37" s="167">
        <f t="shared" ref="AF37" si="179">IFERROR(((AE37-S37)/AE37),"")</f>
        <v>6.3406534571967502E-2</v>
      </c>
      <c r="AG37" s="264">
        <v>6.35</v>
      </c>
      <c r="AH37" s="264">
        <f t="shared" si="19"/>
        <v>0.40095960550505999</v>
      </c>
      <c r="AI37" s="77"/>
      <c r="AJ37" s="79">
        <f t="shared" ref="AJ37" si="180">AD37-(AI37*I37)</f>
        <v>188.60370749999998</v>
      </c>
      <c r="AK37" s="82">
        <f t="shared" ref="AK37" si="181">AJ37/I37</f>
        <v>7.6981105102040814</v>
      </c>
      <c r="AL37" s="82"/>
      <c r="AM37" s="82">
        <f t="shared" ref="AM37" si="182">((AJ37*2000)/Z37)/J37</f>
        <v>44.003571428571419</v>
      </c>
      <c r="AN37" s="82" t="s">
        <v>701</v>
      </c>
      <c r="AO37" s="82">
        <f t="shared" ref="AO37" si="183">9*I37</f>
        <v>220.5</v>
      </c>
      <c r="AP37" s="82">
        <f t="shared" ref="AP37" si="184">AD37-AO37</f>
        <v>-31.896292500000015</v>
      </c>
      <c r="AQ37" s="63"/>
      <c r="AR37" s="77" t="s">
        <v>91</v>
      </c>
      <c r="AS37" s="63">
        <v>53</v>
      </c>
      <c r="AT37" s="63">
        <v>41</v>
      </c>
      <c r="AU37" s="63">
        <v>40</v>
      </c>
      <c r="AV37" s="63">
        <v>58</v>
      </c>
      <c r="AW37" s="63">
        <v>58</v>
      </c>
      <c r="AX37" s="63">
        <v>51</v>
      </c>
      <c r="AY37" s="63">
        <v>41</v>
      </c>
      <c r="AZ37" s="63">
        <v>55</v>
      </c>
      <c r="BA37" s="63">
        <v>42</v>
      </c>
      <c r="BB37" s="63">
        <v>52</v>
      </c>
      <c r="BC37" s="63">
        <v>40</v>
      </c>
      <c r="BD37" s="63">
        <v>43</v>
      </c>
      <c r="BE37" s="63">
        <v>41</v>
      </c>
      <c r="BF37" s="63">
        <v>34</v>
      </c>
      <c r="BG37" s="63">
        <v>39</v>
      </c>
      <c r="BH37" s="63">
        <v>40</v>
      </c>
      <c r="BI37" s="63">
        <v>41</v>
      </c>
      <c r="BJ37" s="63">
        <v>42</v>
      </c>
      <c r="BK37" s="63">
        <v>50</v>
      </c>
      <c r="BL37" s="63">
        <v>52</v>
      </c>
      <c r="BM37" s="63">
        <v>49</v>
      </c>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row>
    <row r="38" spans="1:94" s="15" customFormat="1">
      <c r="A38" s="63" t="s">
        <v>84</v>
      </c>
      <c r="B38" s="63" t="s">
        <v>117</v>
      </c>
      <c r="C38" s="64" t="s">
        <v>118</v>
      </c>
      <c r="D38" s="65" t="s">
        <v>111</v>
      </c>
      <c r="E38" s="66" t="s">
        <v>119</v>
      </c>
      <c r="F38" s="68" t="s">
        <v>120</v>
      </c>
      <c r="G38" s="68" t="s">
        <v>121</v>
      </c>
      <c r="H38" s="69">
        <v>691.42857142857144</v>
      </c>
      <c r="I38" s="83">
        <v>24.5</v>
      </c>
      <c r="J38" s="71">
        <v>16485</v>
      </c>
      <c r="K38" s="237">
        <v>1E-3</v>
      </c>
      <c r="L38" s="71">
        <f t="shared" ref="L38" si="185">J38-(J38*K38)</f>
        <v>16468.514999999999</v>
      </c>
      <c r="M38" s="73">
        <f t="shared" ref="M38" si="186">L38/H38</f>
        <v>23.818100206611568</v>
      </c>
      <c r="N38" s="79"/>
      <c r="O38" s="79"/>
      <c r="P38" s="79"/>
      <c r="Q38" s="79"/>
      <c r="R38" s="79">
        <v>3.84</v>
      </c>
      <c r="S38" s="84">
        <v>7.21</v>
      </c>
      <c r="T38" s="85">
        <f t="shared" ref="T38" si="187">AVERAGE(N38:R38)</f>
        <v>3.84</v>
      </c>
      <c r="U38" s="63" t="s">
        <v>106</v>
      </c>
      <c r="V38" s="77" t="s">
        <v>103</v>
      </c>
      <c r="W38" s="77"/>
      <c r="X38" s="78">
        <v>0.5</v>
      </c>
      <c r="Y38" s="78"/>
      <c r="Z38" s="79">
        <v>0.52</v>
      </c>
      <c r="AA38" s="80">
        <v>45859</v>
      </c>
      <c r="AB38" s="81">
        <f t="shared" ref="AB38" si="188">IFERROR(AVERAGE(AS38:CP38),0)</f>
        <v>46.125</v>
      </c>
      <c r="AC38" s="81">
        <f>AB38*X38</f>
        <v>23.0625</v>
      </c>
      <c r="AD38" s="81">
        <f t="shared" ref="AD38" si="189">(AC38*L38)/2000</f>
        <v>189.90256359375002</v>
      </c>
      <c r="AE38" s="81">
        <f t="shared" ref="AE38" si="190">IFERROR((AD38/I38),"")</f>
        <v>7.7511250446428575</v>
      </c>
      <c r="AF38" s="167">
        <f t="shared" ref="AF38" si="191">IFERROR(((AE38-S38)/AE38),"")</f>
        <v>6.981245193778067E-2</v>
      </c>
      <c r="AG38" s="264">
        <v>6.35</v>
      </c>
      <c r="AH38" s="264">
        <f t="shared" si="19"/>
        <v>0.39821720531254895</v>
      </c>
      <c r="AI38" s="77"/>
      <c r="AJ38" s="79">
        <f t="shared" ref="AJ38" si="192">AD38-(AI38*I38)</f>
        <v>189.90256359375002</v>
      </c>
      <c r="AK38" s="82">
        <f t="shared" ref="AK38" si="193">AJ38/I38</f>
        <v>7.7511250446428575</v>
      </c>
      <c r="AL38" s="82"/>
      <c r="AM38" s="82">
        <f t="shared" ref="AM38" si="194">((AJ38*2000)/Z38)/J38</f>
        <v>44.306610576923077</v>
      </c>
      <c r="AN38" s="82" t="s">
        <v>701</v>
      </c>
      <c r="AO38" s="82">
        <f t="shared" ref="AO38" si="195">9*I38</f>
        <v>220.5</v>
      </c>
      <c r="AP38" s="82">
        <f t="shared" ref="AP38" si="196">AD38-AO38</f>
        <v>-30.597436406249983</v>
      </c>
      <c r="AQ38" s="63"/>
      <c r="AR38" s="77" t="s">
        <v>116</v>
      </c>
      <c r="AS38" s="63">
        <v>42</v>
      </c>
      <c r="AT38" s="63">
        <v>44</v>
      </c>
      <c r="AU38" s="63">
        <v>49</v>
      </c>
      <c r="AV38" s="63">
        <v>43</v>
      </c>
      <c r="AW38" s="63">
        <v>43</v>
      </c>
      <c r="AX38" s="63">
        <v>50</v>
      </c>
      <c r="AY38" s="63">
        <v>41</v>
      </c>
      <c r="AZ38" s="63">
        <v>48</v>
      </c>
      <c r="BA38" s="63">
        <v>52</v>
      </c>
      <c r="BB38" s="63">
        <v>40</v>
      </c>
      <c r="BC38" s="63">
        <v>51</v>
      </c>
      <c r="BD38" s="63">
        <v>50</v>
      </c>
      <c r="BE38" s="63">
        <v>48</v>
      </c>
      <c r="BF38" s="63">
        <v>45</v>
      </c>
      <c r="BG38" s="63">
        <v>49</v>
      </c>
      <c r="BH38" s="63">
        <v>43</v>
      </c>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row>
    <row r="39" spans="1:94" s="63" customFormat="1">
      <c r="A39" s="15" t="s">
        <v>84</v>
      </c>
      <c r="B39" s="15" t="s">
        <v>123</v>
      </c>
      <c r="C39" s="16" t="s">
        <v>124</v>
      </c>
      <c r="D39" s="49" t="s">
        <v>111</v>
      </c>
      <c r="E39" s="17" t="s">
        <v>88</v>
      </c>
      <c r="F39" s="18">
        <v>7</v>
      </c>
      <c r="G39" s="18" t="s">
        <v>125</v>
      </c>
      <c r="H39" s="19">
        <v>726</v>
      </c>
      <c r="I39" s="58">
        <v>39.200000000000003</v>
      </c>
      <c r="J39" s="21">
        <v>27935</v>
      </c>
      <c r="K39" s="22">
        <v>2E-3</v>
      </c>
      <c r="L39" s="21">
        <f t="shared" si="0"/>
        <v>27879.13</v>
      </c>
      <c r="M39" s="23">
        <f t="shared" si="1"/>
        <v>38.401005509641877</v>
      </c>
      <c r="N39" s="30"/>
      <c r="O39" s="30"/>
      <c r="P39" s="30"/>
      <c r="Q39" s="30"/>
      <c r="R39" s="30">
        <v>4.1900000000000004</v>
      </c>
      <c r="S39" s="56">
        <v>7.7</v>
      </c>
      <c r="T39" s="31">
        <f t="shared" si="2"/>
        <v>4.1900000000000004</v>
      </c>
      <c r="U39" s="15" t="s">
        <v>365</v>
      </c>
      <c r="V39" s="25" t="s">
        <v>103</v>
      </c>
      <c r="W39" s="25"/>
      <c r="X39" s="26">
        <v>0.3</v>
      </c>
      <c r="Y39" s="26"/>
      <c r="Z39" s="24">
        <v>0.33</v>
      </c>
      <c r="AA39" s="27">
        <v>45783</v>
      </c>
      <c r="AB39" s="28">
        <f t="shared" si="24"/>
        <v>88.333333333333329</v>
      </c>
      <c r="AC39" s="28">
        <f t="shared" si="172"/>
        <v>26.499999999999996</v>
      </c>
      <c r="AD39" s="28">
        <f t="shared" si="4"/>
        <v>369.39847249999997</v>
      </c>
      <c r="AE39" s="28">
        <f t="shared" si="5"/>
        <v>9.4234304209183666</v>
      </c>
      <c r="AF39" s="171">
        <f t="shared" si="6"/>
        <v>0.18288779605064548</v>
      </c>
      <c r="AG39" s="263">
        <v>6.94</v>
      </c>
      <c r="AH39" s="263">
        <f t="shared" si="19"/>
        <v>0.21643536566349608</v>
      </c>
      <c r="AI39" s="25"/>
      <c r="AJ39" s="24">
        <f t="shared" si="7"/>
        <v>369.39847249999997</v>
      </c>
      <c r="AK39" s="29">
        <f t="shared" si="8"/>
        <v>9.4234304209183666</v>
      </c>
      <c r="AL39" s="29"/>
      <c r="AM39" s="29">
        <f t="shared" si="9"/>
        <v>80.142424242424241</v>
      </c>
      <c r="AN39" s="29" t="s">
        <v>701</v>
      </c>
      <c r="AO39" s="29">
        <f>8*I39</f>
        <v>313.60000000000002</v>
      </c>
      <c r="AP39" s="29">
        <f t="shared" si="11"/>
        <v>55.798472499999946</v>
      </c>
      <c r="AQ39" s="15"/>
      <c r="AR39" s="25" t="s">
        <v>91</v>
      </c>
      <c r="AS39" s="15">
        <v>88</v>
      </c>
      <c r="AT39" s="15">
        <v>75</v>
      </c>
      <c r="AU39" s="15">
        <v>102</v>
      </c>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row>
    <row r="40" spans="1:94" s="63" customFormat="1">
      <c r="A40" s="15" t="s">
        <v>84</v>
      </c>
      <c r="B40" s="15" t="s">
        <v>123</v>
      </c>
      <c r="C40" s="16" t="s">
        <v>124</v>
      </c>
      <c r="D40" s="49" t="s">
        <v>111</v>
      </c>
      <c r="E40" s="17" t="s">
        <v>88</v>
      </c>
      <c r="F40" s="18">
        <v>7</v>
      </c>
      <c r="G40" s="18" t="s">
        <v>125</v>
      </c>
      <c r="H40" s="19">
        <v>726</v>
      </c>
      <c r="I40" s="58">
        <v>39.200000000000003</v>
      </c>
      <c r="J40" s="21">
        <v>27935</v>
      </c>
      <c r="K40" s="22">
        <v>2E-3</v>
      </c>
      <c r="L40" s="21">
        <f t="shared" si="0"/>
        <v>27879.13</v>
      </c>
      <c r="M40" s="23">
        <f t="shared" si="1"/>
        <v>38.401005509641877</v>
      </c>
      <c r="N40" s="30"/>
      <c r="O40" s="30"/>
      <c r="P40" s="30"/>
      <c r="Q40" s="30"/>
      <c r="R40" s="30">
        <v>4.1900000000000004</v>
      </c>
      <c r="S40" s="56">
        <v>7.7</v>
      </c>
      <c r="T40" s="31">
        <f t="shared" si="2"/>
        <v>4.1900000000000004</v>
      </c>
      <c r="U40" s="15" t="s">
        <v>365</v>
      </c>
      <c r="V40" s="25" t="s">
        <v>103</v>
      </c>
      <c r="W40" s="25"/>
      <c r="X40" s="26">
        <v>0.3</v>
      </c>
      <c r="Y40" s="26"/>
      <c r="Z40" s="24">
        <v>0.33</v>
      </c>
      <c r="AA40" s="27">
        <v>45810</v>
      </c>
      <c r="AB40" s="28">
        <f t="shared" si="24"/>
        <v>84.75</v>
      </c>
      <c r="AC40" s="28">
        <f t="shared" si="172"/>
        <v>25.425000000000001</v>
      </c>
      <c r="AD40" s="28">
        <f t="shared" si="4"/>
        <v>354.41344012500002</v>
      </c>
      <c r="AE40" s="28">
        <f t="shared" si="5"/>
        <v>9.0411591868622452</v>
      </c>
      <c r="AF40" s="171">
        <f t="shared" si="6"/>
        <v>0.14833929578533361</v>
      </c>
      <c r="AG40" s="263">
        <v>6.94</v>
      </c>
      <c r="AH40" s="263">
        <f t="shared" si="19"/>
        <v>0.22558651681740988</v>
      </c>
      <c r="AI40" s="25"/>
      <c r="AJ40" s="24">
        <f t="shared" si="7"/>
        <v>354.41344012500002</v>
      </c>
      <c r="AK40" s="29">
        <f t="shared" si="8"/>
        <v>9.0411591868622452</v>
      </c>
      <c r="AL40" s="29"/>
      <c r="AM40" s="29">
        <f t="shared" si="9"/>
        <v>76.891363636363636</v>
      </c>
      <c r="AN40" s="29" t="s">
        <v>701</v>
      </c>
      <c r="AO40" s="29">
        <f>8*I40</f>
        <v>313.60000000000002</v>
      </c>
      <c r="AP40" s="29">
        <f t="shared" si="11"/>
        <v>40.813440125</v>
      </c>
      <c r="AQ40" s="15"/>
      <c r="AR40" s="25" t="s">
        <v>91</v>
      </c>
      <c r="AS40" s="15">
        <v>70</v>
      </c>
      <c r="AT40" s="15">
        <v>84</v>
      </c>
      <c r="AU40" s="15">
        <v>101</v>
      </c>
      <c r="AV40" s="15">
        <v>90</v>
      </c>
      <c r="AW40" s="15">
        <v>92</v>
      </c>
      <c r="AX40" s="15">
        <v>104</v>
      </c>
      <c r="AY40" s="15">
        <v>108</v>
      </c>
      <c r="AZ40" s="15">
        <v>80</v>
      </c>
      <c r="BA40" s="15">
        <v>76</v>
      </c>
      <c r="BB40" s="15">
        <v>61</v>
      </c>
      <c r="BC40" s="15">
        <v>68</v>
      </c>
      <c r="BD40" s="15">
        <v>83</v>
      </c>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row>
    <row r="41" spans="1:94" s="15" customFormat="1">
      <c r="A41" s="63" t="s">
        <v>84</v>
      </c>
      <c r="B41" s="63" t="s">
        <v>127</v>
      </c>
      <c r="C41" s="64" t="s">
        <v>128</v>
      </c>
      <c r="D41" s="65" t="s">
        <v>111</v>
      </c>
      <c r="E41" s="66" t="s">
        <v>129</v>
      </c>
      <c r="F41" s="68">
        <v>3</v>
      </c>
      <c r="G41" s="68" t="s">
        <v>96</v>
      </c>
      <c r="H41" s="69">
        <v>691.42857142857144</v>
      </c>
      <c r="I41" s="83">
        <v>18.8</v>
      </c>
      <c r="J41" s="71">
        <v>12621</v>
      </c>
      <c r="K41" s="237">
        <v>1E-3</v>
      </c>
      <c r="L41" s="71">
        <f t="shared" si="0"/>
        <v>12608.379000000001</v>
      </c>
      <c r="M41" s="73">
        <f t="shared" si="1"/>
        <v>18.235258884297522</v>
      </c>
      <c r="N41" s="79"/>
      <c r="O41" s="79"/>
      <c r="P41" s="79"/>
      <c r="Q41" s="79"/>
      <c r="R41" s="79">
        <v>4.24</v>
      </c>
      <c r="S41" s="84">
        <v>5.04</v>
      </c>
      <c r="T41" s="85">
        <f t="shared" si="2"/>
        <v>4.24</v>
      </c>
      <c r="U41" s="63" t="s">
        <v>297</v>
      </c>
      <c r="V41" s="77" t="s">
        <v>366</v>
      </c>
      <c r="W41" s="77"/>
      <c r="X41" s="78">
        <v>0.5</v>
      </c>
      <c r="Y41" s="78">
        <v>0.42</v>
      </c>
      <c r="Z41" s="79">
        <v>0.45</v>
      </c>
      <c r="AA41" s="80">
        <v>45776</v>
      </c>
      <c r="AB41" s="81">
        <f t="shared" si="24"/>
        <v>66.933333333333337</v>
      </c>
      <c r="AC41" s="81">
        <f>AB41*Y41</f>
        <v>28.112000000000002</v>
      </c>
      <c r="AD41" s="81">
        <f t="shared" si="4"/>
        <v>177.22337522400002</v>
      </c>
      <c r="AE41" s="81">
        <f t="shared" si="5"/>
        <v>9.4267752778723413</v>
      </c>
      <c r="AF41" s="167">
        <f t="shared" si="6"/>
        <v>0.46535269469820789</v>
      </c>
      <c r="AG41" s="264">
        <v>7.57</v>
      </c>
      <c r="AH41" s="264">
        <f t="shared" si="19"/>
        <v>0.32714184583978145</v>
      </c>
      <c r="AI41" s="77">
        <v>9.5</v>
      </c>
      <c r="AJ41" s="79">
        <f t="shared" si="7"/>
        <v>-1.3766247759999715</v>
      </c>
      <c r="AK41" s="82">
        <f t="shared" si="8"/>
        <v>-7.3224722127658057E-2</v>
      </c>
      <c r="AL41" s="82">
        <f t="shared" ref="AL41:AL46" si="197">(((AI41*M41)*2000)/L41)/Z41</f>
        <v>61.065197428833791</v>
      </c>
      <c r="AM41" s="82">
        <f t="shared" si="9"/>
        <v>-0.48477397494474689</v>
      </c>
      <c r="AN41" s="82" t="s">
        <v>701</v>
      </c>
      <c r="AO41" s="82">
        <f t="shared" ref="AO41:AO46" si="198">9*I41</f>
        <v>169.20000000000002</v>
      </c>
      <c r="AP41" s="82">
        <f t="shared" si="11"/>
        <v>8.0233752240000058</v>
      </c>
      <c r="AQ41" s="63"/>
      <c r="AR41" s="77" t="s">
        <v>91</v>
      </c>
      <c r="AS41" s="63">
        <v>62</v>
      </c>
      <c r="AT41" s="63">
        <v>76</v>
      </c>
      <c r="AU41" s="63">
        <v>53</v>
      </c>
      <c r="AV41" s="63">
        <v>62</v>
      </c>
      <c r="AW41" s="63">
        <v>73</v>
      </c>
      <c r="AX41" s="63">
        <v>81</v>
      </c>
      <c r="AY41" s="63">
        <v>67</v>
      </c>
      <c r="AZ41" s="63">
        <v>59</v>
      </c>
      <c r="BA41" s="63">
        <v>63</v>
      </c>
      <c r="BB41" s="63">
        <v>80</v>
      </c>
      <c r="BC41" s="63">
        <v>59</v>
      </c>
      <c r="BD41" s="63">
        <v>69</v>
      </c>
      <c r="BE41" s="63">
        <v>77</v>
      </c>
      <c r="BF41" s="63">
        <v>71</v>
      </c>
      <c r="BG41" s="63">
        <v>52</v>
      </c>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c r="CF41" s="63"/>
      <c r="CG41" s="63"/>
      <c r="CH41" s="63"/>
      <c r="CI41" s="63"/>
      <c r="CJ41" s="63"/>
      <c r="CK41" s="63"/>
      <c r="CL41" s="63"/>
      <c r="CM41" s="63"/>
      <c r="CN41" s="63"/>
      <c r="CO41" s="63"/>
      <c r="CP41" s="63"/>
    </row>
    <row r="42" spans="1:94" s="63" customFormat="1">
      <c r="A42" s="63" t="s">
        <v>84</v>
      </c>
      <c r="B42" s="63" t="s">
        <v>127</v>
      </c>
      <c r="C42" s="64" t="s">
        <v>128</v>
      </c>
      <c r="D42" s="65" t="s">
        <v>111</v>
      </c>
      <c r="E42" s="66" t="s">
        <v>129</v>
      </c>
      <c r="F42" s="68">
        <v>3</v>
      </c>
      <c r="G42" s="68" t="s">
        <v>96</v>
      </c>
      <c r="H42" s="69">
        <v>691.42857142857144</v>
      </c>
      <c r="I42" s="83">
        <v>18.8</v>
      </c>
      <c r="J42" s="71">
        <v>12621</v>
      </c>
      <c r="K42" s="237">
        <v>1E-3</v>
      </c>
      <c r="L42" s="71">
        <f t="shared" si="0"/>
        <v>12608.379000000001</v>
      </c>
      <c r="M42" s="73">
        <f t="shared" si="1"/>
        <v>18.235258884297522</v>
      </c>
      <c r="N42" s="79"/>
      <c r="O42" s="79"/>
      <c r="P42" s="79"/>
      <c r="Q42" s="79"/>
      <c r="R42" s="79">
        <v>4.24</v>
      </c>
      <c r="S42" s="84">
        <v>5.04</v>
      </c>
      <c r="T42" s="85">
        <f t="shared" si="2"/>
        <v>4.24</v>
      </c>
      <c r="U42" s="63" t="s">
        <v>706</v>
      </c>
      <c r="V42" s="77" t="s">
        <v>103</v>
      </c>
      <c r="W42" s="77"/>
      <c r="X42" s="78">
        <v>0.5</v>
      </c>
      <c r="Y42" s="78">
        <v>0.42</v>
      </c>
      <c r="Z42" s="79">
        <v>0.45</v>
      </c>
      <c r="AA42" s="80">
        <v>45782</v>
      </c>
      <c r="AB42" s="81">
        <f t="shared" si="24"/>
        <v>57.8125</v>
      </c>
      <c r="AC42" s="81">
        <f t="shared" ref="AC42:AC45" si="199">AB42*Y42</f>
        <v>24.28125</v>
      </c>
      <c r="AD42" s="81">
        <f t="shared" si="4"/>
        <v>153.07360129687501</v>
      </c>
      <c r="AE42" s="81">
        <f t="shared" si="5"/>
        <v>8.1422128349401603</v>
      </c>
      <c r="AF42" s="167">
        <f t="shared" si="6"/>
        <v>0.38100365316266749</v>
      </c>
      <c r="AG42" s="264">
        <v>7.57</v>
      </c>
      <c r="AH42" s="264">
        <f t="shared" si="19"/>
        <v>0.37875362966272069</v>
      </c>
      <c r="AI42" s="77">
        <v>9.5</v>
      </c>
      <c r="AJ42" s="79">
        <f t="shared" si="7"/>
        <v>-25.526398703124983</v>
      </c>
      <c r="AK42" s="82">
        <f t="shared" si="8"/>
        <v>-1.3577871650598394</v>
      </c>
      <c r="AL42" s="82">
        <f t="shared" si="197"/>
        <v>61.065197428833791</v>
      </c>
      <c r="AM42" s="82">
        <f t="shared" si="9"/>
        <v>-8.9890389749447497</v>
      </c>
      <c r="AN42" s="82" t="s">
        <v>701</v>
      </c>
      <c r="AO42" s="82">
        <f t="shared" si="198"/>
        <v>169.20000000000002</v>
      </c>
      <c r="AP42" s="82">
        <f t="shared" si="11"/>
        <v>-16.126398703125005</v>
      </c>
      <c r="AQ42" s="63" t="s">
        <v>707</v>
      </c>
      <c r="AR42" s="77" t="s">
        <v>91</v>
      </c>
      <c r="AS42" s="63">
        <v>73</v>
      </c>
      <c r="AT42" s="63">
        <v>41</v>
      </c>
      <c r="AU42" s="63">
        <v>67</v>
      </c>
      <c r="AV42" s="63">
        <v>57</v>
      </c>
      <c r="AW42" s="63">
        <v>48</v>
      </c>
      <c r="AX42" s="63">
        <v>56</v>
      </c>
      <c r="AY42" s="63">
        <v>51</v>
      </c>
      <c r="AZ42" s="63">
        <v>57</v>
      </c>
      <c r="BA42" s="63">
        <v>73</v>
      </c>
      <c r="BB42" s="63">
        <v>68</v>
      </c>
      <c r="BC42" s="63">
        <v>46</v>
      </c>
      <c r="BD42" s="63">
        <v>50</v>
      </c>
      <c r="BE42" s="63">
        <v>68</v>
      </c>
      <c r="BF42" s="63">
        <v>62</v>
      </c>
      <c r="BG42" s="63">
        <v>59</v>
      </c>
      <c r="BH42" s="63">
        <v>49</v>
      </c>
    </row>
    <row r="43" spans="1:94" s="63" customFormat="1">
      <c r="A43" s="63" t="s">
        <v>84</v>
      </c>
      <c r="B43" s="63" t="s">
        <v>127</v>
      </c>
      <c r="C43" s="64" t="s">
        <v>128</v>
      </c>
      <c r="D43" s="65" t="s">
        <v>111</v>
      </c>
      <c r="E43" s="66" t="s">
        <v>129</v>
      </c>
      <c r="F43" s="68">
        <v>3</v>
      </c>
      <c r="G43" s="68" t="s">
        <v>96</v>
      </c>
      <c r="H43" s="69">
        <v>691.42857142857144</v>
      </c>
      <c r="I43" s="83">
        <v>18.8</v>
      </c>
      <c r="J43" s="71">
        <v>12621</v>
      </c>
      <c r="K43" s="237">
        <v>1E-3</v>
      </c>
      <c r="L43" s="71">
        <f t="shared" si="0"/>
        <v>12608.379000000001</v>
      </c>
      <c r="M43" s="73">
        <f t="shared" si="1"/>
        <v>18.235258884297522</v>
      </c>
      <c r="N43" s="79"/>
      <c r="O43" s="79"/>
      <c r="P43" s="79"/>
      <c r="Q43" s="79"/>
      <c r="R43" s="79">
        <v>4.24</v>
      </c>
      <c r="S43" s="84">
        <v>5.04</v>
      </c>
      <c r="T43" s="85">
        <f t="shared" si="2"/>
        <v>4.24</v>
      </c>
      <c r="U43" s="63" t="s">
        <v>706</v>
      </c>
      <c r="V43" s="77" t="s">
        <v>103</v>
      </c>
      <c r="W43" s="77"/>
      <c r="X43" s="78">
        <v>0.5</v>
      </c>
      <c r="Y43" s="78">
        <v>0.42</v>
      </c>
      <c r="Z43" s="79">
        <v>0.45</v>
      </c>
      <c r="AA43" s="80">
        <v>45790</v>
      </c>
      <c r="AB43" s="81">
        <f t="shared" si="24"/>
        <v>54.1</v>
      </c>
      <c r="AC43" s="81">
        <f t="shared" si="199"/>
        <v>22.722000000000001</v>
      </c>
      <c r="AD43" s="81">
        <f t="shared" si="4"/>
        <v>143.24379381900002</v>
      </c>
      <c r="AE43" s="81">
        <f t="shared" si="5"/>
        <v>7.6193507350531924</v>
      </c>
      <c r="AF43" s="167">
        <f t="shared" si="6"/>
        <v>0.33852631605298916</v>
      </c>
      <c r="AG43" s="264">
        <v>7.57</v>
      </c>
      <c r="AH43" s="264">
        <f t="shared" si="19"/>
        <v>0.40474480988680295</v>
      </c>
      <c r="AI43" s="77">
        <v>9.5</v>
      </c>
      <c r="AJ43" s="79">
        <f t="shared" si="7"/>
        <v>-35.356206180999976</v>
      </c>
      <c r="AK43" s="82">
        <f t="shared" si="8"/>
        <v>-1.8806492649468072</v>
      </c>
      <c r="AL43" s="82">
        <f t="shared" si="197"/>
        <v>61.065197428833791</v>
      </c>
      <c r="AM43" s="82">
        <f t="shared" si="9"/>
        <v>-12.450573974944751</v>
      </c>
      <c r="AN43" s="82" t="s">
        <v>701</v>
      </c>
      <c r="AO43" s="82">
        <f t="shared" si="198"/>
        <v>169.20000000000002</v>
      </c>
      <c r="AP43" s="82">
        <f t="shared" si="11"/>
        <v>-25.956206180999999</v>
      </c>
      <c r="AR43" s="77" t="s">
        <v>116</v>
      </c>
      <c r="AS43" s="63">
        <v>67</v>
      </c>
      <c r="AT43" s="63">
        <v>49</v>
      </c>
      <c r="AU43" s="63">
        <v>55</v>
      </c>
      <c r="AV43" s="63">
        <v>59</v>
      </c>
      <c r="AW43" s="63">
        <v>45</v>
      </c>
      <c r="AX43" s="63">
        <v>47</v>
      </c>
      <c r="AY43" s="63">
        <v>62</v>
      </c>
      <c r="AZ43" s="63">
        <v>48</v>
      </c>
      <c r="BA43" s="63">
        <v>63</v>
      </c>
      <c r="BB43" s="63">
        <v>40</v>
      </c>
      <c r="BC43" s="63">
        <v>50</v>
      </c>
      <c r="BD43" s="63">
        <v>59</v>
      </c>
      <c r="BE43" s="63">
        <v>46</v>
      </c>
      <c r="BF43" s="63">
        <v>61</v>
      </c>
      <c r="BG43" s="63">
        <v>50</v>
      </c>
      <c r="BH43" s="63">
        <v>48</v>
      </c>
      <c r="BI43" s="63">
        <v>45</v>
      </c>
      <c r="BJ43" s="63">
        <v>69</v>
      </c>
      <c r="BK43" s="63">
        <v>70</v>
      </c>
      <c r="BL43" s="63">
        <v>49</v>
      </c>
    </row>
    <row r="44" spans="1:94" s="63" customFormat="1">
      <c r="A44" s="63" t="s">
        <v>84</v>
      </c>
      <c r="B44" s="63" t="s">
        <v>127</v>
      </c>
      <c r="C44" s="64" t="s">
        <v>128</v>
      </c>
      <c r="D44" s="65" t="s">
        <v>111</v>
      </c>
      <c r="E44" s="66" t="s">
        <v>129</v>
      </c>
      <c r="F44" s="68">
        <v>3</v>
      </c>
      <c r="G44" s="68" t="s">
        <v>96</v>
      </c>
      <c r="H44" s="69">
        <v>691.42857142857144</v>
      </c>
      <c r="I44" s="83">
        <v>18.8</v>
      </c>
      <c r="J44" s="71">
        <v>12621</v>
      </c>
      <c r="K44" s="237">
        <v>1E-3</v>
      </c>
      <c r="L44" s="71">
        <f t="shared" si="0"/>
        <v>12608.379000000001</v>
      </c>
      <c r="M44" s="73">
        <f t="shared" si="1"/>
        <v>18.235258884297522</v>
      </c>
      <c r="N44" s="79"/>
      <c r="O44" s="79"/>
      <c r="P44" s="79"/>
      <c r="Q44" s="79"/>
      <c r="R44" s="79">
        <v>4.24</v>
      </c>
      <c r="S44" s="84">
        <v>5.04</v>
      </c>
      <c r="T44" s="85">
        <f t="shared" si="2"/>
        <v>4.24</v>
      </c>
      <c r="U44" s="63" t="s">
        <v>706</v>
      </c>
      <c r="V44" s="77" t="s">
        <v>103</v>
      </c>
      <c r="W44" s="77"/>
      <c r="X44" s="78">
        <v>0.5</v>
      </c>
      <c r="Y44" s="78">
        <v>0.42</v>
      </c>
      <c r="Z44" s="79">
        <v>0.45</v>
      </c>
      <c r="AA44" s="80">
        <v>45810</v>
      </c>
      <c r="AB44" s="81">
        <f t="shared" si="24"/>
        <v>57</v>
      </c>
      <c r="AC44" s="81">
        <f t="shared" si="199"/>
        <v>23.939999999999998</v>
      </c>
      <c r="AD44" s="81">
        <f t="shared" si="4"/>
        <v>150.92229663000001</v>
      </c>
      <c r="AE44" s="81">
        <f t="shared" si="5"/>
        <v>8.0277817356382979</v>
      </c>
      <c r="AF44" s="167">
        <f t="shared" si="6"/>
        <v>0.37218024032397734</v>
      </c>
      <c r="AG44" s="264">
        <v>7.57</v>
      </c>
      <c r="AH44" s="264">
        <f t="shared" si="19"/>
        <v>0.38415253008554456</v>
      </c>
      <c r="AI44" s="77">
        <v>9.5</v>
      </c>
      <c r="AJ44" s="79">
        <f t="shared" si="7"/>
        <v>-27.677703369999989</v>
      </c>
      <c r="AK44" s="82">
        <f t="shared" si="8"/>
        <v>-1.4722182643617014</v>
      </c>
      <c r="AL44" s="82">
        <f t="shared" si="197"/>
        <v>61.065197428833791</v>
      </c>
      <c r="AM44" s="82">
        <f t="shared" si="9"/>
        <v>-9.7466139749447525</v>
      </c>
      <c r="AN44" s="82" t="s">
        <v>701</v>
      </c>
      <c r="AO44" s="82">
        <f t="shared" si="198"/>
        <v>169.20000000000002</v>
      </c>
      <c r="AP44" s="82">
        <f t="shared" si="11"/>
        <v>-18.277703370000012</v>
      </c>
      <c r="AQ44" s="63" t="s">
        <v>708</v>
      </c>
      <c r="AR44" s="77" t="s">
        <v>91</v>
      </c>
      <c r="AS44" s="63">
        <v>70</v>
      </c>
      <c r="AT44" s="63">
        <v>45</v>
      </c>
      <c r="AU44" s="63">
        <v>75</v>
      </c>
      <c r="AV44" s="63">
        <v>46</v>
      </c>
      <c r="AW44" s="63">
        <v>58</v>
      </c>
      <c r="AX44" s="63">
        <v>48</v>
      </c>
      <c r="AY44" s="63">
        <v>53</v>
      </c>
      <c r="AZ44" s="63">
        <v>48</v>
      </c>
      <c r="BA44" s="63">
        <v>73</v>
      </c>
      <c r="BB44" s="63">
        <v>53</v>
      </c>
      <c r="BC44" s="63">
        <v>58</v>
      </c>
    </row>
    <row r="45" spans="1:94" s="63" customFormat="1">
      <c r="A45" s="63" t="s">
        <v>84</v>
      </c>
      <c r="B45" s="63" t="s">
        <v>127</v>
      </c>
      <c r="C45" s="64" t="s">
        <v>128</v>
      </c>
      <c r="D45" s="65" t="s">
        <v>111</v>
      </c>
      <c r="E45" s="66" t="s">
        <v>129</v>
      </c>
      <c r="F45" s="68">
        <v>3</v>
      </c>
      <c r="G45" s="68" t="s">
        <v>96</v>
      </c>
      <c r="H45" s="69">
        <v>691.42857142857144</v>
      </c>
      <c r="I45" s="83">
        <v>18.8</v>
      </c>
      <c r="J45" s="71">
        <v>12621</v>
      </c>
      <c r="K45" s="237">
        <v>1E-3</v>
      </c>
      <c r="L45" s="71">
        <f t="shared" ref="L45" si="200">J45-(J45*K45)</f>
        <v>12608.379000000001</v>
      </c>
      <c r="M45" s="73">
        <f t="shared" ref="M45" si="201">L45/H45</f>
        <v>18.235258884297522</v>
      </c>
      <c r="N45" s="79"/>
      <c r="O45" s="79"/>
      <c r="P45" s="79"/>
      <c r="Q45" s="79"/>
      <c r="R45" s="79">
        <v>4.24</v>
      </c>
      <c r="S45" s="84">
        <v>5.04</v>
      </c>
      <c r="T45" s="85">
        <f t="shared" ref="T45" si="202">AVERAGE(N45:R45)</f>
        <v>4.24</v>
      </c>
      <c r="U45" s="63" t="s">
        <v>706</v>
      </c>
      <c r="V45" s="77" t="s">
        <v>103</v>
      </c>
      <c r="W45" s="77"/>
      <c r="X45" s="78">
        <v>0.5</v>
      </c>
      <c r="Y45" s="78">
        <v>0.42</v>
      </c>
      <c r="Z45" s="79">
        <v>0.45</v>
      </c>
      <c r="AA45" s="80">
        <v>45833</v>
      </c>
      <c r="AB45" s="81">
        <f t="shared" ref="AB45" si="203">IFERROR(AVERAGE(AS45:CP45),0)</f>
        <v>62.833333333333336</v>
      </c>
      <c r="AC45" s="81">
        <f t="shared" si="199"/>
        <v>26.39</v>
      </c>
      <c r="AD45" s="81">
        <f t="shared" ref="AD45" si="204">(AC45*L45)/2000</f>
        <v>166.36756090500003</v>
      </c>
      <c r="AE45" s="81">
        <f t="shared" si="5"/>
        <v>8.8493383460106401</v>
      </c>
      <c r="AF45" s="167">
        <f t="shared" ref="AF45" si="205">IFERROR(((AE45-S45)/AE45),"")</f>
        <v>0.43046589440530586</v>
      </c>
      <c r="AG45" s="264">
        <v>7.57</v>
      </c>
      <c r="AH45" s="264">
        <f t="shared" si="19"/>
        <v>0.34848850209351784</v>
      </c>
      <c r="AI45" s="77">
        <v>9.5</v>
      </c>
      <c r="AJ45" s="79">
        <f t="shared" ref="AJ45" si="206">AD45-(AI45*I45)</f>
        <v>-12.232439094999961</v>
      </c>
      <c r="AK45" s="82">
        <f t="shared" ref="AK45" si="207">AJ45/I45</f>
        <v>-0.6506616539893596</v>
      </c>
      <c r="AL45" s="82">
        <f t="shared" si="197"/>
        <v>61.065197428833791</v>
      </c>
      <c r="AM45" s="82">
        <f t="shared" ref="AM45" si="208">((AJ45*2000)/Z45)/J45</f>
        <v>-4.3076139749447435</v>
      </c>
      <c r="AN45" s="82" t="s">
        <v>701</v>
      </c>
      <c r="AO45" s="82">
        <f t="shared" si="198"/>
        <v>169.20000000000002</v>
      </c>
      <c r="AP45" s="82">
        <f t="shared" ref="AP45" si="209">AD45-AO45</f>
        <v>-2.8324390949999838</v>
      </c>
      <c r="AR45" s="77" t="s">
        <v>91</v>
      </c>
      <c r="AS45" s="63">
        <v>77</v>
      </c>
      <c r="AT45" s="63">
        <v>61</v>
      </c>
      <c r="AU45" s="63">
        <v>81</v>
      </c>
      <c r="AV45" s="63">
        <v>60</v>
      </c>
      <c r="AW45" s="63">
        <v>49</v>
      </c>
      <c r="AX45" s="63">
        <v>72</v>
      </c>
      <c r="AY45" s="63">
        <v>70</v>
      </c>
      <c r="AZ45" s="63">
        <v>54</v>
      </c>
      <c r="BA45" s="63">
        <v>55</v>
      </c>
      <c r="BB45" s="63">
        <v>55</v>
      </c>
      <c r="BC45" s="63">
        <v>61</v>
      </c>
      <c r="BD45" s="63">
        <v>59</v>
      </c>
    </row>
    <row r="46" spans="1:94" s="63" customFormat="1">
      <c r="A46" s="63" t="s">
        <v>84</v>
      </c>
      <c r="B46" s="63" t="s">
        <v>127</v>
      </c>
      <c r="C46" s="64" t="s">
        <v>128</v>
      </c>
      <c r="D46" s="65" t="s">
        <v>111</v>
      </c>
      <c r="E46" s="66" t="s">
        <v>129</v>
      </c>
      <c r="F46" s="68">
        <v>3</v>
      </c>
      <c r="G46" s="68" t="s">
        <v>96</v>
      </c>
      <c r="H46" s="69">
        <v>691.42857142857144</v>
      </c>
      <c r="I46" s="83">
        <v>18.8</v>
      </c>
      <c r="J46" s="71">
        <v>12621</v>
      </c>
      <c r="K46" s="237">
        <v>1E-3</v>
      </c>
      <c r="L46" s="71">
        <f t="shared" ref="L46" si="210">J46-(J46*K46)</f>
        <v>12608.379000000001</v>
      </c>
      <c r="M46" s="73">
        <f t="shared" ref="M46" si="211">L46/H46</f>
        <v>18.235258884297522</v>
      </c>
      <c r="N46" s="79"/>
      <c r="O46" s="79"/>
      <c r="P46" s="79"/>
      <c r="Q46" s="79"/>
      <c r="R46" s="79">
        <v>4.24</v>
      </c>
      <c r="S46" s="84">
        <v>5.04</v>
      </c>
      <c r="T46" s="85">
        <f t="shared" ref="T46" si="212">AVERAGE(N46:R46)</f>
        <v>4.24</v>
      </c>
      <c r="U46" s="63" t="s">
        <v>706</v>
      </c>
      <c r="V46" s="77" t="s">
        <v>103</v>
      </c>
      <c r="W46" s="77"/>
      <c r="X46" s="78">
        <v>0.5</v>
      </c>
      <c r="Y46" s="78">
        <v>0.42</v>
      </c>
      <c r="Z46" s="79">
        <v>0.45</v>
      </c>
      <c r="AA46" s="80">
        <v>45859</v>
      </c>
      <c r="AB46" s="81">
        <v>53</v>
      </c>
      <c r="AC46" s="81">
        <f>AB46*Y46</f>
        <v>22.259999999999998</v>
      </c>
      <c r="AD46" s="81">
        <f t="shared" ref="AD46" si="213">(AC46*L46)/2000</f>
        <v>140.33125826999998</v>
      </c>
      <c r="AE46" s="81">
        <f t="shared" si="5"/>
        <v>7.4644286313829769</v>
      </c>
      <c r="AF46" s="167">
        <f t="shared" ref="AF46" si="214">IFERROR(((AE46-S46)/AE46),"")</f>
        <v>0.32479761695220188</v>
      </c>
      <c r="AG46" s="264">
        <v>7.57</v>
      </c>
      <c r="AH46" s="264">
        <f t="shared" si="19"/>
        <v>0.41314517386558564</v>
      </c>
      <c r="AI46" s="77">
        <v>9.5</v>
      </c>
      <c r="AJ46" s="79">
        <f t="shared" ref="AJ46" si="215">AD46-(AI46*I46)</f>
        <v>-38.268741730000016</v>
      </c>
      <c r="AK46" s="82">
        <f t="shared" ref="AK46" si="216">AJ46/I46</f>
        <v>-2.0355713686170223</v>
      </c>
      <c r="AL46" s="82">
        <f t="shared" si="197"/>
        <v>61.065197428833791</v>
      </c>
      <c r="AM46" s="82">
        <f t="shared" ref="AM46" si="217">((AJ46*2000)/Z46)/J46</f>
        <v>-13.476213974944763</v>
      </c>
      <c r="AN46" s="82" t="s">
        <v>701</v>
      </c>
      <c r="AO46" s="82">
        <f t="shared" si="198"/>
        <v>169.20000000000002</v>
      </c>
      <c r="AP46" s="82">
        <f t="shared" ref="AP46" si="218">AD46-AO46</f>
        <v>-28.868741730000039</v>
      </c>
      <c r="AR46" s="77" t="s">
        <v>91</v>
      </c>
      <c r="AS46" s="63">
        <v>49</v>
      </c>
      <c r="AT46" s="63">
        <v>55</v>
      </c>
      <c r="AU46" s="63">
        <v>59</v>
      </c>
      <c r="AV46" s="63">
        <v>48</v>
      </c>
      <c r="AW46" s="63">
        <v>43</v>
      </c>
      <c r="AX46" s="63">
        <v>46</v>
      </c>
      <c r="AY46" s="63">
        <v>43</v>
      </c>
      <c r="AZ46" s="63">
        <v>50</v>
      </c>
      <c r="BA46" s="63">
        <v>47</v>
      </c>
      <c r="BB46" s="63">
        <v>60</v>
      </c>
      <c r="BC46" s="63">
        <v>55</v>
      </c>
      <c r="BD46" s="63">
        <v>50</v>
      </c>
      <c r="BE46" s="63">
        <v>62</v>
      </c>
      <c r="BF46" s="63">
        <v>48</v>
      </c>
      <c r="BG46" s="63">
        <v>43</v>
      </c>
      <c r="BH46" s="63">
        <v>49</v>
      </c>
    </row>
    <row r="47" spans="1:94" s="63" customFormat="1">
      <c r="A47" s="63" t="s">
        <v>84</v>
      </c>
      <c r="B47" s="63" t="s">
        <v>127</v>
      </c>
      <c r="C47" s="64" t="s">
        <v>128</v>
      </c>
      <c r="D47" s="65" t="s">
        <v>111</v>
      </c>
      <c r="E47" s="66" t="s">
        <v>129</v>
      </c>
      <c r="F47" s="68">
        <v>3</v>
      </c>
      <c r="G47" s="68" t="s">
        <v>96</v>
      </c>
      <c r="H47" s="69">
        <v>691.42857142857144</v>
      </c>
      <c r="I47" s="83">
        <v>18.8</v>
      </c>
      <c r="J47" s="71">
        <v>12621</v>
      </c>
      <c r="K47" s="237">
        <v>1E-3</v>
      </c>
      <c r="L47" s="71">
        <f t="shared" ref="L47" si="219">J47-(J47*K47)</f>
        <v>12608.379000000001</v>
      </c>
      <c r="M47" s="73">
        <f t="shared" ref="M47" si="220">L47/H47</f>
        <v>18.235258884297522</v>
      </c>
      <c r="N47" s="79"/>
      <c r="O47" s="79"/>
      <c r="P47" s="79"/>
      <c r="Q47" s="79"/>
      <c r="R47" s="79">
        <v>4.24</v>
      </c>
      <c r="S47" s="84">
        <v>5.04</v>
      </c>
      <c r="T47" s="85">
        <f t="shared" ref="T47" si="221">AVERAGE(N47:R47)</f>
        <v>4.24</v>
      </c>
      <c r="U47" s="63" t="s">
        <v>706</v>
      </c>
      <c r="V47" s="77" t="s">
        <v>103</v>
      </c>
      <c r="W47" s="77"/>
      <c r="X47" s="78">
        <v>0.5</v>
      </c>
      <c r="Y47" s="78">
        <v>0.42</v>
      </c>
      <c r="Z47" s="79">
        <v>0.45</v>
      </c>
      <c r="AA47" s="80">
        <v>45859</v>
      </c>
      <c r="AB47" s="81">
        <v>53</v>
      </c>
      <c r="AC47" s="81">
        <f>AB47*Y47</f>
        <v>22.259999999999998</v>
      </c>
      <c r="AD47" s="81">
        <f t="shared" ref="AD47" si="222">(AC47*L47)/2000</f>
        <v>140.33125826999998</v>
      </c>
      <c r="AE47" s="81">
        <f t="shared" ref="AE47" si="223">IFERROR((AD47/I47),"")</f>
        <v>7.4644286313829769</v>
      </c>
      <c r="AF47" s="167">
        <f t="shared" ref="AF47" si="224">IFERROR(((AE47-S47)/AE47),"")</f>
        <v>0.32479761695220188</v>
      </c>
      <c r="AG47" s="264">
        <v>7.57</v>
      </c>
      <c r="AH47" s="264">
        <f t="shared" ref="AH47" si="225">(((AG47*M47)*2000)/L47)/AB47</f>
        <v>0.41314517386558564</v>
      </c>
      <c r="AI47" s="77">
        <v>9.5</v>
      </c>
      <c r="AJ47" s="79">
        <f t="shared" ref="AJ47" si="226">AD47-(AI47*I47)</f>
        <v>-38.268741730000016</v>
      </c>
      <c r="AK47" s="82">
        <f t="shared" ref="AK47" si="227">AJ47/I47</f>
        <v>-2.0355713686170223</v>
      </c>
      <c r="AL47" s="82">
        <f t="shared" ref="AL47" si="228">(((AI47*M47)*2000)/L47)/Z47</f>
        <v>61.065197428833791</v>
      </c>
      <c r="AM47" s="82">
        <f t="shared" ref="AM47" si="229">((AJ47*2000)/Z47)/J47</f>
        <v>-13.476213974944763</v>
      </c>
      <c r="AN47" s="82" t="s">
        <v>701</v>
      </c>
      <c r="AO47" s="82">
        <f t="shared" ref="AO47" si="230">9*I47</f>
        <v>169.20000000000002</v>
      </c>
      <c r="AP47" s="82">
        <f t="shared" ref="AP47" si="231">AD47-AO47</f>
        <v>-28.868741730000039</v>
      </c>
      <c r="AR47" s="77" t="s">
        <v>116</v>
      </c>
      <c r="AS47" s="63">
        <v>49</v>
      </c>
      <c r="AT47" s="63">
        <v>55</v>
      </c>
      <c r="AU47" s="63">
        <v>59</v>
      </c>
      <c r="AV47" s="63">
        <v>48</v>
      </c>
      <c r="AW47" s="63">
        <v>43</v>
      </c>
      <c r="AX47" s="63">
        <v>46</v>
      </c>
      <c r="AY47" s="63">
        <v>43</v>
      </c>
      <c r="AZ47" s="63">
        <v>50</v>
      </c>
      <c r="BA47" s="63">
        <v>47</v>
      </c>
      <c r="BB47" s="63">
        <v>60</v>
      </c>
      <c r="BC47" s="63">
        <v>55</v>
      </c>
      <c r="BD47" s="63">
        <v>50</v>
      </c>
      <c r="BE47" s="63">
        <v>62</v>
      </c>
      <c r="BF47" s="63">
        <v>48</v>
      </c>
      <c r="BG47" s="63">
        <v>43</v>
      </c>
      <c r="BH47" s="63">
        <v>49</v>
      </c>
    </row>
    <row r="48" spans="1:94" s="63" customFormat="1">
      <c r="A48" s="15" t="s">
        <v>84</v>
      </c>
      <c r="B48" s="15" t="s">
        <v>132</v>
      </c>
      <c r="C48" s="16" t="s">
        <v>133</v>
      </c>
      <c r="D48" s="49" t="s">
        <v>111</v>
      </c>
      <c r="E48" s="17" t="s">
        <v>134</v>
      </c>
      <c r="F48" s="59" t="s">
        <v>135</v>
      </c>
      <c r="G48" s="18" t="s">
        <v>136</v>
      </c>
      <c r="H48" s="19">
        <v>806.66666666666663</v>
      </c>
      <c r="I48" s="58">
        <v>21</v>
      </c>
      <c r="J48" s="21">
        <v>16549</v>
      </c>
      <c r="K48" s="22">
        <v>1E-3</v>
      </c>
      <c r="L48" s="21">
        <f t="shared" si="0"/>
        <v>16532.451000000001</v>
      </c>
      <c r="M48" s="23">
        <f t="shared" si="1"/>
        <v>20.494773966942152</v>
      </c>
      <c r="N48" s="30"/>
      <c r="O48" s="30"/>
      <c r="P48" s="30"/>
      <c r="Q48" s="30"/>
      <c r="R48" s="30">
        <v>3.55</v>
      </c>
      <c r="S48" s="56">
        <v>7</v>
      </c>
      <c r="T48" s="31">
        <f t="shared" si="2"/>
        <v>3.55</v>
      </c>
      <c r="U48" s="15" t="s">
        <v>365</v>
      </c>
      <c r="V48" s="25" t="s">
        <v>103</v>
      </c>
      <c r="W48" s="25"/>
      <c r="X48" s="26">
        <v>0.3</v>
      </c>
      <c r="Y48" s="26">
        <v>0.31</v>
      </c>
      <c r="Z48" s="24">
        <v>0.33</v>
      </c>
      <c r="AA48" s="27">
        <v>45782</v>
      </c>
      <c r="AB48" s="28">
        <f t="shared" si="24"/>
        <v>70.3125</v>
      </c>
      <c r="AC48" s="28">
        <f t="shared" ref="AC48:AC71" si="232">AB48*X48</f>
        <v>21.09375</v>
      </c>
      <c r="AD48" s="28">
        <f t="shared" si="4"/>
        <v>174.36569414062501</v>
      </c>
      <c r="AE48" s="117">
        <f t="shared" si="5"/>
        <v>8.3031282924107153</v>
      </c>
      <c r="AF48" s="170">
        <f t="shared" si="6"/>
        <v>0.15694425601032924</v>
      </c>
      <c r="AG48" s="265">
        <v>6.23</v>
      </c>
      <c r="AH48" s="265">
        <f t="shared" si="19"/>
        <v>0.21968044077134991</v>
      </c>
      <c r="AI48" s="25"/>
      <c r="AJ48" s="24">
        <f t="shared" si="7"/>
        <v>174.36569414062501</v>
      </c>
      <c r="AK48" s="29">
        <f t="shared" si="8"/>
        <v>8.3031282924107153</v>
      </c>
      <c r="AL48" s="29"/>
      <c r="AM48" s="29">
        <f t="shared" si="9"/>
        <v>63.856534090909093</v>
      </c>
      <c r="AN48" s="29" t="s">
        <v>701</v>
      </c>
      <c r="AO48" s="29">
        <f>6.5*I48</f>
        <v>136.5</v>
      </c>
      <c r="AP48" s="29">
        <f t="shared" si="11"/>
        <v>37.86569414062501</v>
      </c>
      <c r="AQ48" s="15"/>
      <c r="AR48" s="25"/>
      <c r="AS48" s="15">
        <v>80</v>
      </c>
      <c r="AT48" s="15">
        <v>51</v>
      </c>
      <c r="AU48" s="15">
        <v>65</v>
      </c>
      <c r="AV48" s="15">
        <v>54</v>
      </c>
      <c r="AW48" s="15">
        <v>77</v>
      </c>
      <c r="AX48" s="15">
        <v>69</v>
      </c>
      <c r="AY48" s="15">
        <v>52</v>
      </c>
      <c r="AZ48" s="15">
        <v>46</v>
      </c>
      <c r="BA48" s="15">
        <v>68</v>
      </c>
      <c r="BB48" s="15">
        <v>76</v>
      </c>
      <c r="BC48" s="15">
        <v>68</v>
      </c>
      <c r="BD48" s="15">
        <v>83</v>
      </c>
      <c r="BE48" s="15">
        <v>79</v>
      </c>
      <c r="BF48" s="15">
        <v>94</v>
      </c>
      <c r="BG48" s="15">
        <v>81</v>
      </c>
      <c r="BH48" s="15">
        <v>82</v>
      </c>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row>
    <row r="49" spans="1:94" s="63" customFormat="1">
      <c r="A49" s="15" t="s">
        <v>84</v>
      </c>
      <c r="B49" s="15" t="s">
        <v>132</v>
      </c>
      <c r="C49" s="16" t="s">
        <v>133</v>
      </c>
      <c r="D49" s="49" t="s">
        <v>111</v>
      </c>
      <c r="E49" s="17" t="s">
        <v>134</v>
      </c>
      <c r="F49" s="59" t="s">
        <v>135</v>
      </c>
      <c r="G49" s="18" t="s">
        <v>136</v>
      </c>
      <c r="H49" s="19">
        <v>806.66666666666663</v>
      </c>
      <c r="I49" s="58">
        <v>21</v>
      </c>
      <c r="J49" s="21">
        <v>16549</v>
      </c>
      <c r="K49" s="22">
        <v>1E-3</v>
      </c>
      <c r="L49" s="21">
        <f t="shared" si="0"/>
        <v>16532.451000000001</v>
      </c>
      <c r="M49" s="23">
        <f t="shared" si="1"/>
        <v>20.494773966942152</v>
      </c>
      <c r="N49" s="30"/>
      <c r="O49" s="30"/>
      <c r="P49" s="30"/>
      <c r="Q49" s="30"/>
      <c r="R49" s="30">
        <v>3.55</v>
      </c>
      <c r="S49" s="56">
        <v>7</v>
      </c>
      <c r="T49" s="31">
        <f t="shared" si="2"/>
        <v>3.55</v>
      </c>
      <c r="U49" s="15" t="s">
        <v>365</v>
      </c>
      <c r="V49" s="25" t="s">
        <v>103</v>
      </c>
      <c r="W49" s="25"/>
      <c r="X49" s="26">
        <v>0.3</v>
      </c>
      <c r="Y49" s="26">
        <v>0.31</v>
      </c>
      <c r="Z49" s="24">
        <v>0.33</v>
      </c>
      <c r="AA49" s="27">
        <v>45810</v>
      </c>
      <c r="AB49" s="28">
        <f t="shared" si="24"/>
        <v>67.416666666666671</v>
      </c>
      <c r="AC49" s="28">
        <f t="shared" si="232"/>
        <v>20.225000000000001</v>
      </c>
      <c r="AD49" s="28">
        <f t="shared" si="4"/>
        <v>167.18441073750003</v>
      </c>
      <c r="AE49" s="117">
        <f t="shared" si="5"/>
        <v>7.9611624160714296</v>
      </c>
      <c r="AF49" s="170">
        <f t="shared" si="6"/>
        <v>0.12073141657443179</v>
      </c>
      <c r="AG49" s="265">
        <v>6.23</v>
      </c>
      <c r="AH49" s="265">
        <f t="shared" si="19"/>
        <v>0.22911665253501418</v>
      </c>
      <c r="AI49" s="25"/>
      <c r="AJ49" s="24">
        <f t="shared" si="7"/>
        <v>167.18441073750003</v>
      </c>
      <c r="AK49" s="29">
        <f t="shared" si="8"/>
        <v>7.9611624160714296</v>
      </c>
      <c r="AL49" s="29"/>
      <c r="AM49" s="29">
        <f t="shared" si="9"/>
        <v>61.226590909090923</v>
      </c>
      <c r="AN49" s="29" t="s">
        <v>701</v>
      </c>
      <c r="AO49" s="29">
        <f>6.5*I49</f>
        <v>136.5</v>
      </c>
      <c r="AP49" s="29">
        <f t="shared" si="11"/>
        <v>30.684410737500031</v>
      </c>
      <c r="AQ49" s="15"/>
      <c r="AR49" s="25" t="s">
        <v>91</v>
      </c>
      <c r="AS49" s="15">
        <v>53</v>
      </c>
      <c r="AT49" s="15">
        <v>79</v>
      </c>
      <c r="AU49" s="15">
        <v>50</v>
      </c>
      <c r="AV49" s="15">
        <v>54</v>
      </c>
      <c r="AW49" s="15">
        <v>52</v>
      </c>
      <c r="AX49" s="15">
        <v>54</v>
      </c>
      <c r="AY49" s="15">
        <v>61</v>
      </c>
      <c r="AZ49" s="15">
        <v>76</v>
      </c>
      <c r="BA49" s="15">
        <v>90</v>
      </c>
      <c r="BB49" s="15">
        <v>80</v>
      </c>
      <c r="BC49" s="15">
        <v>81</v>
      </c>
      <c r="BD49" s="15">
        <v>79</v>
      </c>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row>
    <row r="50" spans="1:94" s="63" customFormat="1">
      <c r="A50" s="15" t="s">
        <v>84</v>
      </c>
      <c r="B50" s="15" t="s">
        <v>132</v>
      </c>
      <c r="C50" s="16" t="s">
        <v>133</v>
      </c>
      <c r="D50" s="49" t="s">
        <v>111</v>
      </c>
      <c r="E50" s="17" t="s">
        <v>134</v>
      </c>
      <c r="F50" s="59" t="s">
        <v>135</v>
      </c>
      <c r="G50" s="18" t="s">
        <v>136</v>
      </c>
      <c r="H50" s="19">
        <v>806.66666666666663</v>
      </c>
      <c r="I50" s="58">
        <v>21</v>
      </c>
      <c r="J50" s="21">
        <v>16549</v>
      </c>
      <c r="K50" s="22">
        <v>1E-3</v>
      </c>
      <c r="L50" s="21">
        <f t="shared" ref="L50" si="233">J50-(J50*K50)</f>
        <v>16532.451000000001</v>
      </c>
      <c r="M50" s="23">
        <f t="shared" ref="M50" si="234">L50/H50</f>
        <v>20.494773966942152</v>
      </c>
      <c r="N50" s="30"/>
      <c r="O50" s="30"/>
      <c r="P50" s="30"/>
      <c r="Q50" s="30"/>
      <c r="R50" s="30">
        <v>3.55</v>
      </c>
      <c r="S50" s="56">
        <v>7</v>
      </c>
      <c r="T50" s="31">
        <f t="shared" ref="T50" si="235">AVERAGE(N50:R50)</f>
        <v>3.55</v>
      </c>
      <c r="U50" s="15" t="s">
        <v>365</v>
      </c>
      <c r="V50" s="25" t="s">
        <v>103</v>
      </c>
      <c r="W50" s="25"/>
      <c r="X50" s="26">
        <v>0.3</v>
      </c>
      <c r="Y50" s="26">
        <v>0.31</v>
      </c>
      <c r="Z50" s="24">
        <v>0.33</v>
      </c>
      <c r="AA50" s="27">
        <v>45833</v>
      </c>
      <c r="AB50" s="28">
        <f t="shared" ref="AB50" si="236">IFERROR(AVERAGE(AS50:CP50),0)</f>
        <v>78.583333333333329</v>
      </c>
      <c r="AC50" s="28">
        <f t="shared" ref="AC50" si="237">AB50*X50</f>
        <v>23.574999999999999</v>
      </c>
      <c r="AD50" s="28">
        <f t="shared" ref="AD50" si="238">(AC50*L50)/2000</f>
        <v>194.87626616250003</v>
      </c>
      <c r="AE50" s="117">
        <f t="shared" ref="AE50" si="239">IFERROR((AD50/I50),"")</f>
        <v>9.279822198214287</v>
      </c>
      <c r="AF50" s="170">
        <f t="shared" ref="AF50" si="240">IFERROR(((AE50-S50)/AE50),"")</f>
        <v>0.24567520255431105</v>
      </c>
      <c r="AG50" s="265">
        <v>6.23</v>
      </c>
      <c r="AH50" s="265">
        <f t="shared" si="19"/>
        <v>0.19655924909949787</v>
      </c>
      <c r="AI50" s="25"/>
      <c r="AJ50" s="24">
        <f t="shared" ref="AJ50" si="241">AD50-(AI50*I50)</f>
        <v>194.87626616250003</v>
      </c>
      <c r="AK50" s="29">
        <f t="shared" ref="AK50" si="242">AJ50/I50</f>
        <v>9.279822198214287</v>
      </c>
      <c r="AL50" s="29"/>
      <c r="AM50" s="29">
        <f t="shared" ref="AM50" si="243">((AJ50*2000)/Z50)/J50</f>
        <v>71.367954545454552</v>
      </c>
      <c r="AN50" s="29" t="s">
        <v>701</v>
      </c>
      <c r="AO50" s="29">
        <f>6.5*I50</f>
        <v>136.5</v>
      </c>
      <c r="AP50" s="29">
        <f t="shared" ref="AP50" si="244">AD50-AO50</f>
        <v>58.376266162500031</v>
      </c>
      <c r="AQ50" s="15"/>
      <c r="AR50" s="25" t="s">
        <v>91</v>
      </c>
      <c r="AS50" s="15">
        <v>79</v>
      </c>
      <c r="AT50" s="15">
        <v>65</v>
      </c>
      <c r="AU50" s="15">
        <v>57</v>
      </c>
      <c r="AV50" s="15">
        <v>53</v>
      </c>
      <c r="AW50" s="15">
        <v>90</v>
      </c>
      <c r="AX50" s="15">
        <v>95</v>
      </c>
      <c r="AY50" s="15">
        <v>82</v>
      </c>
      <c r="AZ50" s="15">
        <v>81</v>
      </c>
      <c r="BA50" s="15">
        <v>91</v>
      </c>
      <c r="BB50" s="15">
        <v>82</v>
      </c>
      <c r="BC50" s="15">
        <v>84</v>
      </c>
      <c r="BD50" s="15">
        <v>84</v>
      </c>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row>
    <row r="51" spans="1:94" s="63" customFormat="1">
      <c r="A51" s="15" t="s">
        <v>84</v>
      </c>
      <c r="B51" s="15" t="s">
        <v>132</v>
      </c>
      <c r="C51" s="16" t="s">
        <v>133</v>
      </c>
      <c r="D51" s="49" t="s">
        <v>111</v>
      </c>
      <c r="E51" s="17" t="s">
        <v>134</v>
      </c>
      <c r="F51" s="59" t="s">
        <v>135</v>
      </c>
      <c r="G51" s="18" t="s">
        <v>136</v>
      </c>
      <c r="H51" s="19">
        <v>806.66666666666663</v>
      </c>
      <c r="I51" s="58">
        <v>21</v>
      </c>
      <c r="J51" s="21">
        <v>16549</v>
      </c>
      <c r="K51" s="22">
        <v>1E-3</v>
      </c>
      <c r="L51" s="21">
        <f t="shared" ref="L51" si="245">J51-(J51*K51)</f>
        <v>16532.451000000001</v>
      </c>
      <c r="M51" s="23">
        <f t="shared" ref="M51" si="246">L51/H51</f>
        <v>20.494773966942152</v>
      </c>
      <c r="N51" s="30"/>
      <c r="O51" s="30"/>
      <c r="P51" s="30"/>
      <c r="Q51" s="30"/>
      <c r="R51" s="30">
        <v>3.55</v>
      </c>
      <c r="S51" s="56">
        <v>7</v>
      </c>
      <c r="T51" s="31">
        <f t="shared" ref="T51" si="247">AVERAGE(N51:R51)</f>
        <v>3.55</v>
      </c>
      <c r="U51" s="15" t="s">
        <v>365</v>
      </c>
      <c r="V51" s="25" t="s">
        <v>103</v>
      </c>
      <c r="W51" s="25"/>
      <c r="X51" s="26">
        <v>0.3</v>
      </c>
      <c r="Y51" s="26">
        <v>0.31</v>
      </c>
      <c r="Z51" s="24">
        <v>0.33</v>
      </c>
      <c r="AA51" s="27">
        <v>45859</v>
      </c>
      <c r="AB51" s="28">
        <f t="shared" ref="AB51" si="248">IFERROR(AVERAGE(AS51:CP51),0)</f>
        <v>74.333333333333329</v>
      </c>
      <c r="AC51" s="28">
        <f t="shared" ref="AC51" si="249">AB51*X51</f>
        <v>22.299999999999997</v>
      </c>
      <c r="AD51" s="28">
        <f t="shared" ref="AD51" si="250">(AC51*L51)/2000</f>
        <v>184.33682864999997</v>
      </c>
      <c r="AE51" s="117">
        <f t="shared" ref="AE51" si="251">IFERROR((AD51/I51),"")</f>
        <v>8.7779442214285694</v>
      </c>
      <c r="AF51" s="170">
        <f t="shared" ref="AF51" si="252">IFERROR(((AE51-S51)/AE51),"")</f>
        <v>0.20254676682591374</v>
      </c>
      <c r="AG51" s="265">
        <v>6.23</v>
      </c>
      <c r="AH51" s="265">
        <f t="shared" si="19"/>
        <v>0.2077975021309714</v>
      </c>
      <c r="AI51" s="25"/>
      <c r="AJ51" s="24">
        <f t="shared" ref="AJ51" si="253">AD51-(AI51*I51)</f>
        <v>184.33682864999997</v>
      </c>
      <c r="AK51" s="29">
        <f t="shared" ref="AK51" si="254">AJ51/I51</f>
        <v>8.7779442214285694</v>
      </c>
      <c r="AL51" s="29"/>
      <c r="AM51" s="29">
        <f t="shared" ref="AM51" si="255">((AJ51*2000)/Z51)/J51</f>
        <v>67.508181818181797</v>
      </c>
      <c r="AN51" s="29" t="s">
        <v>701</v>
      </c>
      <c r="AO51" s="29">
        <f>6.5*I51</f>
        <v>136.5</v>
      </c>
      <c r="AP51" s="29">
        <f t="shared" ref="AP51" si="256">AD51-AO51</f>
        <v>47.836828649999973</v>
      </c>
      <c r="AQ51" s="15"/>
      <c r="AR51" s="25" t="s">
        <v>91</v>
      </c>
      <c r="AS51" s="15">
        <v>61</v>
      </c>
      <c r="AT51" s="15">
        <v>60</v>
      </c>
      <c r="AU51" s="15">
        <v>70</v>
      </c>
      <c r="AV51" s="15">
        <v>79</v>
      </c>
      <c r="AW51" s="15">
        <v>69</v>
      </c>
      <c r="AX51" s="15">
        <v>66</v>
      </c>
      <c r="AY51" s="15">
        <v>75</v>
      </c>
      <c r="AZ51" s="15">
        <v>78</v>
      </c>
      <c r="BA51" s="15">
        <v>70</v>
      </c>
      <c r="BB51" s="15">
        <v>83</v>
      </c>
      <c r="BC51" s="15">
        <v>85</v>
      </c>
      <c r="BD51" s="15">
        <v>70</v>
      </c>
      <c r="BE51" s="15">
        <v>79</v>
      </c>
      <c r="BF51" s="15">
        <v>82</v>
      </c>
      <c r="BG51" s="15">
        <v>80</v>
      </c>
      <c r="BH51" s="15">
        <v>89</v>
      </c>
      <c r="BI51" s="15">
        <v>68</v>
      </c>
      <c r="BJ51" s="15">
        <v>88</v>
      </c>
      <c r="BK51" s="15">
        <v>71</v>
      </c>
      <c r="BL51" s="15">
        <v>68</v>
      </c>
      <c r="BM51" s="15">
        <v>68</v>
      </c>
      <c r="BN51" s="15">
        <v>60</v>
      </c>
      <c r="BO51" s="15">
        <v>89</v>
      </c>
      <c r="BP51" s="15">
        <v>80</v>
      </c>
      <c r="BQ51" s="15">
        <v>68</v>
      </c>
      <c r="BR51" s="15">
        <v>65</v>
      </c>
      <c r="BS51" s="15">
        <v>71</v>
      </c>
      <c r="BT51" s="15">
        <v>76</v>
      </c>
      <c r="BU51" s="15">
        <v>83</v>
      </c>
      <c r="BV51" s="15">
        <v>79</v>
      </c>
      <c r="BW51" s="15"/>
      <c r="BX51" s="15"/>
      <c r="BY51" s="15"/>
      <c r="BZ51" s="15"/>
      <c r="CA51" s="15"/>
      <c r="CB51" s="15"/>
      <c r="CC51" s="15"/>
      <c r="CD51" s="15"/>
      <c r="CE51" s="15"/>
      <c r="CF51" s="15"/>
      <c r="CG51" s="15"/>
      <c r="CH51" s="15"/>
      <c r="CI51" s="15"/>
      <c r="CJ51" s="15"/>
      <c r="CK51" s="15"/>
      <c r="CL51" s="15"/>
      <c r="CM51" s="15"/>
      <c r="CN51" s="15"/>
      <c r="CO51" s="15"/>
      <c r="CP51" s="15"/>
    </row>
    <row r="52" spans="1:94" s="63" customFormat="1">
      <c r="A52" s="15" t="s">
        <v>84</v>
      </c>
      <c r="B52" s="15" t="s">
        <v>132</v>
      </c>
      <c r="C52" s="16" t="s">
        <v>133</v>
      </c>
      <c r="D52" s="49" t="s">
        <v>111</v>
      </c>
      <c r="E52" s="17" t="s">
        <v>134</v>
      </c>
      <c r="F52" s="59" t="s">
        <v>135</v>
      </c>
      <c r="G52" s="18" t="s">
        <v>136</v>
      </c>
      <c r="H52" s="19">
        <v>806.66666666666663</v>
      </c>
      <c r="I52" s="58">
        <v>21</v>
      </c>
      <c r="J52" s="21">
        <v>16549</v>
      </c>
      <c r="K52" s="22">
        <v>1E-3</v>
      </c>
      <c r="L52" s="21">
        <f>J52-(J52*K52)</f>
        <v>16532.451000000001</v>
      </c>
      <c r="M52" s="23">
        <f>L52/H52</f>
        <v>20.494773966942152</v>
      </c>
      <c r="N52" s="30"/>
      <c r="O52" s="30"/>
      <c r="P52" s="30"/>
      <c r="Q52" s="30"/>
      <c r="R52" s="30">
        <v>3.55</v>
      </c>
      <c r="S52" s="56">
        <v>7</v>
      </c>
      <c r="T52" s="31">
        <f>AVERAGE(N52:R52)</f>
        <v>3.55</v>
      </c>
      <c r="U52" s="15" t="s">
        <v>365</v>
      </c>
      <c r="V52" s="25" t="s">
        <v>103</v>
      </c>
      <c r="W52" s="25"/>
      <c r="X52" s="26">
        <v>0.3</v>
      </c>
      <c r="Y52" s="26">
        <v>0.31</v>
      </c>
      <c r="Z52" s="24">
        <v>0.33</v>
      </c>
      <c r="AA52" s="27">
        <v>45895</v>
      </c>
      <c r="AB52" s="28">
        <f>IFERROR(AVERAGE(AS52:CP52),0)</f>
        <v>0</v>
      </c>
      <c r="AC52" s="28">
        <v>19.68</v>
      </c>
      <c r="AD52" s="28">
        <f>(AC52*L52)/2000</f>
        <v>162.67931784000001</v>
      </c>
      <c r="AE52" s="117">
        <f>IFERROR((AD52/I52),"")</f>
        <v>7.746634182857143</v>
      </c>
      <c r="AF52" s="170">
        <f>IFERROR(((AE52-S52)/AE52),"")</f>
        <v>9.6381753059851666E-2</v>
      </c>
      <c r="AG52" s="265">
        <v>6.23</v>
      </c>
      <c r="AH52" s="265"/>
      <c r="AI52" s="25"/>
      <c r="AJ52" s="24">
        <f>AD52-(AI52*I52)</f>
        <v>162.67931784000001</v>
      </c>
      <c r="AK52" s="29">
        <f>AJ52/I52</f>
        <v>7.746634182857143</v>
      </c>
      <c r="AL52" s="29"/>
      <c r="AM52" s="29">
        <f>((AJ52*2000)/Z52)/J52</f>
        <v>59.576727272727268</v>
      </c>
      <c r="AN52" s="29" t="s">
        <v>701</v>
      </c>
      <c r="AO52" s="29">
        <f>6.5*I52</f>
        <v>136.5</v>
      </c>
      <c r="AP52" s="29">
        <f>AD52-AO52</f>
        <v>26.17931784000001</v>
      </c>
      <c r="AQ52" s="15"/>
      <c r="AR52" s="25" t="s">
        <v>282</v>
      </c>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row>
    <row r="53" spans="1:94" s="15" customFormat="1">
      <c r="A53" s="63" t="s">
        <v>84</v>
      </c>
      <c r="B53" s="63" t="s">
        <v>138</v>
      </c>
      <c r="C53" s="64" t="s">
        <v>139</v>
      </c>
      <c r="D53" s="65" t="s">
        <v>87</v>
      </c>
      <c r="E53" s="66" t="s">
        <v>129</v>
      </c>
      <c r="F53" s="68"/>
      <c r="G53" s="68" t="s">
        <v>140</v>
      </c>
      <c r="H53" s="69">
        <v>622.28571428571433</v>
      </c>
      <c r="I53" s="74">
        <v>17.14</v>
      </c>
      <c r="J53" s="69">
        <v>10298</v>
      </c>
      <c r="K53" s="72"/>
      <c r="L53" s="69">
        <f t="shared" si="0"/>
        <v>10298</v>
      </c>
      <c r="M53" s="86">
        <f t="shared" si="1"/>
        <v>16.548668503213957</v>
      </c>
      <c r="N53" s="79">
        <v>6.35</v>
      </c>
      <c r="O53" s="79">
        <v>5.49</v>
      </c>
      <c r="P53" s="79">
        <v>5.16</v>
      </c>
      <c r="Q53" s="79">
        <v>6.83</v>
      </c>
      <c r="R53" s="79">
        <v>7.27</v>
      </c>
      <c r="S53" s="84">
        <v>7.28</v>
      </c>
      <c r="T53" s="85">
        <f t="shared" ref="T53:T66" si="257">AVERAGE(N53:S53)</f>
        <v>6.3966666666666656</v>
      </c>
      <c r="U53" s="63"/>
      <c r="V53" s="77" t="s">
        <v>103</v>
      </c>
      <c r="W53" s="77"/>
      <c r="X53" s="78">
        <v>0.43</v>
      </c>
      <c r="Y53" s="78"/>
      <c r="Z53" s="79">
        <v>0.45</v>
      </c>
      <c r="AA53" s="80">
        <v>45770</v>
      </c>
      <c r="AB53" s="81">
        <f t="shared" si="24"/>
        <v>40.111111111111114</v>
      </c>
      <c r="AC53" s="81">
        <f t="shared" si="232"/>
        <v>17.247777777777777</v>
      </c>
      <c r="AD53" s="81">
        <f t="shared" si="4"/>
        <v>88.808807777777787</v>
      </c>
      <c r="AE53" s="81">
        <f t="shared" si="5"/>
        <v>5.1813773499286926</v>
      </c>
      <c r="AF53" s="167">
        <f t="shared" si="6"/>
        <v>-0.40503181072117617</v>
      </c>
      <c r="AG53" s="264">
        <v>6.12</v>
      </c>
      <c r="AH53" s="264">
        <f t="shared" si="19"/>
        <v>0.490373388887617</v>
      </c>
      <c r="AI53" s="77"/>
      <c r="AJ53" s="79">
        <f t="shared" si="7"/>
        <v>88.808807777777787</v>
      </c>
      <c r="AK53" s="82">
        <f t="shared" si="8"/>
        <v>5.1813773499286926</v>
      </c>
      <c r="AL53" s="82"/>
      <c r="AM53" s="82">
        <f t="shared" si="9"/>
        <v>38.328395061728401</v>
      </c>
      <c r="AN53" s="82" t="s">
        <v>701</v>
      </c>
      <c r="AO53" s="82"/>
      <c r="AP53" s="82"/>
      <c r="AQ53" s="63"/>
      <c r="AR53" s="77" t="s">
        <v>116</v>
      </c>
      <c r="AS53" s="63">
        <v>39</v>
      </c>
      <c r="AT53" s="63">
        <v>41</v>
      </c>
      <c r="AU53" s="63">
        <v>36</v>
      </c>
      <c r="AV53" s="63">
        <v>38</v>
      </c>
      <c r="AW53" s="63">
        <v>52</v>
      </c>
      <c r="AX53" s="63">
        <v>35</v>
      </c>
      <c r="AY53" s="63">
        <v>40</v>
      </c>
      <c r="AZ53" s="63">
        <v>39</v>
      </c>
      <c r="BA53" s="63">
        <v>36</v>
      </c>
      <c r="BB53" s="63">
        <v>35</v>
      </c>
      <c r="BC53" s="63">
        <v>46</v>
      </c>
      <c r="BD53" s="63">
        <v>43</v>
      </c>
      <c r="BE53" s="63">
        <v>48</v>
      </c>
      <c r="BF53" s="63">
        <v>39</v>
      </c>
      <c r="BG53" s="63">
        <v>41</v>
      </c>
      <c r="BH53" s="63">
        <v>35</v>
      </c>
      <c r="BI53" s="63">
        <v>39</v>
      </c>
      <c r="BJ53" s="63">
        <v>40</v>
      </c>
      <c r="BK53" s="63"/>
      <c r="BL53" s="63"/>
      <c r="BM53" s="63"/>
      <c r="BN53" s="63"/>
      <c r="BO53" s="63"/>
      <c r="BP53" s="63"/>
      <c r="BQ53" s="63"/>
      <c r="BR53" s="63"/>
      <c r="BS53" s="63"/>
      <c r="BT53" s="63"/>
      <c r="BU53" s="63"/>
      <c r="BV53" s="63"/>
      <c r="BW53" s="63"/>
      <c r="BX53" s="63"/>
      <c r="BY53" s="63"/>
      <c r="BZ53" s="63"/>
      <c r="CA53" s="63"/>
      <c r="CB53" s="63"/>
      <c r="CC53" s="63"/>
      <c r="CD53" s="63"/>
      <c r="CE53" s="63"/>
      <c r="CF53" s="63"/>
      <c r="CG53" s="63"/>
      <c r="CH53" s="63"/>
      <c r="CI53" s="63"/>
      <c r="CJ53" s="63"/>
      <c r="CK53" s="63"/>
      <c r="CL53" s="63"/>
      <c r="CM53" s="63"/>
      <c r="CN53" s="63"/>
      <c r="CO53" s="63"/>
      <c r="CP53" s="63"/>
    </row>
    <row r="54" spans="1:94" s="63" customFormat="1">
      <c r="A54" s="63" t="s">
        <v>84</v>
      </c>
      <c r="B54" s="63" t="s">
        <v>138</v>
      </c>
      <c r="C54" s="64" t="s">
        <v>139</v>
      </c>
      <c r="D54" s="65" t="s">
        <v>87</v>
      </c>
      <c r="E54" s="66" t="s">
        <v>129</v>
      </c>
      <c r="F54" s="68"/>
      <c r="G54" s="68" t="s">
        <v>140</v>
      </c>
      <c r="H54" s="69">
        <v>622.28571428571433</v>
      </c>
      <c r="I54" s="74">
        <v>17.14</v>
      </c>
      <c r="J54" s="69">
        <v>10298</v>
      </c>
      <c r="K54" s="72"/>
      <c r="L54" s="69">
        <f t="shared" ref="L54:L85" si="258">J54-(J54*K54)</f>
        <v>10298</v>
      </c>
      <c r="M54" s="86">
        <f t="shared" si="1"/>
        <v>16.548668503213957</v>
      </c>
      <c r="N54" s="79">
        <v>6.35</v>
      </c>
      <c r="O54" s="79">
        <v>5.49</v>
      </c>
      <c r="P54" s="79">
        <v>5.16</v>
      </c>
      <c r="Q54" s="79">
        <v>6.83</v>
      </c>
      <c r="R54" s="79">
        <v>7.27</v>
      </c>
      <c r="S54" s="84">
        <v>7.28</v>
      </c>
      <c r="T54" s="85">
        <f t="shared" si="257"/>
        <v>6.3966666666666656</v>
      </c>
      <c r="V54" s="77" t="s">
        <v>103</v>
      </c>
      <c r="W54" s="77"/>
      <c r="X54" s="78">
        <v>0.43</v>
      </c>
      <c r="Y54" s="78"/>
      <c r="Z54" s="79">
        <v>0.45</v>
      </c>
      <c r="AA54" s="80">
        <v>45785</v>
      </c>
      <c r="AB54" s="81">
        <f t="shared" si="24"/>
        <v>48.294117647058826</v>
      </c>
      <c r="AC54" s="81">
        <f t="shared" si="232"/>
        <v>20.766470588235293</v>
      </c>
      <c r="AD54" s="81">
        <f t="shared" si="4"/>
        <v>106.92655705882353</v>
      </c>
      <c r="AE54" s="81">
        <f t="shared" si="5"/>
        <v>6.2384222321367284</v>
      </c>
      <c r="AF54" s="167">
        <f t="shared" si="6"/>
        <v>-0.16696172992229799</v>
      </c>
      <c r="AG54" s="264">
        <v>6.12</v>
      </c>
      <c r="AH54" s="264">
        <f t="shared" si="19"/>
        <v>0.40728400157034855</v>
      </c>
      <c r="AI54" s="77"/>
      <c r="AJ54" s="79">
        <f t="shared" ref="AJ54:AJ84" si="259">AD54-(AI54*I54)</f>
        <v>106.92655705882353</v>
      </c>
      <c r="AK54" s="82">
        <f t="shared" ref="AK54:AK84" si="260">AJ54/I54</f>
        <v>6.2384222321367284</v>
      </c>
      <c r="AL54" s="82"/>
      <c r="AM54" s="82">
        <f t="shared" ref="AM54:AM84" si="261">((AJ54*2000)/Z54)/J54</f>
        <v>46.147712418300657</v>
      </c>
      <c r="AN54" s="82" t="s">
        <v>701</v>
      </c>
      <c r="AO54" s="82"/>
      <c r="AP54" s="82"/>
      <c r="AR54" s="77" t="s">
        <v>91</v>
      </c>
      <c r="AS54" s="63">
        <v>57</v>
      </c>
      <c r="AT54" s="63">
        <v>55</v>
      </c>
      <c r="AU54" s="63">
        <v>42</v>
      </c>
      <c r="AV54" s="63">
        <v>49</v>
      </c>
      <c r="AW54" s="63">
        <v>45</v>
      </c>
      <c r="AX54" s="63">
        <v>56</v>
      </c>
      <c r="AY54" s="63">
        <v>42</v>
      </c>
      <c r="AZ54" s="63">
        <v>45</v>
      </c>
      <c r="BA54" s="63">
        <v>45</v>
      </c>
      <c r="BB54" s="63">
        <v>50</v>
      </c>
      <c r="BC54" s="63">
        <v>55</v>
      </c>
      <c r="BD54" s="63">
        <v>46</v>
      </c>
      <c r="BE54" s="63">
        <v>60</v>
      </c>
      <c r="BF54" s="63">
        <v>41</v>
      </c>
      <c r="BG54" s="63">
        <v>43</v>
      </c>
      <c r="BH54" s="63">
        <v>50</v>
      </c>
      <c r="BJ54" s="63">
        <v>40</v>
      </c>
    </row>
    <row r="55" spans="1:94" s="63" customFormat="1">
      <c r="A55" s="63" t="s">
        <v>84</v>
      </c>
      <c r="B55" s="63" t="s">
        <v>138</v>
      </c>
      <c r="C55" s="64" t="s">
        <v>139</v>
      </c>
      <c r="D55" s="65" t="s">
        <v>87</v>
      </c>
      <c r="E55" s="66" t="s">
        <v>129</v>
      </c>
      <c r="F55" s="68"/>
      <c r="G55" s="68" t="s">
        <v>140</v>
      </c>
      <c r="H55" s="69">
        <v>622.28571428571433</v>
      </c>
      <c r="I55" s="74">
        <v>17.14</v>
      </c>
      <c r="J55" s="69">
        <v>10298</v>
      </c>
      <c r="K55" s="72"/>
      <c r="L55" s="69">
        <f t="shared" ref="L55" si="262">J55-(J55*K55)</f>
        <v>10298</v>
      </c>
      <c r="M55" s="86">
        <f t="shared" ref="M55" si="263">L55/H55</f>
        <v>16.548668503213957</v>
      </c>
      <c r="N55" s="79">
        <v>6.35</v>
      </c>
      <c r="O55" s="79">
        <v>5.49</v>
      </c>
      <c r="P55" s="79">
        <v>5.16</v>
      </c>
      <c r="Q55" s="79">
        <v>6.83</v>
      </c>
      <c r="R55" s="79">
        <v>7.27</v>
      </c>
      <c r="S55" s="84">
        <v>7.28</v>
      </c>
      <c r="T55" s="85">
        <f t="shared" ref="T55" si="264">AVERAGE(N55:S55)</f>
        <v>6.3966666666666656</v>
      </c>
      <c r="V55" s="77" t="s">
        <v>103</v>
      </c>
      <c r="W55" s="77"/>
      <c r="X55" s="78">
        <v>0.43</v>
      </c>
      <c r="Y55" s="78"/>
      <c r="Z55" s="79">
        <v>0.45</v>
      </c>
      <c r="AA55" s="80">
        <v>45847</v>
      </c>
      <c r="AB55" s="81">
        <f t="shared" ref="AB55" si="265">IFERROR(AVERAGE(AS55:CP55),0)</f>
        <v>44.416666666666664</v>
      </c>
      <c r="AC55" s="81">
        <f t="shared" ref="AC55" si="266">AB55*X55</f>
        <v>19.099166666666665</v>
      </c>
      <c r="AD55" s="81">
        <f t="shared" ref="AD55" si="267">(AC55*L55)/2000</f>
        <v>98.341609166666657</v>
      </c>
      <c r="AE55" s="81">
        <f t="shared" ref="AE55" si="268">IFERROR((AD55/I55),"")</f>
        <v>5.7375501264099569</v>
      </c>
      <c r="AF55" s="167">
        <f t="shared" ref="AF55" si="269">IFERROR(((AE55-S55)/AE55),"")</f>
        <v>-0.26883423056996802</v>
      </c>
      <c r="AG55" s="264">
        <v>6.12</v>
      </c>
      <c r="AH55" s="264">
        <f t="shared" si="19"/>
        <v>0.44283875769463354</v>
      </c>
      <c r="AI55" s="77"/>
      <c r="AJ55" s="79">
        <f t="shared" ref="AJ55" si="270">AD55-(AI55*I55)</f>
        <v>98.341609166666657</v>
      </c>
      <c r="AK55" s="82">
        <f t="shared" ref="AK55" si="271">AJ55/I55</f>
        <v>5.7375501264099569</v>
      </c>
      <c r="AL55" s="82"/>
      <c r="AM55" s="82">
        <f t="shared" ref="AM55" si="272">((AJ55*2000)/Z55)/J55</f>
        <v>42.44259259259259</v>
      </c>
      <c r="AN55" s="82" t="s">
        <v>701</v>
      </c>
      <c r="AO55" s="82"/>
      <c r="AP55" s="82"/>
      <c r="AQ55" s="176"/>
      <c r="AR55" s="77" t="s">
        <v>91</v>
      </c>
      <c r="AS55" s="63">
        <v>41</v>
      </c>
      <c r="AT55" s="63">
        <v>44</v>
      </c>
      <c r="AU55" s="63">
        <v>33</v>
      </c>
      <c r="AV55" s="63">
        <v>48</v>
      </c>
      <c r="AW55" s="63">
        <v>43</v>
      </c>
      <c r="AX55" s="63">
        <v>35</v>
      </c>
      <c r="AY55" s="63">
        <v>49</v>
      </c>
      <c r="AZ55" s="63">
        <v>41</v>
      </c>
      <c r="BA55" s="63">
        <v>46</v>
      </c>
      <c r="BB55" s="63">
        <v>55</v>
      </c>
      <c r="BC55" s="63">
        <v>42</v>
      </c>
      <c r="BD55" s="63">
        <v>56</v>
      </c>
    </row>
    <row r="56" spans="1:94" s="63" customFormat="1">
      <c r="A56" s="113" t="s">
        <v>84</v>
      </c>
      <c r="B56" s="113" t="s">
        <v>141</v>
      </c>
      <c r="C56" s="114" t="s">
        <v>142</v>
      </c>
      <c r="D56" s="128" t="s">
        <v>87</v>
      </c>
      <c r="E56" s="127" t="s">
        <v>129</v>
      </c>
      <c r="F56" s="126"/>
      <c r="G56" s="126" t="s">
        <v>140</v>
      </c>
      <c r="H56" s="123">
        <v>622.28571428571433</v>
      </c>
      <c r="I56" s="125">
        <v>11.79</v>
      </c>
      <c r="J56" s="123">
        <v>7170</v>
      </c>
      <c r="K56" s="124"/>
      <c r="L56" s="123">
        <f t="shared" si="258"/>
        <v>7170</v>
      </c>
      <c r="M56" s="122">
        <f t="shared" si="1"/>
        <v>11.522038567493112</v>
      </c>
      <c r="N56" s="118">
        <v>5.89</v>
      </c>
      <c r="O56" s="118">
        <v>6.89</v>
      </c>
      <c r="P56" s="118">
        <v>6.35</v>
      </c>
      <c r="Q56" s="118">
        <v>5.93</v>
      </c>
      <c r="R56" s="118">
        <v>7.78</v>
      </c>
      <c r="S56" s="153">
        <v>8.34</v>
      </c>
      <c r="T56" s="121">
        <f t="shared" si="257"/>
        <v>6.8633333333333324</v>
      </c>
      <c r="U56" s="113"/>
      <c r="V56" s="115" t="s">
        <v>103</v>
      </c>
      <c r="W56" s="115"/>
      <c r="X56" s="120">
        <v>0.45</v>
      </c>
      <c r="Y56" s="120"/>
      <c r="Z56" s="118">
        <v>0.45</v>
      </c>
      <c r="AA56" s="119">
        <v>45770</v>
      </c>
      <c r="AB56" s="117">
        <f t="shared" ref="AB56:AB87" si="273">IFERROR(AVERAGE(AS56:CP56),0)</f>
        <v>57.55</v>
      </c>
      <c r="AC56" s="117">
        <f t="shared" si="232"/>
        <v>25.897500000000001</v>
      </c>
      <c r="AD56" s="117">
        <f t="shared" si="4"/>
        <v>92.842537500000006</v>
      </c>
      <c r="AE56" s="117">
        <f t="shared" si="5"/>
        <v>7.8746851145038175</v>
      </c>
      <c r="AF56" s="170">
        <f t="shared" si="6"/>
        <v>-5.9089967246963603E-2</v>
      </c>
      <c r="AG56" s="265">
        <v>4.76</v>
      </c>
      <c r="AH56" s="265">
        <f t="shared" si="19"/>
        <v>0.26582865221203422</v>
      </c>
      <c r="AI56" s="115"/>
      <c r="AJ56" s="118">
        <f t="shared" si="259"/>
        <v>92.842537500000006</v>
      </c>
      <c r="AK56" s="116">
        <f t="shared" si="260"/>
        <v>7.8746851145038175</v>
      </c>
      <c r="AL56" s="116"/>
      <c r="AM56" s="116">
        <f t="shared" si="261"/>
        <v>57.55</v>
      </c>
      <c r="AN56" s="116" t="s">
        <v>701</v>
      </c>
      <c r="AO56" s="116"/>
      <c r="AP56" s="116"/>
      <c r="AQ56" s="113"/>
      <c r="AR56" s="115" t="s">
        <v>116</v>
      </c>
      <c r="AS56" s="113">
        <v>69</v>
      </c>
      <c r="AT56" s="113">
        <v>44</v>
      </c>
      <c r="AU56" s="113">
        <v>68</v>
      </c>
      <c r="AV56" s="113">
        <v>49</v>
      </c>
      <c r="AW56" s="113">
        <v>55</v>
      </c>
      <c r="AX56" s="113">
        <v>60</v>
      </c>
      <c r="AY56" s="113">
        <v>66</v>
      </c>
      <c r="AZ56" s="113">
        <v>57</v>
      </c>
      <c r="BA56" s="113">
        <v>48</v>
      </c>
      <c r="BB56" s="113">
        <v>42</v>
      </c>
      <c r="BC56" s="113">
        <v>59</v>
      </c>
      <c r="BD56" s="113">
        <v>50</v>
      </c>
      <c r="BE56" s="113">
        <v>49</v>
      </c>
      <c r="BF56" s="113">
        <v>56</v>
      </c>
      <c r="BG56" s="113">
        <v>73</v>
      </c>
      <c r="BH56" s="113">
        <v>65</v>
      </c>
      <c r="BI56" s="113">
        <v>42</v>
      </c>
      <c r="BJ56" s="113">
        <v>70</v>
      </c>
      <c r="BK56" s="113">
        <v>69</v>
      </c>
      <c r="BL56" s="113">
        <v>60</v>
      </c>
      <c r="BM56" s="113"/>
      <c r="BN56" s="113"/>
      <c r="BO56" s="113"/>
      <c r="BP56" s="113"/>
      <c r="BQ56" s="113"/>
      <c r="BR56" s="113"/>
      <c r="BS56" s="113"/>
      <c r="BT56" s="113"/>
      <c r="BU56" s="113"/>
      <c r="BV56" s="113"/>
      <c r="BW56" s="113"/>
      <c r="BX56" s="113"/>
      <c r="BY56" s="113"/>
      <c r="BZ56" s="113"/>
      <c r="CA56" s="113"/>
      <c r="CB56" s="113"/>
      <c r="CC56" s="113"/>
      <c r="CD56" s="113"/>
      <c r="CE56" s="113"/>
      <c r="CF56" s="113"/>
      <c r="CG56" s="113"/>
      <c r="CH56" s="113"/>
      <c r="CI56" s="113"/>
      <c r="CJ56" s="113"/>
      <c r="CK56" s="113"/>
      <c r="CL56" s="113"/>
      <c r="CM56" s="113"/>
      <c r="CN56" s="113"/>
      <c r="CO56" s="113"/>
      <c r="CP56" s="113"/>
    </row>
    <row r="57" spans="1:94" s="113" customFormat="1">
      <c r="A57" s="113" t="s">
        <v>84</v>
      </c>
      <c r="B57" s="113" t="s">
        <v>141</v>
      </c>
      <c r="C57" s="114" t="s">
        <v>142</v>
      </c>
      <c r="D57" s="128" t="s">
        <v>87</v>
      </c>
      <c r="E57" s="127" t="s">
        <v>129</v>
      </c>
      <c r="F57" s="126"/>
      <c r="G57" s="126" t="s">
        <v>140</v>
      </c>
      <c r="H57" s="123">
        <v>622.28571428571433</v>
      </c>
      <c r="I57" s="125">
        <v>11.79</v>
      </c>
      <c r="J57" s="123">
        <v>7170</v>
      </c>
      <c r="K57" s="124"/>
      <c r="L57" s="123">
        <f t="shared" si="258"/>
        <v>7170</v>
      </c>
      <c r="M57" s="122">
        <f t="shared" si="1"/>
        <v>11.522038567493112</v>
      </c>
      <c r="N57" s="118">
        <v>5.89</v>
      </c>
      <c r="O57" s="118">
        <v>6.89</v>
      </c>
      <c r="P57" s="118">
        <v>6.35</v>
      </c>
      <c r="Q57" s="118">
        <v>5.93</v>
      </c>
      <c r="R57" s="118">
        <v>7.78</v>
      </c>
      <c r="S57" s="153">
        <v>8.34</v>
      </c>
      <c r="T57" s="121">
        <f t="shared" si="257"/>
        <v>6.8633333333333324</v>
      </c>
      <c r="V57" s="115" t="s">
        <v>103</v>
      </c>
      <c r="W57" s="115"/>
      <c r="X57" s="120">
        <v>0.45</v>
      </c>
      <c r="Y57" s="120"/>
      <c r="Z57" s="118">
        <v>0.45</v>
      </c>
      <c r="AA57" s="119">
        <v>45785</v>
      </c>
      <c r="AB57" s="117">
        <f t="shared" si="273"/>
        <v>62.05</v>
      </c>
      <c r="AC57" s="117">
        <f t="shared" si="232"/>
        <v>27.922499999999999</v>
      </c>
      <c r="AD57" s="117">
        <f t="shared" si="4"/>
        <v>100.10216249999999</v>
      </c>
      <c r="AE57" s="117">
        <f t="shared" si="5"/>
        <v>8.4904293893129772</v>
      </c>
      <c r="AF57" s="170">
        <f t="shared" si="6"/>
        <v>1.7717524334202098E-2</v>
      </c>
      <c r="AG57" s="265">
        <v>4.76</v>
      </c>
      <c r="AH57" s="265">
        <f t="shared" si="19"/>
        <v>0.24655018428368364</v>
      </c>
      <c r="AI57" s="115"/>
      <c r="AJ57" s="118">
        <f t="shared" si="259"/>
        <v>100.10216249999999</v>
      </c>
      <c r="AK57" s="116">
        <f t="shared" si="260"/>
        <v>8.4904293893129772</v>
      </c>
      <c r="AL57" s="116"/>
      <c r="AM57" s="116">
        <f t="shared" si="261"/>
        <v>62.04999999999999</v>
      </c>
      <c r="AN57" s="116" t="s">
        <v>701</v>
      </c>
      <c r="AO57" s="116"/>
      <c r="AP57" s="116"/>
      <c r="AR57" s="115" t="s">
        <v>116</v>
      </c>
      <c r="AS57" s="113">
        <v>64</v>
      </c>
      <c r="AT57" s="113">
        <v>66</v>
      </c>
      <c r="AU57" s="113">
        <v>59</v>
      </c>
      <c r="AV57" s="113">
        <v>49</v>
      </c>
      <c r="AW57" s="113">
        <v>66</v>
      </c>
      <c r="AX57" s="113">
        <v>55</v>
      </c>
      <c r="AY57" s="113">
        <v>70</v>
      </c>
      <c r="AZ57" s="113">
        <v>59</v>
      </c>
      <c r="BA57" s="113">
        <v>67</v>
      </c>
      <c r="BB57" s="113">
        <v>48</v>
      </c>
      <c r="BC57" s="113">
        <v>71</v>
      </c>
      <c r="BD57" s="113">
        <v>69</v>
      </c>
      <c r="BE57" s="113">
        <v>52</v>
      </c>
      <c r="BF57" s="113">
        <v>73</v>
      </c>
      <c r="BG57" s="113">
        <v>58</v>
      </c>
      <c r="BH57" s="113">
        <v>66</v>
      </c>
      <c r="BI57" s="113">
        <v>70</v>
      </c>
      <c r="BJ57" s="113">
        <v>48</v>
      </c>
      <c r="BK57" s="113">
        <v>62</v>
      </c>
      <c r="BL57" s="113">
        <v>69</v>
      </c>
    </row>
    <row r="58" spans="1:94" s="113" customFormat="1">
      <c r="A58" s="113" t="s">
        <v>84</v>
      </c>
      <c r="B58" s="113" t="s">
        <v>141</v>
      </c>
      <c r="C58" s="114" t="s">
        <v>142</v>
      </c>
      <c r="D58" s="128" t="s">
        <v>87</v>
      </c>
      <c r="E58" s="127" t="s">
        <v>129</v>
      </c>
      <c r="F58" s="126"/>
      <c r="G58" s="126" t="s">
        <v>140</v>
      </c>
      <c r="H58" s="123">
        <v>622.28571428571433</v>
      </c>
      <c r="I58" s="125">
        <v>11.79</v>
      </c>
      <c r="J58" s="123">
        <v>7170</v>
      </c>
      <c r="K58" s="124"/>
      <c r="L58" s="123">
        <f t="shared" ref="L58" si="274">J58-(J58*K58)</f>
        <v>7170</v>
      </c>
      <c r="M58" s="122">
        <f t="shared" ref="M58" si="275">L58/H58</f>
        <v>11.522038567493112</v>
      </c>
      <c r="N58" s="118">
        <v>5.89</v>
      </c>
      <c r="O58" s="118">
        <v>6.89</v>
      </c>
      <c r="P58" s="118">
        <v>6.35</v>
      </c>
      <c r="Q58" s="118">
        <v>5.93</v>
      </c>
      <c r="R58" s="118">
        <v>7.78</v>
      </c>
      <c r="S58" s="153">
        <v>8.34</v>
      </c>
      <c r="T58" s="121">
        <f t="shared" ref="T58" si="276">AVERAGE(N58:S58)</f>
        <v>6.8633333333333324</v>
      </c>
      <c r="V58" s="115" t="s">
        <v>103</v>
      </c>
      <c r="W58" s="115"/>
      <c r="X58" s="120">
        <v>0.45</v>
      </c>
      <c r="Y58" s="120"/>
      <c r="Z58" s="118">
        <v>0.45</v>
      </c>
      <c r="AA58" s="119">
        <v>45847</v>
      </c>
      <c r="AB58" s="117">
        <f t="shared" ref="AB58" si="277">IFERROR(AVERAGE(AS58:CP58),0)</f>
        <v>53.833333333333336</v>
      </c>
      <c r="AC58" s="117">
        <f t="shared" ref="AC58" si="278">AB58*X58</f>
        <v>24.225000000000001</v>
      </c>
      <c r="AD58" s="117">
        <f t="shared" ref="AD58" si="279">(AC58*L58)/2000</f>
        <v>86.846625000000003</v>
      </c>
      <c r="AE58" s="117">
        <f t="shared" ref="AE58" si="280">IFERROR((AD58/I58),"")</f>
        <v>7.3661259541984743</v>
      </c>
      <c r="AF58" s="170">
        <f t="shared" ref="AF58" si="281">IFERROR(((AE58-S58)/AE58),"")</f>
        <v>-0.1322098008989985</v>
      </c>
      <c r="AG58" s="265">
        <v>4.76</v>
      </c>
      <c r="AH58" s="265">
        <f t="shared" si="19"/>
        <v>0.28418152820066689</v>
      </c>
      <c r="AI58" s="115"/>
      <c r="AJ58" s="118">
        <f t="shared" ref="AJ58" si="282">AD58-(AI58*I58)</f>
        <v>86.846625000000003</v>
      </c>
      <c r="AK58" s="116">
        <f t="shared" ref="AK58" si="283">AJ58/I58</f>
        <v>7.3661259541984743</v>
      </c>
      <c r="AL58" s="116"/>
      <c r="AM58" s="116">
        <f t="shared" ref="AM58" si="284">((AJ58*2000)/Z58)/J58</f>
        <v>53.833333333333336</v>
      </c>
      <c r="AN58" s="116" t="s">
        <v>701</v>
      </c>
      <c r="AO58" s="116"/>
      <c r="AP58" s="116"/>
      <c r="AQ58" s="195"/>
      <c r="AR58" s="115" t="s">
        <v>91</v>
      </c>
      <c r="AS58" s="113">
        <v>48</v>
      </c>
      <c r="AT58" s="113">
        <v>55</v>
      </c>
      <c r="AU58" s="113">
        <v>50</v>
      </c>
      <c r="AV58" s="113">
        <v>78</v>
      </c>
      <c r="AW58" s="113">
        <v>43</v>
      </c>
      <c r="AX58" s="113">
        <v>57</v>
      </c>
      <c r="AY58" s="113">
        <v>67</v>
      </c>
      <c r="AZ58" s="113">
        <v>55</v>
      </c>
      <c r="BA58" s="113">
        <v>55</v>
      </c>
      <c r="BB58" s="113">
        <v>41</v>
      </c>
      <c r="BC58" s="113">
        <v>60</v>
      </c>
      <c r="BD58" s="113">
        <v>37</v>
      </c>
    </row>
    <row r="59" spans="1:94" s="113" customFormat="1">
      <c r="A59" s="63" t="s">
        <v>84</v>
      </c>
      <c r="B59" s="63" t="s">
        <v>143</v>
      </c>
      <c r="C59" s="64" t="s">
        <v>144</v>
      </c>
      <c r="D59" s="65" t="s">
        <v>87</v>
      </c>
      <c r="E59" s="66" t="s">
        <v>88</v>
      </c>
      <c r="F59" s="68">
        <v>8</v>
      </c>
      <c r="G59" s="68" t="s">
        <v>145</v>
      </c>
      <c r="H59" s="69">
        <v>622.28571428571433</v>
      </c>
      <c r="I59" s="74">
        <v>45.32</v>
      </c>
      <c r="J59" s="69">
        <v>27216</v>
      </c>
      <c r="K59" s="72"/>
      <c r="L59" s="69">
        <f t="shared" si="258"/>
        <v>27216</v>
      </c>
      <c r="M59" s="86">
        <f t="shared" si="1"/>
        <v>43.735537190082638</v>
      </c>
      <c r="N59" s="79">
        <v>9.4700000000000006</v>
      </c>
      <c r="O59" s="79">
        <v>8.81</v>
      </c>
      <c r="P59" s="79">
        <v>10.17</v>
      </c>
      <c r="Q59" s="79">
        <v>7.74</v>
      </c>
      <c r="R59" s="79">
        <v>11.09</v>
      </c>
      <c r="S59" s="84">
        <v>7.34</v>
      </c>
      <c r="T59" s="85">
        <f t="shared" si="257"/>
        <v>9.1033333333333335</v>
      </c>
      <c r="U59" s="63"/>
      <c r="V59" s="77"/>
      <c r="W59" s="77"/>
      <c r="X59" s="78"/>
      <c r="Y59" s="78"/>
      <c r="Z59" s="79">
        <v>0.33</v>
      </c>
      <c r="AA59" s="80"/>
      <c r="AB59" s="81">
        <f t="shared" si="273"/>
        <v>0</v>
      </c>
      <c r="AC59" s="81">
        <f t="shared" si="232"/>
        <v>0</v>
      </c>
      <c r="AD59" s="81">
        <f t="shared" si="4"/>
        <v>0</v>
      </c>
      <c r="AE59" s="81"/>
      <c r="AF59" s="167"/>
      <c r="AG59" s="264">
        <v>8.8000000000000007</v>
      </c>
      <c r="AH59" s="264" t="e">
        <f t="shared" si="19"/>
        <v>#DIV/0!</v>
      </c>
      <c r="AI59" s="77"/>
      <c r="AJ59" s="79">
        <f t="shared" si="259"/>
        <v>0</v>
      </c>
      <c r="AK59" s="82">
        <f t="shared" si="260"/>
        <v>0</v>
      </c>
      <c r="AL59" s="82"/>
      <c r="AM59" s="82">
        <f t="shared" si="261"/>
        <v>0</v>
      </c>
      <c r="AN59" s="82"/>
      <c r="AO59" s="82"/>
      <c r="AP59" s="82"/>
      <c r="AQ59" s="63"/>
      <c r="AR59" s="77"/>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c r="BQ59" s="63"/>
      <c r="BR59" s="63"/>
      <c r="BS59" s="63"/>
      <c r="BT59" s="63"/>
      <c r="BU59" s="63"/>
      <c r="BV59" s="63"/>
      <c r="BW59" s="63"/>
      <c r="BX59" s="63"/>
      <c r="BY59" s="63"/>
      <c r="BZ59" s="63"/>
      <c r="CA59" s="63"/>
      <c r="CB59" s="63"/>
      <c r="CC59" s="63"/>
      <c r="CD59" s="63"/>
      <c r="CE59" s="63"/>
      <c r="CF59" s="63"/>
      <c r="CG59" s="63"/>
      <c r="CH59" s="63"/>
      <c r="CI59" s="63"/>
      <c r="CJ59" s="63"/>
      <c r="CK59" s="63"/>
      <c r="CL59" s="63"/>
      <c r="CM59" s="63"/>
      <c r="CN59" s="63"/>
      <c r="CO59" s="63"/>
      <c r="CP59" s="63"/>
    </row>
    <row r="60" spans="1:94" s="63" customFormat="1">
      <c r="A60" s="113" t="s">
        <v>84</v>
      </c>
      <c r="B60" s="113" t="s">
        <v>709</v>
      </c>
      <c r="C60" s="114" t="s">
        <v>710</v>
      </c>
      <c r="D60" s="128" t="s">
        <v>87</v>
      </c>
      <c r="E60" s="127" t="s">
        <v>88</v>
      </c>
      <c r="F60" s="126"/>
      <c r="G60" s="126" t="s">
        <v>181</v>
      </c>
      <c r="H60" s="123">
        <v>605</v>
      </c>
      <c r="I60" s="125">
        <v>5</v>
      </c>
      <c r="J60" s="123">
        <v>2554</v>
      </c>
      <c r="K60" s="124">
        <v>0.12</v>
      </c>
      <c r="L60" s="123">
        <f t="shared" si="258"/>
        <v>2247.52</v>
      </c>
      <c r="M60" s="122">
        <f t="shared" si="1"/>
        <v>3.7149090909090909</v>
      </c>
      <c r="N60" s="118">
        <v>5.76</v>
      </c>
      <c r="O60" s="118">
        <v>4.3099999999999996</v>
      </c>
      <c r="P60" s="118">
        <v>4.8899999999999997</v>
      </c>
      <c r="Q60" s="118">
        <v>4.54</v>
      </c>
      <c r="R60" s="118"/>
      <c r="S60" s="153">
        <v>4.4400000000000004</v>
      </c>
      <c r="T60" s="121">
        <f t="shared" si="257"/>
        <v>4.7880000000000003</v>
      </c>
      <c r="U60" s="113" t="s">
        <v>297</v>
      </c>
      <c r="V60" s="115" t="s">
        <v>366</v>
      </c>
      <c r="W60" s="115"/>
      <c r="X60" s="120">
        <v>0.28999999999999998</v>
      </c>
      <c r="Y60" s="120"/>
      <c r="Z60" s="118">
        <v>0.33</v>
      </c>
      <c r="AA60" s="119">
        <v>45775</v>
      </c>
      <c r="AB60" s="117">
        <f t="shared" si="273"/>
        <v>133.875</v>
      </c>
      <c r="AC60" s="117">
        <f t="shared" si="232"/>
        <v>38.823749999999997</v>
      </c>
      <c r="AD60" s="117">
        <f t="shared" si="4"/>
        <v>43.628577299999996</v>
      </c>
      <c r="AE60" s="117">
        <f t="shared" ref="AE60:AE65" si="285">IFERROR((AD60/I60),"")</f>
        <v>8.72571546</v>
      </c>
      <c r="AF60" s="170">
        <f t="shared" ref="AF60:AF65" si="286">IFERROR(((AE60-S60)/AE60),"")</f>
        <v>0.49115920403849606</v>
      </c>
      <c r="AG60" s="265"/>
      <c r="AH60" s="265">
        <f t="shared" si="19"/>
        <v>0</v>
      </c>
      <c r="AI60" s="115"/>
      <c r="AJ60" s="118">
        <f t="shared" si="259"/>
        <v>43.628577299999996</v>
      </c>
      <c r="AK60" s="116">
        <f t="shared" si="260"/>
        <v>8.72571546</v>
      </c>
      <c r="AL60" s="116"/>
      <c r="AM60" s="116">
        <f t="shared" si="261"/>
        <v>103.53</v>
      </c>
      <c r="AN60" s="116"/>
      <c r="AO60" s="116"/>
      <c r="AP60" s="116"/>
      <c r="AQ60" s="113"/>
      <c r="AR60" s="115" t="s">
        <v>92</v>
      </c>
      <c r="AS60" s="113">
        <v>152</v>
      </c>
      <c r="AT60" s="113">
        <v>180</v>
      </c>
      <c r="AU60" s="113">
        <v>150</v>
      </c>
      <c r="AV60" s="113">
        <v>140</v>
      </c>
      <c r="AW60" s="113">
        <v>190</v>
      </c>
      <c r="AX60" s="113">
        <v>89</v>
      </c>
      <c r="AY60" s="113">
        <v>95</v>
      </c>
      <c r="AZ60" s="113">
        <v>75</v>
      </c>
      <c r="BA60" s="113"/>
      <c r="BB60" s="113"/>
      <c r="BC60" s="113"/>
      <c r="BD60" s="113"/>
      <c r="BE60" s="113"/>
      <c r="BF60" s="113"/>
      <c r="BG60" s="113"/>
      <c r="BH60" s="113"/>
      <c r="BI60" s="113"/>
      <c r="BJ60" s="113"/>
      <c r="BK60" s="113"/>
      <c r="BL60" s="113"/>
      <c r="BM60" s="113"/>
      <c r="BN60" s="113"/>
      <c r="BO60" s="113"/>
      <c r="BP60" s="113"/>
      <c r="BQ60" s="113"/>
      <c r="BR60" s="113"/>
      <c r="BS60" s="113"/>
      <c r="BT60" s="113"/>
      <c r="BU60" s="113"/>
      <c r="BV60" s="113"/>
      <c r="BW60" s="113"/>
      <c r="BX60" s="113"/>
      <c r="BY60" s="113"/>
      <c r="BZ60" s="113"/>
      <c r="CA60" s="113"/>
      <c r="CB60" s="113"/>
      <c r="CC60" s="113"/>
      <c r="CD60" s="113"/>
      <c r="CE60" s="113"/>
      <c r="CF60" s="113"/>
      <c r="CG60" s="113"/>
      <c r="CH60" s="113"/>
      <c r="CI60" s="113"/>
      <c r="CJ60" s="113"/>
      <c r="CK60" s="113"/>
      <c r="CL60" s="113"/>
      <c r="CM60" s="113"/>
      <c r="CN60" s="113"/>
      <c r="CO60" s="113"/>
      <c r="CP60" s="113"/>
    </row>
    <row r="61" spans="1:94" s="113" customFormat="1">
      <c r="A61" s="113" t="s">
        <v>84</v>
      </c>
      <c r="B61" s="113" t="s">
        <v>709</v>
      </c>
      <c r="C61" s="114" t="s">
        <v>710</v>
      </c>
      <c r="D61" s="128" t="s">
        <v>87</v>
      </c>
      <c r="E61" s="127" t="s">
        <v>88</v>
      </c>
      <c r="F61" s="126"/>
      <c r="G61" s="126" t="s">
        <v>181</v>
      </c>
      <c r="H61" s="123">
        <v>605</v>
      </c>
      <c r="I61" s="125">
        <v>5</v>
      </c>
      <c r="J61" s="123">
        <v>2554</v>
      </c>
      <c r="K61" s="124">
        <v>0.12</v>
      </c>
      <c r="L61" s="123">
        <f t="shared" si="258"/>
        <v>2247.52</v>
      </c>
      <c r="M61" s="122">
        <f t="shared" si="1"/>
        <v>3.7149090909090909</v>
      </c>
      <c r="N61" s="118">
        <v>5.76</v>
      </c>
      <c r="O61" s="118">
        <v>4.3099999999999996</v>
      </c>
      <c r="P61" s="118">
        <v>4.8899999999999997</v>
      </c>
      <c r="Q61" s="118">
        <v>4.54</v>
      </c>
      <c r="R61" s="118"/>
      <c r="S61" s="153">
        <v>4.4400000000000004</v>
      </c>
      <c r="T61" s="121">
        <f t="shared" si="257"/>
        <v>4.7880000000000003</v>
      </c>
      <c r="U61" s="113" t="s">
        <v>297</v>
      </c>
      <c r="V61" s="115" t="s">
        <v>366</v>
      </c>
      <c r="W61" s="115"/>
      <c r="X61" s="120">
        <v>0.25</v>
      </c>
      <c r="Y61" s="120"/>
      <c r="Z61" s="118">
        <v>0.33</v>
      </c>
      <c r="AA61" s="119">
        <v>45784</v>
      </c>
      <c r="AB61" s="117">
        <f t="shared" si="273"/>
        <v>218.07692307692307</v>
      </c>
      <c r="AC61" s="117">
        <f t="shared" si="232"/>
        <v>54.519230769230766</v>
      </c>
      <c r="AD61" s="117">
        <f t="shared" si="4"/>
        <v>61.266530769230769</v>
      </c>
      <c r="AE61" s="117">
        <f t="shared" si="285"/>
        <v>12.253306153846154</v>
      </c>
      <c r="AF61" s="170">
        <f t="shared" si="286"/>
        <v>0.63764881540919127</v>
      </c>
      <c r="AG61" s="265"/>
      <c r="AH61" s="265">
        <f t="shared" si="19"/>
        <v>0</v>
      </c>
      <c r="AI61" s="115"/>
      <c r="AJ61" s="118">
        <f t="shared" si="259"/>
        <v>61.266530769230769</v>
      </c>
      <c r="AK61" s="116">
        <f t="shared" si="260"/>
        <v>12.253306153846154</v>
      </c>
      <c r="AL61" s="116"/>
      <c r="AM61" s="116">
        <f t="shared" si="261"/>
        <v>145.38461538461539</v>
      </c>
      <c r="AN61" s="116"/>
      <c r="AO61" s="116"/>
      <c r="AP61" s="116"/>
      <c r="AR61" s="115" t="s">
        <v>91</v>
      </c>
      <c r="AS61" s="113">
        <v>288</v>
      </c>
      <c r="AT61" s="113">
        <v>247</v>
      </c>
      <c r="AU61" s="113">
        <v>284</v>
      </c>
      <c r="AV61" s="113">
        <v>206</v>
      </c>
      <c r="AW61" s="113">
        <v>217</v>
      </c>
      <c r="AX61" s="113">
        <v>117</v>
      </c>
      <c r="AY61" s="113">
        <v>302</v>
      </c>
      <c r="AZ61" s="113">
        <v>187</v>
      </c>
      <c r="BA61" s="113">
        <v>155</v>
      </c>
      <c r="BB61" s="113">
        <v>197</v>
      </c>
      <c r="BC61" s="113">
        <v>258</v>
      </c>
      <c r="BD61" s="113">
        <v>188</v>
      </c>
      <c r="BE61" s="113">
        <v>189</v>
      </c>
    </row>
    <row r="62" spans="1:94" s="113" customFormat="1">
      <c r="A62" s="113" t="s">
        <v>84</v>
      </c>
      <c r="B62" s="113" t="s">
        <v>709</v>
      </c>
      <c r="C62" s="114" t="s">
        <v>710</v>
      </c>
      <c r="D62" s="128" t="s">
        <v>87</v>
      </c>
      <c r="E62" s="127" t="s">
        <v>88</v>
      </c>
      <c r="F62" s="126"/>
      <c r="G62" s="126" t="s">
        <v>181</v>
      </c>
      <c r="H62" s="123">
        <v>605</v>
      </c>
      <c r="I62" s="125">
        <v>5</v>
      </c>
      <c r="J62" s="123">
        <v>2554</v>
      </c>
      <c r="K62" s="124">
        <v>0.12</v>
      </c>
      <c r="L62" s="123">
        <f t="shared" si="258"/>
        <v>2247.52</v>
      </c>
      <c r="M62" s="122">
        <f t="shared" si="1"/>
        <v>3.7149090909090909</v>
      </c>
      <c r="N62" s="118">
        <v>5.76</v>
      </c>
      <c r="O62" s="118">
        <v>4.3099999999999996</v>
      </c>
      <c r="P62" s="118">
        <v>4.8899999999999997</v>
      </c>
      <c r="Q62" s="118">
        <v>4.54</v>
      </c>
      <c r="R62" s="118"/>
      <c r="S62" s="153">
        <v>4.4400000000000004</v>
      </c>
      <c r="T62" s="121">
        <f t="shared" si="257"/>
        <v>4.7880000000000003</v>
      </c>
      <c r="U62" s="113" t="s">
        <v>297</v>
      </c>
      <c r="V62" s="115" t="s">
        <v>366</v>
      </c>
      <c r="W62" s="115"/>
      <c r="X62" s="120">
        <v>0.28999999999999998</v>
      </c>
      <c r="Y62" s="120"/>
      <c r="Z62" s="118">
        <v>0.33</v>
      </c>
      <c r="AA62" s="119">
        <v>45835</v>
      </c>
      <c r="AB62" s="117">
        <f t="shared" si="273"/>
        <v>131.41666666666666</v>
      </c>
      <c r="AC62" s="117">
        <f t="shared" si="232"/>
        <v>38.110833333333325</v>
      </c>
      <c r="AD62" s="117">
        <f>(AC62*L62)/2000</f>
        <v>42.827430066666658</v>
      </c>
      <c r="AE62" s="117">
        <f>IFERROR((AD62/I62),"")</f>
        <v>8.5654860133333308</v>
      </c>
      <c r="AF62" s="170">
        <f t="shared" si="286"/>
        <v>0.48164062224974236</v>
      </c>
      <c r="AG62" s="265"/>
      <c r="AH62" s="265">
        <f t="shared" si="19"/>
        <v>0</v>
      </c>
      <c r="AI62" s="115"/>
      <c r="AJ62" s="118">
        <f t="shared" si="259"/>
        <v>42.827430066666658</v>
      </c>
      <c r="AK62" s="116">
        <f t="shared" si="260"/>
        <v>8.5654860133333308</v>
      </c>
      <c r="AL62" s="116"/>
      <c r="AM62" s="116">
        <f t="shared" si="261"/>
        <v>101.62888888888887</v>
      </c>
      <c r="AN62" s="116"/>
      <c r="AO62" s="116"/>
      <c r="AP62" s="116"/>
      <c r="AR62" s="115" t="s">
        <v>91</v>
      </c>
      <c r="AS62" s="113">
        <v>148</v>
      </c>
      <c r="AT62" s="113">
        <v>90</v>
      </c>
      <c r="AU62" s="113">
        <v>168</v>
      </c>
      <c r="AV62" s="113">
        <v>171</v>
      </c>
      <c r="AW62" s="113">
        <v>112</v>
      </c>
      <c r="AX62" s="113">
        <v>63</v>
      </c>
      <c r="AY62" s="113">
        <v>127</v>
      </c>
      <c r="AZ62" s="113">
        <v>92</v>
      </c>
      <c r="BA62" s="113">
        <v>140</v>
      </c>
      <c r="BB62" s="113">
        <v>143</v>
      </c>
      <c r="BC62" s="113">
        <v>150</v>
      </c>
      <c r="BD62" s="113">
        <v>173</v>
      </c>
    </row>
    <row r="63" spans="1:94" s="113" customFormat="1">
      <c r="A63" s="63" t="s">
        <v>84</v>
      </c>
      <c r="B63" s="63" t="s">
        <v>711</v>
      </c>
      <c r="C63" s="64" t="s">
        <v>712</v>
      </c>
      <c r="D63" s="65" t="s">
        <v>87</v>
      </c>
      <c r="E63" s="66" t="s">
        <v>237</v>
      </c>
      <c r="F63" s="68">
        <v>2</v>
      </c>
      <c r="G63" s="68" t="s">
        <v>145</v>
      </c>
      <c r="H63" s="69">
        <v>680.625</v>
      </c>
      <c r="I63" s="74">
        <v>87.33</v>
      </c>
      <c r="J63" s="69">
        <v>60308</v>
      </c>
      <c r="K63" s="72">
        <v>0.05</v>
      </c>
      <c r="L63" s="69">
        <f t="shared" si="258"/>
        <v>57292.6</v>
      </c>
      <c r="M63" s="86">
        <f t="shared" si="1"/>
        <v>84.176455463728189</v>
      </c>
      <c r="N63" s="79">
        <v>9.9499999999999993</v>
      </c>
      <c r="O63" s="79">
        <v>8.58</v>
      </c>
      <c r="P63" s="79">
        <v>11.61</v>
      </c>
      <c r="Q63" s="79">
        <v>12.64</v>
      </c>
      <c r="R63" s="79">
        <v>11.24</v>
      </c>
      <c r="S63" s="84">
        <v>9.52</v>
      </c>
      <c r="T63" s="85">
        <f t="shared" si="257"/>
        <v>10.590000000000002</v>
      </c>
      <c r="U63" s="63"/>
      <c r="V63" s="77"/>
      <c r="W63" s="77"/>
      <c r="X63" s="78">
        <v>0.25</v>
      </c>
      <c r="Y63" s="78"/>
      <c r="Z63" s="79">
        <v>0.27</v>
      </c>
      <c r="AA63" s="80">
        <v>45772</v>
      </c>
      <c r="AB63" s="81">
        <f t="shared" si="273"/>
        <v>205.13333333333333</v>
      </c>
      <c r="AC63" s="81">
        <f t="shared" si="232"/>
        <v>51.283333333333331</v>
      </c>
      <c r="AD63" s="81">
        <f t="shared" si="4"/>
        <v>1469.0777516666665</v>
      </c>
      <c r="AE63" s="81">
        <f t="shared" si="285"/>
        <v>16.822143039810676</v>
      </c>
      <c r="AF63" s="167">
        <f t="shared" si="286"/>
        <v>0.43407923844956547</v>
      </c>
      <c r="AG63" s="264"/>
      <c r="AH63" s="264">
        <f t="shared" si="19"/>
        <v>0</v>
      </c>
      <c r="AI63" s="77"/>
      <c r="AJ63" s="79">
        <f t="shared" si="259"/>
        <v>1469.0777516666665</v>
      </c>
      <c r="AK63" s="82">
        <f t="shared" si="260"/>
        <v>16.822143039810676</v>
      </c>
      <c r="AL63" s="82"/>
      <c r="AM63" s="82">
        <f t="shared" si="261"/>
        <v>180.44135802469131</v>
      </c>
      <c r="AN63" s="82"/>
      <c r="AO63" s="82"/>
      <c r="AP63" s="82"/>
      <c r="AQ63" s="63"/>
      <c r="AR63" s="77" t="s">
        <v>116</v>
      </c>
      <c r="AS63" s="63">
        <v>235</v>
      </c>
      <c r="AT63" s="63">
        <v>270</v>
      </c>
      <c r="AU63" s="63">
        <v>272</v>
      </c>
      <c r="AV63" s="63">
        <v>192</v>
      </c>
      <c r="AW63" s="63">
        <v>209</v>
      </c>
      <c r="AX63" s="63">
        <v>219</v>
      </c>
      <c r="AY63" s="63">
        <v>116</v>
      </c>
      <c r="AZ63" s="63">
        <v>125</v>
      </c>
      <c r="BA63" s="63">
        <v>197</v>
      </c>
      <c r="BB63" s="63">
        <v>186</v>
      </c>
      <c r="BC63" s="63">
        <v>188</v>
      </c>
      <c r="BD63" s="63">
        <v>189</v>
      </c>
      <c r="BE63" s="63">
        <v>223</v>
      </c>
      <c r="BF63" s="63">
        <v>244</v>
      </c>
      <c r="BG63" s="63">
        <v>212</v>
      </c>
      <c r="BH63" s="63"/>
      <c r="BI63" s="63"/>
      <c r="BJ63" s="63"/>
      <c r="BK63" s="63"/>
      <c r="BL63" s="63"/>
      <c r="BM63" s="63"/>
      <c r="BN63" s="63"/>
      <c r="BO63" s="63"/>
      <c r="BP63" s="63"/>
      <c r="BQ63" s="63"/>
      <c r="BR63" s="63"/>
      <c r="BS63" s="63"/>
      <c r="BT63" s="63"/>
      <c r="BU63" s="63"/>
      <c r="BV63" s="63"/>
      <c r="BW63" s="63"/>
      <c r="BX63" s="63"/>
      <c r="BY63" s="63"/>
      <c r="BZ63" s="63"/>
      <c r="CA63" s="63"/>
      <c r="CB63" s="63"/>
      <c r="CC63" s="63"/>
      <c r="CD63" s="63"/>
      <c r="CE63" s="63"/>
      <c r="CF63" s="63"/>
      <c r="CG63" s="63"/>
      <c r="CH63" s="63"/>
      <c r="CI63" s="63"/>
      <c r="CJ63" s="63"/>
      <c r="CK63" s="63"/>
      <c r="CL63" s="63"/>
      <c r="CM63" s="63"/>
      <c r="CN63" s="63"/>
      <c r="CO63" s="63"/>
      <c r="CP63" s="63"/>
    </row>
    <row r="64" spans="1:94" s="63" customFormat="1">
      <c r="A64" s="113" t="s">
        <v>84</v>
      </c>
      <c r="B64" s="113" t="s">
        <v>146</v>
      </c>
      <c r="C64" s="114" t="s">
        <v>147</v>
      </c>
      <c r="D64" s="128" t="s">
        <v>87</v>
      </c>
      <c r="E64" s="127" t="s">
        <v>148</v>
      </c>
      <c r="F64" s="126">
        <v>30</v>
      </c>
      <c r="G64" s="126" t="s">
        <v>90</v>
      </c>
      <c r="H64" s="123">
        <v>622.28571428571433</v>
      </c>
      <c r="I64" s="125">
        <v>50.74</v>
      </c>
      <c r="J64" s="123">
        <v>30664</v>
      </c>
      <c r="K64" s="124"/>
      <c r="L64" s="123">
        <f t="shared" si="258"/>
        <v>30664</v>
      </c>
      <c r="M64" s="122">
        <f t="shared" si="1"/>
        <v>49.276400367309456</v>
      </c>
      <c r="N64" s="118"/>
      <c r="O64" s="118"/>
      <c r="P64" s="118">
        <v>1.42</v>
      </c>
      <c r="Q64" s="118">
        <v>6.47</v>
      </c>
      <c r="R64" s="118">
        <v>11.4</v>
      </c>
      <c r="S64" s="153">
        <v>9.8000000000000007</v>
      </c>
      <c r="T64" s="121">
        <f t="shared" si="257"/>
        <v>7.2725</v>
      </c>
      <c r="U64" s="113"/>
      <c r="V64" s="115"/>
      <c r="W64" s="115"/>
      <c r="X64" s="120">
        <v>0.31</v>
      </c>
      <c r="Y64" s="120"/>
      <c r="Z64" s="118">
        <v>0.35</v>
      </c>
      <c r="AA64" s="119">
        <v>45772</v>
      </c>
      <c r="AB64" s="117">
        <f t="shared" si="273"/>
        <v>123.26666666666667</v>
      </c>
      <c r="AC64" s="117">
        <f t="shared" si="232"/>
        <v>38.212666666666664</v>
      </c>
      <c r="AD64" s="117">
        <f t="shared" si="4"/>
        <v>585.87660533333326</v>
      </c>
      <c r="AE64" s="117">
        <f t="shared" si="285"/>
        <v>11.546641807909603</v>
      </c>
      <c r="AF64" s="170">
        <f t="shared" si="286"/>
        <v>0.15126838062241871</v>
      </c>
      <c r="AG64" s="265">
        <v>9.1</v>
      </c>
      <c r="AH64" s="265">
        <f t="shared" si="19"/>
        <v>0.23726621641956711</v>
      </c>
      <c r="AI64" s="115"/>
      <c r="AJ64" s="118">
        <f t="shared" si="259"/>
        <v>585.87660533333326</v>
      </c>
      <c r="AK64" s="116">
        <f t="shared" si="260"/>
        <v>11.546641807909603</v>
      </c>
      <c r="AL64" s="116"/>
      <c r="AM64" s="116">
        <f t="shared" si="261"/>
        <v>109.17904761904761</v>
      </c>
      <c r="AN64" s="116"/>
      <c r="AO64" s="116"/>
      <c r="AP64" s="116"/>
      <c r="AQ64" s="113"/>
      <c r="AR64" s="115" t="s">
        <v>116</v>
      </c>
      <c r="AS64" s="113">
        <v>127</v>
      </c>
      <c r="AT64" s="113">
        <v>122</v>
      </c>
      <c r="AU64" s="113">
        <v>135</v>
      </c>
      <c r="AV64" s="113">
        <v>152</v>
      </c>
      <c r="AW64" s="113">
        <v>163</v>
      </c>
      <c r="AX64" s="113">
        <v>82</v>
      </c>
      <c r="AY64" s="113">
        <v>124</v>
      </c>
      <c r="AZ64" s="113">
        <v>113</v>
      </c>
      <c r="BA64" s="113">
        <v>88</v>
      </c>
      <c r="BB64" s="113">
        <v>167</v>
      </c>
      <c r="BC64" s="113">
        <v>127</v>
      </c>
      <c r="BD64" s="113">
        <v>114</v>
      </c>
      <c r="BE64" s="113">
        <v>113</v>
      </c>
      <c r="BF64" s="113">
        <v>100</v>
      </c>
      <c r="BG64" s="113">
        <v>122</v>
      </c>
      <c r="BH64" s="113"/>
      <c r="BI64" s="113"/>
      <c r="BJ64" s="113"/>
      <c r="BK64" s="113"/>
      <c r="BL64" s="113"/>
      <c r="BM64" s="113"/>
      <c r="BN64" s="113"/>
      <c r="BO64" s="113"/>
      <c r="BP64" s="113"/>
      <c r="BQ64" s="113"/>
      <c r="BR64" s="113"/>
      <c r="BS64" s="113"/>
      <c r="BT64" s="113"/>
      <c r="BU64" s="113"/>
      <c r="BV64" s="113"/>
      <c r="BW64" s="113"/>
      <c r="BX64" s="113"/>
      <c r="BY64" s="113"/>
      <c r="BZ64" s="113"/>
      <c r="CA64" s="113"/>
      <c r="CB64" s="113"/>
      <c r="CC64" s="113"/>
      <c r="CD64" s="113"/>
      <c r="CE64" s="113"/>
      <c r="CF64" s="113"/>
      <c r="CG64" s="113"/>
      <c r="CH64" s="113"/>
      <c r="CI64" s="113"/>
      <c r="CJ64" s="113"/>
      <c r="CK64" s="113"/>
      <c r="CL64" s="113"/>
      <c r="CM64" s="113"/>
      <c r="CN64" s="113"/>
      <c r="CO64" s="113"/>
      <c r="CP64" s="113"/>
    </row>
    <row r="65" spans="1:94" s="113" customFormat="1">
      <c r="A65" s="63" t="s">
        <v>84</v>
      </c>
      <c r="B65" s="63" t="s">
        <v>713</v>
      </c>
      <c r="C65" s="64" t="s">
        <v>714</v>
      </c>
      <c r="D65" s="65" t="s">
        <v>87</v>
      </c>
      <c r="E65" s="66" t="s">
        <v>237</v>
      </c>
      <c r="F65" s="68">
        <v>2</v>
      </c>
      <c r="G65" s="68" t="s">
        <v>145</v>
      </c>
      <c r="H65" s="69">
        <v>680.625</v>
      </c>
      <c r="I65" s="74">
        <v>53.76</v>
      </c>
      <c r="J65" s="69">
        <v>36152</v>
      </c>
      <c r="K65" s="72">
        <v>0.05</v>
      </c>
      <c r="L65" s="69">
        <f t="shared" si="258"/>
        <v>34344.400000000001</v>
      </c>
      <c r="M65" s="86">
        <f t="shared" si="1"/>
        <v>50.460091827364558</v>
      </c>
      <c r="N65" s="79">
        <v>8.09</v>
      </c>
      <c r="O65" s="79">
        <v>8.02</v>
      </c>
      <c r="P65" s="79">
        <v>8.1199999999999992</v>
      </c>
      <c r="Q65" s="79">
        <v>8.9600000000000009</v>
      </c>
      <c r="R65" s="79">
        <v>8.4700000000000006</v>
      </c>
      <c r="S65" s="84">
        <v>7.61</v>
      </c>
      <c r="T65" s="85">
        <f t="shared" si="257"/>
        <v>8.211666666666666</v>
      </c>
      <c r="U65" s="63"/>
      <c r="V65" s="77"/>
      <c r="W65" s="77"/>
      <c r="X65" s="78">
        <v>0.25</v>
      </c>
      <c r="Y65" s="78"/>
      <c r="Z65" s="79">
        <v>0.27</v>
      </c>
      <c r="AA65" s="80">
        <v>45772</v>
      </c>
      <c r="AB65" s="81">
        <f t="shared" si="273"/>
        <v>147.80000000000001</v>
      </c>
      <c r="AC65" s="81">
        <f t="shared" si="232"/>
        <v>36.950000000000003</v>
      </c>
      <c r="AD65" s="81">
        <f t="shared" si="4"/>
        <v>634.51279</v>
      </c>
      <c r="AE65" s="81">
        <f t="shared" si="285"/>
        <v>11.802693266369047</v>
      </c>
      <c r="AF65" s="167">
        <f t="shared" si="286"/>
        <v>0.35523190950965694</v>
      </c>
      <c r="AG65" s="264"/>
      <c r="AH65" s="264">
        <f t="shared" si="19"/>
        <v>0</v>
      </c>
      <c r="AI65" s="77"/>
      <c r="AJ65" s="79">
        <f t="shared" si="259"/>
        <v>634.51279</v>
      </c>
      <c r="AK65" s="82">
        <f t="shared" si="260"/>
        <v>11.802693266369047</v>
      </c>
      <c r="AL65" s="82"/>
      <c r="AM65" s="82">
        <f t="shared" si="261"/>
        <v>130.00925925925927</v>
      </c>
      <c r="AN65" s="82"/>
      <c r="AO65" s="82"/>
      <c r="AP65" s="82"/>
      <c r="AQ65" s="63"/>
      <c r="AR65" s="77" t="s">
        <v>116</v>
      </c>
      <c r="AS65" s="63">
        <v>130</v>
      </c>
      <c r="AT65" s="63">
        <v>107</v>
      </c>
      <c r="AU65" s="63">
        <v>144</v>
      </c>
      <c r="AV65" s="63">
        <v>137</v>
      </c>
      <c r="AW65" s="63">
        <v>91</v>
      </c>
      <c r="AX65" s="63">
        <v>166</v>
      </c>
      <c r="AY65" s="63">
        <v>168</v>
      </c>
      <c r="AZ65" s="63">
        <v>235</v>
      </c>
      <c r="BA65" s="63">
        <v>152</v>
      </c>
      <c r="BB65" s="63">
        <v>149</v>
      </c>
      <c r="BC65" s="63">
        <v>121</v>
      </c>
      <c r="BD65" s="63">
        <v>114</v>
      </c>
      <c r="BE65" s="63">
        <v>177</v>
      </c>
      <c r="BF65" s="63">
        <v>128</v>
      </c>
      <c r="BG65" s="63">
        <v>198</v>
      </c>
      <c r="BH65" s="63"/>
      <c r="BI65" s="63"/>
      <c r="BJ65" s="63"/>
      <c r="BK65" s="63"/>
      <c r="BL65" s="63"/>
      <c r="BM65" s="63"/>
      <c r="BN65" s="63"/>
      <c r="BO65" s="63"/>
      <c r="BP65" s="63"/>
      <c r="BQ65" s="63"/>
      <c r="BR65" s="63"/>
      <c r="BS65" s="63"/>
      <c r="BT65" s="63"/>
      <c r="BU65" s="63"/>
      <c r="BV65" s="63"/>
      <c r="BW65" s="63"/>
      <c r="BX65" s="63"/>
      <c r="BY65" s="63"/>
      <c r="BZ65" s="63"/>
      <c r="CA65" s="63"/>
      <c r="CB65" s="63"/>
      <c r="CC65" s="63"/>
      <c r="CD65" s="63"/>
      <c r="CE65" s="63"/>
      <c r="CF65" s="63"/>
      <c r="CG65" s="63"/>
      <c r="CH65" s="63"/>
      <c r="CI65" s="63"/>
      <c r="CJ65" s="63"/>
      <c r="CK65" s="63"/>
      <c r="CL65" s="63"/>
      <c r="CM65" s="63"/>
      <c r="CN65" s="63"/>
      <c r="CO65" s="63"/>
      <c r="CP65" s="63"/>
    </row>
    <row r="66" spans="1:94" s="63" customFormat="1">
      <c r="A66" s="113" t="s">
        <v>84</v>
      </c>
      <c r="B66" s="113" t="s">
        <v>715</v>
      </c>
      <c r="C66" s="114" t="s">
        <v>716</v>
      </c>
      <c r="D66" s="128" t="s">
        <v>87</v>
      </c>
      <c r="E66" s="127" t="s">
        <v>88</v>
      </c>
      <c r="F66" s="126">
        <v>8</v>
      </c>
      <c r="G66" s="126" t="s">
        <v>96</v>
      </c>
      <c r="H66" s="123">
        <v>680.625</v>
      </c>
      <c r="I66" s="125">
        <v>39.83</v>
      </c>
      <c r="J66" s="123">
        <v>2753</v>
      </c>
      <c r="K66" s="124"/>
      <c r="L66" s="123">
        <f t="shared" si="258"/>
        <v>2753</v>
      </c>
      <c r="M66" s="122">
        <f t="shared" si="1"/>
        <v>4.0448117539026631</v>
      </c>
      <c r="N66" s="118">
        <v>8.41</v>
      </c>
      <c r="O66" s="118">
        <v>8.0299999999999994</v>
      </c>
      <c r="P66" s="118">
        <v>7.79</v>
      </c>
      <c r="Q66" s="118">
        <v>6.48</v>
      </c>
      <c r="R66" s="118">
        <v>9.89</v>
      </c>
      <c r="S66" s="153">
        <v>5.59</v>
      </c>
      <c r="T66" s="121">
        <f t="shared" si="257"/>
        <v>7.6983333333333333</v>
      </c>
      <c r="U66" s="113"/>
      <c r="V66" s="115"/>
      <c r="W66" s="115"/>
      <c r="X66" s="120"/>
      <c r="Y66" s="120"/>
      <c r="Z66" s="118">
        <v>0.33</v>
      </c>
      <c r="AA66" s="119"/>
      <c r="AB66" s="117">
        <f t="shared" si="273"/>
        <v>0</v>
      </c>
      <c r="AC66" s="117">
        <f t="shared" si="232"/>
        <v>0</v>
      </c>
      <c r="AD66" s="117">
        <f t="shared" si="4"/>
        <v>0</v>
      </c>
      <c r="AE66" s="117"/>
      <c r="AF66" s="170"/>
      <c r="AG66" s="265"/>
      <c r="AH66" s="265" t="e">
        <f t="shared" si="19"/>
        <v>#DIV/0!</v>
      </c>
      <c r="AI66" s="115"/>
      <c r="AJ66" s="118">
        <f t="shared" si="259"/>
        <v>0</v>
      </c>
      <c r="AK66" s="116">
        <f t="shared" si="260"/>
        <v>0</v>
      </c>
      <c r="AL66" s="116"/>
      <c r="AM66" s="116">
        <f t="shared" si="261"/>
        <v>0</v>
      </c>
      <c r="AN66" s="116"/>
      <c r="AO66" s="116"/>
      <c r="AP66" s="116"/>
      <c r="AQ66" s="113"/>
      <c r="AR66" s="115"/>
      <c r="AS66" s="113"/>
      <c r="AT66" s="113"/>
      <c r="AU66" s="113"/>
      <c r="AV66" s="113"/>
      <c r="AW66" s="113"/>
      <c r="AX66" s="113"/>
      <c r="AY66" s="113"/>
      <c r="AZ66" s="113"/>
      <c r="BA66" s="113"/>
      <c r="BB66" s="113"/>
      <c r="BC66" s="113"/>
      <c r="BD66" s="113"/>
      <c r="BE66" s="113"/>
      <c r="BF66" s="113"/>
      <c r="BG66" s="113"/>
      <c r="BH66" s="113"/>
      <c r="BI66" s="113"/>
      <c r="BJ66" s="113"/>
      <c r="BK66" s="113"/>
      <c r="BL66" s="113"/>
      <c r="BM66" s="113"/>
      <c r="BN66" s="113"/>
      <c r="BO66" s="113"/>
      <c r="BP66" s="113"/>
      <c r="BQ66" s="113"/>
      <c r="BR66" s="113"/>
      <c r="BS66" s="113"/>
      <c r="BT66" s="113"/>
      <c r="BU66" s="113"/>
      <c r="BV66" s="113"/>
      <c r="BW66" s="113"/>
      <c r="BX66" s="113"/>
      <c r="BY66" s="113"/>
      <c r="BZ66" s="113"/>
      <c r="CA66" s="113"/>
      <c r="CB66" s="113"/>
      <c r="CC66" s="113"/>
      <c r="CD66" s="113"/>
      <c r="CE66" s="113"/>
      <c r="CF66" s="113"/>
      <c r="CG66" s="113"/>
      <c r="CH66" s="113"/>
      <c r="CI66" s="113"/>
      <c r="CJ66" s="113"/>
      <c r="CK66" s="113"/>
      <c r="CL66" s="113"/>
      <c r="CM66" s="113"/>
      <c r="CN66" s="113"/>
      <c r="CO66" s="113"/>
      <c r="CP66" s="113"/>
    </row>
    <row r="67" spans="1:94" s="113" customFormat="1">
      <c r="A67" s="113" t="s">
        <v>84</v>
      </c>
      <c r="B67" s="113" t="s">
        <v>715</v>
      </c>
      <c r="C67" s="114" t="s">
        <v>717</v>
      </c>
      <c r="D67" s="128" t="s">
        <v>87</v>
      </c>
      <c r="E67" s="127" t="s">
        <v>88</v>
      </c>
      <c r="F67" s="126">
        <v>8</v>
      </c>
      <c r="G67" s="126" t="s">
        <v>96</v>
      </c>
      <c r="H67" s="123">
        <v>680.625</v>
      </c>
      <c r="I67" s="125">
        <v>39.83</v>
      </c>
      <c r="J67" s="123">
        <v>2753</v>
      </c>
      <c r="K67" s="124"/>
      <c r="L67" s="123">
        <f t="shared" si="258"/>
        <v>2753</v>
      </c>
      <c r="M67" s="122">
        <f t="shared" si="1"/>
        <v>4.0448117539026631</v>
      </c>
      <c r="N67" s="118"/>
      <c r="O67" s="118"/>
      <c r="P67" s="118"/>
      <c r="Q67" s="118"/>
      <c r="R67" s="118"/>
      <c r="S67" s="153">
        <v>5.59</v>
      </c>
      <c r="T67" s="121"/>
      <c r="V67" s="115"/>
      <c r="W67" s="115"/>
      <c r="X67" s="120"/>
      <c r="Y67" s="120"/>
      <c r="Z67" s="118">
        <v>0.33</v>
      </c>
      <c r="AA67" s="119"/>
      <c r="AB67" s="117">
        <f t="shared" si="273"/>
        <v>0</v>
      </c>
      <c r="AC67" s="117">
        <f t="shared" si="232"/>
        <v>0</v>
      </c>
      <c r="AD67" s="117">
        <f t="shared" si="4"/>
        <v>0</v>
      </c>
      <c r="AE67" s="117"/>
      <c r="AF67" s="170"/>
      <c r="AG67" s="265"/>
      <c r="AH67" s="265" t="e">
        <f t="shared" si="19"/>
        <v>#DIV/0!</v>
      </c>
      <c r="AI67" s="115"/>
      <c r="AJ67" s="118">
        <f t="shared" si="259"/>
        <v>0</v>
      </c>
      <c r="AK67" s="116">
        <f t="shared" si="260"/>
        <v>0</v>
      </c>
      <c r="AL67" s="116"/>
      <c r="AM67" s="116">
        <f t="shared" si="261"/>
        <v>0</v>
      </c>
      <c r="AN67" s="116"/>
      <c r="AO67" s="116"/>
      <c r="AP67" s="116"/>
      <c r="AR67" s="115"/>
    </row>
    <row r="68" spans="1:94" s="113" customFormat="1">
      <c r="A68" s="113" t="s">
        <v>84</v>
      </c>
      <c r="B68" s="113" t="s">
        <v>715</v>
      </c>
      <c r="C68" s="114" t="s">
        <v>718</v>
      </c>
      <c r="D68" s="128" t="s">
        <v>87</v>
      </c>
      <c r="E68" s="127" t="s">
        <v>88</v>
      </c>
      <c r="F68" s="126">
        <v>8</v>
      </c>
      <c r="G68" s="126" t="s">
        <v>96</v>
      </c>
      <c r="H68" s="123">
        <v>680.625</v>
      </c>
      <c r="I68" s="125">
        <v>39.83</v>
      </c>
      <c r="J68" s="123">
        <v>2753</v>
      </c>
      <c r="K68" s="124"/>
      <c r="L68" s="123">
        <f t="shared" si="258"/>
        <v>2753</v>
      </c>
      <c r="M68" s="122">
        <f t="shared" si="1"/>
        <v>4.0448117539026631</v>
      </c>
      <c r="N68" s="118"/>
      <c r="O68" s="118"/>
      <c r="P68" s="118"/>
      <c r="Q68" s="118"/>
      <c r="R68" s="118"/>
      <c r="S68" s="153">
        <v>5.59</v>
      </c>
      <c r="T68" s="121"/>
      <c r="V68" s="115"/>
      <c r="W68" s="115"/>
      <c r="X68" s="120"/>
      <c r="Y68" s="120"/>
      <c r="Z68" s="118">
        <v>0.33</v>
      </c>
      <c r="AA68" s="119"/>
      <c r="AB68" s="117">
        <f t="shared" si="273"/>
        <v>0</v>
      </c>
      <c r="AC68" s="117">
        <f t="shared" si="232"/>
        <v>0</v>
      </c>
      <c r="AD68" s="117">
        <f t="shared" si="4"/>
        <v>0</v>
      </c>
      <c r="AE68" s="117"/>
      <c r="AF68" s="170"/>
      <c r="AG68" s="265"/>
      <c r="AH68" s="265" t="e">
        <f t="shared" si="19"/>
        <v>#DIV/0!</v>
      </c>
      <c r="AI68" s="115"/>
      <c r="AJ68" s="118">
        <f t="shared" si="259"/>
        <v>0</v>
      </c>
      <c r="AK68" s="116">
        <f t="shared" si="260"/>
        <v>0</v>
      </c>
      <c r="AL68" s="116"/>
      <c r="AM68" s="116">
        <f t="shared" si="261"/>
        <v>0</v>
      </c>
      <c r="AN68" s="116"/>
      <c r="AO68" s="116"/>
      <c r="AP68" s="116"/>
      <c r="AR68" s="115"/>
    </row>
    <row r="69" spans="1:94" s="113" customFormat="1">
      <c r="A69" s="63" t="s">
        <v>84</v>
      </c>
      <c r="B69" s="63" t="s">
        <v>719</v>
      </c>
      <c r="C69" s="64" t="s">
        <v>720</v>
      </c>
      <c r="D69" s="65" t="s">
        <v>87</v>
      </c>
      <c r="E69" s="66" t="s">
        <v>160</v>
      </c>
      <c r="F69" s="68">
        <v>4</v>
      </c>
      <c r="G69" s="68" t="s">
        <v>170</v>
      </c>
      <c r="H69" s="69">
        <v>680.625</v>
      </c>
      <c r="I69" s="74">
        <v>82.73</v>
      </c>
      <c r="J69" s="69">
        <v>55701</v>
      </c>
      <c r="K69" s="72">
        <v>0.08</v>
      </c>
      <c r="L69" s="69">
        <f t="shared" si="258"/>
        <v>51244.92</v>
      </c>
      <c r="M69" s="86">
        <f t="shared" si="1"/>
        <v>75.290975206611563</v>
      </c>
      <c r="N69" s="79">
        <v>8.4600000000000009</v>
      </c>
      <c r="O69" s="79">
        <v>6.39</v>
      </c>
      <c r="P69" s="79">
        <v>6.03</v>
      </c>
      <c r="Q69" s="79">
        <v>7.26</v>
      </c>
      <c r="R69" s="79">
        <v>8.43</v>
      </c>
      <c r="S69" s="84">
        <v>6.58</v>
      </c>
      <c r="T69" s="85">
        <f t="shared" ref="T69:T78" si="287">AVERAGE(N69:S69)</f>
        <v>7.1916666666666664</v>
      </c>
      <c r="U69" s="63"/>
      <c r="V69" s="77"/>
      <c r="W69" s="77"/>
      <c r="X69" s="78">
        <v>0.35</v>
      </c>
      <c r="Y69" s="78"/>
      <c r="Z69" s="79">
        <v>0.4</v>
      </c>
      <c r="AA69" s="80"/>
      <c r="AB69" s="81">
        <f t="shared" si="273"/>
        <v>0</v>
      </c>
      <c r="AC69" s="81">
        <f t="shared" si="232"/>
        <v>0</v>
      </c>
      <c r="AD69" s="81">
        <f t="shared" si="4"/>
        <v>0</v>
      </c>
      <c r="AE69" s="81"/>
      <c r="AF69" s="167"/>
      <c r="AG69" s="264"/>
      <c r="AH69" s="264" t="e">
        <f t="shared" ref="AH69:AH132" si="288">(((AG69*M69)*2000)/L69)/AB69</f>
        <v>#DIV/0!</v>
      </c>
      <c r="AI69" s="77"/>
      <c r="AJ69" s="79">
        <f t="shared" si="259"/>
        <v>0</v>
      </c>
      <c r="AK69" s="82">
        <f t="shared" si="260"/>
        <v>0</v>
      </c>
      <c r="AL69" s="82"/>
      <c r="AM69" s="82">
        <f t="shared" si="261"/>
        <v>0</v>
      </c>
      <c r="AN69" s="82"/>
      <c r="AO69" s="82"/>
      <c r="AP69" s="82"/>
      <c r="AQ69" s="63"/>
      <c r="AR69" s="77"/>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3"/>
      <c r="BW69" s="63"/>
      <c r="BX69" s="63"/>
      <c r="BY69" s="63"/>
      <c r="BZ69" s="63"/>
      <c r="CA69" s="63"/>
      <c r="CB69" s="63"/>
      <c r="CC69" s="63"/>
      <c r="CD69" s="63"/>
      <c r="CE69" s="63"/>
      <c r="CF69" s="63"/>
      <c r="CG69" s="63"/>
      <c r="CH69" s="63"/>
      <c r="CI69" s="63"/>
      <c r="CJ69" s="63"/>
      <c r="CK69" s="63"/>
      <c r="CL69" s="63"/>
      <c r="CM69" s="63"/>
      <c r="CN69" s="63"/>
      <c r="CO69" s="63"/>
      <c r="CP69" s="63"/>
    </row>
    <row r="70" spans="1:94" s="63" customFormat="1">
      <c r="A70" s="113" t="s">
        <v>84</v>
      </c>
      <c r="B70" s="113" t="s">
        <v>149</v>
      </c>
      <c r="C70" s="114" t="s">
        <v>150</v>
      </c>
      <c r="D70" s="128" t="s">
        <v>87</v>
      </c>
      <c r="E70" s="127" t="s">
        <v>88</v>
      </c>
      <c r="F70" s="126">
        <v>8</v>
      </c>
      <c r="G70" s="126" t="s">
        <v>96</v>
      </c>
      <c r="H70" s="123">
        <v>680.625</v>
      </c>
      <c r="I70" s="125">
        <v>34.92</v>
      </c>
      <c r="J70" s="123">
        <v>23399</v>
      </c>
      <c r="K70" s="124"/>
      <c r="L70" s="123">
        <f t="shared" si="258"/>
        <v>23399</v>
      </c>
      <c r="M70" s="122">
        <f t="shared" si="1"/>
        <v>34.378696051423326</v>
      </c>
      <c r="N70" s="118">
        <v>8.41</v>
      </c>
      <c r="O70" s="118">
        <v>8.0299999999999994</v>
      </c>
      <c r="P70" s="118">
        <v>7.79</v>
      </c>
      <c r="Q70" s="118">
        <v>6.38</v>
      </c>
      <c r="R70" s="118">
        <v>9.2799999999999994</v>
      </c>
      <c r="S70" s="153">
        <v>5.29</v>
      </c>
      <c r="T70" s="121">
        <f t="shared" si="287"/>
        <v>7.5299999999999985</v>
      </c>
      <c r="U70" s="113"/>
      <c r="V70" s="115"/>
      <c r="W70" s="115"/>
      <c r="X70" s="120"/>
      <c r="Y70" s="120"/>
      <c r="Z70" s="118">
        <v>0.33</v>
      </c>
      <c r="AA70" s="119"/>
      <c r="AB70" s="117">
        <f t="shared" si="273"/>
        <v>0</v>
      </c>
      <c r="AC70" s="117">
        <f t="shared" si="232"/>
        <v>0</v>
      </c>
      <c r="AD70" s="117">
        <f t="shared" si="4"/>
        <v>0</v>
      </c>
      <c r="AE70" s="117"/>
      <c r="AF70" s="170"/>
      <c r="AG70" s="265"/>
      <c r="AH70" s="265" t="e">
        <f t="shared" si="288"/>
        <v>#DIV/0!</v>
      </c>
      <c r="AI70" s="115"/>
      <c r="AJ70" s="118">
        <f t="shared" si="259"/>
        <v>0</v>
      </c>
      <c r="AK70" s="116">
        <f t="shared" si="260"/>
        <v>0</v>
      </c>
      <c r="AL70" s="116"/>
      <c r="AM70" s="116">
        <f t="shared" si="261"/>
        <v>0</v>
      </c>
      <c r="AN70" s="116"/>
      <c r="AO70" s="116"/>
      <c r="AP70" s="116"/>
      <c r="AQ70" s="113"/>
      <c r="AR70" s="115"/>
      <c r="AS70" s="113"/>
      <c r="AT70" s="113"/>
      <c r="AU70" s="113"/>
      <c r="AV70" s="113"/>
      <c r="AW70" s="113"/>
      <c r="AX70" s="113"/>
      <c r="AY70" s="113"/>
      <c r="AZ70" s="113"/>
      <c r="BA70" s="113"/>
      <c r="BB70" s="113"/>
      <c r="BC70" s="113"/>
      <c r="BD70" s="113"/>
      <c r="BE70" s="113"/>
      <c r="BF70" s="113"/>
      <c r="BG70" s="113"/>
      <c r="BH70" s="113"/>
      <c r="BI70" s="113"/>
      <c r="BJ70" s="113"/>
      <c r="BK70" s="113"/>
      <c r="BL70" s="113"/>
      <c r="BM70" s="113"/>
      <c r="BN70" s="113"/>
      <c r="BO70" s="113"/>
      <c r="BP70" s="113"/>
      <c r="BQ70" s="113"/>
      <c r="BR70" s="113"/>
      <c r="BS70" s="113"/>
      <c r="BT70" s="113"/>
      <c r="BU70" s="113"/>
      <c r="BV70" s="113"/>
      <c r="BW70" s="113"/>
      <c r="BX70" s="113"/>
      <c r="BY70" s="113"/>
      <c r="BZ70" s="113"/>
      <c r="CA70" s="113"/>
      <c r="CB70" s="113"/>
      <c r="CC70" s="113"/>
      <c r="CD70" s="113"/>
      <c r="CE70" s="113"/>
      <c r="CF70" s="113"/>
      <c r="CG70" s="113"/>
      <c r="CH70" s="113"/>
      <c r="CI70" s="113"/>
      <c r="CJ70" s="113"/>
      <c r="CK70" s="113"/>
      <c r="CL70" s="113"/>
      <c r="CM70" s="113"/>
      <c r="CN70" s="113"/>
      <c r="CO70" s="113"/>
      <c r="CP70" s="113"/>
    </row>
    <row r="71" spans="1:94" s="113" customFormat="1">
      <c r="A71" s="63" t="s">
        <v>84</v>
      </c>
      <c r="B71" s="63" t="s">
        <v>151</v>
      </c>
      <c r="C71" s="64" t="s">
        <v>152</v>
      </c>
      <c r="D71" s="65" t="s">
        <v>87</v>
      </c>
      <c r="E71" s="66" t="s">
        <v>153</v>
      </c>
      <c r="F71" s="68"/>
      <c r="G71" s="68" t="s">
        <v>145</v>
      </c>
      <c r="H71" s="69">
        <v>680.625</v>
      </c>
      <c r="I71" s="74">
        <v>7.1</v>
      </c>
      <c r="J71" s="69">
        <v>4658</v>
      </c>
      <c r="K71" s="72"/>
      <c r="L71" s="69">
        <f t="shared" si="258"/>
        <v>4658</v>
      </c>
      <c r="M71" s="86">
        <f t="shared" si="1"/>
        <v>6.8437098255280073</v>
      </c>
      <c r="N71" s="79">
        <v>8.31</v>
      </c>
      <c r="O71" s="79">
        <v>10.41</v>
      </c>
      <c r="P71" s="79">
        <v>9.9700000000000006</v>
      </c>
      <c r="Q71" s="79">
        <v>7.52</v>
      </c>
      <c r="R71" s="79">
        <v>9.91</v>
      </c>
      <c r="S71" s="84">
        <v>9.17</v>
      </c>
      <c r="T71" s="85">
        <f t="shared" si="287"/>
        <v>9.2149999999999981</v>
      </c>
      <c r="U71" s="63"/>
      <c r="V71" s="77"/>
      <c r="W71" s="77"/>
      <c r="X71" s="78">
        <v>0.33</v>
      </c>
      <c r="Y71" s="78"/>
      <c r="Z71" s="79">
        <v>0.34</v>
      </c>
      <c r="AA71" s="80"/>
      <c r="AB71" s="81">
        <f t="shared" si="273"/>
        <v>0</v>
      </c>
      <c r="AC71" s="81">
        <f t="shared" si="232"/>
        <v>0</v>
      </c>
      <c r="AD71" s="81">
        <f t="shared" si="4"/>
        <v>0</v>
      </c>
      <c r="AE71" s="81"/>
      <c r="AF71" s="167"/>
      <c r="AG71" s="264"/>
      <c r="AH71" s="264" t="e">
        <f t="shared" si="288"/>
        <v>#DIV/0!</v>
      </c>
      <c r="AI71" s="77"/>
      <c r="AJ71" s="79">
        <f t="shared" si="259"/>
        <v>0</v>
      </c>
      <c r="AK71" s="82">
        <f t="shared" si="260"/>
        <v>0</v>
      </c>
      <c r="AL71" s="82"/>
      <c r="AM71" s="82">
        <f t="shared" si="261"/>
        <v>0</v>
      </c>
      <c r="AN71" s="82"/>
      <c r="AO71" s="82"/>
      <c r="AP71" s="82"/>
      <c r="AQ71" s="63"/>
      <c r="AR71" s="77"/>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3"/>
      <c r="CG71" s="63"/>
      <c r="CH71" s="63"/>
      <c r="CI71" s="63"/>
      <c r="CJ71" s="63"/>
      <c r="CK71" s="63"/>
      <c r="CL71" s="63"/>
      <c r="CM71" s="63"/>
      <c r="CN71" s="63"/>
      <c r="CO71" s="63"/>
      <c r="CP71" s="63"/>
    </row>
    <row r="72" spans="1:94" s="63" customFormat="1">
      <c r="A72" s="113" t="s">
        <v>84</v>
      </c>
      <c r="B72" s="113" t="s">
        <v>154</v>
      </c>
      <c r="C72" s="114" t="s">
        <v>155</v>
      </c>
      <c r="D72" s="128" t="s">
        <v>87</v>
      </c>
      <c r="E72" s="127" t="s">
        <v>156</v>
      </c>
      <c r="F72" s="126" t="s">
        <v>157</v>
      </c>
      <c r="G72" s="126" t="s">
        <v>145</v>
      </c>
      <c r="H72" s="123">
        <v>680.625</v>
      </c>
      <c r="I72" s="125">
        <v>39.340000000000003</v>
      </c>
      <c r="J72" s="123">
        <v>26421</v>
      </c>
      <c r="K72" s="124">
        <v>0.02</v>
      </c>
      <c r="L72" s="123">
        <f t="shared" si="258"/>
        <v>25892.58</v>
      </c>
      <c r="M72" s="122">
        <f t="shared" si="1"/>
        <v>38.042358126721766</v>
      </c>
      <c r="N72" s="118">
        <v>8.18</v>
      </c>
      <c r="O72" s="118">
        <v>9.76</v>
      </c>
      <c r="P72" s="118">
        <v>7.39</v>
      </c>
      <c r="Q72" s="118">
        <v>7.21</v>
      </c>
      <c r="R72" s="118">
        <v>9.15</v>
      </c>
      <c r="S72" s="153">
        <v>7.84</v>
      </c>
      <c r="T72" s="121">
        <f t="shared" si="287"/>
        <v>8.2550000000000008</v>
      </c>
      <c r="U72" s="113"/>
      <c r="V72" s="115" t="s">
        <v>103</v>
      </c>
      <c r="W72" s="115"/>
      <c r="X72" s="120"/>
      <c r="Y72" s="120"/>
      <c r="Z72" s="118">
        <v>0.32</v>
      </c>
      <c r="AA72" s="119">
        <v>45779</v>
      </c>
      <c r="AB72" s="117">
        <f t="shared" si="273"/>
        <v>79.928571428571431</v>
      </c>
      <c r="AC72" s="117">
        <f>AB72*Z72</f>
        <v>25.57714285714286</v>
      </c>
      <c r="AD72" s="117">
        <f t="shared" si="4"/>
        <v>331.12910880000004</v>
      </c>
      <c r="AE72" s="117">
        <f t="shared" ref="AE72:AE78" si="289">IFERROR((AD72/I72),"")</f>
        <v>8.4171100355871893</v>
      </c>
      <c r="AF72" s="170"/>
      <c r="AG72" s="265">
        <v>5.6</v>
      </c>
      <c r="AH72" s="265">
        <f t="shared" si="288"/>
        <v>0.20587711545547271</v>
      </c>
      <c r="AI72" s="115"/>
      <c r="AJ72" s="118">
        <f t="shared" si="259"/>
        <v>331.12910880000004</v>
      </c>
      <c r="AK72" s="116">
        <f t="shared" si="260"/>
        <v>8.4171100355871893</v>
      </c>
      <c r="AL72" s="116"/>
      <c r="AM72" s="116">
        <f t="shared" si="261"/>
        <v>78.330000000000013</v>
      </c>
      <c r="AN72" s="116"/>
      <c r="AO72" s="116"/>
      <c r="AP72" s="116"/>
      <c r="AQ72" s="113"/>
      <c r="AR72" s="115" t="s">
        <v>116</v>
      </c>
      <c r="AS72" s="15">
        <v>84</v>
      </c>
      <c r="AT72" s="15">
        <v>64</v>
      </c>
      <c r="AU72" s="15">
        <v>85</v>
      </c>
      <c r="AV72" s="15">
        <v>107</v>
      </c>
      <c r="AW72" s="15">
        <v>83</v>
      </c>
      <c r="AX72" s="15">
        <v>80</v>
      </c>
      <c r="AY72" s="15">
        <v>87</v>
      </c>
      <c r="AZ72" s="15">
        <v>49</v>
      </c>
      <c r="BA72" s="15">
        <v>72</v>
      </c>
      <c r="BB72" s="15">
        <v>59</v>
      </c>
      <c r="BC72" s="15">
        <v>67</v>
      </c>
      <c r="BD72" s="15">
        <v>70</v>
      </c>
      <c r="BE72" s="15">
        <v>92</v>
      </c>
      <c r="BF72" s="15">
        <v>120</v>
      </c>
      <c r="BG72" s="113"/>
      <c r="BH72" s="113"/>
      <c r="BI72" s="113"/>
      <c r="BJ72" s="113"/>
      <c r="BK72" s="113"/>
      <c r="BL72" s="113"/>
      <c r="BM72" s="113"/>
      <c r="BN72" s="113"/>
      <c r="BO72" s="113"/>
      <c r="BP72" s="113"/>
      <c r="BQ72" s="113"/>
      <c r="BR72" s="113"/>
      <c r="BS72" s="113"/>
      <c r="BT72" s="113"/>
      <c r="BU72" s="113"/>
      <c r="BV72" s="113"/>
      <c r="BW72" s="113"/>
      <c r="BX72" s="113"/>
      <c r="BY72" s="113"/>
      <c r="BZ72" s="113"/>
      <c r="CA72" s="113"/>
      <c r="CB72" s="113"/>
      <c r="CC72" s="113"/>
      <c r="CD72" s="113"/>
      <c r="CE72" s="113"/>
      <c r="CF72" s="113"/>
      <c r="CG72" s="113"/>
      <c r="CH72" s="113"/>
      <c r="CI72" s="113"/>
      <c r="CJ72" s="113"/>
      <c r="CK72" s="113"/>
      <c r="CL72" s="113"/>
      <c r="CM72" s="113"/>
      <c r="CN72" s="113"/>
      <c r="CO72" s="113"/>
      <c r="CP72" s="113"/>
    </row>
    <row r="73" spans="1:94" s="113" customFormat="1">
      <c r="A73" s="63" t="s">
        <v>84</v>
      </c>
      <c r="B73" s="63" t="s">
        <v>158</v>
      </c>
      <c r="C73" s="64" t="s">
        <v>159</v>
      </c>
      <c r="D73" s="65" t="s">
        <v>87</v>
      </c>
      <c r="E73" s="66" t="s">
        <v>160</v>
      </c>
      <c r="F73" s="68">
        <v>4</v>
      </c>
      <c r="G73" s="68" t="s">
        <v>145</v>
      </c>
      <c r="H73" s="69">
        <v>680.625</v>
      </c>
      <c r="I73" s="74">
        <v>59.54</v>
      </c>
      <c r="J73" s="69">
        <v>40343</v>
      </c>
      <c r="K73" s="72">
        <v>0.1</v>
      </c>
      <c r="L73" s="69">
        <f t="shared" si="258"/>
        <v>36308.699999999997</v>
      </c>
      <c r="M73" s="86">
        <f t="shared" si="1"/>
        <v>53.346115702479338</v>
      </c>
      <c r="N73" s="79">
        <v>8.93</v>
      </c>
      <c r="O73" s="79">
        <v>7.43</v>
      </c>
      <c r="P73" s="79">
        <v>6.49</v>
      </c>
      <c r="Q73" s="79">
        <v>5.69</v>
      </c>
      <c r="R73" s="79">
        <v>7.09</v>
      </c>
      <c r="S73" s="84">
        <v>7.25</v>
      </c>
      <c r="T73" s="85">
        <f t="shared" si="287"/>
        <v>7.1466666666666674</v>
      </c>
      <c r="U73" s="63" t="s">
        <v>365</v>
      </c>
      <c r="V73" s="77" t="s">
        <v>103</v>
      </c>
      <c r="W73" s="77"/>
      <c r="X73" s="78">
        <v>0.35</v>
      </c>
      <c r="Y73" s="78"/>
      <c r="Z73" s="79">
        <v>0.4</v>
      </c>
      <c r="AA73" s="80">
        <v>45772</v>
      </c>
      <c r="AB73" s="81">
        <f t="shared" si="273"/>
        <v>55.5</v>
      </c>
      <c r="AC73" s="81">
        <f t="shared" ref="AC73:AC117" si="290">AB73*X73</f>
        <v>19.424999999999997</v>
      </c>
      <c r="AD73" s="81">
        <f t="shared" si="4"/>
        <v>352.64824874999994</v>
      </c>
      <c r="AE73" s="81">
        <f t="shared" si="289"/>
        <v>5.922879555760832</v>
      </c>
      <c r="AF73" s="167">
        <f t="shared" ref="AF73:AF78" si="291">IFERROR(((AE73-S73)/AE73),"")</f>
        <v>-0.22406676207831325</v>
      </c>
      <c r="AG73" s="264">
        <v>5.28</v>
      </c>
      <c r="AH73" s="264">
        <f t="shared" si="288"/>
        <v>0.27955227955227957</v>
      </c>
      <c r="AI73" s="77"/>
      <c r="AJ73" s="79">
        <f t="shared" si="259"/>
        <v>352.64824874999994</v>
      </c>
      <c r="AK73" s="82">
        <f t="shared" si="260"/>
        <v>5.922879555760832</v>
      </c>
      <c r="AL73" s="82"/>
      <c r="AM73" s="82">
        <f t="shared" si="261"/>
        <v>43.706249999999983</v>
      </c>
      <c r="AN73" s="82"/>
      <c r="AO73" s="82"/>
      <c r="AP73" s="82"/>
      <c r="AQ73" s="63"/>
      <c r="AR73" s="77" t="s">
        <v>91</v>
      </c>
      <c r="AS73" s="63">
        <v>57</v>
      </c>
      <c r="AT73" s="63">
        <v>52</v>
      </c>
      <c r="AU73" s="63">
        <v>73</v>
      </c>
      <c r="AV73" s="63">
        <v>50</v>
      </c>
      <c r="AW73" s="63">
        <v>49</v>
      </c>
      <c r="AX73" s="63">
        <v>56</v>
      </c>
      <c r="AY73" s="63">
        <v>51</v>
      </c>
      <c r="AZ73" s="63">
        <v>109</v>
      </c>
      <c r="BA73" s="63">
        <v>92</v>
      </c>
      <c r="BB73" s="63">
        <v>65</v>
      </c>
      <c r="BC73" s="63">
        <v>54</v>
      </c>
      <c r="BD73" s="63">
        <v>41</v>
      </c>
      <c r="BE73" s="63">
        <v>44</v>
      </c>
      <c r="BF73" s="63">
        <v>41</v>
      </c>
      <c r="BG73" s="63">
        <v>41</v>
      </c>
      <c r="BH73" s="63">
        <v>28</v>
      </c>
      <c r="BI73" s="63">
        <v>58</v>
      </c>
      <c r="BJ73" s="63">
        <v>56</v>
      </c>
      <c r="BK73" s="63">
        <v>53</v>
      </c>
      <c r="BL73" s="63">
        <v>40</v>
      </c>
      <c r="BM73" s="63"/>
      <c r="BN73" s="63"/>
      <c r="BO73" s="63"/>
      <c r="BP73" s="63"/>
      <c r="BQ73" s="63"/>
      <c r="BR73" s="63"/>
      <c r="BS73" s="63"/>
      <c r="BT73" s="63"/>
      <c r="BU73" s="63"/>
      <c r="BV73" s="63"/>
      <c r="BW73" s="63"/>
      <c r="BX73" s="63"/>
      <c r="BY73" s="63"/>
      <c r="BZ73" s="63"/>
      <c r="CA73" s="63"/>
      <c r="CB73" s="63"/>
      <c r="CC73" s="63"/>
      <c r="CD73" s="63"/>
      <c r="CE73" s="63"/>
      <c r="CF73" s="63"/>
      <c r="CG73" s="63"/>
      <c r="CH73" s="63"/>
      <c r="CI73" s="63"/>
      <c r="CJ73" s="63"/>
      <c r="CK73" s="63"/>
      <c r="CL73" s="63"/>
      <c r="CM73" s="63"/>
      <c r="CN73" s="63"/>
      <c r="CO73" s="63"/>
      <c r="CP73" s="63"/>
    </row>
    <row r="74" spans="1:94" s="113" customFormat="1">
      <c r="A74" s="63" t="s">
        <v>84</v>
      </c>
      <c r="B74" s="63" t="s">
        <v>158</v>
      </c>
      <c r="C74" s="64" t="s">
        <v>159</v>
      </c>
      <c r="D74" s="65" t="s">
        <v>87</v>
      </c>
      <c r="E74" s="66" t="s">
        <v>160</v>
      </c>
      <c r="F74" s="68">
        <v>4</v>
      </c>
      <c r="G74" s="68" t="s">
        <v>145</v>
      </c>
      <c r="H74" s="69">
        <v>680.625</v>
      </c>
      <c r="I74" s="74">
        <v>59.54</v>
      </c>
      <c r="J74" s="69">
        <v>40343</v>
      </c>
      <c r="K74" s="72">
        <v>0.1</v>
      </c>
      <c r="L74" s="69">
        <f t="shared" si="258"/>
        <v>36308.699999999997</v>
      </c>
      <c r="M74" s="86">
        <f t="shared" si="1"/>
        <v>53.346115702479338</v>
      </c>
      <c r="N74" s="79">
        <v>8.93</v>
      </c>
      <c r="O74" s="79">
        <v>7.43</v>
      </c>
      <c r="P74" s="79">
        <v>6.49</v>
      </c>
      <c r="Q74" s="79">
        <v>5.69</v>
      </c>
      <c r="R74" s="79">
        <v>7.09</v>
      </c>
      <c r="S74" s="84">
        <v>7.25</v>
      </c>
      <c r="T74" s="85">
        <f t="shared" si="287"/>
        <v>7.1466666666666674</v>
      </c>
      <c r="U74" s="63" t="s">
        <v>365</v>
      </c>
      <c r="V74" s="77" t="s">
        <v>103</v>
      </c>
      <c r="W74" s="77"/>
      <c r="X74" s="78">
        <v>0.35</v>
      </c>
      <c r="Y74" s="78"/>
      <c r="Z74" s="79">
        <v>0.4</v>
      </c>
      <c r="AA74" s="80">
        <v>45823</v>
      </c>
      <c r="AB74" s="81">
        <f t="shared" si="273"/>
        <v>44.5</v>
      </c>
      <c r="AC74" s="81">
        <f t="shared" si="290"/>
        <v>15.574999999999999</v>
      </c>
      <c r="AD74" s="81">
        <f t="shared" si="4"/>
        <v>282.75400124999999</v>
      </c>
      <c r="AE74" s="81">
        <f t="shared" si="289"/>
        <v>4.7489754996640912</v>
      </c>
      <c r="AF74" s="167">
        <f t="shared" si="291"/>
        <v>-0.52664506281677248</v>
      </c>
      <c r="AG74" s="264">
        <v>5.28</v>
      </c>
      <c r="AH74" s="264">
        <f t="shared" si="288"/>
        <v>0.34865509022812397</v>
      </c>
      <c r="AI74" s="77"/>
      <c r="AJ74" s="79">
        <f t="shared" si="259"/>
        <v>282.75400124999999</v>
      </c>
      <c r="AK74" s="82">
        <f t="shared" si="260"/>
        <v>4.7489754996640912</v>
      </c>
      <c r="AL74" s="82"/>
      <c r="AM74" s="82">
        <f t="shared" si="261"/>
        <v>35.043749999999996</v>
      </c>
      <c r="AN74" s="82"/>
      <c r="AO74" s="82"/>
      <c r="AP74" s="82"/>
      <c r="AQ74" s="63"/>
      <c r="AR74" s="77" t="s">
        <v>116</v>
      </c>
      <c r="AS74" s="63">
        <v>49</v>
      </c>
      <c r="AT74" s="63">
        <v>44</v>
      </c>
      <c r="AU74" s="63">
        <v>42</v>
      </c>
      <c r="AV74" s="63">
        <v>49</v>
      </c>
      <c r="AW74" s="63">
        <v>38</v>
      </c>
      <c r="AX74" s="63">
        <v>45</v>
      </c>
      <c r="AY74" s="63">
        <v>50</v>
      </c>
      <c r="AZ74" s="63">
        <v>39</v>
      </c>
      <c r="BA74" s="63">
        <v>45</v>
      </c>
      <c r="BB74" s="63">
        <v>49</v>
      </c>
      <c r="BC74" s="63">
        <v>38</v>
      </c>
      <c r="BD74" s="63">
        <v>42</v>
      </c>
      <c r="BE74" s="63">
        <v>48</v>
      </c>
      <c r="BF74" s="63">
        <v>47</v>
      </c>
      <c r="BG74" s="63">
        <v>38</v>
      </c>
      <c r="BH74" s="63">
        <v>49</v>
      </c>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row>
    <row r="75" spans="1:94" s="63" customFormat="1">
      <c r="A75" s="113" t="s">
        <v>84</v>
      </c>
      <c r="B75" s="113" t="s">
        <v>161</v>
      </c>
      <c r="C75" s="114" t="s">
        <v>162</v>
      </c>
      <c r="D75" s="128" t="s">
        <v>87</v>
      </c>
      <c r="E75" s="127" t="s">
        <v>114</v>
      </c>
      <c r="F75" s="126">
        <v>181</v>
      </c>
      <c r="G75" s="126" t="s">
        <v>163</v>
      </c>
      <c r="H75" s="123">
        <v>680.625</v>
      </c>
      <c r="I75" s="125">
        <v>72.66</v>
      </c>
      <c r="J75" s="123">
        <v>49099</v>
      </c>
      <c r="K75" s="124"/>
      <c r="L75" s="123">
        <f t="shared" si="258"/>
        <v>49099</v>
      </c>
      <c r="M75" s="122">
        <f t="shared" si="1"/>
        <v>72.138108356290175</v>
      </c>
      <c r="N75" s="118">
        <v>11.37</v>
      </c>
      <c r="O75" s="118">
        <v>11.02</v>
      </c>
      <c r="P75" s="118">
        <v>9.4</v>
      </c>
      <c r="Q75" s="118">
        <v>9.01</v>
      </c>
      <c r="R75" s="118">
        <v>9.84</v>
      </c>
      <c r="S75" s="153">
        <v>11.51</v>
      </c>
      <c r="T75" s="121">
        <f t="shared" si="287"/>
        <v>10.358333333333333</v>
      </c>
      <c r="U75" s="113"/>
      <c r="V75" s="115"/>
      <c r="W75" s="115"/>
      <c r="X75" s="120">
        <v>0.3</v>
      </c>
      <c r="Y75" s="120"/>
      <c r="Z75" s="118">
        <v>0.38</v>
      </c>
      <c r="AA75" s="119">
        <v>45791</v>
      </c>
      <c r="AB75" s="117">
        <f t="shared" si="273"/>
        <v>100.3</v>
      </c>
      <c r="AC75" s="117">
        <f t="shared" si="290"/>
        <v>30.089999999999996</v>
      </c>
      <c r="AD75" s="117">
        <f t="shared" si="4"/>
        <v>738.69445499999995</v>
      </c>
      <c r="AE75" s="117">
        <f t="shared" si="289"/>
        <v>10.166452725020644</v>
      </c>
      <c r="AF75" s="170">
        <f t="shared" si="291"/>
        <v>-0.13215497197687776</v>
      </c>
      <c r="AG75" s="265">
        <v>9.08</v>
      </c>
      <c r="AH75" s="265">
        <f t="shared" si="288"/>
        <v>0.26601554381849862</v>
      </c>
      <c r="AI75" s="115"/>
      <c r="AJ75" s="118">
        <f t="shared" si="259"/>
        <v>738.69445499999995</v>
      </c>
      <c r="AK75" s="116">
        <f t="shared" si="260"/>
        <v>10.166452725020644</v>
      </c>
      <c r="AL75" s="116"/>
      <c r="AM75" s="116">
        <f t="shared" si="261"/>
        <v>79.184210526315795</v>
      </c>
      <c r="AN75" s="29" t="s">
        <v>701</v>
      </c>
      <c r="AO75" s="116"/>
      <c r="AP75" s="116"/>
      <c r="AQ75" s="175"/>
      <c r="AR75" s="115" t="s">
        <v>116</v>
      </c>
      <c r="AS75" s="113">
        <v>96</v>
      </c>
      <c r="AT75" s="113">
        <v>87</v>
      </c>
      <c r="AU75" s="113">
        <v>90</v>
      </c>
      <c r="AV75" s="113">
        <v>99</v>
      </c>
      <c r="AW75" s="113">
        <v>79</v>
      </c>
      <c r="AX75" s="113">
        <v>108</v>
      </c>
      <c r="AY75" s="113">
        <v>99</v>
      </c>
      <c r="AZ75" s="113">
        <v>105</v>
      </c>
      <c r="BA75" s="113">
        <v>110</v>
      </c>
      <c r="BB75" s="113">
        <v>103</v>
      </c>
      <c r="BC75" s="113">
        <v>115</v>
      </c>
      <c r="BD75" s="113">
        <v>95</v>
      </c>
      <c r="BE75" s="113">
        <v>113</v>
      </c>
      <c r="BF75" s="113">
        <v>101</v>
      </c>
      <c r="BG75" s="113">
        <v>104</v>
      </c>
      <c r="BH75" s="113">
        <v>89</v>
      </c>
      <c r="BI75" s="113">
        <v>105</v>
      </c>
      <c r="BJ75" s="113">
        <v>99</v>
      </c>
      <c r="BK75" s="113">
        <v>107</v>
      </c>
      <c r="BL75" s="113">
        <v>102</v>
      </c>
      <c r="BM75" s="113"/>
      <c r="BN75" s="113"/>
      <c r="BO75" s="113"/>
      <c r="BP75" s="113"/>
      <c r="BQ75" s="113"/>
      <c r="BR75" s="113"/>
      <c r="BS75" s="113"/>
      <c r="BT75" s="113"/>
      <c r="BU75" s="113"/>
      <c r="BV75" s="113"/>
      <c r="BW75" s="113"/>
      <c r="BX75" s="113"/>
      <c r="BY75" s="113"/>
      <c r="BZ75" s="113"/>
      <c r="CA75" s="113"/>
      <c r="CB75" s="113"/>
      <c r="CC75" s="113"/>
      <c r="CD75" s="113"/>
      <c r="CE75" s="113"/>
      <c r="CF75" s="113"/>
      <c r="CG75" s="113"/>
      <c r="CH75" s="113"/>
      <c r="CI75" s="113"/>
      <c r="CJ75" s="113"/>
      <c r="CK75" s="113"/>
      <c r="CL75" s="113"/>
      <c r="CM75" s="113"/>
      <c r="CN75" s="113"/>
      <c r="CO75" s="113"/>
      <c r="CP75" s="113"/>
    </row>
    <row r="76" spans="1:94" s="63" customFormat="1">
      <c r="A76" s="113" t="s">
        <v>84</v>
      </c>
      <c r="B76" s="113" t="s">
        <v>161</v>
      </c>
      <c r="C76" s="114" t="s">
        <v>162</v>
      </c>
      <c r="D76" s="128" t="s">
        <v>87</v>
      </c>
      <c r="E76" s="127" t="s">
        <v>114</v>
      </c>
      <c r="F76" s="126">
        <v>181</v>
      </c>
      <c r="G76" s="126" t="s">
        <v>163</v>
      </c>
      <c r="H76" s="123">
        <v>680.625</v>
      </c>
      <c r="I76" s="125">
        <v>72.66</v>
      </c>
      <c r="J76" s="123">
        <v>49099</v>
      </c>
      <c r="K76" s="124"/>
      <c r="L76" s="123">
        <f t="shared" ref="L76" si="292">J76-(J76*K76)</f>
        <v>49099</v>
      </c>
      <c r="M76" s="122">
        <f t="shared" ref="M76" si="293">L76/H76</f>
        <v>72.138108356290175</v>
      </c>
      <c r="N76" s="118">
        <v>11.37</v>
      </c>
      <c r="O76" s="118">
        <v>11.02</v>
      </c>
      <c r="P76" s="118">
        <v>9.4</v>
      </c>
      <c r="Q76" s="118">
        <v>9.01</v>
      </c>
      <c r="R76" s="118">
        <v>9.84</v>
      </c>
      <c r="S76" s="153">
        <v>11.51</v>
      </c>
      <c r="T76" s="121">
        <f t="shared" ref="T76" si="294">AVERAGE(N76:S76)</f>
        <v>10.358333333333333</v>
      </c>
      <c r="U76" s="113"/>
      <c r="V76" s="115"/>
      <c r="W76" s="115"/>
      <c r="X76" s="120">
        <v>0.3</v>
      </c>
      <c r="Y76" s="120"/>
      <c r="Z76" s="118">
        <v>0.38</v>
      </c>
      <c r="AA76" s="119">
        <v>45835</v>
      </c>
      <c r="AB76" s="117">
        <f t="shared" ref="AB76" si="295">IFERROR(AVERAGE(AS76:CP76),0)</f>
        <v>123.25</v>
      </c>
      <c r="AC76" s="117">
        <f t="shared" ref="AC76" si="296">AB76*X76</f>
        <v>36.975000000000001</v>
      </c>
      <c r="AD76" s="117">
        <f t="shared" ref="AD76" si="297">(AC76*L76)/2000</f>
        <v>907.71776250000005</v>
      </c>
      <c r="AE76" s="117">
        <f t="shared" si="289"/>
        <v>12.49267495871181</v>
      </c>
      <c r="AF76" s="170">
        <f t="shared" si="291"/>
        <v>7.8660091770540952E-2</v>
      </c>
      <c r="AG76" s="265">
        <v>9.08</v>
      </c>
      <c r="AH76" s="265">
        <f t="shared" si="288"/>
        <v>0.2164816149695368</v>
      </c>
      <c r="AI76" s="115"/>
      <c r="AJ76" s="118">
        <f t="shared" ref="AJ76" si="298">AD76-(AI76*I76)</f>
        <v>907.71776250000005</v>
      </c>
      <c r="AK76" s="116">
        <f t="shared" ref="AK76" si="299">AJ76/I76</f>
        <v>12.49267495871181</v>
      </c>
      <c r="AL76" s="116"/>
      <c r="AM76" s="116">
        <f t="shared" ref="AM76" si="300">((AJ76*2000)/Z76)/J76</f>
        <v>97.30263157894737</v>
      </c>
      <c r="AN76" s="29" t="s">
        <v>701</v>
      </c>
      <c r="AO76" s="116"/>
      <c r="AP76" s="116"/>
      <c r="AQ76" s="175"/>
      <c r="AR76" s="115" t="s">
        <v>91</v>
      </c>
      <c r="AS76" s="113">
        <v>90</v>
      </c>
      <c r="AT76" s="113">
        <v>152</v>
      </c>
      <c r="AU76" s="113">
        <v>123</v>
      </c>
      <c r="AV76" s="113">
        <v>110</v>
      </c>
      <c r="AW76" s="113">
        <v>135</v>
      </c>
      <c r="AX76" s="113">
        <v>117</v>
      </c>
      <c r="AY76" s="113">
        <v>129</v>
      </c>
      <c r="AZ76" s="113">
        <v>129</v>
      </c>
      <c r="BA76" s="113">
        <v>119</v>
      </c>
      <c r="BB76" s="113">
        <v>102</v>
      </c>
      <c r="BC76" s="113">
        <v>142</v>
      </c>
      <c r="BD76" s="113">
        <v>131</v>
      </c>
      <c r="BE76" s="113"/>
      <c r="BF76" s="113"/>
      <c r="BG76" s="113"/>
      <c r="BH76" s="113"/>
      <c r="BI76" s="113"/>
      <c r="BJ76" s="113"/>
      <c r="BK76" s="113"/>
      <c r="BL76" s="113"/>
      <c r="BM76" s="113"/>
      <c r="BN76" s="113"/>
      <c r="BO76" s="113"/>
      <c r="BP76" s="113"/>
      <c r="BQ76" s="113"/>
      <c r="BR76" s="113"/>
      <c r="BS76" s="113"/>
      <c r="BT76" s="113"/>
      <c r="BU76" s="113"/>
      <c r="BV76" s="113"/>
      <c r="BW76" s="113"/>
      <c r="BX76" s="113"/>
      <c r="BY76" s="113"/>
      <c r="BZ76" s="113"/>
      <c r="CA76" s="113"/>
      <c r="CB76" s="113"/>
      <c r="CC76" s="113"/>
      <c r="CD76" s="113"/>
      <c r="CE76" s="113"/>
      <c r="CF76" s="113"/>
      <c r="CG76" s="113"/>
      <c r="CH76" s="113"/>
      <c r="CI76" s="113"/>
      <c r="CJ76" s="113"/>
      <c r="CK76" s="113"/>
      <c r="CL76" s="113"/>
      <c r="CM76" s="113"/>
      <c r="CN76" s="113"/>
      <c r="CO76" s="113"/>
      <c r="CP76" s="113"/>
    </row>
    <row r="77" spans="1:94" s="113" customFormat="1">
      <c r="A77" s="63" t="s">
        <v>84</v>
      </c>
      <c r="B77" s="63" t="s">
        <v>167</v>
      </c>
      <c r="C77" s="64" t="s">
        <v>168</v>
      </c>
      <c r="D77" s="65" t="s">
        <v>87</v>
      </c>
      <c r="E77" s="66" t="s">
        <v>169</v>
      </c>
      <c r="F77" s="68" t="s">
        <v>170</v>
      </c>
      <c r="G77" s="68" t="s">
        <v>170</v>
      </c>
      <c r="H77" s="69">
        <v>622.28571428571433</v>
      </c>
      <c r="I77" s="74">
        <v>60.52</v>
      </c>
      <c r="J77" s="69">
        <v>36996</v>
      </c>
      <c r="K77" s="72"/>
      <c r="L77" s="69">
        <f t="shared" si="258"/>
        <v>36996</v>
      </c>
      <c r="M77" s="86">
        <f t="shared" si="1"/>
        <v>59.451790633608809</v>
      </c>
      <c r="N77" s="79">
        <v>5.97</v>
      </c>
      <c r="O77" s="79">
        <v>7.19</v>
      </c>
      <c r="P77" s="79">
        <v>6.85</v>
      </c>
      <c r="Q77" s="79">
        <v>5.2</v>
      </c>
      <c r="R77" s="79">
        <v>7.27</v>
      </c>
      <c r="S77" s="84">
        <v>6.53</v>
      </c>
      <c r="T77" s="85">
        <f t="shared" si="287"/>
        <v>6.501666666666666</v>
      </c>
      <c r="U77" s="63" t="s">
        <v>365</v>
      </c>
      <c r="V77" s="77" t="s">
        <v>103</v>
      </c>
      <c r="W77" s="77"/>
      <c r="X77" s="78">
        <v>0.33</v>
      </c>
      <c r="Y77" s="78"/>
      <c r="Z77" s="79">
        <v>0.34</v>
      </c>
      <c r="AA77" s="80">
        <v>45791</v>
      </c>
      <c r="AB77" s="81">
        <f t="shared" si="273"/>
        <v>74.272727272727266</v>
      </c>
      <c r="AC77" s="81">
        <f t="shared" si="290"/>
        <v>24.509999999999998</v>
      </c>
      <c r="AD77" s="81">
        <f t="shared" si="4"/>
        <v>453.38597999999996</v>
      </c>
      <c r="AE77" s="81">
        <f t="shared" si="289"/>
        <v>7.4915066093853264</v>
      </c>
      <c r="AF77" s="167">
        <f t="shared" si="291"/>
        <v>0.1283462272035848</v>
      </c>
      <c r="AG77" s="264"/>
      <c r="AH77" s="264">
        <f t="shared" si="288"/>
        <v>0</v>
      </c>
      <c r="AI77" s="77"/>
      <c r="AJ77" s="79">
        <f t="shared" si="259"/>
        <v>453.38597999999996</v>
      </c>
      <c r="AK77" s="82">
        <f t="shared" si="260"/>
        <v>7.4915066093853264</v>
      </c>
      <c r="AL77" s="82"/>
      <c r="AM77" s="82">
        <f t="shared" si="261"/>
        <v>72.088235294117638</v>
      </c>
      <c r="AN77" s="82" t="s">
        <v>701</v>
      </c>
      <c r="AO77" s="82"/>
      <c r="AP77" s="82"/>
      <c r="AQ77" s="63"/>
      <c r="AR77" s="77" t="s">
        <v>116</v>
      </c>
      <c r="AS77" s="63">
        <v>60</v>
      </c>
      <c r="AT77" s="63">
        <v>69</v>
      </c>
      <c r="AU77" s="63">
        <v>67</v>
      </c>
      <c r="AV77" s="63">
        <v>75</v>
      </c>
      <c r="AW77" s="63">
        <v>69</v>
      </c>
      <c r="AX77" s="63">
        <v>80</v>
      </c>
      <c r="AY77" s="63">
        <v>73</v>
      </c>
      <c r="AZ77" s="63">
        <v>77</v>
      </c>
      <c r="BA77" s="63">
        <v>83</v>
      </c>
      <c r="BB77" s="63">
        <v>79</v>
      </c>
      <c r="BC77" s="63">
        <v>85</v>
      </c>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63"/>
      <c r="CE77" s="63"/>
      <c r="CF77" s="63"/>
      <c r="CG77" s="63"/>
      <c r="CH77" s="63"/>
      <c r="CI77" s="63"/>
      <c r="CJ77" s="63"/>
      <c r="CK77" s="63"/>
      <c r="CL77" s="63"/>
      <c r="CM77" s="63"/>
      <c r="CN77" s="63"/>
      <c r="CO77" s="63"/>
      <c r="CP77" s="63"/>
    </row>
    <row r="78" spans="1:94" s="63" customFormat="1">
      <c r="A78" s="63" t="s">
        <v>84</v>
      </c>
      <c r="B78" s="63" t="s">
        <v>167</v>
      </c>
      <c r="C78" s="64" t="s">
        <v>171</v>
      </c>
      <c r="D78" s="65" t="s">
        <v>87</v>
      </c>
      <c r="E78" s="66" t="s">
        <v>169</v>
      </c>
      <c r="F78" s="68" t="s">
        <v>170</v>
      </c>
      <c r="G78" s="68" t="s">
        <v>170</v>
      </c>
      <c r="H78" s="69">
        <v>622.28571428571433</v>
      </c>
      <c r="I78" s="74">
        <v>60.52</v>
      </c>
      <c r="J78" s="69">
        <v>36996</v>
      </c>
      <c r="K78" s="72"/>
      <c r="L78" s="69">
        <f t="shared" si="258"/>
        <v>36996</v>
      </c>
      <c r="M78" s="86">
        <f t="shared" si="1"/>
        <v>59.451790633608809</v>
      </c>
      <c r="N78" s="79">
        <v>5.97</v>
      </c>
      <c r="O78" s="79">
        <v>7.19</v>
      </c>
      <c r="P78" s="79">
        <v>6.85</v>
      </c>
      <c r="Q78" s="79">
        <v>5.2</v>
      </c>
      <c r="R78" s="79">
        <v>7.27</v>
      </c>
      <c r="S78" s="84">
        <v>6.53</v>
      </c>
      <c r="T78" s="85">
        <f t="shared" si="287"/>
        <v>6.501666666666666</v>
      </c>
      <c r="U78" s="63" t="s">
        <v>365</v>
      </c>
      <c r="V78" s="77" t="s">
        <v>103</v>
      </c>
      <c r="W78" s="77"/>
      <c r="X78" s="78">
        <v>0.33</v>
      </c>
      <c r="Y78" s="78"/>
      <c r="Z78" s="79">
        <v>0.34</v>
      </c>
      <c r="AA78" s="80">
        <v>45835</v>
      </c>
      <c r="AB78" s="81">
        <f t="shared" si="273"/>
        <v>65.916666666666671</v>
      </c>
      <c r="AC78" s="81">
        <f t="shared" si="290"/>
        <v>21.752500000000001</v>
      </c>
      <c r="AD78" s="81">
        <f t="shared" si="4"/>
        <v>402.377745</v>
      </c>
      <c r="AE78" s="81">
        <f t="shared" si="289"/>
        <v>6.6486739094514204</v>
      </c>
      <c r="AF78" s="167">
        <f t="shared" si="291"/>
        <v>1.7849260028036468E-2</v>
      </c>
      <c r="AG78" s="264"/>
      <c r="AH78" s="264">
        <f t="shared" si="288"/>
        <v>0</v>
      </c>
      <c r="AI78" s="77"/>
      <c r="AJ78" s="79">
        <f t="shared" si="259"/>
        <v>402.377745</v>
      </c>
      <c r="AK78" s="82">
        <f t="shared" si="260"/>
        <v>6.6486739094514204</v>
      </c>
      <c r="AL78" s="82"/>
      <c r="AM78" s="82">
        <f t="shared" si="261"/>
        <v>63.97794117647058</v>
      </c>
      <c r="AN78" s="82" t="s">
        <v>701</v>
      </c>
      <c r="AO78" s="82"/>
      <c r="AP78" s="82"/>
      <c r="AR78" s="77" t="s">
        <v>91</v>
      </c>
      <c r="AS78" s="63">
        <v>78</v>
      </c>
      <c r="AT78" s="63">
        <v>81</v>
      </c>
      <c r="AU78" s="63">
        <v>65</v>
      </c>
      <c r="AV78" s="63">
        <v>49</v>
      </c>
      <c r="AW78" s="63">
        <v>44</v>
      </c>
      <c r="AX78" s="63">
        <v>45</v>
      </c>
      <c r="AY78" s="63">
        <v>92</v>
      </c>
      <c r="AZ78" s="63">
        <v>65</v>
      </c>
      <c r="BA78" s="63">
        <v>87</v>
      </c>
      <c r="BB78" s="63">
        <v>58</v>
      </c>
      <c r="BC78" s="63">
        <v>79</v>
      </c>
      <c r="BD78" s="63">
        <v>48</v>
      </c>
    </row>
    <row r="79" spans="1:94" s="63" customFormat="1">
      <c r="A79" s="113" t="s">
        <v>84</v>
      </c>
      <c r="B79" s="113" t="s">
        <v>721</v>
      </c>
      <c r="C79" s="114" t="s">
        <v>722</v>
      </c>
      <c r="D79" s="128" t="s">
        <v>87</v>
      </c>
      <c r="E79" s="127" t="s">
        <v>237</v>
      </c>
      <c r="F79" s="126">
        <v>2</v>
      </c>
      <c r="G79" s="126" t="s">
        <v>163</v>
      </c>
      <c r="H79" s="123">
        <v>622.28571428571433</v>
      </c>
      <c r="I79" s="125">
        <v>14.84</v>
      </c>
      <c r="J79" s="123">
        <v>9103</v>
      </c>
      <c r="K79" s="124"/>
      <c r="L79" s="123">
        <f t="shared" si="258"/>
        <v>9103</v>
      </c>
      <c r="M79" s="122">
        <f t="shared" si="1"/>
        <v>14.628328741965104</v>
      </c>
      <c r="N79" s="118">
        <v>10.06</v>
      </c>
      <c r="O79" s="118">
        <v>7.58</v>
      </c>
      <c r="P79" s="118">
        <v>7.1</v>
      </c>
      <c r="Q79" s="118">
        <v>7.32</v>
      </c>
      <c r="R79" s="118">
        <v>9.1300000000000008</v>
      </c>
      <c r="S79" s="153"/>
      <c r="T79" s="121">
        <f>AVERAGE(N79:R79)</f>
        <v>8.2380000000000013</v>
      </c>
      <c r="U79" s="113"/>
      <c r="V79" s="115"/>
      <c r="W79" s="115"/>
      <c r="X79" s="120">
        <v>0.27</v>
      </c>
      <c r="Y79" s="120"/>
      <c r="Z79" s="118">
        <v>0.27</v>
      </c>
      <c r="AA79" s="119"/>
      <c r="AB79" s="117">
        <f t="shared" si="273"/>
        <v>0</v>
      </c>
      <c r="AC79" s="117">
        <f t="shared" si="290"/>
        <v>0</v>
      </c>
      <c r="AD79" s="117">
        <f t="shared" si="4"/>
        <v>0</v>
      </c>
      <c r="AE79" s="117"/>
      <c r="AF79" s="170"/>
      <c r="AG79" s="265"/>
      <c r="AH79" s="265" t="e">
        <f t="shared" si="288"/>
        <v>#DIV/0!</v>
      </c>
      <c r="AI79" s="115"/>
      <c r="AJ79" s="118">
        <f t="shared" si="259"/>
        <v>0</v>
      </c>
      <c r="AK79" s="116">
        <f t="shared" si="260"/>
        <v>0</v>
      </c>
      <c r="AL79" s="116"/>
      <c r="AM79" s="116">
        <f t="shared" si="261"/>
        <v>0</v>
      </c>
      <c r="AN79" s="116"/>
      <c r="AO79" s="116"/>
      <c r="AP79" s="116"/>
      <c r="AQ79" s="113"/>
      <c r="AR79" s="115"/>
      <c r="AS79" s="113"/>
      <c r="AT79" s="113"/>
      <c r="AU79" s="113"/>
      <c r="AV79" s="113"/>
      <c r="AW79" s="113"/>
      <c r="AX79" s="113"/>
      <c r="AY79" s="113"/>
      <c r="AZ79" s="113"/>
      <c r="BA79" s="113"/>
      <c r="BB79" s="113"/>
      <c r="BC79" s="113"/>
      <c r="BD79" s="113"/>
      <c r="BE79" s="113"/>
      <c r="BF79" s="113"/>
      <c r="BG79" s="113"/>
      <c r="BH79" s="113"/>
      <c r="BI79" s="113"/>
      <c r="BJ79" s="113"/>
      <c r="BK79" s="113"/>
      <c r="BL79" s="113"/>
      <c r="BM79" s="113"/>
      <c r="BN79" s="113"/>
      <c r="BO79" s="113"/>
      <c r="BP79" s="113"/>
      <c r="BQ79" s="113"/>
      <c r="BR79" s="113"/>
      <c r="BS79" s="113"/>
      <c r="BT79" s="113"/>
      <c r="BU79" s="113"/>
      <c r="BV79" s="113"/>
      <c r="BW79" s="113"/>
      <c r="BX79" s="113"/>
      <c r="BY79" s="113"/>
      <c r="BZ79" s="113"/>
      <c r="CA79" s="113"/>
      <c r="CB79" s="113"/>
      <c r="CC79" s="113"/>
      <c r="CD79" s="113"/>
      <c r="CE79" s="113"/>
      <c r="CF79" s="113"/>
      <c r="CG79" s="113"/>
      <c r="CH79" s="113"/>
      <c r="CI79" s="113"/>
      <c r="CJ79" s="113"/>
      <c r="CK79" s="113"/>
      <c r="CL79" s="113"/>
      <c r="CM79" s="113"/>
      <c r="CN79" s="113"/>
      <c r="CO79" s="113"/>
      <c r="CP79" s="113"/>
    </row>
    <row r="80" spans="1:94" s="113" customFormat="1">
      <c r="A80" s="63" t="s">
        <v>84</v>
      </c>
      <c r="B80" s="68" t="s">
        <v>172</v>
      </c>
      <c r="C80" s="64" t="s">
        <v>173</v>
      </c>
      <c r="D80" s="65" t="s">
        <v>87</v>
      </c>
      <c r="E80" s="66" t="s">
        <v>119</v>
      </c>
      <c r="F80" s="68">
        <v>3</v>
      </c>
      <c r="G80" s="68" t="s">
        <v>96</v>
      </c>
      <c r="H80" s="69">
        <v>622.28571428571433</v>
      </c>
      <c r="I80" s="74">
        <v>4.97</v>
      </c>
      <c r="J80" s="69">
        <v>3004</v>
      </c>
      <c r="K80" s="72">
        <v>0.02</v>
      </c>
      <c r="L80" s="69">
        <f t="shared" si="258"/>
        <v>2943.92</v>
      </c>
      <c r="M80" s="86">
        <f t="shared" si="1"/>
        <v>4.7308172635445356</v>
      </c>
      <c r="N80" s="79">
        <v>8.17</v>
      </c>
      <c r="O80" s="79">
        <v>6.45</v>
      </c>
      <c r="P80" s="79">
        <v>5.82</v>
      </c>
      <c r="Q80" s="79">
        <v>6.71</v>
      </c>
      <c r="R80" s="79">
        <v>9.4</v>
      </c>
      <c r="S80" s="84">
        <v>6.73</v>
      </c>
      <c r="T80" s="85">
        <f t="shared" ref="T80:T87" si="301">AVERAGE(N80:S80)</f>
        <v>7.2133333333333338</v>
      </c>
      <c r="U80" s="63"/>
      <c r="V80" s="77" t="s">
        <v>103</v>
      </c>
      <c r="W80" s="77"/>
      <c r="X80" s="78">
        <v>0.42</v>
      </c>
      <c r="Y80" s="78"/>
      <c r="Z80" s="79">
        <v>0.52</v>
      </c>
      <c r="AA80" s="80">
        <v>45785</v>
      </c>
      <c r="AB80" s="81">
        <f t="shared" si="273"/>
        <v>48.8125</v>
      </c>
      <c r="AC80" s="81">
        <f t="shared" si="290"/>
        <v>20.501249999999999</v>
      </c>
      <c r="AD80" s="81">
        <f t="shared" si="4"/>
        <v>30.177019949999998</v>
      </c>
      <c r="AE80" s="81">
        <f t="shared" ref="AE80:AE87" si="302">IFERROR((AD80/I80),"")</f>
        <v>6.0718350000000001</v>
      </c>
      <c r="AF80" s="167">
        <f t="shared" ref="AF80:AF87" si="303">IFERROR(((AE80-S80)/AE80),"")</f>
        <v>-0.10839639087689312</v>
      </c>
      <c r="AG80" s="264"/>
      <c r="AH80" s="264">
        <f t="shared" si="288"/>
        <v>0</v>
      </c>
      <c r="AI80" s="77"/>
      <c r="AJ80" s="79">
        <f t="shared" si="259"/>
        <v>30.177019949999998</v>
      </c>
      <c r="AK80" s="82">
        <f t="shared" si="260"/>
        <v>6.0718350000000001</v>
      </c>
      <c r="AL80" s="82"/>
      <c r="AM80" s="82">
        <f t="shared" si="261"/>
        <v>38.636971153846154</v>
      </c>
      <c r="AN80" s="82" t="s">
        <v>701</v>
      </c>
      <c r="AO80" s="82"/>
      <c r="AP80" s="82"/>
      <c r="AQ80" s="63"/>
      <c r="AR80" s="77" t="s">
        <v>91</v>
      </c>
      <c r="AS80" s="87">
        <v>57</v>
      </c>
      <c r="AT80" s="87">
        <v>55</v>
      </c>
      <c r="AU80" s="87">
        <v>42</v>
      </c>
      <c r="AV80" s="87">
        <v>49</v>
      </c>
      <c r="AW80" s="87">
        <v>45</v>
      </c>
      <c r="AX80" s="87">
        <v>56</v>
      </c>
      <c r="AY80" s="87">
        <v>42</v>
      </c>
      <c r="AZ80" s="87">
        <v>45</v>
      </c>
      <c r="BA80" s="87">
        <v>45</v>
      </c>
      <c r="BB80" s="87">
        <v>50</v>
      </c>
      <c r="BC80" s="87">
        <v>55</v>
      </c>
      <c r="BD80" s="87">
        <v>46</v>
      </c>
      <c r="BE80" s="63">
        <v>60</v>
      </c>
      <c r="BF80" s="63">
        <v>41</v>
      </c>
      <c r="BG80" s="63">
        <v>43</v>
      </c>
      <c r="BH80" s="63">
        <v>50</v>
      </c>
      <c r="BI80" s="63"/>
      <c r="BJ80" s="63"/>
      <c r="BK80" s="63"/>
      <c r="BL80" s="63"/>
      <c r="BM80" s="63"/>
      <c r="BN80" s="63"/>
      <c r="BO80" s="63"/>
      <c r="BP80" s="63"/>
      <c r="BQ80" s="63"/>
      <c r="BR80" s="63"/>
      <c r="BS80" s="63"/>
      <c r="BT80" s="63"/>
      <c r="BU80" s="63"/>
      <c r="BV80" s="63"/>
      <c r="BW80" s="63"/>
      <c r="BX80" s="63"/>
      <c r="BY80" s="63"/>
      <c r="BZ80" s="63"/>
      <c r="CA80" s="63"/>
      <c r="CB80" s="63"/>
      <c r="CC80" s="63"/>
      <c r="CD80" s="63"/>
      <c r="CE80" s="63"/>
      <c r="CF80" s="63"/>
      <c r="CG80" s="63"/>
      <c r="CH80" s="63"/>
      <c r="CI80" s="63"/>
      <c r="CJ80" s="63"/>
      <c r="CK80" s="63"/>
      <c r="CL80" s="63"/>
      <c r="CM80" s="63"/>
      <c r="CN80" s="63"/>
      <c r="CO80" s="63"/>
      <c r="CP80" s="63"/>
    </row>
    <row r="81" spans="1:94" s="113" customFormat="1">
      <c r="A81" s="63" t="s">
        <v>84</v>
      </c>
      <c r="B81" s="68" t="s">
        <v>172</v>
      </c>
      <c r="C81" s="64" t="s">
        <v>173</v>
      </c>
      <c r="D81" s="65" t="s">
        <v>87</v>
      </c>
      <c r="E81" s="66" t="s">
        <v>119</v>
      </c>
      <c r="F81" s="68">
        <v>3</v>
      </c>
      <c r="G81" s="68" t="s">
        <v>96</v>
      </c>
      <c r="H81" s="69">
        <v>622.28571428571433</v>
      </c>
      <c r="I81" s="74">
        <v>4.97</v>
      </c>
      <c r="J81" s="69">
        <v>3004</v>
      </c>
      <c r="K81" s="72">
        <v>0.02</v>
      </c>
      <c r="L81" s="69">
        <f t="shared" si="258"/>
        <v>2943.92</v>
      </c>
      <c r="M81" s="86">
        <f t="shared" si="1"/>
        <v>4.7308172635445356</v>
      </c>
      <c r="N81" s="79">
        <v>8.17</v>
      </c>
      <c r="O81" s="79">
        <v>6.45</v>
      </c>
      <c r="P81" s="79">
        <v>5.82</v>
      </c>
      <c r="Q81" s="79">
        <v>6.71</v>
      </c>
      <c r="R81" s="79">
        <v>9.4</v>
      </c>
      <c r="S81" s="84">
        <v>6.73</v>
      </c>
      <c r="T81" s="85">
        <f t="shared" si="301"/>
        <v>7.2133333333333338</v>
      </c>
      <c r="U81" s="63"/>
      <c r="V81" s="77" t="s">
        <v>103</v>
      </c>
      <c r="W81" s="77"/>
      <c r="X81" s="78">
        <v>0.42</v>
      </c>
      <c r="Y81" s="78"/>
      <c r="Z81" s="79">
        <v>0.52</v>
      </c>
      <c r="AA81" s="80">
        <v>45811</v>
      </c>
      <c r="AB81" s="81">
        <f t="shared" si="273"/>
        <v>66.333333333333329</v>
      </c>
      <c r="AC81" s="81">
        <f t="shared" si="290"/>
        <v>27.859999999999996</v>
      </c>
      <c r="AD81" s="81">
        <f t="shared" si="4"/>
        <v>41.008805599999995</v>
      </c>
      <c r="AE81" s="81">
        <f t="shared" si="302"/>
        <v>8.2512687323943652</v>
      </c>
      <c r="AF81" s="167">
        <f t="shared" si="303"/>
        <v>0.18436785683901982</v>
      </c>
      <c r="AG81" s="264"/>
      <c r="AH81" s="264">
        <f t="shared" si="288"/>
        <v>0</v>
      </c>
      <c r="AI81" s="77"/>
      <c r="AJ81" s="79">
        <f t="shared" si="259"/>
        <v>41.008805599999995</v>
      </c>
      <c r="AK81" s="82">
        <f t="shared" si="260"/>
        <v>8.2512687323943652</v>
      </c>
      <c r="AL81" s="82"/>
      <c r="AM81" s="82">
        <f t="shared" si="261"/>
        <v>52.5053846153846</v>
      </c>
      <c r="AN81" s="82" t="s">
        <v>701</v>
      </c>
      <c r="AO81" s="82"/>
      <c r="AP81" s="82"/>
      <c r="AQ81" s="63"/>
      <c r="AR81" s="77" t="s">
        <v>91</v>
      </c>
      <c r="AS81" s="87">
        <v>68</v>
      </c>
      <c r="AT81" s="87">
        <v>74</v>
      </c>
      <c r="AU81" s="87">
        <v>82</v>
      </c>
      <c r="AV81" s="87">
        <v>51</v>
      </c>
      <c r="AW81" s="87">
        <v>80</v>
      </c>
      <c r="AX81" s="87">
        <v>74</v>
      </c>
      <c r="AY81" s="87">
        <v>80</v>
      </c>
      <c r="AZ81" s="87">
        <v>35</v>
      </c>
      <c r="BA81" s="87">
        <v>70</v>
      </c>
      <c r="BB81" s="87">
        <v>57</v>
      </c>
      <c r="BC81" s="87">
        <v>62</v>
      </c>
      <c r="BD81" s="87">
        <v>63</v>
      </c>
      <c r="BE81" s="63"/>
      <c r="BF81" s="63"/>
      <c r="BG81" s="63"/>
      <c r="BH81" s="63"/>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row>
    <row r="82" spans="1:94" s="63" customFormat="1" ht="13.5" customHeight="1">
      <c r="A82" s="113" t="s">
        <v>84</v>
      </c>
      <c r="B82" s="126" t="s">
        <v>174</v>
      </c>
      <c r="C82" s="114" t="s">
        <v>175</v>
      </c>
      <c r="D82" s="128" t="s">
        <v>87</v>
      </c>
      <c r="E82" s="127" t="s">
        <v>119</v>
      </c>
      <c r="F82" s="126">
        <v>3</v>
      </c>
      <c r="G82" s="126" t="s">
        <v>96</v>
      </c>
      <c r="H82" s="123">
        <v>622.28571428571433</v>
      </c>
      <c r="I82" s="125">
        <v>12.29</v>
      </c>
      <c r="J82" s="123">
        <v>7450</v>
      </c>
      <c r="K82" s="124">
        <v>0.05</v>
      </c>
      <c r="L82" s="123">
        <f t="shared" si="258"/>
        <v>7077.5</v>
      </c>
      <c r="M82" s="122">
        <f t="shared" si="1"/>
        <v>11.373393021120293</v>
      </c>
      <c r="N82" s="118">
        <v>8.17</v>
      </c>
      <c r="O82" s="118">
        <v>6.45</v>
      </c>
      <c r="P82" s="118">
        <v>5.82</v>
      </c>
      <c r="Q82" s="118">
        <v>6.71</v>
      </c>
      <c r="R82" s="118">
        <v>6.12</v>
      </c>
      <c r="S82" s="153">
        <v>6.73</v>
      </c>
      <c r="T82" s="121">
        <f t="shared" si="301"/>
        <v>6.666666666666667</v>
      </c>
      <c r="U82" s="113"/>
      <c r="V82" s="115" t="s">
        <v>103</v>
      </c>
      <c r="W82" s="115"/>
      <c r="X82" s="120">
        <v>0.42</v>
      </c>
      <c r="Y82" s="120"/>
      <c r="Z82" s="118">
        <v>0.52</v>
      </c>
      <c r="AA82" s="119">
        <v>45785</v>
      </c>
      <c r="AB82" s="117">
        <f t="shared" si="273"/>
        <v>76.2</v>
      </c>
      <c r="AC82" s="117">
        <f t="shared" si="290"/>
        <v>32.003999999999998</v>
      </c>
      <c r="AD82" s="117">
        <f t="shared" si="4"/>
        <v>113.254155</v>
      </c>
      <c r="AE82" s="117">
        <f t="shared" si="302"/>
        <v>9.215146867371848</v>
      </c>
      <c r="AF82" s="170">
        <f t="shared" si="303"/>
        <v>0.26968065763238447</v>
      </c>
      <c r="AG82" s="265"/>
      <c r="AH82" s="265">
        <f t="shared" si="288"/>
        <v>0</v>
      </c>
      <c r="AI82" s="115"/>
      <c r="AJ82" s="118">
        <f t="shared" si="259"/>
        <v>113.254155</v>
      </c>
      <c r="AK82" s="116">
        <f t="shared" si="260"/>
        <v>9.215146867371848</v>
      </c>
      <c r="AL82" s="116"/>
      <c r="AM82" s="116">
        <f t="shared" si="261"/>
        <v>58.468846153846151</v>
      </c>
      <c r="AN82" s="116" t="s">
        <v>701</v>
      </c>
      <c r="AO82" s="116"/>
      <c r="AP82" s="116"/>
      <c r="AQ82" s="113"/>
      <c r="AR82" s="115" t="s">
        <v>91</v>
      </c>
      <c r="AS82" s="135">
        <v>56</v>
      </c>
      <c r="AT82" s="135">
        <v>90</v>
      </c>
      <c r="AU82" s="135">
        <v>80</v>
      </c>
      <c r="AV82" s="135">
        <v>53</v>
      </c>
      <c r="AW82" s="135">
        <v>65</v>
      </c>
      <c r="AX82" s="135">
        <v>102</v>
      </c>
      <c r="AY82" s="135">
        <v>69</v>
      </c>
      <c r="AZ82" s="135">
        <v>102</v>
      </c>
      <c r="BA82" s="135">
        <v>113</v>
      </c>
      <c r="BB82" s="135">
        <v>83</v>
      </c>
      <c r="BC82" s="135">
        <v>55</v>
      </c>
      <c r="BD82" s="135">
        <v>68</v>
      </c>
      <c r="BE82" s="113">
        <v>70</v>
      </c>
      <c r="BF82" s="113">
        <v>66</v>
      </c>
      <c r="BG82" s="113">
        <v>71</v>
      </c>
      <c r="BH82" s="113"/>
      <c r="BI82" s="113"/>
      <c r="BJ82" s="113"/>
      <c r="BK82" s="113"/>
      <c r="BL82" s="113"/>
      <c r="BM82" s="113"/>
      <c r="BN82" s="113"/>
      <c r="BO82" s="113"/>
      <c r="BP82" s="113"/>
      <c r="BQ82" s="113"/>
      <c r="BR82" s="113"/>
      <c r="BS82" s="113"/>
      <c r="BT82" s="113"/>
      <c r="BU82" s="113"/>
      <c r="BV82" s="113"/>
      <c r="BW82" s="113"/>
      <c r="BX82" s="113"/>
      <c r="BY82" s="113"/>
      <c r="BZ82" s="113"/>
      <c r="CA82" s="113"/>
      <c r="CB82" s="113"/>
      <c r="CC82" s="113"/>
      <c r="CD82" s="113"/>
      <c r="CE82" s="113"/>
      <c r="CF82" s="113"/>
      <c r="CG82" s="113"/>
      <c r="CH82" s="113"/>
      <c r="CI82" s="113"/>
      <c r="CJ82" s="113"/>
      <c r="CK82" s="113"/>
      <c r="CL82" s="113"/>
      <c r="CM82" s="113"/>
      <c r="CN82" s="113"/>
      <c r="CO82" s="113"/>
      <c r="CP82" s="113"/>
    </row>
    <row r="83" spans="1:94" s="63" customFormat="1" ht="13.5" customHeight="1">
      <c r="A83" s="113" t="s">
        <v>84</v>
      </c>
      <c r="B83" s="126" t="s">
        <v>174</v>
      </c>
      <c r="C83" s="114" t="s">
        <v>175</v>
      </c>
      <c r="D83" s="128" t="s">
        <v>87</v>
      </c>
      <c r="E83" s="127" t="s">
        <v>119</v>
      </c>
      <c r="F83" s="126">
        <v>3</v>
      </c>
      <c r="G83" s="126" t="s">
        <v>96</v>
      </c>
      <c r="H83" s="123">
        <v>622.28571428571433</v>
      </c>
      <c r="I83" s="125">
        <v>12.29</v>
      </c>
      <c r="J83" s="123">
        <v>7450</v>
      </c>
      <c r="K83" s="124">
        <v>0.05</v>
      </c>
      <c r="L83" s="123">
        <f t="shared" si="258"/>
        <v>7077.5</v>
      </c>
      <c r="M83" s="122">
        <f t="shared" si="1"/>
        <v>11.373393021120293</v>
      </c>
      <c r="N83" s="118">
        <v>8.17</v>
      </c>
      <c r="O83" s="118">
        <v>6.45</v>
      </c>
      <c r="P83" s="118">
        <v>5.82</v>
      </c>
      <c r="Q83" s="118">
        <v>6.71</v>
      </c>
      <c r="R83" s="118">
        <v>6.12</v>
      </c>
      <c r="S83" s="153">
        <v>6.73</v>
      </c>
      <c r="T83" s="121">
        <f t="shared" si="301"/>
        <v>6.666666666666667</v>
      </c>
      <c r="U83" s="113"/>
      <c r="V83" s="115" t="s">
        <v>103</v>
      </c>
      <c r="W83" s="115"/>
      <c r="X83" s="120">
        <v>0.42</v>
      </c>
      <c r="Y83" s="120"/>
      <c r="Z83" s="118">
        <v>0.52</v>
      </c>
      <c r="AA83" s="119">
        <v>45811</v>
      </c>
      <c r="AB83" s="117">
        <f t="shared" si="273"/>
        <v>68.75</v>
      </c>
      <c r="AC83" s="117">
        <f t="shared" si="290"/>
        <v>28.875</v>
      </c>
      <c r="AD83" s="117">
        <f t="shared" si="4"/>
        <v>102.18140624999999</v>
      </c>
      <c r="AE83" s="117">
        <f t="shared" si="302"/>
        <v>8.3141909072416595</v>
      </c>
      <c r="AF83" s="170">
        <f t="shared" si="303"/>
        <v>0.19054059798673001</v>
      </c>
      <c r="AG83" s="265"/>
      <c r="AH83" s="265">
        <f t="shared" si="288"/>
        <v>0</v>
      </c>
      <c r="AI83" s="115"/>
      <c r="AJ83" s="118">
        <f t="shared" si="259"/>
        <v>102.18140624999999</v>
      </c>
      <c r="AK83" s="116">
        <f t="shared" si="260"/>
        <v>8.3141909072416595</v>
      </c>
      <c r="AL83" s="116"/>
      <c r="AM83" s="116">
        <f t="shared" si="261"/>
        <v>52.75240384615384</v>
      </c>
      <c r="AN83" s="116" t="s">
        <v>701</v>
      </c>
      <c r="AO83" s="116"/>
      <c r="AP83" s="116"/>
      <c r="AQ83" s="113"/>
      <c r="AR83" s="115" t="s">
        <v>91</v>
      </c>
      <c r="AS83" s="135">
        <v>70</v>
      </c>
      <c r="AT83" s="135">
        <v>72</v>
      </c>
      <c r="AU83" s="135">
        <v>76</v>
      </c>
      <c r="AV83" s="135">
        <v>63</v>
      </c>
      <c r="AW83" s="135">
        <v>79</v>
      </c>
      <c r="AX83" s="135">
        <v>54</v>
      </c>
      <c r="AY83" s="135">
        <v>69</v>
      </c>
      <c r="AZ83" s="135">
        <v>53</v>
      </c>
      <c r="BA83" s="135">
        <v>77</v>
      </c>
      <c r="BB83" s="135">
        <v>84</v>
      </c>
      <c r="BC83" s="135">
        <v>62</v>
      </c>
      <c r="BD83" s="135">
        <v>66</v>
      </c>
      <c r="BE83" s="113"/>
      <c r="BF83" s="113"/>
      <c r="BG83" s="113"/>
      <c r="BH83" s="113"/>
      <c r="BI83" s="113"/>
      <c r="BJ83" s="113"/>
      <c r="BK83" s="113"/>
      <c r="BL83" s="113"/>
      <c r="BM83" s="113"/>
      <c r="BN83" s="113"/>
      <c r="BO83" s="113"/>
      <c r="BP83" s="113"/>
      <c r="BQ83" s="113"/>
      <c r="BR83" s="113"/>
      <c r="BS83" s="113"/>
      <c r="BT83" s="113"/>
      <c r="BU83" s="113"/>
      <c r="BV83" s="113"/>
      <c r="BW83" s="113"/>
      <c r="BX83" s="113"/>
      <c r="BY83" s="113"/>
      <c r="BZ83" s="113"/>
      <c r="CA83" s="113"/>
      <c r="CB83" s="113"/>
      <c r="CC83" s="113"/>
      <c r="CD83" s="113"/>
      <c r="CE83" s="113"/>
      <c r="CF83" s="113"/>
      <c r="CG83" s="113"/>
      <c r="CH83" s="113"/>
      <c r="CI83" s="113"/>
      <c r="CJ83" s="113"/>
      <c r="CK83" s="113"/>
      <c r="CL83" s="113"/>
      <c r="CM83" s="113"/>
      <c r="CN83" s="113"/>
      <c r="CO83" s="113"/>
      <c r="CP83" s="113"/>
    </row>
    <row r="84" spans="1:94" s="113" customFormat="1" ht="13.9" customHeight="1">
      <c r="A84" s="63" t="s">
        <v>84</v>
      </c>
      <c r="B84" s="63" t="s">
        <v>176</v>
      </c>
      <c r="C84" s="64" t="s">
        <v>177</v>
      </c>
      <c r="D84" s="65" t="s">
        <v>87</v>
      </c>
      <c r="E84" s="66" t="s">
        <v>119</v>
      </c>
      <c r="F84" s="68" t="s">
        <v>170</v>
      </c>
      <c r="G84" s="68" t="s">
        <v>170</v>
      </c>
      <c r="H84" s="69">
        <v>622.28571428571433</v>
      </c>
      <c r="I84" s="74">
        <v>16.22</v>
      </c>
      <c r="J84" s="69">
        <v>9900</v>
      </c>
      <c r="K84" s="72">
        <v>0.05</v>
      </c>
      <c r="L84" s="69">
        <f t="shared" si="258"/>
        <v>9405</v>
      </c>
      <c r="M84" s="86">
        <f t="shared" si="1"/>
        <v>15.113636363636363</v>
      </c>
      <c r="N84" s="79">
        <v>8.9499999999999993</v>
      </c>
      <c r="O84" s="79">
        <v>6.45</v>
      </c>
      <c r="P84" s="79">
        <v>5.82</v>
      </c>
      <c r="Q84" s="79">
        <v>6.71</v>
      </c>
      <c r="R84" s="79">
        <v>8.48</v>
      </c>
      <c r="S84" s="84">
        <v>6.73</v>
      </c>
      <c r="T84" s="85">
        <f t="shared" si="301"/>
        <v>7.19</v>
      </c>
      <c r="U84" s="63"/>
      <c r="V84" s="77" t="s">
        <v>103</v>
      </c>
      <c r="W84" s="77"/>
      <c r="X84" s="78">
        <v>0.42</v>
      </c>
      <c r="Y84" s="78"/>
      <c r="Z84" s="79">
        <v>0.52</v>
      </c>
      <c r="AA84" s="80">
        <v>45785</v>
      </c>
      <c r="AB84" s="81">
        <f t="shared" si="273"/>
        <v>75.13333333333334</v>
      </c>
      <c r="AC84" s="81">
        <f t="shared" si="290"/>
        <v>31.556000000000001</v>
      </c>
      <c r="AD84" s="81">
        <f t="shared" si="4"/>
        <v>148.39209</v>
      </c>
      <c r="AE84" s="81">
        <f t="shared" si="302"/>
        <v>9.1487108508014803</v>
      </c>
      <c r="AF84" s="167">
        <f t="shared" si="303"/>
        <v>0.2643772319670139</v>
      </c>
      <c r="AG84" s="264"/>
      <c r="AH84" s="264">
        <f t="shared" si="288"/>
        <v>0</v>
      </c>
      <c r="AI84" s="77"/>
      <c r="AJ84" s="79">
        <f t="shared" si="259"/>
        <v>148.39209</v>
      </c>
      <c r="AK84" s="82">
        <f t="shared" si="260"/>
        <v>9.1487108508014803</v>
      </c>
      <c r="AL84" s="82"/>
      <c r="AM84" s="82">
        <f t="shared" si="261"/>
        <v>57.65038461538461</v>
      </c>
      <c r="AN84" s="82" t="s">
        <v>701</v>
      </c>
      <c r="AO84" s="82"/>
      <c r="AP84" s="82"/>
      <c r="AQ84" s="63"/>
      <c r="AR84" s="77" t="s">
        <v>91</v>
      </c>
      <c r="AS84" s="87">
        <v>66</v>
      </c>
      <c r="AT84" s="87">
        <v>72</v>
      </c>
      <c r="AU84" s="87">
        <v>83</v>
      </c>
      <c r="AV84" s="87">
        <v>64</v>
      </c>
      <c r="AW84" s="87">
        <v>74</v>
      </c>
      <c r="AX84" s="87">
        <v>88</v>
      </c>
      <c r="AY84" s="87">
        <v>101</v>
      </c>
      <c r="AZ84" s="87">
        <v>87</v>
      </c>
      <c r="BA84" s="87">
        <v>59</v>
      </c>
      <c r="BB84" s="87">
        <v>71</v>
      </c>
      <c r="BC84" s="87">
        <v>72</v>
      </c>
      <c r="BD84" s="87">
        <v>99</v>
      </c>
      <c r="BE84" s="63">
        <v>59</v>
      </c>
      <c r="BF84" s="63">
        <v>62</v>
      </c>
      <c r="BG84" s="63">
        <v>70</v>
      </c>
      <c r="BH84" s="63"/>
      <c r="BI84" s="63"/>
      <c r="BJ84" s="63"/>
      <c r="BK84" s="63"/>
      <c r="BL84" s="63"/>
      <c r="BM84" s="63"/>
      <c r="BN84" s="63"/>
      <c r="BO84" s="63"/>
      <c r="BP84" s="63"/>
      <c r="BQ84" s="63"/>
      <c r="BR84" s="63"/>
      <c r="BS84" s="63"/>
      <c r="BT84" s="63"/>
      <c r="BU84" s="63"/>
      <c r="BV84" s="63"/>
      <c r="BW84" s="63"/>
      <c r="BX84" s="63"/>
      <c r="BY84" s="63"/>
      <c r="BZ84" s="63"/>
      <c r="CA84" s="63"/>
      <c r="CB84" s="63"/>
      <c r="CC84" s="63"/>
      <c r="CD84" s="63"/>
      <c r="CE84" s="63"/>
      <c r="CF84" s="63"/>
      <c r="CG84" s="63"/>
      <c r="CH84" s="63"/>
      <c r="CI84" s="63"/>
      <c r="CJ84" s="63"/>
      <c r="CK84" s="63"/>
      <c r="CL84" s="63"/>
      <c r="CM84" s="63"/>
      <c r="CN84" s="63"/>
      <c r="CO84" s="63"/>
      <c r="CP84" s="63"/>
    </row>
    <row r="85" spans="1:94" s="63" customFormat="1" ht="13.9" customHeight="1">
      <c r="A85" s="113" t="s">
        <v>84</v>
      </c>
      <c r="B85" s="113" t="s">
        <v>178</v>
      </c>
      <c r="C85" s="114" t="s">
        <v>179</v>
      </c>
      <c r="D85" s="128" t="s">
        <v>87</v>
      </c>
      <c r="E85" s="127" t="s">
        <v>180</v>
      </c>
      <c r="F85" s="126" t="s">
        <v>181</v>
      </c>
      <c r="G85" s="126" t="s">
        <v>90</v>
      </c>
      <c r="H85" s="123">
        <v>680.625</v>
      </c>
      <c r="I85" s="125">
        <v>34.409999999999997</v>
      </c>
      <c r="J85" s="123">
        <v>22973</v>
      </c>
      <c r="K85" s="124"/>
      <c r="L85" s="123">
        <f t="shared" si="258"/>
        <v>22973</v>
      </c>
      <c r="M85" s="122">
        <f t="shared" si="1"/>
        <v>33.752800734618916</v>
      </c>
      <c r="N85" s="118">
        <v>7.59</v>
      </c>
      <c r="O85" s="118">
        <v>7.65</v>
      </c>
      <c r="P85" s="118">
        <v>5.54</v>
      </c>
      <c r="Q85" s="118">
        <v>7.68</v>
      </c>
      <c r="R85" s="118">
        <v>9.09</v>
      </c>
      <c r="S85" s="153">
        <v>6.31</v>
      </c>
      <c r="T85" s="121">
        <f t="shared" si="301"/>
        <v>7.31</v>
      </c>
      <c r="U85" s="113" t="s">
        <v>365</v>
      </c>
      <c r="V85" s="115" t="s">
        <v>366</v>
      </c>
      <c r="W85" s="115"/>
      <c r="X85" s="120">
        <v>0.33</v>
      </c>
      <c r="Y85" s="120"/>
      <c r="Z85" s="118">
        <v>0.45</v>
      </c>
      <c r="AA85" s="119">
        <v>45765</v>
      </c>
      <c r="AB85" s="117">
        <f t="shared" si="273"/>
        <v>74.307692307692307</v>
      </c>
      <c r="AC85" s="117">
        <f t="shared" si="290"/>
        <v>24.521538461538462</v>
      </c>
      <c r="AD85" s="117">
        <f t="shared" si="4"/>
        <v>281.66665153846156</v>
      </c>
      <c r="AE85" s="117">
        <f t="shared" si="302"/>
        <v>8.1856045201529088</v>
      </c>
      <c r="AF85" s="170">
        <f t="shared" si="303"/>
        <v>0.229134514810138</v>
      </c>
      <c r="AG85" s="265">
        <v>6.37</v>
      </c>
      <c r="AH85" s="265">
        <f t="shared" si="288"/>
        <v>0.25189976178118473</v>
      </c>
      <c r="AI85" s="115"/>
      <c r="AJ85" s="118"/>
      <c r="AK85" s="116"/>
      <c r="AL85" s="116"/>
      <c r="AM85" s="116"/>
      <c r="AN85" s="116" t="s">
        <v>701</v>
      </c>
      <c r="AO85" s="29">
        <f>9*I85</f>
        <v>309.68999999999994</v>
      </c>
      <c r="AP85" s="29">
        <f>AD85-AO85</f>
        <v>-28.023348461538376</v>
      </c>
      <c r="AQ85" s="113"/>
      <c r="AR85" s="115" t="s">
        <v>137</v>
      </c>
      <c r="AS85" s="113">
        <v>66</v>
      </c>
      <c r="AT85" s="113">
        <v>85</v>
      </c>
      <c r="AU85" s="113">
        <v>81</v>
      </c>
      <c r="AV85" s="113">
        <v>103</v>
      </c>
      <c r="AW85" s="113">
        <v>60</v>
      </c>
      <c r="AX85" s="113">
        <v>80</v>
      </c>
      <c r="AY85" s="113">
        <v>92</v>
      </c>
      <c r="AZ85" s="113">
        <v>84</v>
      </c>
      <c r="BA85" s="113">
        <v>50</v>
      </c>
      <c r="BB85" s="113">
        <v>78</v>
      </c>
      <c r="BC85" s="113">
        <v>62</v>
      </c>
      <c r="BD85" s="113">
        <v>55</v>
      </c>
      <c r="BE85" s="113">
        <v>70</v>
      </c>
      <c r="BF85" s="113"/>
      <c r="BG85" s="113"/>
      <c r="BH85" s="113"/>
      <c r="BI85" s="113"/>
      <c r="BJ85" s="113"/>
      <c r="BK85" s="113"/>
      <c r="BL85" s="113"/>
      <c r="BM85" s="113"/>
      <c r="BN85" s="113"/>
      <c r="BO85" s="113"/>
      <c r="BP85" s="113"/>
      <c r="BQ85" s="113"/>
      <c r="BR85" s="113"/>
      <c r="BS85" s="113"/>
      <c r="BT85" s="113"/>
      <c r="BU85" s="113"/>
      <c r="BV85" s="113"/>
      <c r="BW85" s="113"/>
      <c r="BX85" s="113"/>
      <c r="BY85" s="113"/>
      <c r="BZ85" s="113"/>
      <c r="CA85" s="113"/>
      <c r="CB85" s="113"/>
      <c r="CC85" s="113"/>
      <c r="CD85" s="113"/>
      <c r="CE85" s="113"/>
      <c r="CF85" s="113"/>
      <c r="CG85" s="113"/>
      <c r="CH85" s="113"/>
      <c r="CI85" s="113"/>
      <c r="CJ85" s="113"/>
      <c r="CK85" s="113"/>
      <c r="CL85" s="113"/>
      <c r="CM85" s="113"/>
      <c r="CN85" s="113"/>
      <c r="CO85" s="113"/>
      <c r="CP85" s="113"/>
    </row>
    <row r="86" spans="1:94" s="113" customFormat="1" ht="15" customHeight="1">
      <c r="A86" s="113" t="s">
        <v>84</v>
      </c>
      <c r="B86" s="113" t="s">
        <v>178</v>
      </c>
      <c r="C86" s="114" t="s">
        <v>179</v>
      </c>
      <c r="D86" s="128" t="s">
        <v>87</v>
      </c>
      <c r="E86" s="127" t="s">
        <v>180</v>
      </c>
      <c r="F86" s="126" t="s">
        <v>181</v>
      </c>
      <c r="G86" s="126" t="s">
        <v>90</v>
      </c>
      <c r="H86" s="123">
        <v>680.625</v>
      </c>
      <c r="I86" s="125">
        <v>34.409999999999997</v>
      </c>
      <c r="J86" s="123">
        <v>22973</v>
      </c>
      <c r="K86" s="124"/>
      <c r="L86" s="123">
        <f t="shared" ref="L86:L120" si="304">J86-(J86*K86)</f>
        <v>22973</v>
      </c>
      <c r="M86" s="122">
        <f t="shared" ref="M86:M157" si="305">L86/H86</f>
        <v>33.752800734618916</v>
      </c>
      <c r="N86" s="118">
        <v>7.59</v>
      </c>
      <c r="O86" s="118">
        <v>7.65</v>
      </c>
      <c r="P86" s="118">
        <v>5.54</v>
      </c>
      <c r="Q86" s="118">
        <v>7.68</v>
      </c>
      <c r="R86" s="118">
        <v>9.09</v>
      </c>
      <c r="S86" s="153">
        <v>6.31</v>
      </c>
      <c r="T86" s="121">
        <f t="shared" si="301"/>
        <v>7.31</v>
      </c>
      <c r="U86" s="113" t="s">
        <v>723</v>
      </c>
      <c r="V86" s="115" t="s">
        <v>103</v>
      </c>
      <c r="W86" s="115"/>
      <c r="X86" s="120">
        <v>0.33</v>
      </c>
      <c r="Y86" s="120"/>
      <c r="Z86" s="118">
        <v>0.45</v>
      </c>
      <c r="AA86" s="119">
        <v>45771</v>
      </c>
      <c r="AB86" s="117">
        <f t="shared" si="273"/>
        <v>76.307692307692307</v>
      </c>
      <c r="AC86" s="117">
        <f t="shared" si="290"/>
        <v>25.181538461538462</v>
      </c>
      <c r="AD86" s="117">
        <f t="shared" ref="AD86:AD157" si="306">(AC86*L86)/2000</f>
        <v>289.24774153846153</v>
      </c>
      <c r="AE86" s="117">
        <f t="shared" si="302"/>
        <v>8.4059209979209992</v>
      </c>
      <c r="AF86" s="170">
        <f t="shared" si="303"/>
        <v>0.24933865051067872</v>
      </c>
      <c r="AG86" s="265">
        <v>6.37</v>
      </c>
      <c r="AH86" s="265">
        <f t="shared" si="288"/>
        <v>0.24529755028288755</v>
      </c>
      <c r="AI86" s="115"/>
      <c r="AJ86" s="118"/>
      <c r="AK86" s="116"/>
      <c r="AL86" s="116"/>
      <c r="AM86" s="116"/>
      <c r="AN86" s="116" t="s">
        <v>701</v>
      </c>
      <c r="AO86" s="29">
        <f>9*I86</f>
        <v>309.68999999999994</v>
      </c>
      <c r="AP86" s="29">
        <f>AD86-AO86</f>
        <v>-20.442258461538415</v>
      </c>
      <c r="AR86" s="115" t="s">
        <v>92</v>
      </c>
      <c r="AS86" s="113">
        <v>70</v>
      </c>
      <c r="AT86" s="113">
        <v>81</v>
      </c>
      <c r="AU86" s="113">
        <v>79</v>
      </c>
      <c r="AV86" s="113">
        <v>81</v>
      </c>
      <c r="AW86" s="113">
        <v>79</v>
      </c>
      <c r="AX86" s="113">
        <v>81</v>
      </c>
      <c r="AY86" s="113">
        <v>78</v>
      </c>
      <c r="AZ86" s="113">
        <v>68</v>
      </c>
      <c r="BA86" s="113">
        <v>71</v>
      </c>
      <c r="BB86" s="113">
        <v>81</v>
      </c>
      <c r="BC86" s="113">
        <v>80</v>
      </c>
      <c r="BD86" s="113">
        <v>76</v>
      </c>
      <c r="BE86" s="113">
        <v>67</v>
      </c>
    </row>
    <row r="87" spans="1:94" s="113" customFormat="1" ht="15" customHeight="1">
      <c r="A87" s="113" t="s">
        <v>84</v>
      </c>
      <c r="B87" s="113" t="s">
        <v>178</v>
      </c>
      <c r="C87" s="114" t="s">
        <v>179</v>
      </c>
      <c r="D87" s="128" t="s">
        <v>87</v>
      </c>
      <c r="E87" s="127" t="s">
        <v>180</v>
      </c>
      <c r="F87" s="126" t="s">
        <v>181</v>
      </c>
      <c r="G87" s="126" t="s">
        <v>90</v>
      </c>
      <c r="H87" s="123">
        <v>680.625</v>
      </c>
      <c r="I87" s="125">
        <v>34.409999999999997</v>
      </c>
      <c r="J87" s="123">
        <v>22973</v>
      </c>
      <c r="K87" s="124"/>
      <c r="L87" s="123">
        <f t="shared" si="304"/>
        <v>22973</v>
      </c>
      <c r="M87" s="122">
        <f t="shared" si="305"/>
        <v>33.752800734618916</v>
      </c>
      <c r="N87" s="118">
        <v>7.59</v>
      </c>
      <c r="O87" s="118">
        <v>7.65</v>
      </c>
      <c r="P87" s="118">
        <v>5.54</v>
      </c>
      <c r="Q87" s="118">
        <v>7.68</v>
      </c>
      <c r="R87" s="118">
        <v>9.09</v>
      </c>
      <c r="S87" s="153">
        <v>6.31</v>
      </c>
      <c r="T87" s="121">
        <f t="shared" si="301"/>
        <v>7.31</v>
      </c>
      <c r="U87" s="113" t="s">
        <v>723</v>
      </c>
      <c r="V87" s="115" t="s">
        <v>103</v>
      </c>
      <c r="W87" s="115"/>
      <c r="X87" s="120">
        <v>0.33</v>
      </c>
      <c r="Y87" s="120"/>
      <c r="Z87" s="118">
        <v>0.45</v>
      </c>
      <c r="AA87" s="119">
        <v>45820</v>
      </c>
      <c r="AB87" s="117">
        <f t="shared" si="273"/>
        <v>69.545454545454547</v>
      </c>
      <c r="AC87" s="117">
        <f t="shared" si="290"/>
        <v>22.950000000000003</v>
      </c>
      <c r="AD87" s="117">
        <f t="shared" si="306"/>
        <v>263.61517500000002</v>
      </c>
      <c r="AE87" s="117">
        <f t="shared" si="302"/>
        <v>7.6610047951176998</v>
      </c>
      <c r="AF87" s="170">
        <f t="shared" si="303"/>
        <v>0.17634825081674474</v>
      </c>
      <c r="AG87" s="265">
        <v>6.37</v>
      </c>
      <c r="AH87" s="265">
        <f t="shared" si="288"/>
        <v>0.26914900640390838</v>
      </c>
      <c r="AI87" s="115"/>
      <c r="AJ87" s="118"/>
      <c r="AK87" s="116"/>
      <c r="AL87" s="116"/>
      <c r="AM87" s="116"/>
      <c r="AN87" s="116" t="s">
        <v>701</v>
      </c>
      <c r="AO87" s="29">
        <f>9*I87</f>
        <v>309.68999999999994</v>
      </c>
      <c r="AP87" s="29">
        <f>AD87-AO87</f>
        <v>-46.074824999999919</v>
      </c>
      <c r="AR87" s="115" t="s">
        <v>91</v>
      </c>
      <c r="AS87" s="113">
        <v>59</v>
      </c>
      <c r="AT87" s="113">
        <v>79</v>
      </c>
      <c r="AU87" s="113">
        <v>69</v>
      </c>
      <c r="AV87" s="113">
        <v>69</v>
      </c>
      <c r="AW87" s="113">
        <v>70</v>
      </c>
      <c r="AX87" s="113">
        <v>73</v>
      </c>
      <c r="AY87" s="113">
        <v>67</v>
      </c>
      <c r="AZ87" s="113">
        <v>71</v>
      </c>
      <c r="BA87" s="113">
        <v>82</v>
      </c>
      <c r="BB87" s="113">
        <v>50</v>
      </c>
      <c r="BC87" s="113">
        <v>76</v>
      </c>
    </row>
    <row r="88" spans="1:94" s="113" customFormat="1">
      <c r="A88" s="63" t="s">
        <v>84</v>
      </c>
      <c r="B88" s="63" t="s">
        <v>183</v>
      </c>
      <c r="C88" s="64" t="s">
        <v>184</v>
      </c>
      <c r="D88" s="65" t="s">
        <v>87</v>
      </c>
      <c r="E88" s="66" t="s">
        <v>88</v>
      </c>
      <c r="F88" s="68">
        <v>7</v>
      </c>
      <c r="G88" s="68" t="s">
        <v>90</v>
      </c>
      <c r="H88" s="69">
        <v>726</v>
      </c>
      <c r="I88" s="74">
        <v>59.72</v>
      </c>
      <c r="J88" s="69">
        <v>43036</v>
      </c>
      <c r="K88" s="72"/>
      <c r="L88" s="69">
        <f t="shared" si="304"/>
        <v>43036</v>
      </c>
      <c r="M88" s="86">
        <f t="shared" si="305"/>
        <v>59.278236914600548</v>
      </c>
      <c r="N88" s="79"/>
      <c r="O88" s="79"/>
      <c r="P88" s="79"/>
      <c r="Q88" s="79">
        <v>5.13</v>
      </c>
      <c r="R88" s="79">
        <v>7.39</v>
      </c>
      <c r="S88" s="84">
        <v>9.33</v>
      </c>
      <c r="T88" s="85">
        <f>AVERAGE(N88:R88)</f>
        <v>6.26</v>
      </c>
      <c r="U88" s="63"/>
      <c r="V88" s="77"/>
      <c r="W88" s="77"/>
      <c r="X88" s="78">
        <v>0.28999999999999998</v>
      </c>
      <c r="Y88" s="78"/>
      <c r="Z88" s="79">
        <v>0.33</v>
      </c>
      <c r="AA88" s="80">
        <v>45852</v>
      </c>
      <c r="AB88" s="81">
        <f t="shared" ref="AB88:AB122" si="307">IFERROR(AVERAGE(AS88:CP88),0)</f>
        <v>94.9375</v>
      </c>
      <c r="AC88" s="81">
        <f t="shared" ref="AC88" si="308">AB88*X88</f>
        <v>27.531874999999999</v>
      </c>
      <c r="AD88" s="81">
        <f t="shared" ref="AD88" si="309">(AC88*L88)/2000</f>
        <v>592.43088624999996</v>
      </c>
      <c r="AE88" s="81">
        <f t="shared" ref="AE88" si="310">IFERROR((AD88/I88),"")</f>
        <v>9.9201421006363031</v>
      </c>
      <c r="AF88" s="167">
        <f t="shared" ref="AF88" si="311">IFERROR(((AE88-S88)/AE88),"")</f>
        <v>5.9489278948781366E-2</v>
      </c>
      <c r="AG88" s="264"/>
      <c r="AH88" s="264">
        <f t="shared" si="288"/>
        <v>0</v>
      </c>
      <c r="AI88" s="77"/>
      <c r="AJ88" s="79">
        <f t="shared" ref="AJ88:AJ136" si="312">AD88-(AI88*I88)</f>
        <v>592.43088624999996</v>
      </c>
      <c r="AK88" s="82">
        <f t="shared" ref="AK88:AK136" si="313">AJ88/I88</f>
        <v>9.9201421006363031</v>
      </c>
      <c r="AL88" s="82"/>
      <c r="AM88" s="82">
        <f>((AJ88*2000)/Z88)/J88</f>
        <v>83.429924242424235</v>
      </c>
      <c r="AN88" s="82"/>
      <c r="AO88" s="82"/>
      <c r="AP88" s="82"/>
      <c r="AQ88" s="63"/>
      <c r="AR88" s="77" t="s">
        <v>116</v>
      </c>
      <c r="AS88" s="63">
        <v>86</v>
      </c>
      <c r="AT88" s="63">
        <v>93</v>
      </c>
      <c r="AU88" s="63">
        <v>89</v>
      </c>
      <c r="AV88" s="63">
        <v>90</v>
      </c>
      <c r="AW88" s="63">
        <v>83</v>
      </c>
      <c r="AX88" s="63">
        <v>100</v>
      </c>
      <c r="AY88" s="63">
        <v>103</v>
      </c>
      <c r="AZ88" s="63">
        <v>96</v>
      </c>
      <c r="BA88" s="63">
        <v>98</v>
      </c>
      <c r="BB88" s="63">
        <v>103</v>
      </c>
      <c r="BC88" s="63">
        <v>101</v>
      </c>
      <c r="BD88" s="63">
        <v>96</v>
      </c>
      <c r="BE88" s="63">
        <v>97</v>
      </c>
      <c r="BF88" s="63">
        <v>102</v>
      </c>
      <c r="BG88" s="63">
        <v>101</v>
      </c>
      <c r="BH88" s="63">
        <v>81</v>
      </c>
      <c r="BI88" s="63"/>
      <c r="BJ88" s="63"/>
      <c r="BK88" s="63"/>
      <c r="BL88" s="63"/>
      <c r="BM88" s="63"/>
      <c r="BN88" s="63"/>
      <c r="BO88" s="63"/>
      <c r="BP88" s="63"/>
      <c r="BQ88" s="63"/>
      <c r="BR88" s="63"/>
      <c r="BS88" s="63"/>
      <c r="BT88" s="63"/>
      <c r="BU88" s="63"/>
      <c r="BV88" s="63"/>
      <c r="BW88" s="63"/>
      <c r="BX88" s="63"/>
      <c r="BY88" s="63"/>
      <c r="BZ88" s="63"/>
      <c r="CA88" s="63"/>
      <c r="CB88" s="63"/>
      <c r="CC88" s="63"/>
      <c r="CD88" s="63"/>
      <c r="CE88" s="63"/>
      <c r="CF88" s="63"/>
      <c r="CG88" s="63"/>
      <c r="CH88" s="63"/>
      <c r="CI88" s="63"/>
      <c r="CJ88" s="63"/>
      <c r="CK88" s="63"/>
      <c r="CL88" s="63"/>
      <c r="CM88" s="63"/>
      <c r="CN88" s="63"/>
      <c r="CO88" s="63"/>
      <c r="CP88" s="63"/>
    </row>
    <row r="89" spans="1:94" s="63" customFormat="1">
      <c r="A89" s="113" t="s">
        <v>84</v>
      </c>
      <c r="B89" s="113" t="s">
        <v>185</v>
      </c>
      <c r="C89" s="114" t="s">
        <v>186</v>
      </c>
      <c r="D89" s="128" t="s">
        <v>87</v>
      </c>
      <c r="E89" s="127" t="s">
        <v>114</v>
      </c>
      <c r="F89" s="126" t="s">
        <v>170</v>
      </c>
      <c r="G89" s="126" t="s">
        <v>145</v>
      </c>
      <c r="H89" s="123">
        <v>680.625</v>
      </c>
      <c r="I89" s="125">
        <v>50.38</v>
      </c>
      <c r="J89" s="123"/>
      <c r="K89" s="124"/>
      <c r="L89" s="123">
        <f t="shared" si="304"/>
        <v>0</v>
      </c>
      <c r="M89" s="122">
        <f t="shared" si="305"/>
        <v>0</v>
      </c>
      <c r="N89" s="118">
        <v>8.7200000000000006</v>
      </c>
      <c r="O89" s="118">
        <v>6.1</v>
      </c>
      <c r="P89" s="118">
        <v>9.1300000000000008</v>
      </c>
      <c r="Q89" s="118">
        <v>7.76</v>
      </c>
      <c r="R89" s="118">
        <v>7.73</v>
      </c>
      <c r="S89" s="153"/>
      <c r="T89" s="121">
        <f>AVERAGE(N89:R89)</f>
        <v>7.8879999999999999</v>
      </c>
      <c r="U89" s="113"/>
      <c r="V89" s="115"/>
      <c r="W89" s="115"/>
      <c r="X89" s="120"/>
      <c r="Y89" s="120"/>
      <c r="Z89" s="118">
        <v>0.38</v>
      </c>
      <c r="AA89" s="119"/>
      <c r="AB89" s="117">
        <f t="shared" si="307"/>
        <v>0</v>
      </c>
      <c r="AC89" s="117">
        <f t="shared" si="290"/>
        <v>0</v>
      </c>
      <c r="AD89" s="117">
        <f t="shared" si="306"/>
        <v>0</v>
      </c>
      <c r="AE89" s="117"/>
      <c r="AF89" s="170"/>
      <c r="AG89" s="265"/>
      <c r="AH89" s="265" t="e">
        <f t="shared" si="288"/>
        <v>#DIV/0!</v>
      </c>
      <c r="AI89" s="115"/>
      <c r="AJ89" s="118">
        <f t="shared" si="312"/>
        <v>0</v>
      </c>
      <c r="AK89" s="116">
        <f t="shared" si="313"/>
        <v>0</v>
      </c>
      <c r="AL89" s="116"/>
      <c r="AM89" s="116"/>
      <c r="AN89" s="116"/>
      <c r="AO89" s="116"/>
      <c r="AP89" s="116"/>
      <c r="AQ89" s="113"/>
      <c r="AR89" s="115"/>
      <c r="AS89" s="113"/>
      <c r="AT89" s="113"/>
      <c r="AU89" s="113"/>
      <c r="AV89" s="113"/>
      <c r="AW89" s="113"/>
      <c r="AX89" s="113"/>
      <c r="AY89" s="113"/>
      <c r="AZ89" s="113"/>
      <c r="BA89" s="113"/>
      <c r="BB89" s="113"/>
      <c r="BC89" s="113"/>
      <c r="BD89" s="113"/>
      <c r="BE89" s="113"/>
      <c r="BF89" s="113"/>
      <c r="BG89" s="113"/>
      <c r="BH89" s="113"/>
      <c r="BI89" s="113"/>
      <c r="BJ89" s="113"/>
      <c r="BK89" s="113"/>
      <c r="BL89" s="113"/>
      <c r="BM89" s="113"/>
      <c r="BN89" s="113"/>
      <c r="BO89" s="113"/>
      <c r="BP89" s="113"/>
      <c r="BQ89" s="113"/>
      <c r="BR89" s="113"/>
      <c r="BS89" s="113"/>
      <c r="BT89" s="113"/>
      <c r="BU89" s="113"/>
      <c r="BV89" s="113"/>
      <c r="BW89" s="113"/>
      <c r="BX89" s="113"/>
      <c r="BY89" s="113"/>
      <c r="BZ89" s="113"/>
      <c r="CA89" s="113"/>
      <c r="CB89" s="113"/>
      <c r="CC89" s="113"/>
      <c r="CD89" s="113"/>
      <c r="CE89" s="113"/>
      <c r="CF89" s="113"/>
      <c r="CG89" s="113"/>
      <c r="CH89" s="113"/>
      <c r="CI89" s="113"/>
      <c r="CJ89" s="113"/>
      <c r="CK89" s="113"/>
      <c r="CL89" s="113"/>
      <c r="CM89" s="113"/>
      <c r="CN89" s="113"/>
      <c r="CO89" s="113"/>
      <c r="CP89" s="113"/>
    </row>
    <row r="90" spans="1:94" s="113" customFormat="1">
      <c r="A90" s="63" t="s">
        <v>84</v>
      </c>
      <c r="B90" s="63" t="s">
        <v>187</v>
      </c>
      <c r="C90" s="64" t="s">
        <v>188</v>
      </c>
      <c r="D90" s="65" t="s">
        <v>87</v>
      </c>
      <c r="E90" s="66" t="s">
        <v>180</v>
      </c>
      <c r="F90" s="68">
        <v>2</v>
      </c>
      <c r="G90" s="68" t="s">
        <v>96</v>
      </c>
      <c r="H90" s="69">
        <v>680.625</v>
      </c>
      <c r="I90" s="74">
        <v>28.07</v>
      </c>
      <c r="J90" s="69">
        <v>18907</v>
      </c>
      <c r="K90" s="72">
        <v>0.04</v>
      </c>
      <c r="L90" s="69">
        <f t="shared" si="304"/>
        <v>18150.72</v>
      </c>
      <c r="M90" s="86">
        <f t="shared" si="305"/>
        <v>26.667724517906336</v>
      </c>
      <c r="N90" s="79">
        <v>8.48</v>
      </c>
      <c r="O90" s="79">
        <v>6.9</v>
      </c>
      <c r="P90" s="79">
        <v>7.68</v>
      </c>
      <c r="Q90" s="79">
        <v>7.97</v>
      </c>
      <c r="R90" s="79">
        <v>11.71</v>
      </c>
      <c r="S90" s="84">
        <v>6.84</v>
      </c>
      <c r="T90" s="85">
        <f>AVERAGE(N90:S90)</f>
        <v>8.2633333333333336</v>
      </c>
      <c r="U90" s="63" t="s">
        <v>106</v>
      </c>
      <c r="V90" s="77" t="s">
        <v>103</v>
      </c>
      <c r="W90" s="77"/>
      <c r="X90" s="78">
        <v>0.44</v>
      </c>
      <c r="Y90" s="78"/>
      <c r="Z90" s="79">
        <v>0.48</v>
      </c>
      <c r="AA90" s="80">
        <v>45769</v>
      </c>
      <c r="AB90" s="81">
        <f t="shared" si="307"/>
        <v>66.944444444444443</v>
      </c>
      <c r="AC90" s="81">
        <f t="shared" si="290"/>
        <v>29.455555555555556</v>
      </c>
      <c r="AD90" s="81">
        <f t="shared" si="306"/>
        <v>267.31977066666667</v>
      </c>
      <c r="AE90" s="81">
        <f>IFERROR((AD90/I90),"")</f>
        <v>9.5233263507896933</v>
      </c>
      <c r="AF90" s="167">
        <f>IFERROR(((AE90-S90)/AE90),"")</f>
        <v>0.28176356159076565</v>
      </c>
      <c r="AG90" s="264">
        <v>6.28</v>
      </c>
      <c r="AH90" s="264">
        <f t="shared" si="288"/>
        <v>0.27565584170638868</v>
      </c>
      <c r="AI90" s="77">
        <v>8</v>
      </c>
      <c r="AJ90" s="79">
        <f t="shared" si="312"/>
        <v>42.759770666666668</v>
      </c>
      <c r="AK90" s="82">
        <f t="shared" si="313"/>
        <v>1.5233263507896924</v>
      </c>
      <c r="AL90" s="82">
        <f>(((AI90*M90)*2000)/L90)/Z90</f>
        <v>48.974594429139884</v>
      </c>
      <c r="AM90" s="82">
        <f>((AJ90*2000)/Z90)/J90</f>
        <v>9.4232671027191586</v>
      </c>
      <c r="AN90" s="82"/>
      <c r="AO90" s="82"/>
      <c r="AP90" s="82"/>
      <c r="AQ90" s="63"/>
      <c r="AR90" s="77" t="s">
        <v>92</v>
      </c>
      <c r="AS90" s="63">
        <v>56</v>
      </c>
      <c r="AT90" s="63">
        <v>65</v>
      </c>
      <c r="AU90" s="63">
        <v>71</v>
      </c>
      <c r="AV90" s="63">
        <v>68</v>
      </c>
      <c r="AW90" s="63">
        <v>58</v>
      </c>
      <c r="AX90" s="63">
        <v>63</v>
      </c>
      <c r="AY90" s="63">
        <v>68</v>
      </c>
      <c r="AZ90" s="63">
        <v>72</v>
      </c>
      <c r="BA90" s="63">
        <v>63</v>
      </c>
      <c r="BB90" s="63">
        <v>57</v>
      </c>
      <c r="BC90" s="63">
        <v>68</v>
      </c>
      <c r="BD90" s="63">
        <v>72</v>
      </c>
      <c r="BE90" s="63">
        <v>74</v>
      </c>
      <c r="BF90" s="63">
        <v>69</v>
      </c>
      <c r="BG90" s="63">
        <v>70</v>
      </c>
      <c r="BH90" s="63">
        <v>74</v>
      </c>
      <c r="BI90" s="63">
        <v>69</v>
      </c>
      <c r="BJ90" s="63">
        <v>70</v>
      </c>
      <c r="BK90" s="63">
        <v>74</v>
      </c>
      <c r="BL90" s="63">
        <v>68</v>
      </c>
      <c r="BM90" s="63">
        <v>70</v>
      </c>
      <c r="BN90" s="63">
        <v>64</v>
      </c>
      <c r="BO90" s="63">
        <v>62</v>
      </c>
      <c r="BP90" s="63">
        <v>69</v>
      </c>
      <c r="BQ90" s="63">
        <v>71</v>
      </c>
      <c r="BR90" s="63">
        <v>56</v>
      </c>
      <c r="BS90" s="63">
        <v>52</v>
      </c>
      <c r="BT90" s="63">
        <v>63</v>
      </c>
      <c r="BU90" s="63">
        <v>61</v>
      </c>
      <c r="BV90" s="63">
        <v>62</v>
      </c>
      <c r="BW90" s="63">
        <v>73</v>
      </c>
      <c r="BX90" s="63">
        <v>71</v>
      </c>
      <c r="BY90" s="63">
        <v>72</v>
      </c>
      <c r="BZ90" s="63">
        <v>84</v>
      </c>
      <c r="CA90" s="63">
        <v>77</v>
      </c>
      <c r="CB90" s="63">
        <v>54</v>
      </c>
      <c r="CC90" s="63"/>
      <c r="CD90" s="63"/>
      <c r="CE90" s="63"/>
      <c r="CF90" s="63"/>
      <c r="CG90" s="63"/>
      <c r="CH90" s="63"/>
      <c r="CI90" s="63"/>
      <c r="CJ90" s="63"/>
      <c r="CK90" s="63"/>
      <c r="CL90" s="63"/>
      <c r="CM90" s="63"/>
      <c r="CN90" s="63"/>
      <c r="CO90" s="63"/>
      <c r="CP90" s="63"/>
    </row>
    <row r="91" spans="1:94" s="63" customFormat="1">
      <c r="A91" s="63" t="s">
        <v>84</v>
      </c>
      <c r="B91" s="63" t="s">
        <v>187</v>
      </c>
      <c r="C91" s="64" t="s">
        <v>188</v>
      </c>
      <c r="D91" s="65" t="s">
        <v>87</v>
      </c>
      <c r="E91" s="66" t="s">
        <v>180</v>
      </c>
      <c r="F91" s="68">
        <v>2</v>
      </c>
      <c r="G91" s="68" t="s">
        <v>96</v>
      </c>
      <c r="H91" s="69">
        <v>680.625</v>
      </c>
      <c r="I91" s="74">
        <v>28.07</v>
      </c>
      <c r="J91" s="69">
        <v>18907</v>
      </c>
      <c r="K91" s="72">
        <v>0.04</v>
      </c>
      <c r="L91" s="69">
        <f t="shared" si="304"/>
        <v>18150.72</v>
      </c>
      <c r="M91" s="86">
        <f t="shared" si="305"/>
        <v>26.667724517906336</v>
      </c>
      <c r="N91" s="79">
        <v>8.48</v>
      </c>
      <c r="O91" s="79">
        <v>6.9</v>
      </c>
      <c r="P91" s="79">
        <v>7.68</v>
      </c>
      <c r="Q91" s="79">
        <v>7.97</v>
      </c>
      <c r="R91" s="79">
        <v>11.71</v>
      </c>
      <c r="S91" s="84">
        <v>6.84</v>
      </c>
      <c r="T91" s="85">
        <f>AVERAGE(N91:S91)</f>
        <v>8.2633333333333336</v>
      </c>
      <c r="U91" s="63" t="s">
        <v>365</v>
      </c>
      <c r="V91" s="77" t="s">
        <v>366</v>
      </c>
      <c r="W91" s="77"/>
      <c r="X91" s="78">
        <v>0.44</v>
      </c>
      <c r="Y91" s="78"/>
      <c r="Z91" s="79">
        <v>0.48</v>
      </c>
      <c r="AA91" s="80">
        <v>45769</v>
      </c>
      <c r="AB91" s="81">
        <f t="shared" si="307"/>
        <v>88.4</v>
      </c>
      <c r="AC91" s="81">
        <f t="shared" si="290"/>
        <v>38.896000000000001</v>
      </c>
      <c r="AD91" s="81">
        <f t="shared" si="306"/>
        <v>352.99520256</v>
      </c>
      <c r="AE91" s="81">
        <f>IFERROR((AD91/I91),"")</f>
        <v>12.575532688279301</v>
      </c>
      <c r="AF91" s="167">
        <f>IFERROR(((AE91-S91)/AE91),"")</f>
        <v>0.4560866589472552</v>
      </c>
      <c r="AG91" s="264">
        <v>6.28</v>
      </c>
      <c r="AH91" s="264">
        <f t="shared" si="288"/>
        <v>0.20875143869796275</v>
      </c>
      <c r="AI91" s="77">
        <v>8</v>
      </c>
      <c r="AJ91" s="79">
        <f t="shared" si="312"/>
        <v>128.43520255999999</v>
      </c>
      <c r="AK91" s="82">
        <f t="shared" si="313"/>
        <v>4.575532688279301</v>
      </c>
      <c r="AL91" s="82">
        <f>(((AI91*M91)*2000)/L91)/Z91</f>
        <v>48.974594429139884</v>
      </c>
      <c r="AM91" s="82">
        <f>((AJ91*2000)/Z91)/J91</f>
        <v>28.304155991608045</v>
      </c>
      <c r="AN91" s="82"/>
      <c r="AO91" s="82"/>
      <c r="AP91" s="82"/>
      <c r="AR91" s="77" t="s">
        <v>91</v>
      </c>
      <c r="AS91" s="63">
        <v>70</v>
      </c>
      <c r="AT91" s="63">
        <v>73</v>
      </c>
      <c r="AU91" s="63">
        <v>53</v>
      </c>
      <c r="AV91" s="63">
        <v>95</v>
      </c>
      <c r="AW91" s="63">
        <v>82</v>
      </c>
      <c r="AX91" s="63">
        <v>73</v>
      </c>
      <c r="AY91" s="63">
        <v>100</v>
      </c>
      <c r="AZ91" s="63">
        <v>85</v>
      </c>
      <c r="BA91" s="63">
        <v>94</v>
      </c>
      <c r="BB91" s="63">
        <v>68</v>
      </c>
      <c r="BC91" s="63">
        <v>109</v>
      </c>
      <c r="BD91" s="63">
        <v>86</v>
      </c>
      <c r="BE91" s="63">
        <v>115</v>
      </c>
      <c r="BF91" s="63">
        <v>104</v>
      </c>
      <c r="BG91" s="63">
        <v>79</v>
      </c>
      <c r="BH91" s="63">
        <v>112</v>
      </c>
      <c r="BI91" s="63">
        <v>96</v>
      </c>
      <c r="BJ91" s="63">
        <v>96</v>
      </c>
      <c r="BK91" s="63">
        <v>83</v>
      </c>
      <c r="BL91" s="63">
        <v>95</v>
      </c>
    </row>
    <row r="92" spans="1:94" s="63" customFormat="1">
      <c r="A92" s="63" t="s">
        <v>84</v>
      </c>
      <c r="B92" s="63" t="s">
        <v>187</v>
      </c>
      <c r="C92" s="64" t="s">
        <v>188</v>
      </c>
      <c r="D92" s="65" t="s">
        <v>87</v>
      </c>
      <c r="E92" s="66" t="s">
        <v>180</v>
      </c>
      <c r="F92" s="68">
        <v>2</v>
      </c>
      <c r="G92" s="68" t="s">
        <v>96</v>
      </c>
      <c r="H92" s="69">
        <v>680.625</v>
      </c>
      <c r="I92" s="74">
        <v>28.07</v>
      </c>
      <c r="J92" s="69">
        <v>18907</v>
      </c>
      <c r="K92" s="72">
        <v>0.04</v>
      </c>
      <c r="L92" s="69">
        <f t="shared" si="304"/>
        <v>18150.72</v>
      </c>
      <c r="M92" s="86">
        <f t="shared" si="305"/>
        <v>26.667724517906336</v>
      </c>
      <c r="N92" s="79">
        <v>8.48</v>
      </c>
      <c r="O92" s="79">
        <v>6.9</v>
      </c>
      <c r="P92" s="79">
        <v>7.68</v>
      </c>
      <c r="Q92" s="79">
        <v>7.97</v>
      </c>
      <c r="R92" s="79">
        <v>11.71</v>
      </c>
      <c r="S92" s="84">
        <v>6.84</v>
      </c>
      <c r="T92" s="85">
        <f>AVERAGE(N92:S92)</f>
        <v>8.2633333333333336</v>
      </c>
      <c r="U92" s="63" t="s">
        <v>106</v>
      </c>
      <c r="V92" s="77" t="s">
        <v>103</v>
      </c>
      <c r="W92" s="77"/>
      <c r="X92" s="78">
        <v>0.44</v>
      </c>
      <c r="Y92" s="78"/>
      <c r="Z92" s="79">
        <v>0.48</v>
      </c>
      <c r="AA92" s="80">
        <v>45770</v>
      </c>
      <c r="AB92" s="81">
        <f t="shared" si="307"/>
        <v>65.916666666666671</v>
      </c>
      <c r="AC92" s="81">
        <f t="shared" si="290"/>
        <v>29.003333333333334</v>
      </c>
      <c r="AD92" s="81">
        <f t="shared" si="306"/>
        <v>263.21569119999998</v>
      </c>
      <c r="AE92" s="81">
        <f>IFERROR((AD92/I92),"")</f>
        <v>9.3771176059850365</v>
      </c>
      <c r="AF92" s="167">
        <f>IFERROR(((AE92-S92)/AE92),"")</f>
        <v>0.27056476335176777</v>
      </c>
      <c r="AG92" s="264">
        <v>6.28</v>
      </c>
      <c r="AH92" s="264">
        <f t="shared" si="288"/>
        <v>0.27995388896434747</v>
      </c>
      <c r="AI92" s="77">
        <v>8</v>
      </c>
      <c r="AJ92" s="79">
        <f t="shared" si="312"/>
        <v>38.655691199999978</v>
      </c>
      <c r="AK92" s="82">
        <f t="shared" si="313"/>
        <v>1.3771176059850365</v>
      </c>
      <c r="AL92" s="82">
        <f>(((AI92*M92)*2000)/L92)/Z92</f>
        <v>48.974594429139884</v>
      </c>
      <c r="AM92" s="82">
        <f>((AJ92*2000)/Z92)/J92</f>
        <v>8.5188226582747095</v>
      </c>
      <c r="AN92" s="82"/>
      <c r="AO92" s="82"/>
      <c r="AP92" s="82"/>
      <c r="AR92" s="77" t="s">
        <v>116</v>
      </c>
      <c r="AS92" s="63">
        <v>87</v>
      </c>
      <c r="AT92" s="63">
        <v>50</v>
      </c>
      <c r="AU92" s="63">
        <v>78</v>
      </c>
      <c r="AV92" s="63">
        <v>81</v>
      </c>
      <c r="AW92" s="63">
        <v>54</v>
      </c>
      <c r="AX92" s="63">
        <v>65</v>
      </c>
      <c r="AY92" s="63">
        <v>54</v>
      </c>
      <c r="AZ92" s="63">
        <v>65</v>
      </c>
      <c r="BA92" s="63">
        <v>54</v>
      </c>
      <c r="BB92" s="63">
        <v>70</v>
      </c>
      <c r="BC92" s="63">
        <v>57</v>
      </c>
      <c r="BD92" s="63">
        <v>69</v>
      </c>
      <c r="BE92" s="63">
        <v>64</v>
      </c>
      <c r="BF92" s="63">
        <v>65</v>
      </c>
      <c r="BG92" s="63">
        <v>70</v>
      </c>
      <c r="BH92" s="63">
        <v>61</v>
      </c>
      <c r="BI92" s="63">
        <v>63</v>
      </c>
      <c r="BJ92" s="63">
        <v>67</v>
      </c>
      <c r="BK92" s="63">
        <v>56</v>
      </c>
      <c r="BL92" s="63">
        <v>80</v>
      </c>
      <c r="BM92" s="63">
        <v>78</v>
      </c>
      <c r="BN92" s="63">
        <v>58</v>
      </c>
      <c r="BO92" s="63">
        <v>62</v>
      </c>
      <c r="BP92" s="63">
        <v>69</v>
      </c>
      <c r="BQ92" s="63">
        <v>71</v>
      </c>
      <c r="BR92" s="63">
        <v>56</v>
      </c>
      <c r="BS92" s="63">
        <v>52</v>
      </c>
      <c r="BT92" s="63">
        <v>63</v>
      </c>
      <c r="BU92" s="63">
        <v>61</v>
      </c>
      <c r="BV92" s="63">
        <v>62</v>
      </c>
      <c r="BW92" s="63">
        <v>73</v>
      </c>
      <c r="BX92" s="63">
        <v>71</v>
      </c>
      <c r="BY92" s="63">
        <v>72</v>
      </c>
      <c r="BZ92" s="63">
        <v>84</v>
      </c>
      <c r="CA92" s="63">
        <v>77</v>
      </c>
      <c r="CB92" s="63">
        <v>54</v>
      </c>
    </row>
    <row r="93" spans="1:94" s="63" customFormat="1">
      <c r="A93" s="63" t="s">
        <v>84</v>
      </c>
      <c r="B93" s="63" t="s">
        <v>187</v>
      </c>
      <c r="C93" s="64" t="s">
        <v>188</v>
      </c>
      <c r="D93" s="65" t="s">
        <v>87</v>
      </c>
      <c r="E93" s="66" t="s">
        <v>180</v>
      </c>
      <c r="F93" s="68">
        <v>2</v>
      </c>
      <c r="G93" s="68" t="s">
        <v>96</v>
      </c>
      <c r="H93" s="69">
        <v>680.625</v>
      </c>
      <c r="I93" s="74">
        <v>28.07</v>
      </c>
      <c r="J93" s="69">
        <v>18907</v>
      </c>
      <c r="K93" s="72"/>
      <c r="L93" s="69">
        <f t="shared" si="304"/>
        <v>18907</v>
      </c>
      <c r="M93" s="86">
        <f t="shared" si="305"/>
        <v>27.778879706152434</v>
      </c>
      <c r="N93" s="79">
        <v>8.48</v>
      </c>
      <c r="O93" s="79">
        <v>6.9</v>
      </c>
      <c r="P93" s="79">
        <v>7.68</v>
      </c>
      <c r="Q93" s="79">
        <v>7.97</v>
      </c>
      <c r="R93" s="79">
        <v>11.71</v>
      </c>
      <c r="S93" s="84">
        <v>6.84</v>
      </c>
      <c r="T93" s="85">
        <f>AVERAGE(N93:S93)</f>
        <v>8.2633333333333336</v>
      </c>
      <c r="V93" s="77"/>
      <c r="W93" s="77"/>
      <c r="X93" s="78">
        <v>0.5</v>
      </c>
      <c r="Y93" s="78"/>
      <c r="Z93" s="79">
        <v>0.48</v>
      </c>
      <c r="AA93" s="80"/>
      <c r="AB93" s="81">
        <f t="shared" si="307"/>
        <v>0</v>
      </c>
      <c r="AC93" s="81">
        <f t="shared" si="290"/>
        <v>0</v>
      </c>
      <c r="AD93" s="81">
        <f t="shared" si="306"/>
        <v>0</v>
      </c>
      <c r="AE93" s="81"/>
      <c r="AF93" s="167"/>
      <c r="AG93" s="264">
        <v>6.28</v>
      </c>
      <c r="AH93" s="264" t="e">
        <f t="shared" si="288"/>
        <v>#DIV/0!</v>
      </c>
      <c r="AI93" s="77"/>
      <c r="AJ93" s="79">
        <f t="shared" si="312"/>
        <v>0</v>
      </c>
      <c r="AK93" s="82">
        <f t="shared" si="313"/>
        <v>0</v>
      </c>
      <c r="AL93" s="82"/>
      <c r="AM93" s="82">
        <f>((AJ93*2000)/Z93)/J93</f>
        <v>0</v>
      </c>
      <c r="AN93" s="82"/>
      <c r="AO93" s="82"/>
      <c r="AP93" s="82"/>
      <c r="AR93" s="77"/>
    </row>
    <row r="94" spans="1:94" s="63" customFormat="1">
      <c r="A94" s="113" t="s">
        <v>84</v>
      </c>
      <c r="B94" s="113" t="s">
        <v>724</v>
      </c>
      <c r="C94" s="114" t="s">
        <v>725</v>
      </c>
      <c r="D94" s="128" t="s">
        <v>87</v>
      </c>
      <c r="E94" s="127" t="s">
        <v>114</v>
      </c>
      <c r="F94" s="126" t="s">
        <v>170</v>
      </c>
      <c r="G94" s="126" t="s">
        <v>170</v>
      </c>
      <c r="H94" s="123">
        <v>680.625</v>
      </c>
      <c r="I94" s="125">
        <v>43.28</v>
      </c>
      <c r="J94" s="123"/>
      <c r="K94" s="124"/>
      <c r="L94" s="123">
        <f t="shared" si="304"/>
        <v>0</v>
      </c>
      <c r="M94" s="122">
        <f t="shared" si="305"/>
        <v>0</v>
      </c>
      <c r="N94" s="118">
        <v>8.2899999999999991</v>
      </c>
      <c r="O94" s="118">
        <v>7.08</v>
      </c>
      <c r="P94" s="118">
        <v>5.94</v>
      </c>
      <c r="Q94" s="118">
        <v>8.44</v>
      </c>
      <c r="R94" s="118">
        <v>6.38</v>
      </c>
      <c r="S94" s="153">
        <v>9.0500000000000007</v>
      </c>
      <c r="T94" s="121">
        <f>AVERAGE(N94:S94)</f>
        <v>7.5300000000000011</v>
      </c>
      <c r="U94" s="113"/>
      <c r="V94" s="115"/>
      <c r="W94" s="115"/>
      <c r="X94" s="120"/>
      <c r="Y94" s="120"/>
      <c r="Z94" s="118">
        <v>0.38</v>
      </c>
      <c r="AA94" s="119"/>
      <c r="AB94" s="117">
        <f t="shared" si="307"/>
        <v>0</v>
      </c>
      <c r="AC94" s="117">
        <f t="shared" si="290"/>
        <v>0</v>
      </c>
      <c r="AD94" s="117">
        <f t="shared" si="306"/>
        <v>0</v>
      </c>
      <c r="AE94" s="117"/>
      <c r="AF94" s="170"/>
      <c r="AG94" s="265"/>
      <c r="AH94" s="265" t="e">
        <f t="shared" si="288"/>
        <v>#DIV/0!</v>
      </c>
      <c r="AI94" s="115"/>
      <c r="AJ94" s="118">
        <f t="shared" si="312"/>
        <v>0</v>
      </c>
      <c r="AK94" s="116">
        <f t="shared" si="313"/>
        <v>0</v>
      </c>
      <c r="AL94" s="116"/>
      <c r="AM94" s="116"/>
      <c r="AN94" s="116"/>
      <c r="AO94" s="116"/>
      <c r="AP94" s="116"/>
      <c r="AQ94" s="113"/>
      <c r="AR94" s="115"/>
      <c r="AS94" s="113"/>
      <c r="AT94" s="113"/>
      <c r="AU94" s="113"/>
      <c r="AV94" s="113"/>
      <c r="AW94" s="113"/>
      <c r="AX94" s="113"/>
      <c r="AY94" s="113"/>
      <c r="AZ94" s="113"/>
      <c r="BA94" s="113"/>
      <c r="BB94" s="113"/>
      <c r="BC94" s="113"/>
      <c r="BD94" s="113"/>
      <c r="BE94" s="113"/>
      <c r="BF94" s="113"/>
      <c r="BG94" s="113"/>
      <c r="BH94" s="113"/>
      <c r="BI94" s="113"/>
      <c r="BJ94" s="113"/>
      <c r="BK94" s="113"/>
      <c r="BL94" s="113"/>
      <c r="BM94" s="113"/>
      <c r="BN94" s="113"/>
      <c r="BO94" s="113"/>
      <c r="BP94" s="113"/>
      <c r="BQ94" s="113"/>
      <c r="BR94" s="113"/>
      <c r="BS94" s="113"/>
      <c r="BT94" s="113"/>
      <c r="BU94" s="113"/>
      <c r="BV94" s="113"/>
      <c r="BW94" s="113"/>
      <c r="BX94" s="113"/>
      <c r="BY94" s="113"/>
      <c r="BZ94" s="113"/>
      <c r="CA94" s="113"/>
      <c r="CB94" s="113"/>
      <c r="CC94" s="113"/>
      <c r="CD94" s="113"/>
      <c r="CE94" s="113"/>
      <c r="CF94" s="113"/>
      <c r="CG94" s="113"/>
      <c r="CH94" s="113"/>
      <c r="CI94" s="113"/>
      <c r="CJ94" s="113"/>
      <c r="CK94" s="113"/>
      <c r="CL94" s="113"/>
      <c r="CM94" s="113"/>
      <c r="CN94" s="113"/>
      <c r="CO94" s="113"/>
      <c r="CP94" s="113"/>
    </row>
    <row r="95" spans="1:94" s="113" customFormat="1">
      <c r="A95" s="63" t="s">
        <v>84</v>
      </c>
      <c r="B95" s="63" t="s">
        <v>726</v>
      </c>
      <c r="C95" s="64" t="s">
        <v>727</v>
      </c>
      <c r="D95" s="65" t="s">
        <v>87</v>
      </c>
      <c r="E95" s="66" t="s">
        <v>194</v>
      </c>
      <c r="F95" s="68">
        <v>3</v>
      </c>
      <c r="G95" s="68" t="s">
        <v>96</v>
      </c>
      <c r="H95" s="69">
        <v>681</v>
      </c>
      <c r="I95" s="74">
        <f>79.94/2</f>
        <v>39.97</v>
      </c>
      <c r="J95" s="69">
        <f>54128/2</f>
        <v>27064</v>
      </c>
      <c r="K95" s="72">
        <v>0.12</v>
      </c>
      <c r="L95" s="69">
        <f t="shared" si="304"/>
        <v>23816.32</v>
      </c>
      <c r="M95" s="86">
        <f t="shared" si="305"/>
        <v>34.972569750367107</v>
      </c>
      <c r="N95" s="79"/>
      <c r="O95" s="79"/>
      <c r="P95" s="79"/>
      <c r="Q95" s="79"/>
      <c r="R95" s="79">
        <v>6.28</v>
      </c>
      <c r="S95" s="84">
        <v>5.43</v>
      </c>
      <c r="T95" s="85">
        <f>AVERAGE(N95:R95)</f>
        <v>6.28</v>
      </c>
      <c r="U95" s="63"/>
      <c r="V95" s="77" t="s">
        <v>366</v>
      </c>
      <c r="W95" s="77"/>
      <c r="X95" s="78">
        <v>0.3</v>
      </c>
      <c r="Y95" s="78"/>
      <c r="Z95" s="79">
        <v>0.45</v>
      </c>
      <c r="AA95" s="80">
        <v>45783</v>
      </c>
      <c r="AB95" s="81">
        <f t="shared" si="307"/>
        <v>98.2</v>
      </c>
      <c r="AC95" s="81">
        <f t="shared" si="290"/>
        <v>29.46</v>
      </c>
      <c r="AD95" s="81">
        <f t="shared" si="306"/>
        <v>350.81439360000002</v>
      </c>
      <c r="AE95" s="81">
        <v>7</v>
      </c>
      <c r="AF95" s="167">
        <f>IFERROR(((AE95-S95)/AE95),"")</f>
        <v>0.22428571428571434</v>
      </c>
      <c r="AG95" s="264"/>
      <c r="AH95" s="264">
        <f t="shared" si="288"/>
        <v>0</v>
      </c>
      <c r="AI95" s="77"/>
      <c r="AJ95" s="79">
        <f t="shared" si="312"/>
        <v>350.81439360000002</v>
      </c>
      <c r="AK95" s="82">
        <f t="shared" si="313"/>
        <v>8.7769425469101829</v>
      </c>
      <c r="AL95" s="82"/>
      <c r="AM95" s="82">
        <f t="shared" ref="AM95:AM136" si="314">((AJ95*2000)/Z95)/J95</f>
        <v>57.610666666666667</v>
      </c>
      <c r="AN95" s="82"/>
      <c r="AO95" s="82"/>
      <c r="AP95" s="82"/>
      <c r="AQ95" s="176" t="s">
        <v>728</v>
      </c>
      <c r="AR95" s="77" t="s">
        <v>116</v>
      </c>
      <c r="AS95" s="63">
        <v>78</v>
      </c>
      <c r="AT95" s="63">
        <v>106</v>
      </c>
      <c r="AU95" s="63">
        <v>105</v>
      </c>
      <c r="AV95" s="63">
        <v>112</v>
      </c>
      <c r="AW95" s="63">
        <v>99</v>
      </c>
      <c r="AX95" s="63">
        <v>103</v>
      </c>
      <c r="AY95" s="63">
        <v>102</v>
      </c>
      <c r="AZ95" s="63">
        <v>86</v>
      </c>
      <c r="BA95" s="63">
        <v>101</v>
      </c>
      <c r="BB95" s="63">
        <v>99</v>
      </c>
      <c r="BC95" s="63">
        <v>65</v>
      </c>
      <c r="BD95" s="63">
        <v>89</v>
      </c>
      <c r="BE95" s="63">
        <v>104</v>
      </c>
      <c r="BF95" s="63">
        <v>103</v>
      </c>
      <c r="BG95" s="63">
        <v>107</v>
      </c>
      <c r="BH95" s="63">
        <v>102</v>
      </c>
      <c r="BI95" s="63">
        <v>99</v>
      </c>
      <c r="BJ95" s="63">
        <v>105</v>
      </c>
      <c r="BK95" s="63">
        <v>101</v>
      </c>
      <c r="BL95" s="63">
        <v>98</v>
      </c>
      <c r="BM95" s="63"/>
      <c r="BN95" s="63"/>
      <c r="BO95" s="63"/>
      <c r="BP95" s="63"/>
      <c r="BQ95" s="63"/>
      <c r="BR95" s="63"/>
      <c r="BS95" s="63"/>
      <c r="BT95" s="63"/>
      <c r="BU95" s="63"/>
      <c r="BV95" s="63"/>
      <c r="BW95" s="63"/>
      <c r="BX95" s="63"/>
      <c r="BY95" s="63"/>
      <c r="BZ95" s="63"/>
      <c r="CA95" s="63"/>
      <c r="CB95" s="63"/>
      <c r="CC95" s="63"/>
      <c r="CD95" s="63"/>
      <c r="CE95" s="63"/>
      <c r="CF95" s="63"/>
      <c r="CG95" s="63"/>
      <c r="CH95" s="63"/>
      <c r="CI95" s="63"/>
      <c r="CJ95" s="63"/>
      <c r="CK95" s="63"/>
      <c r="CL95" s="63"/>
      <c r="CM95" s="63"/>
      <c r="CN95" s="63"/>
      <c r="CO95" s="63"/>
      <c r="CP95" s="63"/>
    </row>
    <row r="96" spans="1:94" s="113" customFormat="1">
      <c r="A96" s="63" t="s">
        <v>84</v>
      </c>
      <c r="B96" s="63" t="s">
        <v>726</v>
      </c>
      <c r="C96" s="64" t="s">
        <v>727</v>
      </c>
      <c r="D96" s="65" t="s">
        <v>87</v>
      </c>
      <c r="E96" s="66" t="s">
        <v>194</v>
      </c>
      <c r="F96" s="68">
        <v>3</v>
      </c>
      <c r="G96" s="68" t="s">
        <v>96</v>
      </c>
      <c r="H96" s="69">
        <v>681</v>
      </c>
      <c r="I96" s="74">
        <f>79.94/2</f>
        <v>39.97</v>
      </c>
      <c r="J96" s="69">
        <f>54128/2</f>
        <v>27064</v>
      </c>
      <c r="K96" s="72">
        <v>0.12</v>
      </c>
      <c r="L96" s="69">
        <f t="shared" ref="L96" si="315">J96-(J96*K96)</f>
        <v>23816.32</v>
      </c>
      <c r="M96" s="86">
        <f t="shared" ref="M96" si="316">L96/H96</f>
        <v>34.972569750367107</v>
      </c>
      <c r="N96" s="79"/>
      <c r="O96" s="79"/>
      <c r="P96" s="79"/>
      <c r="Q96" s="79"/>
      <c r="R96" s="79">
        <v>6.28</v>
      </c>
      <c r="S96" s="84">
        <v>5.43</v>
      </c>
      <c r="T96" s="85">
        <f>AVERAGE(N96:R96)</f>
        <v>6.28</v>
      </c>
      <c r="U96" s="63"/>
      <c r="V96" s="77" t="s">
        <v>103</v>
      </c>
      <c r="W96" s="77"/>
      <c r="X96" s="78">
        <v>0.31</v>
      </c>
      <c r="Y96" s="78"/>
      <c r="Z96" s="79">
        <v>0.45</v>
      </c>
      <c r="AA96" s="80">
        <v>45783</v>
      </c>
      <c r="AB96" s="81">
        <f t="shared" ref="AB96" si="317">IFERROR(AVERAGE(AS96:CP96),0)</f>
        <v>71.916666666666671</v>
      </c>
      <c r="AC96" s="81">
        <f t="shared" ref="AC96" si="318">AB96*X96</f>
        <v>22.294166666666669</v>
      </c>
      <c r="AD96" s="81">
        <f t="shared" ref="AD96" si="319">(AC96*L96)/2000</f>
        <v>265.48250373333337</v>
      </c>
      <c r="AE96" s="81">
        <f>IFERROR((AD96/I96),"")</f>
        <v>6.6420441264281553</v>
      </c>
      <c r="AF96" s="167">
        <f>IFERROR(((AE96-S96)/AE96),"")</f>
        <v>0.18248058931218633</v>
      </c>
      <c r="AG96" s="264"/>
      <c r="AH96" s="264">
        <f t="shared" si="288"/>
        <v>0</v>
      </c>
      <c r="AI96" s="77"/>
      <c r="AJ96" s="79">
        <f t="shared" ref="AJ96" si="320">AD96-(AI96*I96)</f>
        <v>265.48250373333337</v>
      </c>
      <c r="AK96" s="82">
        <f t="shared" ref="AK96" si="321">AJ96/I96</f>
        <v>6.6420441264281553</v>
      </c>
      <c r="AL96" s="82"/>
      <c r="AM96" s="82">
        <f t="shared" ref="AM96" si="322">((AJ96*2000)/Z96)/J96</f>
        <v>43.597481481481488</v>
      </c>
      <c r="AN96" s="82"/>
      <c r="AO96" s="82"/>
      <c r="AP96" s="82"/>
      <c r="AQ96" s="176"/>
      <c r="AR96" s="77" t="s">
        <v>91</v>
      </c>
      <c r="AS96" s="63">
        <v>71</v>
      </c>
      <c r="AT96" s="63">
        <v>86</v>
      </c>
      <c r="AU96" s="63">
        <v>99</v>
      </c>
      <c r="AV96" s="63">
        <v>75</v>
      </c>
      <c r="AW96" s="63">
        <v>92</v>
      </c>
      <c r="AX96" s="63">
        <v>83</v>
      </c>
      <c r="AY96" s="63">
        <v>41</v>
      </c>
      <c r="AZ96" s="63">
        <v>73</v>
      </c>
      <c r="BA96" s="63">
        <v>47</v>
      </c>
      <c r="BB96" s="63">
        <v>69</v>
      </c>
      <c r="BC96" s="63">
        <v>53</v>
      </c>
      <c r="BD96" s="63">
        <v>74</v>
      </c>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3"/>
      <c r="CH96" s="63"/>
      <c r="CI96" s="63"/>
      <c r="CJ96" s="63"/>
      <c r="CK96" s="63"/>
      <c r="CL96" s="63"/>
      <c r="CM96" s="63"/>
      <c r="CN96" s="63"/>
      <c r="CO96" s="63"/>
      <c r="CP96" s="63"/>
    </row>
    <row r="97" spans="1:94" s="63" customFormat="1">
      <c r="A97" s="113" t="s">
        <v>84</v>
      </c>
      <c r="B97" s="113" t="s">
        <v>189</v>
      </c>
      <c r="C97" s="114" t="s">
        <v>190</v>
      </c>
      <c r="D97" s="128" t="s">
        <v>87</v>
      </c>
      <c r="E97" s="127" t="s">
        <v>88</v>
      </c>
      <c r="F97" s="126">
        <v>8</v>
      </c>
      <c r="G97" s="126" t="s">
        <v>96</v>
      </c>
      <c r="H97" s="123">
        <v>680.625</v>
      </c>
      <c r="I97" s="125">
        <v>86.1</v>
      </c>
      <c r="J97" s="123">
        <v>51444</v>
      </c>
      <c r="K97" s="124"/>
      <c r="L97" s="123">
        <f t="shared" si="304"/>
        <v>51444</v>
      </c>
      <c r="M97" s="122">
        <f t="shared" si="305"/>
        <v>75.583471074380171</v>
      </c>
      <c r="N97" s="118">
        <v>7.83</v>
      </c>
      <c r="O97" s="118">
        <v>7.8</v>
      </c>
      <c r="P97" s="118">
        <v>6.65</v>
      </c>
      <c r="Q97" s="118">
        <v>7.75</v>
      </c>
      <c r="R97" s="118">
        <v>9.3699999999999992</v>
      </c>
      <c r="S97" s="153">
        <v>8.0399999999999991</v>
      </c>
      <c r="T97" s="121">
        <f>AVERAGE(N97:S97)</f>
        <v>7.9066666666666663</v>
      </c>
      <c r="U97" s="113"/>
      <c r="V97" s="115"/>
      <c r="W97" s="115"/>
      <c r="X97" s="120">
        <v>0.33</v>
      </c>
      <c r="Y97" s="120"/>
      <c r="Z97" s="118">
        <v>0.33</v>
      </c>
      <c r="AA97" s="119"/>
      <c r="AB97" s="117">
        <f t="shared" si="307"/>
        <v>0</v>
      </c>
      <c r="AC97" s="117">
        <f t="shared" si="290"/>
        <v>0</v>
      </c>
      <c r="AD97" s="117">
        <f t="shared" si="306"/>
        <v>0</v>
      </c>
      <c r="AE97" s="117"/>
      <c r="AF97" s="170"/>
      <c r="AG97" s="265"/>
      <c r="AH97" s="265" t="e">
        <f t="shared" si="288"/>
        <v>#DIV/0!</v>
      </c>
      <c r="AI97" s="115"/>
      <c r="AJ97" s="118">
        <f t="shared" si="312"/>
        <v>0</v>
      </c>
      <c r="AK97" s="116">
        <f t="shared" si="313"/>
        <v>0</v>
      </c>
      <c r="AL97" s="116"/>
      <c r="AM97" s="116">
        <f t="shared" si="314"/>
        <v>0</v>
      </c>
      <c r="AN97" s="116"/>
      <c r="AO97" s="116"/>
      <c r="AP97" s="116"/>
      <c r="AQ97" s="113"/>
      <c r="AR97" s="115"/>
      <c r="AS97" s="113"/>
      <c r="AT97" s="113"/>
      <c r="AU97" s="113"/>
      <c r="AV97" s="113"/>
      <c r="AW97" s="113"/>
      <c r="AX97" s="113"/>
      <c r="AY97" s="113"/>
      <c r="AZ97" s="113"/>
      <c r="BA97" s="113"/>
      <c r="BB97" s="113"/>
      <c r="BC97" s="113"/>
      <c r="BD97" s="113"/>
      <c r="BE97" s="113"/>
      <c r="BF97" s="113"/>
      <c r="BG97" s="113"/>
      <c r="BH97" s="113"/>
      <c r="BI97" s="113"/>
      <c r="BJ97" s="113"/>
      <c r="BK97" s="113"/>
      <c r="BL97" s="113"/>
      <c r="BM97" s="113"/>
      <c r="BN97" s="113"/>
      <c r="BO97" s="113"/>
      <c r="BP97" s="113"/>
      <c r="BQ97" s="113"/>
      <c r="BR97" s="113"/>
      <c r="BS97" s="113"/>
      <c r="BT97" s="113"/>
      <c r="BU97" s="113"/>
      <c r="BV97" s="113"/>
      <c r="BW97" s="113"/>
      <c r="BX97" s="113"/>
      <c r="BY97" s="113"/>
      <c r="BZ97" s="113"/>
      <c r="CA97" s="113"/>
      <c r="CB97" s="113"/>
      <c r="CC97" s="113"/>
      <c r="CD97" s="113"/>
      <c r="CE97" s="113"/>
      <c r="CF97" s="113"/>
      <c r="CG97" s="113"/>
      <c r="CH97" s="113"/>
      <c r="CI97" s="113"/>
      <c r="CJ97" s="113"/>
      <c r="CK97" s="113"/>
      <c r="CL97" s="113"/>
      <c r="CM97" s="113"/>
      <c r="CN97" s="113"/>
      <c r="CO97" s="113"/>
      <c r="CP97" s="113"/>
    </row>
    <row r="98" spans="1:94" s="113" customFormat="1">
      <c r="A98" s="63" t="s">
        <v>84</v>
      </c>
      <c r="B98" s="63" t="s">
        <v>191</v>
      </c>
      <c r="C98" s="64" t="s">
        <v>192</v>
      </c>
      <c r="D98" s="65" t="s">
        <v>193</v>
      </c>
      <c r="E98" s="66" t="s">
        <v>194</v>
      </c>
      <c r="F98" s="68">
        <v>3</v>
      </c>
      <c r="G98" s="68" t="s">
        <v>125</v>
      </c>
      <c r="H98" s="69">
        <v>807</v>
      </c>
      <c r="I98" s="74">
        <v>40</v>
      </c>
      <c r="J98" s="69">
        <v>32084</v>
      </c>
      <c r="K98" s="72"/>
      <c r="L98" s="69">
        <f t="shared" si="304"/>
        <v>32084</v>
      </c>
      <c r="M98" s="86">
        <f t="shared" si="305"/>
        <v>39.757125154894673</v>
      </c>
      <c r="N98" s="74"/>
      <c r="O98" s="74"/>
      <c r="P98" s="74"/>
      <c r="Q98" s="74"/>
      <c r="R98" s="74"/>
      <c r="S98" s="75">
        <v>3.61</v>
      </c>
      <c r="T98" s="76"/>
      <c r="U98" s="63" t="s">
        <v>297</v>
      </c>
      <c r="V98" s="77" t="s">
        <v>366</v>
      </c>
      <c r="W98" s="77"/>
      <c r="X98" s="78">
        <v>0.43</v>
      </c>
      <c r="Y98" s="78"/>
      <c r="Z98" s="79">
        <v>0.48</v>
      </c>
      <c r="AA98" s="80">
        <v>45783</v>
      </c>
      <c r="AB98" s="81">
        <f t="shared" si="307"/>
        <v>75.5</v>
      </c>
      <c r="AC98" s="81">
        <f t="shared" si="290"/>
        <v>32.464999999999996</v>
      </c>
      <c r="AD98" s="81">
        <f t="shared" si="306"/>
        <v>520.80353000000002</v>
      </c>
      <c r="AE98" s="81">
        <f t="shared" ref="AE98:AE103" si="323">IFERROR((AD98/I98),"")</f>
        <v>13.020088250000001</v>
      </c>
      <c r="AF98" s="167">
        <f t="shared" ref="AF98:AF103" si="324">IFERROR(((AE98-S98)/AE98),"")</f>
        <v>0.72273613429617123</v>
      </c>
      <c r="AG98" s="264"/>
      <c r="AH98" s="264">
        <f t="shared" si="288"/>
        <v>0</v>
      </c>
      <c r="AI98" s="77"/>
      <c r="AJ98" s="79">
        <f t="shared" si="312"/>
        <v>520.80353000000002</v>
      </c>
      <c r="AK98" s="82">
        <f t="shared" si="313"/>
        <v>13.020088250000001</v>
      </c>
      <c r="AL98" s="82"/>
      <c r="AM98" s="82">
        <f t="shared" si="314"/>
        <v>67.635416666666671</v>
      </c>
      <c r="AN98" s="82"/>
      <c r="AO98" s="82"/>
      <c r="AP98" s="82"/>
      <c r="AQ98" s="63"/>
      <c r="AR98" s="77" t="s">
        <v>116</v>
      </c>
      <c r="AS98" s="63">
        <v>82</v>
      </c>
      <c r="AT98" s="63">
        <v>59</v>
      </c>
      <c r="AU98" s="63">
        <v>83</v>
      </c>
      <c r="AV98" s="63">
        <v>81</v>
      </c>
      <c r="AW98" s="63">
        <v>78</v>
      </c>
      <c r="AX98" s="63">
        <v>85</v>
      </c>
      <c r="AY98" s="63">
        <v>89</v>
      </c>
      <c r="AZ98" s="63">
        <v>83</v>
      </c>
      <c r="BA98" s="63">
        <v>79</v>
      </c>
      <c r="BB98" s="63">
        <v>66</v>
      </c>
      <c r="BC98" s="63">
        <v>69</v>
      </c>
      <c r="BD98" s="63">
        <v>80</v>
      </c>
      <c r="BE98" s="63">
        <v>75</v>
      </c>
      <c r="BF98" s="63">
        <v>52</v>
      </c>
      <c r="BG98" s="63">
        <v>69</v>
      </c>
      <c r="BH98" s="63">
        <v>80</v>
      </c>
      <c r="BI98" s="63">
        <v>75</v>
      </c>
      <c r="BJ98" s="63">
        <v>82</v>
      </c>
      <c r="BK98" s="63">
        <v>80</v>
      </c>
      <c r="BL98" s="63">
        <v>63</v>
      </c>
      <c r="BM98" s="63"/>
      <c r="BN98" s="63"/>
      <c r="BO98" s="63"/>
      <c r="BP98" s="63"/>
      <c r="BQ98" s="63"/>
      <c r="BR98" s="63"/>
      <c r="BS98" s="63"/>
      <c r="BT98" s="63"/>
      <c r="BU98" s="63"/>
      <c r="BV98" s="63"/>
      <c r="BW98" s="63"/>
      <c r="BX98" s="63"/>
      <c r="BY98" s="63"/>
      <c r="BZ98" s="63"/>
      <c r="CA98" s="63"/>
      <c r="CB98" s="63"/>
      <c r="CC98" s="63"/>
      <c r="CD98" s="63"/>
      <c r="CE98" s="63"/>
      <c r="CF98" s="63"/>
      <c r="CG98" s="63"/>
      <c r="CH98" s="63"/>
      <c r="CI98" s="63"/>
      <c r="CJ98" s="63"/>
      <c r="CK98" s="63"/>
      <c r="CL98" s="63"/>
      <c r="CM98" s="63"/>
      <c r="CN98" s="63"/>
      <c r="CO98" s="63"/>
      <c r="CP98" s="63"/>
    </row>
    <row r="99" spans="1:94" s="63" customFormat="1">
      <c r="A99" s="63" t="s">
        <v>84</v>
      </c>
      <c r="B99" s="63" t="s">
        <v>191</v>
      </c>
      <c r="C99" s="64" t="s">
        <v>192</v>
      </c>
      <c r="D99" s="65" t="s">
        <v>193</v>
      </c>
      <c r="E99" s="66" t="s">
        <v>194</v>
      </c>
      <c r="F99" s="68">
        <v>3</v>
      </c>
      <c r="G99" s="68" t="s">
        <v>125</v>
      </c>
      <c r="H99" s="69">
        <v>807</v>
      </c>
      <c r="I99" s="74">
        <v>40</v>
      </c>
      <c r="J99" s="69">
        <v>32084</v>
      </c>
      <c r="K99" s="72"/>
      <c r="L99" s="69">
        <f t="shared" si="304"/>
        <v>32084</v>
      </c>
      <c r="M99" s="86">
        <f t="shared" si="305"/>
        <v>39.757125154894673</v>
      </c>
      <c r="N99" s="74"/>
      <c r="O99" s="74"/>
      <c r="P99" s="74"/>
      <c r="Q99" s="74"/>
      <c r="R99" s="74"/>
      <c r="S99" s="75">
        <v>3.61</v>
      </c>
      <c r="T99" s="76"/>
      <c r="U99" s="63" t="s">
        <v>106</v>
      </c>
      <c r="V99" s="77" t="s">
        <v>103</v>
      </c>
      <c r="W99" s="77"/>
      <c r="X99" s="78">
        <v>0.43</v>
      </c>
      <c r="Y99" s="78"/>
      <c r="Z99" s="79">
        <v>0.48</v>
      </c>
      <c r="AA99" s="80">
        <v>45784</v>
      </c>
      <c r="AB99" s="81">
        <f t="shared" si="307"/>
        <v>56.5</v>
      </c>
      <c r="AC99" s="81">
        <f t="shared" si="290"/>
        <v>24.294999999999998</v>
      </c>
      <c r="AD99" s="81">
        <f t="shared" si="306"/>
        <v>389.74038999999993</v>
      </c>
      <c r="AE99" s="81">
        <f t="shared" si="323"/>
        <v>9.7435097499999976</v>
      </c>
      <c r="AF99" s="167">
        <f t="shared" si="324"/>
        <v>0.62949695821877738</v>
      </c>
      <c r="AG99" s="264"/>
      <c r="AH99" s="264">
        <f t="shared" si="288"/>
        <v>0</v>
      </c>
      <c r="AI99" s="77"/>
      <c r="AJ99" s="79">
        <f t="shared" si="312"/>
        <v>389.74038999999993</v>
      </c>
      <c r="AK99" s="82">
        <f t="shared" si="313"/>
        <v>9.7435097499999976</v>
      </c>
      <c r="AL99" s="82"/>
      <c r="AM99" s="82">
        <f t="shared" si="314"/>
        <v>50.614583333333329</v>
      </c>
      <c r="AN99" s="82"/>
      <c r="AO99" s="82"/>
      <c r="AP99" s="82"/>
      <c r="AR99" s="77" t="s">
        <v>91</v>
      </c>
      <c r="AS99" s="63">
        <v>63</v>
      </c>
      <c r="AT99" s="63">
        <v>50</v>
      </c>
      <c r="AU99" s="63">
        <v>43</v>
      </c>
      <c r="AV99" s="63">
        <v>56</v>
      </c>
      <c r="AW99" s="63">
        <v>54</v>
      </c>
      <c r="AX99" s="63">
        <v>51</v>
      </c>
      <c r="AY99" s="63">
        <v>43</v>
      </c>
      <c r="AZ99" s="63">
        <v>61</v>
      </c>
      <c r="BA99" s="63">
        <v>89</v>
      </c>
      <c r="BB99" s="63">
        <v>52</v>
      </c>
      <c r="BC99" s="63">
        <v>84</v>
      </c>
      <c r="BD99" s="63">
        <v>46</v>
      </c>
      <c r="BE99" s="63">
        <v>46</v>
      </c>
      <c r="BF99" s="63">
        <v>56</v>
      </c>
      <c r="BG99" s="63">
        <v>54</v>
      </c>
      <c r="BH99" s="63">
        <v>56</v>
      </c>
    </row>
    <row r="100" spans="1:94" s="63" customFormat="1">
      <c r="A100" s="63" t="s">
        <v>84</v>
      </c>
      <c r="B100" s="63" t="s">
        <v>191</v>
      </c>
      <c r="C100" s="64" t="s">
        <v>192</v>
      </c>
      <c r="D100" s="65" t="s">
        <v>193</v>
      </c>
      <c r="E100" s="66" t="s">
        <v>194</v>
      </c>
      <c r="F100" s="68">
        <v>3</v>
      </c>
      <c r="G100" s="68" t="s">
        <v>125</v>
      </c>
      <c r="H100" s="69">
        <v>807</v>
      </c>
      <c r="I100" s="74">
        <v>40</v>
      </c>
      <c r="J100" s="69">
        <v>32084</v>
      </c>
      <c r="K100" s="72"/>
      <c r="L100" s="69">
        <f t="shared" si="304"/>
        <v>32084</v>
      </c>
      <c r="M100" s="86">
        <f t="shared" si="305"/>
        <v>39.757125154894673</v>
      </c>
      <c r="N100" s="74"/>
      <c r="O100" s="74"/>
      <c r="P100" s="74"/>
      <c r="Q100" s="74"/>
      <c r="R100" s="74"/>
      <c r="S100" s="75">
        <v>3.61</v>
      </c>
      <c r="T100" s="76"/>
      <c r="U100" s="63" t="s">
        <v>106</v>
      </c>
      <c r="V100" s="77" t="s">
        <v>103</v>
      </c>
      <c r="W100" s="77"/>
      <c r="X100" s="78">
        <v>0.43</v>
      </c>
      <c r="Y100" s="78"/>
      <c r="Z100" s="79">
        <v>0.48</v>
      </c>
      <c r="AA100" s="80">
        <v>45811</v>
      </c>
      <c r="AB100" s="81">
        <f t="shared" si="307"/>
        <v>53</v>
      </c>
      <c r="AC100" s="81">
        <f t="shared" si="290"/>
        <v>22.79</v>
      </c>
      <c r="AD100" s="81">
        <f t="shared" si="306"/>
        <v>365.59717999999998</v>
      </c>
      <c r="AE100" s="81">
        <f t="shared" si="323"/>
        <v>9.1399294999999992</v>
      </c>
      <c r="AF100" s="167">
        <f t="shared" si="324"/>
        <v>0.60502977621435705</v>
      </c>
      <c r="AG100" s="264"/>
      <c r="AH100" s="264">
        <f t="shared" si="288"/>
        <v>0</v>
      </c>
      <c r="AI100" s="77"/>
      <c r="AJ100" s="79">
        <f t="shared" si="312"/>
        <v>365.59717999999998</v>
      </c>
      <c r="AK100" s="82">
        <f t="shared" si="313"/>
        <v>9.1399294999999992</v>
      </c>
      <c r="AL100" s="82"/>
      <c r="AM100" s="82">
        <f t="shared" si="314"/>
        <v>47.479166666666664</v>
      </c>
      <c r="AN100" s="82"/>
      <c r="AO100" s="82"/>
      <c r="AP100" s="82"/>
      <c r="AQ100" s="63" t="s">
        <v>729</v>
      </c>
      <c r="AR100" s="77" t="s">
        <v>91</v>
      </c>
      <c r="AS100" s="63">
        <v>55</v>
      </c>
      <c r="AT100" s="63">
        <v>50</v>
      </c>
      <c r="AU100" s="63">
        <v>57</v>
      </c>
      <c r="AV100" s="63">
        <v>44</v>
      </c>
      <c r="AW100" s="63">
        <v>50</v>
      </c>
      <c r="AX100" s="63">
        <v>47</v>
      </c>
      <c r="AY100" s="63">
        <v>51</v>
      </c>
      <c r="AZ100" s="63">
        <v>49</v>
      </c>
      <c r="BA100" s="63">
        <v>73</v>
      </c>
      <c r="BB100" s="63">
        <v>61</v>
      </c>
      <c r="BC100" s="63">
        <v>50</v>
      </c>
      <c r="BD100" s="63">
        <v>49</v>
      </c>
    </row>
    <row r="101" spans="1:94" s="63" customFormat="1">
      <c r="A101" s="63" t="s">
        <v>84</v>
      </c>
      <c r="B101" s="63" t="s">
        <v>191</v>
      </c>
      <c r="C101" s="64" t="s">
        <v>196</v>
      </c>
      <c r="D101" s="65" t="s">
        <v>193</v>
      </c>
      <c r="E101" s="66" t="s">
        <v>194</v>
      </c>
      <c r="F101" s="68">
        <v>3</v>
      </c>
      <c r="G101" s="68" t="s">
        <v>125</v>
      </c>
      <c r="H101" s="69">
        <v>807</v>
      </c>
      <c r="I101" s="74">
        <v>17.7</v>
      </c>
      <c r="J101" s="69">
        <v>14131</v>
      </c>
      <c r="K101" s="72"/>
      <c r="L101" s="69">
        <f t="shared" si="304"/>
        <v>14131</v>
      </c>
      <c r="M101" s="86">
        <f t="shared" si="305"/>
        <v>17.510532837670382</v>
      </c>
      <c r="N101" s="74"/>
      <c r="O101" s="74"/>
      <c r="P101" s="74"/>
      <c r="Q101" s="74"/>
      <c r="R101" s="74"/>
      <c r="S101" s="75">
        <v>3.61</v>
      </c>
      <c r="T101" s="76"/>
      <c r="U101" s="63" t="s">
        <v>106</v>
      </c>
      <c r="V101" s="77" t="s">
        <v>103</v>
      </c>
      <c r="W101" s="77"/>
      <c r="X101" s="78">
        <v>0.43</v>
      </c>
      <c r="Y101" s="78"/>
      <c r="Z101" s="79">
        <v>0.48</v>
      </c>
      <c r="AA101" s="80">
        <v>45811</v>
      </c>
      <c r="AB101" s="81">
        <f t="shared" si="307"/>
        <v>30.583333333333332</v>
      </c>
      <c r="AC101" s="81">
        <f t="shared" si="290"/>
        <v>13.150833333333333</v>
      </c>
      <c r="AD101" s="81">
        <f t="shared" si="306"/>
        <v>92.917212916666671</v>
      </c>
      <c r="AE101" s="81">
        <f t="shared" si="323"/>
        <v>5.2495600517890777</v>
      </c>
      <c r="AF101" s="167">
        <f t="shared" si="324"/>
        <v>0.31232332530995754</v>
      </c>
      <c r="AG101" s="264"/>
      <c r="AH101" s="264">
        <f t="shared" si="288"/>
        <v>0</v>
      </c>
      <c r="AI101" s="77"/>
      <c r="AJ101" s="79">
        <f t="shared" si="312"/>
        <v>92.917212916666671</v>
      </c>
      <c r="AK101" s="82">
        <f t="shared" si="313"/>
        <v>5.2495600517890777</v>
      </c>
      <c r="AL101" s="82"/>
      <c r="AM101" s="82">
        <f t="shared" si="314"/>
        <v>27.397569444444446</v>
      </c>
      <c r="AN101" s="82"/>
      <c r="AO101" s="82"/>
      <c r="AP101" s="82"/>
      <c r="AQ101" s="63" t="s">
        <v>730</v>
      </c>
      <c r="AR101" s="77" t="s">
        <v>91</v>
      </c>
      <c r="AS101" s="63">
        <v>52</v>
      </c>
      <c r="AT101" s="63">
        <v>27</v>
      </c>
      <c r="AU101" s="63">
        <v>52</v>
      </c>
      <c r="AV101" s="63">
        <v>19</v>
      </c>
      <c r="AW101" s="63">
        <v>29</v>
      </c>
      <c r="AX101" s="63">
        <v>11</v>
      </c>
      <c r="AY101" s="63">
        <v>19</v>
      </c>
      <c r="AZ101" s="63">
        <v>44</v>
      </c>
      <c r="BA101" s="63">
        <v>26</v>
      </c>
      <c r="BB101" s="63">
        <v>30</v>
      </c>
      <c r="BC101" s="63">
        <v>36</v>
      </c>
      <c r="BD101" s="63">
        <v>22</v>
      </c>
    </row>
    <row r="102" spans="1:94" s="63" customFormat="1">
      <c r="A102" s="113" t="s">
        <v>84</v>
      </c>
      <c r="B102" s="113" t="s">
        <v>197</v>
      </c>
      <c r="C102" s="114" t="s">
        <v>198</v>
      </c>
      <c r="D102" s="128" t="s">
        <v>111</v>
      </c>
      <c r="E102" s="127" t="s">
        <v>160</v>
      </c>
      <c r="F102" s="126">
        <v>4</v>
      </c>
      <c r="G102" s="126" t="s">
        <v>96</v>
      </c>
      <c r="H102" s="123">
        <v>726</v>
      </c>
      <c r="I102" s="125">
        <v>60.57</v>
      </c>
      <c r="J102" s="123">
        <v>43649</v>
      </c>
      <c r="K102" s="124"/>
      <c r="L102" s="123">
        <f t="shared" si="304"/>
        <v>43649</v>
      </c>
      <c r="M102" s="122">
        <f t="shared" si="305"/>
        <v>60.12258953168044</v>
      </c>
      <c r="N102" s="125"/>
      <c r="O102" s="125"/>
      <c r="P102" s="125"/>
      <c r="Q102" s="125"/>
      <c r="R102" s="125">
        <v>3.03</v>
      </c>
      <c r="S102" s="154">
        <v>6.72</v>
      </c>
      <c r="T102" s="129">
        <f>AVERAGE(N102:R102)</f>
        <v>3.03</v>
      </c>
      <c r="U102" s="113" t="s">
        <v>365</v>
      </c>
      <c r="V102" s="115"/>
      <c r="W102" s="115"/>
      <c r="X102" s="120">
        <v>0.35</v>
      </c>
      <c r="Y102" s="120"/>
      <c r="Z102" s="118">
        <v>0.4</v>
      </c>
      <c r="AA102" s="119">
        <v>45784</v>
      </c>
      <c r="AB102" s="117">
        <f t="shared" si="307"/>
        <v>71.0625</v>
      </c>
      <c r="AC102" s="117">
        <f t="shared" si="290"/>
        <v>24.871874999999999</v>
      </c>
      <c r="AD102" s="117">
        <f t="shared" si="306"/>
        <v>542.81623593749998</v>
      </c>
      <c r="AE102" s="117">
        <f t="shared" si="323"/>
        <v>8.9618001640663696</v>
      </c>
      <c r="AF102" s="170">
        <f t="shared" si="324"/>
        <v>0.25015065310819928</v>
      </c>
      <c r="AG102" s="265">
        <v>6.72</v>
      </c>
      <c r="AH102" s="265">
        <f t="shared" si="288"/>
        <v>0.26050866060460687</v>
      </c>
      <c r="AI102" s="115"/>
      <c r="AJ102" s="118">
        <f t="shared" si="312"/>
        <v>542.81623593749998</v>
      </c>
      <c r="AK102" s="116">
        <f t="shared" si="313"/>
        <v>8.9618001640663696</v>
      </c>
      <c r="AL102" s="116"/>
      <c r="AM102" s="116">
        <f t="shared" si="314"/>
        <v>62.1796875</v>
      </c>
      <c r="AN102" s="116"/>
      <c r="AO102" s="116"/>
      <c r="AP102" s="116"/>
      <c r="AQ102" s="113"/>
      <c r="AR102" s="115" t="s">
        <v>91</v>
      </c>
      <c r="AS102" s="113">
        <v>72</v>
      </c>
      <c r="AT102" s="113">
        <v>94</v>
      </c>
      <c r="AU102" s="113">
        <v>106</v>
      </c>
      <c r="AV102" s="113">
        <v>71</v>
      </c>
      <c r="AW102" s="113">
        <v>63</v>
      </c>
      <c r="AX102" s="113">
        <v>94</v>
      </c>
      <c r="AY102" s="113">
        <v>81</v>
      </c>
      <c r="AZ102" s="113">
        <v>68</v>
      </c>
      <c r="BA102" s="113">
        <v>90</v>
      </c>
      <c r="BB102" s="113">
        <v>88</v>
      </c>
      <c r="BC102" s="113">
        <v>79</v>
      </c>
      <c r="BD102" s="113">
        <v>73</v>
      </c>
      <c r="BE102" s="113">
        <v>45</v>
      </c>
      <c r="BF102" s="113">
        <v>39</v>
      </c>
      <c r="BG102" s="113">
        <v>29</v>
      </c>
      <c r="BH102" s="113">
        <v>45</v>
      </c>
      <c r="BI102" s="113"/>
      <c r="BJ102" s="113"/>
      <c r="BK102" s="113"/>
      <c r="BL102" s="113"/>
      <c r="BM102" s="113"/>
      <c r="BN102" s="113"/>
      <c r="BO102" s="113"/>
      <c r="BP102" s="113"/>
      <c r="BQ102" s="113"/>
      <c r="BR102" s="113"/>
      <c r="BS102" s="113"/>
      <c r="BT102" s="113"/>
      <c r="BU102" s="113"/>
      <c r="BV102" s="113"/>
      <c r="BW102" s="113"/>
      <c r="BX102" s="113"/>
      <c r="BY102" s="113"/>
      <c r="BZ102" s="113"/>
      <c r="CA102" s="113"/>
      <c r="CB102" s="113"/>
      <c r="CC102" s="113"/>
      <c r="CD102" s="113"/>
      <c r="CE102" s="113"/>
      <c r="CF102" s="113"/>
      <c r="CG102" s="113"/>
      <c r="CH102" s="113"/>
      <c r="CI102" s="113"/>
      <c r="CJ102" s="113"/>
      <c r="CK102" s="113"/>
      <c r="CL102" s="113"/>
      <c r="CM102" s="113"/>
      <c r="CN102" s="113"/>
      <c r="CO102" s="113"/>
      <c r="CP102" s="113"/>
    </row>
    <row r="103" spans="1:94" s="63" customFormat="1">
      <c r="A103" s="113" t="s">
        <v>84</v>
      </c>
      <c r="B103" s="113" t="s">
        <v>197</v>
      </c>
      <c r="C103" s="114" t="s">
        <v>198</v>
      </c>
      <c r="D103" s="128" t="s">
        <v>111</v>
      </c>
      <c r="E103" s="127" t="s">
        <v>160</v>
      </c>
      <c r="F103" s="126">
        <v>4</v>
      </c>
      <c r="G103" s="126" t="s">
        <v>96</v>
      </c>
      <c r="H103" s="123">
        <v>726</v>
      </c>
      <c r="I103" s="125">
        <v>60.57</v>
      </c>
      <c r="J103" s="123">
        <v>43649</v>
      </c>
      <c r="K103" s="124"/>
      <c r="L103" s="123">
        <f t="shared" si="304"/>
        <v>43649</v>
      </c>
      <c r="M103" s="122">
        <f t="shared" si="305"/>
        <v>60.12258953168044</v>
      </c>
      <c r="N103" s="125"/>
      <c r="O103" s="125"/>
      <c r="P103" s="125"/>
      <c r="Q103" s="125"/>
      <c r="R103" s="125">
        <v>3.03</v>
      </c>
      <c r="S103" s="154">
        <v>6.72</v>
      </c>
      <c r="T103" s="129">
        <f>AVERAGE(N103:R103)</f>
        <v>3.03</v>
      </c>
      <c r="U103" s="113" t="s">
        <v>365</v>
      </c>
      <c r="V103" s="115" t="s">
        <v>103</v>
      </c>
      <c r="W103" s="115"/>
      <c r="X103" s="120">
        <v>0.39</v>
      </c>
      <c r="Y103" s="120"/>
      <c r="Z103" s="118">
        <v>0.4</v>
      </c>
      <c r="AA103" s="119">
        <v>45820</v>
      </c>
      <c r="AB103" s="117">
        <f t="shared" si="307"/>
        <v>49.333333333333336</v>
      </c>
      <c r="AC103" s="117">
        <f t="shared" si="290"/>
        <v>19.240000000000002</v>
      </c>
      <c r="AD103" s="117">
        <f t="shared" si="306"/>
        <v>419.90338000000008</v>
      </c>
      <c r="AE103" s="117">
        <f t="shared" si="323"/>
        <v>6.9325306257223058</v>
      </c>
      <c r="AF103" s="170">
        <f t="shared" si="324"/>
        <v>3.0657004951948893E-2</v>
      </c>
      <c r="AG103" s="265">
        <v>6.72</v>
      </c>
      <c r="AH103" s="265">
        <f t="shared" si="288"/>
        <v>0.3752512843421934</v>
      </c>
      <c r="AI103" s="115"/>
      <c r="AJ103" s="118">
        <f t="shared" si="312"/>
        <v>419.90338000000008</v>
      </c>
      <c r="AK103" s="116">
        <f t="shared" si="313"/>
        <v>6.9325306257223058</v>
      </c>
      <c r="AL103" s="116"/>
      <c r="AM103" s="116">
        <f t="shared" si="314"/>
        <v>48.100000000000009</v>
      </c>
      <c r="AN103" s="116"/>
      <c r="AO103" s="116"/>
      <c r="AP103" s="116"/>
      <c r="AQ103" s="113"/>
      <c r="AR103" s="115" t="s">
        <v>91</v>
      </c>
      <c r="AS103" s="113">
        <v>52</v>
      </c>
      <c r="AT103" s="113">
        <v>43</v>
      </c>
      <c r="AU103" s="113">
        <v>57</v>
      </c>
      <c r="AV103" s="113">
        <v>57</v>
      </c>
      <c r="AW103" s="113">
        <v>51</v>
      </c>
      <c r="AX103" s="113">
        <v>51</v>
      </c>
      <c r="AY103" s="113">
        <v>47</v>
      </c>
      <c r="AZ103" s="113">
        <v>54</v>
      </c>
      <c r="BA103" s="113">
        <v>41</v>
      </c>
      <c r="BB103" s="113">
        <v>39</v>
      </c>
      <c r="BC103" s="113">
        <v>62</v>
      </c>
      <c r="BD103" s="113">
        <v>38</v>
      </c>
      <c r="BE103" s="113"/>
      <c r="BF103" s="113"/>
      <c r="BG103" s="113"/>
      <c r="BH103" s="113"/>
      <c r="BI103" s="113"/>
      <c r="BJ103" s="113"/>
      <c r="BK103" s="113"/>
      <c r="BL103" s="113"/>
      <c r="BM103" s="113"/>
      <c r="BN103" s="113"/>
      <c r="BO103" s="113"/>
      <c r="BP103" s="113"/>
      <c r="BQ103" s="113"/>
      <c r="BR103" s="113"/>
      <c r="BS103" s="113"/>
      <c r="BT103" s="113"/>
      <c r="BU103" s="113"/>
      <c r="BV103" s="113"/>
      <c r="BW103" s="113"/>
      <c r="BX103" s="113"/>
      <c r="BY103" s="113"/>
      <c r="BZ103" s="113"/>
      <c r="CA103" s="113"/>
      <c r="CB103" s="113"/>
      <c r="CC103" s="113"/>
      <c r="CD103" s="113"/>
      <c r="CE103" s="113"/>
      <c r="CF103" s="113"/>
      <c r="CG103" s="113"/>
      <c r="CH103" s="113"/>
      <c r="CI103" s="113"/>
      <c r="CJ103" s="113"/>
      <c r="CK103" s="113"/>
      <c r="CL103" s="113"/>
      <c r="CM103" s="113"/>
      <c r="CN103" s="113"/>
      <c r="CO103" s="113"/>
      <c r="CP103" s="113"/>
    </row>
    <row r="104" spans="1:94" s="63" customFormat="1">
      <c r="A104" s="113" t="s">
        <v>84</v>
      </c>
      <c r="B104" s="113" t="s">
        <v>197</v>
      </c>
      <c r="C104" s="114" t="s">
        <v>198</v>
      </c>
      <c r="D104" s="128" t="s">
        <v>111</v>
      </c>
      <c r="E104" s="127" t="s">
        <v>160</v>
      </c>
      <c r="F104" s="126">
        <v>4</v>
      </c>
      <c r="G104" s="126" t="s">
        <v>96</v>
      </c>
      <c r="H104" s="123">
        <v>726</v>
      </c>
      <c r="I104" s="125">
        <v>60.57</v>
      </c>
      <c r="J104" s="123">
        <v>43649</v>
      </c>
      <c r="K104" s="124"/>
      <c r="L104" s="123">
        <f t="shared" ref="L104" si="325">J104-(J104*K104)</f>
        <v>43649</v>
      </c>
      <c r="M104" s="122">
        <f t="shared" ref="M104" si="326">L104/H104</f>
        <v>60.12258953168044</v>
      </c>
      <c r="N104" s="125"/>
      <c r="O104" s="125"/>
      <c r="P104" s="125"/>
      <c r="Q104" s="125"/>
      <c r="R104" s="125">
        <v>3.03</v>
      </c>
      <c r="S104" s="154">
        <v>6.72</v>
      </c>
      <c r="T104" s="129">
        <f>AVERAGE(N104:R104)</f>
        <v>3.03</v>
      </c>
      <c r="U104" s="113" t="s">
        <v>365</v>
      </c>
      <c r="V104" s="115" t="s">
        <v>103</v>
      </c>
      <c r="W104" s="115"/>
      <c r="X104" s="120">
        <v>0.39</v>
      </c>
      <c r="Y104" s="120"/>
      <c r="Z104" s="118">
        <v>0.4</v>
      </c>
      <c r="AA104" s="119">
        <v>45852</v>
      </c>
      <c r="AB104" s="117">
        <f t="shared" ref="AB104" si="327">IFERROR(AVERAGE(AS104:CP104),0)</f>
        <v>42</v>
      </c>
      <c r="AC104" s="117">
        <f t="shared" ref="AC104" si="328">AB104*X104</f>
        <v>16.38</v>
      </c>
      <c r="AD104" s="117">
        <f t="shared" ref="AD104" si="329">(AC104*L104)/2000</f>
        <v>357.48530999999997</v>
      </c>
      <c r="AE104" s="117">
        <f t="shared" ref="AE104" si="330">IFERROR((AD104/I104),"")</f>
        <v>5.9020193164933126</v>
      </c>
      <c r="AF104" s="170">
        <f t="shared" ref="AF104" si="331">IFERROR(((AE104-S104)/AE104),"")</f>
        <v>-0.13859335926279054</v>
      </c>
      <c r="AG104" s="265">
        <v>6.72</v>
      </c>
      <c r="AH104" s="265">
        <f t="shared" si="288"/>
        <v>0.44077134986225891</v>
      </c>
      <c r="AI104" s="115"/>
      <c r="AJ104" s="118">
        <f t="shared" ref="AJ104" si="332">AD104-(AI104*I104)</f>
        <v>357.48530999999997</v>
      </c>
      <c r="AK104" s="116">
        <f t="shared" ref="AK104" si="333">AJ104/I104</f>
        <v>5.9020193164933126</v>
      </c>
      <c r="AL104" s="116"/>
      <c r="AM104" s="116">
        <f t="shared" ref="AM104" si="334">((AJ104*2000)/Z104)/J104</f>
        <v>40.949999999999996</v>
      </c>
      <c r="AN104" s="116"/>
      <c r="AO104" s="116"/>
      <c r="AP104" s="116"/>
      <c r="AQ104" s="113"/>
      <c r="AR104" s="115" t="s">
        <v>116</v>
      </c>
      <c r="AS104" s="113">
        <v>41</v>
      </c>
      <c r="AT104" s="113">
        <v>45</v>
      </c>
      <c r="AU104" s="113">
        <v>40</v>
      </c>
      <c r="AV104" s="113">
        <v>39</v>
      </c>
      <c r="AW104" s="113">
        <v>48</v>
      </c>
      <c r="AX104" s="113">
        <v>38</v>
      </c>
      <c r="AY104" s="113">
        <v>45</v>
      </c>
      <c r="AZ104" s="113">
        <v>39</v>
      </c>
      <c r="BA104" s="113">
        <v>40</v>
      </c>
      <c r="BB104" s="113">
        <v>39</v>
      </c>
      <c r="BC104" s="113">
        <v>43</v>
      </c>
      <c r="BD104" s="113">
        <v>46</v>
      </c>
      <c r="BE104" s="113">
        <v>40</v>
      </c>
      <c r="BF104" s="113">
        <v>37</v>
      </c>
      <c r="BG104" s="113">
        <v>49</v>
      </c>
      <c r="BH104" s="113">
        <v>43</v>
      </c>
      <c r="BI104" s="113"/>
      <c r="BJ104" s="113"/>
      <c r="BK104" s="113"/>
      <c r="BL104" s="113"/>
      <c r="BM104" s="113"/>
      <c r="BN104" s="113"/>
      <c r="BO104" s="113"/>
      <c r="BP104" s="113"/>
      <c r="BQ104" s="113"/>
      <c r="BR104" s="113"/>
      <c r="BS104" s="113"/>
      <c r="BT104" s="113"/>
      <c r="BU104" s="113"/>
      <c r="BV104" s="113"/>
      <c r="BW104" s="113"/>
      <c r="BX104" s="113"/>
      <c r="BY104" s="113"/>
      <c r="BZ104" s="113"/>
      <c r="CA104" s="113"/>
      <c r="CB104" s="113"/>
      <c r="CC104" s="113"/>
      <c r="CD104" s="113"/>
      <c r="CE104" s="113"/>
      <c r="CF104" s="113"/>
      <c r="CG104" s="113"/>
      <c r="CH104" s="113"/>
      <c r="CI104" s="113"/>
      <c r="CJ104" s="113"/>
      <c r="CK104" s="113"/>
      <c r="CL104" s="113"/>
      <c r="CM104" s="113"/>
      <c r="CN104" s="113"/>
      <c r="CO104" s="113"/>
      <c r="CP104" s="113"/>
    </row>
    <row r="105" spans="1:94" s="113" customFormat="1">
      <c r="A105" s="63" t="s">
        <v>84</v>
      </c>
      <c r="B105" s="63" t="s">
        <v>200</v>
      </c>
      <c r="C105" s="64" t="s">
        <v>201</v>
      </c>
      <c r="D105" s="65" t="s">
        <v>87</v>
      </c>
      <c r="E105" s="66" t="s">
        <v>88</v>
      </c>
      <c r="F105" s="68">
        <v>8</v>
      </c>
      <c r="G105" s="68" t="s">
        <v>170</v>
      </c>
      <c r="H105" s="69">
        <v>680.625</v>
      </c>
      <c r="I105" s="74">
        <v>83.51</v>
      </c>
      <c r="J105" s="69">
        <v>56217</v>
      </c>
      <c r="K105" s="72">
        <v>0.03</v>
      </c>
      <c r="L105" s="69">
        <f t="shared" si="304"/>
        <v>54530.49</v>
      </c>
      <c r="M105" s="86">
        <f t="shared" si="305"/>
        <v>80.118258953168038</v>
      </c>
      <c r="N105" s="79">
        <v>8.1199999999999992</v>
      </c>
      <c r="O105" s="79">
        <v>6.68</v>
      </c>
      <c r="P105" s="79">
        <v>6.51</v>
      </c>
      <c r="Q105" s="79">
        <v>7.56</v>
      </c>
      <c r="R105" s="79">
        <v>10.01</v>
      </c>
      <c r="S105" s="84">
        <v>8.06</v>
      </c>
      <c r="T105" s="85">
        <f t="shared" ref="T105:T117" si="335">AVERAGE(N105:S105)</f>
        <v>7.8233333333333333</v>
      </c>
      <c r="U105" s="63"/>
      <c r="V105" s="77"/>
      <c r="W105" s="77"/>
      <c r="X105" s="78">
        <v>0.33</v>
      </c>
      <c r="Y105" s="78"/>
      <c r="Z105" s="79">
        <v>0.33</v>
      </c>
      <c r="AA105" s="80"/>
      <c r="AB105" s="81">
        <f t="shared" si="307"/>
        <v>0</v>
      </c>
      <c r="AC105" s="81">
        <f t="shared" si="290"/>
        <v>0</v>
      </c>
      <c r="AD105" s="81">
        <f t="shared" si="306"/>
        <v>0</v>
      </c>
      <c r="AE105" s="81"/>
      <c r="AF105" s="167"/>
      <c r="AG105" s="264"/>
      <c r="AH105" s="264" t="e">
        <f t="shared" si="288"/>
        <v>#DIV/0!</v>
      </c>
      <c r="AI105" s="77"/>
      <c r="AJ105" s="79">
        <f t="shared" si="312"/>
        <v>0</v>
      </c>
      <c r="AK105" s="82">
        <f t="shared" si="313"/>
        <v>0</v>
      </c>
      <c r="AL105" s="82"/>
      <c r="AM105" s="82">
        <f t="shared" si="314"/>
        <v>0</v>
      </c>
      <c r="AN105" s="82"/>
      <c r="AO105" s="82"/>
      <c r="AP105" s="82"/>
      <c r="AQ105" s="63"/>
      <c r="AR105" s="77"/>
      <c r="AS105" s="63"/>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c r="BU105" s="63"/>
      <c r="BV105" s="63"/>
      <c r="BW105" s="63"/>
      <c r="BX105" s="63"/>
      <c r="BY105" s="63"/>
      <c r="BZ105" s="63"/>
      <c r="CA105" s="63"/>
      <c r="CB105" s="63"/>
      <c r="CC105" s="63"/>
      <c r="CD105" s="63"/>
      <c r="CE105" s="63"/>
      <c r="CF105" s="63"/>
      <c r="CG105" s="63"/>
      <c r="CH105" s="63"/>
      <c r="CI105" s="63"/>
      <c r="CJ105" s="63"/>
      <c r="CK105" s="63"/>
      <c r="CL105" s="63"/>
      <c r="CM105" s="63"/>
      <c r="CN105" s="63"/>
      <c r="CO105" s="63"/>
      <c r="CP105" s="63"/>
    </row>
    <row r="106" spans="1:94" s="63" customFormat="1">
      <c r="A106" s="113" t="s">
        <v>84</v>
      </c>
      <c r="B106" s="113" t="s">
        <v>202</v>
      </c>
      <c r="C106" s="114" t="s">
        <v>203</v>
      </c>
      <c r="D106" s="128" t="s">
        <v>87</v>
      </c>
      <c r="E106" s="127" t="s">
        <v>99</v>
      </c>
      <c r="F106" s="126">
        <v>7</v>
      </c>
      <c r="G106" s="126" t="s">
        <v>204</v>
      </c>
      <c r="H106" s="123">
        <v>680.625</v>
      </c>
      <c r="I106" s="125">
        <v>35.56</v>
      </c>
      <c r="J106" s="123">
        <v>22011</v>
      </c>
      <c r="K106" s="124">
        <v>0.06</v>
      </c>
      <c r="L106" s="123">
        <f t="shared" si="304"/>
        <v>20690.34</v>
      </c>
      <c r="M106" s="122">
        <f t="shared" si="305"/>
        <v>30.399030303030305</v>
      </c>
      <c r="N106" s="118">
        <v>9.49</v>
      </c>
      <c r="O106" s="118">
        <v>9.9</v>
      </c>
      <c r="P106" s="118">
        <v>5.96</v>
      </c>
      <c r="Q106" s="118">
        <v>5.87</v>
      </c>
      <c r="R106" s="118">
        <v>9.86</v>
      </c>
      <c r="S106" s="153">
        <v>8.8000000000000007</v>
      </c>
      <c r="T106" s="121">
        <f t="shared" si="335"/>
        <v>8.3133333333333326</v>
      </c>
      <c r="U106" s="113"/>
      <c r="V106" s="115" t="s">
        <v>103</v>
      </c>
      <c r="W106" s="115"/>
      <c r="X106" s="120">
        <v>0.31</v>
      </c>
      <c r="Y106" s="120"/>
      <c r="Z106" s="118">
        <v>0.44</v>
      </c>
      <c r="AA106" s="119">
        <v>45831</v>
      </c>
      <c r="AB106" s="117">
        <f t="shared" si="307"/>
        <v>97.416666666666671</v>
      </c>
      <c r="AC106" s="117">
        <f>AB106*X106</f>
        <v>30.199166666666667</v>
      </c>
      <c r="AD106" s="117">
        <f t="shared" si="306"/>
        <v>312.415513025</v>
      </c>
      <c r="AE106" s="117">
        <f t="shared" ref="AE106:AE117" si="336">IFERROR((AD106/I106),"")</f>
        <v>8.7855881053149592</v>
      </c>
      <c r="AF106" s="170">
        <f t="shared" ref="AF106:AF117" si="337">IFERROR(((AE106-S106)/AE106),"")</f>
        <v>-1.6404018162794237E-3</v>
      </c>
      <c r="AG106" s="265">
        <v>6.13</v>
      </c>
      <c r="AH106" s="265">
        <f t="shared" si="288"/>
        <v>0.18490527799183212</v>
      </c>
      <c r="AI106" s="115"/>
      <c r="AJ106" s="118">
        <f t="shared" si="312"/>
        <v>312.415513025</v>
      </c>
      <c r="AK106" s="116">
        <f t="shared" si="313"/>
        <v>8.7855881053149592</v>
      </c>
      <c r="AL106" s="116"/>
      <c r="AM106" s="116">
        <f t="shared" si="314"/>
        <v>64.516401515151514</v>
      </c>
      <c r="AN106" s="29" t="s">
        <v>701</v>
      </c>
      <c r="AO106" s="29"/>
      <c r="AP106" s="29"/>
      <c r="AQ106" s="113"/>
      <c r="AR106" s="115" t="s">
        <v>91</v>
      </c>
      <c r="AS106" s="113">
        <v>109</v>
      </c>
      <c r="AT106" s="113">
        <v>99</v>
      </c>
      <c r="AU106" s="113">
        <v>95</v>
      </c>
      <c r="AV106" s="113">
        <v>85</v>
      </c>
      <c r="AW106" s="113">
        <v>130</v>
      </c>
      <c r="AX106" s="113">
        <v>73</v>
      </c>
      <c r="AY106" s="113">
        <v>45</v>
      </c>
      <c r="AZ106" s="113">
        <v>86</v>
      </c>
      <c r="BA106" s="113">
        <v>104</v>
      </c>
      <c r="BB106" s="113">
        <v>123</v>
      </c>
      <c r="BC106" s="113">
        <v>145</v>
      </c>
      <c r="BD106" s="113">
        <v>75</v>
      </c>
      <c r="BE106" s="113"/>
      <c r="BF106" s="113"/>
      <c r="BG106" s="113"/>
      <c r="BH106" s="113"/>
      <c r="BI106" s="113"/>
      <c r="BJ106" s="113"/>
      <c r="BK106" s="113"/>
      <c r="BL106" s="113"/>
      <c r="BM106" s="113"/>
      <c r="BN106" s="113"/>
      <c r="BO106" s="113"/>
      <c r="BP106" s="113"/>
      <c r="BQ106" s="113"/>
      <c r="BR106" s="113"/>
      <c r="BS106" s="113"/>
      <c r="BT106" s="113"/>
      <c r="BU106" s="113"/>
      <c r="BV106" s="113"/>
      <c r="BW106" s="113"/>
      <c r="BX106" s="113"/>
      <c r="BY106" s="113"/>
      <c r="BZ106" s="113"/>
      <c r="CA106" s="113"/>
      <c r="CB106" s="113"/>
      <c r="CC106" s="113"/>
      <c r="CD106" s="113"/>
      <c r="CE106" s="113"/>
      <c r="CF106" s="113"/>
      <c r="CG106" s="113"/>
      <c r="CH106" s="113"/>
      <c r="CI106" s="113"/>
      <c r="CJ106" s="113"/>
      <c r="CK106" s="113"/>
      <c r="CL106" s="113"/>
      <c r="CM106" s="113"/>
      <c r="CN106" s="113"/>
      <c r="CO106" s="113"/>
      <c r="CP106" s="113"/>
    </row>
    <row r="107" spans="1:94" s="113" customFormat="1">
      <c r="A107" s="63" t="s">
        <v>84</v>
      </c>
      <c r="B107" s="63" t="s">
        <v>205</v>
      </c>
      <c r="C107" s="64" t="s">
        <v>206</v>
      </c>
      <c r="D107" s="65" t="s">
        <v>87</v>
      </c>
      <c r="E107" s="66" t="s">
        <v>160</v>
      </c>
      <c r="F107" s="68" t="s">
        <v>207</v>
      </c>
      <c r="G107" s="68" t="s">
        <v>170</v>
      </c>
      <c r="H107" s="69">
        <v>680.625</v>
      </c>
      <c r="I107" s="74">
        <v>70.349999999999994</v>
      </c>
      <c r="J107" s="69">
        <v>47208</v>
      </c>
      <c r="K107" s="72">
        <v>0.1</v>
      </c>
      <c r="L107" s="69">
        <f t="shared" si="304"/>
        <v>42487.199999999997</v>
      </c>
      <c r="M107" s="86">
        <f t="shared" si="305"/>
        <v>62.423801652892557</v>
      </c>
      <c r="N107" s="79">
        <v>9.89</v>
      </c>
      <c r="O107" s="79">
        <v>8.66</v>
      </c>
      <c r="P107" s="79">
        <v>6.35</v>
      </c>
      <c r="Q107" s="79">
        <v>7.74</v>
      </c>
      <c r="R107" s="79">
        <v>7.79</v>
      </c>
      <c r="S107" s="84">
        <v>8.33</v>
      </c>
      <c r="T107" s="85">
        <f t="shared" si="335"/>
        <v>8.1266666666666669</v>
      </c>
      <c r="U107" s="63"/>
      <c r="V107" s="77" t="s">
        <v>103</v>
      </c>
      <c r="W107" s="77"/>
      <c r="X107" s="78">
        <v>0.37</v>
      </c>
      <c r="Y107" s="78"/>
      <c r="Z107" s="79">
        <v>0.4</v>
      </c>
      <c r="AA107" s="80">
        <v>45782</v>
      </c>
      <c r="AB107" s="81">
        <f t="shared" si="307"/>
        <v>61.55</v>
      </c>
      <c r="AC107" s="81">
        <f t="shared" si="290"/>
        <v>22.773499999999999</v>
      </c>
      <c r="AD107" s="81">
        <f t="shared" si="306"/>
        <v>483.79112459999993</v>
      </c>
      <c r="AE107" s="81">
        <f t="shared" si="336"/>
        <v>6.8769171940298506</v>
      </c>
      <c r="AF107" s="167">
        <f t="shared" si="337"/>
        <v>-0.21129857536042945</v>
      </c>
      <c r="AG107" s="264"/>
      <c r="AH107" s="264">
        <f t="shared" si="288"/>
        <v>0</v>
      </c>
      <c r="AI107" s="77"/>
      <c r="AJ107" s="79">
        <f t="shared" si="312"/>
        <v>483.79112459999993</v>
      </c>
      <c r="AK107" s="82">
        <f t="shared" si="313"/>
        <v>6.8769171940298506</v>
      </c>
      <c r="AL107" s="82"/>
      <c r="AM107" s="82">
        <f t="shared" si="314"/>
        <v>51.240374999999993</v>
      </c>
      <c r="AN107" s="82" t="s">
        <v>701</v>
      </c>
      <c r="AO107" s="82">
        <f>8*I107</f>
        <v>562.79999999999995</v>
      </c>
      <c r="AP107" s="82">
        <f>AD107-AO107</f>
        <v>-79.008875400000022</v>
      </c>
      <c r="AQ107" s="63"/>
      <c r="AR107" s="77" t="s">
        <v>91</v>
      </c>
      <c r="AS107" s="63">
        <v>45</v>
      </c>
      <c r="AT107" s="63">
        <v>46</v>
      </c>
      <c r="AU107" s="63">
        <v>32</v>
      </c>
      <c r="AV107" s="63">
        <v>39</v>
      </c>
      <c r="AW107" s="63">
        <v>63</v>
      </c>
      <c r="AX107" s="63">
        <v>59</v>
      </c>
      <c r="AY107" s="63">
        <v>72</v>
      </c>
      <c r="AZ107" s="63">
        <v>59</v>
      </c>
      <c r="BA107" s="63">
        <v>88</v>
      </c>
      <c r="BB107" s="63">
        <v>59</v>
      </c>
      <c r="BC107" s="63">
        <v>86</v>
      </c>
      <c r="BD107" s="63">
        <v>62</v>
      </c>
      <c r="BE107" s="63">
        <v>46</v>
      </c>
      <c r="BF107" s="63">
        <v>69</v>
      </c>
      <c r="BG107" s="63">
        <v>53</v>
      </c>
      <c r="BH107" s="63">
        <v>63</v>
      </c>
      <c r="BI107" s="63">
        <v>77</v>
      </c>
      <c r="BJ107" s="63">
        <v>80</v>
      </c>
      <c r="BK107" s="63">
        <v>67</v>
      </c>
      <c r="BL107" s="63">
        <v>66</v>
      </c>
      <c r="BM107" s="63"/>
      <c r="BN107" s="63"/>
      <c r="BO107" s="63"/>
      <c r="BP107" s="63"/>
      <c r="BQ107" s="63"/>
      <c r="BR107" s="63"/>
      <c r="BS107" s="63"/>
      <c r="BT107" s="63"/>
      <c r="BU107" s="63"/>
      <c r="BV107" s="63"/>
      <c r="BW107" s="63"/>
      <c r="BX107" s="63"/>
      <c r="BY107" s="63"/>
      <c r="BZ107" s="63"/>
      <c r="CA107" s="63"/>
      <c r="CB107" s="63"/>
      <c r="CC107" s="63"/>
      <c r="CD107" s="63"/>
      <c r="CE107" s="63"/>
      <c r="CF107" s="63"/>
      <c r="CG107" s="63"/>
      <c r="CH107" s="63"/>
      <c r="CI107" s="63"/>
      <c r="CJ107" s="63"/>
      <c r="CK107" s="63"/>
      <c r="CL107" s="63"/>
      <c r="CM107" s="63"/>
      <c r="CN107" s="63"/>
      <c r="CO107" s="63"/>
      <c r="CP107" s="63"/>
    </row>
    <row r="108" spans="1:94" s="113" customFormat="1">
      <c r="A108" s="63" t="s">
        <v>84</v>
      </c>
      <c r="B108" s="63" t="s">
        <v>205</v>
      </c>
      <c r="C108" s="64" t="s">
        <v>206</v>
      </c>
      <c r="D108" s="65" t="s">
        <v>87</v>
      </c>
      <c r="E108" s="66" t="s">
        <v>160</v>
      </c>
      <c r="F108" s="68" t="s">
        <v>207</v>
      </c>
      <c r="G108" s="68" t="s">
        <v>170</v>
      </c>
      <c r="H108" s="69">
        <v>680.625</v>
      </c>
      <c r="I108" s="74">
        <v>70.349999999999994</v>
      </c>
      <c r="J108" s="69">
        <v>47208</v>
      </c>
      <c r="K108" s="72">
        <v>0.1</v>
      </c>
      <c r="L108" s="69">
        <f t="shared" si="304"/>
        <v>42487.199999999997</v>
      </c>
      <c r="M108" s="86">
        <f t="shared" si="305"/>
        <v>62.423801652892557</v>
      </c>
      <c r="N108" s="79">
        <v>9.89</v>
      </c>
      <c r="O108" s="79">
        <v>8.66</v>
      </c>
      <c r="P108" s="79">
        <v>6.35</v>
      </c>
      <c r="Q108" s="79">
        <v>7.74</v>
      </c>
      <c r="R108" s="79">
        <v>7.79</v>
      </c>
      <c r="S108" s="84">
        <v>8.33</v>
      </c>
      <c r="T108" s="85">
        <f t="shared" si="335"/>
        <v>8.1266666666666669</v>
      </c>
      <c r="U108" s="63"/>
      <c r="V108" s="77" t="s">
        <v>103</v>
      </c>
      <c r="W108" s="77"/>
      <c r="X108" s="78">
        <v>0.37</v>
      </c>
      <c r="Y108" s="78"/>
      <c r="Z108" s="79">
        <v>0.4</v>
      </c>
      <c r="AA108" s="80">
        <v>45821</v>
      </c>
      <c r="AB108" s="81">
        <f t="shared" si="307"/>
        <v>58.625</v>
      </c>
      <c r="AC108" s="81">
        <f t="shared" si="290"/>
        <v>21.69125</v>
      </c>
      <c r="AD108" s="81">
        <f t="shared" si="306"/>
        <v>460.80023849999998</v>
      </c>
      <c r="AE108" s="81">
        <f t="shared" si="336"/>
        <v>6.5501100000000001</v>
      </c>
      <c r="AF108" s="167">
        <f t="shared" si="337"/>
        <v>-0.27173436781977706</v>
      </c>
      <c r="AG108" s="264"/>
      <c r="AH108" s="264">
        <f t="shared" si="288"/>
        <v>0</v>
      </c>
      <c r="AI108" s="77"/>
      <c r="AJ108" s="79">
        <f t="shared" si="312"/>
        <v>460.80023849999998</v>
      </c>
      <c r="AK108" s="82">
        <f t="shared" si="313"/>
        <v>6.5501100000000001</v>
      </c>
      <c r="AL108" s="82"/>
      <c r="AM108" s="82">
        <f t="shared" si="314"/>
        <v>48.805312499999999</v>
      </c>
      <c r="AN108" s="82" t="s">
        <v>701</v>
      </c>
      <c r="AO108" s="82">
        <f>8*I108</f>
        <v>562.79999999999995</v>
      </c>
      <c r="AP108" s="82">
        <f>AD108-AO108</f>
        <v>-101.99976149999998</v>
      </c>
      <c r="AQ108" s="63"/>
      <c r="AR108" s="77" t="s">
        <v>116</v>
      </c>
      <c r="AS108" s="63">
        <v>64</v>
      </c>
      <c r="AT108" s="63">
        <v>49</v>
      </c>
      <c r="AU108" s="63">
        <v>68</v>
      </c>
      <c r="AV108" s="63">
        <v>50</v>
      </c>
      <c r="AW108" s="63">
        <v>79</v>
      </c>
      <c r="AX108" s="63">
        <v>65</v>
      </c>
      <c r="AY108" s="63">
        <v>50</v>
      </c>
      <c r="AZ108" s="63">
        <v>53</v>
      </c>
      <c r="BA108" s="63">
        <v>47</v>
      </c>
      <c r="BB108" s="63">
        <v>55</v>
      </c>
      <c r="BC108" s="63">
        <v>50</v>
      </c>
      <c r="BD108" s="63">
        <v>53</v>
      </c>
      <c r="BE108" s="63">
        <v>62</v>
      </c>
      <c r="BF108" s="63">
        <v>51</v>
      </c>
      <c r="BG108" s="63">
        <v>69</v>
      </c>
      <c r="BH108" s="63">
        <v>73</v>
      </c>
      <c r="BI108" s="63"/>
      <c r="BJ108" s="63"/>
      <c r="BK108" s="63"/>
      <c r="BL108" s="63"/>
      <c r="BM108" s="63"/>
      <c r="BN108" s="63"/>
      <c r="BO108" s="63"/>
      <c r="BP108" s="63"/>
      <c r="BQ108" s="63"/>
      <c r="BR108" s="63"/>
      <c r="BS108" s="63"/>
      <c r="BT108" s="63"/>
      <c r="BU108" s="63"/>
      <c r="BV108" s="63"/>
      <c r="BW108" s="63"/>
      <c r="BX108" s="63"/>
      <c r="BY108" s="63"/>
      <c r="BZ108" s="63"/>
      <c r="CA108" s="63"/>
      <c r="CB108" s="63"/>
      <c r="CC108" s="63"/>
      <c r="CD108" s="63"/>
      <c r="CE108" s="63"/>
      <c r="CF108" s="63"/>
      <c r="CG108" s="63"/>
      <c r="CH108" s="63"/>
      <c r="CI108" s="63"/>
      <c r="CJ108" s="63"/>
      <c r="CK108" s="63"/>
      <c r="CL108" s="63"/>
      <c r="CM108" s="63"/>
      <c r="CN108" s="63"/>
      <c r="CO108" s="63"/>
      <c r="CP108" s="63"/>
    </row>
    <row r="109" spans="1:94" s="113" customFormat="1">
      <c r="A109" s="63" t="s">
        <v>84</v>
      </c>
      <c r="B109" s="63" t="s">
        <v>205</v>
      </c>
      <c r="C109" s="64" t="s">
        <v>206</v>
      </c>
      <c r="D109" s="65" t="s">
        <v>87</v>
      </c>
      <c r="E109" s="66" t="s">
        <v>160</v>
      </c>
      <c r="F109" s="68" t="s">
        <v>207</v>
      </c>
      <c r="G109" s="68" t="s">
        <v>170</v>
      </c>
      <c r="H109" s="69">
        <v>680.625</v>
      </c>
      <c r="I109" s="74">
        <v>70.349999999999994</v>
      </c>
      <c r="J109" s="69">
        <v>47208</v>
      </c>
      <c r="K109" s="72">
        <v>0.1</v>
      </c>
      <c r="L109" s="69">
        <f t="shared" si="304"/>
        <v>42487.199999999997</v>
      </c>
      <c r="M109" s="86">
        <f t="shared" si="305"/>
        <v>62.423801652892557</v>
      </c>
      <c r="N109" s="79">
        <v>9.89</v>
      </c>
      <c r="O109" s="79">
        <v>8.66</v>
      </c>
      <c r="P109" s="79">
        <v>6.35</v>
      </c>
      <c r="Q109" s="79">
        <v>7.74</v>
      </c>
      <c r="R109" s="79">
        <v>7.79</v>
      </c>
      <c r="S109" s="84">
        <v>8.33</v>
      </c>
      <c r="T109" s="85">
        <f t="shared" si="335"/>
        <v>8.1266666666666669</v>
      </c>
      <c r="U109" s="63"/>
      <c r="V109" s="77" t="s">
        <v>103</v>
      </c>
      <c r="W109" s="77"/>
      <c r="X109" s="78">
        <v>0.37</v>
      </c>
      <c r="Y109" s="78"/>
      <c r="Z109" s="79">
        <v>0.4</v>
      </c>
      <c r="AA109" s="80">
        <v>45831</v>
      </c>
      <c r="AB109" s="81">
        <f t="shared" si="307"/>
        <v>54.083333333333336</v>
      </c>
      <c r="AC109" s="81">
        <f t="shared" si="290"/>
        <v>20.010833333333334</v>
      </c>
      <c r="AD109" s="81">
        <f t="shared" si="306"/>
        <v>425.10213899999997</v>
      </c>
      <c r="AE109" s="81">
        <f t="shared" si="336"/>
        <v>6.0426743283582089</v>
      </c>
      <c r="AF109" s="167">
        <f t="shared" si="337"/>
        <v>-0.37852870225148411</v>
      </c>
      <c r="AG109" s="264"/>
      <c r="AH109" s="264">
        <f t="shared" si="288"/>
        <v>0</v>
      </c>
      <c r="AI109" s="77"/>
      <c r="AJ109" s="79">
        <f t="shared" si="312"/>
        <v>425.10213899999997</v>
      </c>
      <c r="AK109" s="82">
        <f t="shared" si="313"/>
        <v>6.0426743283582089</v>
      </c>
      <c r="AL109" s="82"/>
      <c r="AM109" s="82">
        <f t="shared" si="314"/>
        <v>45.024374999999999</v>
      </c>
      <c r="AN109" s="82" t="s">
        <v>701</v>
      </c>
      <c r="AO109" s="82">
        <f>8*I109</f>
        <v>562.79999999999995</v>
      </c>
      <c r="AP109" s="82">
        <f>AD109-AO109</f>
        <v>-137.69786099999999</v>
      </c>
      <c r="AQ109" s="63"/>
      <c r="AR109" s="77" t="s">
        <v>91</v>
      </c>
      <c r="AS109" s="63">
        <v>52</v>
      </c>
      <c r="AT109" s="63">
        <v>62</v>
      </c>
      <c r="AU109" s="63">
        <v>52</v>
      </c>
      <c r="AV109" s="63">
        <v>82</v>
      </c>
      <c r="AW109" s="63">
        <v>73</v>
      </c>
      <c r="AX109" s="63">
        <v>48</v>
      </c>
      <c r="AY109" s="63">
        <v>30</v>
      </c>
      <c r="AZ109" s="63">
        <v>71</v>
      </c>
      <c r="BA109" s="63">
        <v>52</v>
      </c>
      <c r="BB109" s="63">
        <v>39</v>
      </c>
      <c r="BC109" s="63">
        <v>44</v>
      </c>
      <c r="BD109" s="63">
        <v>44</v>
      </c>
      <c r="BE109" s="63"/>
      <c r="BF109" s="63"/>
      <c r="BG109" s="63"/>
      <c r="BH109" s="63"/>
      <c r="BI109" s="63"/>
      <c r="BJ109" s="63"/>
      <c r="BK109" s="63"/>
      <c r="BL109" s="63"/>
      <c r="BM109" s="63"/>
      <c r="BN109" s="63"/>
      <c r="BO109" s="63"/>
      <c r="BP109" s="63"/>
      <c r="BQ109" s="63"/>
      <c r="BR109" s="63"/>
      <c r="BS109" s="63"/>
      <c r="BT109" s="63"/>
      <c r="BU109" s="63"/>
      <c r="BV109" s="63"/>
      <c r="BW109" s="63"/>
      <c r="BX109" s="63"/>
      <c r="BY109" s="63"/>
      <c r="BZ109" s="63"/>
      <c r="CA109" s="63"/>
      <c r="CB109" s="63"/>
      <c r="CC109" s="63"/>
      <c r="CD109" s="63"/>
      <c r="CE109" s="63"/>
      <c r="CF109" s="63"/>
      <c r="CG109" s="63"/>
      <c r="CH109" s="63"/>
      <c r="CI109" s="63"/>
      <c r="CJ109" s="63"/>
      <c r="CK109" s="63"/>
      <c r="CL109" s="63"/>
      <c r="CM109" s="63"/>
      <c r="CN109" s="63"/>
      <c r="CO109" s="63"/>
      <c r="CP109" s="63"/>
    </row>
    <row r="110" spans="1:94" s="63" customFormat="1">
      <c r="A110" s="113" t="s">
        <v>84</v>
      </c>
      <c r="B110" s="113" t="s">
        <v>731</v>
      </c>
      <c r="C110" s="114" t="s">
        <v>732</v>
      </c>
      <c r="D110" s="128" t="s">
        <v>87</v>
      </c>
      <c r="E110" s="127" t="s">
        <v>160</v>
      </c>
      <c r="F110" s="126">
        <v>4</v>
      </c>
      <c r="G110" s="126" t="s">
        <v>145</v>
      </c>
      <c r="H110" s="123">
        <v>622.28571428571433</v>
      </c>
      <c r="I110" s="125">
        <v>32.03</v>
      </c>
      <c r="J110" s="123">
        <v>19702</v>
      </c>
      <c r="K110" s="124">
        <v>0.02</v>
      </c>
      <c r="L110" s="123">
        <f t="shared" si="304"/>
        <v>19307.96</v>
      </c>
      <c r="M110" s="122">
        <f t="shared" si="305"/>
        <v>31.027483930211201</v>
      </c>
      <c r="N110" s="118">
        <v>8.7899999999999991</v>
      </c>
      <c r="O110" s="118">
        <v>5.21</v>
      </c>
      <c r="P110" s="118">
        <v>7.53</v>
      </c>
      <c r="Q110" s="118">
        <v>9.25</v>
      </c>
      <c r="R110" s="118">
        <v>8.1199999999999992</v>
      </c>
      <c r="S110" s="153">
        <v>6.37</v>
      </c>
      <c r="T110" s="121">
        <f t="shared" si="335"/>
        <v>7.544999999999999</v>
      </c>
      <c r="U110" s="113"/>
      <c r="V110" s="115" t="s">
        <v>103</v>
      </c>
      <c r="W110" s="115"/>
      <c r="X110" s="120">
        <v>0.31</v>
      </c>
      <c r="Y110" s="120"/>
      <c r="Z110" s="118">
        <v>0.4</v>
      </c>
      <c r="AA110" s="119">
        <v>45782</v>
      </c>
      <c r="AB110" s="117">
        <f t="shared" si="307"/>
        <v>67.3125</v>
      </c>
      <c r="AC110" s="117">
        <f t="shared" si="290"/>
        <v>20.866875</v>
      </c>
      <c r="AD110" s="117">
        <f t="shared" si="306"/>
        <v>201.44839391249999</v>
      </c>
      <c r="AE110" s="117">
        <f t="shared" si="336"/>
        <v>6.2893660291133306</v>
      </c>
      <c r="AF110" s="170">
        <f t="shared" si="337"/>
        <v>-1.2820683438269719E-2</v>
      </c>
      <c r="AG110" s="265"/>
      <c r="AH110" s="265">
        <f t="shared" si="288"/>
        <v>0</v>
      </c>
      <c r="AI110" s="115"/>
      <c r="AJ110" s="118">
        <f t="shared" si="312"/>
        <v>201.44839391249999</v>
      </c>
      <c r="AK110" s="116">
        <f t="shared" si="313"/>
        <v>6.2893660291133306</v>
      </c>
      <c r="AL110" s="116"/>
      <c r="AM110" s="116">
        <f t="shared" si="314"/>
        <v>51.123843749999999</v>
      </c>
      <c r="AN110" s="116"/>
      <c r="AO110" s="116"/>
      <c r="AP110" s="116"/>
      <c r="AQ110" s="113"/>
      <c r="AR110" s="115" t="s">
        <v>91</v>
      </c>
      <c r="AS110" s="113">
        <v>74</v>
      </c>
      <c r="AT110" s="113">
        <v>63</v>
      </c>
      <c r="AU110" s="113">
        <v>86</v>
      </c>
      <c r="AV110" s="113">
        <v>80</v>
      </c>
      <c r="AW110" s="113">
        <v>56</v>
      </c>
      <c r="AX110" s="113">
        <v>79</v>
      </c>
      <c r="AY110" s="113">
        <v>68</v>
      </c>
      <c r="AZ110" s="113">
        <v>46</v>
      </c>
      <c r="BA110" s="113">
        <v>99</v>
      </c>
      <c r="BB110" s="113">
        <v>54</v>
      </c>
      <c r="BC110" s="113">
        <v>64</v>
      </c>
      <c r="BD110" s="113">
        <v>59</v>
      </c>
      <c r="BE110" s="113">
        <v>63</v>
      </c>
      <c r="BF110" s="113">
        <v>73</v>
      </c>
      <c r="BG110" s="113">
        <v>63</v>
      </c>
      <c r="BH110" s="113">
        <v>50</v>
      </c>
      <c r="BI110" s="113"/>
      <c r="BJ110" s="113"/>
      <c r="BK110" s="113"/>
      <c r="BL110" s="113"/>
      <c r="BM110" s="113"/>
      <c r="BN110" s="113"/>
      <c r="BO110" s="113"/>
      <c r="BP110" s="113"/>
      <c r="BQ110" s="113"/>
      <c r="BR110" s="113"/>
      <c r="BS110" s="113"/>
      <c r="BT110" s="113"/>
      <c r="BU110" s="113"/>
      <c r="BV110" s="113"/>
      <c r="BW110" s="113"/>
      <c r="BX110" s="113"/>
      <c r="BY110" s="113"/>
      <c r="BZ110" s="113"/>
      <c r="CA110" s="113"/>
      <c r="CB110" s="113"/>
      <c r="CC110" s="113"/>
      <c r="CD110" s="113"/>
      <c r="CE110" s="113"/>
      <c r="CF110" s="113"/>
      <c r="CG110" s="113"/>
      <c r="CH110" s="113"/>
      <c r="CI110" s="113"/>
      <c r="CJ110" s="113"/>
      <c r="CK110" s="113"/>
      <c r="CL110" s="113"/>
      <c r="CM110" s="113"/>
      <c r="CN110" s="113"/>
      <c r="CO110" s="113"/>
      <c r="CP110" s="113"/>
    </row>
    <row r="111" spans="1:94" s="113" customFormat="1">
      <c r="A111" s="63" t="s">
        <v>84</v>
      </c>
      <c r="B111" s="63" t="s">
        <v>209</v>
      </c>
      <c r="C111" s="64" t="s">
        <v>210</v>
      </c>
      <c r="D111" s="65" t="s">
        <v>87</v>
      </c>
      <c r="E111" s="66" t="s">
        <v>160</v>
      </c>
      <c r="F111" s="68">
        <v>4</v>
      </c>
      <c r="G111" s="68" t="s">
        <v>145</v>
      </c>
      <c r="H111" s="69">
        <v>622.28571428571433</v>
      </c>
      <c r="I111" s="74">
        <v>26.24</v>
      </c>
      <c r="J111" s="69">
        <v>15945</v>
      </c>
      <c r="K111" s="72">
        <v>0.01</v>
      </c>
      <c r="L111" s="69">
        <f t="shared" si="304"/>
        <v>15785.55</v>
      </c>
      <c r="M111" s="86">
        <f t="shared" si="305"/>
        <v>25.367045454545451</v>
      </c>
      <c r="N111" s="79">
        <v>8.81</v>
      </c>
      <c r="O111" s="79">
        <v>7.11</v>
      </c>
      <c r="P111" s="79">
        <v>7.55</v>
      </c>
      <c r="Q111" s="79">
        <v>9.15</v>
      </c>
      <c r="R111" s="79">
        <v>7.57</v>
      </c>
      <c r="S111" s="84">
        <v>6.45</v>
      </c>
      <c r="T111" s="85">
        <f t="shared" si="335"/>
        <v>7.7733333333333343</v>
      </c>
      <c r="U111" s="63"/>
      <c r="V111" s="77" t="s">
        <v>103</v>
      </c>
      <c r="W111" s="77"/>
      <c r="X111" s="78">
        <v>0.31</v>
      </c>
      <c r="Y111" s="78"/>
      <c r="Z111" s="79">
        <v>0.4</v>
      </c>
      <c r="AA111" s="80">
        <v>45792</v>
      </c>
      <c r="AB111" s="81">
        <f t="shared" si="307"/>
        <v>60.4</v>
      </c>
      <c r="AC111" s="81">
        <f t="shared" si="290"/>
        <v>18.724</v>
      </c>
      <c r="AD111" s="81">
        <f t="shared" si="306"/>
        <v>147.7843191</v>
      </c>
      <c r="AE111" s="81">
        <f t="shared" si="336"/>
        <v>5.6320243559451226</v>
      </c>
      <c r="AF111" s="167">
        <f t="shared" si="337"/>
        <v>-0.14523652462394424</v>
      </c>
      <c r="AG111" s="264"/>
      <c r="AH111" s="264">
        <f t="shared" si="288"/>
        <v>0</v>
      </c>
      <c r="AI111" s="77"/>
      <c r="AJ111" s="79">
        <f t="shared" si="312"/>
        <v>147.7843191</v>
      </c>
      <c r="AK111" s="82">
        <f t="shared" si="313"/>
        <v>5.6320243559451226</v>
      </c>
      <c r="AL111" s="82"/>
      <c r="AM111" s="82">
        <f t="shared" si="314"/>
        <v>46.341899999999995</v>
      </c>
      <c r="AN111" s="82"/>
      <c r="AO111" s="82"/>
      <c r="AP111" s="82"/>
      <c r="AQ111" s="63"/>
      <c r="AR111" s="77"/>
      <c r="AS111" s="63">
        <v>54</v>
      </c>
      <c r="AT111" s="63">
        <v>60</v>
      </c>
      <c r="AU111" s="63">
        <v>59</v>
      </c>
      <c r="AV111" s="63">
        <v>31</v>
      </c>
      <c r="AW111" s="63">
        <v>49</v>
      </c>
      <c r="AX111" s="63">
        <v>38</v>
      </c>
      <c r="AY111" s="63">
        <v>55</v>
      </c>
      <c r="AZ111" s="63">
        <v>64</v>
      </c>
      <c r="BA111" s="63">
        <v>60</v>
      </c>
      <c r="BB111" s="63">
        <v>62</v>
      </c>
      <c r="BC111" s="63">
        <v>59</v>
      </c>
      <c r="BD111" s="63">
        <v>68</v>
      </c>
      <c r="BE111" s="63">
        <v>69</v>
      </c>
      <c r="BF111" s="63">
        <v>70</v>
      </c>
      <c r="BG111" s="63">
        <v>65</v>
      </c>
      <c r="BH111" s="63">
        <v>71</v>
      </c>
      <c r="BI111" s="63">
        <v>73</v>
      </c>
      <c r="BJ111" s="63">
        <v>65</v>
      </c>
      <c r="BK111" s="63">
        <v>69</v>
      </c>
      <c r="BL111" s="63">
        <v>67</v>
      </c>
      <c r="BM111" s="63"/>
      <c r="BN111" s="63"/>
      <c r="BO111" s="63"/>
      <c r="BP111" s="63"/>
      <c r="BQ111" s="63"/>
      <c r="BR111" s="63"/>
      <c r="BS111" s="63"/>
      <c r="BT111" s="63"/>
      <c r="BU111" s="63"/>
      <c r="BV111" s="63"/>
      <c r="BW111" s="63"/>
      <c r="BX111" s="63"/>
      <c r="BY111" s="63"/>
      <c r="BZ111" s="63"/>
      <c r="CA111" s="63"/>
      <c r="CB111" s="63"/>
      <c r="CC111" s="63"/>
      <c r="CD111" s="63"/>
      <c r="CE111" s="63"/>
      <c r="CF111" s="63"/>
      <c r="CG111" s="63"/>
      <c r="CH111" s="63"/>
      <c r="CI111" s="63"/>
      <c r="CJ111" s="63"/>
      <c r="CK111" s="63"/>
      <c r="CL111" s="63"/>
      <c r="CM111" s="63"/>
      <c r="CN111" s="63"/>
      <c r="CO111" s="63"/>
      <c r="CP111" s="63"/>
    </row>
    <row r="112" spans="1:94" s="63" customFormat="1">
      <c r="A112" s="63" t="s">
        <v>84</v>
      </c>
      <c r="B112" s="63" t="s">
        <v>733</v>
      </c>
      <c r="C112" s="64" t="s">
        <v>734</v>
      </c>
      <c r="D112" s="65" t="s">
        <v>87</v>
      </c>
      <c r="E112" s="66" t="s">
        <v>160</v>
      </c>
      <c r="F112" s="68">
        <v>4</v>
      </c>
      <c r="G112" s="68" t="s">
        <v>145</v>
      </c>
      <c r="H112" s="69">
        <v>622.28571428571433</v>
      </c>
      <c r="I112" s="74">
        <v>26.79</v>
      </c>
      <c r="J112" s="69">
        <v>16618</v>
      </c>
      <c r="K112" s="72">
        <v>0.01</v>
      </c>
      <c r="L112" s="69">
        <f t="shared" si="304"/>
        <v>16451.82</v>
      </c>
      <c r="M112" s="86">
        <f t="shared" si="305"/>
        <v>26.437727272727269</v>
      </c>
      <c r="N112" s="79">
        <v>9.44</v>
      </c>
      <c r="O112" s="79">
        <v>7.81</v>
      </c>
      <c r="P112" s="79">
        <v>7.73</v>
      </c>
      <c r="Q112" s="79">
        <v>8.8000000000000007</v>
      </c>
      <c r="R112" s="79">
        <v>7.61</v>
      </c>
      <c r="S112" s="84">
        <v>6</v>
      </c>
      <c r="T112" s="85">
        <f t="shared" si="335"/>
        <v>7.8983333333333334</v>
      </c>
      <c r="V112" s="77" t="s">
        <v>103</v>
      </c>
      <c r="W112" s="77"/>
      <c r="X112" s="78">
        <v>0.31</v>
      </c>
      <c r="Y112" s="78"/>
      <c r="Z112" s="79">
        <v>0.4</v>
      </c>
      <c r="AA112" s="80">
        <v>45792</v>
      </c>
      <c r="AB112" s="81">
        <f t="shared" si="307"/>
        <v>53.8</v>
      </c>
      <c r="AC112" s="81">
        <f t="shared" si="290"/>
        <v>16.677999999999997</v>
      </c>
      <c r="AD112" s="81">
        <f t="shared" si="306"/>
        <v>137.19172697999997</v>
      </c>
      <c r="AE112" s="81">
        <f t="shared" si="336"/>
        <v>5.1210051131019023</v>
      </c>
      <c r="AF112" s="167">
        <f t="shared" si="337"/>
        <v>-0.17164499302084696</v>
      </c>
      <c r="AG112" s="264"/>
      <c r="AH112" s="264">
        <f t="shared" si="288"/>
        <v>0</v>
      </c>
      <c r="AI112" s="77"/>
      <c r="AJ112" s="79">
        <f t="shared" si="312"/>
        <v>137.19172697999997</v>
      </c>
      <c r="AK112" s="82">
        <f t="shared" si="313"/>
        <v>5.1210051131019023</v>
      </c>
      <c r="AL112" s="82"/>
      <c r="AM112" s="82">
        <f t="shared" si="314"/>
        <v>41.278049999999993</v>
      </c>
      <c r="AN112" s="82"/>
      <c r="AO112" s="82"/>
      <c r="AP112" s="82"/>
      <c r="AR112" s="77"/>
      <c r="AS112" s="63">
        <v>52</v>
      </c>
      <c r="AT112" s="63">
        <v>58</v>
      </c>
      <c r="AU112" s="63">
        <v>60</v>
      </c>
      <c r="AV112" s="63">
        <v>55</v>
      </c>
      <c r="AW112" s="63">
        <v>43</v>
      </c>
      <c r="AX112" s="63">
        <v>64</v>
      </c>
      <c r="AY112" s="63">
        <v>59</v>
      </c>
      <c r="AZ112" s="63">
        <v>53</v>
      </c>
      <c r="BA112" s="63">
        <v>60</v>
      </c>
      <c r="BB112" s="63">
        <v>57</v>
      </c>
      <c r="BC112" s="63">
        <v>66</v>
      </c>
      <c r="BD112" s="63">
        <v>39</v>
      </c>
      <c r="BE112" s="63">
        <v>43</v>
      </c>
      <c r="BF112" s="63">
        <v>35</v>
      </c>
      <c r="BG112" s="63">
        <v>49</v>
      </c>
      <c r="BH112" s="63">
        <v>50</v>
      </c>
      <c r="BI112" s="63">
        <v>59</v>
      </c>
      <c r="BJ112" s="63">
        <v>62</v>
      </c>
      <c r="BK112" s="63">
        <v>54</v>
      </c>
      <c r="BL112" s="63">
        <v>58</v>
      </c>
    </row>
    <row r="113" spans="1:94" s="63" customFormat="1">
      <c r="A113" s="113" t="s">
        <v>84</v>
      </c>
      <c r="B113" s="113" t="s">
        <v>211</v>
      </c>
      <c r="C113" s="114" t="s">
        <v>212</v>
      </c>
      <c r="D113" s="128" t="s">
        <v>87</v>
      </c>
      <c r="E113" s="127" t="s">
        <v>129</v>
      </c>
      <c r="F113" s="126">
        <v>3</v>
      </c>
      <c r="G113" s="126" t="s">
        <v>163</v>
      </c>
      <c r="H113" s="123">
        <v>622.28571428571433</v>
      </c>
      <c r="I113" s="125">
        <v>29.27</v>
      </c>
      <c r="J113" s="123">
        <v>17569</v>
      </c>
      <c r="K113" s="124"/>
      <c r="L113" s="123">
        <f t="shared" si="304"/>
        <v>17569</v>
      </c>
      <c r="M113" s="122">
        <f t="shared" si="305"/>
        <v>28.233011937557389</v>
      </c>
      <c r="N113" s="118">
        <v>6.76</v>
      </c>
      <c r="O113" s="118">
        <v>7.35</v>
      </c>
      <c r="P113" s="118">
        <v>6.87</v>
      </c>
      <c r="Q113" s="118">
        <v>7.92</v>
      </c>
      <c r="R113" s="118">
        <v>7.36</v>
      </c>
      <c r="S113" s="153">
        <v>7.25</v>
      </c>
      <c r="T113" s="121">
        <f t="shared" si="335"/>
        <v>7.251666666666666</v>
      </c>
      <c r="U113" s="113" t="s">
        <v>101</v>
      </c>
      <c r="V113" s="115" t="s">
        <v>214</v>
      </c>
      <c r="W113" s="115"/>
      <c r="X113" s="120">
        <v>0.38</v>
      </c>
      <c r="Y113" s="120"/>
      <c r="Z113" s="118">
        <v>0.45</v>
      </c>
      <c r="AA113" s="119">
        <v>45776</v>
      </c>
      <c r="AB113" s="117">
        <f t="shared" si="307"/>
        <v>54.75</v>
      </c>
      <c r="AC113" s="117">
        <f t="shared" si="290"/>
        <v>20.805</v>
      </c>
      <c r="AD113" s="117">
        <f t="shared" si="306"/>
        <v>182.76152249999998</v>
      </c>
      <c r="AE113" s="117">
        <f t="shared" si="336"/>
        <v>6.243987786129142</v>
      </c>
      <c r="AF113" s="170">
        <f t="shared" si="337"/>
        <v>-0.16111694134086685</v>
      </c>
      <c r="AG113" s="265">
        <v>7</v>
      </c>
      <c r="AH113" s="265">
        <f t="shared" si="288"/>
        <v>0.41091697380613934</v>
      </c>
      <c r="AI113" s="115">
        <v>8.5</v>
      </c>
      <c r="AJ113" s="118">
        <f t="shared" si="312"/>
        <v>-66.033477500000004</v>
      </c>
      <c r="AK113" s="116">
        <f t="shared" si="313"/>
        <v>-2.2560122138708576</v>
      </c>
      <c r="AL113" s="116">
        <f>(((AI113*M113)*2000)/L113)/Z113</f>
        <v>60.708091011121297</v>
      </c>
      <c r="AM113" s="116">
        <f t="shared" si="314"/>
        <v>-16.704543356037469</v>
      </c>
      <c r="AN113" s="116" t="s">
        <v>701</v>
      </c>
      <c r="AO113" s="116"/>
      <c r="AP113" s="116"/>
      <c r="AQ113" s="113"/>
      <c r="AR113" s="115" t="s">
        <v>92</v>
      </c>
      <c r="AS113" s="113">
        <v>53</v>
      </c>
      <c r="AT113" s="113">
        <v>66</v>
      </c>
      <c r="AU113" s="113">
        <v>57</v>
      </c>
      <c r="AV113" s="113">
        <v>67</v>
      </c>
      <c r="AW113" s="113">
        <v>42</v>
      </c>
      <c r="AX113" s="113">
        <v>50</v>
      </c>
      <c r="AY113" s="113">
        <v>58</v>
      </c>
      <c r="AZ113" s="113">
        <v>58</v>
      </c>
      <c r="BA113" s="113">
        <v>55</v>
      </c>
      <c r="BB113" s="113">
        <v>48</v>
      </c>
      <c r="BC113" s="113">
        <v>44</v>
      </c>
      <c r="BD113" s="113">
        <v>59</v>
      </c>
      <c r="BE113" s="113"/>
      <c r="BF113" s="113"/>
      <c r="BG113" s="113"/>
      <c r="BH113" s="113"/>
      <c r="BI113" s="113"/>
      <c r="BJ113" s="113"/>
      <c r="BK113" s="113"/>
      <c r="BL113" s="113"/>
      <c r="BM113" s="113"/>
      <c r="BN113" s="113"/>
      <c r="BO113" s="113"/>
      <c r="BP113" s="113"/>
      <c r="BQ113" s="113"/>
      <c r="BR113" s="113"/>
      <c r="BS113" s="113"/>
      <c r="BT113" s="113"/>
      <c r="BU113" s="113"/>
      <c r="BV113" s="113"/>
      <c r="BW113" s="113"/>
      <c r="BX113" s="113"/>
      <c r="BY113" s="113"/>
      <c r="BZ113" s="113"/>
      <c r="CA113" s="113"/>
      <c r="CB113" s="113"/>
      <c r="CC113" s="113"/>
      <c r="CD113" s="113"/>
      <c r="CE113" s="113"/>
      <c r="CF113" s="113"/>
      <c r="CG113" s="113"/>
      <c r="CH113" s="113"/>
      <c r="CI113" s="113"/>
      <c r="CJ113" s="113"/>
      <c r="CK113" s="113"/>
      <c r="CL113" s="113"/>
      <c r="CM113" s="113"/>
      <c r="CN113" s="113"/>
      <c r="CO113" s="113"/>
      <c r="CP113" s="113"/>
    </row>
    <row r="114" spans="1:94" s="113" customFormat="1">
      <c r="A114" s="15" t="s">
        <v>84</v>
      </c>
      <c r="B114" s="15" t="s">
        <v>211</v>
      </c>
      <c r="C114" s="16" t="s">
        <v>212</v>
      </c>
      <c r="D114" s="49" t="s">
        <v>87</v>
      </c>
      <c r="E114" s="17" t="s">
        <v>129</v>
      </c>
      <c r="F114" s="18">
        <v>3</v>
      </c>
      <c r="G114" s="18" t="s">
        <v>163</v>
      </c>
      <c r="H114" s="19">
        <v>622.28571428571433</v>
      </c>
      <c r="I114" s="30">
        <v>29.27</v>
      </c>
      <c r="J114" s="19">
        <v>17569</v>
      </c>
      <c r="K114" s="22"/>
      <c r="L114" s="19">
        <f t="shared" si="304"/>
        <v>17569</v>
      </c>
      <c r="M114" s="60">
        <f t="shared" si="305"/>
        <v>28.233011937557389</v>
      </c>
      <c r="N114" s="24">
        <v>6.76</v>
      </c>
      <c r="O114" s="24">
        <v>7.35</v>
      </c>
      <c r="P114" s="24">
        <v>6.87</v>
      </c>
      <c r="Q114" s="24">
        <v>7.92</v>
      </c>
      <c r="R114" s="24">
        <v>7.36</v>
      </c>
      <c r="S114" s="57">
        <v>7.25</v>
      </c>
      <c r="T114" s="32">
        <f t="shared" si="335"/>
        <v>7.251666666666666</v>
      </c>
      <c r="U114" s="15" t="s">
        <v>735</v>
      </c>
      <c r="V114" s="25" t="s">
        <v>103</v>
      </c>
      <c r="W114" s="25"/>
      <c r="X114" s="26">
        <v>0.38</v>
      </c>
      <c r="Y114" s="26"/>
      <c r="Z114" s="24">
        <v>0.45</v>
      </c>
      <c r="AA114" s="27">
        <v>45778</v>
      </c>
      <c r="AB114" s="28">
        <f t="shared" si="307"/>
        <v>59.93181818181818</v>
      </c>
      <c r="AC114" s="28">
        <f t="shared" si="290"/>
        <v>22.774090909090908</v>
      </c>
      <c r="AD114" s="28">
        <f t="shared" si="306"/>
        <v>200.05900159090908</v>
      </c>
      <c r="AE114" s="28">
        <f t="shared" si="336"/>
        <v>6.8349505155759847</v>
      </c>
      <c r="AF114" s="171">
        <f t="shared" si="337"/>
        <v>-6.0724577811963706E-2</v>
      </c>
      <c r="AG114" s="263">
        <v>7</v>
      </c>
      <c r="AH114" s="263">
        <f t="shared" si="288"/>
        <v>0.37538831623018193</v>
      </c>
      <c r="AI114" s="25">
        <v>8.5</v>
      </c>
      <c r="AJ114" s="24">
        <f t="shared" si="312"/>
        <v>-48.735998409090911</v>
      </c>
      <c r="AK114" s="29">
        <f t="shared" si="313"/>
        <v>-1.6650494844240147</v>
      </c>
      <c r="AL114" s="29">
        <f>(((AI114*M114)*2000)/L114)/Z114</f>
        <v>60.708091011121297</v>
      </c>
      <c r="AM114" s="29">
        <f t="shared" si="314"/>
        <v>-12.32878578027989</v>
      </c>
      <c r="AN114" s="29" t="s">
        <v>701</v>
      </c>
      <c r="AO114" s="29"/>
      <c r="AP114" s="29"/>
      <c r="AQ114" s="15"/>
      <c r="AR114" s="25" t="s">
        <v>92</v>
      </c>
      <c r="AS114" s="15">
        <v>53</v>
      </c>
      <c r="AT114" s="15">
        <v>66</v>
      </c>
      <c r="AU114" s="15">
        <v>57</v>
      </c>
      <c r="AV114" s="15">
        <v>67</v>
      </c>
      <c r="AW114" s="15">
        <v>42</v>
      </c>
      <c r="AX114" s="15">
        <v>50</v>
      </c>
      <c r="AY114" s="15">
        <v>58</v>
      </c>
      <c r="AZ114" s="15">
        <v>58</v>
      </c>
      <c r="BA114" s="15">
        <v>55</v>
      </c>
      <c r="BB114" s="15">
        <v>48</v>
      </c>
      <c r="BC114" s="15">
        <v>44</v>
      </c>
      <c r="BD114" s="15">
        <v>59</v>
      </c>
      <c r="BE114" s="15">
        <v>64</v>
      </c>
      <c r="BF114" s="15">
        <v>74</v>
      </c>
      <c r="BG114" s="15">
        <v>63</v>
      </c>
      <c r="BH114" s="15">
        <v>66</v>
      </c>
      <c r="BI114" s="15">
        <v>66</v>
      </c>
      <c r="BJ114" s="15">
        <v>60</v>
      </c>
      <c r="BK114" s="15">
        <v>68</v>
      </c>
      <c r="BL114" s="15">
        <v>60</v>
      </c>
      <c r="BM114" s="15">
        <v>59</v>
      </c>
      <c r="BN114" s="15">
        <v>63</v>
      </c>
      <c r="BO114" s="15">
        <v>68</v>
      </c>
      <c r="BP114" s="15">
        <v>62</v>
      </c>
      <c r="BQ114" s="15">
        <v>64</v>
      </c>
      <c r="BR114" s="15">
        <v>66</v>
      </c>
      <c r="BS114" s="15">
        <v>64</v>
      </c>
      <c r="BT114" s="15">
        <v>48</v>
      </c>
      <c r="BU114" s="15">
        <v>55</v>
      </c>
      <c r="BV114" s="15">
        <v>65</v>
      </c>
      <c r="BW114" s="15">
        <v>72</v>
      </c>
      <c r="BX114" s="15">
        <v>58</v>
      </c>
      <c r="BY114" s="15">
        <v>72</v>
      </c>
      <c r="BZ114" s="15">
        <v>50</v>
      </c>
      <c r="CA114" s="15">
        <v>74</v>
      </c>
      <c r="CB114" s="15">
        <v>73</v>
      </c>
      <c r="CC114" s="15">
        <v>56</v>
      </c>
      <c r="CD114" s="15">
        <v>51</v>
      </c>
      <c r="CE114" s="15">
        <v>45</v>
      </c>
      <c r="CF114" s="15">
        <v>50</v>
      </c>
      <c r="CG114" s="15">
        <v>66</v>
      </c>
      <c r="CH114" s="15">
        <v>63</v>
      </c>
      <c r="CI114" s="15">
        <v>50</v>
      </c>
      <c r="CJ114" s="15">
        <v>65</v>
      </c>
      <c r="CK114" s="15"/>
      <c r="CL114" s="15"/>
      <c r="CM114" s="15"/>
      <c r="CN114" s="15"/>
      <c r="CO114" s="15"/>
      <c r="CP114" s="15"/>
    </row>
    <row r="115" spans="1:94" s="113" customFormat="1">
      <c r="A115" s="15" t="s">
        <v>84</v>
      </c>
      <c r="B115" s="15" t="s">
        <v>211</v>
      </c>
      <c r="C115" s="16" t="s">
        <v>212</v>
      </c>
      <c r="D115" s="49" t="s">
        <v>87</v>
      </c>
      <c r="E115" s="17" t="s">
        <v>129</v>
      </c>
      <c r="F115" s="18">
        <v>3</v>
      </c>
      <c r="G115" s="18" t="s">
        <v>163</v>
      </c>
      <c r="H115" s="19">
        <v>622.28571428571433</v>
      </c>
      <c r="I115" s="30">
        <v>29.27</v>
      </c>
      <c r="J115" s="19">
        <v>17569</v>
      </c>
      <c r="K115" s="22"/>
      <c r="L115" s="19">
        <f t="shared" si="304"/>
        <v>17569</v>
      </c>
      <c r="M115" s="60">
        <f t="shared" si="305"/>
        <v>28.233011937557389</v>
      </c>
      <c r="N115" s="24">
        <v>6.76</v>
      </c>
      <c r="O115" s="24">
        <v>7.35</v>
      </c>
      <c r="P115" s="24">
        <v>6.87</v>
      </c>
      <c r="Q115" s="24">
        <v>7.92</v>
      </c>
      <c r="R115" s="24">
        <v>7.36</v>
      </c>
      <c r="S115" s="57">
        <v>7.25</v>
      </c>
      <c r="T115" s="32">
        <f t="shared" si="335"/>
        <v>7.251666666666666</v>
      </c>
      <c r="U115" s="15" t="s">
        <v>735</v>
      </c>
      <c r="V115" s="25" t="s">
        <v>103</v>
      </c>
      <c r="W115" s="25"/>
      <c r="X115" s="26">
        <v>0.38</v>
      </c>
      <c r="Y115" s="26"/>
      <c r="Z115" s="24">
        <v>0.45</v>
      </c>
      <c r="AA115" s="27">
        <v>45820</v>
      </c>
      <c r="AB115" s="28">
        <f t="shared" si="307"/>
        <v>75.083333333333329</v>
      </c>
      <c r="AC115" s="28">
        <f t="shared" si="290"/>
        <v>28.531666666666666</v>
      </c>
      <c r="AD115" s="28">
        <f t="shared" si="306"/>
        <v>250.63642583333333</v>
      </c>
      <c r="AE115" s="28">
        <f t="shared" si="336"/>
        <v>8.562911712788976</v>
      </c>
      <c r="AF115" s="171">
        <f t="shared" si="337"/>
        <v>0.15332538239628249</v>
      </c>
      <c r="AG115" s="263">
        <v>7</v>
      </c>
      <c r="AH115" s="263">
        <f t="shared" si="288"/>
        <v>0.29963646147684081</v>
      </c>
      <c r="AI115" s="25">
        <v>8.5</v>
      </c>
      <c r="AJ115" s="24">
        <f t="shared" si="312"/>
        <v>1.8414258333333464</v>
      </c>
      <c r="AK115" s="29">
        <f t="shared" si="313"/>
        <v>6.2911712788976643E-2</v>
      </c>
      <c r="AL115" s="29">
        <f>(((AI115*M115)*2000)/L115)/Z115</f>
        <v>60.708091011121297</v>
      </c>
      <c r="AM115" s="29">
        <f t="shared" si="314"/>
        <v>0.46582701433290874</v>
      </c>
      <c r="AN115" s="29" t="s">
        <v>701</v>
      </c>
      <c r="AO115" s="29"/>
      <c r="AP115" s="29"/>
      <c r="AQ115" s="195"/>
      <c r="AR115" s="25" t="s">
        <v>91</v>
      </c>
      <c r="AS115" s="15">
        <v>67</v>
      </c>
      <c r="AT115" s="15">
        <v>59</v>
      </c>
      <c r="AU115" s="15">
        <v>82</v>
      </c>
      <c r="AV115" s="15">
        <v>66</v>
      </c>
      <c r="AW115" s="15">
        <v>83</v>
      </c>
      <c r="AX115" s="15">
        <v>69</v>
      </c>
      <c r="AY115" s="15">
        <v>85</v>
      </c>
      <c r="AZ115" s="15">
        <v>77</v>
      </c>
      <c r="BA115" s="15">
        <v>67</v>
      </c>
      <c r="BB115" s="15">
        <v>83</v>
      </c>
      <c r="BC115" s="15">
        <v>81</v>
      </c>
      <c r="BD115" s="15">
        <v>82</v>
      </c>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row>
    <row r="116" spans="1:94" s="113" customFormat="1">
      <c r="A116" s="15" t="s">
        <v>84</v>
      </c>
      <c r="B116" s="15" t="s">
        <v>211</v>
      </c>
      <c r="C116" s="16" t="s">
        <v>212</v>
      </c>
      <c r="D116" s="49" t="s">
        <v>87</v>
      </c>
      <c r="E116" s="17" t="s">
        <v>129</v>
      </c>
      <c r="F116" s="18">
        <v>3</v>
      </c>
      <c r="G116" s="18" t="s">
        <v>163</v>
      </c>
      <c r="H116" s="19">
        <v>622.28571428571433</v>
      </c>
      <c r="I116" s="30">
        <v>29.27</v>
      </c>
      <c r="J116" s="19">
        <v>17569</v>
      </c>
      <c r="K116" s="22"/>
      <c r="L116" s="19">
        <f t="shared" ref="L116" si="338">J116-(J116*K116)</f>
        <v>17569</v>
      </c>
      <c r="M116" s="60">
        <f t="shared" ref="M116" si="339">L116/H116</f>
        <v>28.233011937557389</v>
      </c>
      <c r="N116" s="24">
        <v>6.76</v>
      </c>
      <c r="O116" s="24">
        <v>7.35</v>
      </c>
      <c r="P116" s="24">
        <v>6.87</v>
      </c>
      <c r="Q116" s="24">
        <v>7.92</v>
      </c>
      <c r="R116" s="24">
        <v>7.36</v>
      </c>
      <c r="S116" s="57">
        <v>7.25</v>
      </c>
      <c r="T116" s="32">
        <f t="shared" ref="T116" si="340">AVERAGE(N116:S116)</f>
        <v>7.251666666666666</v>
      </c>
      <c r="U116" s="15" t="s">
        <v>735</v>
      </c>
      <c r="V116" s="25" t="s">
        <v>103</v>
      </c>
      <c r="W116" s="25"/>
      <c r="X116" s="26">
        <v>0.38</v>
      </c>
      <c r="Y116" s="26"/>
      <c r="Z116" s="24">
        <v>0.45</v>
      </c>
      <c r="AA116" s="27">
        <v>45849</v>
      </c>
      <c r="AB116" s="28">
        <f t="shared" ref="AB116" si="341">IFERROR(AVERAGE(AS116:CP116),0)</f>
        <v>64.6875</v>
      </c>
      <c r="AC116" s="28">
        <f t="shared" ref="AC116" si="342">AB116*X116</f>
        <v>24.581250000000001</v>
      </c>
      <c r="AD116" s="28">
        <f t="shared" ref="AD116" si="343">(AC116*L116)/2000</f>
        <v>215.93399062500001</v>
      </c>
      <c r="AE116" s="28">
        <f t="shared" ref="AE116" si="344">IFERROR((AD116/I116),"")</f>
        <v>7.3773143363512128</v>
      </c>
      <c r="AF116" s="171">
        <f t="shared" ref="AF116" si="345">IFERROR(((AE116-S116)/AE116),"")</f>
        <v>1.7257545299904073E-2</v>
      </c>
      <c r="AG116" s="263">
        <v>7</v>
      </c>
      <c r="AH116" s="263">
        <f t="shared" si="288"/>
        <v>0.34779059811997881</v>
      </c>
      <c r="AI116" s="25">
        <v>8.5</v>
      </c>
      <c r="AJ116" s="24">
        <f t="shared" ref="AJ116" si="346">AD116-(AI116*I116)</f>
        <v>-32.861009374999981</v>
      </c>
      <c r="AK116" s="29">
        <f t="shared" ref="AK116" si="347">AJ116/I116</f>
        <v>-1.1226856636487865</v>
      </c>
      <c r="AL116" s="29">
        <f>(((AI116*M116)*2000)/L116)/Z116</f>
        <v>60.708091011121297</v>
      </c>
      <c r="AM116" s="29">
        <f t="shared" ref="AM116" si="348">((AJ116*2000)/Z116)/J116</f>
        <v>-8.3128766893707944</v>
      </c>
      <c r="AN116" s="29" t="s">
        <v>701</v>
      </c>
      <c r="AO116" s="29"/>
      <c r="AP116" s="29"/>
      <c r="AQ116" s="195"/>
      <c r="AR116" s="25" t="s">
        <v>116</v>
      </c>
      <c r="AS116" s="15">
        <v>77</v>
      </c>
      <c r="AT116" s="15">
        <v>55</v>
      </c>
      <c r="AU116" s="15">
        <v>60</v>
      </c>
      <c r="AV116" s="15">
        <v>67</v>
      </c>
      <c r="AW116" s="15">
        <v>59</v>
      </c>
      <c r="AX116" s="15">
        <v>63</v>
      </c>
      <c r="AY116" s="15">
        <v>70</v>
      </c>
      <c r="AZ116" s="15">
        <v>72</v>
      </c>
      <c r="BA116" s="15">
        <v>68</v>
      </c>
      <c r="BB116" s="15">
        <v>59</v>
      </c>
      <c r="BC116" s="15">
        <v>72</v>
      </c>
      <c r="BD116" s="15">
        <v>58</v>
      </c>
      <c r="BE116" s="15">
        <v>56</v>
      </c>
      <c r="BF116" s="15">
        <v>69</v>
      </c>
      <c r="BG116" s="15">
        <v>60</v>
      </c>
      <c r="BH116" s="15">
        <v>70</v>
      </c>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row>
    <row r="117" spans="1:94" s="113" customFormat="1">
      <c r="A117" s="113" t="s">
        <v>84</v>
      </c>
      <c r="B117" s="113" t="s">
        <v>219</v>
      </c>
      <c r="C117" s="114" t="s">
        <v>220</v>
      </c>
      <c r="D117" s="128" t="s">
        <v>87</v>
      </c>
      <c r="E117" s="127" t="s">
        <v>221</v>
      </c>
      <c r="F117" s="126" t="s">
        <v>222</v>
      </c>
      <c r="G117" s="126" t="s">
        <v>145</v>
      </c>
      <c r="H117" s="123">
        <v>691.42857142857144</v>
      </c>
      <c r="I117" s="125">
        <v>22.59</v>
      </c>
      <c r="J117" s="123">
        <v>15293</v>
      </c>
      <c r="K117" s="124"/>
      <c r="L117" s="123">
        <f t="shared" si="304"/>
        <v>15293</v>
      </c>
      <c r="M117" s="122">
        <f t="shared" si="305"/>
        <v>22.117975206611568</v>
      </c>
      <c r="N117" s="118">
        <v>10.07</v>
      </c>
      <c r="O117" s="118">
        <v>8.44</v>
      </c>
      <c r="P117" s="118">
        <v>9.15</v>
      </c>
      <c r="Q117" s="118">
        <v>5.43</v>
      </c>
      <c r="R117" s="118">
        <v>10.3</v>
      </c>
      <c r="S117" s="153">
        <v>8.2200000000000006</v>
      </c>
      <c r="T117" s="121">
        <f t="shared" si="335"/>
        <v>8.6016666666666666</v>
      </c>
      <c r="V117" s="115"/>
      <c r="W117" s="115"/>
      <c r="X117" s="120">
        <v>0.45</v>
      </c>
      <c r="Y117" s="120"/>
      <c r="Z117" s="118">
        <v>0.55000000000000004</v>
      </c>
      <c r="AA117" s="119">
        <v>45799</v>
      </c>
      <c r="AB117" s="117">
        <f t="shared" si="307"/>
        <v>57.5</v>
      </c>
      <c r="AC117" s="117">
        <f t="shared" si="290"/>
        <v>25.875</v>
      </c>
      <c r="AD117" s="117">
        <f t="shared" si="306"/>
        <v>197.85318749999999</v>
      </c>
      <c r="AE117" s="117">
        <f t="shared" si="336"/>
        <v>8.7584412350597614</v>
      </c>
      <c r="AF117" s="170">
        <f t="shared" si="337"/>
        <v>6.1476833674969193E-2</v>
      </c>
      <c r="AG117" s="265">
        <v>7</v>
      </c>
      <c r="AH117" s="265">
        <f t="shared" si="288"/>
        <v>0.35213798059647861</v>
      </c>
      <c r="AI117" s="115"/>
      <c r="AJ117" s="118">
        <f t="shared" si="312"/>
        <v>197.85318749999999</v>
      </c>
      <c r="AK117" s="116">
        <f t="shared" si="313"/>
        <v>8.7584412350597614</v>
      </c>
      <c r="AL117" s="116"/>
      <c r="AM117" s="116">
        <f t="shared" si="314"/>
        <v>47.045454545454547</v>
      </c>
      <c r="AN117" s="116"/>
      <c r="AO117" s="116"/>
      <c r="AP117" s="116"/>
      <c r="AR117" s="115" t="s">
        <v>116</v>
      </c>
      <c r="AS117" s="113">
        <v>48</v>
      </c>
      <c r="AT117" s="113">
        <v>51</v>
      </c>
      <c r="AU117" s="113">
        <v>56</v>
      </c>
      <c r="AV117" s="113">
        <v>49</v>
      </c>
      <c r="AW117" s="113">
        <v>46</v>
      </c>
      <c r="AX117" s="113">
        <v>62</v>
      </c>
      <c r="AY117" s="113">
        <v>60</v>
      </c>
      <c r="AZ117" s="113">
        <v>59</v>
      </c>
      <c r="BA117" s="113">
        <v>47</v>
      </c>
      <c r="BB117" s="113">
        <v>65</v>
      </c>
      <c r="BC117" s="113">
        <v>58</v>
      </c>
      <c r="BD117" s="113">
        <v>63</v>
      </c>
      <c r="BE117" s="113">
        <v>69</v>
      </c>
      <c r="BF117" s="113">
        <v>46</v>
      </c>
      <c r="BG117" s="113">
        <v>48</v>
      </c>
      <c r="BH117" s="113">
        <v>53</v>
      </c>
      <c r="BI117" s="113">
        <v>63</v>
      </c>
      <c r="BJ117" s="113">
        <v>68</v>
      </c>
      <c r="BK117" s="113">
        <v>70</v>
      </c>
      <c r="BL117" s="113">
        <v>69</v>
      </c>
    </row>
    <row r="118" spans="1:94" s="63" customFormat="1">
      <c r="A118" s="63" t="s">
        <v>84</v>
      </c>
      <c r="B118" s="63" t="s">
        <v>223</v>
      </c>
      <c r="C118" s="64" t="s">
        <v>224</v>
      </c>
      <c r="D118" s="65" t="s">
        <v>87</v>
      </c>
      <c r="E118" s="66" t="s">
        <v>156</v>
      </c>
      <c r="F118" s="68" t="s">
        <v>225</v>
      </c>
      <c r="G118" s="68" t="s">
        <v>90</v>
      </c>
      <c r="H118" s="69">
        <v>907.5</v>
      </c>
      <c r="I118" s="74">
        <v>42.4</v>
      </c>
      <c r="J118" s="69">
        <v>37921</v>
      </c>
      <c r="K118" s="72"/>
      <c r="L118" s="69">
        <f t="shared" si="304"/>
        <v>37921</v>
      </c>
      <c r="M118" s="86">
        <f t="shared" si="305"/>
        <v>41.786225895316804</v>
      </c>
      <c r="N118" s="79"/>
      <c r="O118" s="79"/>
      <c r="P118" s="79"/>
      <c r="Q118" s="79">
        <v>8.08</v>
      </c>
      <c r="R118" s="79">
        <v>10.029999999999999</v>
      </c>
      <c r="S118" s="84">
        <v>7.76</v>
      </c>
      <c r="T118" s="85">
        <f>AVERAGE(N118:R118)</f>
        <v>9.0549999999999997</v>
      </c>
      <c r="V118" s="77"/>
      <c r="W118" s="77"/>
      <c r="X118" s="78"/>
      <c r="Y118" s="78"/>
      <c r="Z118" s="79">
        <v>0.32</v>
      </c>
      <c r="AA118" s="80"/>
      <c r="AB118" s="81">
        <f t="shared" si="307"/>
        <v>0</v>
      </c>
      <c r="AC118" s="81"/>
      <c r="AD118" s="81">
        <f t="shared" si="306"/>
        <v>0</v>
      </c>
      <c r="AE118" s="81"/>
      <c r="AF118" s="167"/>
      <c r="AG118" s="264"/>
      <c r="AH118" s="264" t="e">
        <f t="shared" si="288"/>
        <v>#DIV/0!</v>
      </c>
      <c r="AI118" s="77"/>
      <c r="AJ118" s="79">
        <f t="shared" si="312"/>
        <v>0</v>
      </c>
      <c r="AK118" s="82">
        <f t="shared" si="313"/>
        <v>0</v>
      </c>
      <c r="AL118" s="82"/>
      <c r="AM118" s="82">
        <f t="shared" si="314"/>
        <v>0</v>
      </c>
      <c r="AN118" s="82"/>
      <c r="AO118" s="82"/>
      <c r="AP118" s="82"/>
      <c r="AR118" s="77"/>
    </row>
    <row r="119" spans="1:94" s="113" customFormat="1">
      <c r="A119" s="113" t="s">
        <v>84</v>
      </c>
      <c r="B119" s="113" t="s">
        <v>226</v>
      </c>
      <c r="C119" s="114" t="s">
        <v>227</v>
      </c>
      <c r="D119" s="128" t="s">
        <v>87</v>
      </c>
      <c r="E119" s="127" t="s">
        <v>228</v>
      </c>
      <c r="F119" s="126" t="s">
        <v>229</v>
      </c>
      <c r="G119" s="126" t="s">
        <v>90</v>
      </c>
      <c r="H119" s="123">
        <v>777.85714285714289</v>
      </c>
      <c r="I119" s="125">
        <v>22.37</v>
      </c>
      <c r="J119" s="123">
        <v>17071</v>
      </c>
      <c r="K119" s="124"/>
      <c r="L119" s="123">
        <f t="shared" si="304"/>
        <v>17071</v>
      </c>
      <c r="M119" s="122">
        <f t="shared" si="305"/>
        <v>21.946189164370981</v>
      </c>
      <c r="N119" s="118"/>
      <c r="O119" s="118"/>
      <c r="P119" s="118"/>
      <c r="Q119" s="118">
        <v>12.4</v>
      </c>
      <c r="R119" s="118">
        <v>10.81</v>
      </c>
      <c r="S119" s="153">
        <v>5.87</v>
      </c>
      <c r="T119" s="121">
        <f>AVERAGE(N119:R119)</f>
        <v>11.605</v>
      </c>
      <c r="V119" s="115"/>
      <c r="W119" s="115"/>
      <c r="X119" s="120">
        <v>0.37</v>
      </c>
      <c r="Y119" s="120"/>
      <c r="Z119" s="118">
        <v>0.4</v>
      </c>
      <c r="AA119" s="119"/>
      <c r="AB119" s="117">
        <f t="shared" si="307"/>
        <v>0</v>
      </c>
      <c r="AC119" s="117"/>
      <c r="AD119" s="117">
        <f t="shared" si="306"/>
        <v>0</v>
      </c>
      <c r="AE119" s="117"/>
      <c r="AF119" s="170"/>
      <c r="AG119" s="265"/>
      <c r="AH119" s="265" t="e">
        <f t="shared" si="288"/>
        <v>#DIV/0!</v>
      </c>
      <c r="AI119" s="115"/>
      <c r="AJ119" s="118">
        <f t="shared" si="312"/>
        <v>0</v>
      </c>
      <c r="AK119" s="116">
        <f t="shared" si="313"/>
        <v>0</v>
      </c>
      <c r="AL119" s="116"/>
      <c r="AM119" s="116">
        <f t="shared" si="314"/>
        <v>0</v>
      </c>
      <c r="AN119" s="116"/>
      <c r="AO119" s="116"/>
      <c r="AP119" s="116"/>
      <c r="AR119" s="115"/>
    </row>
    <row r="120" spans="1:94" s="63" customFormat="1">
      <c r="A120" s="63" t="s">
        <v>84</v>
      </c>
      <c r="B120" s="63" t="s">
        <v>230</v>
      </c>
      <c r="C120" s="64" t="s">
        <v>231</v>
      </c>
      <c r="D120" s="65" t="s">
        <v>87</v>
      </c>
      <c r="E120" s="66" t="s">
        <v>88</v>
      </c>
      <c r="F120" s="68" t="s">
        <v>232</v>
      </c>
      <c r="G120" s="68" t="s">
        <v>96</v>
      </c>
      <c r="H120" s="69">
        <v>605</v>
      </c>
      <c r="I120" s="74">
        <v>35.04</v>
      </c>
      <c r="J120" s="69">
        <v>20970</v>
      </c>
      <c r="K120" s="72"/>
      <c r="L120" s="69">
        <f t="shared" si="304"/>
        <v>20970</v>
      </c>
      <c r="M120" s="86">
        <f t="shared" si="305"/>
        <v>34.66115702479339</v>
      </c>
      <c r="N120" s="79">
        <v>10.99</v>
      </c>
      <c r="O120" s="79">
        <v>8.3800000000000008</v>
      </c>
      <c r="P120" s="79">
        <v>8.1999999999999993</v>
      </c>
      <c r="Q120" s="79">
        <v>8.61</v>
      </c>
      <c r="R120" s="79">
        <v>11.58</v>
      </c>
      <c r="S120" s="84">
        <v>8.18</v>
      </c>
      <c r="T120" s="85">
        <f t="shared" ref="T120:T125" si="349">AVERAGE(N120:S120)</f>
        <v>9.3233333333333324</v>
      </c>
      <c r="V120" s="77"/>
      <c r="W120" s="77"/>
      <c r="X120" s="78">
        <v>0.33</v>
      </c>
      <c r="Y120" s="78"/>
      <c r="Z120" s="79">
        <v>0.33</v>
      </c>
      <c r="AA120" s="80"/>
      <c r="AB120" s="81">
        <f t="shared" si="307"/>
        <v>0</v>
      </c>
      <c r="AC120" s="81"/>
      <c r="AD120" s="81">
        <f t="shared" si="306"/>
        <v>0</v>
      </c>
      <c r="AE120" s="81"/>
      <c r="AF120" s="167"/>
      <c r="AG120" s="264"/>
      <c r="AH120" s="264" t="e">
        <f t="shared" si="288"/>
        <v>#DIV/0!</v>
      </c>
      <c r="AI120" s="77"/>
      <c r="AJ120" s="79">
        <f t="shared" si="312"/>
        <v>0</v>
      </c>
      <c r="AK120" s="82">
        <f t="shared" si="313"/>
        <v>0</v>
      </c>
      <c r="AL120" s="82"/>
      <c r="AM120" s="82">
        <f t="shared" si="314"/>
        <v>0</v>
      </c>
      <c r="AN120" s="82"/>
      <c r="AO120" s="82"/>
      <c r="AP120" s="82"/>
      <c r="AR120" s="77"/>
    </row>
    <row r="121" spans="1:94" s="113" customFormat="1">
      <c r="A121" s="113" t="s">
        <v>84</v>
      </c>
      <c r="B121" s="113" t="s">
        <v>233</v>
      </c>
      <c r="C121" s="114" t="s">
        <v>234</v>
      </c>
      <c r="D121" s="128" t="s">
        <v>87</v>
      </c>
      <c r="E121" s="127" t="s">
        <v>88</v>
      </c>
      <c r="F121" s="126">
        <v>8</v>
      </c>
      <c r="G121" s="126" t="s">
        <v>96</v>
      </c>
      <c r="H121" s="123">
        <v>680.625</v>
      </c>
      <c r="I121" s="125">
        <f>35.8+23.86</f>
        <v>59.66</v>
      </c>
      <c r="J121" s="123">
        <v>40476</v>
      </c>
      <c r="K121" s="124"/>
      <c r="L121" s="123">
        <f t="shared" ref="L121:L157" si="350">J121-(J121*K121)</f>
        <v>40476</v>
      </c>
      <c r="M121" s="122">
        <f t="shared" si="305"/>
        <v>59.46887052341598</v>
      </c>
      <c r="N121" s="118">
        <v>10.050000000000001</v>
      </c>
      <c r="O121" s="118">
        <v>7.79</v>
      </c>
      <c r="P121" s="118">
        <v>7.48</v>
      </c>
      <c r="Q121" s="118">
        <v>6.68</v>
      </c>
      <c r="R121" s="118">
        <v>11.37</v>
      </c>
      <c r="S121" s="153">
        <v>8.5</v>
      </c>
      <c r="T121" s="121">
        <f t="shared" si="349"/>
        <v>8.6449999999999996</v>
      </c>
      <c r="V121" s="115"/>
      <c r="W121" s="115"/>
      <c r="X121" s="120"/>
      <c r="Y121" s="120"/>
      <c r="Z121" s="118">
        <v>0.33</v>
      </c>
      <c r="AA121" s="119"/>
      <c r="AB121" s="117">
        <f>IFERROR(AVERAGE(AS121:CP121),0)</f>
        <v>0</v>
      </c>
      <c r="AC121" s="117"/>
      <c r="AD121" s="117">
        <f t="shared" si="306"/>
        <v>0</v>
      </c>
      <c r="AE121" s="117"/>
      <c r="AF121" s="170"/>
      <c r="AG121" s="265"/>
      <c r="AH121" s="265" t="e">
        <f t="shared" si="288"/>
        <v>#DIV/0!</v>
      </c>
      <c r="AI121" s="115"/>
      <c r="AJ121" s="118">
        <f t="shared" si="312"/>
        <v>0</v>
      </c>
      <c r="AK121" s="116">
        <f t="shared" si="313"/>
        <v>0</v>
      </c>
      <c r="AL121" s="116"/>
      <c r="AM121" s="116">
        <f t="shared" si="314"/>
        <v>0</v>
      </c>
      <c r="AN121" s="116"/>
      <c r="AO121" s="116"/>
      <c r="AP121" s="116"/>
      <c r="AR121" s="115"/>
    </row>
    <row r="122" spans="1:94" s="63" customFormat="1">
      <c r="A122" s="63" t="s">
        <v>84</v>
      </c>
      <c r="B122" s="63" t="s">
        <v>235</v>
      </c>
      <c r="C122" s="64" t="s">
        <v>236</v>
      </c>
      <c r="D122" s="65" t="s">
        <v>87</v>
      </c>
      <c r="E122" s="66" t="s">
        <v>237</v>
      </c>
      <c r="F122" s="68">
        <v>2</v>
      </c>
      <c r="G122" s="68" t="s">
        <v>163</v>
      </c>
      <c r="H122" s="69">
        <v>968</v>
      </c>
      <c r="I122" s="74">
        <v>15</v>
      </c>
      <c r="J122" s="69">
        <v>14150</v>
      </c>
      <c r="K122" s="72"/>
      <c r="L122" s="69">
        <f t="shared" si="350"/>
        <v>14150</v>
      </c>
      <c r="M122" s="86">
        <f t="shared" si="305"/>
        <v>14.617768595041323</v>
      </c>
      <c r="N122" s="79"/>
      <c r="O122" s="79">
        <v>8.0399999999999991</v>
      </c>
      <c r="P122" s="79">
        <v>8.5299999999999994</v>
      </c>
      <c r="Q122" s="79">
        <v>5.72</v>
      </c>
      <c r="R122" s="79">
        <v>7.88</v>
      </c>
      <c r="S122" s="84">
        <v>6.38</v>
      </c>
      <c r="T122" s="85">
        <f t="shared" si="349"/>
        <v>7.31</v>
      </c>
      <c r="V122" s="77"/>
      <c r="W122" s="77"/>
      <c r="X122" s="78"/>
      <c r="Y122" s="78"/>
      <c r="Z122" s="79">
        <v>0.27</v>
      </c>
      <c r="AA122" s="80"/>
      <c r="AB122" s="81">
        <f t="shared" si="307"/>
        <v>0</v>
      </c>
      <c r="AC122" s="81"/>
      <c r="AD122" s="81">
        <f t="shared" si="306"/>
        <v>0</v>
      </c>
      <c r="AE122" s="81"/>
      <c r="AF122" s="167"/>
      <c r="AG122" s="264"/>
      <c r="AH122" s="264" t="e">
        <f t="shared" si="288"/>
        <v>#DIV/0!</v>
      </c>
      <c r="AI122" s="77"/>
      <c r="AJ122" s="79">
        <f t="shared" si="312"/>
        <v>0</v>
      </c>
      <c r="AK122" s="82">
        <f t="shared" si="313"/>
        <v>0</v>
      </c>
      <c r="AL122" s="82"/>
      <c r="AM122" s="82">
        <f t="shared" si="314"/>
        <v>0</v>
      </c>
      <c r="AN122" s="82"/>
      <c r="AO122" s="82"/>
      <c r="AP122" s="82"/>
      <c r="AR122" s="77"/>
    </row>
    <row r="123" spans="1:94" s="113" customFormat="1">
      <c r="A123" s="113" t="s">
        <v>84</v>
      </c>
      <c r="B123" s="113" t="s">
        <v>238</v>
      </c>
      <c r="C123" s="114" t="s">
        <v>239</v>
      </c>
      <c r="D123" s="128" t="s">
        <v>87</v>
      </c>
      <c r="E123" s="127" t="s">
        <v>160</v>
      </c>
      <c r="F123" s="126">
        <v>4</v>
      </c>
      <c r="G123" s="126" t="s">
        <v>145</v>
      </c>
      <c r="H123" s="123">
        <v>622.28571428571433</v>
      </c>
      <c r="I123" s="125">
        <v>41.7</v>
      </c>
      <c r="J123" s="123">
        <v>20700</v>
      </c>
      <c r="K123" s="124"/>
      <c r="L123" s="123">
        <f t="shared" si="350"/>
        <v>20700</v>
      </c>
      <c r="M123" s="122">
        <f t="shared" si="305"/>
        <v>33.264462809917354</v>
      </c>
      <c r="N123" s="118">
        <v>8.2200000000000006</v>
      </c>
      <c r="O123" s="118">
        <v>14.55</v>
      </c>
      <c r="P123" s="118">
        <v>11.2</v>
      </c>
      <c r="Q123" s="118">
        <v>8.32</v>
      </c>
      <c r="R123" s="118">
        <v>16.46</v>
      </c>
      <c r="S123" s="153">
        <v>9.3000000000000007</v>
      </c>
      <c r="T123" s="121">
        <f t="shared" si="349"/>
        <v>11.341666666666667</v>
      </c>
      <c r="V123" s="115" t="s">
        <v>103</v>
      </c>
      <c r="W123" s="115"/>
      <c r="X123" s="120">
        <v>0.4</v>
      </c>
      <c r="Y123" s="120"/>
      <c r="Z123" s="118">
        <v>0.41</v>
      </c>
      <c r="AA123" s="119">
        <v>45776</v>
      </c>
      <c r="AB123" s="117">
        <f>AVERAGE(AS123:BO123)</f>
        <v>127.22222222222223</v>
      </c>
      <c r="AC123" s="117">
        <f t="shared" ref="AC123:AC136" si="351">AB123*X123</f>
        <v>50.888888888888893</v>
      </c>
      <c r="AD123" s="117">
        <f t="shared" si="306"/>
        <v>526.70000000000005</v>
      </c>
      <c r="AE123" s="117">
        <f t="shared" ref="AE123:AE158" si="352">IFERROR((AD123/I123),"")</f>
        <v>12.630695443645084</v>
      </c>
      <c r="AF123" s="170">
        <f>IFERROR(((AE123-S123)/AE123),"")</f>
        <v>0.26369850009493068</v>
      </c>
      <c r="AG123" s="265"/>
      <c r="AH123" s="265">
        <f t="shared" si="288"/>
        <v>0</v>
      </c>
      <c r="AI123" s="115"/>
      <c r="AJ123" s="118">
        <f t="shared" si="312"/>
        <v>526.70000000000005</v>
      </c>
      <c r="AK123" s="116">
        <f t="shared" si="313"/>
        <v>12.630695443645084</v>
      </c>
      <c r="AL123" s="116"/>
      <c r="AM123" s="116">
        <f t="shared" si="314"/>
        <v>124.11924119241193</v>
      </c>
      <c r="AN123" s="116"/>
      <c r="AO123" s="116"/>
      <c r="AP123" s="116"/>
      <c r="AR123" s="115" t="s">
        <v>116</v>
      </c>
      <c r="AS123" s="113">
        <v>127</v>
      </c>
      <c r="AT123" s="113">
        <v>123</v>
      </c>
      <c r="AU123" s="113">
        <v>135</v>
      </c>
      <c r="AV123" s="113">
        <v>146</v>
      </c>
      <c r="AW123" s="113">
        <v>120</v>
      </c>
      <c r="AX123" s="113">
        <v>133</v>
      </c>
      <c r="AY123" s="113">
        <v>129</v>
      </c>
      <c r="AZ123" s="113">
        <v>103</v>
      </c>
      <c r="BA123" s="113">
        <v>126</v>
      </c>
      <c r="BB123" s="113">
        <v>105</v>
      </c>
      <c r="BC123" s="113">
        <v>125</v>
      </c>
      <c r="BD123" s="113">
        <v>133</v>
      </c>
      <c r="BE123" s="113">
        <v>144</v>
      </c>
      <c r="BF123" s="113">
        <v>119</v>
      </c>
      <c r="BG123" s="113">
        <v>142</v>
      </c>
      <c r="BH123" s="113">
        <v>129</v>
      </c>
      <c r="BI123" s="113">
        <v>136</v>
      </c>
      <c r="BJ123" s="113">
        <v>115</v>
      </c>
    </row>
    <row r="124" spans="1:94" s="63" customFormat="1" ht="13.15" customHeight="1">
      <c r="A124" s="63" t="s">
        <v>84</v>
      </c>
      <c r="B124" s="63" t="s">
        <v>736</v>
      </c>
      <c r="C124" s="64" t="s">
        <v>737</v>
      </c>
      <c r="D124" s="65" t="s">
        <v>87</v>
      </c>
      <c r="E124" s="66" t="s">
        <v>261</v>
      </c>
      <c r="F124" s="68">
        <v>23</v>
      </c>
      <c r="G124" s="68" t="s">
        <v>145</v>
      </c>
      <c r="H124" s="69">
        <v>622.28571428571433</v>
      </c>
      <c r="I124" s="74">
        <v>42.9</v>
      </c>
      <c r="J124" s="69">
        <v>26332</v>
      </c>
      <c r="K124" s="72"/>
      <c r="L124" s="69">
        <f t="shared" si="350"/>
        <v>26332</v>
      </c>
      <c r="M124" s="86">
        <f t="shared" si="305"/>
        <v>42.314967860422399</v>
      </c>
      <c r="N124" s="79">
        <v>9.15</v>
      </c>
      <c r="O124" s="79">
        <v>9.18</v>
      </c>
      <c r="P124" s="79">
        <v>10.41</v>
      </c>
      <c r="Q124" s="79">
        <v>14.03</v>
      </c>
      <c r="R124" s="79">
        <v>14.69</v>
      </c>
      <c r="S124" s="84">
        <v>11.11</v>
      </c>
      <c r="T124" s="85">
        <f t="shared" si="349"/>
        <v>11.428333333333333</v>
      </c>
      <c r="U124" s="63" t="s">
        <v>365</v>
      </c>
      <c r="V124" s="77" t="s">
        <v>103</v>
      </c>
      <c r="W124" s="77"/>
      <c r="X124" s="78">
        <v>0.32</v>
      </c>
      <c r="Y124" s="78"/>
      <c r="Z124" s="79">
        <v>0.38</v>
      </c>
      <c r="AA124" s="80">
        <v>45769</v>
      </c>
      <c r="AB124" s="81">
        <f>IFERROR(AVERAGE(AS124:CP124),0)</f>
        <v>171.28571428571428</v>
      </c>
      <c r="AC124" s="81">
        <f t="shared" si="351"/>
        <v>54.811428571428571</v>
      </c>
      <c r="AD124" s="81">
        <f t="shared" si="306"/>
        <v>721.64726857142864</v>
      </c>
      <c r="AE124" s="81">
        <f t="shared" si="352"/>
        <v>16.821614652014656</v>
      </c>
      <c r="AF124" s="167">
        <f>IFERROR(((AE124-S124)/AE124),"")</f>
        <v>0.33954021478732421</v>
      </c>
      <c r="AG124" s="264"/>
      <c r="AH124" s="264">
        <f t="shared" si="288"/>
        <v>0</v>
      </c>
      <c r="AI124" s="77"/>
      <c r="AJ124" s="79">
        <f t="shared" si="312"/>
        <v>721.64726857142864</v>
      </c>
      <c r="AK124" s="82">
        <f t="shared" si="313"/>
        <v>16.821614652014656</v>
      </c>
      <c r="AL124" s="82"/>
      <c r="AM124" s="82">
        <f t="shared" si="314"/>
        <v>144.24060150375939</v>
      </c>
      <c r="AN124" s="82"/>
      <c r="AO124" s="82"/>
      <c r="AP124" s="82"/>
      <c r="AR124" s="77" t="s">
        <v>92</v>
      </c>
      <c r="AS124" s="63">
        <v>178</v>
      </c>
      <c r="AT124" s="63">
        <v>115</v>
      </c>
      <c r="AU124" s="63">
        <v>180</v>
      </c>
      <c r="AV124" s="63">
        <v>169</v>
      </c>
      <c r="AW124" s="63">
        <v>184</v>
      </c>
      <c r="AX124" s="63">
        <v>190</v>
      </c>
      <c r="AY124" s="63">
        <v>183</v>
      </c>
    </row>
    <row r="125" spans="1:94" s="63" customFormat="1" ht="13.5" customHeight="1">
      <c r="A125" s="63" t="s">
        <v>84</v>
      </c>
      <c r="B125" s="63" t="s">
        <v>736</v>
      </c>
      <c r="C125" s="64" t="s">
        <v>737</v>
      </c>
      <c r="D125" s="65" t="s">
        <v>87</v>
      </c>
      <c r="E125" s="66" t="s">
        <v>261</v>
      </c>
      <c r="F125" s="68">
        <v>23</v>
      </c>
      <c r="G125" s="68" t="s">
        <v>145</v>
      </c>
      <c r="H125" s="69">
        <v>622.28571428571433</v>
      </c>
      <c r="I125" s="74">
        <v>42.9</v>
      </c>
      <c r="J125" s="69">
        <v>26332</v>
      </c>
      <c r="K125" s="72"/>
      <c r="L125" s="69">
        <f t="shared" si="350"/>
        <v>26332</v>
      </c>
      <c r="M125" s="86">
        <f t="shared" si="305"/>
        <v>42.314967860422399</v>
      </c>
      <c r="N125" s="79">
        <v>9.15</v>
      </c>
      <c r="O125" s="79">
        <v>9.18</v>
      </c>
      <c r="P125" s="79">
        <v>10.41</v>
      </c>
      <c r="Q125" s="79">
        <v>14.03</v>
      </c>
      <c r="R125" s="79">
        <v>14.69</v>
      </c>
      <c r="S125" s="84">
        <v>11.11</v>
      </c>
      <c r="T125" s="85">
        <f t="shared" si="349"/>
        <v>11.428333333333333</v>
      </c>
      <c r="U125" s="63" t="s">
        <v>365</v>
      </c>
      <c r="V125" s="77" t="s">
        <v>103</v>
      </c>
      <c r="W125" s="77"/>
      <c r="X125" s="78">
        <v>0.32</v>
      </c>
      <c r="Y125" s="78"/>
      <c r="Z125" s="79">
        <v>0.38</v>
      </c>
      <c r="AA125" s="80">
        <v>45770</v>
      </c>
      <c r="AB125" s="81">
        <v>159</v>
      </c>
      <c r="AC125" s="81">
        <f t="shared" si="351"/>
        <v>50.88</v>
      </c>
      <c r="AD125" s="81">
        <f t="shared" si="306"/>
        <v>669.88608000000011</v>
      </c>
      <c r="AE125" s="81">
        <f t="shared" si="352"/>
        <v>15.615060139860143</v>
      </c>
      <c r="AF125" s="167">
        <f>IFERROR(((AE125-S125)/AE125),"")</f>
        <v>0.28850738322551817</v>
      </c>
      <c r="AG125" s="264"/>
      <c r="AH125" s="264">
        <f t="shared" si="288"/>
        <v>0</v>
      </c>
      <c r="AI125" s="77"/>
      <c r="AJ125" s="79">
        <f t="shared" si="312"/>
        <v>669.88608000000011</v>
      </c>
      <c r="AK125" s="82">
        <f t="shared" si="313"/>
        <v>15.615060139860143</v>
      </c>
      <c r="AL125" s="82"/>
      <c r="AM125" s="82">
        <f t="shared" si="314"/>
        <v>133.89473684210526</v>
      </c>
      <c r="AN125" s="82"/>
      <c r="AO125" s="82"/>
      <c r="AP125" s="82"/>
      <c r="AR125" s="77" t="s">
        <v>611</v>
      </c>
      <c r="AS125" s="63">
        <v>155</v>
      </c>
      <c r="AT125" s="63">
        <v>117</v>
      </c>
      <c r="AU125" s="63">
        <v>165</v>
      </c>
      <c r="AV125" s="63">
        <v>145</v>
      </c>
      <c r="AW125" s="63">
        <v>123</v>
      </c>
      <c r="AX125" s="63">
        <v>119</v>
      </c>
      <c r="AY125" s="63">
        <v>146</v>
      </c>
      <c r="AZ125" s="63">
        <v>124</v>
      </c>
      <c r="BA125" s="63">
        <v>141</v>
      </c>
      <c r="BB125" s="63">
        <v>134</v>
      </c>
      <c r="BC125" s="63">
        <v>123</v>
      </c>
      <c r="BD125" s="63">
        <v>157</v>
      </c>
      <c r="BE125" s="63">
        <v>164</v>
      </c>
      <c r="BF125" s="63">
        <v>201</v>
      </c>
      <c r="BG125" s="63">
        <v>144</v>
      </c>
      <c r="BH125" s="63">
        <v>156</v>
      </c>
      <c r="BI125" s="63">
        <v>172</v>
      </c>
      <c r="BJ125" s="63">
        <v>184</v>
      </c>
      <c r="BK125" s="63">
        <v>177</v>
      </c>
      <c r="BL125" s="63">
        <v>194</v>
      </c>
    </row>
    <row r="126" spans="1:94" s="113" customFormat="1" ht="13.5" customHeight="1">
      <c r="A126" s="113" t="s">
        <v>84</v>
      </c>
      <c r="B126" s="113" t="s">
        <v>240</v>
      </c>
      <c r="C126" s="114" t="s">
        <v>241</v>
      </c>
      <c r="D126" s="128" t="s">
        <v>87</v>
      </c>
      <c r="E126" s="127" t="s">
        <v>114</v>
      </c>
      <c r="F126" s="126">
        <v>3</v>
      </c>
      <c r="G126" s="126" t="s">
        <v>96</v>
      </c>
      <c r="H126" s="123">
        <v>680.625</v>
      </c>
      <c r="I126" s="125">
        <v>34.08</v>
      </c>
      <c r="J126" s="123">
        <v>22610</v>
      </c>
      <c r="K126" s="124">
        <v>0.05</v>
      </c>
      <c r="L126" s="123">
        <f t="shared" si="350"/>
        <v>21479.5</v>
      </c>
      <c r="M126" s="122">
        <f t="shared" si="305"/>
        <v>31.558494031221304</v>
      </c>
      <c r="N126" s="118">
        <v>8.7799999999999994</v>
      </c>
      <c r="O126" s="118">
        <v>8.4</v>
      </c>
      <c r="P126" s="118">
        <v>9.4</v>
      </c>
      <c r="Q126" s="118">
        <v>10.56</v>
      </c>
      <c r="R126" s="118">
        <v>11</v>
      </c>
      <c r="S126" s="153"/>
      <c r="T126" s="121">
        <f>AVERAGE(N126:R126)</f>
        <v>9.6280000000000001</v>
      </c>
      <c r="V126" s="115"/>
      <c r="W126" s="115"/>
      <c r="X126" s="120">
        <v>0.34</v>
      </c>
      <c r="Y126" s="120"/>
      <c r="Z126" s="118">
        <v>0.38</v>
      </c>
      <c r="AA126" s="119">
        <v>45839</v>
      </c>
      <c r="AB126" s="117">
        <f t="shared" ref="AB126:AB141" si="353">IFERROR(AVERAGE(AS126:CP126),0)</f>
        <v>79.5</v>
      </c>
      <c r="AC126" s="117">
        <f t="shared" si="351"/>
        <v>27.03</v>
      </c>
      <c r="AD126" s="117">
        <f t="shared" si="306"/>
        <v>290.29544249999998</v>
      </c>
      <c r="AE126" s="117">
        <f t="shared" si="352"/>
        <v>8.518058758802816</v>
      </c>
      <c r="AF126" s="170">
        <f>IFERROR(((AE126-S126)/AE126),"")</f>
        <v>1</v>
      </c>
      <c r="AG126" s="265"/>
      <c r="AH126" s="265">
        <f t="shared" si="288"/>
        <v>0</v>
      </c>
      <c r="AI126" s="115"/>
      <c r="AJ126" s="118">
        <f t="shared" si="312"/>
        <v>290.29544249999998</v>
      </c>
      <c r="AK126" s="116">
        <f t="shared" si="313"/>
        <v>8.518058758802816</v>
      </c>
      <c r="AL126" s="116"/>
      <c r="AM126" s="116">
        <f t="shared" si="314"/>
        <v>67.575000000000003</v>
      </c>
      <c r="AN126" s="116"/>
      <c r="AO126" s="116"/>
      <c r="AP126" s="116"/>
      <c r="AR126" s="115" t="s">
        <v>91</v>
      </c>
      <c r="AS126" s="113">
        <v>87</v>
      </c>
      <c r="AT126" s="113">
        <v>100</v>
      </c>
      <c r="AU126" s="113">
        <v>100</v>
      </c>
      <c r="AV126" s="113">
        <v>89</v>
      </c>
      <c r="AW126" s="113">
        <v>38</v>
      </c>
      <c r="AX126" s="113">
        <v>78</v>
      </c>
      <c r="AY126" s="113">
        <v>37</v>
      </c>
      <c r="AZ126" s="113">
        <v>68</v>
      </c>
      <c r="BA126" s="113">
        <v>85</v>
      </c>
      <c r="BB126" s="113">
        <v>75</v>
      </c>
      <c r="BC126" s="113">
        <v>80</v>
      </c>
      <c r="BD126" s="113">
        <v>117</v>
      </c>
    </row>
    <row r="127" spans="1:94" s="63" customFormat="1" ht="13.15" customHeight="1">
      <c r="A127" s="63" t="s">
        <v>84</v>
      </c>
      <c r="B127" s="63" t="s">
        <v>242</v>
      </c>
      <c r="C127" s="64" t="s">
        <v>243</v>
      </c>
      <c r="D127" s="65" t="s">
        <v>193</v>
      </c>
      <c r="E127" s="66" t="s">
        <v>160</v>
      </c>
      <c r="F127" s="162" t="s">
        <v>244</v>
      </c>
      <c r="G127" s="68" t="s">
        <v>96</v>
      </c>
      <c r="H127" s="69">
        <v>726</v>
      </c>
      <c r="I127" s="74">
        <v>27.32</v>
      </c>
      <c r="J127" s="92">
        <v>19093</v>
      </c>
      <c r="K127" s="93">
        <v>0.3</v>
      </c>
      <c r="L127" s="92">
        <f t="shared" si="350"/>
        <v>13365.1</v>
      </c>
      <c r="M127" s="94">
        <f t="shared" si="305"/>
        <v>18.409228650137742</v>
      </c>
      <c r="N127" s="74"/>
      <c r="O127" s="74"/>
      <c r="P127" s="74"/>
      <c r="Q127" s="74"/>
      <c r="R127" s="74"/>
      <c r="S127" s="75">
        <v>2.17</v>
      </c>
      <c r="T127" s="76"/>
      <c r="U127" s="63" t="s">
        <v>738</v>
      </c>
      <c r="V127" s="77" t="s">
        <v>103</v>
      </c>
      <c r="W127" s="77"/>
      <c r="X127" s="78">
        <v>0.41</v>
      </c>
      <c r="Y127" s="78"/>
      <c r="Z127" s="79">
        <v>0.4</v>
      </c>
      <c r="AA127" s="80">
        <v>45782</v>
      </c>
      <c r="AB127" s="81">
        <f t="shared" si="353"/>
        <v>59.5625</v>
      </c>
      <c r="AC127" s="81">
        <f t="shared" si="351"/>
        <v>24.420624999999998</v>
      </c>
      <c r="AD127" s="81">
        <f t="shared" si="306"/>
        <v>163.19204759375</v>
      </c>
      <c r="AE127" s="81">
        <f t="shared" si="352"/>
        <v>5.9733545971357982</v>
      </c>
      <c r="AF127" s="167"/>
      <c r="AG127" s="264"/>
      <c r="AH127" s="264">
        <f t="shared" si="288"/>
        <v>0</v>
      </c>
      <c r="AI127" s="77"/>
      <c r="AJ127" s="79">
        <f t="shared" si="312"/>
        <v>163.19204759375</v>
      </c>
      <c r="AK127" s="82">
        <f t="shared" si="313"/>
        <v>5.9733545971357982</v>
      </c>
      <c r="AL127" s="82"/>
      <c r="AM127" s="82">
        <f t="shared" si="314"/>
        <v>42.736093749999995</v>
      </c>
      <c r="AN127" s="82" t="s">
        <v>701</v>
      </c>
      <c r="AO127" s="82"/>
      <c r="AP127" s="82"/>
      <c r="AR127" s="77" t="s">
        <v>91</v>
      </c>
      <c r="AS127" s="63">
        <v>67</v>
      </c>
      <c r="AT127" s="63">
        <v>50</v>
      </c>
      <c r="AU127" s="63">
        <v>67</v>
      </c>
      <c r="AV127" s="63">
        <v>61</v>
      </c>
      <c r="AW127" s="63">
        <v>52</v>
      </c>
      <c r="AX127" s="63">
        <v>51</v>
      </c>
      <c r="AY127" s="63">
        <v>59</v>
      </c>
      <c r="AZ127" s="63">
        <v>70</v>
      </c>
      <c r="BA127" s="63">
        <v>56</v>
      </c>
      <c r="BB127" s="63">
        <v>82</v>
      </c>
      <c r="BC127" s="63">
        <v>50</v>
      </c>
      <c r="BD127" s="63">
        <v>52</v>
      </c>
      <c r="BE127" s="63">
        <v>60</v>
      </c>
      <c r="BF127" s="63">
        <v>65</v>
      </c>
      <c r="BG127" s="63">
        <v>39</v>
      </c>
      <c r="BH127" s="63">
        <v>72</v>
      </c>
    </row>
    <row r="128" spans="1:94" s="63" customFormat="1" ht="13.15" customHeight="1">
      <c r="A128" s="63" t="s">
        <v>84</v>
      </c>
      <c r="B128" s="63" t="s">
        <v>242</v>
      </c>
      <c r="C128" s="64" t="s">
        <v>243</v>
      </c>
      <c r="D128" s="65" t="s">
        <v>193</v>
      </c>
      <c r="E128" s="66" t="s">
        <v>160</v>
      </c>
      <c r="F128" s="162" t="s">
        <v>244</v>
      </c>
      <c r="G128" s="68" t="s">
        <v>96</v>
      </c>
      <c r="H128" s="69">
        <v>726</v>
      </c>
      <c r="I128" s="74">
        <v>27.32</v>
      </c>
      <c r="J128" s="92">
        <v>19093</v>
      </c>
      <c r="K128" s="93">
        <v>0.3</v>
      </c>
      <c r="L128" s="92">
        <f t="shared" si="350"/>
        <v>13365.1</v>
      </c>
      <c r="M128" s="94">
        <f t="shared" si="305"/>
        <v>18.409228650137742</v>
      </c>
      <c r="N128" s="74"/>
      <c r="O128" s="74"/>
      <c r="P128" s="74"/>
      <c r="Q128" s="74"/>
      <c r="R128" s="74"/>
      <c r="S128" s="75">
        <v>2.17</v>
      </c>
      <c r="T128" s="76"/>
      <c r="U128" s="63" t="s">
        <v>738</v>
      </c>
      <c r="V128" s="77" t="s">
        <v>103</v>
      </c>
      <c r="W128" s="77"/>
      <c r="X128" s="78">
        <v>0.41</v>
      </c>
      <c r="Y128" s="78"/>
      <c r="Z128" s="79">
        <v>0.4</v>
      </c>
      <c r="AA128" s="80">
        <v>45800</v>
      </c>
      <c r="AB128" s="81">
        <f t="shared" si="353"/>
        <v>55.8</v>
      </c>
      <c r="AC128" s="81">
        <f t="shared" si="351"/>
        <v>22.877999999999997</v>
      </c>
      <c r="AD128" s="81">
        <f t="shared" si="306"/>
        <v>152.88337889999997</v>
      </c>
      <c r="AE128" s="81">
        <f t="shared" si="352"/>
        <v>5.5960241178623704</v>
      </c>
      <c r="AF128" s="167"/>
      <c r="AG128" s="264"/>
      <c r="AH128" s="264">
        <f t="shared" si="288"/>
        <v>0</v>
      </c>
      <c r="AI128" s="77"/>
      <c r="AJ128" s="79">
        <f t="shared" si="312"/>
        <v>152.88337889999997</v>
      </c>
      <c r="AK128" s="82">
        <f t="shared" si="313"/>
        <v>5.5960241178623704</v>
      </c>
      <c r="AL128" s="82"/>
      <c r="AM128" s="82">
        <f t="shared" si="314"/>
        <v>40.03649999999999</v>
      </c>
      <c r="AN128" s="82" t="s">
        <v>701</v>
      </c>
      <c r="AO128" s="82"/>
      <c r="AP128" s="82"/>
      <c r="AR128" s="77" t="s">
        <v>116</v>
      </c>
      <c r="AS128" s="63">
        <v>58</v>
      </c>
      <c r="AT128" s="63">
        <v>49</v>
      </c>
      <c r="AU128" s="63">
        <v>65</v>
      </c>
      <c r="AV128" s="63">
        <v>55</v>
      </c>
      <c r="AW128" s="63">
        <v>59</v>
      </c>
      <c r="AX128" s="63">
        <v>69</v>
      </c>
      <c r="AY128" s="63">
        <v>63</v>
      </c>
      <c r="AZ128" s="63">
        <v>49</v>
      </c>
      <c r="BA128" s="63">
        <v>58</v>
      </c>
      <c r="BB128" s="63">
        <v>54</v>
      </c>
      <c r="BC128" s="63">
        <v>60</v>
      </c>
      <c r="BD128" s="63">
        <v>61</v>
      </c>
      <c r="BE128" s="63">
        <v>54</v>
      </c>
      <c r="BF128" s="63">
        <v>61</v>
      </c>
      <c r="BG128" s="63">
        <v>59</v>
      </c>
      <c r="BH128" s="63">
        <v>41</v>
      </c>
      <c r="BI128" s="63">
        <v>48</v>
      </c>
      <c r="BJ128" s="63">
        <v>52</v>
      </c>
      <c r="BK128" s="63">
        <v>54</v>
      </c>
      <c r="BL128" s="63">
        <v>47</v>
      </c>
    </row>
    <row r="129" spans="1:74" s="63" customFormat="1" ht="13.15" customHeight="1">
      <c r="A129" s="63" t="s">
        <v>84</v>
      </c>
      <c r="B129" s="63" t="s">
        <v>242</v>
      </c>
      <c r="C129" s="64" t="s">
        <v>243</v>
      </c>
      <c r="D129" s="65" t="s">
        <v>193</v>
      </c>
      <c r="E129" s="66" t="s">
        <v>160</v>
      </c>
      <c r="F129" s="162" t="s">
        <v>244</v>
      </c>
      <c r="G129" s="68" t="s">
        <v>96</v>
      </c>
      <c r="H129" s="69">
        <v>726</v>
      </c>
      <c r="I129" s="74">
        <v>27.32</v>
      </c>
      <c r="J129" s="92">
        <v>19093</v>
      </c>
      <c r="K129" s="93">
        <v>0.3</v>
      </c>
      <c r="L129" s="92">
        <f t="shared" ref="L129" si="354">J129-(J129*K129)</f>
        <v>13365.1</v>
      </c>
      <c r="M129" s="94">
        <f t="shared" ref="M129" si="355">L129/H129</f>
        <v>18.409228650137742</v>
      </c>
      <c r="N129" s="74"/>
      <c r="O129" s="74"/>
      <c r="P129" s="74"/>
      <c r="Q129" s="74"/>
      <c r="R129" s="74"/>
      <c r="S129" s="75">
        <v>2.17</v>
      </c>
      <c r="T129" s="76"/>
      <c r="U129" s="63" t="s">
        <v>738</v>
      </c>
      <c r="V129" s="77" t="s">
        <v>103</v>
      </c>
      <c r="W129" s="77"/>
      <c r="X129" s="78">
        <v>0.41</v>
      </c>
      <c r="Y129" s="78"/>
      <c r="Z129" s="79">
        <v>0.4</v>
      </c>
      <c r="AA129" s="80">
        <v>45835</v>
      </c>
      <c r="AB129" s="81">
        <f t="shared" ref="AB129" si="356">IFERROR(AVERAGE(AS129:CP129),0)</f>
        <v>62.25</v>
      </c>
      <c r="AC129" s="81">
        <f t="shared" ref="AC129" si="357">AB129*X129</f>
        <v>25.522499999999997</v>
      </c>
      <c r="AD129" s="81">
        <f t="shared" ref="AD129" si="358">(AC129*L129)/2000</f>
        <v>170.55538237499999</v>
      </c>
      <c r="AE129" s="81">
        <f t="shared" ref="AE129" si="359">IFERROR((AD129/I129),"")</f>
        <v>6.2428763680453878</v>
      </c>
      <c r="AF129" s="167"/>
      <c r="AG129" s="264"/>
      <c r="AH129" s="264">
        <f t="shared" si="288"/>
        <v>0</v>
      </c>
      <c r="AI129" s="77"/>
      <c r="AJ129" s="79">
        <f t="shared" ref="AJ129" si="360">AD129-(AI129*I129)</f>
        <v>170.55538237499999</v>
      </c>
      <c r="AK129" s="82">
        <f t="shared" ref="AK129" si="361">AJ129/I129</f>
        <v>6.2428763680453878</v>
      </c>
      <c r="AL129" s="82"/>
      <c r="AM129" s="82">
        <f t="shared" ref="AM129" si="362">((AJ129*2000)/Z129)/J129</f>
        <v>44.664374999999993</v>
      </c>
      <c r="AN129" s="82" t="s">
        <v>701</v>
      </c>
      <c r="AO129" s="82"/>
      <c r="AP129" s="82"/>
      <c r="AR129" s="77" t="s">
        <v>91</v>
      </c>
      <c r="AS129" s="63">
        <v>74</v>
      </c>
      <c r="AT129" s="63">
        <v>60</v>
      </c>
      <c r="AU129" s="63">
        <v>57</v>
      </c>
      <c r="AV129" s="63">
        <v>57</v>
      </c>
      <c r="AW129" s="63">
        <v>54</v>
      </c>
      <c r="AX129" s="63">
        <v>55</v>
      </c>
      <c r="AY129" s="63">
        <v>67</v>
      </c>
      <c r="AZ129" s="63">
        <v>79</v>
      </c>
      <c r="BA129" s="63">
        <v>57</v>
      </c>
      <c r="BB129" s="63">
        <v>61</v>
      </c>
      <c r="BC129" s="63">
        <v>70</v>
      </c>
      <c r="BD129" s="63">
        <v>56</v>
      </c>
    </row>
    <row r="130" spans="1:74" s="113" customFormat="1" ht="13.5" customHeight="1">
      <c r="A130" s="113" t="s">
        <v>84</v>
      </c>
      <c r="B130" s="113" t="s">
        <v>739</v>
      </c>
      <c r="C130" s="114" t="s">
        <v>740</v>
      </c>
      <c r="D130" s="128" t="s">
        <v>87</v>
      </c>
      <c r="E130" s="127" t="s">
        <v>88</v>
      </c>
      <c r="F130" s="126"/>
      <c r="G130" s="126" t="s">
        <v>181</v>
      </c>
      <c r="H130" s="123">
        <v>680.625</v>
      </c>
      <c r="I130" s="125">
        <v>4.2300000000000004</v>
      </c>
      <c r="J130" s="123">
        <v>2540</v>
      </c>
      <c r="K130" s="124">
        <v>0.08</v>
      </c>
      <c r="L130" s="123">
        <f t="shared" si="350"/>
        <v>2336.8000000000002</v>
      </c>
      <c r="M130" s="122">
        <f t="shared" si="305"/>
        <v>3.4333149678604227</v>
      </c>
      <c r="N130" s="118">
        <v>7.89</v>
      </c>
      <c r="O130" s="118">
        <v>5.26</v>
      </c>
      <c r="P130" s="118">
        <v>5.52</v>
      </c>
      <c r="Q130" s="118">
        <v>4.53</v>
      </c>
      <c r="R130" s="118">
        <v>5.83</v>
      </c>
      <c r="S130" s="153">
        <v>5.08</v>
      </c>
      <c r="T130" s="121">
        <f t="shared" ref="T130:T136" si="363">AVERAGE(N130:S130)</f>
        <v>5.6849999999999996</v>
      </c>
      <c r="V130" s="115" t="s">
        <v>103</v>
      </c>
      <c r="W130" s="115"/>
      <c r="X130" s="120">
        <v>0.32</v>
      </c>
      <c r="Y130" s="120"/>
      <c r="Z130" s="118">
        <v>0.33</v>
      </c>
      <c r="AA130" s="119">
        <v>45793</v>
      </c>
      <c r="AB130" s="117">
        <f t="shared" si="353"/>
        <v>53.25</v>
      </c>
      <c r="AC130" s="117">
        <f t="shared" si="351"/>
        <v>17.04</v>
      </c>
      <c r="AD130" s="117">
        <f t="shared" si="306"/>
        <v>19.909535999999999</v>
      </c>
      <c r="AE130" s="117">
        <f t="shared" si="352"/>
        <v>4.7067460992907799</v>
      </c>
      <c r="AF130" s="170">
        <f t="shared" ref="AF130:AF136" si="364">IFERROR(((AE130-S130)/AE130),"")</f>
        <v>-7.930189834660141E-2</v>
      </c>
      <c r="AG130" s="265"/>
      <c r="AH130" s="265">
        <f t="shared" si="288"/>
        <v>0</v>
      </c>
      <c r="AI130" s="115"/>
      <c r="AJ130" s="118">
        <f t="shared" si="312"/>
        <v>19.909535999999999</v>
      </c>
      <c r="AK130" s="116">
        <f t="shared" si="313"/>
        <v>4.7067460992907799</v>
      </c>
      <c r="AL130" s="116"/>
      <c r="AM130" s="116">
        <f t="shared" si="314"/>
        <v>47.50545454545454</v>
      </c>
      <c r="AN130" s="116" t="s">
        <v>701</v>
      </c>
      <c r="AO130" s="116">
        <f>8*I130</f>
        <v>33.840000000000003</v>
      </c>
      <c r="AP130" s="116">
        <f>AD130-AO130</f>
        <v>-13.930464000000004</v>
      </c>
      <c r="AR130" s="115" t="s">
        <v>116</v>
      </c>
      <c r="AS130" s="113">
        <v>44</v>
      </c>
      <c r="AT130" s="113">
        <v>52</v>
      </c>
      <c r="AU130" s="113">
        <v>49</v>
      </c>
      <c r="AV130" s="113">
        <v>59</v>
      </c>
      <c r="AW130" s="113">
        <v>60</v>
      </c>
      <c r="AX130" s="113">
        <v>65</v>
      </c>
      <c r="AY130" s="113">
        <v>57</v>
      </c>
      <c r="AZ130" s="113">
        <v>59</v>
      </c>
      <c r="BA130" s="113">
        <v>39</v>
      </c>
      <c r="BB130" s="113">
        <v>45</v>
      </c>
      <c r="BC130" s="113">
        <v>47</v>
      </c>
      <c r="BD130" s="113">
        <v>49</v>
      </c>
      <c r="BE130" s="113">
        <v>52</v>
      </c>
      <c r="BF130" s="113">
        <v>62</v>
      </c>
      <c r="BG130" s="113">
        <v>49</v>
      </c>
      <c r="BH130" s="113">
        <v>43</v>
      </c>
      <c r="BI130" s="113">
        <v>62</v>
      </c>
      <c r="BJ130" s="113">
        <v>60</v>
      </c>
      <c r="BK130" s="113">
        <v>53</v>
      </c>
      <c r="BL130" s="113">
        <v>59</v>
      </c>
    </row>
    <row r="131" spans="1:74" s="63" customFormat="1">
      <c r="A131" s="63" t="s">
        <v>84</v>
      </c>
      <c r="B131" s="63" t="s">
        <v>246</v>
      </c>
      <c r="C131" s="64" t="s">
        <v>247</v>
      </c>
      <c r="D131" s="65" t="s">
        <v>87</v>
      </c>
      <c r="E131" s="66" t="s">
        <v>160</v>
      </c>
      <c r="F131" s="68">
        <v>4</v>
      </c>
      <c r="G131" s="68" t="s">
        <v>145</v>
      </c>
      <c r="H131" s="69">
        <v>565.71428571428567</v>
      </c>
      <c r="I131" s="74">
        <v>8.84</v>
      </c>
      <c r="J131" s="69">
        <f>I131*566</f>
        <v>5003.4399999999996</v>
      </c>
      <c r="K131" s="72">
        <v>0.05</v>
      </c>
      <c r="L131" s="69">
        <f t="shared" si="350"/>
        <v>4753.268</v>
      </c>
      <c r="M131" s="86">
        <f t="shared" si="305"/>
        <v>8.4022414141414146</v>
      </c>
      <c r="N131" s="79">
        <v>8.11</v>
      </c>
      <c r="O131" s="79">
        <v>9.5</v>
      </c>
      <c r="P131" s="79">
        <v>4.6500000000000004</v>
      </c>
      <c r="Q131" s="79">
        <v>5.91</v>
      </c>
      <c r="R131" s="79">
        <v>7.19</v>
      </c>
      <c r="S131" s="84">
        <v>5.3</v>
      </c>
      <c r="T131" s="85">
        <f t="shared" si="363"/>
        <v>6.7766666666666664</v>
      </c>
      <c r="U131" s="63" t="s">
        <v>365</v>
      </c>
      <c r="V131" s="77" t="s">
        <v>366</v>
      </c>
      <c r="W131" s="77"/>
      <c r="X131" s="78">
        <v>0.38</v>
      </c>
      <c r="Y131" s="78"/>
      <c r="Z131" s="79">
        <v>0.4</v>
      </c>
      <c r="AA131" s="80">
        <v>45771</v>
      </c>
      <c r="AB131" s="81">
        <f t="shared" si="353"/>
        <v>89.666666666666671</v>
      </c>
      <c r="AC131" s="81">
        <f t="shared" si="351"/>
        <v>34.073333333333338</v>
      </c>
      <c r="AD131" s="81">
        <f t="shared" si="306"/>
        <v>80.979842493333351</v>
      </c>
      <c r="AE131" s="81">
        <f t="shared" si="352"/>
        <v>9.1606156666666685</v>
      </c>
      <c r="AF131" s="167">
        <f t="shared" si="364"/>
        <v>0.42143626663811945</v>
      </c>
      <c r="AG131" s="264"/>
      <c r="AH131" s="264">
        <f t="shared" si="288"/>
        <v>0</v>
      </c>
      <c r="AI131" s="77"/>
      <c r="AJ131" s="79">
        <f t="shared" si="312"/>
        <v>80.979842493333351</v>
      </c>
      <c r="AK131" s="82">
        <f t="shared" si="313"/>
        <v>9.1606156666666685</v>
      </c>
      <c r="AL131" s="82"/>
      <c r="AM131" s="82">
        <f t="shared" si="314"/>
        <v>80.924166666666679</v>
      </c>
      <c r="AN131" s="82" t="s">
        <v>701</v>
      </c>
      <c r="AO131" s="82"/>
      <c r="AP131" s="82"/>
      <c r="AR131" s="77" t="s">
        <v>91</v>
      </c>
      <c r="AS131" s="63">
        <v>116</v>
      </c>
      <c r="AT131" s="63">
        <v>94</v>
      </c>
      <c r="AU131" s="63">
        <v>91</v>
      </c>
      <c r="AV131" s="63">
        <v>91</v>
      </c>
      <c r="AW131" s="63">
        <v>111</v>
      </c>
      <c r="AX131" s="63">
        <v>84</v>
      </c>
      <c r="AY131" s="63">
        <v>95</v>
      </c>
      <c r="AZ131" s="63">
        <v>81</v>
      </c>
      <c r="BA131" s="63">
        <v>91</v>
      </c>
      <c r="BB131" s="63">
        <v>84</v>
      </c>
      <c r="BC131" s="63">
        <v>65</v>
      </c>
      <c r="BD131" s="63">
        <v>78</v>
      </c>
      <c r="BE131" s="63">
        <v>92</v>
      </c>
      <c r="BF131" s="63">
        <v>103</v>
      </c>
      <c r="BG131" s="63">
        <v>69</v>
      </c>
    </row>
    <row r="132" spans="1:74" s="63" customFormat="1">
      <c r="A132" s="63" t="s">
        <v>84</v>
      </c>
      <c r="B132" s="63" t="s">
        <v>246</v>
      </c>
      <c r="C132" s="64" t="s">
        <v>247</v>
      </c>
      <c r="D132" s="65" t="s">
        <v>87</v>
      </c>
      <c r="E132" s="66" t="s">
        <v>160</v>
      </c>
      <c r="F132" s="68">
        <v>4</v>
      </c>
      <c r="G132" s="68" t="s">
        <v>145</v>
      </c>
      <c r="H132" s="69">
        <v>565.71428571428567</v>
      </c>
      <c r="I132" s="74">
        <v>8.84</v>
      </c>
      <c r="J132" s="69">
        <f>I132*566</f>
        <v>5003.4399999999996</v>
      </c>
      <c r="K132" s="72">
        <v>0.05</v>
      </c>
      <c r="L132" s="69">
        <f t="shared" si="350"/>
        <v>4753.268</v>
      </c>
      <c r="M132" s="86">
        <f t="shared" si="305"/>
        <v>8.4022414141414146</v>
      </c>
      <c r="N132" s="79">
        <v>8.11</v>
      </c>
      <c r="O132" s="79">
        <v>9.5</v>
      </c>
      <c r="P132" s="79">
        <v>4.6500000000000004</v>
      </c>
      <c r="Q132" s="79">
        <v>5.91</v>
      </c>
      <c r="R132" s="79">
        <v>7.19</v>
      </c>
      <c r="S132" s="84">
        <v>5.3</v>
      </c>
      <c r="T132" s="85">
        <f t="shared" si="363"/>
        <v>6.7766666666666664</v>
      </c>
      <c r="U132" s="63" t="s">
        <v>365</v>
      </c>
      <c r="V132" s="77" t="s">
        <v>103</v>
      </c>
      <c r="W132" s="77"/>
      <c r="X132" s="78">
        <v>0.38</v>
      </c>
      <c r="Y132" s="78"/>
      <c r="Z132" s="79">
        <v>0.4</v>
      </c>
      <c r="AA132" s="80">
        <v>45789</v>
      </c>
      <c r="AB132" s="81">
        <f t="shared" si="353"/>
        <v>63.8</v>
      </c>
      <c r="AC132" s="81">
        <f t="shared" si="351"/>
        <v>24.244</v>
      </c>
      <c r="AD132" s="81">
        <f t="shared" si="306"/>
        <v>57.619114695999997</v>
      </c>
      <c r="AE132" s="81">
        <f t="shared" si="352"/>
        <v>6.5179993999999999</v>
      </c>
      <c r="AF132" s="167">
        <f t="shared" si="364"/>
        <v>0.1868670623074927</v>
      </c>
      <c r="AG132" s="264"/>
      <c r="AH132" s="264">
        <f t="shared" si="288"/>
        <v>0</v>
      </c>
      <c r="AI132" s="77"/>
      <c r="AJ132" s="79">
        <f t="shared" si="312"/>
        <v>57.619114695999997</v>
      </c>
      <c r="AK132" s="82">
        <f t="shared" si="313"/>
        <v>6.5179993999999999</v>
      </c>
      <c r="AL132" s="82"/>
      <c r="AM132" s="82">
        <f t="shared" si="314"/>
        <v>57.579499999999996</v>
      </c>
      <c r="AN132" s="82" t="s">
        <v>701</v>
      </c>
      <c r="AO132" s="82"/>
      <c r="AP132" s="82"/>
      <c r="AR132" s="77" t="s">
        <v>91</v>
      </c>
      <c r="AS132" s="63">
        <v>65</v>
      </c>
      <c r="AT132" s="63">
        <v>88</v>
      </c>
      <c r="AU132" s="63">
        <v>80</v>
      </c>
      <c r="AV132" s="63">
        <v>75</v>
      </c>
      <c r="AW132" s="63">
        <v>69</v>
      </c>
      <c r="AX132" s="63">
        <v>48</v>
      </c>
      <c r="AY132" s="63">
        <v>59</v>
      </c>
      <c r="AZ132" s="63">
        <v>55</v>
      </c>
      <c r="BA132" s="63">
        <v>78</v>
      </c>
      <c r="BB132" s="63">
        <v>67</v>
      </c>
      <c r="BC132" s="63">
        <v>69</v>
      </c>
      <c r="BD132" s="63">
        <v>73</v>
      </c>
      <c r="BE132" s="63">
        <v>51</v>
      </c>
      <c r="BF132" s="63">
        <v>49</v>
      </c>
      <c r="BG132" s="63">
        <v>55</v>
      </c>
      <c r="BH132" s="63">
        <v>60</v>
      </c>
      <c r="BI132" s="63">
        <v>53</v>
      </c>
      <c r="BJ132" s="63">
        <v>65</v>
      </c>
      <c r="BK132" s="63">
        <v>58</v>
      </c>
      <c r="BL132" s="63">
        <v>59</v>
      </c>
    </row>
    <row r="133" spans="1:74" s="63" customFormat="1">
      <c r="A133" s="63" t="s">
        <v>84</v>
      </c>
      <c r="B133" s="63" t="s">
        <v>246</v>
      </c>
      <c r="C133" s="64" t="s">
        <v>247</v>
      </c>
      <c r="D133" s="65" t="s">
        <v>87</v>
      </c>
      <c r="E133" s="66" t="s">
        <v>160</v>
      </c>
      <c r="F133" s="68">
        <v>4</v>
      </c>
      <c r="G133" s="68" t="s">
        <v>145</v>
      </c>
      <c r="H133" s="69">
        <v>565.71428571428567</v>
      </c>
      <c r="I133" s="74">
        <v>8.84</v>
      </c>
      <c r="J133" s="69">
        <f>I133*566</f>
        <v>5003.4399999999996</v>
      </c>
      <c r="K133" s="72">
        <v>0.05</v>
      </c>
      <c r="L133" s="69">
        <f t="shared" si="350"/>
        <v>4753.268</v>
      </c>
      <c r="M133" s="86">
        <f t="shared" si="305"/>
        <v>8.4022414141414146</v>
      </c>
      <c r="N133" s="79">
        <v>8.11</v>
      </c>
      <c r="O133" s="79">
        <v>9.5</v>
      </c>
      <c r="P133" s="79">
        <v>4.6500000000000004</v>
      </c>
      <c r="Q133" s="79">
        <v>5.91</v>
      </c>
      <c r="R133" s="79">
        <v>7.19</v>
      </c>
      <c r="S133" s="84">
        <v>5.3</v>
      </c>
      <c r="T133" s="85">
        <f t="shared" si="363"/>
        <v>6.7766666666666664</v>
      </c>
      <c r="U133" s="63" t="s">
        <v>365</v>
      </c>
      <c r="V133" s="77" t="s">
        <v>103</v>
      </c>
      <c r="W133" s="77"/>
      <c r="X133" s="78">
        <v>0.38</v>
      </c>
      <c r="Y133" s="78"/>
      <c r="Z133" s="79">
        <v>0.4</v>
      </c>
      <c r="AA133" s="80">
        <v>45823</v>
      </c>
      <c r="AB133" s="81">
        <f t="shared" si="353"/>
        <v>51.75</v>
      </c>
      <c r="AC133" s="81">
        <f t="shared" si="351"/>
        <v>19.664999999999999</v>
      </c>
      <c r="AD133" s="81">
        <f t="shared" si="306"/>
        <v>46.736507610000004</v>
      </c>
      <c r="AE133" s="81">
        <f t="shared" si="352"/>
        <v>5.2869352500000009</v>
      </c>
      <c r="AF133" s="167">
        <f t="shared" si="364"/>
        <v>-2.471138643129582E-3</v>
      </c>
      <c r="AG133" s="264"/>
      <c r="AH133" s="264">
        <f t="shared" ref="AH133:AH196" si="365">(((AG133*M133)*2000)/L133)/AB133</f>
        <v>0</v>
      </c>
      <c r="AI133" s="77"/>
      <c r="AJ133" s="79">
        <f t="shared" si="312"/>
        <v>46.736507610000004</v>
      </c>
      <c r="AK133" s="82">
        <f t="shared" si="313"/>
        <v>5.2869352500000009</v>
      </c>
      <c r="AL133" s="82"/>
      <c r="AM133" s="82">
        <f t="shared" si="314"/>
        <v>46.704375000000006</v>
      </c>
      <c r="AN133" s="82" t="s">
        <v>701</v>
      </c>
      <c r="AO133" s="82"/>
      <c r="AP133" s="82"/>
      <c r="AR133" s="77" t="s">
        <v>116</v>
      </c>
      <c r="AS133" s="63">
        <v>54</v>
      </c>
      <c r="AT133" s="63">
        <v>62</v>
      </c>
      <c r="AU133" s="63">
        <v>60</v>
      </c>
      <c r="AV133" s="63">
        <v>59</v>
      </c>
      <c r="AW133" s="63">
        <v>50</v>
      </c>
      <c r="AX133" s="63">
        <v>50</v>
      </c>
      <c r="AY133" s="63">
        <v>55</v>
      </c>
      <c r="AZ133" s="63">
        <v>61</v>
      </c>
      <c r="BA133" s="63">
        <v>48</v>
      </c>
      <c r="BB133" s="63">
        <v>39</v>
      </c>
      <c r="BC133" s="63">
        <v>54</v>
      </c>
      <c r="BD133" s="63">
        <v>50</v>
      </c>
      <c r="BE133" s="63">
        <v>42</v>
      </c>
      <c r="BF133" s="63">
        <v>49</v>
      </c>
      <c r="BG133" s="63">
        <v>52</v>
      </c>
      <c r="BH133" s="63">
        <v>43</v>
      </c>
    </row>
    <row r="134" spans="1:74" s="113" customFormat="1">
      <c r="A134" s="113" t="s">
        <v>84</v>
      </c>
      <c r="B134" s="113" t="s">
        <v>248</v>
      </c>
      <c r="C134" s="114" t="s">
        <v>249</v>
      </c>
      <c r="D134" s="128" t="s">
        <v>87</v>
      </c>
      <c r="E134" s="127" t="s">
        <v>160</v>
      </c>
      <c r="F134" s="126">
        <v>4</v>
      </c>
      <c r="G134" s="126" t="s">
        <v>145</v>
      </c>
      <c r="H134" s="123">
        <v>680.625</v>
      </c>
      <c r="I134" s="125">
        <v>23.25</v>
      </c>
      <c r="J134" s="155">
        <v>15807</v>
      </c>
      <c r="K134" s="156">
        <v>0.12</v>
      </c>
      <c r="L134" s="155">
        <f t="shared" si="350"/>
        <v>13910.16</v>
      </c>
      <c r="M134" s="157">
        <f t="shared" si="305"/>
        <v>20.437333333333331</v>
      </c>
      <c r="N134" s="118">
        <v>8.56</v>
      </c>
      <c r="O134" s="118">
        <v>7.86</v>
      </c>
      <c r="P134" s="118">
        <v>6.38</v>
      </c>
      <c r="Q134" s="118">
        <v>7.41</v>
      </c>
      <c r="R134" s="118">
        <v>6.9</v>
      </c>
      <c r="S134" s="153">
        <v>6.89</v>
      </c>
      <c r="T134" s="121">
        <f t="shared" si="363"/>
        <v>7.333333333333333</v>
      </c>
      <c r="U134" s="113" t="s">
        <v>365</v>
      </c>
      <c r="V134" s="115" t="s">
        <v>103</v>
      </c>
      <c r="W134" s="115"/>
      <c r="X134" s="120">
        <v>0.34</v>
      </c>
      <c r="Y134" s="120"/>
      <c r="Z134" s="118">
        <v>0.4</v>
      </c>
      <c r="AA134" s="119">
        <v>45771</v>
      </c>
      <c r="AB134" s="117">
        <f t="shared" si="353"/>
        <v>55.65</v>
      </c>
      <c r="AC134" s="117">
        <f t="shared" si="351"/>
        <v>18.920999999999999</v>
      </c>
      <c r="AD134" s="117">
        <f t="shared" si="306"/>
        <v>131.59706868000001</v>
      </c>
      <c r="AE134" s="117">
        <f t="shared" si="352"/>
        <v>5.6600889754838715</v>
      </c>
      <c r="AF134" s="170">
        <f t="shared" si="364"/>
        <v>-0.21729535168852804</v>
      </c>
      <c r="AG134" s="265"/>
      <c r="AH134" s="265">
        <f t="shared" si="365"/>
        <v>0</v>
      </c>
      <c r="AI134" s="115"/>
      <c r="AJ134" s="118">
        <f t="shared" si="312"/>
        <v>131.59706868000001</v>
      </c>
      <c r="AK134" s="116">
        <f t="shared" si="313"/>
        <v>5.6600889754838715</v>
      </c>
      <c r="AL134" s="116"/>
      <c r="AM134" s="116">
        <f t="shared" si="314"/>
        <v>41.62619999999999</v>
      </c>
      <c r="AN134" s="116"/>
      <c r="AO134" s="116"/>
      <c r="AP134" s="116"/>
      <c r="AR134" s="115" t="s">
        <v>91</v>
      </c>
      <c r="AS134" s="113">
        <v>30</v>
      </c>
      <c r="AT134" s="113">
        <v>78</v>
      </c>
      <c r="AU134" s="113">
        <v>51</v>
      </c>
      <c r="AV134" s="113">
        <v>52</v>
      </c>
      <c r="AW134" s="113">
        <v>53</v>
      </c>
      <c r="AX134" s="113">
        <v>52</v>
      </c>
      <c r="AY134" s="113">
        <v>66</v>
      </c>
      <c r="AZ134" s="113">
        <v>60</v>
      </c>
      <c r="BA134" s="113">
        <v>72</v>
      </c>
      <c r="BB134" s="113">
        <v>43</v>
      </c>
      <c r="BC134" s="113">
        <v>65</v>
      </c>
      <c r="BD134" s="113">
        <v>50</v>
      </c>
      <c r="BE134" s="113">
        <v>49</v>
      </c>
      <c r="BF134" s="113">
        <v>60</v>
      </c>
      <c r="BG134" s="113">
        <v>52</v>
      </c>
      <c r="BH134" s="113">
        <v>43</v>
      </c>
      <c r="BI134" s="113">
        <v>55</v>
      </c>
      <c r="BJ134" s="113">
        <v>56</v>
      </c>
      <c r="BK134" s="113">
        <v>71</v>
      </c>
      <c r="BL134" s="113">
        <v>55</v>
      </c>
    </row>
    <row r="135" spans="1:74" s="63" customFormat="1">
      <c r="A135" s="63" t="s">
        <v>84</v>
      </c>
      <c r="B135" s="63" t="s">
        <v>250</v>
      </c>
      <c r="C135" s="64" t="s">
        <v>251</v>
      </c>
      <c r="D135" s="65" t="s">
        <v>87</v>
      </c>
      <c r="E135" s="66" t="s">
        <v>114</v>
      </c>
      <c r="F135" s="68">
        <v>3</v>
      </c>
      <c r="G135" s="68" t="s">
        <v>96</v>
      </c>
      <c r="H135" s="69">
        <v>680.625</v>
      </c>
      <c r="I135" s="74">
        <v>23.13</v>
      </c>
      <c r="J135" s="69">
        <v>15414</v>
      </c>
      <c r="K135" s="72">
        <v>0.01</v>
      </c>
      <c r="L135" s="69">
        <f t="shared" si="350"/>
        <v>15259.86</v>
      </c>
      <c r="M135" s="86">
        <f t="shared" si="305"/>
        <v>22.420363636363636</v>
      </c>
      <c r="N135" s="79">
        <v>8.09</v>
      </c>
      <c r="O135" s="79">
        <v>8.61</v>
      </c>
      <c r="P135" s="79">
        <v>9.0500000000000007</v>
      </c>
      <c r="Q135" s="79">
        <v>8.69</v>
      </c>
      <c r="R135" s="79">
        <v>6.32</v>
      </c>
      <c r="S135" s="84">
        <v>9.3699999999999992</v>
      </c>
      <c r="T135" s="85">
        <f t="shared" si="363"/>
        <v>8.3549999999999986</v>
      </c>
      <c r="V135" s="77" t="s">
        <v>366</v>
      </c>
      <c r="W135" s="77"/>
      <c r="X135" s="78">
        <v>0.25</v>
      </c>
      <c r="Y135" s="78"/>
      <c r="Z135" s="79">
        <v>0.38</v>
      </c>
      <c r="AA135" s="80">
        <v>45785</v>
      </c>
      <c r="AB135" s="81">
        <f t="shared" si="353"/>
        <v>122.5625</v>
      </c>
      <c r="AC135" s="81">
        <f t="shared" si="351"/>
        <v>30.640625</v>
      </c>
      <c r="AD135" s="81">
        <f t="shared" si="306"/>
        <v>233.78582390625002</v>
      </c>
      <c r="AE135" s="81">
        <f t="shared" si="352"/>
        <v>10.107471850680936</v>
      </c>
      <c r="AF135" s="167">
        <f t="shared" si="364"/>
        <v>7.2963037797750915E-2</v>
      </c>
      <c r="AG135" s="264">
        <v>6.46</v>
      </c>
      <c r="AH135" s="264">
        <f t="shared" si="365"/>
        <v>0.15488059398865575</v>
      </c>
      <c r="AI135" s="77"/>
      <c r="AJ135" s="79">
        <f t="shared" si="312"/>
        <v>233.78582390625002</v>
      </c>
      <c r="AK135" s="82">
        <f t="shared" si="313"/>
        <v>10.107471850680936</v>
      </c>
      <c r="AL135" s="82"/>
      <c r="AM135" s="82">
        <f t="shared" si="314"/>
        <v>79.826891447368425</v>
      </c>
      <c r="AN135" s="82" t="s">
        <v>701</v>
      </c>
      <c r="AO135" s="82"/>
      <c r="AP135" s="82"/>
      <c r="AQ135" s="176"/>
      <c r="AR135" s="77" t="s">
        <v>91</v>
      </c>
      <c r="AS135" s="63">
        <v>137</v>
      </c>
      <c r="AT135" s="63">
        <v>96</v>
      </c>
      <c r="AU135" s="63">
        <v>113</v>
      </c>
      <c r="AV135" s="63">
        <v>82</v>
      </c>
      <c r="AW135" s="63">
        <v>110</v>
      </c>
      <c r="AX135" s="63">
        <v>108</v>
      </c>
      <c r="AY135" s="63">
        <v>136</v>
      </c>
      <c r="AZ135" s="63">
        <v>168</v>
      </c>
      <c r="BA135" s="63">
        <v>84</v>
      </c>
      <c r="BB135" s="63">
        <v>155</v>
      </c>
      <c r="BC135" s="63">
        <v>104</v>
      </c>
      <c r="BD135" s="63">
        <v>133</v>
      </c>
      <c r="BE135" s="63">
        <v>157</v>
      </c>
      <c r="BF135" s="63">
        <v>130</v>
      </c>
      <c r="BG135" s="63">
        <v>146</v>
      </c>
      <c r="BH135" s="63">
        <v>102</v>
      </c>
    </row>
    <row r="136" spans="1:74" s="63" customFormat="1">
      <c r="A136" s="63" t="s">
        <v>84</v>
      </c>
      <c r="B136" s="63" t="s">
        <v>250</v>
      </c>
      <c r="C136" s="64" t="s">
        <v>251</v>
      </c>
      <c r="D136" s="65" t="s">
        <v>87</v>
      </c>
      <c r="E136" s="66" t="s">
        <v>114</v>
      </c>
      <c r="F136" s="68">
        <v>3</v>
      </c>
      <c r="G136" s="68" t="s">
        <v>96</v>
      </c>
      <c r="H136" s="69">
        <v>680.625</v>
      </c>
      <c r="I136" s="74">
        <v>23.13</v>
      </c>
      <c r="J136" s="69">
        <v>15414</v>
      </c>
      <c r="K136" s="72">
        <v>0.01</v>
      </c>
      <c r="L136" s="69">
        <f t="shared" si="350"/>
        <v>15259.86</v>
      </c>
      <c r="M136" s="86">
        <f t="shared" si="305"/>
        <v>22.420363636363636</v>
      </c>
      <c r="N136" s="79">
        <v>8.09</v>
      </c>
      <c r="O136" s="79">
        <v>8.61</v>
      </c>
      <c r="P136" s="79">
        <v>9.0500000000000007</v>
      </c>
      <c r="Q136" s="79">
        <v>8.69</v>
      </c>
      <c r="R136" s="79">
        <v>6.32</v>
      </c>
      <c r="S136" s="84">
        <v>9.3699999999999992</v>
      </c>
      <c r="T136" s="85">
        <f t="shared" si="363"/>
        <v>8.3549999999999986</v>
      </c>
      <c r="V136" s="77" t="s">
        <v>103</v>
      </c>
      <c r="W136" s="77"/>
      <c r="X136" s="78">
        <v>0.3</v>
      </c>
      <c r="Y136" s="78"/>
      <c r="Z136" s="79">
        <v>0.38</v>
      </c>
      <c r="AA136" s="80">
        <v>45831</v>
      </c>
      <c r="AB136" s="81">
        <f t="shared" si="353"/>
        <v>93.75</v>
      </c>
      <c r="AC136" s="81">
        <f t="shared" si="351"/>
        <v>28.125</v>
      </c>
      <c r="AD136" s="81">
        <f t="shared" si="306"/>
        <v>214.59178125</v>
      </c>
      <c r="AE136" s="81">
        <f t="shared" si="352"/>
        <v>9.2776386186770434</v>
      </c>
      <c r="AF136" s="167">
        <f t="shared" si="364"/>
        <v>-9.9552682658948163E-3</v>
      </c>
      <c r="AG136" s="264">
        <v>6.46</v>
      </c>
      <c r="AH136" s="264">
        <f t="shared" si="365"/>
        <v>0.20248056320783595</v>
      </c>
      <c r="AI136" s="77"/>
      <c r="AJ136" s="79">
        <f t="shared" si="312"/>
        <v>214.59178125</v>
      </c>
      <c r="AK136" s="82">
        <f t="shared" si="313"/>
        <v>9.2776386186770434</v>
      </c>
      <c r="AL136" s="82"/>
      <c r="AM136" s="82">
        <f t="shared" si="314"/>
        <v>73.273026315789465</v>
      </c>
      <c r="AN136" s="82" t="s">
        <v>701</v>
      </c>
      <c r="AO136" s="82"/>
      <c r="AP136" s="82"/>
      <c r="AQ136" s="176"/>
      <c r="AR136" s="77" t="s">
        <v>91</v>
      </c>
      <c r="AS136" s="63">
        <v>99</v>
      </c>
      <c r="AT136" s="63">
        <v>71</v>
      </c>
      <c r="AU136" s="63">
        <v>74</v>
      </c>
      <c r="AV136" s="63">
        <v>59</v>
      </c>
      <c r="AW136" s="63">
        <v>132</v>
      </c>
      <c r="AX136" s="63">
        <v>79</v>
      </c>
      <c r="AY136" s="63">
        <v>98</v>
      </c>
      <c r="AZ136" s="63">
        <v>100</v>
      </c>
      <c r="BA136" s="63">
        <v>70</v>
      </c>
      <c r="BB136" s="63">
        <v>107</v>
      </c>
      <c r="BC136" s="63">
        <v>124</v>
      </c>
      <c r="BD136" s="63">
        <v>112</v>
      </c>
    </row>
    <row r="137" spans="1:74" s="113" customFormat="1">
      <c r="A137" s="113" t="s">
        <v>84</v>
      </c>
      <c r="B137" s="113" t="s">
        <v>253</v>
      </c>
      <c r="C137" s="114" t="s">
        <v>254</v>
      </c>
      <c r="D137" s="128" t="s">
        <v>87</v>
      </c>
      <c r="E137" s="127" t="s">
        <v>129</v>
      </c>
      <c r="F137" s="126"/>
      <c r="G137" s="126"/>
      <c r="H137" s="123">
        <v>691</v>
      </c>
      <c r="I137" s="125">
        <v>10.65</v>
      </c>
      <c r="J137" s="123">
        <v>7055</v>
      </c>
      <c r="K137" s="124"/>
      <c r="L137" s="123">
        <f t="shared" si="350"/>
        <v>7055</v>
      </c>
      <c r="M137" s="122">
        <f t="shared" si="305"/>
        <v>10.209840810419681</v>
      </c>
      <c r="N137" s="118"/>
      <c r="O137" s="118"/>
      <c r="P137" s="118"/>
      <c r="Q137" s="118"/>
      <c r="R137" s="118"/>
      <c r="S137" s="153"/>
      <c r="T137" s="121"/>
      <c r="U137" s="113" t="s">
        <v>741</v>
      </c>
      <c r="V137" s="115" t="s">
        <v>103</v>
      </c>
      <c r="W137" s="115"/>
      <c r="X137" s="120"/>
      <c r="Y137" s="120"/>
      <c r="Z137" s="118">
        <v>0.45</v>
      </c>
      <c r="AA137" s="119">
        <v>45769</v>
      </c>
      <c r="AB137" s="117">
        <f t="shared" si="353"/>
        <v>53.533333333333331</v>
      </c>
      <c r="AC137" s="117">
        <f>AB137*Z137</f>
        <v>24.09</v>
      </c>
      <c r="AD137" s="117">
        <f t="shared" si="306"/>
        <v>84.977475000000013</v>
      </c>
      <c r="AE137" s="117">
        <f t="shared" si="352"/>
        <v>7.9791056338028179</v>
      </c>
      <c r="AF137" s="170"/>
      <c r="AG137" s="265"/>
      <c r="AH137" s="265">
        <f t="shared" si="365"/>
        <v>0</v>
      </c>
      <c r="AI137" s="115"/>
      <c r="AJ137" s="118"/>
      <c r="AK137" s="116"/>
      <c r="AL137" s="116"/>
      <c r="AM137" s="116"/>
      <c r="AN137" s="116"/>
      <c r="AO137" s="116"/>
      <c r="AP137" s="116"/>
      <c r="AR137" s="115" t="s">
        <v>92</v>
      </c>
      <c r="AS137" s="113">
        <v>58</v>
      </c>
      <c r="AT137" s="113">
        <v>61</v>
      </c>
      <c r="AU137" s="113">
        <v>56</v>
      </c>
      <c r="AV137" s="113">
        <v>57</v>
      </c>
      <c r="AW137" s="113">
        <v>51</v>
      </c>
      <c r="AX137" s="113">
        <v>45</v>
      </c>
      <c r="AY137" s="113">
        <v>58</v>
      </c>
      <c r="AZ137" s="113">
        <v>56</v>
      </c>
      <c r="BA137" s="113">
        <v>54</v>
      </c>
      <c r="BB137" s="113">
        <v>48</v>
      </c>
      <c r="BC137" s="113">
        <v>51</v>
      </c>
      <c r="BD137" s="113">
        <v>53</v>
      </c>
      <c r="BE137" s="113">
        <v>41</v>
      </c>
      <c r="BF137" s="113">
        <v>61</v>
      </c>
      <c r="BG137" s="113">
        <v>52</v>
      </c>
      <c r="BH137" s="113">
        <v>54</v>
      </c>
      <c r="BI137" s="113">
        <v>52</v>
      </c>
      <c r="BJ137" s="113">
        <v>48</v>
      </c>
      <c r="BK137" s="113">
        <v>56</v>
      </c>
      <c r="BL137" s="113">
        <v>51</v>
      </c>
      <c r="BM137" s="113">
        <v>60</v>
      </c>
      <c r="BN137" s="113">
        <v>49</v>
      </c>
      <c r="BO137" s="113">
        <v>57</v>
      </c>
      <c r="BP137" s="113">
        <v>48</v>
      </c>
      <c r="BQ137" s="113">
        <v>47</v>
      </c>
      <c r="BR137" s="113">
        <v>62</v>
      </c>
      <c r="BS137" s="113">
        <v>53</v>
      </c>
      <c r="BT137" s="113">
        <v>59</v>
      </c>
      <c r="BU137" s="113">
        <v>53</v>
      </c>
      <c r="BV137" s="113">
        <v>55</v>
      </c>
    </row>
    <row r="138" spans="1:74" s="113" customFormat="1">
      <c r="A138" s="113" t="s">
        <v>84</v>
      </c>
      <c r="B138" s="113" t="s">
        <v>253</v>
      </c>
      <c r="C138" s="114" t="s">
        <v>254</v>
      </c>
      <c r="D138" s="128" t="s">
        <v>87</v>
      </c>
      <c r="E138" s="127" t="s">
        <v>129</v>
      </c>
      <c r="F138" s="126"/>
      <c r="G138" s="126"/>
      <c r="H138" s="123">
        <v>691</v>
      </c>
      <c r="I138" s="125">
        <v>10.65</v>
      </c>
      <c r="J138" s="123">
        <v>7055</v>
      </c>
      <c r="K138" s="124"/>
      <c r="L138" s="123">
        <f t="shared" si="350"/>
        <v>7055</v>
      </c>
      <c r="M138" s="122">
        <f t="shared" si="305"/>
        <v>10.209840810419681</v>
      </c>
      <c r="N138" s="118"/>
      <c r="O138" s="118"/>
      <c r="P138" s="118"/>
      <c r="Q138" s="118"/>
      <c r="R138" s="118"/>
      <c r="S138" s="153"/>
      <c r="T138" s="121"/>
      <c r="U138" s="113" t="s">
        <v>365</v>
      </c>
      <c r="V138" s="115" t="s">
        <v>366</v>
      </c>
      <c r="W138" s="115"/>
      <c r="X138" s="120"/>
      <c r="Y138" s="120"/>
      <c r="Z138" s="118">
        <v>0.42</v>
      </c>
      <c r="AA138" s="119">
        <v>45769</v>
      </c>
      <c r="AB138" s="117">
        <f t="shared" si="353"/>
        <v>88.933333333333337</v>
      </c>
      <c r="AC138" s="117">
        <f>AB138*Z138</f>
        <v>37.351999999999997</v>
      </c>
      <c r="AD138" s="117">
        <f t="shared" si="306"/>
        <v>131.75917999999999</v>
      </c>
      <c r="AE138" s="117">
        <f t="shared" si="352"/>
        <v>12.371753990610326</v>
      </c>
      <c r="AF138" s="170"/>
      <c r="AG138" s="265"/>
      <c r="AH138" s="265">
        <f t="shared" si="365"/>
        <v>0</v>
      </c>
      <c r="AI138" s="115"/>
      <c r="AJ138" s="118"/>
      <c r="AK138" s="116"/>
      <c r="AL138" s="116"/>
      <c r="AM138" s="116"/>
      <c r="AN138" s="116"/>
      <c r="AO138" s="116"/>
      <c r="AP138" s="116"/>
      <c r="AR138" s="115" t="s">
        <v>91</v>
      </c>
      <c r="AS138" s="113">
        <v>69</v>
      </c>
      <c r="AT138" s="113">
        <v>69</v>
      </c>
      <c r="AU138" s="113">
        <v>78</v>
      </c>
      <c r="AV138" s="113">
        <v>76</v>
      </c>
      <c r="AW138" s="113">
        <v>99</v>
      </c>
      <c r="AX138" s="113">
        <v>81</v>
      </c>
      <c r="AY138" s="113">
        <v>104</v>
      </c>
      <c r="AZ138" s="113">
        <v>123</v>
      </c>
      <c r="BA138" s="113">
        <v>91</v>
      </c>
      <c r="BB138" s="113">
        <v>107</v>
      </c>
      <c r="BC138" s="113">
        <v>100</v>
      </c>
      <c r="BD138" s="113">
        <v>75</v>
      </c>
      <c r="BE138" s="113">
        <v>109</v>
      </c>
      <c r="BF138" s="113">
        <v>86</v>
      </c>
      <c r="BG138" s="113">
        <v>67</v>
      </c>
    </row>
    <row r="139" spans="1:74" s="63" customFormat="1">
      <c r="A139" s="63" t="s">
        <v>84</v>
      </c>
      <c r="B139" s="63" t="s">
        <v>255</v>
      </c>
      <c r="C139" s="64" t="s">
        <v>256</v>
      </c>
      <c r="D139" s="65" t="s">
        <v>87</v>
      </c>
      <c r="E139" s="66" t="s">
        <v>129</v>
      </c>
      <c r="F139" s="68"/>
      <c r="G139" s="68"/>
      <c r="H139" s="69">
        <v>545</v>
      </c>
      <c r="I139" s="74">
        <v>12.09</v>
      </c>
      <c r="J139" s="69">
        <v>5777</v>
      </c>
      <c r="K139" s="72"/>
      <c r="L139" s="69">
        <f t="shared" si="350"/>
        <v>5777</v>
      </c>
      <c r="M139" s="86">
        <f t="shared" si="305"/>
        <v>10.6</v>
      </c>
      <c r="N139" s="79"/>
      <c r="O139" s="79"/>
      <c r="P139" s="79"/>
      <c r="Q139" s="79"/>
      <c r="R139" s="79"/>
      <c r="S139" s="84"/>
      <c r="T139" s="85"/>
      <c r="U139" s="63" t="s">
        <v>365</v>
      </c>
      <c r="V139" s="77" t="s">
        <v>103</v>
      </c>
      <c r="W139" s="77"/>
      <c r="X139" s="78"/>
      <c r="Y139" s="78"/>
      <c r="Z139" s="79">
        <v>0.45</v>
      </c>
      <c r="AA139" s="80">
        <v>45771</v>
      </c>
      <c r="AB139" s="81">
        <f t="shared" si="353"/>
        <v>67.75</v>
      </c>
      <c r="AC139" s="81">
        <f>AB139*Z139</f>
        <v>30.487500000000001</v>
      </c>
      <c r="AD139" s="81">
        <f t="shared" si="306"/>
        <v>88.063143750000009</v>
      </c>
      <c r="AE139" s="81">
        <f t="shared" si="352"/>
        <v>7.2839655707196034</v>
      </c>
      <c r="AF139" s="167"/>
      <c r="AG139" s="264"/>
      <c r="AH139" s="264">
        <f t="shared" si="365"/>
        <v>0</v>
      </c>
      <c r="AI139" s="77"/>
      <c r="AJ139" s="79"/>
      <c r="AK139" s="82"/>
      <c r="AL139" s="82"/>
      <c r="AM139" s="82"/>
      <c r="AN139" s="82"/>
      <c r="AO139" s="82"/>
      <c r="AP139" s="82"/>
      <c r="AR139" s="77" t="s">
        <v>116</v>
      </c>
      <c r="AS139" s="63">
        <v>79</v>
      </c>
      <c r="AT139" s="63">
        <v>52</v>
      </c>
      <c r="AU139" s="63">
        <v>83</v>
      </c>
      <c r="AV139" s="63">
        <v>60</v>
      </c>
      <c r="AW139" s="63">
        <v>67</v>
      </c>
      <c r="AX139" s="63">
        <v>57</v>
      </c>
      <c r="AY139" s="63">
        <v>37</v>
      </c>
      <c r="AZ139" s="63">
        <v>67</v>
      </c>
      <c r="BA139" s="63">
        <v>55</v>
      </c>
      <c r="BB139" s="63">
        <v>82</v>
      </c>
      <c r="BC139" s="63">
        <v>82</v>
      </c>
      <c r="BD139" s="63">
        <v>110</v>
      </c>
      <c r="BE139" s="63">
        <v>95</v>
      </c>
      <c r="BF139" s="63">
        <v>57</v>
      </c>
      <c r="BG139" s="63">
        <v>64</v>
      </c>
      <c r="BH139" s="63">
        <v>47</v>
      </c>
      <c r="BI139" s="63">
        <v>54</v>
      </c>
      <c r="BJ139" s="63">
        <v>53</v>
      </c>
      <c r="BK139" s="63">
        <v>87</v>
      </c>
      <c r="BL139" s="63">
        <v>67</v>
      </c>
    </row>
    <row r="140" spans="1:74" s="113" customFormat="1">
      <c r="A140" s="113" t="s">
        <v>84</v>
      </c>
      <c r="B140" s="113" t="s">
        <v>257</v>
      </c>
      <c r="C140" s="114" t="s">
        <v>258</v>
      </c>
      <c r="D140" s="128" t="s">
        <v>87</v>
      </c>
      <c r="E140" s="127" t="s">
        <v>88</v>
      </c>
      <c r="F140" s="126">
        <v>7</v>
      </c>
      <c r="G140" s="126" t="s">
        <v>145</v>
      </c>
      <c r="H140" s="123">
        <v>622.28571428571433</v>
      </c>
      <c r="I140" s="125">
        <v>44</v>
      </c>
      <c r="J140" s="123">
        <v>27017</v>
      </c>
      <c r="K140" s="124"/>
      <c r="L140" s="123">
        <f t="shared" si="350"/>
        <v>27017</v>
      </c>
      <c r="M140" s="122">
        <f t="shared" si="305"/>
        <v>43.415748393021119</v>
      </c>
      <c r="N140" s="118">
        <v>10.81</v>
      </c>
      <c r="O140" s="118">
        <v>9.56</v>
      </c>
      <c r="P140" s="118">
        <v>9.81</v>
      </c>
      <c r="Q140" s="118">
        <v>8.14</v>
      </c>
      <c r="R140" s="118">
        <v>11.21</v>
      </c>
      <c r="S140" s="153">
        <v>8.27</v>
      </c>
      <c r="T140" s="121">
        <f t="shared" ref="T140:T145" si="366">AVERAGE(N140:S140)</f>
        <v>9.6333333333333329</v>
      </c>
      <c r="V140" s="115"/>
      <c r="W140" s="115"/>
      <c r="X140" s="120">
        <v>0.28999999999999998</v>
      </c>
      <c r="Y140" s="120"/>
      <c r="Z140" s="118">
        <v>0.33</v>
      </c>
      <c r="AA140" s="119">
        <v>45804</v>
      </c>
      <c r="AB140" s="117">
        <f t="shared" si="353"/>
        <v>121.83333333333333</v>
      </c>
      <c r="AC140" s="117">
        <f>AB140*Z140</f>
        <v>40.204999999999998</v>
      </c>
      <c r="AD140" s="117">
        <f t="shared" si="306"/>
        <v>543.10924249999994</v>
      </c>
      <c r="AE140" s="117">
        <f t="shared" si="352"/>
        <v>12.343391874999998</v>
      </c>
      <c r="AF140" s="170">
        <f t="shared" ref="AF140:AF158" si="367">IFERROR(((AE140-S140)/AE140),"")</f>
        <v>0.33000587814522409</v>
      </c>
      <c r="AG140" s="265"/>
      <c r="AH140" s="265">
        <f t="shared" si="365"/>
        <v>0</v>
      </c>
      <c r="AI140" s="115"/>
      <c r="AJ140" s="118">
        <f t="shared" ref="AJ140:AJ180" si="368">AD140-(AI140*I140)</f>
        <v>543.10924249999994</v>
      </c>
      <c r="AK140" s="116">
        <f t="shared" ref="AK140:AK180" si="369">AJ140/I140</f>
        <v>12.343391874999998</v>
      </c>
      <c r="AL140" s="116"/>
      <c r="AM140" s="116">
        <f t="shared" ref="AM140:AM160" si="370">((AJ140*2000)/Z140)/J140</f>
        <v>121.83333333333331</v>
      </c>
      <c r="AN140" s="116"/>
      <c r="AO140" s="116"/>
      <c r="AP140" s="116"/>
      <c r="AR140" s="115" t="s">
        <v>116</v>
      </c>
      <c r="AS140" s="113">
        <v>140</v>
      </c>
      <c r="AT140" s="113">
        <v>145</v>
      </c>
      <c r="AU140" s="113">
        <v>139</v>
      </c>
      <c r="AV140" s="113">
        <v>137</v>
      </c>
      <c r="AW140" s="113">
        <v>103</v>
      </c>
      <c r="AX140" s="113">
        <v>112</v>
      </c>
      <c r="AY140" s="113">
        <v>129</v>
      </c>
      <c r="AZ140" s="113">
        <v>130</v>
      </c>
      <c r="BA140" s="113">
        <v>108</v>
      </c>
      <c r="BB140" s="113">
        <v>99</v>
      </c>
      <c r="BC140" s="113">
        <v>102</v>
      </c>
      <c r="BD140" s="113">
        <v>118</v>
      </c>
    </row>
    <row r="141" spans="1:74" s="63" customFormat="1">
      <c r="A141" s="63" t="s">
        <v>84</v>
      </c>
      <c r="B141" s="63" t="s">
        <v>259</v>
      </c>
      <c r="C141" s="64" t="s">
        <v>260</v>
      </c>
      <c r="D141" s="65" t="s">
        <v>87</v>
      </c>
      <c r="E141" s="66" t="s">
        <v>261</v>
      </c>
      <c r="F141" s="68">
        <v>23</v>
      </c>
      <c r="G141" s="68" t="s">
        <v>90</v>
      </c>
      <c r="H141" s="69">
        <v>622.28571428571433</v>
      </c>
      <c r="I141" s="74">
        <v>83.24</v>
      </c>
      <c r="J141" s="69">
        <v>51248</v>
      </c>
      <c r="K141" s="72">
        <v>0.15</v>
      </c>
      <c r="L141" s="69">
        <f t="shared" si="350"/>
        <v>43560.800000000003</v>
      </c>
      <c r="M141" s="86">
        <f t="shared" si="305"/>
        <v>70.001285583103765</v>
      </c>
      <c r="N141" s="79">
        <v>9.0399999999999991</v>
      </c>
      <c r="O141" s="79">
        <v>8.84</v>
      </c>
      <c r="P141" s="79">
        <v>8.7799999999999994</v>
      </c>
      <c r="Q141" s="79">
        <v>10.87</v>
      </c>
      <c r="R141" s="79">
        <v>9.77</v>
      </c>
      <c r="S141" s="84">
        <v>8.2100000000000009</v>
      </c>
      <c r="T141" s="85">
        <f t="shared" si="366"/>
        <v>9.2516666666666669</v>
      </c>
      <c r="U141" s="63" t="s">
        <v>365</v>
      </c>
      <c r="V141" s="77" t="s">
        <v>366</v>
      </c>
      <c r="W141" s="77"/>
      <c r="X141" s="78">
        <v>0.31</v>
      </c>
      <c r="Y141" s="78">
        <v>0.37</v>
      </c>
      <c r="Z141" s="79">
        <v>0.38</v>
      </c>
      <c r="AA141" s="80">
        <v>45768</v>
      </c>
      <c r="AB141" s="81">
        <f t="shared" si="353"/>
        <v>146.93333333333334</v>
      </c>
      <c r="AC141" s="81">
        <f>AB141*Y141</f>
        <v>54.365333333333332</v>
      </c>
      <c r="AD141" s="81">
        <f t="shared" si="306"/>
        <v>1184.0987061333335</v>
      </c>
      <c r="AE141" s="81">
        <f t="shared" si="352"/>
        <v>14.225116604196703</v>
      </c>
      <c r="AF141" s="167">
        <f t="shared" si="367"/>
        <v>0.42285183113522729</v>
      </c>
      <c r="AG141" s="264"/>
      <c r="AH141" s="264">
        <f t="shared" si="365"/>
        <v>0</v>
      </c>
      <c r="AI141" s="77"/>
      <c r="AJ141" s="79">
        <f t="shared" si="368"/>
        <v>1184.0987061333335</v>
      </c>
      <c r="AK141" s="82">
        <f t="shared" si="369"/>
        <v>14.225116604196703</v>
      </c>
      <c r="AL141" s="82"/>
      <c r="AM141" s="82">
        <f t="shared" si="370"/>
        <v>121.60666666666668</v>
      </c>
      <c r="AN141" s="82"/>
      <c r="AO141" s="82"/>
      <c r="AP141" s="82"/>
      <c r="AR141" s="77" t="s">
        <v>92</v>
      </c>
      <c r="AS141" s="63">
        <v>152</v>
      </c>
      <c r="AT141" s="63">
        <v>178</v>
      </c>
      <c r="AU141" s="63">
        <v>158</v>
      </c>
      <c r="AV141" s="63">
        <v>163</v>
      </c>
      <c r="AW141" s="63">
        <v>148</v>
      </c>
      <c r="AX141" s="63">
        <v>170</v>
      </c>
      <c r="AY141" s="63">
        <v>159</v>
      </c>
      <c r="AZ141" s="63">
        <v>144</v>
      </c>
      <c r="BA141" s="63">
        <v>118</v>
      </c>
      <c r="BB141" s="63">
        <v>132</v>
      </c>
      <c r="BC141" s="63">
        <v>120</v>
      </c>
      <c r="BD141" s="63">
        <v>114</v>
      </c>
      <c r="BE141" s="63">
        <v>140</v>
      </c>
      <c r="BF141" s="63">
        <v>152</v>
      </c>
      <c r="BG141" s="63">
        <v>156</v>
      </c>
    </row>
    <row r="142" spans="1:74" s="63" customFormat="1">
      <c r="A142" s="63" t="s">
        <v>84</v>
      </c>
      <c r="B142" s="63" t="s">
        <v>259</v>
      </c>
      <c r="C142" s="64" t="s">
        <v>260</v>
      </c>
      <c r="D142" s="65" t="s">
        <v>87</v>
      </c>
      <c r="E142" s="66" t="s">
        <v>261</v>
      </c>
      <c r="F142" s="68">
        <v>23</v>
      </c>
      <c r="G142" s="68" t="s">
        <v>90</v>
      </c>
      <c r="H142" s="69">
        <v>622.28571428571433</v>
      </c>
      <c r="I142" s="74">
        <v>83.24</v>
      </c>
      <c r="J142" s="69">
        <v>51248</v>
      </c>
      <c r="K142" s="72">
        <v>0.15</v>
      </c>
      <c r="L142" s="69">
        <f t="shared" si="350"/>
        <v>43560.800000000003</v>
      </c>
      <c r="M142" s="86">
        <f t="shared" si="305"/>
        <v>70.001285583103765</v>
      </c>
      <c r="N142" s="79">
        <v>9.0399999999999991</v>
      </c>
      <c r="O142" s="79">
        <v>8.84</v>
      </c>
      <c r="P142" s="79">
        <v>8.7799999999999994</v>
      </c>
      <c r="Q142" s="79">
        <v>10.87</v>
      </c>
      <c r="R142" s="79">
        <v>9.77</v>
      </c>
      <c r="S142" s="79">
        <v>8.2100000000000009</v>
      </c>
      <c r="T142" s="79">
        <f t="shared" si="366"/>
        <v>9.2516666666666669</v>
      </c>
      <c r="U142" s="63" t="s">
        <v>742</v>
      </c>
      <c r="V142" s="77" t="s">
        <v>103</v>
      </c>
      <c r="W142" s="77"/>
      <c r="X142" s="78">
        <v>0.31</v>
      </c>
      <c r="Y142" s="78">
        <v>0.37</v>
      </c>
      <c r="Z142" s="79">
        <v>0.38</v>
      </c>
      <c r="AA142" s="80">
        <v>45775</v>
      </c>
      <c r="AB142" s="81">
        <v>126</v>
      </c>
      <c r="AC142" s="81">
        <f t="shared" ref="AC142:AC144" si="371">AB142*Y142</f>
        <v>46.62</v>
      </c>
      <c r="AD142" s="81">
        <f t="shared" si="306"/>
        <v>1015.402248</v>
      </c>
      <c r="AE142" s="81">
        <f t="shared" si="352"/>
        <v>12.198489283998079</v>
      </c>
      <c r="AF142" s="167">
        <f t="shared" si="367"/>
        <v>0.32696583905928084</v>
      </c>
      <c r="AG142" s="264"/>
      <c r="AH142" s="264">
        <f t="shared" si="365"/>
        <v>0</v>
      </c>
      <c r="AI142" s="77"/>
      <c r="AJ142" s="79">
        <f t="shared" si="368"/>
        <v>1015.402248</v>
      </c>
      <c r="AK142" s="82">
        <f t="shared" si="369"/>
        <v>12.198489283998079</v>
      </c>
      <c r="AL142" s="82"/>
      <c r="AM142" s="82">
        <f t="shared" si="370"/>
        <v>104.28157894736843</v>
      </c>
      <c r="AN142" s="82"/>
      <c r="AO142" s="82"/>
      <c r="AP142" s="82"/>
      <c r="AR142" s="77" t="s">
        <v>743</v>
      </c>
      <c r="AS142" s="63">
        <v>152</v>
      </c>
      <c r="AT142" s="63">
        <v>128</v>
      </c>
      <c r="AU142" s="63">
        <v>136</v>
      </c>
      <c r="AV142" s="63">
        <v>138</v>
      </c>
      <c r="AW142" s="63">
        <v>124</v>
      </c>
      <c r="AX142" s="63">
        <v>112</v>
      </c>
      <c r="AY142" s="63">
        <v>122</v>
      </c>
      <c r="AZ142" s="63">
        <v>119</v>
      </c>
      <c r="BA142" s="63">
        <v>115</v>
      </c>
      <c r="BB142" s="63">
        <v>120</v>
      </c>
      <c r="BC142" s="63">
        <v>101</v>
      </c>
      <c r="BD142" s="63">
        <v>133</v>
      </c>
      <c r="BE142" s="63">
        <v>129</v>
      </c>
      <c r="BF142" s="63">
        <v>141</v>
      </c>
      <c r="BG142" s="63">
        <v>113</v>
      </c>
      <c r="BH142" s="63">
        <v>172</v>
      </c>
      <c r="BI142" s="63">
        <v>170</v>
      </c>
      <c r="BJ142" s="63">
        <v>101</v>
      </c>
      <c r="BK142" s="63">
        <v>109</v>
      </c>
      <c r="BL142" s="63">
        <v>137</v>
      </c>
      <c r="BM142" s="63">
        <v>168</v>
      </c>
      <c r="BN142" s="63">
        <v>189</v>
      </c>
      <c r="BO142" s="63">
        <v>132</v>
      </c>
      <c r="BP142" s="63">
        <v>183</v>
      </c>
      <c r="BQ142" s="63">
        <v>135</v>
      </c>
    </row>
    <row r="143" spans="1:74" s="63" customFormat="1">
      <c r="A143" s="63" t="s">
        <v>84</v>
      </c>
      <c r="B143" s="63" t="s">
        <v>259</v>
      </c>
      <c r="C143" s="64" t="s">
        <v>260</v>
      </c>
      <c r="D143" s="65" t="s">
        <v>87</v>
      </c>
      <c r="E143" s="66" t="s">
        <v>261</v>
      </c>
      <c r="F143" s="68">
        <v>23</v>
      </c>
      <c r="G143" s="68" t="s">
        <v>90</v>
      </c>
      <c r="H143" s="69">
        <v>622.28571428571433</v>
      </c>
      <c r="I143" s="74">
        <v>83.24</v>
      </c>
      <c r="J143" s="69">
        <v>51248</v>
      </c>
      <c r="K143" s="72">
        <v>0.15</v>
      </c>
      <c r="L143" s="69">
        <f t="shared" ref="L143" si="372">J143-(J143*K143)</f>
        <v>43560.800000000003</v>
      </c>
      <c r="M143" s="86">
        <f t="shared" ref="M143" si="373">L143/H143</f>
        <v>70.001285583103765</v>
      </c>
      <c r="N143" s="79">
        <v>9.0399999999999991</v>
      </c>
      <c r="O143" s="79">
        <v>8.84</v>
      </c>
      <c r="P143" s="79">
        <v>8.7799999999999994</v>
      </c>
      <c r="Q143" s="79">
        <v>10.87</v>
      </c>
      <c r="R143" s="79">
        <v>9.77</v>
      </c>
      <c r="S143" s="79">
        <v>8.2100000000000009</v>
      </c>
      <c r="T143" s="79">
        <f t="shared" si="366"/>
        <v>9.2516666666666669</v>
      </c>
      <c r="U143" s="63" t="s">
        <v>742</v>
      </c>
      <c r="V143" s="77" t="s">
        <v>103</v>
      </c>
      <c r="W143" s="77"/>
      <c r="X143" s="78">
        <v>0.31</v>
      </c>
      <c r="Y143" s="78">
        <v>0.37</v>
      </c>
      <c r="Z143" s="79">
        <v>0.38</v>
      </c>
      <c r="AA143" s="80">
        <v>45777</v>
      </c>
      <c r="AB143" s="81">
        <f>AVERAGE(AS143:BQ143)</f>
        <v>120.30434782608695</v>
      </c>
      <c r="AC143" s="81">
        <f t="shared" si="371"/>
        <v>44.512608695652169</v>
      </c>
      <c r="AD143" s="81">
        <f t="shared" ref="AD143" si="374">(AC143*L143)/2000</f>
        <v>969.5024224347826</v>
      </c>
      <c r="AE143" s="81">
        <f t="shared" ref="AE143" si="375">IFERROR((AD143/I143),"")</f>
        <v>11.64707379186428</v>
      </c>
      <c r="AF143" s="167">
        <f t="shared" ref="AF143" si="376">IFERROR(((AE143-S143)/AE143),"")</f>
        <v>0.29510191600787705</v>
      </c>
      <c r="AG143" s="264"/>
      <c r="AH143" s="264">
        <f t="shared" si="365"/>
        <v>0</v>
      </c>
      <c r="AI143" s="77"/>
      <c r="AJ143" s="79">
        <f t="shared" ref="AJ143" si="377">AD143-(AI143*I143)</f>
        <v>969.5024224347826</v>
      </c>
      <c r="AK143" s="82">
        <f t="shared" ref="AK143" si="378">AJ143/I143</f>
        <v>11.64707379186428</v>
      </c>
      <c r="AL143" s="82"/>
      <c r="AM143" s="82">
        <f t="shared" ref="AM143" si="379">((AJ143*2000)/Z143)/J143</f>
        <v>99.56767734553776</v>
      </c>
      <c r="AN143" s="82"/>
      <c r="AO143" s="82"/>
      <c r="AP143" s="82"/>
      <c r="AR143" s="77" t="s">
        <v>743</v>
      </c>
      <c r="AS143" s="63">
        <v>101</v>
      </c>
      <c r="AT143" s="63">
        <v>134</v>
      </c>
      <c r="AU143" s="63">
        <v>128</v>
      </c>
      <c r="AV143" s="63">
        <v>99</v>
      </c>
      <c r="AW143" s="63">
        <v>139</v>
      </c>
      <c r="AX143" s="63">
        <v>129</v>
      </c>
      <c r="AY143" s="63">
        <v>136</v>
      </c>
      <c r="AZ143" s="63">
        <v>109</v>
      </c>
      <c r="BA143" s="63">
        <v>121</v>
      </c>
      <c r="BB143" s="63">
        <v>127</v>
      </c>
      <c r="BC143" s="63">
        <v>114</v>
      </c>
      <c r="BD143" s="63">
        <v>134</v>
      </c>
      <c r="BE143" s="63">
        <v>107</v>
      </c>
      <c r="BF143" s="63">
        <v>118</v>
      </c>
      <c r="BG143" s="63">
        <v>117</v>
      </c>
      <c r="BH143" s="63">
        <v>124</v>
      </c>
      <c r="BI143" s="63">
        <v>125</v>
      </c>
      <c r="BJ143" s="63">
        <v>118</v>
      </c>
      <c r="BK143" s="63">
        <v>108</v>
      </c>
      <c r="BL143" s="63">
        <v>113</v>
      </c>
      <c r="BM143" s="63">
        <v>102</v>
      </c>
      <c r="BN143" s="63">
        <v>130</v>
      </c>
      <c r="BO143" s="63">
        <v>134</v>
      </c>
    </row>
    <row r="144" spans="1:74" s="238" customFormat="1" ht="13.5" thickBot="1">
      <c r="A144" s="238" t="s">
        <v>84</v>
      </c>
      <c r="B144" s="238" t="s">
        <v>259</v>
      </c>
      <c r="C144" s="239" t="s">
        <v>260</v>
      </c>
      <c r="D144" s="240" t="s">
        <v>87</v>
      </c>
      <c r="E144" s="241" t="s">
        <v>261</v>
      </c>
      <c r="F144" s="242">
        <v>23</v>
      </c>
      <c r="G144" s="242" t="s">
        <v>90</v>
      </c>
      <c r="H144" s="243">
        <v>622.28571428571433</v>
      </c>
      <c r="I144" s="244">
        <v>83.24</v>
      </c>
      <c r="J144" s="243">
        <v>51248</v>
      </c>
      <c r="K144" s="245">
        <v>0.15</v>
      </c>
      <c r="L144" s="243">
        <f t="shared" si="350"/>
        <v>43560.800000000003</v>
      </c>
      <c r="M144" s="246">
        <f t="shared" si="305"/>
        <v>70.001285583103765</v>
      </c>
      <c r="N144" s="247">
        <v>9.0399999999999991</v>
      </c>
      <c r="O144" s="247">
        <v>8.84</v>
      </c>
      <c r="P144" s="247">
        <v>8.7799999999999994</v>
      </c>
      <c r="Q144" s="247">
        <v>10.87</v>
      </c>
      <c r="R144" s="247">
        <v>9.77</v>
      </c>
      <c r="S144" s="247">
        <v>8.2100000000000009</v>
      </c>
      <c r="T144" s="247">
        <f t="shared" si="366"/>
        <v>9.2516666666666669</v>
      </c>
      <c r="U144" s="238" t="s">
        <v>742</v>
      </c>
      <c r="V144" s="248" t="s">
        <v>103</v>
      </c>
      <c r="W144" s="248"/>
      <c r="X144" s="249">
        <v>0.31</v>
      </c>
      <c r="Y144" s="78">
        <v>0.37</v>
      </c>
      <c r="Z144" s="247">
        <v>0.38</v>
      </c>
      <c r="AA144" s="250">
        <v>45845</v>
      </c>
      <c r="AB144" s="251">
        <f>AVERAGE(AS144:BQ144)</f>
        <v>107.16666666666667</v>
      </c>
      <c r="AC144" s="81">
        <f t="shared" si="371"/>
        <v>39.651666666666671</v>
      </c>
      <c r="AD144" s="251">
        <f t="shared" si="306"/>
        <v>863.62916066666685</v>
      </c>
      <c r="AE144" s="251">
        <f t="shared" si="352"/>
        <v>10.375170118532759</v>
      </c>
      <c r="AF144" s="252">
        <f t="shared" si="367"/>
        <v>0.20868767391728837</v>
      </c>
      <c r="AG144" s="266"/>
      <c r="AH144" s="266">
        <f t="shared" si="365"/>
        <v>0</v>
      </c>
      <c r="AI144" s="248"/>
      <c r="AJ144" s="247">
        <f t="shared" si="368"/>
        <v>863.62916066666685</v>
      </c>
      <c r="AK144" s="253">
        <f t="shared" si="369"/>
        <v>10.375170118532759</v>
      </c>
      <c r="AL144" s="253"/>
      <c r="AM144" s="253">
        <f t="shared" si="370"/>
        <v>88.694517543859661</v>
      </c>
      <c r="AN144" s="253"/>
      <c r="AO144" s="151"/>
      <c r="AP144" s="151"/>
      <c r="AR144" s="248" t="s">
        <v>116</v>
      </c>
      <c r="AS144" s="238">
        <v>98</v>
      </c>
      <c r="AT144" s="238">
        <v>100</v>
      </c>
      <c r="AU144" s="238">
        <v>96</v>
      </c>
      <c r="AV144" s="238">
        <v>105</v>
      </c>
      <c r="AW144" s="238">
        <v>110</v>
      </c>
      <c r="AX144" s="238">
        <v>111</v>
      </c>
      <c r="AY144" s="238">
        <v>115</v>
      </c>
      <c r="AZ144" s="238">
        <v>101</v>
      </c>
      <c r="BA144" s="238">
        <v>103</v>
      </c>
      <c r="BB144" s="238">
        <v>113</v>
      </c>
      <c r="BC144" s="238">
        <v>114</v>
      </c>
      <c r="BD144" s="238">
        <v>120</v>
      </c>
    </row>
    <row r="145" spans="1:68" s="136" customFormat="1">
      <c r="A145" s="136" t="s">
        <v>262</v>
      </c>
      <c r="B145" s="136" t="s">
        <v>263</v>
      </c>
      <c r="C145" s="137" t="s">
        <v>264</v>
      </c>
      <c r="D145" s="138" t="s">
        <v>87</v>
      </c>
      <c r="E145" s="139" t="s">
        <v>148</v>
      </c>
      <c r="F145" s="140">
        <v>1</v>
      </c>
      <c r="G145" s="140" t="s">
        <v>265</v>
      </c>
      <c r="H145" s="141">
        <v>726</v>
      </c>
      <c r="I145" s="142">
        <v>39.42</v>
      </c>
      <c r="J145" s="141">
        <v>28200</v>
      </c>
      <c r="K145" s="143"/>
      <c r="L145" s="141">
        <f t="shared" si="350"/>
        <v>28200</v>
      </c>
      <c r="M145" s="144">
        <f t="shared" si="305"/>
        <v>38.84297520661157</v>
      </c>
      <c r="N145" s="145"/>
      <c r="O145" s="145">
        <v>5.49</v>
      </c>
      <c r="P145" s="145">
        <v>11.02</v>
      </c>
      <c r="Q145" s="145">
        <v>11.67</v>
      </c>
      <c r="R145" s="145">
        <v>11.78</v>
      </c>
      <c r="S145" s="146">
        <v>12.03</v>
      </c>
      <c r="T145" s="147">
        <f t="shared" si="366"/>
        <v>10.398</v>
      </c>
      <c r="U145" s="136" t="s">
        <v>365</v>
      </c>
      <c r="V145" s="148" t="s">
        <v>103</v>
      </c>
      <c r="W145" s="148"/>
      <c r="X145" s="149">
        <v>0.37</v>
      </c>
      <c r="Y145" s="149">
        <v>0.3</v>
      </c>
      <c r="Z145" s="145">
        <v>0.35</v>
      </c>
      <c r="AA145" s="150">
        <v>45769</v>
      </c>
      <c r="AB145" s="173">
        <f t="shared" ref="AB145:AB194" si="380">IFERROR(AVERAGE(AS145:CP145),0)</f>
        <v>84.666666666666671</v>
      </c>
      <c r="AC145" s="173">
        <f>AB145*Y145</f>
        <v>25.400000000000002</v>
      </c>
      <c r="AD145" s="173">
        <f t="shared" si="306"/>
        <v>358.14000000000004</v>
      </c>
      <c r="AE145" s="173">
        <f t="shared" si="352"/>
        <v>9.0852359208523605</v>
      </c>
      <c r="AF145" s="174">
        <f t="shared" si="367"/>
        <v>-0.32412631931646818</v>
      </c>
      <c r="AG145" s="267"/>
      <c r="AH145" s="267">
        <f t="shared" si="365"/>
        <v>0</v>
      </c>
      <c r="AI145" s="148"/>
      <c r="AJ145" s="145">
        <f t="shared" si="368"/>
        <v>358.14000000000004</v>
      </c>
      <c r="AK145" s="151">
        <f t="shared" si="369"/>
        <v>9.0852359208523605</v>
      </c>
      <c r="AL145" s="151"/>
      <c r="AM145" s="151">
        <f t="shared" si="370"/>
        <v>72.571428571428584</v>
      </c>
      <c r="AN145" s="151"/>
      <c r="AO145" s="151"/>
      <c r="AP145" s="151"/>
      <c r="AR145" s="148" t="s">
        <v>137</v>
      </c>
      <c r="AS145" s="136">
        <v>78</v>
      </c>
      <c r="AT145" s="136">
        <v>95</v>
      </c>
      <c r="AU145" s="136">
        <v>92</v>
      </c>
      <c r="AV145" s="136">
        <v>79</v>
      </c>
      <c r="AW145" s="136">
        <v>77</v>
      </c>
      <c r="AX145" s="136">
        <v>80</v>
      </c>
      <c r="AY145" s="136">
        <v>82</v>
      </c>
      <c r="AZ145" s="136">
        <v>80</v>
      </c>
      <c r="BA145" s="136">
        <v>92</v>
      </c>
      <c r="BB145" s="136">
        <v>95</v>
      </c>
      <c r="BC145" s="136">
        <v>89</v>
      </c>
      <c r="BD145" s="136">
        <v>77</v>
      </c>
    </row>
    <row r="146" spans="1:68" s="15" customFormat="1">
      <c r="A146" s="15" t="s">
        <v>262</v>
      </c>
      <c r="B146" s="15" t="s">
        <v>266</v>
      </c>
      <c r="C146" s="16" t="s">
        <v>267</v>
      </c>
      <c r="D146" s="49" t="s">
        <v>193</v>
      </c>
      <c r="E146" s="61" t="s">
        <v>160</v>
      </c>
      <c r="F146" s="18">
        <v>4</v>
      </c>
      <c r="G146" s="18" t="s">
        <v>96</v>
      </c>
      <c r="H146" s="19">
        <v>871</v>
      </c>
      <c r="I146" s="30">
        <v>42.04</v>
      </c>
      <c r="J146" s="19">
        <v>36095</v>
      </c>
      <c r="K146" s="22">
        <v>0.2</v>
      </c>
      <c r="L146" s="19">
        <f t="shared" si="350"/>
        <v>28876</v>
      </c>
      <c r="M146" s="60">
        <f t="shared" si="305"/>
        <v>33.152698048220437</v>
      </c>
      <c r="N146" s="30"/>
      <c r="O146" s="30"/>
      <c r="P146" s="30"/>
      <c r="Q146" s="30"/>
      <c r="R146" s="30"/>
      <c r="S146" s="56">
        <v>0.98</v>
      </c>
      <c r="T146" s="31"/>
      <c r="U146" s="15" t="s">
        <v>738</v>
      </c>
      <c r="V146" s="25" t="s">
        <v>103</v>
      </c>
      <c r="W146" s="25"/>
      <c r="X146" s="26"/>
      <c r="Y146" s="26">
        <v>0.41</v>
      </c>
      <c r="Z146" s="24">
        <v>0.4</v>
      </c>
      <c r="AA146" s="27">
        <v>45763</v>
      </c>
      <c r="AB146" s="28">
        <f t="shared" si="380"/>
        <v>85.083333333333329</v>
      </c>
      <c r="AC146" s="28">
        <f>AB146*Y146</f>
        <v>34.884166666666665</v>
      </c>
      <c r="AD146" s="28">
        <f t="shared" si="306"/>
        <v>503.65759833333334</v>
      </c>
      <c r="AE146" s="28">
        <f t="shared" si="352"/>
        <v>11.98043763875674</v>
      </c>
      <c r="AF146" s="171">
        <f t="shared" si="367"/>
        <v>0.91819998321015428</v>
      </c>
      <c r="AG146" s="263">
        <v>9.8699999999999992</v>
      </c>
      <c r="AH146" s="263">
        <f t="shared" si="365"/>
        <v>0.26636950109694124</v>
      </c>
      <c r="AI146" s="25">
        <v>8.75</v>
      </c>
      <c r="AJ146" s="24">
        <f t="shared" si="368"/>
        <v>135.80759833333337</v>
      </c>
      <c r="AK146" s="29">
        <f t="shared" si="369"/>
        <v>3.2304376387567406</v>
      </c>
      <c r="AL146" s="29">
        <f t="shared" ref="AL146:AL151" si="381">(((AI146*M146)*2000)/L146)/Z146</f>
        <v>50.22962112514351</v>
      </c>
      <c r="AM146" s="29">
        <f t="shared" si="370"/>
        <v>18.812522279170715</v>
      </c>
      <c r="AN146" s="116" t="s">
        <v>701</v>
      </c>
      <c r="AO146" s="116">
        <f t="shared" ref="AO146:AO151" si="382">6*I146</f>
        <v>252.24</v>
      </c>
      <c r="AP146" s="116">
        <f t="shared" ref="AP146:AP151" si="383">AD146-AO146</f>
        <v>251.41759833333333</v>
      </c>
      <c r="AR146" s="25" t="s">
        <v>269</v>
      </c>
      <c r="AS146" s="15">
        <v>83</v>
      </c>
      <c r="AT146" s="15">
        <v>89</v>
      </c>
      <c r="AU146" s="15">
        <v>81</v>
      </c>
      <c r="AV146" s="15">
        <v>84</v>
      </c>
      <c r="AW146" s="15">
        <v>89</v>
      </c>
      <c r="AX146" s="15">
        <v>80</v>
      </c>
      <c r="AY146" s="15">
        <v>79</v>
      </c>
      <c r="AZ146" s="15">
        <v>94</v>
      </c>
      <c r="BA146" s="15">
        <v>88</v>
      </c>
      <c r="BB146" s="15">
        <v>83</v>
      </c>
      <c r="BC146" s="15">
        <v>83</v>
      </c>
      <c r="BD146" s="15">
        <v>88</v>
      </c>
    </row>
    <row r="147" spans="1:68" s="15" customFormat="1">
      <c r="A147" s="15" t="s">
        <v>262</v>
      </c>
      <c r="B147" s="15" t="s">
        <v>266</v>
      </c>
      <c r="C147" s="16" t="s">
        <v>267</v>
      </c>
      <c r="D147" s="49" t="s">
        <v>193</v>
      </c>
      <c r="E147" s="61" t="s">
        <v>160</v>
      </c>
      <c r="F147" s="18">
        <v>4</v>
      </c>
      <c r="G147" s="18" t="s">
        <v>96</v>
      </c>
      <c r="H147" s="19">
        <v>871</v>
      </c>
      <c r="I147" s="30">
        <v>42.04</v>
      </c>
      <c r="J147" s="19">
        <v>36095</v>
      </c>
      <c r="K147" s="22">
        <v>0.2</v>
      </c>
      <c r="L147" s="19">
        <f t="shared" si="350"/>
        <v>28876</v>
      </c>
      <c r="M147" s="60">
        <f t="shared" si="305"/>
        <v>33.152698048220437</v>
      </c>
      <c r="N147" s="30"/>
      <c r="O147" s="30"/>
      <c r="P147" s="30"/>
      <c r="Q147" s="30"/>
      <c r="R147" s="30"/>
      <c r="S147" s="56">
        <v>0.98</v>
      </c>
      <c r="T147" s="31"/>
      <c r="U147" s="15" t="s">
        <v>738</v>
      </c>
      <c r="V147" s="25" t="s">
        <v>103</v>
      </c>
      <c r="W147" s="25"/>
      <c r="X147" s="26"/>
      <c r="Y147" s="26">
        <v>0.41</v>
      </c>
      <c r="Z147" s="24">
        <v>0.4</v>
      </c>
      <c r="AA147" s="27">
        <v>45764</v>
      </c>
      <c r="AB147" s="28">
        <f t="shared" si="380"/>
        <v>86.63636363636364</v>
      </c>
      <c r="AC147" s="28">
        <f t="shared" ref="AC147:AC151" si="384">AB147*Y147</f>
        <v>35.520909090909093</v>
      </c>
      <c r="AD147" s="28">
        <f t="shared" si="306"/>
        <v>512.85088545454551</v>
      </c>
      <c r="AE147" s="28">
        <f t="shared" si="352"/>
        <v>12.199117161145232</v>
      </c>
      <c r="AF147" s="171">
        <f t="shared" si="367"/>
        <v>0.91966631789377784</v>
      </c>
      <c r="AG147" s="263">
        <v>9.8699999999999992</v>
      </c>
      <c r="AH147" s="263">
        <f t="shared" si="365"/>
        <v>0.26159460185552175</v>
      </c>
      <c r="AI147" s="25">
        <v>8.75</v>
      </c>
      <c r="AJ147" s="24">
        <f t="shared" si="368"/>
        <v>145.00088545454554</v>
      </c>
      <c r="AK147" s="29">
        <f t="shared" si="369"/>
        <v>3.4491171611452316</v>
      </c>
      <c r="AL147" s="29">
        <f t="shared" si="381"/>
        <v>50.22962112514351</v>
      </c>
      <c r="AM147" s="29">
        <f t="shared" si="370"/>
        <v>20.086007127655563</v>
      </c>
      <c r="AN147" s="116" t="s">
        <v>701</v>
      </c>
      <c r="AO147" s="116">
        <f t="shared" si="382"/>
        <v>252.24</v>
      </c>
      <c r="AP147" s="116">
        <f t="shared" si="383"/>
        <v>260.6108854545455</v>
      </c>
      <c r="AR147" s="25" t="s">
        <v>282</v>
      </c>
      <c r="AS147" s="15">
        <v>84</v>
      </c>
      <c r="AT147" s="15">
        <v>90</v>
      </c>
      <c r="AU147" s="15">
        <v>84</v>
      </c>
      <c r="AV147" s="15">
        <v>87</v>
      </c>
      <c r="AW147" s="15">
        <v>79</v>
      </c>
      <c r="AX147" s="15">
        <v>88</v>
      </c>
      <c r="AY147" s="15">
        <v>93</v>
      </c>
      <c r="AZ147" s="15">
        <v>83</v>
      </c>
      <c r="BA147" s="15">
        <v>97</v>
      </c>
      <c r="BB147" s="15">
        <v>79</v>
      </c>
      <c r="BC147" s="15">
        <v>89</v>
      </c>
    </row>
    <row r="148" spans="1:68" s="15" customFormat="1">
      <c r="A148" s="15" t="s">
        <v>262</v>
      </c>
      <c r="B148" s="15" t="s">
        <v>266</v>
      </c>
      <c r="C148" s="16" t="s">
        <v>267</v>
      </c>
      <c r="D148" s="49" t="s">
        <v>193</v>
      </c>
      <c r="E148" s="61" t="s">
        <v>160</v>
      </c>
      <c r="F148" s="18">
        <v>4</v>
      </c>
      <c r="G148" s="18" t="s">
        <v>96</v>
      </c>
      <c r="H148" s="19">
        <v>871</v>
      </c>
      <c r="I148" s="30">
        <v>42.04</v>
      </c>
      <c r="J148" s="19">
        <v>36095</v>
      </c>
      <c r="K148" s="22">
        <v>0.2</v>
      </c>
      <c r="L148" s="19">
        <f t="shared" si="350"/>
        <v>28876</v>
      </c>
      <c r="M148" s="60">
        <f t="shared" si="305"/>
        <v>33.152698048220437</v>
      </c>
      <c r="N148" s="30"/>
      <c r="O148" s="30"/>
      <c r="P148" s="30"/>
      <c r="Q148" s="30"/>
      <c r="R148" s="30"/>
      <c r="S148" s="56">
        <v>0.98</v>
      </c>
      <c r="T148" s="31"/>
      <c r="U148" s="15" t="s">
        <v>738</v>
      </c>
      <c r="V148" s="25" t="s">
        <v>103</v>
      </c>
      <c r="W148" s="25"/>
      <c r="X148" s="26"/>
      <c r="Y148" s="26">
        <v>0.41</v>
      </c>
      <c r="Z148" s="24">
        <v>0.4</v>
      </c>
      <c r="AA148" s="27">
        <v>45789</v>
      </c>
      <c r="AB148" s="28">
        <f t="shared" si="380"/>
        <v>72.150000000000006</v>
      </c>
      <c r="AC148" s="28">
        <f t="shared" si="384"/>
        <v>29.581500000000002</v>
      </c>
      <c r="AD148" s="28">
        <f t="shared" si="306"/>
        <v>427.09769700000004</v>
      </c>
      <c r="AE148" s="28">
        <f t="shared" si="352"/>
        <v>10.159317245480496</v>
      </c>
      <c r="AF148" s="171">
        <f t="shared" si="367"/>
        <v>0.90353682473731534</v>
      </c>
      <c r="AG148" s="263">
        <v>9.8699999999999992</v>
      </c>
      <c r="AH148" s="263">
        <f t="shared" si="365"/>
        <v>0.31411788013395353</v>
      </c>
      <c r="AI148" s="25">
        <v>8.75</v>
      </c>
      <c r="AJ148" s="24">
        <f t="shared" si="368"/>
        <v>59.247697000000073</v>
      </c>
      <c r="AK148" s="29">
        <f t="shared" si="369"/>
        <v>1.4093172454804965</v>
      </c>
      <c r="AL148" s="29">
        <f t="shared" si="381"/>
        <v>50.22962112514351</v>
      </c>
      <c r="AM148" s="29">
        <f t="shared" si="370"/>
        <v>8.2071889458373821</v>
      </c>
      <c r="AN148" s="116" t="s">
        <v>701</v>
      </c>
      <c r="AO148" s="116">
        <f t="shared" si="382"/>
        <v>252.24</v>
      </c>
      <c r="AP148" s="116">
        <f t="shared" si="383"/>
        <v>174.85769700000003</v>
      </c>
      <c r="AR148" s="25" t="s">
        <v>116</v>
      </c>
      <c r="AS148" s="15">
        <v>73</v>
      </c>
      <c r="AT148" s="15">
        <v>70</v>
      </c>
      <c r="AU148" s="15">
        <v>73</v>
      </c>
      <c r="AV148" s="15">
        <v>76</v>
      </c>
      <c r="AW148" s="15">
        <v>67</v>
      </c>
      <c r="AX148" s="15">
        <v>75</v>
      </c>
      <c r="AY148" s="15">
        <v>80</v>
      </c>
      <c r="AZ148" s="15">
        <v>67</v>
      </c>
      <c r="BA148" s="15">
        <v>74</v>
      </c>
      <c r="BB148" s="15">
        <v>71</v>
      </c>
      <c r="BC148" s="15">
        <v>69</v>
      </c>
      <c r="BD148" s="15">
        <v>64</v>
      </c>
      <c r="BE148" s="15">
        <v>82</v>
      </c>
      <c r="BF148" s="15">
        <v>74</v>
      </c>
      <c r="BG148" s="15">
        <v>72</v>
      </c>
      <c r="BH148" s="15">
        <v>68</v>
      </c>
      <c r="BI148" s="15">
        <v>69</v>
      </c>
      <c r="BJ148" s="15">
        <v>77</v>
      </c>
      <c r="BK148" s="15">
        <v>73</v>
      </c>
      <c r="BL148" s="15">
        <v>69</v>
      </c>
    </row>
    <row r="149" spans="1:68" s="15" customFormat="1">
      <c r="A149" s="15" t="s">
        <v>262</v>
      </c>
      <c r="B149" s="15" t="s">
        <v>266</v>
      </c>
      <c r="C149" s="16" t="s">
        <v>267</v>
      </c>
      <c r="D149" s="49" t="s">
        <v>193</v>
      </c>
      <c r="E149" s="61" t="s">
        <v>160</v>
      </c>
      <c r="F149" s="18">
        <v>4</v>
      </c>
      <c r="G149" s="18" t="s">
        <v>96</v>
      </c>
      <c r="H149" s="19">
        <v>871</v>
      </c>
      <c r="I149" s="30">
        <v>42.04</v>
      </c>
      <c r="J149" s="19">
        <v>36095</v>
      </c>
      <c r="K149" s="22">
        <v>0.2</v>
      </c>
      <c r="L149" s="19">
        <f t="shared" si="350"/>
        <v>28876</v>
      </c>
      <c r="M149" s="60">
        <f t="shared" si="305"/>
        <v>33.152698048220437</v>
      </c>
      <c r="N149" s="30"/>
      <c r="O149" s="30"/>
      <c r="P149" s="30"/>
      <c r="Q149" s="30"/>
      <c r="R149" s="30"/>
      <c r="S149" s="56">
        <v>0.98</v>
      </c>
      <c r="T149" s="31"/>
      <c r="U149" s="15" t="s">
        <v>738</v>
      </c>
      <c r="V149" s="25" t="s">
        <v>103</v>
      </c>
      <c r="W149" s="25"/>
      <c r="X149" s="26"/>
      <c r="Y149" s="26">
        <v>0.41</v>
      </c>
      <c r="Z149" s="24">
        <v>0.4</v>
      </c>
      <c r="AA149" s="27">
        <v>45799</v>
      </c>
      <c r="AB149" s="28">
        <f t="shared" si="380"/>
        <v>77.416666666666671</v>
      </c>
      <c r="AC149" s="28">
        <f t="shared" si="384"/>
        <v>31.740833333333335</v>
      </c>
      <c r="AD149" s="28">
        <f t="shared" si="306"/>
        <v>458.27415166666668</v>
      </c>
      <c r="AE149" s="28">
        <f t="shared" si="352"/>
        <v>10.900907508721852</v>
      </c>
      <c r="AF149" s="171">
        <f t="shared" si="367"/>
        <v>0.91009922804905008</v>
      </c>
      <c r="AG149" s="263">
        <v>9.8699999999999992</v>
      </c>
      <c r="AH149" s="263">
        <f t="shared" si="365"/>
        <v>0.29274839679222497</v>
      </c>
      <c r="AI149" s="25">
        <v>8.75</v>
      </c>
      <c r="AJ149" s="24">
        <f t="shared" si="368"/>
        <v>90.424151666666717</v>
      </c>
      <c r="AK149" s="29">
        <f t="shared" si="369"/>
        <v>2.1509075087218537</v>
      </c>
      <c r="AL149" s="29">
        <f t="shared" si="381"/>
        <v>50.22962112514351</v>
      </c>
      <c r="AM149" s="29">
        <f t="shared" si="370"/>
        <v>12.525855612504046</v>
      </c>
      <c r="AN149" s="116" t="s">
        <v>701</v>
      </c>
      <c r="AO149" s="116">
        <f t="shared" si="382"/>
        <v>252.24</v>
      </c>
      <c r="AP149" s="116">
        <f t="shared" si="383"/>
        <v>206.03415166666667</v>
      </c>
      <c r="AR149" s="25" t="s">
        <v>91</v>
      </c>
      <c r="AS149" s="15">
        <v>57</v>
      </c>
      <c r="AT149" s="15">
        <v>95</v>
      </c>
      <c r="AU149" s="15">
        <v>54</v>
      </c>
      <c r="AV149" s="15">
        <v>67</v>
      </c>
      <c r="AW149" s="15">
        <v>92</v>
      </c>
      <c r="AX149" s="15">
        <v>97</v>
      </c>
      <c r="AY149" s="15">
        <v>71</v>
      </c>
      <c r="AZ149" s="15">
        <v>77</v>
      </c>
      <c r="BA149" s="15">
        <v>80</v>
      </c>
      <c r="BB149" s="15">
        <v>55</v>
      </c>
      <c r="BC149" s="15">
        <v>99</v>
      </c>
      <c r="BD149" s="15">
        <v>85</v>
      </c>
    </row>
    <row r="150" spans="1:68" s="15" customFormat="1">
      <c r="A150" s="15" t="s">
        <v>262</v>
      </c>
      <c r="B150" s="15" t="s">
        <v>266</v>
      </c>
      <c r="C150" s="16" t="s">
        <v>267</v>
      </c>
      <c r="D150" s="49" t="s">
        <v>193</v>
      </c>
      <c r="E150" s="61" t="s">
        <v>160</v>
      </c>
      <c r="F150" s="18">
        <v>4</v>
      </c>
      <c r="G150" s="18" t="s">
        <v>96</v>
      </c>
      <c r="H150" s="19">
        <v>871</v>
      </c>
      <c r="I150" s="30">
        <v>42.04</v>
      </c>
      <c r="J150" s="19">
        <v>36095</v>
      </c>
      <c r="K150" s="22">
        <v>0.2</v>
      </c>
      <c r="L150" s="19">
        <f t="shared" ref="L150" si="385">J150-(J150*K150)</f>
        <v>28876</v>
      </c>
      <c r="M150" s="60">
        <f t="shared" ref="M150" si="386">L150/H150</f>
        <v>33.152698048220437</v>
      </c>
      <c r="N150" s="30"/>
      <c r="O150" s="30"/>
      <c r="P150" s="30"/>
      <c r="Q150" s="30"/>
      <c r="R150" s="30"/>
      <c r="S150" s="56">
        <v>0.98</v>
      </c>
      <c r="T150" s="31"/>
      <c r="U150" s="15" t="s">
        <v>738</v>
      </c>
      <c r="V150" s="25" t="s">
        <v>103</v>
      </c>
      <c r="W150" s="25"/>
      <c r="X150" s="26"/>
      <c r="Y150" s="26">
        <v>0.41</v>
      </c>
      <c r="Z150" s="24">
        <v>0.4</v>
      </c>
      <c r="AA150" s="27">
        <v>45839</v>
      </c>
      <c r="AB150" s="28">
        <f t="shared" ref="AB150" si="387">IFERROR(AVERAGE(AS150:CP150),0)</f>
        <v>70.333333333333329</v>
      </c>
      <c r="AC150" s="28">
        <f t="shared" si="384"/>
        <v>28.836666666666662</v>
      </c>
      <c r="AD150" s="28">
        <f t="shared" ref="AD150" si="388">(AC150*L150)/2000</f>
        <v>416.34379333333328</v>
      </c>
      <c r="AE150" s="28">
        <f t="shared" ref="AE150" si="389">IFERROR((AD150/I150),"")</f>
        <v>9.9035155407548352</v>
      </c>
      <c r="AF150" s="171">
        <f t="shared" ref="AF150" si="390">IFERROR(((AE150-S150)/AE150),"")</f>
        <v>0.90104524035256817</v>
      </c>
      <c r="AG150" s="263">
        <v>9.8699999999999992</v>
      </c>
      <c r="AH150" s="263">
        <f t="shared" si="365"/>
        <v>0.32223135144547038</v>
      </c>
      <c r="AI150" s="25">
        <v>8.75</v>
      </c>
      <c r="AJ150" s="24">
        <f t="shared" ref="AJ150" si="391">AD150-(AI150*I150)</f>
        <v>48.493793333333315</v>
      </c>
      <c r="AK150" s="29">
        <f t="shared" ref="AK150" si="392">AJ150/I150</f>
        <v>1.1535155407548363</v>
      </c>
      <c r="AL150" s="29">
        <f t="shared" si="381"/>
        <v>50.22962112514351</v>
      </c>
      <c r="AM150" s="29">
        <f t="shared" ref="AM150" si="393">((AJ150*2000)/Z150)/J150</f>
        <v>6.7175222791707041</v>
      </c>
      <c r="AN150" s="116" t="s">
        <v>701</v>
      </c>
      <c r="AO150" s="116">
        <f t="shared" si="382"/>
        <v>252.24</v>
      </c>
      <c r="AP150" s="116">
        <f t="shared" si="383"/>
        <v>164.10379333333327</v>
      </c>
      <c r="AR150" s="25" t="s">
        <v>282</v>
      </c>
      <c r="AS150" s="15">
        <v>78</v>
      </c>
      <c r="AT150" s="15">
        <v>81</v>
      </c>
      <c r="AU150" s="15">
        <v>79</v>
      </c>
      <c r="AV150" s="15">
        <v>83</v>
      </c>
      <c r="AW150" s="15">
        <v>84</v>
      </c>
      <c r="AX150" s="15">
        <v>78</v>
      </c>
      <c r="AY150" s="15">
        <v>73</v>
      </c>
      <c r="AZ150" s="15">
        <v>81</v>
      </c>
      <c r="BA150" s="15">
        <v>72</v>
      </c>
      <c r="BB150" s="15">
        <v>79</v>
      </c>
      <c r="BC150" s="15">
        <v>74</v>
      </c>
      <c r="BD150" s="15">
        <v>64</v>
      </c>
      <c r="BE150" s="15">
        <v>74</v>
      </c>
      <c r="BF150" s="15">
        <v>40</v>
      </c>
      <c r="BG150" s="15">
        <v>66</v>
      </c>
      <c r="BH150" s="15">
        <v>65</v>
      </c>
      <c r="BI150" s="15">
        <v>67</v>
      </c>
      <c r="BJ150" s="15">
        <v>68</v>
      </c>
      <c r="BK150" s="15">
        <v>71</v>
      </c>
      <c r="BL150" s="15">
        <v>57</v>
      </c>
      <c r="BM150" s="15">
        <v>67</v>
      </c>
      <c r="BN150" s="15">
        <v>74</v>
      </c>
      <c r="BO150" s="15">
        <v>61</v>
      </c>
      <c r="BP150" s="15">
        <v>52</v>
      </c>
    </row>
    <row r="151" spans="1:68" s="15" customFormat="1">
      <c r="A151" s="15" t="s">
        <v>262</v>
      </c>
      <c r="B151" s="15" t="s">
        <v>266</v>
      </c>
      <c r="C151" s="16" t="s">
        <v>267</v>
      </c>
      <c r="D151" s="49" t="s">
        <v>193</v>
      </c>
      <c r="E151" s="61" t="s">
        <v>160</v>
      </c>
      <c r="F151" s="18">
        <v>4</v>
      </c>
      <c r="G151" s="18" t="s">
        <v>96</v>
      </c>
      <c r="H151" s="19">
        <v>871</v>
      </c>
      <c r="I151" s="30">
        <v>42.04</v>
      </c>
      <c r="J151" s="19">
        <v>36095</v>
      </c>
      <c r="K151" s="22">
        <v>0.2</v>
      </c>
      <c r="L151" s="19">
        <f t="shared" ref="L151" si="394">J151-(J151*K151)</f>
        <v>28876</v>
      </c>
      <c r="M151" s="60">
        <f t="shared" ref="M151" si="395">L151/H151</f>
        <v>33.152698048220437</v>
      </c>
      <c r="N151" s="30"/>
      <c r="O151" s="30"/>
      <c r="P151" s="30"/>
      <c r="Q151" s="30"/>
      <c r="R151" s="30"/>
      <c r="S151" s="56">
        <v>0.98</v>
      </c>
      <c r="T151" s="31"/>
      <c r="U151" s="15" t="s">
        <v>738</v>
      </c>
      <c r="V151" s="25" t="s">
        <v>103</v>
      </c>
      <c r="W151" s="25"/>
      <c r="X151" s="26"/>
      <c r="Y151" s="26">
        <v>0.41</v>
      </c>
      <c r="Z151" s="24">
        <v>0.4</v>
      </c>
      <c r="AA151" s="27">
        <v>45848</v>
      </c>
      <c r="AB151" s="28">
        <f t="shared" ref="AB151" si="396">IFERROR(AVERAGE(AS151:CP151),0)</f>
        <v>63.533333333333331</v>
      </c>
      <c r="AC151" s="28">
        <f t="shared" si="384"/>
        <v>26.048666666666666</v>
      </c>
      <c r="AD151" s="28">
        <f t="shared" ref="AD151" si="397">(AC151*L151)/2000</f>
        <v>376.09064933333332</v>
      </c>
      <c r="AE151" s="28">
        <f t="shared" ref="AE151" si="398">IFERROR((AD151/I151),"")</f>
        <v>8.9460192515065007</v>
      </c>
      <c r="AF151" s="171">
        <f t="shared" ref="AF151" si="399">IFERROR(((AE151-S151)/AE151),"")</f>
        <v>0.89045406985515152</v>
      </c>
      <c r="AG151" s="263">
        <v>9.8699999999999992</v>
      </c>
      <c r="AH151" s="263">
        <f t="shared" si="365"/>
        <v>0.35671991162116606</v>
      </c>
      <c r="AI151" s="25">
        <v>8.75</v>
      </c>
      <c r="AJ151" s="24">
        <f t="shared" ref="AJ151" si="400">AD151-(AI151*I151)</f>
        <v>8.2406493333333515</v>
      </c>
      <c r="AK151" s="29">
        <f t="shared" ref="AK151" si="401">AJ151/I151</f>
        <v>0.19601925150650218</v>
      </c>
      <c r="AL151" s="29">
        <f t="shared" si="381"/>
        <v>50.22962112514351</v>
      </c>
      <c r="AM151" s="29">
        <f t="shared" ref="AM151" si="402">((AJ151*2000)/Z151)/J151</f>
        <v>1.1415222791707094</v>
      </c>
      <c r="AN151" s="116" t="s">
        <v>701</v>
      </c>
      <c r="AO151" s="116">
        <f t="shared" si="382"/>
        <v>252.24</v>
      </c>
      <c r="AP151" s="116">
        <f t="shared" si="383"/>
        <v>123.85064933333331</v>
      </c>
      <c r="AQ151" s="15" t="s">
        <v>333</v>
      </c>
      <c r="AR151" s="25" t="s">
        <v>91</v>
      </c>
      <c r="AS151" s="15">
        <v>67</v>
      </c>
      <c r="AT151" s="15">
        <v>60</v>
      </c>
      <c r="AU151" s="15">
        <v>74</v>
      </c>
      <c r="AV151" s="15">
        <v>43</v>
      </c>
      <c r="AW151" s="15">
        <v>74</v>
      </c>
      <c r="AX151" s="15">
        <v>52</v>
      </c>
      <c r="AY151" s="15">
        <v>86</v>
      </c>
      <c r="AZ151" s="15">
        <v>64</v>
      </c>
      <c r="BA151" s="15">
        <v>68</v>
      </c>
      <c r="BB151" s="15">
        <v>67</v>
      </c>
      <c r="BC151" s="15">
        <v>64</v>
      </c>
      <c r="BD151" s="15">
        <v>64</v>
      </c>
      <c r="BE151" s="15">
        <v>59</v>
      </c>
      <c r="BF151" s="15">
        <v>55</v>
      </c>
      <c r="BG151" s="15">
        <v>56</v>
      </c>
    </row>
    <row r="152" spans="1:68" s="63" customFormat="1" ht="13.5" customHeight="1">
      <c r="A152" s="63" t="s">
        <v>262</v>
      </c>
      <c r="B152" s="63" t="s">
        <v>744</v>
      </c>
      <c r="C152" s="64" t="s">
        <v>745</v>
      </c>
      <c r="D152" s="65" t="s">
        <v>87</v>
      </c>
      <c r="E152" s="88" t="s">
        <v>546</v>
      </c>
      <c r="F152" s="68">
        <v>1</v>
      </c>
      <c r="G152" s="68" t="s">
        <v>273</v>
      </c>
      <c r="H152" s="69">
        <v>545</v>
      </c>
      <c r="I152" s="74">
        <v>5</v>
      </c>
      <c r="J152" s="69">
        <v>2755</v>
      </c>
      <c r="K152" s="72">
        <v>0.35</v>
      </c>
      <c r="L152" s="69">
        <f t="shared" si="350"/>
        <v>1790.75</v>
      </c>
      <c r="M152" s="86">
        <f t="shared" si="305"/>
        <v>3.2857798165137613</v>
      </c>
      <c r="N152" s="79">
        <v>4.68</v>
      </c>
      <c r="O152" s="79">
        <v>6.5</v>
      </c>
      <c r="P152" s="79">
        <v>5.84</v>
      </c>
      <c r="Q152" s="79"/>
      <c r="R152" s="79">
        <v>3.33</v>
      </c>
      <c r="S152" s="84">
        <v>4.68</v>
      </c>
      <c r="T152" s="85">
        <f>AVERAGE(N152:S152)</f>
        <v>5.0060000000000002</v>
      </c>
      <c r="U152" s="63" t="s">
        <v>746</v>
      </c>
      <c r="V152" s="77" t="s">
        <v>103</v>
      </c>
      <c r="W152" s="77"/>
      <c r="X152" s="78">
        <v>0.42</v>
      </c>
      <c r="Y152" s="78"/>
      <c r="Z152" s="79">
        <v>0.3</v>
      </c>
      <c r="AA152" s="80">
        <v>45761</v>
      </c>
      <c r="AB152" s="81">
        <f t="shared" si="380"/>
        <v>60.222222222222221</v>
      </c>
      <c r="AC152" s="81">
        <f t="shared" ref="AC152:AC158" si="403">AB152*X152</f>
        <v>25.293333333333333</v>
      </c>
      <c r="AD152" s="81">
        <f t="shared" si="306"/>
        <v>22.647018333333332</v>
      </c>
      <c r="AE152" s="81">
        <f t="shared" si="352"/>
        <v>4.5294036666666662</v>
      </c>
      <c r="AF152" s="167">
        <f t="shared" si="367"/>
        <v>-3.3248600570008863E-2</v>
      </c>
      <c r="AG152" s="264"/>
      <c r="AH152" s="264">
        <f t="shared" si="365"/>
        <v>0</v>
      </c>
      <c r="AI152" s="77"/>
      <c r="AJ152" s="79">
        <f t="shared" si="368"/>
        <v>22.647018333333332</v>
      </c>
      <c r="AK152" s="82">
        <f t="shared" si="369"/>
        <v>4.5294036666666662</v>
      </c>
      <c r="AL152" s="82"/>
      <c r="AM152" s="82">
        <f t="shared" si="370"/>
        <v>54.802222222222227</v>
      </c>
      <c r="AN152" s="82" t="s">
        <v>701</v>
      </c>
      <c r="AO152" s="82"/>
      <c r="AP152" s="82"/>
      <c r="AR152" s="77" t="s">
        <v>269</v>
      </c>
      <c r="AS152" s="63">
        <v>80</v>
      </c>
      <c r="AT152" s="63">
        <v>71</v>
      </c>
      <c r="AU152" s="63">
        <v>62</v>
      </c>
      <c r="AV152" s="63">
        <v>39</v>
      </c>
      <c r="AW152" s="63">
        <v>44</v>
      </c>
      <c r="AX152" s="63">
        <v>62</v>
      </c>
      <c r="AY152" s="63">
        <v>66</v>
      </c>
      <c r="AZ152" s="63">
        <v>42</v>
      </c>
      <c r="BA152" s="63">
        <v>76</v>
      </c>
    </row>
    <row r="153" spans="1:68" s="63" customFormat="1" ht="13.5" customHeight="1">
      <c r="A153" s="63" t="s">
        <v>262</v>
      </c>
      <c r="B153" s="63" t="s">
        <v>744</v>
      </c>
      <c r="C153" s="64" t="s">
        <v>745</v>
      </c>
      <c r="D153" s="65" t="s">
        <v>87</v>
      </c>
      <c r="E153" s="88" t="s">
        <v>546</v>
      </c>
      <c r="F153" s="68">
        <v>1</v>
      </c>
      <c r="G153" s="68" t="s">
        <v>273</v>
      </c>
      <c r="H153" s="69">
        <v>545</v>
      </c>
      <c r="I153" s="74">
        <v>5</v>
      </c>
      <c r="J153" s="69">
        <v>2755</v>
      </c>
      <c r="K153" s="72">
        <v>0.35</v>
      </c>
      <c r="L153" s="69">
        <f t="shared" si="350"/>
        <v>1790.75</v>
      </c>
      <c r="M153" s="86">
        <f t="shared" si="305"/>
        <v>3.2857798165137613</v>
      </c>
      <c r="N153" s="79">
        <v>4.68</v>
      </c>
      <c r="O153" s="79">
        <v>6.5</v>
      </c>
      <c r="P153" s="79">
        <v>5.84</v>
      </c>
      <c r="Q153" s="79"/>
      <c r="R153" s="79">
        <v>3.33</v>
      </c>
      <c r="S153" s="84">
        <v>4.68</v>
      </c>
      <c r="T153" s="85">
        <f>AVERAGE(N153:S153)</f>
        <v>5.0060000000000002</v>
      </c>
      <c r="U153" s="63" t="s">
        <v>746</v>
      </c>
      <c r="V153" s="77" t="s">
        <v>103</v>
      </c>
      <c r="W153" s="77"/>
      <c r="X153" s="78">
        <v>0.42</v>
      </c>
      <c r="Y153" s="78"/>
      <c r="Z153" s="79">
        <v>0.3</v>
      </c>
      <c r="AA153" s="80">
        <v>45800</v>
      </c>
      <c r="AB153" s="81">
        <f t="shared" si="380"/>
        <v>79.083333333333329</v>
      </c>
      <c r="AC153" s="81">
        <f t="shared" si="403"/>
        <v>33.214999999999996</v>
      </c>
      <c r="AD153" s="81">
        <f t="shared" si="306"/>
        <v>29.739880624999998</v>
      </c>
      <c r="AE153" s="81">
        <f t="shared" si="352"/>
        <v>5.9479761249999994</v>
      </c>
      <c r="AF153" s="167">
        <f t="shared" si="367"/>
        <v>0.21317774287468241</v>
      </c>
      <c r="AG153" s="264"/>
      <c r="AH153" s="264">
        <f t="shared" si="365"/>
        <v>0</v>
      </c>
      <c r="AI153" s="77"/>
      <c r="AJ153" s="79">
        <f t="shared" si="368"/>
        <v>29.739880624999998</v>
      </c>
      <c r="AK153" s="82">
        <f t="shared" si="369"/>
        <v>5.9479761249999994</v>
      </c>
      <c r="AL153" s="82"/>
      <c r="AM153" s="82">
        <f t="shared" si="370"/>
        <v>71.965833333333322</v>
      </c>
      <c r="AN153" s="82" t="s">
        <v>701</v>
      </c>
      <c r="AO153" s="82"/>
      <c r="AP153" s="82"/>
      <c r="AR153" s="77" t="s">
        <v>91</v>
      </c>
      <c r="AS153" s="63">
        <v>70</v>
      </c>
      <c r="AT153" s="63">
        <v>110</v>
      </c>
      <c r="AU153" s="63">
        <v>87</v>
      </c>
      <c r="AV153" s="63">
        <v>74</v>
      </c>
      <c r="AW153" s="63">
        <v>85</v>
      </c>
      <c r="AX153" s="63">
        <v>64</v>
      </c>
      <c r="AY153" s="63">
        <v>108</v>
      </c>
      <c r="AZ153" s="63">
        <v>87</v>
      </c>
      <c r="BA153" s="63">
        <v>78</v>
      </c>
      <c r="BB153" s="63">
        <v>11</v>
      </c>
      <c r="BC153" s="63">
        <v>63</v>
      </c>
      <c r="BD153" s="63">
        <v>112</v>
      </c>
    </row>
    <row r="154" spans="1:68" s="63" customFormat="1" ht="13.5" customHeight="1">
      <c r="A154" s="63" t="s">
        <v>262</v>
      </c>
      <c r="B154" s="63" t="s">
        <v>744</v>
      </c>
      <c r="C154" s="64" t="s">
        <v>745</v>
      </c>
      <c r="D154" s="65" t="s">
        <v>87</v>
      </c>
      <c r="E154" s="88" t="s">
        <v>546</v>
      </c>
      <c r="F154" s="68">
        <v>1</v>
      </c>
      <c r="G154" s="68" t="s">
        <v>273</v>
      </c>
      <c r="H154" s="69">
        <v>545</v>
      </c>
      <c r="I154" s="74">
        <v>5</v>
      </c>
      <c r="J154" s="69">
        <v>2755</v>
      </c>
      <c r="K154" s="72">
        <v>0.35</v>
      </c>
      <c r="L154" s="69">
        <f t="shared" ref="L154" si="404">J154-(J154*K154)</f>
        <v>1790.75</v>
      </c>
      <c r="M154" s="86">
        <f t="shared" ref="M154" si="405">L154/H154</f>
        <v>3.2857798165137613</v>
      </c>
      <c r="N154" s="79">
        <v>4.68</v>
      </c>
      <c r="O154" s="79">
        <v>6.5</v>
      </c>
      <c r="P154" s="79">
        <v>5.84</v>
      </c>
      <c r="Q154" s="79"/>
      <c r="R154" s="79">
        <v>3.33</v>
      </c>
      <c r="S154" s="84">
        <v>4.68</v>
      </c>
      <c r="T154" s="85">
        <f>AVERAGE(N154:S154)</f>
        <v>5.0060000000000002</v>
      </c>
      <c r="U154" s="63" t="s">
        <v>746</v>
      </c>
      <c r="V154" s="77" t="s">
        <v>103</v>
      </c>
      <c r="W154" s="77"/>
      <c r="X154" s="78">
        <v>0.42</v>
      </c>
      <c r="Y154" s="78"/>
      <c r="Z154" s="79">
        <v>0.3</v>
      </c>
      <c r="AA154" s="80">
        <v>45839</v>
      </c>
      <c r="AB154" s="81">
        <f t="shared" ref="AB154" si="406">IFERROR(AVERAGE(AS154:CP154),0)</f>
        <v>78.166666666666671</v>
      </c>
      <c r="AC154" s="81">
        <f t="shared" ref="AC154" si="407">AB154*X154</f>
        <v>32.83</v>
      </c>
      <c r="AD154" s="81">
        <f t="shared" ref="AD154" si="408">(AC154*L154)/2000</f>
        <v>29.395161249999997</v>
      </c>
      <c r="AE154" s="81">
        <f t="shared" ref="AE154" si="409">IFERROR((AD154/I154),"")</f>
        <v>5.8790322499999998</v>
      </c>
      <c r="AF154" s="167">
        <f t="shared" ref="AF154" si="410">IFERROR(((AE154-S154)/AE154),"")</f>
        <v>0.20395061619197619</v>
      </c>
      <c r="AG154" s="264"/>
      <c r="AH154" s="264">
        <f t="shared" si="365"/>
        <v>0</v>
      </c>
      <c r="AI154" s="77"/>
      <c r="AJ154" s="79">
        <f t="shared" ref="AJ154" si="411">AD154-(AI154*I154)</f>
        <v>29.395161249999997</v>
      </c>
      <c r="AK154" s="82">
        <f t="shared" ref="AK154" si="412">AJ154/I154</f>
        <v>5.8790322499999998</v>
      </c>
      <c r="AL154" s="82"/>
      <c r="AM154" s="82">
        <f t="shared" ref="AM154" si="413">((AJ154*2000)/Z154)/J154</f>
        <v>71.131666666666661</v>
      </c>
      <c r="AN154" s="82" t="s">
        <v>701</v>
      </c>
      <c r="AO154" s="82"/>
      <c r="AP154" s="82"/>
      <c r="AR154" s="77" t="s">
        <v>91</v>
      </c>
      <c r="AS154" s="63">
        <v>93</v>
      </c>
      <c r="AT154" s="63">
        <v>72</v>
      </c>
      <c r="AU154" s="63">
        <v>65</v>
      </c>
      <c r="AV154" s="63">
        <v>78</v>
      </c>
      <c r="AW154" s="63">
        <v>79</v>
      </c>
      <c r="AX154" s="63">
        <v>52</v>
      </c>
      <c r="AY154" s="63">
        <v>96</v>
      </c>
      <c r="AZ154" s="63">
        <v>89</v>
      </c>
      <c r="BA154" s="63">
        <v>86</v>
      </c>
      <c r="BB154" s="63">
        <v>44</v>
      </c>
      <c r="BC154" s="63">
        <v>94</v>
      </c>
      <c r="BD154" s="63">
        <v>90</v>
      </c>
    </row>
    <row r="155" spans="1:68" s="113" customFormat="1">
      <c r="A155" s="113" t="s">
        <v>262</v>
      </c>
      <c r="B155" s="113" t="s">
        <v>270</v>
      </c>
      <c r="C155" s="114" t="s">
        <v>271</v>
      </c>
      <c r="D155" s="128" t="s">
        <v>87</v>
      </c>
      <c r="E155" s="133" t="s">
        <v>272</v>
      </c>
      <c r="F155" s="126">
        <v>1</v>
      </c>
      <c r="G155" s="126" t="s">
        <v>273</v>
      </c>
      <c r="H155" s="123">
        <v>544.5</v>
      </c>
      <c r="I155" s="125">
        <v>28.51</v>
      </c>
      <c r="J155" s="123">
        <v>15354</v>
      </c>
      <c r="K155" s="124"/>
      <c r="L155" s="123">
        <f t="shared" si="350"/>
        <v>15354</v>
      </c>
      <c r="M155" s="122">
        <f t="shared" si="305"/>
        <v>28.198347107438018</v>
      </c>
      <c r="N155" s="118"/>
      <c r="O155" s="118"/>
      <c r="P155" s="118"/>
      <c r="Q155" s="118"/>
      <c r="R155" s="118"/>
      <c r="S155" s="153">
        <v>4.7699999999999996</v>
      </c>
      <c r="T155" s="121"/>
      <c r="U155" s="113" t="s">
        <v>365</v>
      </c>
      <c r="V155" s="115" t="s">
        <v>103</v>
      </c>
      <c r="W155" s="115"/>
      <c r="X155" s="120">
        <v>0.55000000000000004</v>
      </c>
      <c r="Y155" s="120"/>
      <c r="Z155" s="118">
        <v>0.45</v>
      </c>
      <c r="AA155" s="119">
        <v>45763</v>
      </c>
      <c r="AB155" s="117">
        <f t="shared" si="380"/>
        <v>37.333333333333336</v>
      </c>
      <c r="AC155" s="117">
        <f t="shared" si="403"/>
        <v>20.533333333333335</v>
      </c>
      <c r="AD155" s="117">
        <f t="shared" si="306"/>
        <v>157.63440000000003</v>
      </c>
      <c r="AE155" s="117">
        <f t="shared" si="352"/>
        <v>5.5290915468256756</v>
      </c>
      <c r="AF155" s="170">
        <f t="shared" si="367"/>
        <v>0.13729046451789725</v>
      </c>
      <c r="AG155" s="265"/>
      <c r="AH155" s="265">
        <f t="shared" si="365"/>
        <v>0</v>
      </c>
      <c r="AI155" s="115"/>
      <c r="AJ155" s="118">
        <f t="shared" si="368"/>
        <v>157.63440000000003</v>
      </c>
      <c r="AK155" s="116">
        <f t="shared" si="369"/>
        <v>5.5290915468256756</v>
      </c>
      <c r="AL155" s="116"/>
      <c r="AM155" s="116">
        <f t="shared" si="370"/>
        <v>45.629629629629633</v>
      </c>
      <c r="AN155" s="116" t="s">
        <v>701</v>
      </c>
      <c r="AO155" s="116"/>
      <c r="AP155" s="116"/>
      <c r="AR155" s="115" t="s">
        <v>747</v>
      </c>
      <c r="AS155" s="113">
        <v>31</v>
      </c>
      <c r="AT155" s="113">
        <v>39</v>
      </c>
      <c r="AU155" s="113">
        <v>37</v>
      </c>
      <c r="AV155" s="113">
        <v>34</v>
      </c>
      <c r="AW155" s="113">
        <v>43</v>
      </c>
      <c r="AX155" s="113">
        <v>30</v>
      </c>
      <c r="AY155" s="113">
        <v>27</v>
      </c>
      <c r="AZ155" s="113">
        <v>35</v>
      </c>
      <c r="BA155" s="113">
        <v>33</v>
      </c>
      <c r="BB155" s="113">
        <v>41</v>
      </c>
      <c r="BC155" s="113">
        <v>38</v>
      </c>
      <c r="BD155" s="113">
        <v>48</v>
      </c>
      <c r="BE155" s="113">
        <v>34</v>
      </c>
      <c r="BF155" s="113">
        <v>38</v>
      </c>
      <c r="BG155" s="113">
        <v>44</v>
      </c>
      <c r="BH155" s="113">
        <v>39</v>
      </c>
      <c r="BI155" s="113">
        <v>50</v>
      </c>
      <c r="BJ155" s="113">
        <v>40</v>
      </c>
      <c r="BK155" s="113">
        <v>32</v>
      </c>
      <c r="BL155" s="113">
        <v>30</v>
      </c>
      <c r="BM155" s="113">
        <v>41</v>
      </c>
    </row>
    <row r="156" spans="1:68" s="113" customFormat="1">
      <c r="A156" s="113" t="s">
        <v>262</v>
      </c>
      <c r="B156" s="113" t="s">
        <v>270</v>
      </c>
      <c r="C156" s="114" t="s">
        <v>748</v>
      </c>
      <c r="D156" s="128" t="s">
        <v>87</v>
      </c>
      <c r="E156" s="133" t="s">
        <v>272</v>
      </c>
      <c r="F156" s="126">
        <v>1</v>
      </c>
      <c r="G156" s="126" t="s">
        <v>273</v>
      </c>
      <c r="H156" s="123">
        <v>544.5</v>
      </c>
      <c r="I156" s="125">
        <v>28.51</v>
      </c>
      <c r="J156" s="123">
        <v>15354</v>
      </c>
      <c r="K156" s="124"/>
      <c r="L156" s="123">
        <f t="shared" si="350"/>
        <v>15354</v>
      </c>
      <c r="M156" s="122">
        <f t="shared" si="305"/>
        <v>28.198347107438018</v>
      </c>
      <c r="N156" s="118"/>
      <c r="O156" s="118"/>
      <c r="P156" s="118"/>
      <c r="Q156" s="118"/>
      <c r="R156" s="118"/>
      <c r="S156" s="153">
        <v>4.7699999999999996</v>
      </c>
      <c r="T156" s="121"/>
      <c r="U156" s="113" t="s">
        <v>365</v>
      </c>
      <c r="V156" s="115" t="s">
        <v>103</v>
      </c>
      <c r="W156" s="115"/>
      <c r="X156" s="120">
        <v>0.6</v>
      </c>
      <c r="Y156" s="120"/>
      <c r="Z156" s="118">
        <v>0.45</v>
      </c>
      <c r="AA156" s="119">
        <v>45763</v>
      </c>
      <c r="AB156" s="117">
        <f t="shared" si="380"/>
        <v>37.416666666666664</v>
      </c>
      <c r="AC156" s="117">
        <f t="shared" si="403"/>
        <v>22.45</v>
      </c>
      <c r="AD156" s="117">
        <f t="shared" si="306"/>
        <v>172.34864999999999</v>
      </c>
      <c r="AE156" s="117">
        <f t="shared" si="352"/>
        <v>6.0451999298491748</v>
      </c>
      <c r="AF156" s="170">
        <f t="shared" si="367"/>
        <v>0.21094421105126143</v>
      </c>
      <c r="AG156" s="265"/>
      <c r="AH156" s="265">
        <f t="shared" si="365"/>
        <v>0</v>
      </c>
      <c r="AI156" s="115"/>
      <c r="AJ156" s="118">
        <f t="shared" si="368"/>
        <v>172.34864999999999</v>
      </c>
      <c r="AK156" s="116">
        <f t="shared" si="369"/>
        <v>6.0451999298491748</v>
      </c>
      <c r="AL156" s="116"/>
      <c r="AM156" s="116">
        <f t="shared" si="370"/>
        <v>49.888888888888886</v>
      </c>
      <c r="AN156" s="116" t="s">
        <v>701</v>
      </c>
      <c r="AO156" s="116"/>
      <c r="AP156" s="116"/>
      <c r="AR156" s="115" t="s">
        <v>749</v>
      </c>
      <c r="AS156" s="113">
        <v>33</v>
      </c>
      <c r="AT156" s="113">
        <v>35</v>
      </c>
      <c r="AU156" s="113">
        <v>33</v>
      </c>
      <c r="AV156" s="113">
        <v>32</v>
      </c>
      <c r="AW156" s="113">
        <v>39</v>
      </c>
      <c r="AX156" s="113">
        <v>46</v>
      </c>
      <c r="AY156" s="113">
        <v>34</v>
      </c>
      <c r="AZ156" s="113">
        <v>41</v>
      </c>
      <c r="BA156" s="113">
        <v>38</v>
      </c>
      <c r="BB156" s="113">
        <v>43</v>
      </c>
      <c r="BC156" s="113">
        <v>39</v>
      </c>
      <c r="BD156" s="113">
        <v>36</v>
      </c>
    </row>
    <row r="157" spans="1:68" s="113" customFormat="1">
      <c r="A157" s="113" t="s">
        <v>262</v>
      </c>
      <c r="B157" s="113" t="s">
        <v>270</v>
      </c>
      <c r="C157" s="114" t="s">
        <v>271</v>
      </c>
      <c r="D157" s="128" t="s">
        <v>87</v>
      </c>
      <c r="E157" s="133" t="s">
        <v>272</v>
      </c>
      <c r="F157" s="126">
        <v>1</v>
      </c>
      <c r="G157" s="126" t="s">
        <v>273</v>
      </c>
      <c r="H157" s="123">
        <v>544.5</v>
      </c>
      <c r="I157" s="125">
        <v>28.51</v>
      </c>
      <c r="J157" s="123">
        <v>15354</v>
      </c>
      <c r="K157" s="124">
        <v>0.08</v>
      </c>
      <c r="L157" s="123">
        <f t="shared" si="350"/>
        <v>14125.68</v>
      </c>
      <c r="M157" s="122">
        <f t="shared" si="305"/>
        <v>25.942479338842976</v>
      </c>
      <c r="N157" s="118"/>
      <c r="O157" s="118"/>
      <c r="P157" s="118"/>
      <c r="Q157" s="118"/>
      <c r="R157" s="118"/>
      <c r="S157" s="153">
        <v>4.7699999999999996</v>
      </c>
      <c r="T157" s="121"/>
      <c r="U157" s="113" t="s">
        <v>365</v>
      </c>
      <c r="V157" s="115" t="s">
        <v>103</v>
      </c>
      <c r="W157" s="115"/>
      <c r="X157" s="120">
        <v>0.55000000000000004</v>
      </c>
      <c r="Y157" s="120"/>
      <c r="Z157" s="118">
        <v>0.45</v>
      </c>
      <c r="AA157" s="119">
        <v>45847</v>
      </c>
      <c r="AB157" s="117">
        <f t="shared" si="380"/>
        <v>28</v>
      </c>
      <c r="AC157" s="117">
        <f t="shared" si="403"/>
        <v>15.400000000000002</v>
      </c>
      <c r="AD157" s="117">
        <f t="shared" si="306"/>
        <v>108.76773600000001</v>
      </c>
      <c r="AE157" s="117">
        <f t="shared" si="352"/>
        <v>3.8150731673097162</v>
      </c>
      <c r="AF157" s="170">
        <f t="shared" si="367"/>
        <v>-0.25030367461174308</v>
      </c>
      <c r="AG157" s="265"/>
      <c r="AH157" s="265">
        <f t="shared" si="365"/>
        <v>0</v>
      </c>
      <c r="AI157" s="115"/>
      <c r="AJ157" s="118">
        <f t="shared" si="368"/>
        <v>108.76773600000001</v>
      </c>
      <c r="AK157" s="116">
        <f t="shared" si="369"/>
        <v>3.8150731673097162</v>
      </c>
      <c r="AL157" s="116"/>
      <c r="AM157" s="116">
        <f t="shared" si="370"/>
        <v>31.484444444444449</v>
      </c>
      <c r="AN157" s="116" t="s">
        <v>701</v>
      </c>
      <c r="AO157" s="116"/>
      <c r="AP157" s="116"/>
      <c r="AR157" s="115" t="s">
        <v>346</v>
      </c>
      <c r="AS157" s="113">
        <v>25</v>
      </c>
      <c r="AT157" s="113">
        <v>27</v>
      </c>
      <c r="AU157" s="113">
        <v>26</v>
      </c>
      <c r="AV157" s="113">
        <v>29</v>
      </c>
      <c r="AW157" s="113">
        <v>25</v>
      </c>
      <c r="AX157" s="113">
        <v>34</v>
      </c>
      <c r="AY157" s="113">
        <v>24</v>
      </c>
      <c r="AZ157" s="113">
        <v>35</v>
      </c>
      <c r="BA157" s="113">
        <v>26</v>
      </c>
      <c r="BB157" s="113">
        <v>35</v>
      </c>
      <c r="BC157" s="113">
        <v>26</v>
      </c>
      <c r="BD157" s="113">
        <v>23</v>
      </c>
      <c r="BE157" s="113">
        <v>27</v>
      </c>
      <c r="BF157" s="113">
        <v>31</v>
      </c>
      <c r="BG157" s="113">
        <v>27</v>
      </c>
      <c r="BH157" s="113">
        <v>24</v>
      </c>
      <c r="BI157" s="113">
        <v>28</v>
      </c>
      <c r="BJ157" s="113">
        <v>32</v>
      </c>
    </row>
    <row r="158" spans="1:68" s="113" customFormat="1">
      <c r="A158" s="113" t="s">
        <v>262</v>
      </c>
      <c r="B158" s="113" t="s">
        <v>270</v>
      </c>
      <c r="C158" s="114" t="s">
        <v>748</v>
      </c>
      <c r="D158" s="128" t="s">
        <v>87</v>
      </c>
      <c r="E158" s="133" t="s">
        <v>272</v>
      </c>
      <c r="F158" s="126">
        <v>1</v>
      </c>
      <c r="G158" s="126" t="s">
        <v>273</v>
      </c>
      <c r="H158" s="123">
        <v>544.5</v>
      </c>
      <c r="I158" s="125">
        <v>28.51</v>
      </c>
      <c r="J158" s="123">
        <v>15354</v>
      </c>
      <c r="K158" s="124">
        <v>0.08</v>
      </c>
      <c r="L158" s="123">
        <f t="shared" ref="L158:L160" si="414">J158-(J158*K158)</f>
        <v>14125.68</v>
      </c>
      <c r="M158" s="122">
        <f t="shared" ref="M158:M234" si="415">L158/H158</f>
        <v>25.942479338842976</v>
      </c>
      <c r="N158" s="118"/>
      <c r="O158" s="118"/>
      <c r="P158" s="118"/>
      <c r="Q158" s="118"/>
      <c r="R158" s="118"/>
      <c r="S158" s="153">
        <v>4.7699999999999996</v>
      </c>
      <c r="T158" s="121"/>
      <c r="U158" s="113" t="s">
        <v>365</v>
      </c>
      <c r="V158" s="115" t="s">
        <v>103</v>
      </c>
      <c r="W158" s="115"/>
      <c r="X158" s="120">
        <v>0.6</v>
      </c>
      <c r="Y158" s="120"/>
      <c r="Z158" s="118">
        <v>0.45</v>
      </c>
      <c r="AA158" s="119">
        <v>45847</v>
      </c>
      <c r="AB158" s="117">
        <f t="shared" si="380"/>
        <v>30.857142857142858</v>
      </c>
      <c r="AC158" s="117">
        <f t="shared" si="403"/>
        <v>18.514285714285712</v>
      </c>
      <c r="AD158" s="117">
        <f t="shared" ref="AD158:AD234" si="416">(AC158*L158)/2000</f>
        <v>130.76343771428569</v>
      </c>
      <c r="AE158" s="117">
        <f t="shared" si="352"/>
        <v>4.5865814701608443</v>
      </c>
      <c r="AF158" s="170">
        <f t="shared" si="367"/>
        <v>-3.9990247863780581E-2</v>
      </c>
      <c r="AG158" s="265"/>
      <c r="AH158" s="265">
        <f t="shared" si="365"/>
        <v>0</v>
      </c>
      <c r="AI158" s="115"/>
      <c r="AJ158" s="118">
        <f t="shared" si="368"/>
        <v>130.76343771428569</v>
      </c>
      <c r="AK158" s="116">
        <f t="shared" si="369"/>
        <v>4.5865814701608443</v>
      </c>
      <c r="AL158" s="116"/>
      <c r="AM158" s="116">
        <f t="shared" si="370"/>
        <v>37.851428571428556</v>
      </c>
      <c r="AN158" s="116" t="s">
        <v>701</v>
      </c>
      <c r="AO158" s="116"/>
      <c r="AP158" s="116"/>
      <c r="AR158" s="115" t="s">
        <v>346</v>
      </c>
      <c r="AS158" s="113">
        <v>27</v>
      </c>
      <c r="AT158" s="113">
        <v>35</v>
      </c>
      <c r="AU158" s="113">
        <v>16</v>
      </c>
      <c r="AV158" s="113">
        <v>22</v>
      </c>
      <c r="AW158" s="113">
        <v>42</v>
      </c>
      <c r="AX158" s="113">
        <v>36</v>
      </c>
      <c r="AY158" s="113">
        <v>34</v>
      </c>
      <c r="AZ158" s="113">
        <v>27</v>
      </c>
      <c r="BA158" s="113">
        <v>33</v>
      </c>
      <c r="BB158" s="113">
        <v>35</v>
      </c>
      <c r="BC158" s="113">
        <v>29</v>
      </c>
      <c r="BD158" s="113">
        <v>31</v>
      </c>
      <c r="BE158" s="113">
        <v>32</v>
      </c>
      <c r="BF158" s="113">
        <v>33</v>
      </c>
    </row>
    <row r="159" spans="1:68" s="113" customFormat="1">
      <c r="A159" s="113" t="s">
        <v>262</v>
      </c>
      <c r="B159" s="113" t="s">
        <v>270</v>
      </c>
      <c r="C159" s="114" t="s">
        <v>275</v>
      </c>
      <c r="D159" s="128" t="s">
        <v>87</v>
      </c>
      <c r="E159" s="133" t="s">
        <v>272</v>
      </c>
      <c r="F159" s="126">
        <v>1</v>
      </c>
      <c r="G159" s="126" t="s">
        <v>273</v>
      </c>
      <c r="H159" s="123">
        <v>544.5</v>
      </c>
      <c r="I159" s="125">
        <v>28.51</v>
      </c>
      <c r="J159" s="123">
        <v>15354</v>
      </c>
      <c r="K159" s="124"/>
      <c r="L159" s="123">
        <f t="shared" si="414"/>
        <v>15354</v>
      </c>
      <c r="M159" s="122">
        <f t="shared" si="415"/>
        <v>28.198347107438018</v>
      </c>
      <c r="N159" s="118">
        <v>6.03</v>
      </c>
      <c r="O159" s="118">
        <v>5.49</v>
      </c>
      <c r="P159" s="118">
        <v>9.56</v>
      </c>
      <c r="Q159" s="118">
        <v>3.51</v>
      </c>
      <c r="R159" s="118">
        <v>7.57</v>
      </c>
      <c r="S159" s="153">
        <v>4.7699999999999996</v>
      </c>
      <c r="T159" s="121">
        <f>AVERAGE(N159:S159)</f>
        <v>6.1549999999999985</v>
      </c>
      <c r="V159" s="115"/>
      <c r="W159" s="115"/>
      <c r="X159" s="120">
        <v>0.57999999999999996</v>
      </c>
      <c r="Y159" s="120"/>
      <c r="Z159" s="118">
        <v>0.45</v>
      </c>
      <c r="AA159" s="119"/>
      <c r="AB159" s="117">
        <f t="shared" si="380"/>
        <v>0</v>
      </c>
      <c r="AC159" s="117"/>
      <c r="AD159" s="117">
        <f t="shared" si="416"/>
        <v>0</v>
      </c>
      <c r="AE159" s="117"/>
      <c r="AF159" s="170"/>
      <c r="AG159" s="265"/>
      <c r="AH159" s="265" t="e">
        <f t="shared" si="365"/>
        <v>#DIV/0!</v>
      </c>
      <c r="AI159" s="115"/>
      <c r="AJ159" s="118">
        <f t="shared" si="368"/>
        <v>0</v>
      </c>
      <c r="AK159" s="116">
        <f t="shared" si="369"/>
        <v>0</v>
      </c>
      <c r="AL159" s="116"/>
      <c r="AM159" s="116">
        <f t="shared" si="370"/>
        <v>0</v>
      </c>
      <c r="AN159" s="116" t="s">
        <v>701</v>
      </c>
      <c r="AO159" s="116"/>
      <c r="AP159" s="116"/>
      <c r="AR159" s="115"/>
    </row>
    <row r="160" spans="1:68" s="63" customFormat="1">
      <c r="A160" s="63" t="s">
        <v>262</v>
      </c>
      <c r="B160" s="63" t="s">
        <v>276</v>
      </c>
      <c r="C160" s="64" t="s">
        <v>277</v>
      </c>
      <c r="D160" s="65" t="s">
        <v>87</v>
      </c>
      <c r="E160" s="66" t="s">
        <v>148</v>
      </c>
      <c r="F160" s="68">
        <v>1</v>
      </c>
      <c r="G160" s="68" t="s">
        <v>265</v>
      </c>
      <c r="H160" s="69">
        <v>726</v>
      </c>
      <c r="I160" s="74">
        <v>45.21</v>
      </c>
      <c r="J160" s="69">
        <v>32514</v>
      </c>
      <c r="K160" s="72"/>
      <c r="L160" s="69">
        <f t="shared" si="414"/>
        <v>32514</v>
      </c>
      <c r="M160" s="86">
        <f t="shared" si="415"/>
        <v>44.785123966942152</v>
      </c>
      <c r="N160" s="79"/>
      <c r="O160" s="79"/>
      <c r="P160" s="79">
        <v>7.99</v>
      </c>
      <c r="Q160" s="79">
        <v>4.97</v>
      </c>
      <c r="R160" s="79">
        <v>9.99</v>
      </c>
      <c r="S160" s="84">
        <v>7.66</v>
      </c>
      <c r="T160" s="85">
        <f>AVERAGE(N160:S160)</f>
        <v>7.6525000000000007</v>
      </c>
      <c r="U160" s="63" t="s">
        <v>365</v>
      </c>
      <c r="V160" s="77" t="s">
        <v>103</v>
      </c>
      <c r="W160" s="77"/>
      <c r="X160" s="78"/>
      <c r="Y160" s="78"/>
      <c r="Z160" s="79">
        <v>0.35</v>
      </c>
      <c r="AA160" s="80">
        <v>45769</v>
      </c>
      <c r="AB160" s="81">
        <f t="shared" si="380"/>
        <v>71.166666666666671</v>
      </c>
      <c r="AC160" s="81">
        <f>AB160*Z160</f>
        <v>24.908333333333335</v>
      </c>
      <c r="AD160" s="81">
        <f t="shared" si="416"/>
        <v>404.934775</v>
      </c>
      <c r="AE160" s="81">
        <f t="shared" ref="AE160:AE168" si="417">IFERROR((AD160/I160),"")</f>
        <v>8.9567523777925242</v>
      </c>
      <c r="AF160" s="167">
        <f t="shared" ref="AF160:AF168" si="418">IFERROR(((AE160-S160)/AE160),"")</f>
        <v>0.14477930427190405</v>
      </c>
      <c r="AG160" s="264"/>
      <c r="AH160" s="264">
        <f t="shared" si="365"/>
        <v>0</v>
      </c>
      <c r="AI160" s="77"/>
      <c r="AJ160" s="79">
        <f t="shared" si="368"/>
        <v>404.934775</v>
      </c>
      <c r="AK160" s="82">
        <f t="shared" si="369"/>
        <v>8.9567523777925242</v>
      </c>
      <c r="AL160" s="82"/>
      <c r="AM160" s="82">
        <f t="shared" si="370"/>
        <v>71.166666666666686</v>
      </c>
      <c r="AN160" s="82"/>
      <c r="AO160" s="82"/>
      <c r="AP160" s="82"/>
      <c r="AR160" s="77" t="s">
        <v>137</v>
      </c>
      <c r="AS160" s="63">
        <v>90</v>
      </c>
      <c r="AT160" s="63">
        <v>72</v>
      </c>
      <c r="AU160" s="63">
        <v>68</v>
      </c>
      <c r="AV160" s="63">
        <v>66</v>
      </c>
      <c r="AW160" s="63">
        <v>69</v>
      </c>
      <c r="AX160" s="63">
        <v>71</v>
      </c>
      <c r="AY160" s="63">
        <v>80</v>
      </c>
      <c r="AZ160" s="63">
        <v>75</v>
      </c>
      <c r="BA160" s="63">
        <v>62</v>
      </c>
      <c r="BB160" s="63">
        <v>67</v>
      </c>
      <c r="BC160" s="63">
        <v>64</v>
      </c>
      <c r="BD160" s="63">
        <v>70</v>
      </c>
    </row>
    <row r="161" spans="1:64" s="113" customFormat="1">
      <c r="A161" s="113" t="s">
        <v>262</v>
      </c>
      <c r="B161" s="113" t="s">
        <v>278</v>
      </c>
      <c r="C161" s="114" t="s">
        <v>279</v>
      </c>
      <c r="D161" s="128" t="s">
        <v>87</v>
      </c>
      <c r="E161" s="133" t="s">
        <v>261</v>
      </c>
      <c r="F161" s="159" t="s">
        <v>280</v>
      </c>
      <c r="G161" s="126" t="s">
        <v>204</v>
      </c>
      <c r="H161" s="123">
        <v>691.42857142857144</v>
      </c>
      <c r="I161" s="125">
        <v>25.68</v>
      </c>
      <c r="J161" s="123">
        <v>22760</v>
      </c>
      <c r="K161" s="124"/>
      <c r="L161" s="123">
        <v>22760</v>
      </c>
      <c r="M161" s="122">
        <f t="shared" si="415"/>
        <v>32.917355371900825</v>
      </c>
      <c r="N161" s="160"/>
      <c r="O161" s="118"/>
      <c r="P161" s="118"/>
      <c r="Q161" s="118"/>
      <c r="R161" s="118"/>
      <c r="S161" s="153">
        <v>8.69</v>
      </c>
      <c r="T161" s="121"/>
      <c r="U161" s="113" t="s">
        <v>365</v>
      </c>
      <c r="V161" s="115" t="s">
        <v>103</v>
      </c>
      <c r="W161" s="115"/>
      <c r="X161" s="120">
        <v>0.3</v>
      </c>
      <c r="Y161" s="120">
        <v>0.34</v>
      </c>
      <c r="Z161" s="118">
        <v>0.38</v>
      </c>
      <c r="AA161" s="119">
        <v>45763</v>
      </c>
      <c r="AB161" s="117">
        <f t="shared" si="380"/>
        <v>88.05</v>
      </c>
      <c r="AC161" s="117">
        <f>AB161*Y161</f>
        <v>29.937000000000001</v>
      </c>
      <c r="AD161" s="117">
        <f t="shared" si="416"/>
        <v>340.68306000000001</v>
      </c>
      <c r="AE161" s="117">
        <f t="shared" si="417"/>
        <v>13.266474299065422</v>
      </c>
      <c r="AF161" s="170">
        <f t="shared" si="418"/>
        <v>0.34496537632367175</v>
      </c>
      <c r="AG161" s="265">
        <v>9.85</v>
      </c>
      <c r="AH161" s="265">
        <f t="shared" si="365"/>
        <v>0.32358586640761022</v>
      </c>
      <c r="AI161" s="115"/>
      <c r="AJ161" s="118">
        <f t="shared" si="368"/>
        <v>340.68306000000001</v>
      </c>
      <c r="AK161" s="116">
        <f t="shared" si="369"/>
        <v>13.266474299065422</v>
      </c>
      <c r="AL161" s="116"/>
      <c r="AM161" s="116">
        <f>((AJ161*2000)/X161)/J161</f>
        <v>99.789999999999992</v>
      </c>
      <c r="AN161" s="116" t="s">
        <v>701</v>
      </c>
      <c r="AO161" s="116"/>
      <c r="AP161" s="116"/>
      <c r="AR161" s="115" t="s">
        <v>91</v>
      </c>
      <c r="AS161" s="113">
        <v>82</v>
      </c>
      <c r="AT161" s="113">
        <v>106</v>
      </c>
      <c r="AU161" s="113">
        <v>56</v>
      </c>
      <c r="AV161" s="113">
        <v>86</v>
      </c>
      <c r="AW161" s="113">
        <v>65</v>
      </c>
      <c r="AX161" s="113">
        <v>128</v>
      </c>
      <c r="AY161" s="113">
        <v>90</v>
      </c>
      <c r="AZ161" s="113">
        <v>95</v>
      </c>
      <c r="BA161" s="113">
        <v>111</v>
      </c>
      <c r="BB161" s="113">
        <v>86</v>
      </c>
      <c r="BC161" s="113">
        <v>115</v>
      </c>
      <c r="BD161" s="113">
        <v>101</v>
      </c>
      <c r="BE161" s="113">
        <v>86</v>
      </c>
      <c r="BF161" s="113">
        <v>83</v>
      </c>
      <c r="BG161" s="113">
        <v>79</v>
      </c>
      <c r="BH161" s="113">
        <v>89</v>
      </c>
      <c r="BI161" s="113">
        <v>85</v>
      </c>
      <c r="BJ161" s="113">
        <v>79</v>
      </c>
      <c r="BK161" s="113">
        <v>65</v>
      </c>
      <c r="BL161" s="113">
        <v>74</v>
      </c>
    </row>
    <row r="162" spans="1:64" s="113" customFormat="1">
      <c r="A162" s="113" t="s">
        <v>262</v>
      </c>
      <c r="B162" s="113" t="s">
        <v>278</v>
      </c>
      <c r="C162" s="114" t="s">
        <v>279</v>
      </c>
      <c r="D162" s="128" t="s">
        <v>87</v>
      </c>
      <c r="E162" s="133" t="s">
        <v>261</v>
      </c>
      <c r="F162" s="159" t="s">
        <v>280</v>
      </c>
      <c r="G162" s="126" t="s">
        <v>204</v>
      </c>
      <c r="H162" s="123">
        <v>691.42857142857144</v>
      </c>
      <c r="I162" s="125">
        <v>25.68</v>
      </c>
      <c r="J162" s="123">
        <v>22760</v>
      </c>
      <c r="K162" s="124"/>
      <c r="L162" s="123">
        <v>22760</v>
      </c>
      <c r="M162" s="122">
        <f t="shared" si="415"/>
        <v>32.917355371900825</v>
      </c>
      <c r="N162" s="160"/>
      <c r="O162" s="118"/>
      <c r="P162" s="118"/>
      <c r="Q162" s="118"/>
      <c r="R162" s="118"/>
      <c r="S162" s="153">
        <v>8.69</v>
      </c>
      <c r="T162" s="121"/>
      <c r="U162" s="113" t="s">
        <v>365</v>
      </c>
      <c r="V162" s="115" t="s">
        <v>103</v>
      </c>
      <c r="W162" s="115"/>
      <c r="X162" s="120">
        <v>0.3</v>
      </c>
      <c r="Y162" s="120">
        <v>0.34</v>
      </c>
      <c r="Z162" s="118">
        <v>0.38</v>
      </c>
      <c r="AA162" s="119">
        <v>45786</v>
      </c>
      <c r="AB162" s="117">
        <f t="shared" si="380"/>
        <v>65.5</v>
      </c>
      <c r="AC162" s="117">
        <f t="shared" ref="AC162:AC169" si="419">AB162*Y162</f>
        <v>22.270000000000003</v>
      </c>
      <c r="AD162" s="117">
        <f t="shared" si="416"/>
        <v>253.43260000000004</v>
      </c>
      <c r="AE162" s="117">
        <f t="shared" si="417"/>
        <v>9.8688707165109051</v>
      </c>
      <c r="AF162" s="170">
        <f t="shared" si="418"/>
        <v>0.11945345626411144</v>
      </c>
      <c r="AG162" s="265">
        <v>9.85</v>
      </c>
      <c r="AH162" s="265">
        <f t="shared" si="365"/>
        <v>0.43498832881206229</v>
      </c>
      <c r="AI162" s="115"/>
      <c r="AJ162" s="118">
        <f t="shared" si="368"/>
        <v>253.43260000000004</v>
      </c>
      <c r="AK162" s="116">
        <f t="shared" si="369"/>
        <v>9.8688707165109051</v>
      </c>
      <c r="AL162" s="116"/>
      <c r="AM162" s="116">
        <f>((AJ162*2000)/X162)/J162</f>
        <v>74.233333333333348</v>
      </c>
      <c r="AN162" s="116" t="s">
        <v>701</v>
      </c>
      <c r="AO162" s="116"/>
      <c r="AP162" s="116"/>
      <c r="AR162" s="115" t="s">
        <v>116</v>
      </c>
      <c r="AS162" s="113">
        <v>65</v>
      </c>
      <c r="AT162" s="113">
        <v>60</v>
      </c>
      <c r="AU162" s="113">
        <v>55</v>
      </c>
      <c r="AV162" s="113">
        <v>63</v>
      </c>
      <c r="AW162" s="113">
        <v>57</v>
      </c>
      <c r="AX162" s="113">
        <v>67</v>
      </c>
      <c r="AY162" s="113">
        <v>60</v>
      </c>
      <c r="AZ162" s="113">
        <v>53</v>
      </c>
      <c r="BA162" s="113">
        <v>59</v>
      </c>
      <c r="BB162" s="113">
        <v>74</v>
      </c>
      <c r="BC162" s="113">
        <v>79</v>
      </c>
      <c r="BD162" s="113">
        <v>66</v>
      </c>
      <c r="BE162" s="113">
        <v>69</v>
      </c>
      <c r="BF162" s="113">
        <v>78</v>
      </c>
      <c r="BG162" s="113">
        <v>55</v>
      </c>
      <c r="BH162" s="113">
        <v>67</v>
      </c>
      <c r="BI162" s="113">
        <v>74</v>
      </c>
      <c r="BJ162" s="113">
        <v>80</v>
      </c>
      <c r="BK162" s="113">
        <v>60</v>
      </c>
      <c r="BL162" s="113">
        <v>69</v>
      </c>
    </row>
    <row r="163" spans="1:64" s="113" customFormat="1">
      <c r="A163" s="113" t="s">
        <v>262</v>
      </c>
      <c r="B163" s="113" t="s">
        <v>278</v>
      </c>
      <c r="C163" s="114" t="s">
        <v>279</v>
      </c>
      <c r="D163" s="128" t="s">
        <v>87</v>
      </c>
      <c r="E163" s="133" t="s">
        <v>261</v>
      </c>
      <c r="F163" s="159" t="s">
        <v>280</v>
      </c>
      <c r="G163" s="126" t="s">
        <v>204</v>
      </c>
      <c r="H163" s="123">
        <v>691.42857142857144</v>
      </c>
      <c r="I163" s="125">
        <v>25.68</v>
      </c>
      <c r="J163" s="123">
        <v>22760</v>
      </c>
      <c r="K163" s="124"/>
      <c r="L163" s="123">
        <v>22760</v>
      </c>
      <c r="M163" s="122">
        <f t="shared" ref="M163" si="420">L163/H163</f>
        <v>32.917355371900825</v>
      </c>
      <c r="N163" s="160"/>
      <c r="O163" s="118"/>
      <c r="P163" s="118"/>
      <c r="Q163" s="118"/>
      <c r="R163" s="118"/>
      <c r="S163" s="153">
        <v>8.69</v>
      </c>
      <c r="T163" s="121"/>
      <c r="U163" s="113" t="s">
        <v>365</v>
      </c>
      <c r="V163" s="115" t="s">
        <v>103</v>
      </c>
      <c r="W163" s="115"/>
      <c r="X163" s="120">
        <v>0.3</v>
      </c>
      <c r="Y163" s="120">
        <v>0.34</v>
      </c>
      <c r="Z163" s="118">
        <v>0.38</v>
      </c>
      <c r="AA163" s="119">
        <v>45840</v>
      </c>
      <c r="AB163" s="117">
        <f t="shared" ref="AB163" si="421">IFERROR(AVERAGE(AS163:CP163),0)</f>
        <v>71.75</v>
      </c>
      <c r="AC163" s="117">
        <f t="shared" si="419"/>
        <v>24.395000000000003</v>
      </c>
      <c r="AD163" s="117">
        <f t="shared" ref="AD163" si="422">(AC163*L163)/2000</f>
        <v>277.61510000000004</v>
      </c>
      <c r="AE163" s="117">
        <f t="shared" ref="AE163" si="423">IFERROR((AD163/I163),"")</f>
        <v>10.810556853582556</v>
      </c>
      <c r="AF163" s="170">
        <f t="shared" ref="AF163" si="424">IFERROR(((AE163-S163)/AE163),"")</f>
        <v>0.19615611686828288</v>
      </c>
      <c r="AG163" s="265">
        <v>9.85</v>
      </c>
      <c r="AH163" s="265">
        <f t="shared" si="365"/>
        <v>0.39709735940334606</v>
      </c>
      <c r="AI163" s="115"/>
      <c r="AJ163" s="118">
        <f t="shared" ref="AJ163" si="425">AD163-(AI163*I163)</f>
        <v>277.61510000000004</v>
      </c>
      <c r="AK163" s="116">
        <f t="shared" ref="AK163" si="426">AJ163/I163</f>
        <v>10.810556853582556</v>
      </c>
      <c r="AL163" s="116"/>
      <c r="AM163" s="116">
        <f>((AJ163*2000)/X163)/J163</f>
        <v>81.316666666666677</v>
      </c>
      <c r="AN163" s="116" t="s">
        <v>701</v>
      </c>
      <c r="AO163" s="116"/>
      <c r="AP163" s="116"/>
      <c r="AR163" s="115" t="s">
        <v>91</v>
      </c>
      <c r="AS163" s="113">
        <v>64</v>
      </c>
      <c r="AT163" s="113">
        <v>72</v>
      </c>
      <c r="AU163" s="113">
        <v>77</v>
      </c>
      <c r="AV163" s="113">
        <v>50</v>
      </c>
      <c r="AW163" s="113">
        <v>77</v>
      </c>
      <c r="AX163" s="113">
        <v>83</v>
      </c>
      <c r="AY163" s="113">
        <v>91</v>
      </c>
      <c r="AZ163" s="113">
        <v>79</v>
      </c>
      <c r="BA163" s="113">
        <v>78</v>
      </c>
      <c r="BB163" s="113">
        <v>62</v>
      </c>
      <c r="BC163" s="113">
        <v>75</v>
      </c>
      <c r="BD163" s="113">
        <v>53</v>
      </c>
    </row>
    <row r="164" spans="1:64" s="113" customFormat="1">
      <c r="A164" s="113" t="s">
        <v>262</v>
      </c>
      <c r="B164" s="113" t="s">
        <v>278</v>
      </c>
      <c r="C164" s="114" t="s">
        <v>284</v>
      </c>
      <c r="D164" s="128" t="s">
        <v>87</v>
      </c>
      <c r="E164" s="133" t="s">
        <v>261</v>
      </c>
      <c r="F164" s="159" t="s">
        <v>280</v>
      </c>
      <c r="G164" s="126" t="s">
        <v>204</v>
      </c>
      <c r="H164" s="123">
        <v>691.42857142857144</v>
      </c>
      <c r="I164" s="125">
        <v>11.48</v>
      </c>
      <c r="J164" s="123">
        <v>7826</v>
      </c>
      <c r="K164" s="124"/>
      <c r="L164" s="123">
        <v>7826</v>
      </c>
      <c r="M164" s="122">
        <f>L164/H164</f>
        <v>11.318595041322315</v>
      </c>
      <c r="N164" s="160"/>
      <c r="O164" s="118"/>
      <c r="P164" s="118"/>
      <c r="Q164" s="118"/>
      <c r="R164" s="118"/>
      <c r="S164" s="153">
        <v>8.69</v>
      </c>
      <c r="T164" s="121"/>
      <c r="U164" s="113" t="s">
        <v>750</v>
      </c>
      <c r="V164" s="115" t="s">
        <v>103</v>
      </c>
      <c r="W164" s="115"/>
      <c r="X164" s="120">
        <v>0.3</v>
      </c>
      <c r="Y164" s="120">
        <v>0.34</v>
      </c>
      <c r="Z164" s="118">
        <v>0.38</v>
      </c>
      <c r="AA164" s="119">
        <v>45840</v>
      </c>
      <c r="AB164" s="117">
        <f>IFERROR(AVERAGE(AS164:CP164),0)</f>
        <v>77.583333333333329</v>
      </c>
      <c r="AC164" s="117">
        <f t="shared" si="419"/>
        <v>26.378333333333334</v>
      </c>
      <c r="AD164" s="117">
        <f t="shared" ref="AD164" si="427">(AC164*L164)/2000</f>
        <v>103.21841833333333</v>
      </c>
      <c r="AE164" s="117">
        <f t="shared" ref="AE164" si="428">IFERROR((AD164/I164),"")</f>
        <v>8.9911514227642275</v>
      </c>
      <c r="AF164" s="170">
        <f t="shared" ref="AF164" si="429">IFERROR(((AE164-S164)/AE164),"")</f>
        <v>3.3494199864297518E-2</v>
      </c>
      <c r="AG164" s="265">
        <v>9.85</v>
      </c>
      <c r="AH164" s="265">
        <f t="shared" si="365"/>
        <v>0.36724041508730504</v>
      </c>
      <c r="AI164" s="115"/>
      <c r="AJ164" s="118">
        <f>AD164-(AI164*I164)</f>
        <v>103.21841833333333</v>
      </c>
      <c r="AK164" s="116">
        <f>AJ164/I164</f>
        <v>8.9911514227642275</v>
      </c>
      <c r="AL164" s="116"/>
      <c r="AM164" s="116">
        <f t="shared" ref="AM164:AM169" si="430">((AJ164*2000)/Z164)/J164</f>
        <v>69.416666666666671</v>
      </c>
      <c r="AN164" s="116" t="s">
        <v>701</v>
      </c>
      <c r="AO164" s="116"/>
      <c r="AP164" s="116"/>
      <c r="AR164" s="115" t="s">
        <v>91</v>
      </c>
      <c r="AS164" s="113">
        <v>79</v>
      </c>
      <c r="AT164" s="113">
        <v>106</v>
      </c>
      <c r="AU164" s="113">
        <v>109</v>
      </c>
      <c r="AV164" s="113">
        <v>93</v>
      </c>
      <c r="AW164" s="113">
        <v>74</v>
      </c>
      <c r="AX164" s="113">
        <v>86</v>
      </c>
      <c r="AY164" s="113">
        <v>55</v>
      </c>
      <c r="AZ164" s="113">
        <v>46</v>
      </c>
      <c r="BA164" s="113">
        <v>69</v>
      </c>
      <c r="BB164" s="113">
        <v>70</v>
      </c>
      <c r="BC164" s="113">
        <v>60</v>
      </c>
      <c r="BD164" s="113">
        <v>84</v>
      </c>
    </row>
    <row r="165" spans="1:64" s="113" customFormat="1">
      <c r="A165" s="113" t="s">
        <v>262</v>
      </c>
      <c r="B165" s="113" t="s">
        <v>278</v>
      </c>
      <c r="C165" s="114" t="s">
        <v>285</v>
      </c>
      <c r="D165" s="128" t="s">
        <v>87</v>
      </c>
      <c r="E165" s="133" t="s">
        <v>261</v>
      </c>
      <c r="F165" s="159" t="s">
        <v>280</v>
      </c>
      <c r="G165" s="126" t="s">
        <v>204</v>
      </c>
      <c r="H165" s="123">
        <v>691.42857142857144</v>
      </c>
      <c r="I165" s="125">
        <f>25.68+11.48</f>
        <v>37.159999999999997</v>
      </c>
      <c r="J165" s="123">
        <f>7826+22760</f>
        <v>30586</v>
      </c>
      <c r="K165" s="124"/>
      <c r="L165" s="123">
        <v>30586</v>
      </c>
      <c r="M165" s="122">
        <f>L165/H165</f>
        <v>44.235950413223136</v>
      </c>
      <c r="N165" s="160"/>
      <c r="O165" s="118"/>
      <c r="P165" s="118"/>
      <c r="Q165" s="118"/>
      <c r="R165" s="118"/>
      <c r="S165" s="153">
        <v>8.69</v>
      </c>
      <c r="T165" s="121"/>
      <c r="V165" s="115" t="s">
        <v>103</v>
      </c>
      <c r="W165" s="115"/>
      <c r="X165" s="120">
        <v>0.3</v>
      </c>
      <c r="Y165" s="120">
        <v>0.34</v>
      </c>
      <c r="Z165" s="118">
        <v>0.38</v>
      </c>
      <c r="AA165" s="119">
        <v>45840</v>
      </c>
      <c r="AB165" s="117"/>
      <c r="AC165" s="117">
        <f t="shared" si="419"/>
        <v>0</v>
      </c>
      <c r="AD165" s="117">
        <f>AD164+AD163</f>
        <v>380.83351833333336</v>
      </c>
      <c r="AE165" s="117">
        <f t="shared" ref="AE165" si="431">IFERROR((AD165/I165),"")</f>
        <v>10.248480041263008</v>
      </c>
      <c r="AF165" s="170">
        <f t="shared" ref="AF165" si="432">IFERROR(((AE165-S165)/AE165),"")</f>
        <v>0.15206938345863663</v>
      </c>
      <c r="AG165" s="265">
        <v>9.85</v>
      </c>
      <c r="AH165" s="265" t="e">
        <f t="shared" si="365"/>
        <v>#DIV/0!</v>
      </c>
      <c r="AI165" s="115"/>
      <c r="AJ165" s="118">
        <f>AD165-(AI165*I165)</f>
        <v>380.83351833333336</v>
      </c>
      <c r="AK165" s="116">
        <f>AJ165/I165</f>
        <v>10.248480041263008</v>
      </c>
      <c r="AL165" s="116"/>
      <c r="AM165" s="116">
        <f t="shared" si="430"/>
        <v>65.532823468138744</v>
      </c>
      <c r="AN165" s="116" t="s">
        <v>701</v>
      </c>
      <c r="AO165" s="116"/>
      <c r="AP165" s="116"/>
      <c r="AQ165" s="113" t="s">
        <v>751</v>
      </c>
      <c r="AR165" s="115" t="s">
        <v>91</v>
      </c>
      <c r="AS165" s="113">
        <v>79</v>
      </c>
      <c r="AT165" s="113">
        <v>106</v>
      </c>
      <c r="AU165" s="113">
        <v>109</v>
      </c>
      <c r="AV165" s="113">
        <v>93</v>
      </c>
      <c r="AW165" s="113">
        <v>74</v>
      </c>
      <c r="AX165" s="113">
        <v>86</v>
      </c>
      <c r="AY165" s="113">
        <v>55</v>
      </c>
      <c r="AZ165" s="113">
        <v>46</v>
      </c>
      <c r="BA165" s="113">
        <v>69</v>
      </c>
      <c r="BB165" s="113">
        <v>70</v>
      </c>
      <c r="BC165" s="113">
        <v>60</v>
      </c>
      <c r="BD165" s="113">
        <v>84</v>
      </c>
    </row>
    <row r="166" spans="1:64" s="113" customFormat="1">
      <c r="A166" s="113" t="s">
        <v>262</v>
      </c>
      <c r="B166" s="113" t="s">
        <v>278</v>
      </c>
      <c r="C166" s="114" t="s">
        <v>286</v>
      </c>
      <c r="D166" s="128" t="s">
        <v>87</v>
      </c>
      <c r="E166" s="133" t="s">
        <v>261</v>
      </c>
      <c r="F166" s="159" t="s">
        <v>280</v>
      </c>
      <c r="G166" s="126" t="s">
        <v>204</v>
      </c>
      <c r="H166" s="123">
        <v>691.42857142857144</v>
      </c>
      <c r="I166" s="125">
        <f>M166</f>
        <v>0.18078512396694216</v>
      </c>
      <c r="J166" s="123">
        <v>125</v>
      </c>
      <c r="K166" s="124"/>
      <c r="L166" s="123">
        <v>125</v>
      </c>
      <c r="M166" s="122">
        <f t="shared" si="415"/>
        <v>0.18078512396694216</v>
      </c>
      <c r="N166" s="160"/>
      <c r="O166" s="118"/>
      <c r="P166" s="118"/>
      <c r="Q166" s="118"/>
      <c r="R166" s="118"/>
      <c r="S166" s="153">
        <v>8.69</v>
      </c>
      <c r="T166" s="121"/>
      <c r="U166" s="113" t="s">
        <v>752</v>
      </c>
      <c r="V166" s="115" t="s">
        <v>103</v>
      </c>
      <c r="W166" s="115"/>
      <c r="X166" s="120">
        <v>0.3</v>
      </c>
      <c r="Y166" s="120">
        <v>0.34</v>
      </c>
      <c r="Z166" s="118">
        <v>0.36</v>
      </c>
      <c r="AA166" s="119">
        <v>45797</v>
      </c>
      <c r="AB166" s="117">
        <f t="shared" si="380"/>
        <v>76.777777777777771</v>
      </c>
      <c r="AC166" s="117">
        <f t="shared" si="419"/>
        <v>26.104444444444443</v>
      </c>
      <c r="AD166" s="117">
        <f t="shared" si="416"/>
        <v>1.6315277777777777</v>
      </c>
      <c r="AE166" s="117">
        <f t="shared" si="417"/>
        <v>9.0246793650793649</v>
      </c>
      <c r="AF166" s="170">
        <f t="shared" si="418"/>
        <v>3.7084903689143099E-2</v>
      </c>
      <c r="AG166" s="265">
        <v>9.85</v>
      </c>
      <c r="AH166" s="265">
        <f t="shared" si="365"/>
        <v>0.37109351640334409</v>
      </c>
      <c r="AI166" s="115"/>
      <c r="AJ166" s="118">
        <f t="shared" si="368"/>
        <v>1.6315277777777777</v>
      </c>
      <c r="AK166" s="116">
        <f t="shared" si="369"/>
        <v>9.0246793650793649</v>
      </c>
      <c r="AL166" s="116"/>
      <c r="AM166" s="116">
        <f t="shared" si="430"/>
        <v>72.512345679012341</v>
      </c>
      <c r="AN166" s="116" t="s">
        <v>701</v>
      </c>
      <c r="AO166" s="116"/>
      <c r="AP166" s="116"/>
      <c r="AR166" s="115" t="s">
        <v>91</v>
      </c>
      <c r="AS166" s="113">
        <v>65</v>
      </c>
      <c r="AT166" s="113">
        <v>68</v>
      </c>
      <c r="AU166" s="113">
        <v>86</v>
      </c>
      <c r="AV166" s="113">
        <v>70</v>
      </c>
      <c r="AW166" s="113">
        <v>70</v>
      </c>
      <c r="AX166" s="113">
        <v>97</v>
      </c>
      <c r="AY166" s="113">
        <v>51</v>
      </c>
      <c r="AZ166" s="113">
        <v>98</v>
      </c>
      <c r="BA166" s="113">
        <v>86</v>
      </c>
    </row>
    <row r="167" spans="1:64" s="113" customFormat="1">
      <c r="A167" s="113" t="s">
        <v>262</v>
      </c>
      <c r="B167" s="113" t="s">
        <v>278</v>
      </c>
      <c r="C167" s="114" t="s">
        <v>287</v>
      </c>
      <c r="D167" s="128" t="s">
        <v>87</v>
      </c>
      <c r="E167" s="133" t="s">
        <v>261</v>
      </c>
      <c r="F167" s="159" t="s">
        <v>280</v>
      </c>
      <c r="G167" s="126" t="s">
        <v>204</v>
      </c>
      <c r="H167" s="123">
        <v>691.42857142857144</v>
      </c>
      <c r="I167" s="125">
        <f>M167</f>
        <v>2.8911157024793388</v>
      </c>
      <c r="J167" s="123">
        <v>1999</v>
      </c>
      <c r="K167" s="124"/>
      <c r="L167" s="123">
        <v>1999</v>
      </c>
      <c r="M167" s="122">
        <f t="shared" si="415"/>
        <v>2.8911157024793388</v>
      </c>
      <c r="N167" s="160"/>
      <c r="O167" s="118"/>
      <c r="P167" s="118"/>
      <c r="Q167" s="118"/>
      <c r="R167" s="118"/>
      <c r="S167" s="153">
        <v>8.69</v>
      </c>
      <c r="T167" s="121"/>
      <c r="U167" s="113" t="s">
        <v>752</v>
      </c>
      <c r="V167" s="115" t="s">
        <v>103</v>
      </c>
      <c r="W167" s="115"/>
      <c r="X167" s="120">
        <v>0.35</v>
      </c>
      <c r="Y167" s="120">
        <v>0.34</v>
      </c>
      <c r="Z167" s="118">
        <v>0.38</v>
      </c>
      <c r="AA167" s="119">
        <v>45797</v>
      </c>
      <c r="AB167" s="117">
        <f t="shared" si="380"/>
        <v>75.888888888888886</v>
      </c>
      <c r="AC167" s="117">
        <f t="shared" si="419"/>
        <v>25.802222222222223</v>
      </c>
      <c r="AD167" s="117">
        <f t="shared" si="416"/>
        <v>25.789321111111111</v>
      </c>
      <c r="AE167" s="117">
        <f t="shared" si="417"/>
        <v>8.9201968253968253</v>
      </c>
      <c r="AF167" s="170">
        <f t="shared" si="418"/>
        <v>2.5806249559586963E-2</v>
      </c>
      <c r="AG167" s="265">
        <v>9.85</v>
      </c>
      <c r="AH167" s="265">
        <f t="shared" si="365"/>
        <v>0.37544014617087956</v>
      </c>
      <c r="AI167" s="115"/>
      <c r="AJ167" s="118">
        <f t="shared" si="368"/>
        <v>25.789321111111111</v>
      </c>
      <c r="AK167" s="116">
        <f t="shared" si="369"/>
        <v>8.9201968253968253</v>
      </c>
      <c r="AL167" s="116"/>
      <c r="AM167" s="116">
        <f t="shared" si="430"/>
        <v>67.900584795321635</v>
      </c>
      <c r="AN167" s="116" t="s">
        <v>701</v>
      </c>
      <c r="AO167" s="116"/>
      <c r="AP167" s="116"/>
      <c r="AR167" s="115" t="s">
        <v>91</v>
      </c>
      <c r="AS167" s="113">
        <v>69</v>
      </c>
      <c r="AT167" s="113">
        <v>66</v>
      </c>
      <c r="AU167" s="113">
        <v>92</v>
      </c>
      <c r="AV167" s="113">
        <v>65</v>
      </c>
      <c r="AW167" s="113">
        <v>76</v>
      </c>
      <c r="AX167" s="113">
        <v>100</v>
      </c>
      <c r="AY167" s="113">
        <v>81</v>
      </c>
      <c r="AZ167" s="113">
        <v>56</v>
      </c>
      <c r="BA167" s="113">
        <v>78</v>
      </c>
    </row>
    <row r="168" spans="1:64" s="113" customFormat="1">
      <c r="A168" s="113" t="s">
        <v>262</v>
      </c>
      <c r="B168" s="113" t="s">
        <v>278</v>
      </c>
      <c r="C168" s="114" t="s">
        <v>288</v>
      </c>
      <c r="D168" s="128" t="s">
        <v>87</v>
      </c>
      <c r="E168" s="133" t="s">
        <v>261</v>
      </c>
      <c r="F168" s="159" t="s">
        <v>280</v>
      </c>
      <c r="G168" s="126" t="s">
        <v>204</v>
      </c>
      <c r="H168" s="123">
        <v>691.42857142857144</v>
      </c>
      <c r="I168" s="125">
        <f>M168</f>
        <v>2.9576446280991733</v>
      </c>
      <c r="J168" s="123">
        <v>2045</v>
      </c>
      <c r="K168" s="124"/>
      <c r="L168" s="123">
        <v>2045</v>
      </c>
      <c r="M168" s="122">
        <f t="shared" si="415"/>
        <v>2.9576446280991733</v>
      </c>
      <c r="N168" s="160"/>
      <c r="O168" s="118"/>
      <c r="P168" s="118"/>
      <c r="Q168" s="118"/>
      <c r="R168" s="118"/>
      <c r="S168" s="153">
        <v>8.69</v>
      </c>
      <c r="T168" s="121"/>
      <c r="U168" s="113" t="s">
        <v>752</v>
      </c>
      <c r="V168" s="115" t="s">
        <v>103</v>
      </c>
      <c r="W168" s="115"/>
      <c r="X168" s="120">
        <v>0.32</v>
      </c>
      <c r="Y168" s="120">
        <v>0.34</v>
      </c>
      <c r="Z168" s="118">
        <v>0.38</v>
      </c>
      <c r="AA168" s="119">
        <v>45797</v>
      </c>
      <c r="AB168" s="117">
        <f t="shared" si="380"/>
        <v>76.222222222222229</v>
      </c>
      <c r="AC168" s="117">
        <f t="shared" si="419"/>
        <v>25.91555555555556</v>
      </c>
      <c r="AD168" s="117">
        <f t="shared" si="416"/>
        <v>26.498655555555562</v>
      </c>
      <c r="AE168" s="117">
        <f t="shared" si="417"/>
        <v>8.9593777777777799</v>
      </c>
      <c r="AF168" s="170">
        <f t="shared" si="418"/>
        <v>3.0066572083379088E-2</v>
      </c>
      <c r="AG168" s="265">
        <v>9.85</v>
      </c>
      <c r="AH168" s="265">
        <f t="shared" si="365"/>
        <v>0.37379827964243539</v>
      </c>
      <c r="AI168" s="115"/>
      <c r="AJ168" s="118">
        <f t="shared" si="368"/>
        <v>26.498655555555562</v>
      </c>
      <c r="AK168" s="116">
        <f t="shared" si="369"/>
        <v>8.9593777777777799</v>
      </c>
      <c r="AL168" s="116"/>
      <c r="AM168" s="116">
        <f t="shared" si="430"/>
        <v>68.198830409356731</v>
      </c>
      <c r="AN168" s="116" t="s">
        <v>701</v>
      </c>
      <c r="AO168" s="116"/>
      <c r="AP168" s="116"/>
      <c r="AR168" s="115" t="s">
        <v>91</v>
      </c>
      <c r="AS168" s="113">
        <v>80</v>
      </c>
      <c r="AT168" s="113">
        <v>83</v>
      </c>
      <c r="AU168" s="113">
        <v>73</v>
      </c>
      <c r="AV168" s="113">
        <v>57</v>
      </c>
      <c r="AW168" s="113">
        <v>87</v>
      </c>
      <c r="AX168" s="113">
        <v>112</v>
      </c>
      <c r="AY168" s="113">
        <v>77</v>
      </c>
      <c r="AZ168" s="113">
        <v>56</v>
      </c>
      <c r="BA168" s="113">
        <v>61</v>
      </c>
    </row>
    <row r="169" spans="1:64" s="113" customFormat="1">
      <c r="A169" s="113" t="s">
        <v>262</v>
      </c>
      <c r="B169" s="113" t="s">
        <v>278</v>
      </c>
      <c r="C169" s="114" t="s">
        <v>289</v>
      </c>
      <c r="D169" s="128" t="s">
        <v>87</v>
      </c>
      <c r="E169" s="133" t="s">
        <v>261</v>
      </c>
      <c r="F169" s="159" t="s">
        <v>280</v>
      </c>
      <c r="G169" s="126" t="s">
        <v>204</v>
      </c>
      <c r="H169" s="123">
        <v>691.42857142857144</v>
      </c>
      <c r="I169" s="125">
        <f>M169</f>
        <v>2.8882231404958678</v>
      </c>
      <c r="J169" s="123">
        <v>1997</v>
      </c>
      <c r="K169" s="124"/>
      <c r="L169" s="123">
        <v>1997</v>
      </c>
      <c r="M169" s="122">
        <f>L169/H169</f>
        <v>2.8882231404958678</v>
      </c>
      <c r="N169" s="160"/>
      <c r="O169" s="118"/>
      <c r="P169" s="118"/>
      <c r="Q169" s="118"/>
      <c r="R169" s="118"/>
      <c r="S169" s="153">
        <v>8.69</v>
      </c>
      <c r="T169" s="121"/>
      <c r="U169" s="113" t="s">
        <v>752</v>
      </c>
      <c r="V169" s="115"/>
      <c r="W169" s="115"/>
      <c r="X169" s="120">
        <v>0.32</v>
      </c>
      <c r="Y169" s="120">
        <v>0.34</v>
      </c>
      <c r="Z169" s="118">
        <v>0.38</v>
      </c>
      <c r="AA169" s="119"/>
      <c r="AB169" s="117">
        <f>IFERROR(AVERAGE(AS169:CP169),0)</f>
        <v>0</v>
      </c>
      <c r="AC169" s="117">
        <f t="shared" si="419"/>
        <v>0</v>
      </c>
      <c r="AD169" s="117">
        <f>(AC169*L169)/2000</f>
        <v>0</v>
      </c>
      <c r="AE169" s="117"/>
      <c r="AF169" s="170"/>
      <c r="AG169" s="265">
        <v>9.85</v>
      </c>
      <c r="AH169" s="265" t="e">
        <f t="shared" si="365"/>
        <v>#DIV/0!</v>
      </c>
      <c r="AI169" s="115"/>
      <c r="AJ169" s="118">
        <f>AD169-(AI169*I169)</f>
        <v>0</v>
      </c>
      <c r="AK169" s="116">
        <f>AJ169/I169</f>
        <v>0</v>
      </c>
      <c r="AL169" s="116"/>
      <c r="AM169" s="116">
        <f t="shared" si="430"/>
        <v>0</v>
      </c>
      <c r="AN169" s="116" t="s">
        <v>701</v>
      </c>
      <c r="AO169" s="116"/>
      <c r="AP169" s="116"/>
      <c r="AR169" s="115"/>
    </row>
    <row r="170" spans="1:64" s="63" customFormat="1">
      <c r="A170" s="63" t="s">
        <v>262</v>
      </c>
      <c r="B170" s="63" t="s">
        <v>291</v>
      </c>
      <c r="C170" s="64" t="s">
        <v>292</v>
      </c>
      <c r="D170" s="65" t="s">
        <v>87</v>
      </c>
      <c r="E170" s="66" t="s">
        <v>156</v>
      </c>
      <c r="F170" s="68" t="s">
        <v>170</v>
      </c>
      <c r="G170" s="68" t="s">
        <v>170</v>
      </c>
      <c r="H170" s="69">
        <v>907.5</v>
      </c>
      <c r="I170" s="74">
        <v>102.93</v>
      </c>
      <c r="J170" s="69">
        <v>94178</v>
      </c>
      <c r="K170" s="72"/>
      <c r="L170" s="69">
        <f t="shared" ref="L170:L206" si="433">J170-(J170*K170)</f>
        <v>94178</v>
      </c>
      <c r="M170" s="86">
        <f t="shared" si="415"/>
        <v>103.77741046831956</v>
      </c>
      <c r="N170" s="79">
        <v>10.08</v>
      </c>
      <c r="O170" s="79">
        <v>9.42</v>
      </c>
      <c r="P170" s="79">
        <v>11.05</v>
      </c>
      <c r="Q170" s="79">
        <v>11.43</v>
      </c>
      <c r="R170" s="79">
        <v>11.15</v>
      </c>
      <c r="S170" s="84">
        <v>6.66</v>
      </c>
      <c r="T170" s="85">
        <f>AVERAGE(N170:S170)</f>
        <v>9.9650000000000016</v>
      </c>
      <c r="V170" s="77" t="s">
        <v>103</v>
      </c>
      <c r="W170" s="77"/>
      <c r="X170" s="78">
        <v>0.25</v>
      </c>
      <c r="Y170" s="78">
        <v>0.27</v>
      </c>
      <c r="Z170" s="79">
        <v>0.32</v>
      </c>
      <c r="AA170" s="80">
        <v>45786</v>
      </c>
      <c r="AB170" s="81">
        <f t="shared" si="380"/>
        <v>53.3</v>
      </c>
      <c r="AC170" s="81">
        <f>AB170*Y170</f>
        <v>14.391</v>
      </c>
      <c r="AD170" s="81">
        <f t="shared" si="416"/>
        <v>677.65779899999995</v>
      </c>
      <c r="AE170" s="81">
        <f>IFERROR((AD170/I170),"")</f>
        <v>6.5836762751384423</v>
      </c>
      <c r="AF170" s="167">
        <f>IFERROR(((AE170-S170)/AE170),"")</f>
        <v>-1.159287329326545E-2</v>
      </c>
      <c r="AG170" s="264"/>
      <c r="AH170" s="264">
        <f t="shared" si="365"/>
        <v>0</v>
      </c>
      <c r="AI170" s="77"/>
      <c r="AJ170" s="79"/>
      <c r="AK170" s="82"/>
      <c r="AL170" s="82"/>
      <c r="AM170" s="82"/>
      <c r="AN170" s="82"/>
      <c r="AO170" s="82"/>
      <c r="AP170" s="82"/>
      <c r="AR170" s="77" t="s">
        <v>269</v>
      </c>
      <c r="AS170" s="63">
        <v>55</v>
      </c>
      <c r="AT170" s="63">
        <v>60</v>
      </c>
      <c r="AU170" s="63">
        <v>59</v>
      </c>
      <c r="AV170" s="63">
        <v>64</v>
      </c>
      <c r="AW170" s="63">
        <v>49</v>
      </c>
      <c r="AX170" s="63">
        <v>60</v>
      </c>
      <c r="AY170" s="63">
        <v>52</v>
      </c>
      <c r="AZ170" s="63">
        <v>42</v>
      </c>
      <c r="BA170" s="63">
        <v>45</v>
      </c>
      <c r="BB170" s="63">
        <v>62</v>
      </c>
      <c r="BC170" s="63">
        <v>59</v>
      </c>
      <c r="BD170" s="63">
        <v>47</v>
      </c>
      <c r="BE170" s="63">
        <v>40</v>
      </c>
      <c r="BF170" s="63">
        <v>67</v>
      </c>
      <c r="BG170" s="63">
        <v>63</v>
      </c>
      <c r="BH170" s="63">
        <v>49</v>
      </c>
      <c r="BI170" s="63">
        <v>52</v>
      </c>
      <c r="BJ170" s="63">
        <v>42</v>
      </c>
      <c r="BK170" s="63">
        <v>40</v>
      </c>
      <c r="BL170" s="63">
        <v>59</v>
      </c>
    </row>
    <row r="171" spans="1:64" s="63" customFormat="1">
      <c r="A171" s="63" t="s">
        <v>262</v>
      </c>
      <c r="B171" s="63" t="s">
        <v>291</v>
      </c>
      <c r="C171" s="64" t="s">
        <v>292</v>
      </c>
      <c r="D171" s="65" t="s">
        <v>87</v>
      </c>
      <c r="E171" s="66" t="s">
        <v>156</v>
      </c>
      <c r="F171" s="68" t="s">
        <v>170</v>
      </c>
      <c r="G171" s="68" t="s">
        <v>170</v>
      </c>
      <c r="H171" s="69">
        <v>907.5</v>
      </c>
      <c r="I171" s="74">
        <v>102.93</v>
      </c>
      <c r="J171" s="69">
        <v>94178</v>
      </c>
      <c r="K171" s="72"/>
      <c r="L171" s="69">
        <f t="shared" ref="L171" si="434">J171-(J171*K171)</f>
        <v>94178</v>
      </c>
      <c r="M171" s="86">
        <f t="shared" ref="M171" si="435">L171/H171</f>
        <v>103.77741046831956</v>
      </c>
      <c r="N171" s="79">
        <v>10.08</v>
      </c>
      <c r="O171" s="79">
        <v>9.42</v>
      </c>
      <c r="P171" s="79">
        <v>11.05</v>
      </c>
      <c r="Q171" s="79">
        <v>11.43</v>
      </c>
      <c r="R171" s="79">
        <v>11.15</v>
      </c>
      <c r="S171" s="84">
        <v>6.66</v>
      </c>
      <c r="T171" s="85">
        <f>AVERAGE(N171:S171)</f>
        <v>9.9650000000000016</v>
      </c>
      <c r="V171" s="77" t="s">
        <v>103</v>
      </c>
      <c r="W171" s="77"/>
      <c r="X171" s="78">
        <v>0.25</v>
      </c>
      <c r="Y171" s="78">
        <v>0.27</v>
      </c>
      <c r="Z171" s="79">
        <v>0.32</v>
      </c>
      <c r="AA171" s="80">
        <v>45848</v>
      </c>
      <c r="AB171" s="81">
        <f t="shared" ref="AB171" si="436">IFERROR(AVERAGE(AS171:CP171),0)</f>
        <v>61.333333333333336</v>
      </c>
      <c r="AC171" s="81">
        <f t="shared" ref="AC171:AC173" si="437">AB171*Y171</f>
        <v>16.560000000000002</v>
      </c>
      <c r="AD171" s="81">
        <f t="shared" ref="AD171" si="438">(AC171*L171)/2000</f>
        <v>779.79384000000005</v>
      </c>
      <c r="AE171" s="81">
        <f>IFERROR((AD171/I171),"")</f>
        <v>7.5759626930923929</v>
      </c>
      <c r="AF171" s="167">
        <f>IFERROR(((AE171-S171)/AE171),"")</f>
        <v>0.12090380195873307</v>
      </c>
      <c r="AG171" s="264"/>
      <c r="AH171" s="264">
        <f t="shared" si="365"/>
        <v>0</v>
      </c>
      <c r="AI171" s="77"/>
      <c r="AJ171" s="79"/>
      <c r="AK171" s="82"/>
      <c r="AL171" s="82"/>
      <c r="AM171" s="82"/>
      <c r="AN171" s="82"/>
      <c r="AO171" s="82"/>
      <c r="AP171" s="82"/>
      <c r="AR171" s="77" t="s">
        <v>91</v>
      </c>
      <c r="AS171" s="63">
        <v>64</v>
      </c>
      <c r="AT171" s="63">
        <v>56</v>
      </c>
      <c r="AU171" s="63">
        <v>89</v>
      </c>
      <c r="AV171" s="63">
        <v>51</v>
      </c>
      <c r="AW171" s="63">
        <v>69</v>
      </c>
      <c r="AX171" s="63">
        <v>53</v>
      </c>
      <c r="AY171" s="63">
        <v>86</v>
      </c>
      <c r="AZ171" s="63">
        <v>60</v>
      </c>
      <c r="BA171" s="63">
        <v>57</v>
      </c>
      <c r="BB171" s="63">
        <v>52</v>
      </c>
      <c r="BC171" s="63">
        <v>50</v>
      </c>
      <c r="BD171" s="63">
        <v>49</v>
      </c>
    </row>
    <row r="172" spans="1:64" s="63" customFormat="1">
      <c r="A172" s="63" t="s">
        <v>262</v>
      </c>
      <c r="B172" s="63" t="s">
        <v>291</v>
      </c>
      <c r="C172" s="64" t="s">
        <v>293</v>
      </c>
      <c r="D172" s="65" t="s">
        <v>87</v>
      </c>
      <c r="E172" s="66" t="s">
        <v>156</v>
      </c>
      <c r="F172" s="68" t="s">
        <v>170</v>
      </c>
      <c r="G172" s="68" t="s">
        <v>170</v>
      </c>
      <c r="H172" s="69">
        <v>907.5</v>
      </c>
      <c r="I172" s="74">
        <v>39.11</v>
      </c>
      <c r="J172" s="69">
        <f>H172*I172</f>
        <v>35492.324999999997</v>
      </c>
      <c r="K172" s="72"/>
      <c r="L172" s="69">
        <f t="shared" si="433"/>
        <v>35492.324999999997</v>
      </c>
      <c r="M172" s="86">
        <f t="shared" si="415"/>
        <v>39.11</v>
      </c>
      <c r="N172" s="79">
        <v>10.08</v>
      </c>
      <c r="O172" s="79">
        <v>9.42</v>
      </c>
      <c r="P172" s="79">
        <v>11.05</v>
      </c>
      <c r="Q172" s="79">
        <v>11.43</v>
      </c>
      <c r="R172" s="79">
        <v>11.15</v>
      </c>
      <c r="S172" s="84">
        <v>6.66</v>
      </c>
      <c r="T172" s="85">
        <f>AVERAGE(N172:S172)</f>
        <v>9.9650000000000016</v>
      </c>
      <c r="V172" s="77"/>
      <c r="W172" s="77"/>
      <c r="X172" s="78">
        <v>0.25</v>
      </c>
      <c r="Y172" s="78">
        <v>0.27</v>
      </c>
      <c r="Z172" s="79">
        <v>0.32</v>
      </c>
      <c r="AA172" s="80">
        <v>45848</v>
      </c>
      <c r="AB172" s="81">
        <f t="shared" si="380"/>
        <v>63.166666666666664</v>
      </c>
      <c r="AC172" s="81">
        <f t="shared" si="437"/>
        <v>17.055</v>
      </c>
      <c r="AD172" s="81">
        <f t="shared" ref="AD172" si="439">(AC172*L172)/2000</f>
        <v>302.66080143749997</v>
      </c>
      <c r="AE172" s="81">
        <f>IFERROR((AD172/I172),"")</f>
        <v>7.738706249999999</v>
      </c>
      <c r="AF172" s="167">
        <f>IFERROR(((AE172-S172)/AE172),"")</f>
        <v>0.1393910319312093</v>
      </c>
      <c r="AG172" s="264"/>
      <c r="AH172" s="264">
        <f t="shared" si="365"/>
        <v>0</v>
      </c>
      <c r="AI172" s="77"/>
      <c r="AJ172" s="79"/>
      <c r="AK172" s="82"/>
      <c r="AL172" s="82"/>
      <c r="AM172" s="82"/>
      <c r="AN172" s="82"/>
      <c r="AO172" s="82"/>
      <c r="AP172" s="82"/>
      <c r="AR172" s="77" t="s">
        <v>91</v>
      </c>
      <c r="AS172" s="63">
        <v>70</v>
      </c>
      <c r="AT172" s="63">
        <v>56</v>
      </c>
      <c r="AU172" s="63">
        <v>58</v>
      </c>
      <c r="AV172" s="63">
        <v>53</v>
      </c>
      <c r="AW172" s="63">
        <v>82</v>
      </c>
      <c r="AX172" s="63">
        <v>63</v>
      </c>
      <c r="AY172" s="63">
        <v>61</v>
      </c>
      <c r="AZ172" s="63">
        <v>64</v>
      </c>
      <c r="BA172" s="63">
        <v>65</v>
      </c>
      <c r="BB172" s="63">
        <v>51</v>
      </c>
      <c r="BC172" s="63">
        <v>64</v>
      </c>
      <c r="BD172" s="63">
        <v>71</v>
      </c>
    </row>
    <row r="173" spans="1:64" s="63" customFormat="1">
      <c r="A173" s="63" t="s">
        <v>262</v>
      </c>
      <c r="B173" s="63" t="s">
        <v>291</v>
      </c>
      <c r="C173" s="64" t="s">
        <v>294</v>
      </c>
      <c r="D173" s="65" t="s">
        <v>87</v>
      </c>
      <c r="E173" s="66" t="s">
        <v>156</v>
      </c>
      <c r="F173" s="68" t="s">
        <v>170</v>
      </c>
      <c r="G173" s="68" t="s">
        <v>170</v>
      </c>
      <c r="H173" s="69">
        <v>907.5</v>
      </c>
      <c r="I173" s="74">
        <v>43.2</v>
      </c>
      <c r="J173" s="69">
        <f>I173*H173</f>
        <v>39204</v>
      </c>
      <c r="K173" s="72"/>
      <c r="L173" s="69">
        <f t="shared" si="433"/>
        <v>39204</v>
      </c>
      <c r="M173" s="86">
        <f t="shared" si="415"/>
        <v>43.2</v>
      </c>
      <c r="N173" s="79">
        <v>10.08</v>
      </c>
      <c r="O173" s="79">
        <v>9.42</v>
      </c>
      <c r="P173" s="79">
        <v>11.05</v>
      </c>
      <c r="Q173" s="79">
        <v>11.43</v>
      </c>
      <c r="R173" s="79">
        <v>11.15</v>
      </c>
      <c r="S173" s="84">
        <v>6.66</v>
      </c>
      <c r="T173" s="85">
        <f>AVERAGE(N173:S173)</f>
        <v>9.9650000000000016</v>
      </c>
      <c r="V173" s="77"/>
      <c r="W173" s="77"/>
      <c r="X173" s="78">
        <v>0.25</v>
      </c>
      <c r="Y173" s="78">
        <v>0.27</v>
      </c>
      <c r="Z173" s="79">
        <v>0.32</v>
      </c>
      <c r="AA173" s="80"/>
      <c r="AB173" s="81">
        <f t="shared" si="380"/>
        <v>0</v>
      </c>
      <c r="AC173" s="81">
        <f t="shared" si="437"/>
        <v>0</v>
      </c>
      <c r="AD173" s="81">
        <f t="shared" si="416"/>
        <v>0</v>
      </c>
      <c r="AE173" s="81"/>
      <c r="AF173" s="167"/>
      <c r="AG173" s="264"/>
      <c r="AH173" s="264" t="e">
        <f t="shared" si="365"/>
        <v>#DIV/0!</v>
      </c>
      <c r="AI173" s="77"/>
      <c r="AJ173" s="79">
        <f t="shared" si="368"/>
        <v>0</v>
      </c>
      <c r="AK173" s="82">
        <f t="shared" si="369"/>
        <v>0</v>
      </c>
      <c r="AL173" s="82"/>
      <c r="AM173" s="82">
        <f t="shared" ref="AM173:AM194" si="440">((AJ173*2000)/Z173)/J173</f>
        <v>0</v>
      </c>
      <c r="AN173" s="82"/>
      <c r="AO173" s="82"/>
      <c r="AP173" s="82"/>
      <c r="AR173" s="77"/>
    </row>
    <row r="174" spans="1:64" s="113" customFormat="1">
      <c r="A174" s="113" t="s">
        <v>262</v>
      </c>
      <c r="B174" s="113" t="s">
        <v>295</v>
      </c>
      <c r="C174" s="114" t="s">
        <v>296</v>
      </c>
      <c r="D174" s="128" t="s">
        <v>87</v>
      </c>
      <c r="E174" s="127" t="s">
        <v>261</v>
      </c>
      <c r="F174" s="126"/>
      <c r="G174" s="126" t="s">
        <v>204</v>
      </c>
      <c r="H174" s="123">
        <v>622.28571428571433</v>
      </c>
      <c r="I174" s="125">
        <v>38.21</v>
      </c>
      <c r="J174" s="123">
        <v>23319</v>
      </c>
      <c r="K174" s="124">
        <v>0.02</v>
      </c>
      <c r="L174" s="123">
        <f t="shared" si="433"/>
        <v>22852.62</v>
      </c>
      <c r="M174" s="122">
        <f t="shared" si="415"/>
        <v>36.723677685950406</v>
      </c>
      <c r="N174" s="118"/>
      <c r="O174" s="118">
        <v>2.15</v>
      </c>
      <c r="P174" s="118">
        <v>5.5</v>
      </c>
      <c r="Q174" s="118">
        <v>5.82</v>
      </c>
      <c r="R174" s="118">
        <v>8.83</v>
      </c>
      <c r="S174" s="153">
        <v>8.9499999999999993</v>
      </c>
      <c r="T174" s="121">
        <f>AVERAGE(N174:S174)</f>
        <v>6.25</v>
      </c>
      <c r="U174" s="113" t="s">
        <v>365</v>
      </c>
      <c r="V174" s="115" t="s">
        <v>366</v>
      </c>
      <c r="W174" s="115"/>
      <c r="X174" s="120">
        <v>0.32</v>
      </c>
      <c r="Y174" s="120"/>
      <c r="Z174" s="118">
        <v>0.35</v>
      </c>
      <c r="AA174" s="119">
        <v>45763</v>
      </c>
      <c r="AB174" s="117">
        <f t="shared" si="380"/>
        <v>165.4375</v>
      </c>
      <c r="AC174" s="117">
        <f t="shared" ref="AC174:AC181" si="441">AB174*X174</f>
        <v>52.94</v>
      </c>
      <c r="AD174" s="117">
        <f t="shared" si="416"/>
        <v>604.90885139999989</v>
      </c>
      <c r="AE174" s="117">
        <f t="shared" ref="AE174:AE183" si="442">IFERROR((AD174/I174),"")</f>
        <v>15.831165961790104</v>
      </c>
      <c r="AF174" s="170">
        <f t="shared" ref="AF174:AF183" si="443">IFERROR(((AE174-S174)/AE174),"")</f>
        <v>0.43465945454670851</v>
      </c>
      <c r="AG174" s="265">
        <v>9.49</v>
      </c>
      <c r="AH174" s="265">
        <f t="shared" si="365"/>
        <v>0.18436242772541153</v>
      </c>
      <c r="AI174" s="115">
        <v>10</v>
      </c>
      <c r="AJ174" s="118">
        <f t="shared" si="368"/>
        <v>222.80885139999987</v>
      </c>
      <c r="AK174" s="116">
        <f t="shared" si="369"/>
        <v>5.8311659617901039</v>
      </c>
      <c r="AL174" s="116">
        <f t="shared" ref="AL174:AL179" si="444">(((AI174*M174)*2000)/L174)/Z174</f>
        <v>91.827364554637285</v>
      </c>
      <c r="AM174" s="116">
        <f t="shared" si="440"/>
        <v>54.598972364656625</v>
      </c>
      <c r="AN174" s="116"/>
      <c r="AO174" s="116"/>
      <c r="AP174" s="116"/>
      <c r="AR174" s="115" t="s">
        <v>91</v>
      </c>
      <c r="AS174" s="113">
        <v>214</v>
      </c>
      <c r="AT174" s="113">
        <v>190</v>
      </c>
      <c r="AU174" s="113">
        <v>139</v>
      </c>
      <c r="AV174" s="113">
        <v>148</v>
      </c>
      <c r="AW174" s="113">
        <v>164</v>
      </c>
      <c r="AX174" s="113">
        <v>175</v>
      </c>
      <c r="AY174" s="113">
        <v>163</v>
      </c>
      <c r="AZ174" s="113">
        <v>149</v>
      </c>
      <c r="BA174" s="113">
        <v>177</v>
      </c>
      <c r="BB174" s="113">
        <v>148</v>
      </c>
      <c r="BC174" s="113">
        <v>151</v>
      </c>
      <c r="BD174" s="113">
        <v>182</v>
      </c>
      <c r="BE174" s="113">
        <v>202</v>
      </c>
      <c r="BF174" s="113">
        <v>140</v>
      </c>
      <c r="BG174" s="113">
        <v>152</v>
      </c>
      <c r="BH174" s="113">
        <v>153</v>
      </c>
    </row>
    <row r="175" spans="1:64" s="113" customFormat="1">
      <c r="A175" s="113" t="s">
        <v>262</v>
      </c>
      <c r="B175" s="113" t="s">
        <v>295</v>
      </c>
      <c r="C175" s="114" t="s">
        <v>296</v>
      </c>
      <c r="D175" s="128" t="s">
        <v>87</v>
      </c>
      <c r="E175" s="127" t="s">
        <v>261</v>
      </c>
      <c r="F175" s="126"/>
      <c r="G175" s="126" t="s">
        <v>204</v>
      </c>
      <c r="H175" s="123">
        <v>622.28571428571433</v>
      </c>
      <c r="I175" s="125">
        <v>38.21</v>
      </c>
      <c r="J175" s="123">
        <v>23319</v>
      </c>
      <c r="K175" s="124">
        <v>0.02</v>
      </c>
      <c r="L175" s="123">
        <f t="shared" si="433"/>
        <v>22852.62</v>
      </c>
      <c r="M175" s="122">
        <f t="shared" si="415"/>
        <v>36.723677685950406</v>
      </c>
      <c r="N175" s="118"/>
      <c r="O175" s="118">
        <v>2.15</v>
      </c>
      <c r="P175" s="118">
        <v>5.5</v>
      </c>
      <c r="Q175" s="118">
        <v>5.82</v>
      </c>
      <c r="R175" s="118">
        <v>8.83</v>
      </c>
      <c r="S175" s="153">
        <v>8.9499999999999993</v>
      </c>
      <c r="T175" s="121">
        <f>AVERAGE(N175:R175)</f>
        <v>5.5750000000000002</v>
      </c>
      <c r="U175" s="113" t="s">
        <v>753</v>
      </c>
      <c r="V175" s="115" t="s">
        <v>103</v>
      </c>
      <c r="W175" s="115"/>
      <c r="X175" s="120">
        <v>0.32</v>
      </c>
      <c r="Y175" s="120"/>
      <c r="Z175" s="118">
        <v>0.35</v>
      </c>
      <c r="AA175" s="119">
        <v>45769</v>
      </c>
      <c r="AB175" s="117">
        <f t="shared" si="380"/>
        <v>113.1875</v>
      </c>
      <c r="AC175" s="117">
        <f t="shared" si="441"/>
        <v>36.22</v>
      </c>
      <c r="AD175" s="117">
        <f t="shared" si="416"/>
        <v>413.8609482</v>
      </c>
      <c r="AE175" s="117">
        <f t="shared" si="442"/>
        <v>10.831220837477099</v>
      </c>
      <c r="AF175" s="170">
        <f t="shared" si="443"/>
        <v>0.17368502274165523</v>
      </c>
      <c r="AG175" s="265">
        <v>9.49</v>
      </c>
      <c r="AH175" s="265">
        <f t="shared" si="365"/>
        <v>0.26946844074498305</v>
      </c>
      <c r="AI175" s="115">
        <v>10</v>
      </c>
      <c r="AJ175" s="118">
        <f t="shared" si="368"/>
        <v>31.760948199999973</v>
      </c>
      <c r="AK175" s="116">
        <f t="shared" si="369"/>
        <v>0.83122083747709952</v>
      </c>
      <c r="AL175" s="116">
        <f t="shared" si="444"/>
        <v>91.827364554637285</v>
      </c>
      <c r="AM175" s="116">
        <f t="shared" si="440"/>
        <v>7.7829723646566507</v>
      </c>
      <c r="AN175" s="116"/>
      <c r="AO175" s="116"/>
      <c r="AP175" s="116"/>
      <c r="AR175" s="115" t="s">
        <v>137</v>
      </c>
      <c r="AS175" s="113">
        <v>122</v>
      </c>
      <c r="AT175" s="113">
        <v>134</v>
      </c>
      <c r="AU175" s="113">
        <v>106</v>
      </c>
      <c r="AV175" s="113">
        <v>66</v>
      </c>
      <c r="AW175" s="113">
        <v>128</v>
      </c>
      <c r="AX175" s="113">
        <v>130</v>
      </c>
      <c r="AY175" s="113">
        <v>118</v>
      </c>
      <c r="AZ175" s="113">
        <v>101</v>
      </c>
      <c r="BA175" s="113">
        <v>120</v>
      </c>
      <c r="BB175" s="113">
        <v>110</v>
      </c>
      <c r="BC175" s="113">
        <v>103</v>
      </c>
      <c r="BD175" s="113">
        <v>108</v>
      </c>
      <c r="BE175" s="113">
        <v>108</v>
      </c>
      <c r="BF175" s="113">
        <v>117</v>
      </c>
      <c r="BG175" s="113">
        <v>119</v>
      </c>
      <c r="BH175" s="113">
        <v>121</v>
      </c>
    </row>
    <row r="176" spans="1:64" s="113" customFormat="1">
      <c r="A176" s="113" t="s">
        <v>262</v>
      </c>
      <c r="B176" s="113" t="s">
        <v>295</v>
      </c>
      <c r="C176" s="114" t="s">
        <v>296</v>
      </c>
      <c r="D176" s="128" t="s">
        <v>87</v>
      </c>
      <c r="E176" s="127" t="s">
        <v>261</v>
      </c>
      <c r="F176" s="126"/>
      <c r="G176" s="126" t="s">
        <v>204</v>
      </c>
      <c r="H176" s="123">
        <v>622.28571428571433</v>
      </c>
      <c r="I176" s="125">
        <v>38.21</v>
      </c>
      <c r="J176" s="123">
        <v>23319</v>
      </c>
      <c r="K176" s="124">
        <v>0.02</v>
      </c>
      <c r="L176" s="123">
        <f t="shared" si="433"/>
        <v>22852.62</v>
      </c>
      <c r="M176" s="122">
        <f t="shared" si="415"/>
        <v>36.723677685950406</v>
      </c>
      <c r="N176" s="118"/>
      <c r="O176" s="118">
        <v>2.15</v>
      </c>
      <c r="P176" s="118">
        <v>5.5</v>
      </c>
      <c r="Q176" s="118">
        <v>5.82</v>
      </c>
      <c r="R176" s="118">
        <v>8.83</v>
      </c>
      <c r="S176" s="153">
        <v>8.9499999999999993</v>
      </c>
      <c r="T176" s="121">
        <f>AVERAGE(N176:R176)</f>
        <v>5.5750000000000002</v>
      </c>
      <c r="U176" s="113" t="s">
        <v>754</v>
      </c>
      <c r="V176" s="115" t="s">
        <v>103</v>
      </c>
      <c r="W176" s="115"/>
      <c r="X176" s="120">
        <v>0.32</v>
      </c>
      <c r="Y176" s="120"/>
      <c r="Z176" s="118">
        <v>0.35</v>
      </c>
      <c r="AA176" s="119">
        <v>45769</v>
      </c>
      <c r="AB176" s="117">
        <f t="shared" si="380"/>
        <v>95.2</v>
      </c>
      <c r="AC176" s="117">
        <f t="shared" si="441"/>
        <v>30.464000000000002</v>
      </c>
      <c r="AD176" s="117">
        <f t="shared" si="416"/>
        <v>348.09110784000001</v>
      </c>
      <c r="AE176" s="117">
        <f t="shared" si="442"/>
        <v>9.109947862863125</v>
      </c>
      <c r="AF176" s="170">
        <f t="shared" si="443"/>
        <v>1.7557494869444443E-2</v>
      </c>
      <c r="AG176" s="265">
        <v>9.49</v>
      </c>
      <c r="AH176" s="265">
        <f t="shared" si="365"/>
        <v>0.32038297412628958</v>
      </c>
      <c r="AI176" s="115">
        <v>10</v>
      </c>
      <c r="AJ176" s="118">
        <f t="shared" si="368"/>
        <v>-34.008892160000016</v>
      </c>
      <c r="AK176" s="116">
        <f t="shared" si="369"/>
        <v>-0.89005213713687559</v>
      </c>
      <c r="AL176" s="116">
        <f t="shared" si="444"/>
        <v>91.827364554637285</v>
      </c>
      <c r="AM176" s="116">
        <f t="shared" si="440"/>
        <v>-8.3338276353433489</v>
      </c>
      <c r="AN176" s="116"/>
      <c r="AO176" s="116"/>
      <c r="AP176" s="116"/>
      <c r="AR176" s="115" t="s">
        <v>116</v>
      </c>
      <c r="AS176" s="113">
        <v>89</v>
      </c>
      <c r="AT176" s="113">
        <v>93</v>
      </c>
      <c r="AU176" s="113">
        <v>90</v>
      </c>
      <c r="AV176" s="113">
        <v>81</v>
      </c>
      <c r="AW176" s="113">
        <v>91</v>
      </c>
      <c r="AX176" s="113">
        <v>105</v>
      </c>
      <c r="AY176" s="113">
        <v>101</v>
      </c>
      <c r="AZ176" s="113">
        <v>88</v>
      </c>
      <c r="BA176" s="113">
        <v>98</v>
      </c>
      <c r="BB176" s="113">
        <v>103</v>
      </c>
      <c r="BC176" s="113">
        <v>90</v>
      </c>
      <c r="BD176" s="113">
        <v>96</v>
      </c>
      <c r="BE176" s="113">
        <v>103</v>
      </c>
      <c r="BF176" s="113">
        <v>98</v>
      </c>
      <c r="BG176" s="113">
        <v>102</v>
      </c>
    </row>
    <row r="177" spans="1:64" s="113" customFormat="1">
      <c r="A177" s="113" t="s">
        <v>262</v>
      </c>
      <c r="B177" s="113" t="s">
        <v>295</v>
      </c>
      <c r="C177" s="114" t="s">
        <v>296</v>
      </c>
      <c r="D177" s="128" t="s">
        <v>87</v>
      </c>
      <c r="E177" s="127" t="s">
        <v>261</v>
      </c>
      <c r="F177" s="126"/>
      <c r="G177" s="126" t="s">
        <v>204</v>
      </c>
      <c r="H177" s="123">
        <v>622.28571428571433</v>
      </c>
      <c r="I177" s="125">
        <v>38.21</v>
      </c>
      <c r="J177" s="123">
        <v>23319</v>
      </c>
      <c r="K177" s="124">
        <v>0.02</v>
      </c>
      <c r="L177" s="123">
        <f t="shared" si="433"/>
        <v>22852.62</v>
      </c>
      <c r="M177" s="122">
        <f t="shared" si="415"/>
        <v>36.723677685950406</v>
      </c>
      <c r="N177" s="118"/>
      <c r="O177" s="118">
        <v>2.15</v>
      </c>
      <c r="P177" s="118">
        <v>5.5</v>
      </c>
      <c r="Q177" s="118">
        <v>5.82</v>
      </c>
      <c r="R177" s="118">
        <v>8.83</v>
      </c>
      <c r="S177" s="153">
        <v>8.9499999999999993</v>
      </c>
      <c r="T177" s="121">
        <f>AVERAGE(N177:R177)</f>
        <v>5.5750000000000002</v>
      </c>
      <c r="U177" s="113" t="s">
        <v>754</v>
      </c>
      <c r="V177" s="115" t="s">
        <v>103</v>
      </c>
      <c r="W177" s="115"/>
      <c r="X177" s="120">
        <v>0.32</v>
      </c>
      <c r="Y177" s="120"/>
      <c r="Z177" s="118">
        <v>0.35</v>
      </c>
      <c r="AA177" s="119">
        <v>45786</v>
      </c>
      <c r="AB177" s="117">
        <f t="shared" si="380"/>
        <v>114.05</v>
      </c>
      <c r="AC177" s="117">
        <f t="shared" si="441"/>
        <v>36.496000000000002</v>
      </c>
      <c r="AD177" s="117">
        <f t="shared" si="416"/>
        <v>417.01460976000004</v>
      </c>
      <c r="AE177" s="117">
        <f t="shared" si="442"/>
        <v>10.913755816801885</v>
      </c>
      <c r="AF177" s="170">
        <f t="shared" si="443"/>
        <v>0.17993400711592383</v>
      </c>
      <c r="AG177" s="265">
        <v>9.49</v>
      </c>
      <c r="AH177" s="265">
        <f t="shared" si="365"/>
        <v>0.26743059304535527</v>
      </c>
      <c r="AI177" s="115">
        <v>10</v>
      </c>
      <c r="AJ177" s="118">
        <f t="shared" si="368"/>
        <v>34.914609760000019</v>
      </c>
      <c r="AK177" s="116">
        <f t="shared" si="369"/>
        <v>0.91375581680188478</v>
      </c>
      <c r="AL177" s="116">
        <f t="shared" si="444"/>
        <v>91.827364554637285</v>
      </c>
      <c r="AM177" s="116">
        <f t="shared" si="440"/>
        <v>8.5557723646566632</v>
      </c>
      <c r="AN177" s="116"/>
      <c r="AO177" s="116"/>
      <c r="AP177" s="116"/>
      <c r="AR177" s="115" t="s">
        <v>116</v>
      </c>
      <c r="AS177" s="113">
        <v>126</v>
      </c>
      <c r="AT177" s="113">
        <v>128</v>
      </c>
      <c r="AU177" s="113">
        <v>122</v>
      </c>
      <c r="AV177" s="113">
        <v>130</v>
      </c>
      <c r="AW177" s="113">
        <v>70</v>
      </c>
      <c r="AX177" s="113">
        <v>129</v>
      </c>
      <c r="AY177" s="113">
        <v>110</v>
      </c>
      <c r="AZ177" s="113">
        <v>105</v>
      </c>
      <c r="BA177" s="113">
        <v>120</v>
      </c>
      <c r="BB177" s="113">
        <v>115</v>
      </c>
      <c r="BC177" s="113">
        <v>99</v>
      </c>
      <c r="BD177" s="113">
        <v>101</v>
      </c>
      <c r="BE177" s="113">
        <v>119</v>
      </c>
      <c r="BF177" s="113">
        <v>128</v>
      </c>
      <c r="BG177" s="113">
        <v>130</v>
      </c>
      <c r="BH177" s="113">
        <v>101</v>
      </c>
      <c r="BI177" s="113">
        <v>115</v>
      </c>
      <c r="BJ177" s="113">
        <v>113</v>
      </c>
      <c r="BK177" s="113">
        <v>103</v>
      </c>
      <c r="BL177" s="113">
        <v>117</v>
      </c>
    </row>
    <row r="178" spans="1:64" s="113" customFormat="1">
      <c r="A178" s="113" t="s">
        <v>262</v>
      </c>
      <c r="B178" s="113" t="s">
        <v>295</v>
      </c>
      <c r="C178" s="114" t="s">
        <v>296</v>
      </c>
      <c r="D178" s="128" t="s">
        <v>87</v>
      </c>
      <c r="E178" s="127" t="s">
        <v>261</v>
      </c>
      <c r="F178" s="126"/>
      <c r="G178" s="126" t="s">
        <v>204</v>
      </c>
      <c r="H178" s="123">
        <v>622.28571428571433</v>
      </c>
      <c r="I178" s="125">
        <v>38.21</v>
      </c>
      <c r="J178" s="123">
        <v>23319</v>
      </c>
      <c r="K178" s="124">
        <v>0.02</v>
      </c>
      <c r="L178" s="123">
        <f t="shared" ref="L178" si="445">J178-(J178*K178)</f>
        <v>22852.62</v>
      </c>
      <c r="M178" s="122">
        <f t="shared" ref="M178" si="446">L178/H178</f>
        <v>36.723677685950406</v>
      </c>
      <c r="N178" s="118"/>
      <c r="O178" s="118">
        <v>2.15</v>
      </c>
      <c r="P178" s="118">
        <v>5.5</v>
      </c>
      <c r="Q178" s="118">
        <v>5.82</v>
      </c>
      <c r="R178" s="118">
        <v>8.83</v>
      </c>
      <c r="S178" s="153">
        <v>8.9499999999999993</v>
      </c>
      <c r="T178" s="121">
        <f>AVERAGE(N178:R178)</f>
        <v>5.5750000000000002</v>
      </c>
      <c r="U178" s="113" t="s">
        <v>754</v>
      </c>
      <c r="V178" s="115" t="s">
        <v>103</v>
      </c>
      <c r="W178" s="115"/>
      <c r="X178" s="120">
        <v>0.32</v>
      </c>
      <c r="Y178" s="120"/>
      <c r="Z178" s="118">
        <v>0.35</v>
      </c>
      <c r="AA178" s="119">
        <v>45848</v>
      </c>
      <c r="AB178" s="117">
        <f t="shared" ref="AB178" si="447">IFERROR(AVERAGE(AS178:CP178),0)</f>
        <v>118.25</v>
      </c>
      <c r="AC178" s="117">
        <f t="shared" ref="AC178" si="448">AB178*X178</f>
        <v>37.840000000000003</v>
      </c>
      <c r="AD178" s="117">
        <f t="shared" ref="AD178" si="449">(AC178*L178)/2000</f>
        <v>432.37157040000005</v>
      </c>
      <c r="AE178" s="117">
        <f t="shared" ref="AE178" si="450">IFERROR((AD178/I178),"")</f>
        <v>11.315665281339964</v>
      </c>
      <c r="AF178" s="170">
        <f t="shared" ref="AF178" si="451">IFERROR(((AE178-S178)/AE178),"")</f>
        <v>0.20906108677861407</v>
      </c>
      <c r="AG178" s="265">
        <v>9.49</v>
      </c>
      <c r="AH178" s="265">
        <f t="shared" si="365"/>
        <v>0.25793200115706361</v>
      </c>
      <c r="AI178" s="115">
        <v>10</v>
      </c>
      <c r="AJ178" s="118">
        <f t="shared" ref="AJ178" si="452">AD178-(AI178*I178)</f>
        <v>50.27157040000003</v>
      </c>
      <c r="AK178" s="116">
        <f t="shared" ref="AK178" si="453">AJ178/I178</f>
        <v>1.3156652813399641</v>
      </c>
      <c r="AL178" s="116">
        <f t="shared" si="444"/>
        <v>91.827364554637285</v>
      </c>
      <c r="AM178" s="116">
        <f t="shared" ref="AM178" si="454">((AJ178*2000)/Z178)/J178</f>
        <v>12.318972364656664</v>
      </c>
      <c r="AN178" s="116"/>
      <c r="AO178" s="116"/>
      <c r="AP178" s="116"/>
      <c r="AR178" s="115" t="s">
        <v>91</v>
      </c>
      <c r="AS178" s="113">
        <v>110</v>
      </c>
      <c r="AT178" s="113">
        <v>120</v>
      </c>
      <c r="AU178" s="113">
        <v>119</v>
      </c>
      <c r="AV178" s="113">
        <v>121</v>
      </c>
      <c r="AW178" s="113">
        <v>108</v>
      </c>
      <c r="AX178" s="113">
        <v>125</v>
      </c>
      <c r="AY178" s="113">
        <v>138</v>
      </c>
      <c r="AZ178" s="113">
        <v>135</v>
      </c>
      <c r="BA178" s="113">
        <v>113</v>
      </c>
      <c r="BB178" s="113">
        <v>125</v>
      </c>
      <c r="BC178" s="113">
        <v>123</v>
      </c>
      <c r="BD178" s="113">
        <v>82</v>
      </c>
    </row>
    <row r="179" spans="1:64" s="113" customFormat="1">
      <c r="A179" s="113" t="s">
        <v>262</v>
      </c>
      <c r="B179" s="113" t="s">
        <v>295</v>
      </c>
      <c r="C179" s="114" t="s">
        <v>296</v>
      </c>
      <c r="D179" s="128" t="s">
        <v>87</v>
      </c>
      <c r="E179" s="127" t="s">
        <v>261</v>
      </c>
      <c r="F179" s="126"/>
      <c r="G179" s="126" t="s">
        <v>204</v>
      </c>
      <c r="H179" s="123">
        <v>622.28571428571433</v>
      </c>
      <c r="I179" s="125">
        <v>38.21</v>
      </c>
      <c r="J179" s="123">
        <v>23319</v>
      </c>
      <c r="K179" s="124">
        <v>0.02</v>
      </c>
      <c r="L179" s="123">
        <f t="shared" ref="L179" si="455">J179-(J179*K179)</f>
        <v>22852.62</v>
      </c>
      <c r="M179" s="122">
        <f t="shared" ref="M179" si="456">L179/H179</f>
        <v>36.723677685950406</v>
      </c>
      <c r="N179" s="118"/>
      <c r="O179" s="118">
        <v>2.15</v>
      </c>
      <c r="P179" s="118">
        <v>5.5</v>
      </c>
      <c r="Q179" s="118">
        <v>5.82</v>
      </c>
      <c r="R179" s="118">
        <v>8.83</v>
      </c>
      <c r="S179" s="153">
        <v>8.9499999999999993</v>
      </c>
      <c r="T179" s="121">
        <f>AVERAGE(N179:R179)</f>
        <v>5.5750000000000002</v>
      </c>
      <c r="U179" s="113" t="s">
        <v>754</v>
      </c>
      <c r="V179" s="115" t="s">
        <v>103</v>
      </c>
      <c r="W179" s="115"/>
      <c r="X179" s="120">
        <v>0.32</v>
      </c>
      <c r="Y179" s="120"/>
      <c r="Z179" s="118">
        <v>0.35</v>
      </c>
      <c r="AA179" s="119">
        <v>45909</v>
      </c>
      <c r="AB179" s="117"/>
      <c r="AC179" s="117">
        <f>AVERAGE(AS179:AU179)</f>
        <v>30.313333333333333</v>
      </c>
      <c r="AD179" s="117">
        <f t="shared" ref="AD179" si="457">(AC179*L179)/2000</f>
        <v>346.36954379999997</v>
      </c>
      <c r="AE179" s="117">
        <f t="shared" ref="AE179" si="458">IFERROR((AD179/I179),"")</f>
        <v>9.0648925359853436</v>
      </c>
      <c r="AF179" s="170">
        <f t="shared" ref="AF179" si="459">IFERROR(((AE179-S179)/AE179),"")</f>
        <v>1.2674450968861446E-2</v>
      </c>
      <c r="AG179" s="265">
        <v>9.49</v>
      </c>
      <c r="AH179" s="265" t="e">
        <f t="shared" si="365"/>
        <v>#DIV/0!</v>
      </c>
      <c r="AI179" s="115">
        <v>10</v>
      </c>
      <c r="AJ179" s="118">
        <f t="shared" ref="AJ179" si="460">AD179-(AI179*I179)</f>
        <v>-35.730456200000049</v>
      </c>
      <c r="AK179" s="116">
        <f t="shared" ref="AK179" si="461">AJ179/I179</f>
        <v>-0.93510746401465705</v>
      </c>
      <c r="AL179" s="116">
        <f t="shared" si="444"/>
        <v>91.827364554637285</v>
      </c>
      <c r="AM179" s="116">
        <f t="shared" ref="AM179" si="462">((AJ179*2000)/Z179)/J179</f>
        <v>-8.7556943020100242</v>
      </c>
      <c r="AN179" s="116"/>
      <c r="AO179" s="116"/>
      <c r="AP179" s="116"/>
      <c r="AQ179" s="113" t="s">
        <v>755</v>
      </c>
      <c r="AR179" s="115"/>
      <c r="AS179" s="113">
        <v>30.12</v>
      </c>
      <c r="AT179" s="113">
        <v>31.34</v>
      </c>
      <c r="AU179" s="113">
        <v>29.48</v>
      </c>
    </row>
    <row r="180" spans="1:64" s="63" customFormat="1">
      <c r="A180" s="63" t="s">
        <v>262</v>
      </c>
      <c r="B180" s="63" t="s">
        <v>300</v>
      </c>
      <c r="C180" s="64" t="s">
        <v>301</v>
      </c>
      <c r="D180" s="65" t="s">
        <v>87</v>
      </c>
      <c r="E180" s="66" t="s">
        <v>261</v>
      </c>
      <c r="F180" s="68">
        <v>23</v>
      </c>
      <c r="G180" s="68" t="s">
        <v>204</v>
      </c>
      <c r="H180" s="69">
        <v>622.28571428571433</v>
      </c>
      <c r="I180" s="74">
        <v>15.18</v>
      </c>
      <c r="J180" s="69">
        <v>9294</v>
      </c>
      <c r="K180" s="72">
        <v>0.01</v>
      </c>
      <c r="L180" s="69">
        <f t="shared" si="433"/>
        <v>9201.06</v>
      </c>
      <c r="M180" s="86">
        <f t="shared" si="415"/>
        <v>14.785909090909088</v>
      </c>
      <c r="N180" s="79">
        <v>8</v>
      </c>
      <c r="O180" s="79">
        <v>7.5</v>
      </c>
      <c r="P180" s="79">
        <v>9.74</v>
      </c>
      <c r="Q180" s="79">
        <v>8.56</v>
      </c>
      <c r="R180" s="79">
        <v>7.79</v>
      </c>
      <c r="S180" s="84">
        <v>8.2200000000000006</v>
      </c>
      <c r="T180" s="85">
        <f>AVERAGE(N180:S180)</f>
        <v>8.3016666666666676</v>
      </c>
      <c r="U180" s="63" t="s">
        <v>365</v>
      </c>
      <c r="V180" s="77" t="s">
        <v>103</v>
      </c>
      <c r="W180" s="77"/>
      <c r="X180" s="78">
        <v>0.32</v>
      </c>
      <c r="Y180" s="78"/>
      <c r="Z180" s="79">
        <v>0.38</v>
      </c>
      <c r="AA180" s="80">
        <v>45763</v>
      </c>
      <c r="AB180" s="81">
        <f t="shared" si="380"/>
        <v>89.066666666666663</v>
      </c>
      <c r="AC180" s="81">
        <f t="shared" si="441"/>
        <v>28.501333333333331</v>
      </c>
      <c r="AD180" s="81">
        <f t="shared" si="416"/>
        <v>131.12123903999998</v>
      </c>
      <c r="AE180" s="81">
        <f t="shared" si="442"/>
        <v>8.6377627826086947</v>
      </c>
      <c r="AF180" s="167">
        <f t="shared" si="443"/>
        <v>4.8364697332255902E-2</v>
      </c>
      <c r="AG180" s="264"/>
      <c r="AH180" s="264">
        <f t="shared" si="365"/>
        <v>0</v>
      </c>
      <c r="AI180" s="77"/>
      <c r="AJ180" s="79">
        <f t="shared" si="368"/>
        <v>131.12123903999998</v>
      </c>
      <c r="AK180" s="82">
        <f t="shared" si="369"/>
        <v>8.6377627826086947</v>
      </c>
      <c r="AL180" s="82"/>
      <c r="AM180" s="82">
        <f t="shared" si="440"/>
        <v>74.253473684210519</v>
      </c>
      <c r="AN180" s="82"/>
      <c r="AO180" s="82"/>
      <c r="AP180" s="82"/>
      <c r="AR180" s="77" t="s">
        <v>91</v>
      </c>
      <c r="AS180" s="63">
        <v>93</v>
      </c>
      <c r="AT180" s="63">
        <v>118</v>
      </c>
      <c r="AU180" s="63">
        <v>83</v>
      </c>
      <c r="AV180" s="63">
        <v>63</v>
      </c>
      <c r="AW180" s="63">
        <v>94</v>
      </c>
      <c r="AX180" s="63">
        <v>89</v>
      </c>
      <c r="AY180" s="63">
        <v>106</v>
      </c>
      <c r="AZ180" s="63">
        <v>100</v>
      </c>
      <c r="BA180" s="63">
        <v>91</v>
      </c>
      <c r="BB180" s="63">
        <v>89</v>
      </c>
      <c r="BC180" s="63">
        <v>104</v>
      </c>
      <c r="BD180" s="63">
        <v>94</v>
      </c>
      <c r="BE180" s="63">
        <v>85</v>
      </c>
      <c r="BF180" s="63">
        <v>58</v>
      </c>
      <c r="BG180" s="63">
        <v>69</v>
      </c>
    </row>
    <row r="181" spans="1:64" s="63" customFormat="1">
      <c r="A181" s="63" t="s">
        <v>262</v>
      </c>
      <c r="B181" s="63" t="s">
        <v>300</v>
      </c>
      <c r="C181" s="64" t="s">
        <v>301</v>
      </c>
      <c r="D181" s="65" t="s">
        <v>87</v>
      </c>
      <c r="E181" s="66" t="s">
        <v>261</v>
      </c>
      <c r="F181" s="68">
        <v>23</v>
      </c>
      <c r="G181" s="68" t="s">
        <v>204</v>
      </c>
      <c r="H181" s="69">
        <v>622.28571428571433</v>
      </c>
      <c r="I181" s="74">
        <v>15.18</v>
      </c>
      <c r="J181" s="69">
        <v>9294</v>
      </c>
      <c r="K181" s="72">
        <v>0.01</v>
      </c>
      <c r="L181" s="69">
        <f t="shared" si="433"/>
        <v>9201.06</v>
      </c>
      <c r="M181" s="86">
        <f t="shared" si="415"/>
        <v>14.785909090909088</v>
      </c>
      <c r="N181" s="79">
        <v>8</v>
      </c>
      <c r="O181" s="79">
        <v>7.5</v>
      </c>
      <c r="P181" s="79">
        <v>9.74</v>
      </c>
      <c r="Q181" s="79">
        <v>8.56</v>
      </c>
      <c r="R181" s="79">
        <v>7.79</v>
      </c>
      <c r="S181" s="84">
        <v>8.2200000000000006</v>
      </c>
      <c r="T181" s="85">
        <f>AVERAGE(N181:S181)</f>
        <v>8.3016666666666676</v>
      </c>
      <c r="U181" s="63" t="s">
        <v>365</v>
      </c>
      <c r="V181" s="77" t="s">
        <v>103</v>
      </c>
      <c r="W181" s="77"/>
      <c r="X181" s="78">
        <v>0.32</v>
      </c>
      <c r="Y181" s="78"/>
      <c r="Z181" s="79">
        <v>0.38</v>
      </c>
      <c r="AA181" s="80">
        <v>45786</v>
      </c>
      <c r="AB181" s="81">
        <f t="shared" si="380"/>
        <v>102.4</v>
      </c>
      <c r="AC181" s="81">
        <f t="shared" si="441"/>
        <v>32.768000000000001</v>
      </c>
      <c r="AD181" s="81">
        <f t="shared" si="416"/>
        <v>150.75016704000001</v>
      </c>
      <c r="AE181" s="81">
        <f t="shared" si="442"/>
        <v>9.9308410434782619</v>
      </c>
      <c r="AF181" s="167">
        <f t="shared" si="443"/>
        <v>0.17227554403378526</v>
      </c>
      <c r="AG181" s="264"/>
      <c r="AH181" s="264">
        <f t="shared" si="365"/>
        <v>0</v>
      </c>
      <c r="AI181" s="77"/>
      <c r="AJ181" s="79">
        <f t="shared" ref="AJ181:AJ208" si="463">AD181-(AI181*I181)</f>
        <v>150.75016704000001</v>
      </c>
      <c r="AK181" s="82">
        <f t="shared" ref="AK181:AK208" si="464">AJ181/I181</f>
        <v>9.9308410434782619</v>
      </c>
      <c r="AL181" s="82"/>
      <c r="AM181" s="82">
        <f t="shared" si="440"/>
        <v>85.369263157894736</v>
      </c>
      <c r="AN181" s="82"/>
      <c r="AO181" s="82"/>
      <c r="AP181" s="82"/>
      <c r="AR181" s="77" t="s">
        <v>91</v>
      </c>
      <c r="AS181" s="63">
        <v>117</v>
      </c>
      <c r="AT181" s="63">
        <v>98</v>
      </c>
      <c r="AU181" s="63">
        <v>104</v>
      </c>
      <c r="AV181" s="63">
        <v>127</v>
      </c>
      <c r="AW181" s="63">
        <v>102</v>
      </c>
      <c r="AX181" s="63">
        <v>93</v>
      </c>
      <c r="AY181" s="63">
        <v>89</v>
      </c>
      <c r="AZ181" s="63">
        <v>92</v>
      </c>
      <c r="BA181" s="63">
        <v>100</v>
      </c>
      <c r="BB181" s="63">
        <v>102</v>
      </c>
    </row>
    <row r="182" spans="1:64" s="113" customFormat="1">
      <c r="A182" s="113" t="s">
        <v>262</v>
      </c>
      <c r="B182" s="113" t="s">
        <v>302</v>
      </c>
      <c r="C182" s="114" t="s">
        <v>303</v>
      </c>
      <c r="D182" s="128" t="s">
        <v>87</v>
      </c>
      <c r="E182" s="127" t="s">
        <v>160</v>
      </c>
      <c r="F182" s="126">
        <v>4</v>
      </c>
      <c r="G182" s="126" t="s">
        <v>273</v>
      </c>
      <c r="H182" s="123">
        <v>565.71428571428567</v>
      </c>
      <c r="I182" s="125">
        <v>15.95</v>
      </c>
      <c r="J182" s="123">
        <v>8947</v>
      </c>
      <c r="K182" s="124"/>
      <c r="L182" s="123">
        <f t="shared" si="433"/>
        <v>8947</v>
      </c>
      <c r="M182" s="122">
        <f t="shared" si="415"/>
        <v>15.815404040404042</v>
      </c>
      <c r="N182" s="118"/>
      <c r="O182" s="118"/>
      <c r="P182" s="118"/>
      <c r="Q182" s="118"/>
      <c r="R182" s="118"/>
      <c r="S182" s="153">
        <v>5.93</v>
      </c>
      <c r="T182" s="121"/>
      <c r="U182" s="113" t="s">
        <v>365</v>
      </c>
      <c r="V182" s="115" t="s">
        <v>103</v>
      </c>
      <c r="W182" s="115"/>
      <c r="X182" s="120"/>
      <c r="Y182" s="120"/>
      <c r="Z182" s="118">
        <v>0.4</v>
      </c>
      <c r="AA182" s="119">
        <v>45769</v>
      </c>
      <c r="AB182" s="117">
        <f t="shared" si="380"/>
        <v>70.875</v>
      </c>
      <c r="AC182" s="117">
        <f>AB182*Z182</f>
        <v>28.35</v>
      </c>
      <c r="AD182" s="117">
        <f t="shared" si="416"/>
        <v>126.82372500000001</v>
      </c>
      <c r="AE182" s="117">
        <f t="shared" si="442"/>
        <v>7.9513307210031359</v>
      </c>
      <c r="AF182" s="170">
        <f t="shared" si="443"/>
        <v>0.25421288485257798</v>
      </c>
      <c r="AG182" s="265"/>
      <c r="AH182" s="265">
        <f t="shared" si="365"/>
        <v>0</v>
      </c>
      <c r="AI182" s="115"/>
      <c r="AJ182" s="118">
        <f t="shared" si="463"/>
        <v>126.82372500000001</v>
      </c>
      <c r="AK182" s="116">
        <f t="shared" si="464"/>
        <v>7.9513307210031359</v>
      </c>
      <c r="AL182" s="116"/>
      <c r="AM182" s="116">
        <f t="shared" si="440"/>
        <v>70.875</v>
      </c>
      <c r="AN182" s="116"/>
      <c r="AO182" s="116"/>
      <c r="AP182" s="116"/>
      <c r="AR182" s="115" t="s">
        <v>116</v>
      </c>
      <c r="AS182" s="113">
        <v>80</v>
      </c>
      <c r="AT182" s="113">
        <v>73</v>
      </c>
      <c r="AU182" s="113">
        <v>68</v>
      </c>
      <c r="AV182" s="113">
        <v>64</v>
      </c>
      <c r="AW182" s="113">
        <v>70</v>
      </c>
      <c r="AX182" s="113">
        <v>85</v>
      </c>
      <c r="AY182" s="113">
        <v>78</v>
      </c>
      <c r="AZ182" s="113">
        <v>62</v>
      </c>
      <c r="BA182" s="113">
        <v>76</v>
      </c>
      <c r="BB182" s="113">
        <v>66</v>
      </c>
      <c r="BC182" s="113">
        <v>61</v>
      </c>
      <c r="BD182" s="113">
        <v>70</v>
      </c>
      <c r="BE182" s="113">
        <v>68</v>
      </c>
      <c r="BF182" s="113">
        <v>59</v>
      </c>
      <c r="BG182" s="113">
        <v>79</v>
      </c>
      <c r="BH182" s="113">
        <v>75</v>
      </c>
    </row>
    <row r="183" spans="1:64" s="63" customFormat="1">
      <c r="A183" s="63" t="s">
        <v>262</v>
      </c>
      <c r="B183" s="63" t="s">
        <v>304</v>
      </c>
      <c r="C183" s="64" t="s">
        <v>305</v>
      </c>
      <c r="D183" s="65" t="s">
        <v>87</v>
      </c>
      <c r="E183" s="66" t="s">
        <v>160</v>
      </c>
      <c r="F183" s="68"/>
      <c r="G183" s="68" t="s">
        <v>204</v>
      </c>
      <c r="H183" s="69">
        <v>622.28571428571433</v>
      </c>
      <c r="I183" s="74">
        <v>24.82</v>
      </c>
      <c r="J183" s="69">
        <v>15330</v>
      </c>
      <c r="K183" s="72"/>
      <c r="L183" s="69">
        <f t="shared" si="433"/>
        <v>15330</v>
      </c>
      <c r="M183" s="86">
        <f t="shared" si="415"/>
        <v>24.634986225895315</v>
      </c>
      <c r="N183" s="79">
        <v>10.95</v>
      </c>
      <c r="O183" s="79">
        <v>6.35</v>
      </c>
      <c r="P183" s="79">
        <v>11</v>
      </c>
      <c r="Q183" s="79">
        <v>8.4499999999999993</v>
      </c>
      <c r="R183" s="79">
        <v>6.95</v>
      </c>
      <c r="S183" s="84">
        <v>8.1199999999999992</v>
      </c>
      <c r="T183" s="85">
        <f>AVERAGE(N183:S183)</f>
        <v>8.6366666666666667</v>
      </c>
      <c r="U183" s="63" t="s">
        <v>365</v>
      </c>
      <c r="V183" s="77" t="s">
        <v>103</v>
      </c>
      <c r="W183" s="77"/>
      <c r="X183" s="78">
        <v>0.42</v>
      </c>
      <c r="Y183" s="78"/>
      <c r="Z183" s="79">
        <v>0.4</v>
      </c>
      <c r="AA183" s="80">
        <v>45763</v>
      </c>
      <c r="AB183" s="81">
        <f t="shared" si="380"/>
        <v>53.733333333333334</v>
      </c>
      <c r="AC183" s="81">
        <f>AB183*X183</f>
        <v>22.567999999999998</v>
      </c>
      <c r="AD183" s="81">
        <f t="shared" si="416"/>
        <v>172.98371999999998</v>
      </c>
      <c r="AE183" s="81">
        <f t="shared" si="442"/>
        <v>6.9695294117647046</v>
      </c>
      <c r="AF183" s="167">
        <f t="shared" si="443"/>
        <v>-0.16507148765213292</v>
      </c>
      <c r="AG183" s="264">
        <v>6.74</v>
      </c>
      <c r="AH183" s="264">
        <f t="shared" si="365"/>
        <v>0.40314035915208929</v>
      </c>
      <c r="AI183" s="77"/>
      <c r="AJ183" s="79">
        <f t="shared" si="463"/>
        <v>172.98371999999998</v>
      </c>
      <c r="AK183" s="82">
        <f t="shared" si="464"/>
        <v>6.9695294117647046</v>
      </c>
      <c r="AL183" s="82"/>
      <c r="AM183" s="82">
        <f t="shared" si="440"/>
        <v>56.419999999999987</v>
      </c>
      <c r="AN183" s="82"/>
      <c r="AO183" s="82"/>
      <c r="AP183" s="82"/>
      <c r="AQ183" s="63" t="s">
        <v>756</v>
      </c>
      <c r="AR183" s="77" t="s">
        <v>137</v>
      </c>
      <c r="AS183" s="63">
        <v>55</v>
      </c>
      <c r="AT183" s="63">
        <v>35</v>
      </c>
      <c r="AU183" s="63">
        <v>62</v>
      </c>
      <c r="AV183" s="63">
        <v>54</v>
      </c>
      <c r="AW183" s="63">
        <v>58</v>
      </c>
      <c r="AX183" s="63">
        <v>51</v>
      </c>
      <c r="AY183" s="63">
        <v>62</v>
      </c>
      <c r="AZ183" s="63">
        <v>34</v>
      </c>
      <c r="BA183" s="63">
        <v>59</v>
      </c>
      <c r="BB183" s="63">
        <v>71</v>
      </c>
      <c r="BC183" s="63">
        <v>60</v>
      </c>
      <c r="BD183" s="63">
        <v>53</v>
      </c>
      <c r="BE183" s="63">
        <v>47</v>
      </c>
      <c r="BF183" s="63">
        <v>50</v>
      </c>
      <c r="BG183" s="63">
        <v>55</v>
      </c>
    </row>
    <row r="184" spans="1:64" s="113" customFormat="1">
      <c r="A184" s="113" t="s">
        <v>262</v>
      </c>
      <c r="B184" s="113" t="s">
        <v>757</v>
      </c>
      <c r="C184" s="114" t="s">
        <v>758</v>
      </c>
      <c r="D184" s="128" t="s">
        <v>87</v>
      </c>
      <c r="E184" s="127" t="s">
        <v>330</v>
      </c>
      <c r="F184" s="126"/>
      <c r="G184" s="126" t="s">
        <v>382</v>
      </c>
      <c r="H184" s="123">
        <v>565.71428571428567</v>
      </c>
      <c r="I184" s="125">
        <v>16.46</v>
      </c>
      <c r="J184" s="123">
        <v>9250</v>
      </c>
      <c r="K184" s="124"/>
      <c r="L184" s="123">
        <f t="shared" si="433"/>
        <v>9250</v>
      </c>
      <c r="M184" s="122">
        <f t="shared" si="415"/>
        <v>16.351010101010104</v>
      </c>
      <c r="N184" s="118">
        <v>8.6</v>
      </c>
      <c r="O184" s="118">
        <v>7.65</v>
      </c>
      <c r="P184" s="118">
        <v>9.1</v>
      </c>
      <c r="Q184" s="118">
        <v>6.4</v>
      </c>
      <c r="R184" s="118">
        <v>3.04</v>
      </c>
      <c r="S184" s="153"/>
      <c r="T184" s="121">
        <f>AVERAGE(N184:R184)</f>
        <v>6.9580000000000002</v>
      </c>
      <c r="V184" s="115"/>
      <c r="W184" s="115"/>
      <c r="X184" s="120"/>
      <c r="Y184" s="120"/>
      <c r="Z184" s="118">
        <v>0.55000000000000004</v>
      </c>
      <c r="AA184" s="119"/>
      <c r="AB184" s="117">
        <f t="shared" si="380"/>
        <v>0</v>
      </c>
      <c r="AC184" s="117"/>
      <c r="AD184" s="117">
        <f t="shared" si="416"/>
        <v>0</v>
      </c>
      <c r="AE184" s="117"/>
      <c r="AF184" s="170"/>
      <c r="AG184" s="265"/>
      <c r="AH184" s="265" t="e">
        <f t="shared" si="365"/>
        <v>#DIV/0!</v>
      </c>
      <c r="AI184" s="115"/>
      <c r="AJ184" s="118">
        <f t="shared" si="463"/>
        <v>0</v>
      </c>
      <c r="AK184" s="116">
        <f t="shared" si="464"/>
        <v>0</v>
      </c>
      <c r="AL184" s="116"/>
      <c r="AM184" s="116">
        <f t="shared" si="440"/>
        <v>0</v>
      </c>
      <c r="AN184" s="116"/>
      <c r="AO184" s="116"/>
      <c r="AP184" s="116"/>
      <c r="AR184" s="115"/>
    </row>
    <row r="185" spans="1:64" s="63" customFormat="1">
      <c r="A185" s="63" t="s">
        <v>262</v>
      </c>
      <c r="B185" s="63" t="s">
        <v>306</v>
      </c>
      <c r="C185" s="64" t="s">
        <v>307</v>
      </c>
      <c r="D185" s="65" t="s">
        <v>87</v>
      </c>
      <c r="E185" s="66" t="s">
        <v>261</v>
      </c>
      <c r="F185" s="68">
        <v>71</v>
      </c>
      <c r="G185" s="68" t="s">
        <v>204</v>
      </c>
      <c r="H185" s="69">
        <v>622.28571428571433</v>
      </c>
      <c r="I185" s="74">
        <v>4.53</v>
      </c>
      <c r="J185" s="69">
        <v>2749</v>
      </c>
      <c r="K185" s="72"/>
      <c r="L185" s="69">
        <f t="shared" si="433"/>
        <v>2749</v>
      </c>
      <c r="M185" s="86">
        <f t="shared" si="415"/>
        <v>4.4175849403122127</v>
      </c>
      <c r="N185" s="79"/>
      <c r="O185" s="79">
        <v>2.38</v>
      </c>
      <c r="P185" s="79">
        <v>5.48</v>
      </c>
      <c r="Q185" s="79">
        <v>6.08</v>
      </c>
      <c r="R185" s="79">
        <v>6.85</v>
      </c>
      <c r="S185" s="84">
        <v>8.89</v>
      </c>
      <c r="T185" s="85">
        <f t="shared" ref="T185:T191" si="465">AVERAGE(N185:S185)</f>
        <v>5.9359999999999999</v>
      </c>
      <c r="U185" s="63" t="s">
        <v>759</v>
      </c>
      <c r="V185" s="77" t="s">
        <v>103</v>
      </c>
      <c r="W185" s="77"/>
      <c r="X185" s="78">
        <v>0.3</v>
      </c>
      <c r="Y185" s="78"/>
      <c r="Z185" s="79">
        <v>0.38</v>
      </c>
      <c r="AA185" s="80">
        <v>45763</v>
      </c>
      <c r="AB185" s="81">
        <f t="shared" si="380"/>
        <v>136.06666666666666</v>
      </c>
      <c r="AC185" s="81">
        <f t="shared" ref="AC185:AC190" si="466">AB185*X185</f>
        <v>40.82</v>
      </c>
      <c r="AD185" s="81">
        <f t="shared" si="416"/>
        <v>56.107090000000007</v>
      </c>
      <c r="AE185" s="81">
        <f t="shared" ref="AE185:AE190" si="467">IFERROR((AD185/I185),"")</f>
        <v>12.385671081677705</v>
      </c>
      <c r="AF185" s="167">
        <f t="shared" ref="AF185:AF190" si="468">IFERROR(((AE185-S185)/AE185),"")</f>
        <v>0.28223509720429274</v>
      </c>
      <c r="AG185" s="264"/>
      <c r="AH185" s="264">
        <f t="shared" si="365"/>
        <v>0</v>
      </c>
      <c r="AI185" s="77"/>
      <c r="AJ185" s="79">
        <f t="shared" si="463"/>
        <v>56.107090000000007</v>
      </c>
      <c r="AK185" s="82">
        <f t="shared" si="464"/>
        <v>12.385671081677705</v>
      </c>
      <c r="AL185" s="82"/>
      <c r="AM185" s="82">
        <f t="shared" si="440"/>
        <v>107.42105263157896</v>
      </c>
      <c r="AN185" s="82"/>
      <c r="AO185" s="82"/>
      <c r="AP185" s="82"/>
      <c r="AR185" s="77" t="s">
        <v>91</v>
      </c>
      <c r="AS185" s="63">
        <v>129</v>
      </c>
      <c r="AT185" s="63">
        <v>127</v>
      </c>
      <c r="AU185" s="63">
        <v>148</v>
      </c>
      <c r="AV185" s="63">
        <v>192</v>
      </c>
      <c r="AW185" s="63">
        <v>120</v>
      </c>
      <c r="AX185" s="63">
        <v>99</v>
      </c>
      <c r="AY185" s="63">
        <v>104</v>
      </c>
      <c r="AZ185" s="63">
        <v>116</v>
      </c>
      <c r="BA185" s="63">
        <v>183</v>
      </c>
      <c r="BB185" s="63">
        <v>152</v>
      </c>
      <c r="BC185" s="63">
        <v>144</v>
      </c>
      <c r="BD185" s="63">
        <v>133</v>
      </c>
      <c r="BE185" s="63">
        <v>146</v>
      </c>
      <c r="BF185" s="63">
        <v>138</v>
      </c>
      <c r="BG185" s="63">
        <v>110</v>
      </c>
    </row>
    <row r="186" spans="1:64" s="63" customFormat="1">
      <c r="A186" s="63" t="s">
        <v>262</v>
      </c>
      <c r="B186" s="63" t="s">
        <v>306</v>
      </c>
      <c r="C186" s="64" t="s">
        <v>307</v>
      </c>
      <c r="D186" s="65" t="s">
        <v>87</v>
      </c>
      <c r="E186" s="66" t="s">
        <v>261</v>
      </c>
      <c r="F186" s="68">
        <v>71</v>
      </c>
      <c r="G186" s="68" t="s">
        <v>204</v>
      </c>
      <c r="H186" s="69">
        <v>622.28571428571433</v>
      </c>
      <c r="I186" s="74">
        <v>4.53</v>
      </c>
      <c r="J186" s="69">
        <v>2749</v>
      </c>
      <c r="K186" s="72"/>
      <c r="L186" s="69">
        <f t="shared" si="433"/>
        <v>2749</v>
      </c>
      <c r="M186" s="86">
        <f t="shared" si="415"/>
        <v>4.4175849403122127</v>
      </c>
      <c r="N186" s="79"/>
      <c r="O186" s="79">
        <v>2.38</v>
      </c>
      <c r="P186" s="79">
        <v>5.48</v>
      </c>
      <c r="Q186" s="79">
        <v>6.08</v>
      </c>
      <c r="R186" s="79">
        <v>6.85</v>
      </c>
      <c r="S186" s="84">
        <v>8.89</v>
      </c>
      <c r="T186" s="85">
        <f t="shared" si="465"/>
        <v>5.9359999999999999</v>
      </c>
      <c r="U186" s="63" t="s">
        <v>365</v>
      </c>
      <c r="V186" s="77" t="s">
        <v>366</v>
      </c>
      <c r="W186" s="77"/>
      <c r="X186" s="78">
        <v>0.3</v>
      </c>
      <c r="Y186" s="78"/>
      <c r="Z186" s="79">
        <v>0.38</v>
      </c>
      <c r="AA186" s="80">
        <v>45763</v>
      </c>
      <c r="AB186" s="81">
        <f t="shared" si="380"/>
        <v>136.06666666666666</v>
      </c>
      <c r="AC186" s="81">
        <f t="shared" si="466"/>
        <v>40.82</v>
      </c>
      <c r="AD186" s="81">
        <f t="shared" si="416"/>
        <v>56.107090000000007</v>
      </c>
      <c r="AE186" s="81">
        <f t="shared" si="467"/>
        <v>12.385671081677705</v>
      </c>
      <c r="AF186" s="167">
        <f t="shared" si="468"/>
        <v>0.28223509720429274</v>
      </c>
      <c r="AG186" s="264"/>
      <c r="AH186" s="264">
        <f t="shared" si="365"/>
        <v>0</v>
      </c>
      <c r="AI186" s="77"/>
      <c r="AJ186" s="79">
        <f t="shared" si="463"/>
        <v>56.107090000000007</v>
      </c>
      <c r="AK186" s="82">
        <f t="shared" si="464"/>
        <v>12.385671081677705</v>
      </c>
      <c r="AL186" s="82"/>
      <c r="AM186" s="82">
        <f t="shared" si="440"/>
        <v>107.42105263157896</v>
      </c>
      <c r="AN186" s="82"/>
      <c r="AO186" s="82"/>
      <c r="AP186" s="82"/>
      <c r="AR186" s="77" t="s">
        <v>91</v>
      </c>
      <c r="AS186" s="63">
        <v>129</v>
      </c>
      <c r="AT186" s="63">
        <v>127</v>
      </c>
      <c r="AU186" s="63">
        <v>148</v>
      </c>
      <c r="AV186" s="63">
        <v>192</v>
      </c>
      <c r="AW186" s="63">
        <v>120</v>
      </c>
      <c r="AX186" s="63">
        <v>99</v>
      </c>
      <c r="AY186" s="63">
        <v>104</v>
      </c>
      <c r="AZ186" s="63">
        <v>116</v>
      </c>
      <c r="BA186" s="63">
        <v>183</v>
      </c>
      <c r="BB186" s="63">
        <v>152</v>
      </c>
      <c r="BC186" s="63">
        <v>144</v>
      </c>
      <c r="BD186" s="63">
        <v>133</v>
      </c>
      <c r="BE186" s="63">
        <v>146</v>
      </c>
      <c r="BF186" s="63">
        <v>138</v>
      </c>
      <c r="BG186" s="63">
        <v>110</v>
      </c>
    </row>
    <row r="187" spans="1:64" s="63" customFormat="1">
      <c r="A187" s="63" t="s">
        <v>262</v>
      </c>
      <c r="B187" s="63" t="s">
        <v>306</v>
      </c>
      <c r="C187" s="64" t="s">
        <v>307</v>
      </c>
      <c r="D187" s="65" t="s">
        <v>87</v>
      </c>
      <c r="E187" s="66" t="s">
        <v>261</v>
      </c>
      <c r="F187" s="68">
        <v>71</v>
      </c>
      <c r="G187" s="68" t="s">
        <v>204</v>
      </c>
      <c r="H187" s="69">
        <v>622.28571428571433</v>
      </c>
      <c r="I187" s="74">
        <v>4.53</v>
      </c>
      <c r="J187" s="69">
        <v>2749</v>
      </c>
      <c r="K187" s="72"/>
      <c r="L187" s="69">
        <f t="shared" si="433"/>
        <v>2749</v>
      </c>
      <c r="M187" s="86">
        <f t="shared" si="415"/>
        <v>4.4175849403122127</v>
      </c>
      <c r="N187" s="79"/>
      <c r="O187" s="79">
        <v>2.38</v>
      </c>
      <c r="P187" s="79">
        <v>5.48</v>
      </c>
      <c r="Q187" s="79">
        <v>6.08</v>
      </c>
      <c r="R187" s="79">
        <v>6.85</v>
      </c>
      <c r="S187" s="84">
        <v>8.89</v>
      </c>
      <c r="T187" s="85">
        <f t="shared" si="465"/>
        <v>5.9359999999999999</v>
      </c>
      <c r="U187" s="63" t="s">
        <v>365</v>
      </c>
      <c r="V187" s="77" t="s">
        <v>366</v>
      </c>
      <c r="W187" s="77"/>
      <c r="X187" s="78">
        <v>0.3</v>
      </c>
      <c r="Y187" s="78"/>
      <c r="Z187" s="79">
        <v>0.38</v>
      </c>
      <c r="AA187" s="80">
        <v>45786</v>
      </c>
      <c r="AB187" s="81">
        <f t="shared" si="380"/>
        <v>116.1</v>
      </c>
      <c r="AC187" s="81">
        <f t="shared" si="466"/>
        <v>34.83</v>
      </c>
      <c r="AD187" s="81">
        <f t="shared" si="416"/>
        <v>47.873835</v>
      </c>
      <c r="AE187" s="81">
        <f t="shared" si="467"/>
        <v>10.568175496688742</v>
      </c>
      <c r="AF187" s="167">
        <f t="shared" si="468"/>
        <v>0.15879519574732207</v>
      </c>
      <c r="AG187" s="264"/>
      <c r="AH187" s="264">
        <f t="shared" si="365"/>
        <v>0</v>
      </c>
      <c r="AI187" s="77"/>
      <c r="AJ187" s="79">
        <f t="shared" si="463"/>
        <v>47.873835</v>
      </c>
      <c r="AK187" s="82">
        <f t="shared" si="464"/>
        <v>10.568175496688742</v>
      </c>
      <c r="AL187" s="82"/>
      <c r="AM187" s="82">
        <f t="shared" si="440"/>
        <v>91.657894736842096</v>
      </c>
      <c r="AN187" s="82"/>
      <c r="AO187" s="82"/>
      <c r="AP187" s="82"/>
      <c r="AR187" s="77" t="s">
        <v>91</v>
      </c>
      <c r="AS187" s="63">
        <v>129</v>
      </c>
      <c r="AT187" s="63">
        <v>112</v>
      </c>
      <c r="AU187" s="63">
        <v>106</v>
      </c>
      <c r="AV187" s="63">
        <v>111</v>
      </c>
      <c r="AW187" s="63">
        <v>122</v>
      </c>
      <c r="AX187" s="63">
        <v>118</v>
      </c>
      <c r="AY187" s="63">
        <v>109</v>
      </c>
      <c r="AZ187" s="63">
        <v>114</v>
      </c>
      <c r="BA187" s="63">
        <v>119</v>
      </c>
      <c r="BB187" s="63">
        <v>121</v>
      </c>
    </row>
    <row r="188" spans="1:64" s="113" customFormat="1" ht="14.45" customHeight="1">
      <c r="A188" s="113" t="s">
        <v>262</v>
      </c>
      <c r="B188" s="113" t="s">
        <v>308</v>
      </c>
      <c r="C188" s="114" t="s">
        <v>309</v>
      </c>
      <c r="D188" s="128" t="s">
        <v>87</v>
      </c>
      <c r="E188" s="127" t="s">
        <v>261</v>
      </c>
      <c r="F188" s="126">
        <v>71</v>
      </c>
      <c r="G188" s="126" t="s">
        <v>204</v>
      </c>
      <c r="H188" s="123">
        <v>622.28571428571433</v>
      </c>
      <c r="I188" s="125">
        <v>9.48</v>
      </c>
      <c r="J188" s="123">
        <v>5853</v>
      </c>
      <c r="K188" s="124"/>
      <c r="L188" s="123">
        <f t="shared" si="433"/>
        <v>5853</v>
      </c>
      <c r="M188" s="122">
        <f t="shared" si="415"/>
        <v>9.4056473829201099</v>
      </c>
      <c r="N188" s="118"/>
      <c r="O188" s="118">
        <v>5.69</v>
      </c>
      <c r="P188" s="118">
        <v>7.96</v>
      </c>
      <c r="Q188" s="118">
        <v>9.02</v>
      </c>
      <c r="R188" s="118">
        <v>8.17</v>
      </c>
      <c r="S188" s="153">
        <v>8.91</v>
      </c>
      <c r="T188" s="121">
        <f t="shared" si="465"/>
        <v>7.95</v>
      </c>
      <c r="U188" s="113" t="s">
        <v>365</v>
      </c>
      <c r="V188" s="115" t="s">
        <v>366</v>
      </c>
      <c r="W188" s="115"/>
      <c r="X188" s="120">
        <v>0.3</v>
      </c>
      <c r="Y188" s="120"/>
      <c r="Z188" s="118">
        <v>0.38</v>
      </c>
      <c r="AA188" s="119">
        <v>45763</v>
      </c>
      <c r="AB188" s="117">
        <f t="shared" si="380"/>
        <v>178.375</v>
      </c>
      <c r="AC188" s="117">
        <f t="shared" si="466"/>
        <v>53.512499999999996</v>
      </c>
      <c r="AD188" s="117">
        <f t="shared" si="416"/>
        <v>156.60433125</v>
      </c>
      <c r="AE188" s="117">
        <f t="shared" si="467"/>
        <v>16.519444224683543</v>
      </c>
      <c r="AF188" s="170">
        <f t="shared" si="468"/>
        <v>0.46063560742034071</v>
      </c>
      <c r="AG188" s="265"/>
      <c r="AH188" s="265">
        <f t="shared" si="365"/>
        <v>0</v>
      </c>
      <c r="AI188" s="115"/>
      <c r="AJ188" s="118">
        <f t="shared" si="463"/>
        <v>156.60433125</v>
      </c>
      <c r="AK188" s="116">
        <f t="shared" si="464"/>
        <v>16.519444224683543</v>
      </c>
      <c r="AL188" s="116"/>
      <c r="AM188" s="116">
        <f t="shared" si="440"/>
        <v>140.82236842105263</v>
      </c>
      <c r="AN188" s="116"/>
      <c r="AO188" s="116"/>
      <c r="AP188" s="116"/>
      <c r="AR188" s="115" t="s">
        <v>91</v>
      </c>
      <c r="AS188" s="113">
        <v>135</v>
      </c>
      <c r="AT188" s="113">
        <v>143</v>
      </c>
      <c r="AU188" s="113">
        <v>166</v>
      </c>
      <c r="AV188" s="113">
        <v>237</v>
      </c>
      <c r="AW188" s="113">
        <v>231</v>
      </c>
      <c r="AX188" s="113">
        <v>191</v>
      </c>
      <c r="AY188" s="113">
        <v>201</v>
      </c>
      <c r="AZ188" s="113">
        <v>155</v>
      </c>
      <c r="BA188" s="113">
        <v>142</v>
      </c>
      <c r="BB188" s="113">
        <v>160</v>
      </c>
      <c r="BC188" s="113">
        <v>182</v>
      </c>
      <c r="BD188" s="113">
        <v>192</v>
      </c>
      <c r="BE188" s="113">
        <v>172</v>
      </c>
      <c r="BF188" s="113">
        <v>189</v>
      </c>
      <c r="BG188" s="113">
        <v>166</v>
      </c>
      <c r="BH188" s="113">
        <v>192</v>
      </c>
    </row>
    <row r="189" spans="1:64" s="113" customFormat="1" ht="14.45" customHeight="1">
      <c r="A189" s="113" t="s">
        <v>262</v>
      </c>
      <c r="B189" s="113" t="s">
        <v>308</v>
      </c>
      <c r="C189" s="114" t="s">
        <v>309</v>
      </c>
      <c r="D189" s="128" t="s">
        <v>87</v>
      </c>
      <c r="E189" s="127" t="s">
        <v>261</v>
      </c>
      <c r="F189" s="126">
        <v>71</v>
      </c>
      <c r="G189" s="126" t="s">
        <v>204</v>
      </c>
      <c r="H189" s="123">
        <v>622.28571428571433</v>
      </c>
      <c r="I189" s="125">
        <v>9.48</v>
      </c>
      <c r="J189" s="123">
        <v>5853</v>
      </c>
      <c r="K189" s="124"/>
      <c r="L189" s="123">
        <f t="shared" si="433"/>
        <v>5853</v>
      </c>
      <c r="M189" s="122">
        <f t="shared" si="415"/>
        <v>9.4056473829201099</v>
      </c>
      <c r="N189" s="118"/>
      <c r="O189" s="118">
        <v>5.69</v>
      </c>
      <c r="P189" s="118">
        <v>7.96</v>
      </c>
      <c r="Q189" s="118">
        <v>9.02</v>
      </c>
      <c r="R189" s="118">
        <v>8.17</v>
      </c>
      <c r="S189" s="153">
        <v>8.91</v>
      </c>
      <c r="T189" s="121">
        <f t="shared" si="465"/>
        <v>7.95</v>
      </c>
      <c r="U189" s="113" t="s">
        <v>760</v>
      </c>
      <c r="V189" s="115" t="s">
        <v>103</v>
      </c>
      <c r="W189" s="115"/>
      <c r="X189" s="120">
        <v>0.3</v>
      </c>
      <c r="Y189" s="120"/>
      <c r="Z189" s="118">
        <v>0.38</v>
      </c>
      <c r="AA189" s="119">
        <v>45769</v>
      </c>
      <c r="AB189" s="117">
        <f t="shared" si="380"/>
        <v>115.81818181818181</v>
      </c>
      <c r="AC189" s="117">
        <f t="shared" si="466"/>
        <v>34.745454545454542</v>
      </c>
      <c r="AD189" s="117">
        <f t="shared" si="416"/>
        <v>101.68257272727273</v>
      </c>
      <c r="AE189" s="117">
        <f t="shared" si="467"/>
        <v>10.726009781357883</v>
      </c>
      <c r="AF189" s="170">
        <f t="shared" si="468"/>
        <v>0.1693089805413156</v>
      </c>
      <c r="AG189" s="265"/>
      <c r="AH189" s="265">
        <f t="shared" si="365"/>
        <v>0</v>
      </c>
      <c r="AI189" s="115"/>
      <c r="AJ189" s="118">
        <f t="shared" si="463"/>
        <v>101.68257272727273</v>
      </c>
      <c r="AK189" s="116">
        <f t="shared" si="464"/>
        <v>10.726009781357883</v>
      </c>
      <c r="AL189" s="116"/>
      <c r="AM189" s="116">
        <f t="shared" si="440"/>
        <v>91.435406698564577</v>
      </c>
      <c r="AN189" s="116"/>
      <c r="AO189" s="116"/>
      <c r="AP189" s="116"/>
      <c r="AR189" s="115" t="s">
        <v>137</v>
      </c>
      <c r="AS189" s="113">
        <v>98</v>
      </c>
      <c r="AT189" s="113">
        <v>122</v>
      </c>
      <c r="AU189" s="113">
        <v>119</v>
      </c>
      <c r="AV189" s="113">
        <v>138</v>
      </c>
      <c r="AW189" s="113">
        <v>129</v>
      </c>
      <c r="AX189" s="113">
        <v>108</v>
      </c>
      <c r="AY189" s="113">
        <v>115</v>
      </c>
      <c r="AZ189" s="113">
        <v>124</v>
      </c>
      <c r="BA189" s="113">
        <v>105</v>
      </c>
      <c r="BB189" s="113">
        <v>106</v>
      </c>
      <c r="BC189" s="113">
        <v>110</v>
      </c>
    </row>
    <row r="190" spans="1:64" s="113" customFormat="1" ht="14.45" customHeight="1">
      <c r="A190" s="113" t="s">
        <v>262</v>
      </c>
      <c r="B190" s="113" t="s">
        <v>308</v>
      </c>
      <c r="C190" s="114" t="s">
        <v>309</v>
      </c>
      <c r="D190" s="128" t="s">
        <v>87</v>
      </c>
      <c r="E190" s="127" t="s">
        <v>261</v>
      </c>
      <c r="F190" s="126">
        <v>71</v>
      </c>
      <c r="G190" s="126" t="s">
        <v>204</v>
      </c>
      <c r="H190" s="123">
        <v>622.28571428571433</v>
      </c>
      <c r="I190" s="125">
        <v>9.48</v>
      </c>
      <c r="J190" s="123">
        <v>5853</v>
      </c>
      <c r="K190" s="124"/>
      <c r="L190" s="123">
        <f t="shared" si="433"/>
        <v>5853</v>
      </c>
      <c r="M190" s="122">
        <f t="shared" si="415"/>
        <v>9.4056473829201099</v>
      </c>
      <c r="N190" s="118"/>
      <c r="O190" s="118">
        <v>5.69</v>
      </c>
      <c r="P190" s="118">
        <v>7.96</v>
      </c>
      <c r="Q190" s="118">
        <v>9.02</v>
      </c>
      <c r="R190" s="118">
        <v>8.17</v>
      </c>
      <c r="S190" s="153">
        <v>8.91</v>
      </c>
      <c r="T190" s="121">
        <f t="shared" si="465"/>
        <v>7.95</v>
      </c>
      <c r="U190" s="113" t="s">
        <v>760</v>
      </c>
      <c r="V190" s="115" t="s">
        <v>103</v>
      </c>
      <c r="W190" s="115"/>
      <c r="X190" s="120">
        <v>0.3</v>
      </c>
      <c r="Y190" s="120"/>
      <c r="Z190" s="118">
        <v>0.38</v>
      </c>
      <c r="AA190" s="119">
        <v>45786</v>
      </c>
      <c r="AB190" s="117">
        <f t="shared" si="380"/>
        <v>106.18181818181819</v>
      </c>
      <c r="AC190" s="117">
        <f t="shared" si="466"/>
        <v>31.854545454545455</v>
      </c>
      <c r="AD190" s="117">
        <f t="shared" si="416"/>
        <v>93.22232727272727</v>
      </c>
      <c r="AE190" s="117">
        <f t="shared" si="467"/>
        <v>9.8335788262370531</v>
      </c>
      <c r="AF190" s="170">
        <f t="shared" si="468"/>
        <v>9.3920925693181473E-2</v>
      </c>
      <c r="AG190" s="265"/>
      <c r="AH190" s="265">
        <f t="shared" si="365"/>
        <v>0</v>
      </c>
      <c r="AI190" s="115"/>
      <c r="AJ190" s="118">
        <f t="shared" si="463"/>
        <v>93.22232727272727</v>
      </c>
      <c r="AK190" s="116">
        <f t="shared" si="464"/>
        <v>9.8335788262370531</v>
      </c>
      <c r="AL190" s="116"/>
      <c r="AM190" s="116">
        <f t="shared" si="440"/>
        <v>83.827751196172244</v>
      </c>
      <c r="AN190" s="116"/>
      <c r="AO190" s="116"/>
      <c r="AP190" s="116"/>
      <c r="AR190" s="115" t="s">
        <v>116</v>
      </c>
      <c r="AS190" s="113">
        <v>94</v>
      </c>
      <c r="AT190" s="113">
        <v>107</v>
      </c>
      <c r="AU190" s="113">
        <v>112</v>
      </c>
      <c r="AV190" s="113">
        <v>119</v>
      </c>
      <c r="AW190" s="113">
        <v>110</v>
      </c>
      <c r="AX190" s="113">
        <v>93</v>
      </c>
      <c r="AY190" s="113">
        <v>101</v>
      </c>
      <c r="AZ190" s="113">
        <v>114</v>
      </c>
      <c r="BA190" s="113">
        <v>97</v>
      </c>
      <c r="BB190" s="113">
        <v>114</v>
      </c>
      <c r="BC190" s="113">
        <v>107</v>
      </c>
    </row>
    <row r="191" spans="1:64" s="63" customFormat="1">
      <c r="A191" s="63" t="s">
        <v>262</v>
      </c>
      <c r="B191" s="63" t="s">
        <v>310</v>
      </c>
      <c r="C191" s="64" t="s">
        <v>311</v>
      </c>
      <c r="D191" s="65" t="s">
        <v>87</v>
      </c>
      <c r="E191" s="66" t="s">
        <v>312</v>
      </c>
      <c r="F191" s="68">
        <v>1</v>
      </c>
      <c r="G191" s="68" t="s">
        <v>204</v>
      </c>
      <c r="H191" s="69">
        <v>806.66666666666663</v>
      </c>
      <c r="I191" s="74">
        <v>19.96</v>
      </c>
      <c r="J191" s="69">
        <v>15190</v>
      </c>
      <c r="K191" s="72"/>
      <c r="L191" s="69">
        <f t="shared" si="433"/>
        <v>15190</v>
      </c>
      <c r="M191" s="86">
        <f t="shared" si="415"/>
        <v>18.830578512396695</v>
      </c>
      <c r="N191" s="79">
        <v>9.82</v>
      </c>
      <c r="O191" s="79">
        <v>8.7899999999999991</v>
      </c>
      <c r="P191" s="79">
        <v>10.78</v>
      </c>
      <c r="Q191" s="79">
        <v>9.7799999999999994</v>
      </c>
      <c r="R191" s="79">
        <v>8.25</v>
      </c>
      <c r="S191" s="84">
        <v>9.48</v>
      </c>
      <c r="T191" s="85">
        <f t="shared" si="465"/>
        <v>9.4833333333333343</v>
      </c>
      <c r="V191" s="77"/>
      <c r="W191" s="77"/>
      <c r="X191" s="78"/>
      <c r="Y191" s="78"/>
      <c r="Z191" s="79">
        <v>0.3</v>
      </c>
      <c r="AA191" s="80"/>
      <c r="AB191" s="81">
        <f t="shared" si="380"/>
        <v>0</v>
      </c>
      <c r="AC191" s="81"/>
      <c r="AD191" s="81">
        <f t="shared" si="416"/>
        <v>0</v>
      </c>
      <c r="AE191" s="81"/>
      <c r="AF191" s="167"/>
      <c r="AG191" s="264"/>
      <c r="AH191" s="264" t="e">
        <f t="shared" si="365"/>
        <v>#DIV/0!</v>
      </c>
      <c r="AI191" s="77"/>
      <c r="AJ191" s="79">
        <f t="shared" si="463"/>
        <v>0</v>
      </c>
      <c r="AK191" s="82">
        <f t="shared" si="464"/>
        <v>0</v>
      </c>
      <c r="AL191" s="82"/>
      <c r="AM191" s="82">
        <f t="shared" si="440"/>
        <v>0</v>
      </c>
      <c r="AN191" s="82"/>
      <c r="AO191" s="82"/>
      <c r="AP191" s="82"/>
      <c r="AR191" s="77"/>
    </row>
    <row r="192" spans="1:64" s="63" customFormat="1">
      <c r="A192" s="63" t="s">
        <v>262</v>
      </c>
      <c r="B192" s="63" t="s">
        <v>310</v>
      </c>
      <c r="C192" s="64" t="s">
        <v>313</v>
      </c>
      <c r="D192" s="65" t="s">
        <v>87</v>
      </c>
      <c r="E192" s="66" t="s">
        <v>312</v>
      </c>
      <c r="F192" s="68">
        <v>1</v>
      </c>
      <c r="G192" s="68" t="s">
        <v>204</v>
      </c>
      <c r="H192" s="69">
        <v>806.66666666666663</v>
      </c>
      <c r="I192" s="74">
        <v>19.96</v>
      </c>
      <c r="J192" s="69">
        <v>15190</v>
      </c>
      <c r="K192" s="72"/>
      <c r="L192" s="69">
        <f t="shared" si="433"/>
        <v>15190</v>
      </c>
      <c r="M192" s="86">
        <f t="shared" si="415"/>
        <v>18.830578512396695</v>
      </c>
      <c r="N192" s="79"/>
      <c r="O192" s="79"/>
      <c r="P192" s="79"/>
      <c r="Q192" s="79"/>
      <c r="R192" s="79"/>
      <c r="S192" s="84">
        <v>9.48</v>
      </c>
      <c r="T192" s="85"/>
      <c r="V192" s="77"/>
      <c r="W192" s="77"/>
      <c r="X192" s="78"/>
      <c r="Y192" s="78"/>
      <c r="Z192" s="79">
        <v>0.3</v>
      </c>
      <c r="AA192" s="80"/>
      <c r="AB192" s="81">
        <f t="shared" si="380"/>
        <v>0</v>
      </c>
      <c r="AC192" s="81"/>
      <c r="AD192" s="81">
        <f t="shared" si="416"/>
        <v>0</v>
      </c>
      <c r="AE192" s="81"/>
      <c r="AF192" s="167"/>
      <c r="AG192" s="264"/>
      <c r="AH192" s="264" t="e">
        <f t="shared" si="365"/>
        <v>#DIV/0!</v>
      </c>
      <c r="AI192" s="77"/>
      <c r="AJ192" s="79">
        <f t="shared" si="463"/>
        <v>0</v>
      </c>
      <c r="AK192" s="82">
        <f t="shared" si="464"/>
        <v>0</v>
      </c>
      <c r="AL192" s="82"/>
      <c r="AM192" s="82">
        <f t="shared" si="440"/>
        <v>0</v>
      </c>
      <c r="AN192" s="82"/>
      <c r="AO192" s="82"/>
      <c r="AP192" s="82"/>
      <c r="AR192" s="77"/>
    </row>
    <row r="193" spans="1:66" s="113" customFormat="1">
      <c r="A193" s="113" t="s">
        <v>262</v>
      </c>
      <c r="B193" s="113" t="s">
        <v>314</v>
      </c>
      <c r="C193" s="126" t="s">
        <v>315</v>
      </c>
      <c r="D193" s="127" t="s">
        <v>87</v>
      </c>
      <c r="E193" s="127" t="s">
        <v>261</v>
      </c>
      <c r="F193" s="126"/>
      <c r="G193" s="126"/>
      <c r="H193" s="123">
        <v>871</v>
      </c>
      <c r="I193" s="125">
        <v>18.11</v>
      </c>
      <c r="J193" s="123">
        <v>11709</v>
      </c>
      <c r="K193" s="124">
        <v>0.03</v>
      </c>
      <c r="L193" s="123">
        <f t="shared" si="433"/>
        <v>11357.73</v>
      </c>
      <c r="M193" s="122">
        <f t="shared" si="415"/>
        <v>13.039873708381171</v>
      </c>
      <c r="N193" s="125"/>
      <c r="O193" s="125"/>
      <c r="P193" s="125"/>
      <c r="Q193" s="125"/>
      <c r="R193" s="125"/>
      <c r="S193" s="154">
        <v>6.87</v>
      </c>
      <c r="T193" s="129"/>
      <c r="U193" s="113" t="s">
        <v>761</v>
      </c>
      <c r="V193" s="115" t="s">
        <v>103</v>
      </c>
      <c r="W193" s="115"/>
      <c r="X193" s="120">
        <v>0.28000000000000003</v>
      </c>
      <c r="Y193" s="120"/>
      <c r="Z193" s="118">
        <v>0.38</v>
      </c>
      <c r="AA193" s="119">
        <v>45764</v>
      </c>
      <c r="AB193" s="117">
        <f t="shared" si="380"/>
        <v>116</v>
      </c>
      <c r="AC193" s="117">
        <f>AB193*X193</f>
        <v>32.480000000000004</v>
      </c>
      <c r="AD193" s="117">
        <f t="shared" si="416"/>
        <v>184.44953520000001</v>
      </c>
      <c r="AE193" s="117">
        <f>IFERROR((AD193/I193),"")</f>
        <v>10.184955008282717</v>
      </c>
      <c r="AF193" s="170">
        <f>IFERROR(((AE193-S193)/AE193),"")</f>
        <v>0.32547566538947831</v>
      </c>
      <c r="AG193" s="265"/>
      <c r="AH193" s="265">
        <f t="shared" si="365"/>
        <v>0</v>
      </c>
      <c r="AI193" s="115">
        <v>8</v>
      </c>
      <c r="AJ193" s="118">
        <f t="shared" si="463"/>
        <v>39.569535200000018</v>
      </c>
      <c r="AK193" s="116">
        <f t="shared" si="464"/>
        <v>2.1849550082827176</v>
      </c>
      <c r="AL193" s="116"/>
      <c r="AM193" s="116">
        <f t="shared" si="440"/>
        <v>17.786378988722134</v>
      </c>
      <c r="AN193" s="116"/>
      <c r="AO193" s="116"/>
      <c r="AP193" s="116"/>
      <c r="AR193" s="115" t="s">
        <v>269</v>
      </c>
      <c r="AS193" s="113">
        <v>124</v>
      </c>
      <c r="AT193" s="113">
        <v>116</v>
      </c>
      <c r="AU193" s="113">
        <v>125</v>
      </c>
      <c r="AV193" s="113">
        <v>149</v>
      </c>
      <c r="AW193" s="113">
        <v>101</v>
      </c>
      <c r="AX193" s="113">
        <v>94</v>
      </c>
      <c r="AY193" s="113">
        <v>103</v>
      </c>
    </row>
    <row r="194" spans="1:66" s="113" customFormat="1" ht="14.45" customHeight="1">
      <c r="A194" s="113" t="s">
        <v>262</v>
      </c>
      <c r="B194" s="113" t="s">
        <v>314</v>
      </c>
      <c r="C194" s="126" t="s">
        <v>315</v>
      </c>
      <c r="D194" s="127" t="s">
        <v>87</v>
      </c>
      <c r="E194" s="127" t="s">
        <v>261</v>
      </c>
      <c r="F194" s="126"/>
      <c r="G194" s="126"/>
      <c r="H194" s="123">
        <v>871</v>
      </c>
      <c r="I194" s="125">
        <v>18.11</v>
      </c>
      <c r="J194" s="123">
        <v>11709</v>
      </c>
      <c r="K194" s="124">
        <v>0.03</v>
      </c>
      <c r="L194" s="123">
        <f t="shared" si="433"/>
        <v>11357.73</v>
      </c>
      <c r="M194" s="122">
        <f t="shared" si="415"/>
        <v>13.039873708381171</v>
      </c>
      <c r="N194" s="125"/>
      <c r="O194" s="125"/>
      <c r="P194" s="125"/>
      <c r="Q194" s="125"/>
      <c r="R194" s="125"/>
      <c r="S194" s="154">
        <v>6.87</v>
      </c>
      <c r="T194" s="129"/>
      <c r="U194" s="113" t="s">
        <v>365</v>
      </c>
      <c r="V194" s="115" t="s">
        <v>366</v>
      </c>
      <c r="W194" s="115"/>
      <c r="X194" s="120">
        <v>0.28000000000000003</v>
      </c>
      <c r="Y194" s="120"/>
      <c r="Z194" s="118">
        <v>0.38</v>
      </c>
      <c r="AA194" s="119">
        <v>45764</v>
      </c>
      <c r="AB194" s="117">
        <f t="shared" si="380"/>
        <v>141.41666666666666</v>
      </c>
      <c r="AC194" s="117">
        <f>AB194*X194</f>
        <v>39.596666666666671</v>
      </c>
      <c r="AD194" s="117">
        <f t="shared" si="416"/>
        <v>224.86412444999999</v>
      </c>
      <c r="AE194" s="117">
        <f>IFERROR((AD194/I194),"")</f>
        <v>12.416572305356157</v>
      </c>
      <c r="AF194" s="170">
        <f>IFERROR(((AE194-S194)/AE194),"")</f>
        <v>0.44670720460940117</v>
      </c>
      <c r="AG194" s="265"/>
      <c r="AH194" s="265">
        <f t="shared" si="365"/>
        <v>0</v>
      </c>
      <c r="AI194" s="115">
        <v>8</v>
      </c>
      <c r="AJ194" s="118">
        <f t="shared" si="463"/>
        <v>79.984124449999996</v>
      </c>
      <c r="AK194" s="116">
        <f t="shared" si="464"/>
        <v>4.4165723053561567</v>
      </c>
      <c r="AL194" s="116"/>
      <c r="AM194" s="116">
        <f t="shared" si="440"/>
        <v>35.952607058897563</v>
      </c>
      <c r="AN194" s="116"/>
      <c r="AO194" s="116"/>
      <c r="AP194" s="116"/>
      <c r="AR194" s="115" t="s">
        <v>269</v>
      </c>
      <c r="AS194" s="113">
        <v>159</v>
      </c>
      <c r="AT194" s="113">
        <v>142</v>
      </c>
      <c r="AU194" s="113">
        <v>133</v>
      </c>
      <c r="AV194" s="113">
        <v>162</v>
      </c>
      <c r="AW194" s="113">
        <v>148</v>
      </c>
      <c r="AX194" s="113">
        <v>175</v>
      </c>
      <c r="AY194" s="113">
        <v>143</v>
      </c>
      <c r="AZ194" s="113">
        <v>150</v>
      </c>
      <c r="BA194" s="113">
        <v>112</v>
      </c>
      <c r="BB194" s="113">
        <v>127</v>
      </c>
      <c r="BC194" s="113">
        <v>113</v>
      </c>
      <c r="BD194" s="113">
        <v>133</v>
      </c>
    </row>
    <row r="195" spans="1:66" s="63" customFormat="1">
      <c r="A195" s="63" t="s">
        <v>262</v>
      </c>
      <c r="B195" s="63" t="s">
        <v>316</v>
      </c>
      <c r="C195" s="64" t="s">
        <v>317</v>
      </c>
      <c r="D195" s="65" t="s">
        <v>87</v>
      </c>
      <c r="E195" s="66" t="s">
        <v>261</v>
      </c>
      <c r="F195" s="68"/>
      <c r="G195" s="68"/>
      <c r="H195" s="69">
        <v>807</v>
      </c>
      <c r="I195" s="74">
        <v>4.5999999999999996</v>
      </c>
      <c r="J195" s="69">
        <v>3709</v>
      </c>
      <c r="K195" s="72"/>
      <c r="L195" s="69">
        <f t="shared" si="433"/>
        <v>3709</v>
      </c>
      <c r="M195" s="86">
        <f t="shared" si="415"/>
        <v>4.596034696406444</v>
      </c>
      <c r="N195" s="79"/>
      <c r="O195" s="79"/>
      <c r="P195" s="79"/>
      <c r="Q195" s="79"/>
      <c r="R195" s="79"/>
      <c r="S195" s="84">
        <v>6.77</v>
      </c>
      <c r="T195" s="85"/>
      <c r="V195" s="77"/>
      <c r="W195" s="77"/>
      <c r="X195" s="78"/>
      <c r="Y195" s="78"/>
      <c r="Z195" s="79"/>
      <c r="AA195" s="80"/>
      <c r="AB195" s="81"/>
      <c r="AC195" s="81"/>
      <c r="AD195" s="81">
        <f t="shared" si="416"/>
        <v>0</v>
      </c>
      <c r="AE195" s="81"/>
      <c r="AF195" s="167"/>
      <c r="AG195" s="264"/>
      <c r="AH195" s="264" t="e">
        <f t="shared" si="365"/>
        <v>#DIV/0!</v>
      </c>
      <c r="AI195" s="77"/>
      <c r="AJ195" s="79">
        <f t="shared" si="463"/>
        <v>0</v>
      </c>
      <c r="AK195" s="82">
        <f t="shared" si="464"/>
        <v>0</v>
      </c>
      <c r="AL195" s="82"/>
      <c r="AM195" s="82"/>
      <c r="AN195" s="82"/>
      <c r="AO195" s="82"/>
      <c r="AP195" s="82"/>
      <c r="AR195" s="77"/>
    </row>
    <row r="196" spans="1:66" s="113" customFormat="1">
      <c r="A196" s="113" t="s">
        <v>262</v>
      </c>
      <c r="B196" s="113" t="s">
        <v>762</v>
      </c>
      <c r="C196" s="114" t="s">
        <v>763</v>
      </c>
      <c r="D196" s="128" t="s">
        <v>87</v>
      </c>
      <c r="E196" s="127" t="s">
        <v>261</v>
      </c>
      <c r="F196" s="126">
        <v>667</v>
      </c>
      <c r="G196" s="126" t="s">
        <v>90</v>
      </c>
      <c r="H196" s="123">
        <v>806.66666666666663</v>
      </c>
      <c r="I196" s="125">
        <v>34.57</v>
      </c>
      <c r="J196" s="123">
        <v>27381</v>
      </c>
      <c r="K196" s="124"/>
      <c r="L196" s="123">
        <f t="shared" si="433"/>
        <v>27381</v>
      </c>
      <c r="M196" s="122">
        <f t="shared" si="415"/>
        <v>33.943388429752069</v>
      </c>
      <c r="N196" s="118"/>
      <c r="O196" s="118">
        <v>7.95</v>
      </c>
      <c r="P196" s="118">
        <v>10.97</v>
      </c>
      <c r="Q196" s="118">
        <v>10.23</v>
      </c>
      <c r="R196" s="118">
        <v>8.6</v>
      </c>
      <c r="S196" s="153">
        <v>8.48</v>
      </c>
      <c r="T196" s="121">
        <f t="shared" ref="T196:T215" si="469">AVERAGE(N196:S196)</f>
        <v>9.2460000000000004</v>
      </c>
      <c r="U196" s="113" t="s">
        <v>365</v>
      </c>
      <c r="V196" s="115" t="s">
        <v>103</v>
      </c>
      <c r="W196" s="115"/>
      <c r="X196" s="120">
        <v>0.31</v>
      </c>
      <c r="Y196" s="120"/>
      <c r="Z196" s="118">
        <v>0.38</v>
      </c>
      <c r="AA196" s="119">
        <v>45769</v>
      </c>
      <c r="AB196" s="117">
        <f t="shared" ref="AB196:AB219" si="470">IFERROR(AVERAGE(AS196:CP196),0)</f>
        <v>91.3125</v>
      </c>
      <c r="AC196" s="117">
        <f t="shared" ref="AC196:AC247" si="471">AB196*X196</f>
        <v>28.306875000000002</v>
      </c>
      <c r="AD196" s="117">
        <f t="shared" si="416"/>
        <v>387.53527218750003</v>
      </c>
      <c r="AE196" s="117">
        <f t="shared" ref="AE196:AE235" si="472">IFERROR((AD196/I196),"")</f>
        <v>11.210161185637837</v>
      </c>
      <c r="AF196" s="170">
        <f t="shared" ref="AF196:AF211" si="473">IFERROR(((AE196-S196)/AE196),"")</f>
        <v>0.24354343710379892</v>
      </c>
      <c r="AG196" s="265"/>
      <c r="AH196" s="265">
        <f t="shared" si="365"/>
        <v>0</v>
      </c>
      <c r="AI196" s="115">
        <v>8</v>
      </c>
      <c r="AJ196" s="118">
        <f t="shared" si="463"/>
        <v>110.97527218750002</v>
      </c>
      <c r="AK196" s="116">
        <f t="shared" si="464"/>
        <v>3.2101611856378369</v>
      </c>
      <c r="AL196" s="116">
        <f>(((AI196*M196)*2000)/L196)/X196</f>
        <v>63.982937883231145</v>
      </c>
      <c r="AM196" s="116">
        <f t="shared" ref="AM196:AM208" si="474">((AJ196*2000)/Z196)/J196</f>
        <v>21.331594168737837</v>
      </c>
      <c r="AN196" s="116" t="s">
        <v>701</v>
      </c>
      <c r="AO196" s="116"/>
      <c r="AP196" s="116"/>
      <c r="AR196" s="115" t="s">
        <v>116</v>
      </c>
      <c r="AS196" s="113">
        <v>75</v>
      </c>
      <c r="AT196" s="113">
        <v>80</v>
      </c>
      <c r="AU196" s="113">
        <v>107</v>
      </c>
      <c r="AV196" s="113">
        <v>67</v>
      </c>
      <c r="AW196" s="113">
        <v>90</v>
      </c>
      <c r="AX196" s="113">
        <v>95</v>
      </c>
      <c r="AY196" s="113">
        <v>81</v>
      </c>
      <c r="AZ196" s="113">
        <v>97</v>
      </c>
      <c r="BA196" s="113">
        <v>75</v>
      </c>
      <c r="BB196" s="113">
        <v>103</v>
      </c>
      <c r="BC196" s="113">
        <v>89</v>
      </c>
      <c r="BD196" s="113">
        <v>112</v>
      </c>
      <c r="BE196" s="113">
        <v>105</v>
      </c>
      <c r="BF196" s="113">
        <v>95</v>
      </c>
      <c r="BG196" s="113">
        <v>88</v>
      </c>
      <c r="BH196" s="113">
        <v>102</v>
      </c>
    </row>
    <row r="197" spans="1:66" s="113" customFormat="1">
      <c r="A197" s="113" t="s">
        <v>262</v>
      </c>
      <c r="B197" s="113" t="s">
        <v>762</v>
      </c>
      <c r="C197" s="114" t="s">
        <v>763</v>
      </c>
      <c r="D197" s="128" t="s">
        <v>87</v>
      </c>
      <c r="E197" s="127" t="s">
        <v>261</v>
      </c>
      <c r="F197" s="126">
        <v>667</v>
      </c>
      <c r="G197" s="126" t="s">
        <v>90</v>
      </c>
      <c r="H197" s="123">
        <v>806.66666666666663</v>
      </c>
      <c r="I197" s="125">
        <v>34.57</v>
      </c>
      <c r="J197" s="123">
        <v>27381</v>
      </c>
      <c r="K197" s="124"/>
      <c r="L197" s="123">
        <f t="shared" si="433"/>
        <v>27381</v>
      </c>
      <c r="M197" s="122">
        <f t="shared" si="415"/>
        <v>33.943388429752069</v>
      </c>
      <c r="N197" s="118"/>
      <c r="O197" s="118">
        <v>7.95</v>
      </c>
      <c r="P197" s="118">
        <v>10.97</v>
      </c>
      <c r="Q197" s="118">
        <v>10.23</v>
      </c>
      <c r="R197" s="118">
        <v>8.6</v>
      </c>
      <c r="S197" s="153">
        <v>8.48</v>
      </c>
      <c r="T197" s="121">
        <f t="shared" si="469"/>
        <v>9.2460000000000004</v>
      </c>
      <c r="U197" s="113" t="s">
        <v>365</v>
      </c>
      <c r="V197" s="115" t="s">
        <v>103</v>
      </c>
      <c r="W197" s="115"/>
      <c r="X197" s="120">
        <v>0.31</v>
      </c>
      <c r="Y197" s="120"/>
      <c r="Z197" s="118">
        <v>0.38</v>
      </c>
      <c r="AA197" s="119">
        <v>45789</v>
      </c>
      <c r="AB197" s="117">
        <f t="shared" si="470"/>
        <v>93.75</v>
      </c>
      <c r="AC197" s="117">
        <f t="shared" si="471"/>
        <v>29.0625</v>
      </c>
      <c r="AD197" s="117">
        <f t="shared" si="416"/>
        <v>397.88015625000003</v>
      </c>
      <c r="AE197" s="117">
        <f t="shared" si="472"/>
        <v>11.509405734741106</v>
      </c>
      <c r="AF197" s="170">
        <f t="shared" si="473"/>
        <v>0.26321130773910018</v>
      </c>
      <c r="AG197" s="265"/>
      <c r="AH197" s="265">
        <f t="shared" ref="AH197:AH260" si="475">(((AG197*M197)*2000)/L197)/AB197</f>
        <v>0</v>
      </c>
      <c r="AI197" s="115">
        <v>8</v>
      </c>
      <c r="AJ197" s="118">
        <f t="shared" si="463"/>
        <v>121.32015625000003</v>
      </c>
      <c r="AK197" s="116">
        <f t="shared" si="464"/>
        <v>3.5094057347411058</v>
      </c>
      <c r="AL197" s="116">
        <f>(((AI197*M197)*2000)/L197)/X197</f>
        <v>63.982937883231145</v>
      </c>
      <c r="AM197" s="116">
        <f t="shared" si="474"/>
        <v>23.320081010843097</v>
      </c>
      <c r="AN197" s="116" t="s">
        <v>701</v>
      </c>
      <c r="AO197" s="116"/>
      <c r="AP197" s="116"/>
      <c r="AR197" s="115" t="s">
        <v>116</v>
      </c>
      <c r="AS197" s="113">
        <v>93</v>
      </c>
      <c r="AT197" s="113">
        <v>101</v>
      </c>
      <c r="AU197" s="113">
        <v>99</v>
      </c>
      <c r="AV197" s="113">
        <v>105</v>
      </c>
      <c r="AW197" s="113">
        <v>115</v>
      </c>
      <c r="AX197" s="113">
        <v>104</v>
      </c>
      <c r="AY197" s="113">
        <v>108</v>
      </c>
      <c r="AZ197" s="113">
        <v>102</v>
      </c>
      <c r="BA197" s="113">
        <v>113</v>
      </c>
      <c r="BB197" s="113">
        <v>98</v>
      </c>
      <c r="BC197" s="113">
        <v>103</v>
      </c>
      <c r="BD197" s="113">
        <v>96</v>
      </c>
      <c r="BE197" s="113">
        <v>85</v>
      </c>
      <c r="BF197" s="113">
        <v>79</v>
      </c>
      <c r="BG197" s="113">
        <v>82</v>
      </c>
      <c r="BH197" s="113">
        <v>69</v>
      </c>
      <c r="BI197" s="113">
        <v>81</v>
      </c>
      <c r="BJ197" s="113">
        <v>79</v>
      </c>
      <c r="BK197" s="113">
        <v>83</v>
      </c>
      <c r="BL197" s="113">
        <v>80</v>
      </c>
    </row>
    <row r="198" spans="1:66" s="113" customFormat="1">
      <c r="A198" s="113" t="s">
        <v>262</v>
      </c>
      <c r="B198" s="113" t="s">
        <v>762</v>
      </c>
      <c r="C198" s="114" t="s">
        <v>763</v>
      </c>
      <c r="D198" s="128" t="s">
        <v>87</v>
      </c>
      <c r="E198" s="127" t="s">
        <v>261</v>
      </c>
      <c r="F198" s="126">
        <v>667</v>
      </c>
      <c r="G198" s="126" t="s">
        <v>90</v>
      </c>
      <c r="H198" s="123">
        <v>806.66666666666663</v>
      </c>
      <c r="I198" s="125">
        <v>34.57</v>
      </c>
      <c r="J198" s="123">
        <v>27381</v>
      </c>
      <c r="K198" s="124"/>
      <c r="L198" s="123">
        <f t="shared" ref="L198" si="476">J198-(J198*K198)</f>
        <v>27381</v>
      </c>
      <c r="M198" s="122">
        <f t="shared" ref="M198" si="477">L198/H198</f>
        <v>33.943388429752069</v>
      </c>
      <c r="N198" s="118"/>
      <c r="O198" s="118">
        <v>7.95</v>
      </c>
      <c r="P198" s="118">
        <v>10.97</v>
      </c>
      <c r="Q198" s="118">
        <v>10.23</v>
      </c>
      <c r="R198" s="118">
        <v>8.6</v>
      </c>
      <c r="S198" s="153">
        <v>8.48</v>
      </c>
      <c r="T198" s="121">
        <f t="shared" ref="T198" si="478">AVERAGE(N198:S198)</f>
        <v>9.2460000000000004</v>
      </c>
      <c r="U198" s="113" t="s">
        <v>365</v>
      </c>
      <c r="V198" s="115" t="s">
        <v>103</v>
      </c>
      <c r="W198" s="115"/>
      <c r="X198" s="120">
        <v>0.31</v>
      </c>
      <c r="Y198" s="120"/>
      <c r="Z198" s="118">
        <v>0.38</v>
      </c>
      <c r="AA198" s="119">
        <v>45848</v>
      </c>
      <c r="AB198" s="117">
        <f t="shared" ref="AB198" si="479">IFERROR(AVERAGE(AS198:CP198),0)</f>
        <v>98.909090909090907</v>
      </c>
      <c r="AC198" s="117">
        <f t="shared" ref="AC198" si="480">AB198*X198</f>
        <v>30.66181818181818</v>
      </c>
      <c r="AD198" s="117">
        <f t="shared" ref="AD198" si="481">(AC198*L198)/2000</f>
        <v>419.77562181818183</v>
      </c>
      <c r="AE198" s="117">
        <f t="shared" ref="AE198" si="482">IFERROR((AD198/I198),"")</f>
        <v>12.142771820022617</v>
      </c>
      <c r="AF198" s="170">
        <f t="shared" ref="AF198" si="483">IFERROR(((AE198-S198)/AE198),"")</f>
        <v>0.3016421517517896</v>
      </c>
      <c r="AG198" s="265"/>
      <c r="AH198" s="265">
        <f t="shared" si="475"/>
        <v>0</v>
      </c>
      <c r="AI198" s="115">
        <v>8</v>
      </c>
      <c r="AJ198" s="118">
        <f t="shared" ref="AJ198" si="484">AD198-(AI198*I198)</f>
        <v>143.21562181818183</v>
      </c>
      <c r="AK198" s="116">
        <f t="shared" ref="AK198" si="485">AJ198/I198</f>
        <v>4.1427718200226158</v>
      </c>
      <c r="AL198" s="116">
        <f>(((AI198*M198)*2000)/L198)/X198</f>
        <v>63.982937883231145</v>
      </c>
      <c r="AM198" s="116">
        <f t="shared" ref="AM198" si="486">((AJ198*2000)/Z198)/J198</f>
        <v>27.52881306825936</v>
      </c>
      <c r="AN198" s="116" t="s">
        <v>701</v>
      </c>
      <c r="AO198" s="116"/>
      <c r="AP198" s="116"/>
      <c r="AR198" s="115" t="s">
        <v>346</v>
      </c>
      <c r="AS198" s="113">
        <v>97</v>
      </c>
      <c r="AT198" s="113">
        <v>114</v>
      </c>
      <c r="AU198" s="113">
        <v>103</v>
      </c>
      <c r="AV198" s="113">
        <v>82</v>
      </c>
      <c r="AW198" s="113">
        <v>116</v>
      </c>
      <c r="AX198" s="113">
        <v>99</v>
      </c>
      <c r="AY198" s="113">
        <v>103</v>
      </c>
      <c r="AZ198" s="113">
        <v>88</v>
      </c>
      <c r="BA198" s="113">
        <v>82</v>
      </c>
      <c r="BB198" s="113">
        <v>114</v>
      </c>
      <c r="BC198" s="113">
        <v>90</v>
      </c>
    </row>
    <row r="199" spans="1:66" s="113" customFormat="1">
      <c r="A199" s="113" t="s">
        <v>262</v>
      </c>
      <c r="B199" s="113" t="s">
        <v>762</v>
      </c>
      <c r="C199" s="114" t="s">
        <v>763</v>
      </c>
      <c r="D199" s="128" t="s">
        <v>87</v>
      </c>
      <c r="E199" s="127" t="s">
        <v>261</v>
      </c>
      <c r="F199" s="126">
        <v>667</v>
      </c>
      <c r="G199" s="126" t="s">
        <v>90</v>
      </c>
      <c r="H199" s="123">
        <v>806.66666666666663</v>
      </c>
      <c r="I199" s="125">
        <v>34.57</v>
      </c>
      <c r="J199" s="123">
        <v>27381</v>
      </c>
      <c r="K199" s="124"/>
      <c r="L199" s="123">
        <f t="shared" ref="L199" si="487">J199-(J199*K199)</f>
        <v>27381</v>
      </c>
      <c r="M199" s="122">
        <f t="shared" ref="M199" si="488">L199/H199</f>
        <v>33.943388429752069</v>
      </c>
      <c r="N199" s="118"/>
      <c r="O199" s="118">
        <v>7.95</v>
      </c>
      <c r="P199" s="118">
        <v>10.97</v>
      </c>
      <c r="Q199" s="118">
        <v>10.23</v>
      </c>
      <c r="R199" s="118">
        <v>8.6</v>
      </c>
      <c r="S199" s="153">
        <v>8.48</v>
      </c>
      <c r="T199" s="121">
        <f t="shared" ref="T199" si="489">AVERAGE(N199:S199)</f>
        <v>9.2460000000000004</v>
      </c>
      <c r="U199" s="113" t="s">
        <v>365</v>
      </c>
      <c r="V199" s="115" t="s">
        <v>103</v>
      </c>
      <c r="W199" s="115"/>
      <c r="X199" s="120">
        <v>0.31</v>
      </c>
      <c r="Y199" s="120"/>
      <c r="Z199" s="118">
        <v>0.38</v>
      </c>
      <c r="AA199" s="119">
        <v>45848</v>
      </c>
      <c r="AB199" s="117">
        <f t="shared" ref="AB199" si="490">IFERROR(AVERAGE(AS199:CP199),0)</f>
        <v>92.714285714285708</v>
      </c>
      <c r="AC199" s="117">
        <f t="shared" ref="AC199" si="491">AB199*X199</f>
        <v>28.741428571428571</v>
      </c>
      <c r="AD199" s="117">
        <f t="shared" ref="AD199" si="492">(AC199*L199)/2000</f>
        <v>393.48452785714284</v>
      </c>
      <c r="AE199" s="117">
        <f t="shared" ref="AE199" si="493">IFERROR((AD199/I199),"")</f>
        <v>11.382254204719203</v>
      </c>
      <c r="AF199" s="170">
        <f t="shared" ref="AF199" si="494">IFERROR(((AE199-S199)/AE199),"")</f>
        <v>0.25498061741723332</v>
      </c>
      <c r="AG199" s="265"/>
      <c r="AH199" s="265">
        <f t="shared" si="475"/>
        <v>0</v>
      </c>
      <c r="AI199" s="115">
        <v>8</v>
      </c>
      <c r="AJ199" s="118">
        <f t="shared" ref="AJ199" si="495">AD199-(AI199*I199)</f>
        <v>116.92452785714283</v>
      </c>
      <c r="AK199" s="116">
        <f t="shared" ref="AK199" si="496">AJ199/I199</f>
        <v>3.3822542047192026</v>
      </c>
      <c r="AL199" s="116">
        <f>(((AI199*M199)*2000)/L199)/X199</f>
        <v>63.982937883231145</v>
      </c>
      <c r="AM199" s="116">
        <f t="shared" ref="AM199" si="497">((AJ199*2000)/Z199)/J199</f>
        <v>22.475156198813014</v>
      </c>
      <c r="AN199" s="116" t="s">
        <v>701</v>
      </c>
      <c r="AO199" s="116"/>
      <c r="AP199" s="116"/>
      <c r="AR199" s="115" t="s">
        <v>346</v>
      </c>
      <c r="AS199" s="113">
        <v>97</v>
      </c>
      <c r="AT199" s="113">
        <v>114</v>
      </c>
      <c r="AU199" s="113">
        <v>103</v>
      </c>
      <c r="AV199" s="113">
        <v>82</v>
      </c>
      <c r="AW199" s="113">
        <v>116</v>
      </c>
      <c r="AX199" s="113">
        <v>99</v>
      </c>
      <c r="AY199" s="113">
        <v>103</v>
      </c>
      <c r="AZ199" s="113">
        <v>88</v>
      </c>
      <c r="BA199" s="113">
        <v>82</v>
      </c>
      <c r="BB199" s="113">
        <v>114</v>
      </c>
      <c r="BC199" s="113">
        <v>90</v>
      </c>
      <c r="BE199" s="113">
        <v>113</v>
      </c>
      <c r="BF199" s="113">
        <v>80</v>
      </c>
      <c r="BG199" s="113">
        <v>95</v>
      </c>
      <c r="BH199" s="113">
        <v>76</v>
      </c>
      <c r="BI199" s="113">
        <v>75</v>
      </c>
      <c r="BJ199" s="113">
        <v>62</v>
      </c>
      <c r="BK199" s="113">
        <v>96</v>
      </c>
      <c r="BL199" s="113">
        <v>96</v>
      </c>
      <c r="BM199" s="113">
        <v>82</v>
      </c>
      <c r="BN199" s="113">
        <v>84</v>
      </c>
    </row>
    <row r="200" spans="1:66" s="63" customFormat="1" ht="14.45" customHeight="1">
      <c r="A200" s="63" t="s">
        <v>262</v>
      </c>
      <c r="B200" s="63" t="s">
        <v>318</v>
      </c>
      <c r="C200" s="64" t="s">
        <v>319</v>
      </c>
      <c r="D200" s="65" t="s">
        <v>87</v>
      </c>
      <c r="E200" s="66" t="s">
        <v>261</v>
      </c>
      <c r="F200" s="68" t="s">
        <v>320</v>
      </c>
      <c r="G200" s="68" t="s">
        <v>204</v>
      </c>
      <c r="H200" s="69">
        <v>806.66666666666663</v>
      </c>
      <c r="I200" s="74">
        <v>45.71</v>
      </c>
      <c r="J200" s="69">
        <v>36610</v>
      </c>
      <c r="K200" s="72">
        <v>0.05</v>
      </c>
      <c r="L200" s="69">
        <f t="shared" si="433"/>
        <v>34779.5</v>
      </c>
      <c r="M200" s="86">
        <f t="shared" si="415"/>
        <v>43.115082644628103</v>
      </c>
      <c r="N200" s="79"/>
      <c r="O200" s="79">
        <v>7.1</v>
      </c>
      <c r="P200" s="79">
        <v>11.32</v>
      </c>
      <c r="Q200" s="79">
        <v>10.95</v>
      </c>
      <c r="R200" s="79">
        <v>9.01</v>
      </c>
      <c r="S200" s="84">
        <v>7.29</v>
      </c>
      <c r="T200" s="85">
        <f t="shared" si="469"/>
        <v>9.1340000000000003</v>
      </c>
      <c r="U200" s="63" t="s">
        <v>365</v>
      </c>
      <c r="V200" s="77" t="s">
        <v>366</v>
      </c>
      <c r="W200" s="77"/>
      <c r="X200" s="78">
        <v>0.26</v>
      </c>
      <c r="Y200" s="78"/>
      <c r="Z200" s="79">
        <v>0.38</v>
      </c>
      <c r="AA200" s="80">
        <v>45762</v>
      </c>
      <c r="AB200" s="81">
        <f t="shared" si="470"/>
        <v>133</v>
      </c>
      <c r="AC200" s="81">
        <f t="shared" si="471"/>
        <v>34.58</v>
      </c>
      <c r="AD200" s="81">
        <f t="shared" si="416"/>
        <v>601.33755499999995</v>
      </c>
      <c r="AE200" s="81">
        <f t="shared" si="472"/>
        <v>13.155492343032158</v>
      </c>
      <c r="AF200" s="167">
        <f t="shared" si="473"/>
        <v>0.44585882383480935</v>
      </c>
      <c r="AG200" s="264">
        <v>9.5299999999999994</v>
      </c>
      <c r="AH200" s="264">
        <f t="shared" si="475"/>
        <v>0.1776548810041633</v>
      </c>
      <c r="AI200" s="77">
        <v>8</v>
      </c>
      <c r="AJ200" s="79">
        <f t="shared" si="463"/>
        <v>235.65755499999995</v>
      </c>
      <c r="AK200" s="82">
        <f t="shared" si="464"/>
        <v>5.155492343032158</v>
      </c>
      <c r="AL200" s="82">
        <f>(((AI200*M200)*2000)/L200)/Z200</f>
        <v>52.19660722053068</v>
      </c>
      <c r="AM200" s="82">
        <f t="shared" si="474"/>
        <v>33.878801449129504</v>
      </c>
      <c r="AN200" s="82" t="s">
        <v>701</v>
      </c>
      <c r="AO200" s="82"/>
      <c r="AP200" s="82"/>
      <c r="AR200" s="77" t="s">
        <v>269</v>
      </c>
      <c r="AS200" s="63">
        <v>147</v>
      </c>
      <c r="AT200" s="63">
        <v>139</v>
      </c>
      <c r="AU200" s="63">
        <v>113</v>
      </c>
    </row>
    <row r="201" spans="1:66" s="63" customFormat="1" ht="14.45" customHeight="1">
      <c r="A201" s="63" t="s">
        <v>262</v>
      </c>
      <c r="B201" s="63" t="s">
        <v>318</v>
      </c>
      <c r="C201" s="64" t="s">
        <v>319</v>
      </c>
      <c r="D201" s="65" t="s">
        <v>87</v>
      </c>
      <c r="E201" s="66" t="s">
        <v>261</v>
      </c>
      <c r="F201" s="68" t="s">
        <v>320</v>
      </c>
      <c r="G201" s="68" t="s">
        <v>204</v>
      </c>
      <c r="H201" s="69">
        <v>806.66666666666663</v>
      </c>
      <c r="I201" s="74">
        <v>45.71</v>
      </c>
      <c r="J201" s="69">
        <v>36610</v>
      </c>
      <c r="K201" s="72">
        <v>0.05</v>
      </c>
      <c r="L201" s="69">
        <f t="shared" si="433"/>
        <v>34779.5</v>
      </c>
      <c r="M201" s="86">
        <f t="shared" si="415"/>
        <v>43.115082644628103</v>
      </c>
      <c r="N201" s="79"/>
      <c r="O201" s="79">
        <v>7.1</v>
      </c>
      <c r="P201" s="79">
        <v>11.32</v>
      </c>
      <c r="Q201" s="79">
        <v>10.95</v>
      </c>
      <c r="R201" s="79">
        <v>9.01</v>
      </c>
      <c r="S201" s="84">
        <v>7.29</v>
      </c>
      <c r="T201" s="85">
        <f t="shared" si="469"/>
        <v>9.1340000000000003</v>
      </c>
      <c r="U201" s="63" t="s">
        <v>365</v>
      </c>
      <c r="V201" s="77" t="s">
        <v>366</v>
      </c>
      <c r="W201" s="77"/>
      <c r="X201" s="78">
        <v>0.26</v>
      </c>
      <c r="Y201" s="78"/>
      <c r="Z201" s="79">
        <v>0.38</v>
      </c>
      <c r="AA201" s="80">
        <v>45769</v>
      </c>
      <c r="AB201" s="81">
        <f t="shared" si="470"/>
        <v>118.5625</v>
      </c>
      <c r="AC201" s="81">
        <f t="shared" si="471"/>
        <v>30.826250000000002</v>
      </c>
      <c r="AD201" s="81">
        <f t="shared" si="416"/>
        <v>536.06078093750011</v>
      </c>
      <c r="AE201" s="81">
        <f t="shared" si="472"/>
        <v>11.727429029479328</v>
      </c>
      <c r="AF201" s="167">
        <f t="shared" si="473"/>
        <v>0.37838037802871616</v>
      </c>
      <c r="AG201" s="264">
        <v>9.5299999999999994</v>
      </c>
      <c r="AH201" s="264">
        <f t="shared" si="475"/>
        <v>0.19928813219655217</v>
      </c>
      <c r="AI201" s="77">
        <v>8</v>
      </c>
      <c r="AJ201" s="79">
        <f t="shared" si="463"/>
        <v>170.38078093750011</v>
      </c>
      <c r="AK201" s="82">
        <f t="shared" si="464"/>
        <v>3.7274290294793286</v>
      </c>
      <c r="AL201" s="82">
        <f>(((AI201*M201)*2000)/L201)/Z201</f>
        <v>52.19660722053068</v>
      </c>
      <c r="AM201" s="82">
        <f t="shared" si="474"/>
        <v>24.494426449129527</v>
      </c>
      <c r="AN201" s="82" t="s">
        <v>701</v>
      </c>
      <c r="AO201" s="82"/>
      <c r="AP201" s="82"/>
      <c r="AR201" s="77" t="s">
        <v>116</v>
      </c>
      <c r="AS201" s="63">
        <v>125</v>
      </c>
      <c r="AT201" s="63">
        <v>126</v>
      </c>
      <c r="AU201" s="63">
        <v>130</v>
      </c>
      <c r="AV201" s="63">
        <v>122</v>
      </c>
      <c r="AW201" s="63">
        <v>118</v>
      </c>
      <c r="AX201" s="63">
        <v>127</v>
      </c>
      <c r="AY201" s="63">
        <v>123</v>
      </c>
      <c r="AZ201" s="63">
        <v>112</v>
      </c>
      <c r="BA201" s="63">
        <v>110</v>
      </c>
      <c r="BB201" s="63">
        <v>120</v>
      </c>
      <c r="BC201" s="63">
        <v>116</v>
      </c>
      <c r="BD201" s="63">
        <v>126</v>
      </c>
      <c r="BE201" s="63">
        <v>123</v>
      </c>
      <c r="BF201" s="63">
        <v>113</v>
      </c>
      <c r="BG201" s="63">
        <v>104</v>
      </c>
      <c r="BH201" s="63">
        <v>102</v>
      </c>
    </row>
    <row r="202" spans="1:66" s="63" customFormat="1" ht="13.9" customHeight="1">
      <c r="A202" s="63" t="s">
        <v>262</v>
      </c>
      <c r="B202" s="63" t="s">
        <v>318</v>
      </c>
      <c r="C202" s="64" t="s">
        <v>319</v>
      </c>
      <c r="D202" s="65" t="s">
        <v>87</v>
      </c>
      <c r="E202" s="66" t="s">
        <v>261</v>
      </c>
      <c r="F202" s="68" t="s">
        <v>320</v>
      </c>
      <c r="G202" s="68" t="s">
        <v>204</v>
      </c>
      <c r="H202" s="69">
        <v>806.66666666666663</v>
      </c>
      <c r="I202" s="74">
        <v>45.71</v>
      </c>
      <c r="J202" s="69">
        <v>36610</v>
      </c>
      <c r="K202" s="72">
        <v>0.05</v>
      </c>
      <c r="L202" s="69">
        <f t="shared" si="433"/>
        <v>34779.5</v>
      </c>
      <c r="M202" s="86">
        <f t="shared" si="415"/>
        <v>43.115082644628103</v>
      </c>
      <c r="N202" s="79"/>
      <c r="O202" s="79">
        <v>7.1</v>
      </c>
      <c r="P202" s="79">
        <v>11.32</v>
      </c>
      <c r="Q202" s="79">
        <v>10.95</v>
      </c>
      <c r="R202" s="79">
        <v>9.01</v>
      </c>
      <c r="S202" s="84">
        <v>7.29</v>
      </c>
      <c r="T202" s="85">
        <f t="shared" si="469"/>
        <v>9.1340000000000003</v>
      </c>
      <c r="U202" s="63" t="s">
        <v>764</v>
      </c>
      <c r="V202" s="77" t="s">
        <v>103</v>
      </c>
      <c r="W202" s="77"/>
      <c r="X202" s="78">
        <v>0.26</v>
      </c>
      <c r="Y202" s="78"/>
      <c r="Z202" s="79">
        <v>0.38</v>
      </c>
      <c r="AA202" s="80">
        <v>45770</v>
      </c>
      <c r="AB202" s="81">
        <f t="shared" si="470"/>
        <v>87.666666666666671</v>
      </c>
      <c r="AC202" s="81">
        <f t="shared" si="471"/>
        <v>22.793333333333337</v>
      </c>
      <c r="AD202" s="81">
        <f t="shared" si="416"/>
        <v>396.37036833333343</v>
      </c>
      <c r="AE202" s="81">
        <f t="shared" si="472"/>
        <v>8.6714147524247078</v>
      </c>
      <c r="AF202" s="167">
        <f t="shared" si="473"/>
        <v>0.15930673273798091</v>
      </c>
      <c r="AG202" s="264">
        <v>9.5299999999999994</v>
      </c>
      <c r="AH202" s="264">
        <f t="shared" si="475"/>
        <v>0.26952204380479522</v>
      </c>
      <c r="AI202" s="77">
        <v>8</v>
      </c>
      <c r="AJ202" s="79">
        <f t="shared" si="463"/>
        <v>30.690368333333424</v>
      </c>
      <c r="AK202" s="82">
        <f t="shared" si="464"/>
        <v>0.67141475242470849</v>
      </c>
      <c r="AL202" s="82">
        <f>(((AI202*M202)*2000)/L202)/Z202</f>
        <v>52.19660722053068</v>
      </c>
      <c r="AM202" s="82">
        <f t="shared" si="474"/>
        <v>4.4121347824628625</v>
      </c>
      <c r="AN202" s="82" t="s">
        <v>701</v>
      </c>
      <c r="AO202" s="82"/>
      <c r="AP202" s="82"/>
      <c r="AR202" s="77" t="s">
        <v>282</v>
      </c>
      <c r="AS202" s="63">
        <v>87</v>
      </c>
      <c r="AT202" s="63">
        <v>84</v>
      </c>
      <c r="AU202" s="63">
        <v>91</v>
      </c>
      <c r="AV202" s="63">
        <v>89</v>
      </c>
      <c r="AW202" s="63">
        <v>82</v>
      </c>
      <c r="AX202" s="63">
        <v>88</v>
      </c>
      <c r="AY202" s="63">
        <v>93</v>
      </c>
      <c r="AZ202" s="63">
        <v>96</v>
      </c>
      <c r="BA202" s="63">
        <v>84</v>
      </c>
      <c r="BB202" s="63">
        <v>85</v>
      </c>
      <c r="BC202" s="63">
        <v>92</v>
      </c>
      <c r="BD202" s="63">
        <v>81</v>
      </c>
    </row>
    <row r="203" spans="1:66" s="63" customFormat="1" ht="13.9" customHeight="1">
      <c r="A203" s="63" t="s">
        <v>262</v>
      </c>
      <c r="B203" s="63" t="s">
        <v>318</v>
      </c>
      <c r="C203" s="64" t="s">
        <v>319</v>
      </c>
      <c r="D203" s="65" t="s">
        <v>87</v>
      </c>
      <c r="E203" s="66" t="s">
        <v>261</v>
      </c>
      <c r="F203" s="68" t="s">
        <v>320</v>
      </c>
      <c r="G203" s="68" t="s">
        <v>204</v>
      </c>
      <c r="H203" s="69">
        <v>806.66666666666663</v>
      </c>
      <c r="I203" s="74">
        <v>45.71</v>
      </c>
      <c r="J203" s="69">
        <v>36610</v>
      </c>
      <c r="K203" s="72">
        <v>0.05</v>
      </c>
      <c r="L203" s="69">
        <f t="shared" si="433"/>
        <v>34779.5</v>
      </c>
      <c r="M203" s="86">
        <f t="shared" si="415"/>
        <v>43.115082644628103</v>
      </c>
      <c r="N203" s="79"/>
      <c r="O203" s="79">
        <v>7.1</v>
      </c>
      <c r="P203" s="79">
        <v>11.32</v>
      </c>
      <c r="Q203" s="79">
        <v>10.95</v>
      </c>
      <c r="R203" s="79">
        <v>9.01</v>
      </c>
      <c r="S203" s="84">
        <v>7.29</v>
      </c>
      <c r="T203" s="85">
        <f t="shared" si="469"/>
        <v>9.1340000000000003</v>
      </c>
      <c r="U203" s="63" t="s">
        <v>764</v>
      </c>
      <c r="V203" s="77" t="s">
        <v>103</v>
      </c>
      <c r="W203" s="77"/>
      <c r="X203" s="78">
        <v>0.26</v>
      </c>
      <c r="Y203" s="78"/>
      <c r="Z203" s="79">
        <v>0.38</v>
      </c>
      <c r="AA203" s="80">
        <v>45776</v>
      </c>
      <c r="AB203" s="81">
        <f t="shared" si="470"/>
        <v>91.333333333333329</v>
      </c>
      <c r="AC203" s="81">
        <f t="shared" si="471"/>
        <v>23.746666666666666</v>
      </c>
      <c r="AD203" s="81">
        <f t="shared" si="416"/>
        <v>412.94859666666667</v>
      </c>
      <c r="AE203" s="81">
        <f t="shared" si="472"/>
        <v>9.0340974987238383</v>
      </c>
      <c r="AF203" s="167">
        <f t="shared" si="473"/>
        <v>0.19305719237258734</v>
      </c>
      <c r="AG203" s="264">
        <v>9.5299999999999994</v>
      </c>
      <c r="AH203" s="264">
        <f t="shared" si="475"/>
        <v>0.25870181576883633</v>
      </c>
      <c r="AI203" s="77">
        <v>8</v>
      </c>
      <c r="AJ203" s="79">
        <f t="shared" si="463"/>
        <v>47.268596666666667</v>
      </c>
      <c r="AK203" s="82">
        <f t="shared" si="464"/>
        <v>1.0340974987238387</v>
      </c>
      <c r="AL203" s="82">
        <f>(((AI203*M203)*2000)/L203)/Z203</f>
        <v>52.19660722053068</v>
      </c>
      <c r="AM203" s="82">
        <f t="shared" si="474"/>
        <v>6.795468115796182</v>
      </c>
      <c r="AN203" s="82" t="s">
        <v>701</v>
      </c>
      <c r="AO203" s="82"/>
      <c r="AP203" s="82"/>
      <c r="AR203" s="77" t="s">
        <v>282</v>
      </c>
      <c r="AS203" s="63">
        <v>94</v>
      </c>
      <c r="AT203" s="63">
        <v>83</v>
      </c>
      <c r="AU203" s="63">
        <v>89</v>
      </c>
      <c r="AV203" s="63">
        <v>97</v>
      </c>
      <c r="AW203" s="63">
        <v>86</v>
      </c>
      <c r="AX203" s="63">
        <v>88</v>
      </c>
      <c r="AY203" s="63">
        <v>103</v>
      </c>
      <c r="AZ203" s="63">
        <v>91</v>
      </c>
      <c r="BA203" s="63">
        <v>92</v>
      </c>
      <c r="BB203" s="63">
        <v>99</v>
      </c>
      <c r="BC203" s="63">
        <v>86</v>
      </c>
      <c r="BD203" s="63">
        <v>88</v>
      </c>
    </row>
    <row r="204" spans="1:66" s="63" customFormat="1" ht="13.9" customHeight="1">
      <c r="A204" s="63" t="s">
        <v>262</v>
      </c>
      <c r="B204" s="63" t="s">
        <v>318</v>
      </c>
      <c r="C204" s="64" t="s">
        <v>319</v>
      </c>
      <c r="D204" s="65" t="s">
        <v>87</v>
      </c>
      <c r="E204" s="66" t="s">
        <v>261</v>
      </c>
      <c r="F204" s="68" t="s">
        <v>320</v>
      </c>
      <c r="G204" s="68" t="s">
        <v>204</v>
      </c>
      <c r="H204" s="69">
        <v>806.66666666666663</v>
      </c>
      <c r="I204" s="74">
        <v>45.71</v>
      </c>
      <c r="J204" s="69">
        <v>36610</v>
      </c>
      <c r="K204" s="72">
        <v>0.05</v>
      </c>
      <c r="L204" s="69">
        <f t="shared" ref="L204" si="498">J204-(J204*K204)</f>
        <v>34779.5</v>
      </c>
      <c r="M204" s="86">
        <f t="shared" ref="M204" si="499">L204/H204</f>
        <v>43.115082644628103</v>
      </c>
      <c r="N204" s="79"/>
      <c r="O204" s="79">
        <v>7.1</v>
      </c>
      <c r="P204" s="79">
        <v>11.32</v>
      </c>
      <c r="Q204" s="79">
        <v>10.95</v>
      </c>
      <c r="R204" s="79">
        <v>9.01</v>
      </c>
      <c r="S204" s="84">
        <v>7.29</v>
      </c>
      <c r="T204" s="85">
        <f t="shared" ref="T204" si="500">AVERAGE(N204:S204)</f>
        <v>9.1340000000000003</v>
      </c>
      <c r="U204" s="63" t="s">
        <v>764</v>
      </c>
      <c r="V204" s="77" t="s">
        <v>103</v>
      </c>
      <c r="W204" s="77"/>
      <c r="X204" s="78">
        <v>0.26</v>
      </c>
      <c r="Y204" s="78"/>
      <c r="Z204" s="79">
        <v>0.38</v>
      </c>
      <c r="AA204" s="80">
        <v>45839</v>
      </c>
      <c r="AB204" s="81">
        <f t="shared" ref="AB204" si="501">IFERROR(AVERAGE(AS204:CP204),0)</f>
        <v>93.333333333333329</v>
      </c>
      <c r="AC204" s="81">
        <f t="shared" ref="AC204" si="502">AB204*X204</f>
        <v>24.266666666666666</v>
      </c>
      <c r="AD204" s="81">
        <f t="shared" ref="AD204" si="503">(AC204*L204)/2000</f>
        <v>421.99126666666666</v>
      </c>
      <c r="AE204" s="81">
        <f t="shared" ref="AE204" si="504">IFERROR((AD204/I204),"")</f>
        <v>9.231924451250638</v>
      </c>
      <c r="AF204" s="167">
        <f t="shared" ref="AF204" si="505">IFERROR(((AE204-S204)/AE204),"")</f>
        <v>0.21034882396460336</v>
      </c>
      <c r="AG204" s="264">
        <v>9.5299999999999994</v>
      </c>
      <c r="AH204" s="264">
        <f t="shared" si="475"/>
        <v>0.2531582054309327</v>
      </c>
      <c r="AI204" s="77">
        <v>8</v>
      </c>
      <c r="AJ204" s="79">
        <f t="shared" ref="AJ204" si="506">AD204-(AI204*I204)</f>
        <v>56.311266666666654</v>
      </c>
      <c r="AK204" s="82">
        <f t="shared" ref="AK204" si="507">AJ204/I204</f>
        <v>1.2319244512506378</v>
      </c>
      <c r="AL204" s="82">
        <f>(((AI204*M204)*2000)/L204)/Z204</f>
        <v>52.19660722053068</v>
      </c>
      <c r="AM204" s="82">
        <f t="shared" ref="AM204" si="508">((AJ204*2000)/Z204)/J204</f>
        <v>8.0954681157961819</v>
      </c>
      <c r="AN204" s="82" t="s">
        <v>701</v>
      </c>
      <c r="AO204" s="82"/>
      <c r="AP204" s="82"/>
      <c r="AR204" s="77" t="s">
        <v>91</v>
      </c>
      <c r="AS204" s="63">
        <v>119</v>
      </c>
      <c r="AT204" s="63">
        <v>115</v>
      </c>
      <c r="AU204" s="63">
        <v>68</v>
      </c>
      <c r="AV204" s="63">
        <v>83</v>
      </c>
      <c r="AW204" s="63">
        <v>85</v>
      </c>
      <c r="AX204" s="63">
        <v>109</v>
      </c>
      <c r="AY204" s="63">
        <v>83</v>
      </c>
      <c r="AZ204" s="63">
        <v>72</v>
      </c>
      <c r="BA204" s="63">
        <v>99</v>
      </c>
      <c r="BB204" s="63">
        <v>94</v>
      </c>
      <c r="BC204" s="63">
        <v>93</v>
      </c>
      <c r="BD204" s="63">
        <v>100</v>
      </c>
    </row>
    <row r="205" spans="1:66" s="113" customFormat="1">
      <c r="A205" s="113" t="s">
        <v>262</v>
      </c>
      <c r="B205" s="113" t="s">
        <v>323</v>
      </c>
      <c r="C205" s="114" t="s">
        <v>324</v>
      </c>
      <c r="D205" s="128" t="s">
        <v>87</v>
      </c>
      <c r="E205" s="127" t="s">
        <v>156</v>
      </c>
      <c r="F205" s="126">
        <v>146</v>
      </c>
      <c r="G205" s="126" t="s">
        <v>204</v>
      </c>
      <c r="H205" s="123">
        <v>806.66666666666663</v>
      </c>
      <c r="I205" s="125">
        <v>45.11</v>
      </c>
      <c r="J205" s="123">
        <v>36108</v>
      </c>
      <c r="K205" s="124"/>
      <c r="L205" s="123">
        <f t="shared" si="433"/>
        <v>36108</v>
      </c>
      <c r="M205" s="122">
        <f t="shared" si="415"/>
        <v>44.76198347107438</v>
      </c>
      <c r="N205" s="118"/>
      <c r="O205" s="118">
        <v>7.95</v>
      </c>
      <c r="P205" s="118">
        <v>11.72</v>
      </c>
      <c r="Q205" s="118">
        <v>9.67</v>
      </c>
      <c r="R205" s="118">
        <v>9.84</v>
      </c>
      <c r="S205" s="153">
        <v>9.9700000000000006</v>
      </c>
      <c r="T205" s="121">
        <f t="shared" si="469"/>
        <v>9.8300000000000018</v>
      </c>
      <c r="U205" s="113" t="s">
        <v>765</v>
      </c>
      <c r="V205" s="115" t="s">
        <v>130</v>
      </c>
      <c r="W205" s="115"/>
      <c r="X205" s="120">
        <v>0.33</v>
      </c>
      <c r="Y205" s="120"/>
      <c r="Z205" s="118">
        <v>0.32</v>
      </c>
      <c r="AA205" s="119">
        <v>45770</v>
      </c>
      <c r="AB205" s="117">
        <f t="shared" si="470"/>
        <v>89.428571428571431</v>
      </c>
      <c r="AC205" s="117">
        <f t="shared" si="471"/>
        <v>29.511428571428574</v>
      </c>
      <c r="AD205" s="117">
        <f t="shared" si="416"/>
        <v>532.79933142857146</v>
      </c>
      <c r="AE205" s="117">
        <f t="shared" si="472"/>
        <v>11.811113532001141</v>
      </c>
      <c r="AF205" s="170">
        <f t="shared" si="473"/>
        <v>0.15587975909407778</v>
      </c>
      <c r="AG205" s="265"/>
      <c r="AH205" s="265">
        <f t="shared" si="475"/>
        <v>0</v>
      </c>
      <c r="AI205" s="115"/>
      <c r="AJ205" s="118">
        <f t="shared" si="463"/>
        <v>532.79933142857146</v>
      </c>
      <c r="AK205" s="116">
        <f t="shared" si="464"/>
        <v>11.811113532001141</v>
      </c>
      <c r="AL205" s="116"/>
      <c r="AM205" s="116">
        <f t="shared" si="474"/>
        <v>92.223214285714292</v>
      </c>
      <c r="AN205" s="116"/>
      <c r="AO205" s="116"/>
      <c r="AP205" s="116"/>
      <c r="AR205" s="115" t="s">
        <v>282</v>
      </c>
      <c r="AS205" s="113">
        <v>92</v>
      </c>
      <c r="AT205" s="113">
        <v>97</v>
      </c>
      <c r="AU205" s="113">
        <v>82</v>
      </c>
      <c r="AV205" s="113">
        <v>86</v>
      </c>
      <c r="AW205" s="113">
        <v>98</v>
      </c>
      <c r="AX205" s="113">
        <v>78</v>
      </c>
      <c r="AY205" s="113">
        <v>93</v>
      </c>
    </row>
    <row r="206" spans="1:66" s="113" customFormat="1">
      <c r="A206" s="113" t="s">
        <v>262</v>
      </c>
      <c r="B206" s="113" t="s">
        <v>323</v>
      </c>
      <c r="C206" s="114" t="s">
        <v>324</v>
      </c>
      <c r="D206" s="128" t="s">
        <v>87</v>
      </c>
      <c r="E206" s="127" t="s">
        <v>156</v>
      </c>
      <c r="F206" s="126">
        <v>146</v>
      </c>
      <c r="G206" s="126" t="s">
        <v>204</v>
      </c>
      <c r="H206" s="123">
        <v>806.66666666666663</v>
      </c>
      <c r="I206" s="125">
        <v>45.11</v>
      </c>
      <c r="J206" s="123">
        <v>36108</v>
      </c>
      <c r="K206" s="124"/>
      <c r="L206" s="123">
        <f t="shared" si="433"/>
        <v>36108</v>
      </c>
      <c r="M206" s="122">
        <f t="shared" si="415"/>
        <v>44.76198347107438</v>
      </c>
      <c r="N206" s="118"/>
      <c r="O206" s="118">
        <v>7.95</v>
      </c>
      <c r="P206" s="118">
        <v>11.72</v>
      </c>
      <c r="Q206" s="118">
        <v>9.67</v>
      </c>
      <c r="R206" s="118">
        <v>9.84</v>
      </c>
      <c r="S206" s="153">
        <v>9.9700000000000006</v>
      </c>
      <c r="T206" s="121">
        <f t="shared" si="469"/>
        <v>9.8300000000000018</v>
      </c>
      <c r="U206" s="113" t="s">
        <v>281</v>
      </c>
      <c r="V206" s="115" t="s">
        <v>103</v>
      </c>
      <c r="W206" s="115"/>
      <c r="X206" s="120">
        <v>0.33</v>
      </c>
      <c r="Y206" s="120"/>
      <c r="Z206" s="118">
        <v>0.32</v>
      </c>
      <c r="AA206" s="119">
        <v>45776</v>
      </c>
      <c r="AB206" s="117">
        <f t="shared" si="470"/>
        <v>90.5</v>
      </c>
      <c r="AC206" s="117">
        <f t="shared" si="471"/>
        <v>29.865000000000002</v>
      </c>
      <c r="AD206" s="117">
        <f t="shared" si="416"/>
        <v>539.18271000000004</v>
      </c>
      <c r="AE206" s="117">
        <f t="shared" si="472"/>
        <v>11.952620483263136</v>
      </c>
      <c r="AF206" s="170">
        <f t="shared" si="473"/>
        <v>0.16587328996510295</v>
      </c>
      <c r="AG206" s="265"/>
      <c r="AH206" s="265">
        <f t="shared" si="475"/>
        <v>0</v>
      </c>
      <c r="AI206" s="115"/>
      <c r="AJ206" s="118">
        <f t="shared" si="463"/>
        <v>539.18271000000004</v>
      </c>
      <c r="AK206" s="116">
        <f t="shared" si="464"/>
        <v>11.952620483263136</v>
      </c>
      <c r="AL206" s="116"/>
      <c r="AM206" s="116">
        <f t="shared" si="474"/>
        <v>93.328125000000014</v>
      </c>
      <c r="AN206" s="116"/>
      <c r="AO206" s="116"/>
      <c r="AP206" s="116"/>
      <c r="AR206" s="115" t="s">
        <v>282</v>
      </c>
      <c r="AS206" s="113">
        <v>92</v>
      </c>
      <c r="AT206" s="113">
        <v>87</v>
      </c>
      <c r="AU206" s="113">
        <v>91</v>
      </c>
      <c r="AV206" s="113">
        <v>84</v>
      </c>
      <c r="AW206" s="113">
        <v>88</v>
      </c>
      <c r="AX206" s="113">
        <v>86</v>
      </c>
      <c r="AY206" s="113">
        <v>86</v>
      </c>
      <c r="AZ206" s="113">
        <v>99</v>
      </c>
      <c r="BA206" s="113">
        <v>91</v>
      </c>
      <c r="BB206" s="113">
        <v>89</v>
      </c>
      <c r="BC206" s="113">
        <v>101</v>
      </c>
      <c r="BD206" s="113">
        <v>92</v>
      </c>
    </row>
    <row r="207" spans="1:66" s="63" customFormat="1">
      <c r="A207" s="63" t="s">
        <v>262</v>
      </c>
      <c r="B207" s="63" t="s">
        <v>766</v>
      </c>
      <c r="C207" s="64" t="s">
        <v>767</v>
      </c>
      <c r="D207" s="65" t="s">
        <v>87</v>
      </c>
      <c r="E207" s="66" t="s">
        <v>160</v>
      </c>
      <c r="F207" s="68"/>
      <c r="G207" s="68" t="s">
        <v>145</v>
      </c>
      <c r="H207" s="69">
        <v>622.28571428571433</v>
      </c>
      <c r="I207" s="74">
        <v>29.04</v>
      </c>
      <c r="J207" s="69">
        <v>17694</v>
      </c>
      <c r="K207" s="72">
        <v>0.1</v>
      </c>
      <c r="L207" s="69">
        <f t="shared" ref="L207:L244" si="509">J207-(J207*K207)</f>
        <v>15924.6</v>
      </c>
      <c r="M207" s="86">
        <f t="shared" si="415"/>
        <v>25.590495867768592</v>
      </c>
      <c r="N207" s="79">
        <v>7.72</v>
      </c>
      <c r="O207" s="79">
        <v>5.92</v>
      </c>
      <c r="P207" s="79">
        <v>7.01</v>
      </c>
      <c r="Q207" s="79">
        <v>0.33</v>
      </c>
      <c r="R207" s="79">
        <v>7.46</v>
      </c>
      <c r="S207" s="84">
        <v>5.54</v>
      </c>
      <c r="T207" s="85">
        <f t="shared" si="469"/>
        <v>5.6633333333333331</v>
      </c>
      <c r="U207" s="63" t="s">
        <v>365</v>
      </c>
      <c r="V207" s="77" t="s">
        <v>103</v>
      </c>
      <c r="W207" s="77"/>
      <c r="X207" s="78">
        <v>0.35</v>
      </c>
      <c r="Y207" s="78"/>
      <c r="Z207" s="79">
        <v>0.4</v>
      </c>
      <c r="AA207" s="80">
        <v>45796</v>
      </c>
      <c r="AB207" s="81">
        <f t="shared" si="470"/>
        <v>69.6875</v>
      </c>
      <c r="AC207" s="81">
        <f t="shared" si="471"/>
        <v>24.390625</v>
      </c>
      <c r="AD207" s="81">
        <f t="shared" si="416"/>
        <v>194.20547343750002</v>
      </c>
      <c r="AE207" s="81">
        <f t="shared" si="472"/>
        <v>6.687516302944216</v>
      </c>
      <c r="AF207" s="167">
        <f t="shared" si="473"/>
        <v>0.17159080456207867</v>
      </c>
      <c r="AG207" s="264"/>
      <c r="AH207" s="264">
        <f t="shared" si="475"/>
        <v>0</v>
      </c>
      <c r="AI207" s="77"/>
      <c r="AJ207" s="79">
        <f t="shared" si="463"/>
        <v>194.20547343750002</v>
      </c>
      <c r="AK207" s="82">
        <f t="shared" si="464"/>
        <v>6.687516302944216</v>
      </c>
      <c r="AL207" s="82"/>
      <c r="AM207" s="82">
        <f t="shared" si="474"/>
        <v>54.87890625</v>
      </c>
      <c r="AN207" s="82" t="s">
        <v>701</v>
      </c>
      <c r="AO207" s="82">
        <f>5*I207</f>
        <v>145.19999999999999</v>
      </c>
      <c r="AP207" s="82">
        <f>AD207-AO207</f>
        <v>49.005473437500029</v>
      </c>
      <c r="AR207" s="77" t="s">
        <v>91</v>
      </c>
      <c r="AS207" s="63">
        <v>69</v>
      </c>
      <c r="AT207" s="63">
        <v>28</v>
      </c>
      <c r="AU207" s="63">
        <v>60</v>
      </c>
      <c r="AV207" s="63">
        <v>113</v>
      </c>
      <c r="AW207" s="63">
        <v>77</v>
      </c>
      <c r="AX207" s="63">
        <v>75</v>
      </c>
      <c r="AY207" s="63">
        <v>69</v>
      </c>
      <c r="AZ207" s="63">
        <v>79</v>
      </c>
      <c r="BA207" s="63">
        <v>72</v>
      </c>
      <c r="BB207" s="63">
        <v>53</v>
      </c>
      <c r="BC207" s="63">
        <v>68</v>
      </c>
      <c r="BD207" s="63">
        <v>97</v>
      </c>
      <c r="BE207" s="63">
        <v>83</v>
      </c>
      <c r="BF207" s="63">
        <v>73</v>
      </c>
      <c r="BG207" s="63">
        <v>38</v>
      </c>
      <c r="BH207" s="63">
        <v>61</v>
      </c>
    </row>
    <row r="208" spans="1:66" s="63" customFormat="1">
      <c r="A208" s="63" t="s">
        <v>262</v>
      </c>
      <c r="B208" s="63" t="s">
        <v>766</v>
      </c>
      <c r="C208" s="64" t="s">
        <v>767</v>
      </c>
      <c r="D208" s="65" t="s">
        <v>87</v>
      </c>
      <c r="E208" s="66" t="s">
        <v>160</v>
      </c>
      <c r="F208" s="68"/>
      <c r="G208" s="68" t="s">
        <v>145</v>
      </c>
      <c r="H208" s="69">
        <v>622.28571428571433</v>
      </c>
      <c r="I208" s="74">
        <v>29.04</v>
      </c>
      <c r="J208" s="69">
        <v>17694</v>
      </c>
      <c r="K208" s="72">
        <v>0.1</v>
      </c>
      <c r="L208" s="69">
        <f t="shared" si="509"/>
        <v>15924.6</v>
      </c>
      <c r="M208" s="86">
        <f t="shared" si="415"/>
        <v>25.590495867768592</v>
      </c>
      <c r="N208" s="79">
        <v>7.72</v>
      </c>
      <c r="O208" s="79">
        <v>5.92</v>
      </c>
      <c r="P208" s="79">
        <v>7.01</v>
      </c>
      <c r="Q208" s="79">
        <v>0.33</v>
      </c>
      <c r="R208" s="79">
        <v>7.46</v>
      </c>
      <c r="S208" s="84">
        <v>5.54</v>
      </c>
      <c r="T208" s="85">
        <f t="shared" si="469"/>
        <v>5.6633333333333331</v>
      </c>
      <c r="U208" s="63" t="s">
        <v>365</v>
      </c>
      <c r="V208" s="77" t="s">
        <v>103</v>
      </c>
      <c r="W208" s="77"/>
      <c r="X208" s="78">
        <v>0.35</v>
      </c>
      <c r="Y208" s="78"/>
      <c r="Z208" s="79">
        <v>0.4</v>
      </c>
      <c r="AA208" s="80">
        <v>45817</v>
      </c>
      <c r="AB208" s="81">
        <f t="shared" si="470"/>
        <v>69.583333333333329</v>
      </c>
      <c r="AC208" s="81">
        <f t="shared" si="471"/>
        <v>24.354166666666664</v>
      </c>
      <c r="AD208" s="81">
        <f t="shared" si="416"/>
        <v>193.91518124999999</v>
      </c>
      <c r="AE208" s="81">
        <f t="shared" si="472"/>
        <v>6.6775200154958672</v>
      </c>
      <c r="AF208" s="167">
        <f t="shared" si="473"/>
        <v>0.17035067103597379</v>
      </c>
      <c r="AG208" s="264"/>
      <c r="AH208" s="264">
        <f t="shared" si="475"/>
        <v>0</v>
      </c>
      <c r="AI208" s="77"/>
      <c r="AJ208" s="79">
        <f t="shared" si="463"/>
        <v>193.91518124999999</v>
      </c>
      <c r="AK208" s="82">
        <f t="shared" si="464"/>
        <v>6.6775200154958672</v>
      </c>
      <c r="AL208" s="82"/>
      <c r="AM208" s="82">
        <f t="shared" si="474"/>
        <v>54.796874999999993</v>
      </c>
      <c r="AN208" s="82" t="s">
        <v>701</v>
      </c>
      <c r="AO208" s="82">
        <f>5*I208</f>
        <v>145.19999999999999</v>
      </c>
      <c r="AP208" s="82">
        <f>AD208-AO208</f>
        <v>48.715181250000001</v>
      </c>
      <c r="AR208" s="77" t="s">
        <v>91</v>
      </c>
      <c r="AS208" s="63">
        <v>68</v>
      </c>
      <c r="AT208" s="63">
        <v>64</v>
      </c>
      <c r="AU208" s="63">
        <v>60</v>
      </c>
      <c r="AV208" s="63">
        <v>54</v>
      </c>
      <c r="AW208" s="63">
        <v>70</v>
      </c>
      <c r="AX208" s="63">
        <v>82</v>
      </c>
      <c r="AY208" s="63">
        <v>74</v>
      </c>
      <c r="AZ208" s="63">
        <v>54</v>
      </c>
      <c r="BA208" s="63">
        <v>87</v>
      </c>
      <c r="BB208" s="63">
        <v>65</v>
      </c>
      <c r="BC208" s="63">
        <v>84</v>
      </c>
      <c r="BD208" s="63">
        <v>73</v>
      </c>
    </row>
    <row r="209" spans="1:94" s="113" customFormat="1">
      <c r="A209" s="113" t="s">
        <v>262</v>
      </c>
      <c r="B209" s="113" t="s">
        <v>325</v>
      </c>
      <c r="C209" s="114" t="s">
        <v>326</v>
      </c>
      <c r="D209" s="128" t="s">
        <v>87</v>
      </c>
      <c r="E209" s="127" t="s">
        <v>156</v>
      </c>
      <c r="F209" s="126">
        <v>4</v>
      </c>
      <c r="G209" s="126" t="s">
        <v>273</v>
      </c>
      <c r="H209" s="123">
        <v>691.42857142857144</v>
      </c>
      <c r="I209" s="125">
        <v>44</v>
      </c>
      <c r="J209" s="123">
        <f t="shared" ref="J209:J215" si="510">I209*H209</f>
        <v>30422.857142857145</v>
      </c>
      <c r="K209" s="124">
        <v>3.0000000000000001E-3</v>
      </c>
      <c r="L209" s="123">
        <f t="shared" si="509"/>
        <v>30331.588571428572</v>
      </c>
      <c r="M209" s="122">
        <f t="shared" si="415"/>
        <v>43.868000000000002</v>
      </c>
      <c r="N209" s="118">
        <v>10.61</v>
      </c>
      <c r="O209" s="118">
        <v>9.2899999999999991</v>
      </c>
      <c r="P209" s="118">
        <v>9.68</v>
      </c>
      <c r="Q209" s="118">
        <v>5.42</v>
      </c>
      <c r="R209" s="118">
        <v>10.89</v>
      </c>
      <c r="S209" s="153">
        <v>7.53</v>
      </c>
      <c r="T209" s="121">
        <f t="shared" si="469"/>
        <v>8.9033333333333342</v>
      </c>
      <c r="U209" s="113" t="s">
        <v>365</v>
      </c>
      <c r="V209" s="115" t="s">
        <v>103</v>
      </c>
      <c r="W209" s="115"/>
      <c r="X209" s="120">
        <v>0.32</v>
      </c>
      <c r="Y209" s="120"/>
      <c r="Z209" s="118">
        <v>0.32</v>
      </c>
      <c r="AA209" s="119">
        <v>45772</v>
      </c>
      <c r="AB209" s="117">
        <f t="shared" si="470"/>
        <v>76.5</v>
      </c>
      <c r="AC209" s="117">
        <f t="shared" si="471"/>
        <v>24.48</v>
      </c>
      <c r="AD209" s="117">
        <f t="shared" si="416"/>
        <v>371.25864411428569</v>
      </c>
      <c r="AE209" s="117">
        <f t="shared" si="472"/>
        <v>8.4376964571428559</v>
      </c>
      <c r="AF209" s="170">
        <f t="shared" si="473"/>
        <v>0.10757633457819561</v>
      </c>
      <c r="AG209" s="265">
        <v>6.79</v>
      </c>
      <c r="AH209" s="265">
        <f t="shared" si="475"/>
        <v>0.25673850807540644</v>
      </c>
      <c r="AI209" s="115"/>
      <c r="AJ209" s="118"/>
      <c r="AK209" s="116"/>
      <c r="AL209" s="116"/>
      <c r="AM209" s="116"/>
      <c r="AN209" s="116"/>
      <c r="AO209" s="116"/>
      <c r="AP209" s="116"/>
      <c r="AR209" s="115" t="s">
        <v>116</v>
      </c>
      <c r="AS209" s="113">
        <v>82</v>
      </c>
      <c r="AT209" s="113">
        <v>94</v>
      </c>
      <c r="AU209" s="113">
        <v>60</v>
      </c>
      <c r="AV209" s="113">
        <v>79</v>
      </c>
      <c r="AW209" s="113">
        <v>85</v>
      </c>
      <c r="AX209" s="113">
        <v>89</v>
      </c>
      <c r="AY209" s="113">
        <v>90</v>
      </c>
      <c r="AZ209" s="113">
        <v>69</v>
      </c>
      <c r="BA209" s="113">
        <v>81</v>
      </c>
      <c r="BB209" s="113">
        <v>85</v>
      </c>
      <c r="BC209" s="113">
        <v>79</v>
      </c>
      <c r="BD209" s="113">
        <v>92</v>
      </c>
      <c r="BE209" s="113">
        <v>87</v>
      </c>
      <c r="BF209" s="113">
        <v>59</v>
      </c>
      <c r="BG209" s="113">
        <v>60</v>
      </c>
      <c r="BH209" s="113">
        <v>70</v>
      </c>
      <c r="BI209" s="113">
        <v>78</v>
      </c>
      <c r="BJ209" s="113">
        <v>60</v>
      </c>
      <c r="BK209" s="113">
        <v>61</v>
      </c>
      <c r="BL209" s="113">
        <v>70</v>
      </c>
    </row>
    <row r="210" spans="1:94" s="63" customFormat="1">
      <c r="A210" s="113" t="s">
        <v>262</v>
      </c>
      <c r="B210" s="113" t="s">
        <v>325</v>
      </c>
      <c r="C210" s="114" t="s">
        <v>326</v>
      </c>
      <c r="D210" s="128" t="s">
        <v>87</v>
      </c>
      <c r="E210" s="127" t="s">
        <v>156</v>
      </c>
      <c r="F210" s="126">
        <v>4</v>
      </c>
      <c r="G210" s="126" t="s">
        <v>273</v>
      </c>
      <c r="H210" s="123">
        <v>691.42857142857144</v>
      </c>
      <c r="I210" s="125">
        <v>44</v>
      </c>
      <c r="J210" s="123">
        <f t="shared" si="510"/>
        <v>30422.857142857145</v>
      </c>
      <c r="K210" s="124">
        <v>3.0000000000000001E-3</v>
      </c>
      <c r="L210" s="123">
        <f t="shared" si="509"/>
        <v>30331.588571428572</v>
      </c>
      <c r="M210" s="122">
        <f t="shared" si="415"/>
        <v>43.868000000000002</v>
      </c>
      <c r="N210" s="118">
        <v>10.61</v>
      </c>
      <c r="O210" s="118">
        <v>9.2899999999999991</v>
      </c>
      <c r="P210" s="118">
        <v>9.68</v>
      </c>
      <c r="Q210" s="118">
        <v>5.42</v>
      </c>
      <c r="R210" s="118">
        <v>10.89</v>
      </c>
      <c r="S210" s="153">
        <v>7.53</v>
      </c>
      <c r="T210" s="121">
        <f t="shared" si="469"/>
        <v>8.9033333333333342</v>
      </c>
      <c r="U210" s="113" t="s">
        <v>365</v>
      </c>
      <c r="V210" s="115" t="s">
        <v>103</v>
      </c>
      <c r="W210" s="115"/>
      <c r="X210" s="120">
        <v>0.32</v>
      </c>
      <c r="Y210" s="120"/>
      <c r="Z210" s="118">
        <v>0.32</v>
      </c>
      <c r="AA210" s="119">
        <v>45783</v>
      </c>
      <c r="AB210" s="117">
        <f t="shared" si="470"/>
        <v>78.416666666666671</v>
      </c>
      <c r="AC210" s="117">
        <f t="shared" si="471"/>
        <v>25.093333333333334</v>
      </c>
      <c r="AD210" s="117">
        <f t="shared" si="416"/>
        <v>380.56033127619048</v>
      </c>
      <c r="AE210" s="117">
        <f t="shared" si="472"/>
        <v>8.6490984380952387</v>
      </c>
      <c r="AF210" s="170">
        <f t="shared" si="473"/>
        <v>0.12938902778191685</v>
      </c>
      <c r="AG210" s="265">
        <v>6.79</v>
      </c>
      <c r="AH210" s="265">
        <f t="shared" si="475"/>
        <v>0.25046328417983327</v>
      </c>
      <c r="AI210" s="115"/>
      <c r="AJ210" s="118"/>
      <c r="AK210" s="116"/>
      <c r="AL210" s="116"/>
      <c r="AM210" s="116"/>
      <c r="AN210" s="116"/>
      <c r="AO210" s="116"/>
      <c r="AP210" s="116"/>
      <c r="AQ210" s="113"/>
      <c r="AR210" s="115" t="s">
        <v>91</v>
      </c>
      <c r="AS210" s="113">
        <v>53</v>
      </c>
      <c r="AT210" s="113">
        <v>90</v>
      </c>
      <c r="AU210" s="113">
        <v>88</v>
      </c>
      <c r="AV210" s="113">
        <v>70</v>
      </c>
      <c r="AW210" s="113">
        <v>58</v>
      </c>
      <c r="AX210" s="113">
        <v>51</v>
      </c>
      <c r="AY210" s="113">
        <v>62</v>
      </c>
      <c r="AZ210" s="113">
        <v>88</v>
      </c>
      <c r="BA210" s="113">
        <v>70</v>
      </c>
      <c r="BB210" s="113">
        <v>101</v>
      </c>
      <c r="BC210" s="113">
        <v>114</v>
      </c>
      <c r="BD210" s="113">
        <v>96</v>
      </c>
      <c r="BE210" s="113"/>
      <c r="BF210" s="113"/>
      <c r="BG210" s="113"/>
      <c r="BH210" s="113"/>
      <c r="BI210" s="113"/>
      <c r="BJ210" s="113"/>
      <c r="BK210" s="113"/>
      <c r="BL210" s="113"/>
      <c r="BM210" s="113"/>
      <c r="BN210" s="113"/>
      <c r="BO210" s="113"/>
      <c r="BP210" s="113"/>
      <c r="BQ210" s="113"/>
      <c r="BR210" s="113"/>
      <c r="BS210" s="113"/>
      <c r="BT210" s="113"/>
      <c r="BU210" s="113"/>
      <c r="BV210" s="113"/>
      <c r="BW210" s="113"/>
      <c r="BX210" s="113"/>
      <c r="BY210" s="113"/>
      <c r="BZ210" s="113"/>
      <c r="CA210" s="113"/>
      <c r="CB210" s="113"/>
      <c r="CC210" s="113"/>
      <c r="CD210" s="113"/>
      <c r="CE210" s="113"/>
      <c r="CF210" s="113"/>
      <c r="CG210" s="113"/>
      <c r="CH210" s="113"/>
      <c r="CI210" s="113"/>
      <c r="CJ210" s="113"/>
      <c r="CK210" s="113"/>
      <c r="CL210" s="113"/>
      <c r="CM210" s="113"/>
      <c r="CN210" s="113"/>
      <c r="CO210" s="113"/>
      <c r="CP210" s="113"/>
    </row>
    <row r="211" spans="1:94" s="63" customFormat="1">
      <c r="A211" s="113" t="s">
        <v>262</v>
      </c>
      <c r="B211" s="113" t="s">
        <v>325</v>
      </c>
      <c r="C211" s="114" t="s">
        <v>326</v>
      </c>
      <c r="D211" s="128" t="s">
        <v>87</v>
      </c>
      <c r="E211" s="127" t="s">
        <v>156</v>
      </c>
      <c r="F211" s="126">
        <v>4</v>
      </c>
      <c r="G211" s="126" t="s">
        <v>273</v>
      </c>
      <c r="H211" s="123">
        <v>691.42857142857144</v>
      </c>
      <c r="I211" s="125">
        <v>44</v>
      </c>
      <c r="J211" s="123">
        <f t="shared" si="510"/>
        <v>30422.857142857145</v>
      </c>
      <c r="K211" s="124">
        <v>3.0000000000000001E-3</v>
      </c>
      <c r="L211" s="123">
        <f t="shared" si="509"/>
        <v>30331.588571428572</v>
      </c>
      <c r="M211" s="122">
        <f t="shared" si="415"/>
        <v>43.868000000000002</v>
      </c>
      <c r="N211" s="118">
        <v>10.61</v>
      </c>
      <c r="O211" s="118">
        <v>9.2899999999999991</v>
      </c>
      <c r="P211" s="118">
        <v>9.68</v>
      </c>
      <c r="Q211" s="118">
        <v>5.42</v>
      </c>
      <c r="R211" s="118">
        <v>10.89</v>
      </c>
      <c r="S211" s="153">
        <v>7.53</v>
      </c>
      <c r="T211" s="121">
        <f t="shared" si="469"/>
        <v>8.9033333333333342</v>
      </c>
      <c r="U211" s="113" t="s">
        <v>365</v>
      </c>
      <c r="V211" s="115" t="s">
        <v>103</v>
      </c>
      <c r="W211" s="115"/>
      <c r="X211" s="120">
        <v>0.32</v>
      </c>
      <c r="Y211" s="120"/>
      <c r="Z211" s="118">
        <v>0.32</v>
      </c>
      <c r="AA211" s="119">
        <v>45817</v>
      </c>
      <c r="AB211" s="117">
        <f t="shared" si="470"/>
        <v>66.07692307692308</v>
      </c>
      <c r="AC211" s="117">
        <f t="shared" si="471"/>
        <v>21.144615384615385</v>
      </c>
      <c r="AD211" s="117">
        <f t="shared" si="416"/>
        <v>320.67488717362642</v>
      </c>
      <c r="AE211" s="117">
        <f t="shared" si="472"/>
        <v>7.2880656175824186</v>
      </c>
      <c r="AF211" s="170">
        <f t="shared" si="473"/>
        <v>-3.3195966544801177E-2</v>
      </c>
      <c r="AG211" s="265">
        <v>6.79</v>
      </c>
      <c r="AH211" s="265">
        <f t="shared" si="475"/>
        <v>0.29723684083933838</v>
      </c>
      <c r="AI211" s="115"/>
      <c r="AJ211" s="118"/>
      <c r="AK211" s="116"/>
      <c r="AL211" s="116"/>
      <c r="AM211" s="116"/>
      <c r="AN211" s="116"/>
      <c r="AO211" s="116"/>
      <c r="AP211" s="116"/>
      <c r="AQ211" s="175"/>
      <c r="AR211" s="115" t="s">
        <v>91</v>
      </c>
      <c r="AS211" s="113">
        <v>56</v>
      </c>
      <c r="AT211" s="113">
        <v>68</v>
      </c>
      <c r="AU211" s="113">
        <v>67</v>
      </c>
      <c r="AV211" s="113">
        <v>47</v>
      </c>
      <c r="AW211" s="113">
        <v>79</v>
      </c>
      <c r="AX211" s="113">
        <v>54</v>
      </c>
      <c r="AY211" s="113">
        <v>66</v>
      </c>
      <c r="AZ211" s="113">
        <v>64</v>
      </c>
      <c r="BA211" s="113">
        <v>61</v>
      </c>
      <c r="BB211" s="113">
        <v>84</v>
      </c>
      <c r="BC211" s="113">
        <v>65</v>
      </c>
      <c r="BD211" s="113">
        <v>79</v>
      </c>
      <c r="BE211" s="113">
        <v>69</v>
      </c>
      <c r="BF211" s="113"/>
      <c r="BG211" s="113"/>
      <c r="BH211" s="113"/>
      <c r="BI211" s="113"/>
      <c r="BJ211" s="113"/>
      <c r="BK211" s="113"/>
      <c r="BL211" s="113"/>
      <c r="BM211" s="113"/>
      <c r="BN211" s="113"/>
      <c r="BO211" s="113"/>
      <c r="BP211" s="113"/>
      <c r="BQ211" s="113"/>
      <c r="BR211" s="113"/>
      <c r="BS211" s="113"/>
      <c r="BT211" s="113"/>
      <c r="BU211" s="113"/>
      <c r="BV211" s="113"/>
      <c r="BW211" s="113"/>
      <c r="BX211" s="113"/>
      <c r="BY211" s="113"/>
      <c r="BZ211" s="113"/>
      <c r="CA211" s="113"/>
      <c r="CB211" s="113"/>
      <c r="CC211" s="113"/>
      <c r="CD211" s="113"/>
      <c r="CE211" s="113"/>
      <c r="CF211" s="113"/>
      <c r="CG211" s="113"/>
      <c r="CH211" s="113"/>
      <c r="CI211" s="113"/>
      <c r="CJ211" s="113"/>
      <c r="CK211" s="113"/>
      <c r="CL211" s="113"/>
      <c r="CM211" s="113"/>
      <c r="CN211" s="113"/>
      <c r="CO211" s="113"/>
      <c r="CP211" s="113"/>
    </row>
    <row r="212" spans="1:94" s="63" customFormat="1">
      <c r="A212" s="113" t="s">
        <v>262</v>
      </c>
      <c r="B212" s="113" t="s">
        <v>325</v>
      </c>
      <c r="C212" s="114" t="s">
        <v>326</v>
      </c>
      <c r="D212" s="128" t="s">
        <v>87</v>
      </c>
      <c r="E212" s="127" t="s">
        <v>156</v>
      </c>
      <c r="F212" s="126">
        <v>4</v>
      </c>
      <c r="G212" s="126" t="s">
        <v>273</v>
      </c>
      <c r="H212" s="123">
        <v>691.42857142857144</v>
      </c>
      <c r="I212" s="125">
        <v>44</v>
      </c>
      <c r="J212" s="123">
        <f>I212*H212</f>
        <v>30422.857142857145</v>
      </c>
      <c r="K212" s="124">
        <v>3.0000000000000001E-3</v>
      </c>
      <c r="L212" s="123">
        <f>J212-(J212*K212)</f>
        <v>30331.588571428572</v>
      </c>
      <c r="M212" s="122">
        <f>L212/H212</f>
        <v>43.868000000000002</v>
      </c>
      <c r="N212" s="118">
        <v>10.61</v>
      </c>
      <c r="O212" s="118">
        <v>9.2899999999999991</v>
      </c>
      <c r="P212" s="118">
        <v>9.68</v>
      </c>
      <c r="Q212" s="118">
        <v>5.42</v>
      </c>
      <c r="R212" s="118">
        <v>10.89</v>
      </c>
      <c r="S212" s="153">
        <v>7.53</v>
      </c>
      <c r="T212" s="121">
        <f>AVERAGE(N212:S212)</f>
        <v>8.9033333333333342</v>
      </c>
      <c r="U212" s="113" t="s">
        <v>365</v>
      </c>
      <c r="V212" s="115" t="s">
        <v>103</v>
      </c>
      <c r="W212" s="115"/>
      <c r="X212" s="120">
        <v>0.32</v>
      </c>
      <c r="Y212" s="120"/>
      <c r="Z212" s="118">
        <v>0.32</v>
      </c>
      <c r="AA212" s="119">
        <v>45831</v>
      </c>
      <c r="AB212" s="117">
        <f>IFERROR(AVERAGE(AS212:CP212),0)</f>
        <v>64.529411764705884</v>
      </c>
      <c r="AC212" s="117">
        <f>AB212*X212</f>
        <v>20.649411764705885</v>
      </c>
      <c r="AD212" s="117">
        <f>(AC212*L212)/2000</f>
        <v>313.16473094453784</v>
      </c>
      <c r="AE212" s="117">
        <f>IFERROR((AD212/I212),"")</f>
        <v>7.1173802487394964</v>
      </c>
      <c r="AF212" s="170">
        <f>IFERROR(((AE212-S212)/AE212),"")</f>
        <v>-5.7973543191482534E-2</v>
      </c>
      <c r="AG212" s="265">
        <v>6.79</v>
      </c>
      <c r="AH212" s="265">
        <f t="shared" si="475"/>
        <v>0.3043650225634148</v>
      </c>
      <c r="AI212" s="115"/>
      <c r="AJ212" s="118"/>
      <c r="AK212" s="116"/>
      <c r="AL212" s="116"/>
      <c r="AM212" s="116"/>
      <c r="AN212" s="116"/>
      <c r="AO212" s="116"/>
      <c r="AP212" s="116"/>
      <c r="AQ212" s="175"/>
      <c r="AR212" s="115" t="s">
        <v>116</v>
      </c>
      <c r="AS212" s="113">
        <v>55</v>
      </c>
      <c r="AT212" s="113">
        <v>62</v>
      </c>
      <c r="AU212" s="113">
        <v>59</v>
      </c>
      <c r="AV212" s="113">
        <v>59</v>
      </c>
      <c r="AW212" s="113">
        <v>68</v>
      </c>
      <c r="AX212" s="113">
        <v>54</v>
      </c>
      <c r="AY212" s="113">
        <v>68</v>
      </c>
      <c r="AZ212" s="113">
        <v>68</v>
      </c>
      <c r="BA212" s="113">
        <v>79</v>
      </c>
      <c r="BB212" s="113">
        <v>63</v>
      </c>
      <c r="BC212" s="113">
        <v>60</v>
      </c>
      <c r="BD212" s="113">
        <v>70</v>
      </c>
      <c r="BE212" s="113">
        <v>67</v>
      </c>
      <c r="BF212" s="113">
        <v>59</v>
      </c>
      <c r="BG212" s="113">
        <v>69</v>
      </c>
      <c r="BH212" s="113">
        <v>68</v>
      </c>
      <c r="BI212" s="113">
        <v>69</v>
      </c>
      <c r="BJ212" s="113"/>
      <c r="BK212" s="113"/>
      <c r="BL212" s="113"/>
      <c r="BM212" s="113"/>
      <c r="BN212" s="113"/>
      <c r="BO212" s="113"/>
      <c r="BP212" s="113"/>
      <c r="BQ212" s="113"/>
      <c r="BR212" s="113"/>
      <c r="BS212" s="113"/>
      <c r="BT212" s="113"/>
      <c r="BU212" s="113"/>
      <c r="BV212" s="113"/>
      <c r="BW212" s="113"/>
      <c r="BX212" s="113"/>
      <c r="BY212" s="113"/>
      <c r="BZ212" s="113"/>
      <c r="CA212" s="113"/>
      <c r="CB212" s="113"/>
      <c r="CC212" s="113"/>
      <c r="CD212" s="113"/>
      <c r="CE212" s="113"/>
      <c r="CF212" s="113"/>
      <c r="CG212" s="113"/>
      <c r="CH212" s="113"/>
      <c r="CI212" s="113"/>
      <c r="CJ212" s="113"/>
      <c r="CK212" s="113"/>
      <c r="CL212" s="113"/>
      <c r="CM212" s="113"/>
      <c r="CN212" s="113"/>
      <c r="CO212" s="113"/>
      <c r="CP212" s="113"/>
    </row>
    <row r="213" spans="1:94" s="63" customFormat="1">
      <c r="A213" s="113" t="s">
        <v>262</v>
      </c>
      <c r="B213" s="113" t="s">
        <v>325</v>
      </c>
      <c r="C213" s="114" t="s">
        <v>326</v>
      </c>
      <c r="D213" s="128" t="s">
        <v>87</v>
      </c>
      <c r="E213" s="127" t="s">
        <v>156</v>
      </c>
      <c r="F213" s="126">
        <v>4</v>
      </c>
      <c r="G213" s="126" t="s">
        <v>273</v>
      </c>
      <c r="H213" s="123">
        <v>691.42857142857144</v>
      </c>
      <c r="I213" s="125">
        <v>44</v>
      </c>
      <c r="J213" s="123">
        <f>I213*H213</f>
        <v>30422.857142857145</v>
      </c>
      <c r="K213" s="124">
        <v>3.0000000000000001E-3</v>
      </c>
      <c r="L213" s="123">
        <f>J213-(J213*K213)</f>
        <v>30331.588571428572</v>
      </c>
      <c r="M213" s="122">
        <f>L213/H213</f>
        <v>43.868000000000002</v>
      </c>
      <c r="N213" s="118">
        <v>10.61</v>
      </c>
      <c r="O213" s="118">
        <v>9.2899999999999991</v>
      </c>
      <c r="P213" s="118">
        <v>9.68</v>
      </c>
      <c r="Q213" s="118">
        <v>5.42</v>
      </c>
      <c r="R213" s="118">
        <v>10.89</v>
      </c>
      <c r="S213" s="153">
        <v>7.53</v>
      </c>
      <c r="T213" s="121">
        <f>AVERAGE(N213:S213)</f>
        <v>8.9033333333333342</v>
      </c>
      <c r="U213" s="113" t="s">
        <v>365</v>
      </c>
      <c r="V213" s="115" t="s">
        <v>103</v>
      </c>
      <c r="W213" s="115"/>
      <c r="X213" s="120">
        <v>0.32</v>
      </c>
      <c r="Y213" s="120"/>
      <c r="Z213" s="118">
        <v>0.32</v>
      </c>
      <c r="AA213" s="119">
        <v>45881</v>
      </c>
      <c r="AB213" s="117">
        <v>72</v>
      </c>
      <c r="AC213" s="117">
        <v>22.32</v>
      </c>
      <c r="AD213" s="117">
        <f>(AC213*L213)/2000</f>
        <v>338.50052845714288</v>
      </c>
      <c r="AE213" s="117">
        <f>IFERROR((AD213/I213),"")</f>
        <v>7.6931938285714292</v>
      </c>
      <c r="AF213" s="170">
        <f>IFERROR(((AE213-S213)/AE213),"")</f>
        <v>2.1212754053505093E-2</v>
      </c>
      <c r="AG213" s="265">
        <v>6.79</v>
      </c>
      <c r="AH213" s="265">
        <f t="shared" si="475"/>
        <v>0.27278466483011932</v>
      </c>
      <c r="AI213" s="115"/>
      <c r="AJ213" s="118"/>
      <c r="AK213" s="116"/>
      <c r="AL213" s="116"/>
      <c r="AM213" s="116"/>
      <c r="AN213" s="116"/>
      <c r="AO213" s="116"/>
      <c r="AP213" s="116"/>
      <c r="AQ213" s="175"/>
      <c r="AR213" s="115" t="s">
        <v>116</v>
      </c>
      <c r="AS213" s="113">
        <v>55</v>
      </c>
      <c r="AT213" s="113">
        <v>62</v>
      </c>
      <c r="AU213" s="113">
        <v>59</v>
      </c>
      <c r="AV213" s="113">
        <v>59</v>
      </c>
      <c r="AW213" s="113">
        <v>68</v>
      </c>
      <c r="AX213" s="113">
        <v>54</v>
      </c>
      <c r="AY213" s="113">
        <v>68</v>
      </c>
      <c r="AZ213" s="113">
        <v>68</v>
      </c>
      <c r="BA213" s="113">
        <v>59</v>
      </c>
      <c r="BB213" s="113">
        <v>63</v>
      </c>
      <c r="BC213" s="113">
        <v>60</v>
      </c>
      <c r="BD213" s="113">
        <v>60</v>
      </c>
      <c r="BE213" s="113">
        <v>67</v>
      </c>
      <c r="BF213" s="113">
        <v>59</v>
      </c>
      <c r="BG213" s="113">
        <v>59</v>
      </c>
      <c r="BH213" s="113">
        <v>68</v>
      </c>
      <c r="BI213" s="113">
        <v>69</v>
      </c>
      <c r="BJ213" s="113"/>
      <c r="BK213" s="113"/>
      <c r="BL213" s="113"/>
      <c r="BM213" s="113"/>
      <c r="BN213" s="113"/>
      <c r="BO213" s="113"/>
      <c r="BP213" s="113"/>
      <c r="BQ213" s="113"/>
      <c r="BR213" s="113"/>
      <c r="BS213" s="113"/>
      <c r="BT213" s="113"/>
      <c r="BU213" s="113"/>
      <c r="BV213" s="113"/>
      <c r="BW213" s="113"/>
      <c r="BX213" s="113"/>
      <c r="BY213" s="113"/>
      <c r="BZ213" s="113"/>
      <c r="CA213" s="113"/>
      <c r="CB213" s="113"/>
      <c r="CC213" s="113"/>
      <c r="CD213" s="113"/>
      <c r="CE213" s="113"/>
      <c r="CF213" s="113"/>
      <c r="CG213" s="113"/>
      <c r="CH213" s="113"/>
      <c r="CI213" s="113"/>
      <c r="CJ213" s="113"/>
      <c r="CK213" s="113"/>
      <c r="CL213" s="113"/>
      <c r="CM213" s="113"/>
      <c r="CN213" s="113"/>
      <c r="CO213" s="113"/>
      <c r="CP213" s="113"/>
    </row>
    <row r="214" spans="1:94" s="197" customFormat="1">
      <c r="A214" s="197" t="s">
        <v>262</v>
      </c>
      <c r="B214" s="197" t="s">
        <v>325</v>
      </c>
      <c r="C214" s="198" t="s">
        <v>327</v>
      </c>
      <c r="D214" s="199" t="s">
        <v>193</v>
      </c>
      <c r="E214" s="200" t="s">
        <v>156</v>
      </c>
      <c r="F214" s="201">
        <v>4</v>
      </c>
      <c r="G214" s="201" t="s">
        <v>273</v>
      </c>
      <c r="H214" s="202">
        <v>691.42857142857144</v>
      </c>
      <c r="I214" s="203">
        <v>22</v>
      </c>
      <c r="J214" s="202">
        <f t="shared" si="510"/>
        <v>15211.428571428572</v>
      </c>
      <c r="K214" s="204"/>
      <c r="L214" s="202">
        <f t="shared" si="509"/>
        <v>15211.428571428572</v>
      </c>
      <c r="M214" s="205">
        <f t="shared" si="415"/>
        <v>22</v>
      </c>
      <c r="N214" s="206">
        <v>10.61</v>
      </c>
      <c r="O214" s="206"/>
      <c r="P214" s="206"/>
      <c r="Q214" s="206"/>
      <c r="R214" s="206"/>
      <c r="S214" s="207"/>
      <c r="T214" s="208">
        <f t="shared" si="469"/>
        <v>10.61</v>
      </c>
      <c r="V214" s="209" t="s">
        <v>103</v>
      </c>
      <c r="W214" s="209"/>
      <c r="X214" s="210">
        <v>0.32</v>
      </c>
      <c r="Y214" s="210"/>
      <c r="Z214" s="206">
        <v>0.32</v>
      </c>
      <c r="AA214" s="211">
        <v>45817</v>
      </c>
      <c r="AB214" s="212">
        <f t="shared" si="470"/>
        <v>54.25</v>
      </c>
      <c r="AC214" s="212">
        <f t="shared" si="471"/>
        <v>17.36</v>
      </c>
      <c r="AD214" s="212">
        <f t="shared" si="416"/>
        <v>132.0352</v>
      </c>
      <c r="AE214" s="212">
        <f t="shared" si="472"/>
        <v>6.0015999999999998</v>
      </c>
      <c r="AF214" s="213"/>
      <c r="AG214" s="265">
        <v>6.79</v>
      </c>
      <c r="AH214" s="268">
        <f t="shared" si="475"/>
        <v>0.36203679018928281</v>
      </c>
      <c r="AI214" s="209"/>
      <c r="AJ214" s="206"/>
      <c r="AK214" s="214"/>
      <c r="AL214" s="214"/>
      <c r="AM214" s="214"/>
      <c r="AN214" s="214"/>
      <c r="AO214" s="214"/>
      <c r="AP214" s="214"/>
      <c r="AQ214" s="197" t="s">
        <v>768</v>
      </c>
      <c r="AR214" s="209" t="s">
        <v>91</v>
      </c>
      <c r="AS214" s="197">
        <v>58</v>
      </c>
      <c r="AT214" s="197">
        <v>62</v>
      </c>
      <c r="AU214" s="197">
        <v>59</v>
      </c>
      <c r="AV214" s="197">
        <v>38</v>
      </c>
      <c r="AW214" s="197">
        <v>59</v>
      </c>
      <c r="AX214" s="197">
        <v>55</v>
      </c>
      <c r="AY214" s="197">
        <v>52</v>
      </c>
      <c r="AZ214" s="197">
        <v>49</v>
      </c>
      <c r="BA214" s="197">
        <v>63</v>
      </c>
      <c r="BB214" s="197">
        <v>43</v>
      </c>
      <c r="BC214" s="197">
        <v>63</v>
      </c>
      <c r="BD214" s="197">
        <v>50</v>
      </c>
    </row>
    <row r="215" spans="1:94" s="197" customFormat="1">
      <c r="A215" s="197" t="s">
        <v>262</v>
      </c>
      <c r="B215" s="197" t="s">
        <v>325</v>
      </c>
      <c r="C215" s="198" t="s">
        <v>327</v>
      </c>
      <c r="D215" s="199" t="s">
        <v>193</v>
      </c>
      <c r="E215" s="200" t="s">
        <v>156</v>
      </c>
      <c r="F215" s="201">
        <v>4</v>
      </c>
      <c r="G215" s="201" t="s">
        <v>273</v>
      </c>
      <c r="H215" s="202">
        <v>691.42857142857144</v>
      </c>
      <c r="I215" s="203">
        <v>22</v>
      </c>
      <c r="J215" s="202">
        <f t="shared" si="510"/>
        <v>15211.428571428572</v>
      </c>
      <c r="K215" s="204"/>
      <c r="L215" s="202">
        <f t="shared" si="509"/>
        <v>15211.428571428572</v>
      </c>
      <c r="M215" s="205">
        <f t="shared" si="415"/>
        <v>22</v>
      </c>
      <c r="N215" s="206">
        <v>10.61</v>
      </c>
      <c r="O215" s="206"/>
      <c r="P215" s="206"/>
      <c r="Q215" s="206"/>
      <c r="R215" s="206"/>
      <c r="S215" s="207"/>
      <c r="T215" s="208">
        <f t="shared" si="469"/>
        <v>10.61</v>
      </c>
      <c r="V215" s="209" t="s">
        <v>103</v>
      </c>
      <c r="W215" s="209"/>
      <c r="X215" s="210">
        <v>0.32</v>
      </c>
      <c r="Y215" s="210"/>
      <c r="Z215" s="206">
        <v>0.32</v>
      </c>
      <c r="AA215" s="211">
        <v>45840</v>
      </c>
      <c r="AB215" s="212">
        <f t="shared" si="470"/>
        <v>55.75</v>
      </c>
      <c r="AC215" s="212">
        <f t="shared" si="471"/>
        <v>17.84</v>
      </c>
      <c r="AD215" s="212">
        <f t="shared" si="416"/>
        <v>135.68594285714286</v>
      </c>
      <c r="AE215" s="212">
        <f t="shared" si="472"/>
        <v>6.1675428571428572</v>
      </c>
      <c r="AF215" s="213"/>
      <c r="AG215" s="265">
        <v>6.79</v>
      </c>
      <c r="AH215" s="268">
        <f t="shared" si="475"/>
        <v>0.35229589000481781</v>
      </c>
      <c r="AI215" s="209"/>
      <c r="AJ215" s="206"/>
      <c r="AK215" s="214"/>
      <c r="AL215" s="214"/>
      <c r="AM215" s="214"/>
      <c r="AN215" s="214"/>
      <c r="AO215" s="214"/>
      <c r="AP215" s="214"/>
      <c r="AQ215" s="197" t="s">
        <v>768</v>
      </c>
      <c r="AR215" s="209" t="s">
        <v>91</v>
      </c>
      <c r="AS215" s="197">
        <v>81</v>
      </c>
      <c r="AT215" s="197">
        <v>52</v>
      </c>
      <c r="AU215" s="197">
        <v>56</v>
      </c>
      <c r="AV215" s="197">
        <v>45</v>
      </c>
      <c r="AW215" s="197">
        <v>37</v>
      </c>
      <c r="AX215" s="197">
        <v>59</v>
      </c>
      <c r="AY215" s="197">
        <v>55</v>
      </c>
      <c r="AZ215" s="197">
        <v>73</v>
      </c>
      <c r="BA215" s="197">
        <v>60</v>
      </c>
      <c r="BB215" s="197">
        <v>56</v>
      </c>
      <c r="BC215" s="197">
        <v>38</v>
      </c>
      <c r="BD215" s="197">
        <v>57</v>
      </c>
    </row>
    <row r="216" spans="1:94" s="63" customFormat="1">
      <c r="A216" s="63" t="s">
        <v>262</v>
      </c>
      <c r="B216" s="63" t="s">
        <v>328</v>
      </c>
      <c r="C216" s="64" t="s">
        <v>329</v>
      </c>
      <c r="D216" s="65" t="s">
        <v>87</v>
      </c>
      <c r="E216" s="66" t="s">
        <v>330</v>
      </c>
      <c r="F216" s="68">
        <v>6</v>
      </c>
      <c r="G216" s="68" t="s">
        <v>331</v>
      </c>
      <c r="H216" s="69">
        <v>726</v>
      </c>
      <c r="I216" s="89">
        <v>19.38</v>
      </c>
      <c r="J216" s="69">
        <v>14094</v>
      </c>
      <c r="K216" s="72"/>
      <c r="L216" s="69">
        <f t="shared" si="509"/>
        <v>14094</v>
      </c>
      <c r="M216" s="86">
        <f t="shared" si="415"/>
        <v>19.41322314049587</v>
      </c>
      <c r="N216" s="79"/>
      <c r="O216" s="79"/>
      <c r="P216" s="79"/>
      <c r="Q216" s="79">
        <v>7.32</v>
      </c>
      <c r="R216" s="79">
        <v>12.66</v>
      </c>
      <c r="S216" s="84">
        <v>15.4</v>
      </c>
      <c r="T216" s="85">
        <f>AVERAGE(N216:R216)</f>
        <v>9.99</v>
      </c>
      <c r="U216" s="63" t="s">
        <v>769</v>
      </c>
      <c r="V216" s="77" t="s">
        <v>103</v>
      </c>
      <c r="W216" s="77"/>
      <c r="X216" s="78">
        <v>0.56000000000000005</v>
      </c>
      <c r="Y216" s="78">
        <v>0.68</v>
      </c>
      <c r="Z216" s="79">
        <v>0.45</v>
      </c>
      <c r="AA216" s="80">
        <v>45764</v>
      </c>
      <c r="AB216" s="81">
        <f t="shared" si="470"/>
        <v>70</v>
      </c>
      <c r="AC216" s="81">
        <f>AB216*Y216</f>
        <v>47.6</v>
      </c>
      <c r="AD216" s="81">
        <f t="shared" si="416"/>
        <v>335.43720000000002</v>
      </c>
      <c r="AE216" s="81">
        <f t="shared" si="472"/>
        <v>17.30842105263158</v>
      </c>
      <c r="AF216" s="167">
        <f t="shared" ref="AF216:AF271" si="511">IFERROR(((AE216-S216)/AE216),"")</f>
        <v>0.11025968497232869</v>
      </c>
      <c r="AG216" s="264">
        <v>13.26</v>
      </c>
      <c r="AH216" s="264">
        <f t="shared" si="475"/>
        <v>0.52184179456906732</v>
      </c>
      <c r="AI216" s="77">
        <v>11.25</v>
      </c>
      <c r="AJ216" s="79">
        <f t="shared" ref="AJ216:AJ253" si="512">AD216-(AI216*I216)</f>
        <v>117.41220000000004</v>
      </c>
      <c r="AK216" s="82">
        <f t="shared" ref="AK216:AK253" si="513">AJ216/I216</f>
        <v>6.0584210526315818</v>
      </c>
      <c r="AL216" s="82">
        <f t="shared" ref="AL216:AL224" si="514">(((AI216*M216)*2000)/L216)/X216</f>
        <v>55.342384887839437</v>
      </c>
      <c r="AM216" s="82">
        <f t="shared" ref="AM216:AM253" si="515">((AJ216*2000)/Z216)/J216</f>
        <v>37.025117071094094</v>
      </c>
      <c r="AN216" s="82" t="s">
        <v>701</v>
      </c>
      <c r="AO216" s="82"/>
      <c r="AP216" s="82"/>
      <c r="AR216" s="77" t="s">
        <v>282</v>
      </c>
      <c r="AS216" s="63">
        <v>72</v>
      </c>
      <c r="AT216" s="63">
        <v>67</v>
      </c>
      <c r="AU216" s="63">
        <v>76</v>
      </c>
      <c r="AV216" s="63">
        <v>73</v>
      </c>
      <c r="AW216" s="63">
        <v>68</v>
      </c>
      <c r="AX216" s="63">
        <v>72</v>
      </c>
      <c r="AY216" s="63">
        <v>68</v>
      </c>
      <c r="AZ216" s="63">
        <v>64</v>
      </c>
      <c r="BA216" s="63">
        <v>67</v>
      </c>
      <c r="BB216" s="63">
        <v>71</v>
      </c>
      <c r="BC216" s="63">
        <v>68</v>
      </c>
      <c r="BD216" s="63">
        <v>74</v>
      </c>
    </row>
    <row r="217" spans="1:94" s="63" customFormat="1">
      <c r="A217" s="63" t="s">
        <v>262</v>
      </c>
      <c r="B217" s="63" t="s">
        <v>328</v>
      </c>
      <c r="C217" s="64" t="s">
        <v>329</v>
      </c>
      <c r="D217" s="65" t="s">
        <v>87</v>
      </c>
      <c r="E217" s="66" t="s">
        <v>330</v>
      </c>
      <c r="F217" s="68">
        <v>6</v>
      </c>
      <c r="G217" s="68" t="s">
        <v>331</v>
      </c>
      <c r="H217" s="69">
        <v>726</v>
      </c>
      <c r="I217" s="89">
        <v>19.38</v>
      </c>
      <c r="J217" s="69">
        <v>14094</v>
      </c>
      <c r="K217" s="72"/>
      <c r="L217" s="69">
        <f t="shared" si="509"/>
        <v>14094</v>
      </c>
      <c r="M217" s="86">
        <f t="shared" si="415"/>
        <v>19.41322314049587</v>
      </c>
      <c r="N217" s="79"/>
      <c r="O217" s="79"/>
      <c r="P217" s="79"/>
      <c r="Q217" s="79">
        <v>7.32</v>
      </c>
      <c r="R217" s="79">
        <v>12.66</v>
      </c>
      <c r="S217" s="84">
        <v>15.4</v>
      </c>
      <c r="T217" s="85">
        <f>AVERAGE(N217:R217)</f>
        <v>9.99</v>
      </c>
      <c r="U217" s="63" t="s">
        <v>769</v>
      </c>
      <c r="V217" s="77" t="s">
        <v>103</v>
      </c>
      <c r="W217" s="77"/>
      <c r="X217" s="78">
        <v>0.56000000000000005</v>
      </c>
      <c r="Y217" s="78">
        <v>0.68</v>
      </c>
      <c r="Z217" s="79">
        <v>0.45</v>
      </c>
      <c r="AA217" s="80">
        <v>45765</v>
      </c>
      <c r="AB217" s="81">
        <f t="shared" si="470"/>
        <v>67.615384615384613</v>
      </c>
      <c r="AC217" s="81">
        <f t="shared" ref="AC217:AC220" si="516">AB217*Y217</f>
        <v>45.978461538461538</v>
      </c>
      <c r="AD217" s="81">
        <f t="shared" si="416"/>
        <v>324.01021846153844</v>
      </c>
      <c r="AE217" s="81">
        <f t="shared" si="472"/>
        <v>16.718793522267205</v>
      </c>
      <c r="AF217" s="167">
        <f t="shared" si="511"/>
        <v>7.8880902531079627E-2</v>
      </c>
      <c r="AG217" s="264">
        <v>13.26</v>
      </c>
      <c r="AH217" s="264">
        <f t="shared" si="475"/>
        <v>0.5402457713968728</v>
      </c>
      <c r="AI217" s="77">
        <v>11.25</v>
      </c>
      <c r="AJ217" s="79">
        <f t="shared" si="512"/>
        <v>105.98521846153847</v>
      </c>
      <c r="AK217" s="82">
        <f t="shared" si="513"/>
        <v>5.4687935222672071</v>
      </c>
      <c r="AL217" s="82">
        <f t="shared" si="514"/>
        <v>55.342384887839437</v>
      </c>
      <c r="AM217" s="82">
        <f t="shared" si="515"/>
        <v>33.421698267675275</v>
      </c>
      <c r="AN217" s="82" t="s">
        <v>701</v>
      </c>
      <c r="AO217" s="82"/>
      <c r="AP217" s="82"/>
      <c r="AR217" s="77" t="s">
        <v>282</v>
      </c>
      <c r="AS217" s="63">
        <v>69</v>
      </c>
      <c r="AT217" s="63">
        <v>63</v>
      </c>
      <c r="AU217" s="63">
        <v>69</v>
      </c>
      <c r="AV217" s="63">
        <v>65</v>
      </c>
      <c r="AW217" s="63">
        <v>72</v>
      </c>
      <c r="AX217" s="63">
        <v>72</v>
      </c>
      <c r="AY217" s="63">
        <v>64</v>
      </c>
      <c r="AZ217" s="63">
        <v>74</v>
      </c>
      <c r="BA217" s="63">
        <v>67</v>
      </c>
      <c r="BB217" s="63">
        <v>69</v>
      </c>
      <c r="BC217" s="63">
        <v>67</v>
      </c>
      <c r="BD217" s="63">
        <v>60</v>
      </c>
      <c r="BE217" s="63">
        <v>68</v>
      </c>
    </row>
    <row r="218" spans="1:94" s="63" customFormat="1">
      <c r="A218" s="63" t="s">
        <v>262</v>
      </c>
      <c r="B218" s="63" t="s">
        <v>328</v>
      </c>
      <c r="C218" s="64" t="s">
        <v>329</v>
      </c>
      <c r="D218" s="65" t="s">
        <v>87</v>
      </c>
      <c r="E218" s="66" t="s">
        <v>330</v>
      </c>
      <c r="F218" s="68">
        <v>6</v>
      </c>
      <c r="G218" s="68" t="s">
        <v>331</v>
      </c>
      <c r="H218" s="69">
        <v>726</v>
      </c>
      <c r="I218" s="89">
        <v>19.38</v>
      </c>
      <c r="J218" s="69">
        <v>14094</v>
      </c>
      <c r="K218" s="72"/>
      <c r="L218" s="69">
        <f t="shared" si="509"/>
        <v>14094</v>
      </c>
      <c r="M218" s="86">
        <f t="shared" si="415"/>
        <v>19.41322314049587</v>
      </c>
      <c r="N218" s="79"/>
      <c r="O218" s="79"/>
      <c r="P218" s="79"/>
      <c r="Q218" s="79">
        <v>7.32</v>
      </c>
      <c r="R218" s="79">
        <v>12.66</v>
      </c>
      <c r="S218" s="84">
        <v>15.4</v>
      </c>
      <c r="T218" s="85">
        <f>AVERAGE(N218:R218)</f>
        <v>9.99</v>
      </c>
      <c r="U218" s="63" t="s">
        <v>769</v>
      </c>
      <c r="V218" s="77" t="s">
        <v>103</v>
      </c>
      <c r="W218" s="77"/>
      <c r="X218" s="78">
        <v>0.56000000000000005</v>
      </c>
      <c r="Y218" s="78">
        <v>0.68</v>
      </c>
      <c r="Z218" s="79">
        <v>0.45</v>
      </c>
      <c r="AA218" s="80">
        <v>45817</v>
      </c>
      <c r="AB218" s="81">
        <f t="shared" si="470"/>
        <v>66.416666666666671</v>
      </c>
      <c r="AC218" s="81">
        <f t="shared" si="516"/>
        <v>45.163333333333341</v>
      </c>
      <c r="AD218" s="81">
        <f t="shared" si="416"/>
        <v>318.26601000000005</v>
      </c>
      <c r="AE218" s="81">
        <f t="shared" si="472"/>
        <v>16.422394736842108</v>
      </c>
      <c r="AF218" s="167">
        <f t="shared" si="511"/>
        <v>6.2256129707347764E-2</v>
      </c>
      <c r="AG218" s="264">
        <v>13.26</v>
      </c>
      <c r="AH218" s="264">
        <f t="shared" si="475"/>
        <v>0.5499963706875991</v>
      </c>
      <c r="AI218" s="77">
        <v>11.25</v>
      </c>
      <c r="AJ218" s="79">
        <f t="shared" si="512"/>
        <v>100.24101000000007</v>
      </c>
      <c r="AK218" s="82">
        <f t="shared" si="513"/>
        <v>5.1723947368421097</v>
      </c>
      <c r="AL218" s="82">
        <f t="shared" si="514"/>
        <v>55.342384887839437</v>
      </c>
      <c r="AM218" s="82">
        <f t="shared" si="515"/>
        <v>31.610302256279287</v>
      </c>
      <c r="AN218" s="82" t="s">
        <v>701</v>
      </c>
      <c r="AO218" s="82"/>
      <c r="AP218" s="82"/>
      <c r="AR218" s="77" t="s">
        <v>91</v>
      </c>
      <c r="AS218" s="63">
        <v>76</v>
      </c>
      <c r="AT218" s="63">
        <v>89</v>
      </c>
      <c r="AU218" s="63">
        <v>67</v>
      </c>
      <c r="AV218" s="63">
        <v>82</v>
      </c>
      <c r="AW218" s="63">
        <v>63</v>
      </c>
      <c r="AX218" s="63">
        <v>72</v>
      </c>
      <c r="AY218" s="63">
        <v>54</v>
      </c>
      <c r="AZ218" s="63">
        <v>52</v>
      </c>
      <c r="BA218" s="63">
        <v>68</v>
      </c>
      <c r="BB218" s="63">
        <v>61</v>
      </c>
      <c r="BC218" s="63">
        <v>55</v>
      </c>
      <c r="BD218" s="63">
        <v>58</v>
      </c>
    </row>
    <row r="219" spans="1:94" s="63" customFormat="1" hidden="1">
      <c r="A219" s="63" t="s">
        <v>262</v>
      </c>
      <c r="B219" s="63" t="s">
        <v>328</v>
      </c>
      <c r="C219" s="64" t="s">
        <v>329</v>
      </c>
      <c r="D219" s="65" t="s">
        <v>87</v>
      </c>
      <c r="E219" s="66" t="s">
        <v>330</v>
      </c>
      <c r="F219" s="68">
        <v>6</v>
      </c>
      <c r="G219" s="68" t="s">
        <v>331</v>
      </c>
      <c r="H219" s="69">
        <v>726</v>
      </c>
      <c r="I219" s="89">
        <v>19.38</v>
      </c>
      <c r="J219" s="69">
        <v>14094</v>
      </c>
      <c r="K219" s="72"/>
      <c r="L219" s="69">
        <f t="shared" ref="L219" si="517">J219-(J219*K219)</f>
        <v>14094</v>
      </c>
      <c r="M219" s="86">
        <f t="shared" ref="M219" si="518">L219/H219</f>
        <v>19.41322314049587</v>
      </c>
      <c r="N219" s="79"/>
      <c r="O219" s="79"/>
      <c r="P219" s="79"/>
      <c r="Q219" s="79">
        <v>7.32</v>
      </c>
      <c r="R219" s="79">
        <v>12.66</v>
      </c>
      <c r="S219" s="84">
        <v>15.4</v>
      </c>
      <c r="T219" s="85">
        <f>AVERAGE(N219:R219)</f>
        <v>9.99</v>
      </c>
      <c r="U219" s="63" t="s">
        <v>769</v>
      </c>
      <c r="V219" s="77" t="s">
        <v>103</v>
      </c>
      <c r="W219" s="77"/>
      <c r="X219" s="78">
        <v>0.56000000000000005</v>
      </c>
      <c r="Y219" s="78">
        <v>0.65</v>
      </c>
      <c r="Z219" s="79">
        <v>0.45</v>
      </c>
      <c r="AA219" s="80">
        <v>45841</v>
      </c>
      <c r="AB219" s="81">
        <f t="shared" si="470"/>
        <v>59.6875</v>
      </c>
      <c r="AC219" s="81">
        <f t="shared" si="516"/>
        <v>38.796875</v>
      </c>
      <c r="AD219" s="81">
        <f t="shared" ref="AD219" si="519">(AC219*L219)/2000</f>
        <v>273.40157812500001</v>
      </c>
      <c r="AE219" s="81">
        <f t="shared" ref="AE219" si="520">IFERROR((AD219/I219),"")</f>
        <v>14.107408571981425</v>
      </c>
      <c r="AF219" s="167">
        <f t="shared" ref="AF219" si="521">IFERROR(((AE219-S219)/AE219),"")</f>
        <v>-9.1625008336809435E-2</v>
      </c>
      <c r="AG219" s="264"/>
      <c r="AH219" s="264">
        <f t="shared" si="475"/>
        <v>0</v>
      </c>
      <c r="AI219" s="77">
        <v>11.25</v>
      </c>
      <c r="AJ219" s="79">
        <f t="shared" ref="AJ219" si="522">AD219-(AI219*I219)</f>
        <v>55.376578125000037</v>
      </c>
      <c r="AK219" s="82">
        <f t="shared" ref="AK219" si="523">AJ219/I219</f>
        <v>2.8574085719814262</v>
      </c>
      <c r="AL219" s="82">
        <f t="shared" ref="AL219" si="524">(((AI219*M219)*2000)/L219)/X219</f>
        <v>55.342384887839437</v>
      </c>
      <c r="AM219" s="82">
        <f t="shared" ref="AM219" si="525">((AJ219*2000)/Z219)/J219</f>
        <v>17.462617071094094</v>
      </c>
      <c r="AN219" s="82" t="s">
        <v>701</v>
      </c>
      <c r="AO219" s="82"/>
      <c r="AP219" s="82"/>
      <c r="AR219" s="77" t="s">
        <v>116</v>
      </c>
      <c r="AS219" s="63">
        <v>51</v>
      </c>
      <c r="AT219" s="63">
        <v>62</v>
      </c>
      <c r="AU219" s="63">
        <v>59</v>
      </c>
      <c r="AV219" s="63">
        <v>56</v>
      </c>
      <c r="AW219" s="63">
        <v>65</v>
      </c>
      <c r="AX219" s="63">
        <v>54</v>
      </c>
      <c r="AY219" s="63">
        <v>68</v>
      </c>
      <c r="AZ219" s="63">
        <v>53</v>
      </c>
      <c r="BA219" s="63">
        <v>59</v>
      </c>
      <c r="BB219" s="63">
        <v>63</v>
      </c>
      <c r="BC219" s="63">
        <v>57</v>
      </c>
      <c r="BD219" s="63">
        <v>60</v>
      </c>
      <c r="BE219" s="63">
        <v>67</v>
      </c>
      <c r="BF219" s="63">
        <v>59</v>
      </c>
      <c r="BG219" s="63">
        <v>68</v>
      </c>
      <c r="BH219" s="63">
        <v>54</v>
      </c>
    </row>
    <row r="220" spans="1:94" s="63" customFormat="1" hidden="1">
      <c r="A220" s="63" t="s">
        <v>262</v>
      </c>
      <c r="B220" s="63" t="s">
        <v>328</v>
      </c>
      <c r="C220" s="64" t="s">
        <v>329</v>
      </c>
      <c r="D220" s="65" t="s">
        <v>87</v>
      </c>
      <c r="E220" s="66" t="s">
        <v>330</v>
      </c>
      <c r="F220" s="68">
        <v>6</v>
      </c>
      <c r="G220" s="68" t="s">
        <v>331</v>
      </c>
      <c r="H220" s="69">
        <v>726</v>
      </c>
      <c r="I220" s="89">
        <v>19.38</v>
      </c>
      <c r="J220" s="69">
        <v>14094</v>
      </c>
      <c r="K220" s="72"/>
      <c r="L220" s="69">
        <f t="shared" ref="L220" si="526">J220-(J220*K220)</f>
        <v>14094</v>
      </c>
      <c r="M220" s="86">
        <f t="shared" ref="M220" si="527">L220/H220</f>
        <v>19.41322314049587</v>
      </c>
      <c r="N220" s="79"/>
      <c r="O220" s="79"/>
      <c r="P220" s="79"/>
      <c r="Q220" s="79">
        <v>7.32</v>
      </c>
      <c r="R220" s="79">
        <v>12.66</v>
      </c>
      <c r="S220" s="84">
        <v>15.4</v>
      </c>
      <c r="T220" s="85">
        <f>AVERAGE(N220:R220)</f>
        <v>9.99</v>
      </c>
      <c r="U220" s="63" t="s">
        <v>769</v>
      </c>
      <c r="V220" s="77" t="s">
        <v>103</v>
      </c>
      <c r="W220" s="77"/>
      <c r="X220" s="78">
        <v>0.56000000000000005</v>
      </c>
      <c r="Y220" s="78">
        <v>0.65</v>
      </c>
      <c r="Z220" s="79">
        <v>0.45</v>
      </c>
      <c r="AA220" s="80">
        <v>45853</v>
      </c>
      <c r="AB220" s="81">
        <f t="shared" ref="AB220" si="528">IFERROR(AVERAGE(AS220:CP220),0)</f>
        <v>54.1875</v>
      </c>
      <c r="AC220" s="81">
        <f t="shared" si="516"/>
        <v>35.221875000000004</v>
      </c>
      <c r="AD220" s="81">
        <f t="shared" ref="AD220" si="529">(AC220*L220)/2000</f>
        <v>248.20855312500004</v>
      </c>
      <c r="AE220" s="81">
        <f t="shared" ref="AE220" si="530">IFERROR((AD220/I220),"")</f>
        <v>12.807458881578951</v>
      </c>
      <c r="AF220" s="167">
        <f t="shared" ref="AF220" si="531">IFERROR(((AE220-S220)/AE220),"")</f>
        <v>-0.20242431714146808</v>
      </c>
      <c r="AG220" s="264"/>
      <c r="AH220" s="264">
        <f t="shared" si="475"/>
        <v>0</v>
      </c>
      <c r="AI220" s="77">
        <v>11.25</v>
      </c>
      <c r="AJ220" s="79">
        <f t="shared" ref="AJ220" si="532">AD220-(AI220*I220)</f>
        <v>30.18355312500006</v>
      </c>
      <c r="AK220" s="82">
        <f t="shared" ref="AK220" si="533">AJ220/I220</f>
        <v>1.5574588815789505</v>
      </c>
      <c r="AL220" s="82">
        <f t="shared" ref="AL220" si="534">(((AI220*M220)*2000)/L220)/X220</f>
        <v>55.342384887839437</v>
      </c>
      <c r="AM220" s="82">
        <f t="shared" ref="AM220" si="535">((AJ220*2000)/Z220)/J220</f>
        <v>9.5181726266496565</v>
      </c>
      <c r="AN220" s="82" t="s">
        <v>701</v>
      </c>
      <c r="AO220" s="82"/>
      <c r="AP220" s="82"/>
      <c r="AR220" s="77" t="s">
        <v>116</v>
      </c>
      <c r="AS220" s="63">
        <v>53</v>
      </c>
      <c r="AT220" s="63">
        <v>55</v>
      </c>
      <c r="AU220" s="63">
        <v>50</v>
      </c>
      <c r="AV220" s="63">
        <v>52</v>
      </c>
      <c r="AW220" s="63">
        <v>57</v>
      </c>
      <c r="AX220" s="63">
        <v>49</v>
      </c>
      <c r="AY220" s="63">
        <v>51</v>
      </c>
      <c r="AZ220" s="63">
        <v>59</v>
      </c>
      <c r="BA220" s="63">
        <v>48</v>
      </c>
      <c r="BB220" s="63">
        <v>60</v>
      </c>
      <c r="BC220" s="63">
        <v>58</v>
      </c>
      <c r="BD220" s="63">
        <v>50</v>
      </c>
      <c r="BE220" s="63">
        <v>49</v>
      </c>
      <c r="BF220" s="63">
        <v>57</v>
      </c>
      <c r="BG220" s="63">
        <v>59</v>
      </c>
      <c r="BH220" s="63">
        <v>60</v>
      </c>
    </row>
    <row r="221" spans="1:94" s="113" customFormat="1">
      <c r="A221" s="113" t="s">
        <v>262</v>
      </c>
      <c r="B221" s="113" t="s">
        <v>340</v>
      </c>
      <c r="C221" s="114" t="s">
        <v>341</v>
      </c>
      <c r="D221" s="128" t="s">
        <v>87</v>
      </c>
      <c r="E221" s="127" t="s">
        <v>330</v>
      </c>
      <c r="F221" s="132" t="s">
        <v>342</v>
      </c>
      <c r="G221" s="126" t="s">
        <v>343</v>
      </c>
      <c r="H221" s="123">
        <v>726</v>
      </c>
      <c r="I221" s="131">
        <v>36.770000000000003</v>
      </c>
      <c r="J221" s="123">
        <v>26701</v>
      </c>
      <c r="K221" s="124">
        <v>4.2000000000000003E-2</v>
      </c>
      <c r="L221" s="123">
        <f t="shared" si="509"/>
        <v>25579.558000000001</v>
      </c>
      <c r="M221" s="122">
        <f t="shared" si="415"/>
        <v>35.23355096418733</v>
      </c>
      <c r="N221" s="125"/>
      <c r="O221" s="125"/>
      <c r="P221" s="125"/>
      <c r="Q221" s="125"/>
      <c r="R221" s="125"/>
      <c r="S221" s="154">
        <v>8.61</v>
      </c>
      <c r="T221" s="129"/>
      <c r="U221" s="113" t="s">
        <v>769</v>
      </c>
      <c r="V221" s="115" t="s">
        <v>103</v>
      </c>
      <c r="W221" s="115"/>
      <c r="X221" s="120">
        <v>0.52</v>
      </c>
      <c r="Y221" s="120"/>
      <c r="Z221" s="118">
        <v>0.55000000000000004</v>
      </c>
      <c r="AA221" s="119">
        <v>45765</v>
      </c>
      <c r="AB221" s="117">
        <f t="shared" ref="AB221:AB248" si="536">IFERROR(AVERAGE(AS221:CP221),0)</f>
        <v>66.384615384615387</v>
      </c>
      <c r="AC221" s="117">
        <f t="shared" si="471"/>
        <v>34.520000000000003</v>
      </c>
      <c r="AD221" s="117">
        <f t="shared" si="416"/>
        <v>441.50317108000007</v>
      </c>
      <c r="AE221" s="117">
        <f t="shared" si="472"/>
        <v>12.007157222735927</v>
      </c>
      <c r="AF221" s="170">
        <f t="shared" si="511"/>
        <v>0.28292768718837996</v>
      </c>
      <c r="AG221" s="265">
        <v>16.489999999999998</v>
      </c>
      <c r="AH221" s="265">
        <f t="shared" si="475"/>
        <v>0.68430007437697304</v>
      </c>
      <c r="AI221" s="115">
        <v>11.5</v>
      </c>
      <c r="AJ221" s="118">
        <f t="shared" si="512"/>
        <v>18.648171080000054</v>
      </c>
      <c r="AK221" s="116">
        <f t="shared" si="513"/>
        <v>0.50715722273592745</v>
      </c>
      <c r="AL221" s="116">
        <f t="shared" si="514"/>
        <v>60.923924560288192</v>
      </c>
      <c r="AM221" s="116">
        <f t="shared" si="515"/>
        <v>2.5396626043968462</v>
      </c>
      <c r="AN221" s="116" t="s">
        <v>701</v>
      </c>
      <c r="AO221" s="29">
        <f t="shared" ref="AO221:AO226" si="537">9*I221</f>
        <v>330.93</v>
      </c>
      <c r="AP221" s="29">
        <f t="shared" ref="AP221:AP226" si="538">AD221-AO221</f>
        <v>110.57317108000007</v>
      </c>
      <c r="AR221" s="115" t="s">
        <v>282</v>
      </c>
      <c r="AS221" s="113">
        <v>66</v>
      </c>
      <c r="AT221" s="113">
        <v>73</v>
      </c>
      <c r="AU221" s="113">
        <v>63</v>
      </c>
      <c r="AV221" s="113">
        <v>65</v>
      </c>
      <c r="AW221" s="113">
        <v>59</v>
      </c>
      <c r="AX221" s="113">
        <v>68</v>
      </c>
      <c r="AY221" s="113">
        <v>64</v>
      </c>
      <c r="AZ221" s="113">
        <v>73</v>
      </c>
      <c r="BA221" s="113">
        <v>65</v>
      </c>
      <c r="BB221" s="113">
        <v>63</v>
      </c>
      <c r="BC221" s="113">
        <v>66</v>
      </c>
      <c r="BD221" s="113">
        <v>72</v>
      </c>
      <c r="BE221" s="113">
        <v>66</v>
      </c>
    </row>
    <row r="222" spans="1:94" s="63" customFormat="1">
      <c r="A222" s="113" t="s">
        <v>262</v>
      </c>
      <c r="B222" s="113" t="s">
        <v>340</v>
      </c>
      <c r="C222" s="114" t="s">
        <v>341</v>
      </c>
      <c r="D222" s="128" t="s">
        <v>87</v>
      </c>
      <c r="E222" s="127" t="s">
        <v>330</v>
      </c>
      <c r="F222" s="132" t="s">
        <v>342</v>
      </c>
      <c r="G222" s="126" t="s">
        <v>343</v>
      </c>
      <c r="H222" s="123">
        <v>726</v>
      </c>
      <c r="I222" s="131">
        <v>36.770000000000003</v>
      </c>
      <c r="J222" s="123">
        <v>26701</v>
      </c>
      <c r="K222" s="124">
        <v>4.2000000000000003E-2</v>
      </c>
      <c r="L222" s="123">
        <f t="shared" si="509"/>
        <v>25579.558000000001</v>
      </c>
      <c r="M222" s="122">
        <f t="shared" si="415"/>
        <v>35.23355096418733</v>
      </c>
      <c r="N222" s="125"/>
      <c r="O222" s="125"/>
      <c r="P222" s="125"/>
      <c r="Q222" s="125"/>
      <c r="R222" s="125"/>
      <c r="S222" s="154">
        <v>8.61</v>
      </c>
      <c r="T222" s="129"/>
      <c r="U222" s="113" t="s">
        <v>769</v>
      </c>
      <c r="V222" s="115" t="s">
        <v>103</v>
      </c>
      <c r="W222" s="115"/>
      <c r="X222" s="120">
        <v>0.52</v>
      </c>
      <c r="Y222" s="120"/>
      <c r="Z222" s="118">
        <v>0.55000000000000004</v>
      </c>
      <c r="AA222" s="119">
        <v>45778</v>
      </c>
      <c r="AB222" s="117">
        <f t="shared" si="536"/>
        <v>69.444444444444443</v>
      </c>
      <c r="AC222" s="117">
        <f t="shared" si="471"/>
        <v>36.111111111111114</v>
      </c>
      <c r="AD222" s="117">
        <f t="shared" si="416"/>
        <v>461.85313055555565</v>
      </c>
      <c r="AE222" s="117">
        <f t="shared" si="472"/>
        <v>12.56059642522588</v>
      </c>
      <c r="AF222" s="170">
        <f t="shared" si="511"/>
        <v>0.31452299647903353</v>
      </c>
      <c r="AG222" s="265">
        <v>16.489999999999998</v>
      </c>
      <c r="AH222" s="265">
        <f t="shared" si="475"/>
        <v>0.65414876033057845</v>
      </c>
      <c r="AI222" s="115">
        <v>11.5</v>
      </c>
      <c r="AJ222" s="118">
        <f t="shared" si="512"/>
        <v>38.998130555555633</v>
      </c>
      <c r="AK222" s="116">
        <f t="shared" si="513"/>
        <v>1.0605964252258806</v>
      </c>
      <c r="AL222" s="116">
        <f t="shared" si="514"/>
        <v>60.923924560288192</v>
      </c>
      <c r="AM222" s="116">
        <f t="shared" si="515"/>
        <v>5.3110888670231109</v>
      </c>
      <c r="AN222" s="116" t="s">
        <v>701</v>
      </c>
      <c r="AO222" s="29">
        <f t="shared" si="537"/>
        <v>330.93</v>
      </c>
      <c r="AP222" s="29">
        <f t="shared" si="538"/>
        <v>130.92313055555564</v>
      </c>
      <c r="AQ222" s="113"/>
      <c r="AR222" s="115" t="s">
        <v>282</v>
      </c>
      <c r="AS222" s="113">
        <v>72</v>
      </c>
      <c r="AT222" s="113">
        <v>68</v>
      </c>
      <c r="AU222" s="113">
        <v>74</v>
      </c>
      <c r="AV222" s="113">
        <v>69</v>
      </c>
      <c r="AW222" s="113">
        <v>65</v>
      </c>
      <c r="AX222" s="113">
        <v>68</v>
      </c>
      <c r="AY222" s="113">
        <v>70</v>
      </c>
      <c r="AZ222" s="113">
        <v>74</v>
      </c>
      <c r="BA222" s="113">
        <v>64</v>
      </c>
      <c r="BB222" s="113">
        <v>66</v>
      </c>
      <c r="BC222" s="113">
        <v>71</v>
      </c>
      <c r="BD222" s="113">
        <v>64</v>
      </c>
      <c r="BE222" s="113">
        <v>64</v>
      </c>
      <c r="BF222" s="113">
        <v>68</v>
      </c>
      <c r="BG222" s="113">
        <v>73</v>
      </c>
      <c r="BH222" s="113">
        <v>67</v>
      </c>
      <c r="BI222" s="113">
        <v>69</v>
      </c>
      <c r="BJ222" s="113">
        <v>66</v>
      </c>
      <c r="BK222" s="113">
        <v>72</v>
      </c>
      <c r="BL222" s="113">
        <v>68</v>
      </c>
      <c r="BM222" s="113">
        <v>65</v>
      </c>
      <c r="BN222" s="113">
        <v>74</v>
      </c>
      <c r="BO222" s="113">
        <v>74</v>
      </c>
      <c r="BP222" s="113">
        <v>71</v>
      </c>
      <c r="BQ222" s="113">
        <v>71</v>
      </c>
      <c r="BR222" s="113">
        <v>79</v>
      </c>
      <c r="BS222" s="113">
        <v>69</v>
      </c>
      <c r="BT222" s="113"/>
      <c r="BU222" s="113"/>
      <c r="BV222" s="113"/>
      <c r="BW222" s="113"/>
      <c r="BX222" s="113"/>
      <c r="BY222" s="113"/>
      <c r="BZ222" s="113"/>
      <c r="CA222" s="113"/>
      <c r="CB222" s="113"/>
      <c r="CC222" s="113"/>
      <c r="CD222" s="113"/>
      <c r="CE222" s="113"/>
      <c r="CF222" s="113"/>
      <c r="CG222" s="113"/>
      <c r="CH222" s="113"/>
      <c r="CI222" s="113"/>
      <c r="CJ222" s="113"/>
      <c r="CK222" s="113"/>
      <c r="CL222" s="113"/>
      <c r="CM222" s="113"/>
      <c r="CN222" s="113"/>
      <c r="CO222" s="113"/>
      <c r="CP222" s="113"/>
    </row>
    <row r="223" spans="1:94" s="63" customFormat="1">
      <c r="A223" s="113" t="s">
        <v>262</v>
      </c>
      <c r="B223" s="113" t="s">
        <v>340</v>
      </c>
      <c r="C223" s="114" t="s">
        <v>341</v>
      </c>
      <c r="D223" s="128" t="s">
        <v>87</v>
      </c>
      <c r="E223" s="127" t="s">
        <v>330</v>
      </c>
      <c r="F223" s="132" t="s">
        <v>342</v>
      </c>
      <c r="G223" s="126" t="s">
        <v>343</v>
      </c>
      <c r="H223" s="123">
        <v>726</v>
      </c>
      <c r="I223" s="131">
        <v>36.770000000000003</v>
      </c>
      <c r="J223" s="123">
        <v>26701</v>
      </c>
      <c r="K223" s="124">
        <v>4.2000000000000003E-2</v>
      </c>
      <c r="L223" s="123">
        <f t="shared" si="509"/>
        <v>25579.558000000001</v>
      </c>
      <c r="M223" s="122">
        <f t="shared" si="415"/>
        <v>35.23355096418733</v>
      </c>
      <c r="N223" s="125"/>
      <c r="O223" s="125"/>
      <c r="P223" s="125"/>
      <c r="Q223" s="125"/>
      <c r="R223" s="125"/>
      <c r="S223" s="154">
        <v>8.61</v>
      </c>
      <c r="T223" s="129"/>
      <c r="U223" s="113" t="s">
        <v>769</v>
      </c>
      <c r="V223" s="115" t="s">
        <v>103</v>
      </c>
      <c r="W223" s="115"/>
      <c r="X223" s="120">
        <v>0.52</v>
      </c>
      <c r="Y223" s="120"/>
      <c r="Z223" s="118">
        <v>0.55000000000000004</v>
      </c>
      <c r="AA223" s="119">
        <v>45783</v>
      </c>
      <c r="AB223" s="117">
        <f t="shared" si="536"/>
        <v>76.875</v>
      </c>
      <c r="AC223" s="117">
        <f t="shared" si="471"/>
        <v>39.975000000000001</v>
      </c>
      <c r="AD223" s="117">
        <f t="shared" si="416"/>
        <v>511.27141552500001</v>
      </c>
      <c r="AE223" s="117">
        <f t="shared" si="472"/>
        <v>13.904580242725046</v>
      </c>
      <c r="AF223" s="170">
        <f t="shared" si="511"/>
        <v>0.380779581281873</v>
      </c>
      <c r="AG223" s="265">
        <v>16.489999999999998</v>
      </c>
      <c r="AH223" s="265">
        <f t="shared" si="475"/>
        <v>0.59092028936818286</v>
      </c>
      <c r="AI223" s="115">
        <v>11.5</v>
      </c>
      <c r="AJ223" s="118">
        <f t="shared" si="512"/>
        <v>88.416415524999991</v>
      </c>
      <c r="AK223" s="116">
        <f t="shared" si="513"/>
        <v>2.4045802427250473</v>
      </c>
      <c r="AL223" s="116">
        <f t="shared" si="514"/>
        <v>60.923924560288192</v>
      </c>
      <c r="AM223" s="116">
        <f t="shared" si="515"/>
        <v>12.041280786215019</v>
      </c>
      <c r="AN223" s="116" t="s">
        <v>701</v>
      </c>
      <c r="AO223" s="29">
        <f t="shared" si="537"/>
        <v>330.93</v>
      </c>
      <c r="AP223" s="29">
        <f t="shared" si="538"/>
        <v>180.341415525</v>
      </c>
      <c r="AQ223" s="113"/>
      <c r="AR223" s="115" t="s">
        <v>91</v>
      </c>
      <c r="AS223" s="113">
        <v>63</v>
      </c>
      <c r="AT223" s="113">
        <v>72</v>
      </c>
      <c r="AU223" s="113">
        <v>76</v>
      </c>
      <c r="AV223" s="113">
        <v>74</v>
      </c>
      <c r="AW223" s="113">
        <v>69</v>
      </c>
      <c r="AX223" s="113">
        <v>80</v>
      </c>
      <c r="AY223" s="113">
        <v>51</v>
      </c>
      <c r="AZ223" s="113">
        <v>74</v>
      </c>
      <c r="BA223" s="113">
        <v>66</v>
      </c>
      <c r="BB223" s="113">
        <v>82</v>
      </c>
      <c r="BC223" s="113">
        <v>96</v>
      </c>
      <c r="BD223" s="113">
        <v>76</v>
      </c>
      <c r="BE223" s="113">
        <v>83</v>
      </c>
      <c r="BF223" s="113">
        <v>88</v>
      </c>
      <c r="BG223" s="113">
        <v>87</v>
      </c>
      <c r="BH223" s="113">
        <v>93</v>
      </c>
      <c r="BI223" s="113"/>
      <c r="BJ223" s="113"/>
      <c r="BK223" s="113"/>
      <c r="BL223" s="113"/>
      <c r="BM223" s="113"/>
      <c r="BN223" s="113"/>
      <c r="BO223" s="113"/>
      <c r="BP223" s="113"/>
      <c r="BQ223" s="113"/>
      <c r="BR223" s="113"/>
      <c r="BS223" s="113"/>
      <c r="BT223" s="113"/>
      <c r="BU223" s="113"/>
      <c r="BV223" s="113"/>
      <c r="BW223" s="113"/>
      <c r="BX223" s="113"/>
      <c r="BY223" s="113"/>
      <c r="BZ223" s="113"/>
      <c r="CA223" s="113"/>
      <c r="CB223" s="113"/>
      <c r="CC223" s="113"/>
      <c r="CD223" s="113"/>
      <c r="CE223" s="113"/>
      <c r="CF223" s="113"/>
      <c r="CG223" s="113"/>
      <c r="CH223" s="113"/>
      <c r="CI223" s="113"/>
      <c r="CJ223" s="113"/>
      <c r="CK223" s="113"/>
      <c r="CL223" s="113"/>
      <c r="CM223" s="113"/>
      <c r="CN223" s="113"/>
      <c r="CO223" s="113"/>
      <c r="CP223" s="113"/>
    </row>
    <row r="224" spans="1:94" s="63" customFormat="1">
      <c r="A224" s="113" t="s">
        <v>262</v>
      </c>
      <c r="B224" s="113" t="s">
        <v>340</v>
      </c>
      <c r="C224" s="114" t="s">
        <v>341</v>
      </c>
      <c r="D224" s="128" t="s">
        <v>87</v>
      </c>
      <c r="E224" s="127" t="s">
        <v>330</v>
      </c>
      <c r="F224" s="132" t="s">
        <v>342</v>
      </c>
      <c r="G224" s="126" t="s">
        <v>343</v>
      </c>
      <c r="H224" s="123">
        <v>726</v>
      </c>
      <c r="I224" s="131">
        <v>36.770000000000003</v>
      </c>
      <c r="J224" s="123">
        <v>26701</v>
      </c>
      <c r="K224" s="124">
        <v>4.2000000000000003E-2</v>
      </c>
      <c r="L224" s="123">
        <f t="shared" si="509"/>
        <v>25579.558000000001</v>
      </c>
      <c r="M224" s="122">
        <f t="shared" si="415"/>
        <v>35.23355096418733</v>
      </c>
      <c r="N224" s="125"/>
      <c r="O224" s="125"/>
      <c r="P224" s="125"/>
      <c r="Q224" s="125"/>
      <c r="R224" s="125"/>
      <c r="S224" s="154">
        <v>8.61</v>
      </c>
      <c r="T224" s="129"/>
      <c r="U224" s="113" t="s">
        <v>769</v>
      </c>
      <c r="V224" s="115" t="s">
        <v>103</v>
      </c>
      <c r="W224" s="115"/>
      <c r="X224" s="120">
        <v>0.52</v>
      </c>
      <c r="Y224" s="120"/>
      <c r="Z224" s="118">
        <v>0.55000000000000004</v>
      </c>
      <c r="AA224" s="119">
        <v>45817</v>
      </c>
      <c r="AB224" s="117">
        <f t="shared" si="536"/>
        <v>73.916666666666671</v>
      </c>
      <c r="AC224" s="117">
        <f t="shared" si="471"/>
        <v>38.436666666666667</v>
      </c>
      <c r="AD224" s="117">
        <f t="shared" si="416"/>
        <v>491.59647216333337</v>
      </c>
      <c r="AE224" s="117">
        <f t="shared" si="472"/>
        <v>13.369498835010425</v>
      </c>
      <c r="AF224" s="170">
        <f t="shared" si="511"/>
        <v>0.35599680240420278</v>
      </c>
      <c r="AG224" s="265">
        <v>16.489999999999998</v>
      </c>
      <c r="AH224" s="265">
        <f t="shared" si="475"/>
        <v>0.61457042496296355</v>
      </c>
      <c r="AI224" s="115">
        <v>11.5</v>
      </c>
      <c r="AJ224" s="118">
        <f t="shared" si="512"/>
        <v>68.741472163333356</v>
      </c>
      <c r="AK224" s="116">
        <f t="shared" si="513"/>
        <v>1.8694988350104256</v>
      </c>
      <c r="AL224" s="116">
        <f t="shared" si="514"/>
        <v>60.923924560288192</v>
      </c>
      <c r="AM224" s="116">
        <f t="shared" si="515"/>
        <v>9.361783816518054</v>
      </c>
      <c r="AN224" s="116" t="s">
        <v>701</v>
      </c>
      <c r="AO224" s="29">
        <f t="shared" si="537"/>
        <v>330.93</v>
      </c>
      <c r="AP224" s="29">
        <f t="shared" si="538"/>
        <v>160.66647216333337</v>
      </c>
      <c r="AQ224" s="113"/>
      <c r="AR224" s="115" t="s">
        <v>91</v>
      </c>
      <c r="AS224" s="113">
        <v>72</v>
      </c>
      <c r="AT224" s="113">
        <v>59</v>
      </c>
      <c r="AU224" s="113">
        <v>66</v>
      </c>
      <c r="AV224" s="113">
        <v>75</v>
      </c>
      <c r="AW224" s="113">
        <v>74</v>
      </c>
      <c r="AX224" s="113">
        <v>78</v>
      </c>
      <c r="AY224" s="113">
        <v>69</v>
      </c>
      <c r="AZ224" s="113">
        <v>82</v>
      </c>
      <c r="BA224" s="113">
        <v>83</v>
      </c>
      <c r="BB224" s="113">
        <v>68</v>
      </c>
      <c r="BC224" s="113">
        <v>78</v>
      </c>
      <c r="BD224" s="113">
        <v>83</v>
      </c>
      <c r="BE224" s="113"/>
      <c r="BF224" s="113"/>
      <c r="BG224" s="113"/>
      <c r="BH224" s="113"/>
      <c r="BI224" s="113"/>
      <c r="BJ224" s="113"/>
      <c r="BK224" s="113"/>
      <c r="BL224" s="113"/>
      <c r="BM224" s="113"/>
      <c r="BN224" s="113"/>
      <c r="BO224" s="113"/>
      <c r="BP224" s="113"/>
      <c r="BQ224" s="113"/>
      <c r="BR224" s="113"/>
      <c r="BS224" s="113"/>
      <c r="BT224" s="113"/>
      <c r="BU224" s="113"/>
      <c r="BV224" s="113"/>
      <c r="BW224" s="113"/>
      <c r="BX224" s="113"/>
      <c r="BY224" s="113"/>
      <c r="BZ224" s="113"/>
      <c r="CA224" s="113"/>
      <c r="CB224" s="113"/>
      <c r="CC224" s="113"/>
      <c r="CD224" s="113"/>
      <c r="CE224" s="113"/>
      <c r="CF224" s="113"/>
      <c r="CG224" s="113"/>
      <c r="CH224" s="113"/>
      <c r="CI224" s="113"/>
      <c r="CJ224" s="113"/>
      <c r="CK224" s="113"/>
      <c r="CL224" s="113"/>
      <c r="CM224" s="113"/>
      <c r="CN224" s="113"/>
      <c r="CO224" s="113"/>
      <c r="CP224" s="113"/>
    </row>
    <row r="225" spans="1:94" s="63" customFormat="1">
      <c r="A225" s="113" t="s">
        <v>262</v>
      </c>
      <c r="B225" s="113" t="s">
        <v>340</v>
      </c>
      <c r="C225" s="114" t="s">
        <v>341</v>
      </c>
      <c r="D225" s="128" t="s">
        <v>87</v>
      </c>
      <c r="E225" s="127" t="s">
        <v>330</v>
      </c>
      <c r="F225" s="132" t="s">
        <v>342</v>
      </c>
      <c r="G225" s="126" t="s">
        <v>343</v>
      </c>
      <c r="H225" s="123">
        <v>726</v>
      </c>
      <c r="I225" s="131">
        <v>36.770000000000003</v>
      </c>
      <c r="J225" s="123">
        <v>26701</v>
      </c>
      <c r="K225" s="124">
        <v>4.2000000000000003E-2</v>
      </c>
      <c r="L225" s="123">
        <f t="shared" ref="L225" si="539">J225-(J225*K225)</f>
        <v>25579.558000000001</v>
      </c>
      <c r="M225" s="122">
        <f t="shared" ref="M225" si="540">L225/H225</f>
        <v>35.23355096418733</v>
      </c>
      <c r="N225" s="125"/>
      <c r="O225" s="125"/>
      <c r="P225" s="125"/>
      <c r="Q225" s="125"/>
      <c r="R225" s="125"/>
      <c r="S225" s="154">
        <v>8.61</v>
      </c>
      <c r="T225" s="129"/>
      <c r="U225" s="113" t="s">
        <v>769</v>
      </c>
      <c r="V225" s="115" t="s">
        <v>103</v>
      </c>
      <c r="W225" s="115"/>
      <c r="X225" s="120">
        <v>0.52</v>
      </c>
      <c r="Y225" s="120"/>
      <c r="Z225" s="118">
        <v>0.55000000000000004</v>
      </c>
      <c r="AA225" s="119">
        <v>45841</v>
      </c>
      <c r="AB225" s="117">
        <f t="shared" ref="AB225" si="541">IFERROR(AVERAGE(AS225:CP225),0)</f>
        <v>66</v>
      </c>
      <c r="AC225" s="117">
        <f t="shared" ref="AC225" si="542">AB225*X225</f>
        <v>34.32</v>
      </c>
      <c r="AD225" s="117">
        <f t="shared" ref="AD225" si="543">(AC225*L225)/2000</f>
        <v>438.94521528000001</v>
      </c>
      <c r="AE225" s="117">
        <f t="shared" ref="AE225" si="544">IFERROR((AD225/I225),"")</f>
        <v>11.937590842534675</v>
      </c>
      <c r="AF225" s="170">
        <f t="shared" ref="AF225" si="545">IFERROR(((AE225-S225)/AE225),"")</f>
        <v>0.27874894410672713</v>
      </c>
      <c r="AG225" s="265">
        <v>16.489999999999998</v>
      </c>
      <c r="AH225" s="265">
        <f t="shared" si="475"/>
        <v>0.68828783704816754</v>
      </c>
      <c r="AI225" s="115">
        <v>11.5</v>
      </c>
      <c r="AJ225" s="118">
        <f t="shared" ref="AJ225" si="546">AD225-(AI225*I225)</f>
        <v>16.090215279999995</v>
      </c>
      <c r="AK225" s="116">
        <f t="shared" ref="AK225" si="547">AJ225/I225</f>
        <v>0.43759084253467484</v>
      </c>
      <c r="AL225" s="116">
        <f t="shared" ref="AL225" si="548">(((AI225*M225)*2000)/L225)/X225</f>
        <v>60.923924560288192</v>
      </c>
      <c r="AM225" s="116">
        <f t="shared" ref="AM225" si="549">((AJ225*2000)/Z225)/J225</f>
        <v>2.1912989680332018</v>
      </c>
      <c r="AN225" s="116" t="s">
        <v>701</v>
      </c>
      <c r="AO225" s="29">
        <f t="shared" si="537"/>
        <v>330.93</v>
      </c>
      <c r="AP225" s="29">
        <f t="shared" si="538"/>
        <v>108.01521528000001</v>
      </c>
      <c r="AQ225" s="113" t="s">
        <v>333</v>
      </c>
      <c r="AR225" s="115" t="s">
        <v>91</v>
      </c>
      <c r="AS225" s="113">
        <v>66</v>
      </c>
      <c r="AT225" s="113">
        <v>72</v>
      </c>
      <c r="AU225" s="113">
        <v>60</v>
      </c>
      <c r="AV225" s="113">
        <v>67</v>
      </c>
      <c r="AW225" s="113">
        <v>63</v>
      </c>
      <c r="AX225" s="113">
        <v>60</v>
      </c>
      <c r="AY225" s="113">
        <v>64</v>
      </c>
      <c r="AZ225" s="113">
        <v>59</v>
      </c>
      <c r="BA225" s="113">
        <v>63</v>
      </c>
      <c r="BB225" s="113">
        <v>73</v>
      </c>
      <c r="BC225" s="113">
        <v>77</v>
      </c>
      <c r="BD225" s="113">
        <v>68</v>
      </c>
      <c r="BE225" s="113"/>
      <c r="BF225" s="113"/>
      <c r="BG225" s="113"/>
      <c r="BH225" s="113"/>
      <c r="BI225" s="113"/>
      <c r="BJ225" s="113"/>
      <c r="BK225" s="113"/>
      <c r="BL225" s="113"/>
      <c r="BM225" s="113"/>
      <c r="BN225" s="113"/>
      <c r="BO225" s="113"/>
      <c r="BP225" s="113"/>
      <c r="BQ225" s="113"/>
      <c r="BR225" s="113"/>
      <c r="BS225" s="113"/>
      <c r="BT225" s="113"/>
      <c r="BU225" s="113"/>
      <c r="BV225" s="113"/>
      <c r="BW225" s="113"/>
      <c r="BX225" s="113"/>
      <c r="BY225" s="113"/>
      <c r="BZ225" s="113"/>
      <c r="CA225" s="113"/>
      <c r="CB225" s="113"/>
      <c r="CC225" s="113"/>
      <c r="CD225" s="113"/>
      <c r="CE225" s="113"/>
      <c r="CF225" s="113"/>
      <c r="CG225" s="113"/>
      <c r="CH225" s="113"/>
      <c r="CI225" s="113"/>
      <c r="CJ225" s="113"/>
      <c r="CK225" s="113"/>
      <c r="CL225" s="113"/>
      <c r="CM225" s="113"/>
      <c r="CN225" s="113"/>
      <c r="CO225" s="113"/>
      <c r="CP225" s="113"/>
    </row>
    <row r="226" spans="1:94" s="63" customFormat="1">
      <c r="A226" s="113" t="s">
        <v>262</v>
      </c>
      <c r="B226" s="113" t="s">
        <v>340</v>
      </c>
      <c r="C226" s="114" t="s">
        <v>341</v>
      </c>
      <c r="D226" s="128" t="s">
        <v>87</v>
      </c>
      <c r="E226" s="127" t="s">
        <v>330</v>
      </c>
      <c r="F226" s="132" t="s">
        <v>342</v>
      </c>
      <c r="G226" s="126" t="s">
        <v>343</v>
      </c>
      <c r="H226" s="123">
        <v>726</v>
      </c>
      <c r="I226" s="131">
        <v>36.770000000000003</v>
      </c>
      <c r="J226" s="123">
        <v>26701</v>
      </c>
      <c r="K226" s="124">
        <v>4.2000000000000003E-2</v>
      </c>
      <c r="L226" s="123">
        <f t="shared" ref="L226" si="550">J226-(J226*K226)</f>
        <v>25579.558000000001</v>
      </c>
      <c r="M226" s="122">
        <f t="shared" ref="M226" si="551">L226/H226</f>
        <v>35.23355096418733</v>
      </c>
      <c r="N226" s="125"/>
      <c r="O226" s="125"/>
      <c r="P226" s="125"/>
      <c r="Q226" s="125"/>
      <c r="R226" s="125"/>
      <c r="S226" s="154">
        <v>8.61</v>
      </c>
      <c r="T226" s="129"/>
      <c r="U226" s="113" t="s">
        <v>769</v>
      </c>
      <c r="V226" s="115" t="s">
        <v>103</v>
      </c>
      <c r="W226" s="115"/>
      <c r="X226" s="120">
        <v>0.52</v>
      </c>
      <c r="Y226" s="120"/>
      <c r="Z226" s="118">
        <v>0.55000000000000004</v>
      </c>
      <c r="AA226" s="119">
        <v>45853</v>
      </c>
      <c r="AB226" s="117">
        <f t="shared" ref="AB226" si="552">IFERROR(AVERAGE(AS226:CP226),0)</f>
        <v>75.1875</v>
      </c>
      <c r="AC226" s="117">
        <f t="shared" ref="AC226" si="553">AB226*X226</f>
        <v>39.097500000000004</v>
      </c>
      <c r="AD226" s="117">
        <f t="shared" ref="AD226" si="554">(AC226*L226)/2000</f>
        <v>500.0483844525001</v>
      </c>
      <c r="AE226" s="117">
        <f t="shared" ref="AE226" si="555">IFERROR((AD226/I226),"")</f>
        <v>13.599357749592061</v>
      </c>
      <c r="AF226" s="170">
        <f t="shared" ref="AF226" si="556">IFERROR(((AE226-S226)/AE226),"")</f>
        <v>0.36688186614854856</v>
      </c>
      <c r="AG226" s="265">
        <v>16.489999999999998</v>
      </c>
      <c r="AH226" s="265">
        <f t="shared" si="475"/>
        <v>0.60418283950362839</v>
      </c>
      <c r="AI226" s="115">
        <v>11.5</v>
      </c>
      <c r="AJ226" s="118">
        <f t="shared" ref="AJ226" si="557">AD226-(AI226*I226)</f>
        <v>77.193384452500084</v>
      </c>
      <c r="AK226" s="116">
        <f t="shared" ref="AK226" si="558">AJ226/I226</f>
        <v>2.0993577495920608</v>
      </c>
      <c r="AL226" s="116">
        <f t="shared" ref="AL226" si="559">(((AI226*M226)*2000)/L226)/X226</f>
        <v>60.923924560288192</v>
      </c>
      <c r="AM226" s="116">
        <f t="shared" ref="AM226" si="560">((AJ226*2000)/Z226)/J226</f>
        <v>10.512835331669578</v>
      </c>
      <c r="AN226" s="116" t="s">
        <v>701</v>
      </c>
      <c r="AO226" s="29">
        <f t="shared" si="537"/>
        <v>330.93</v>
      </c>
      <c r="AP226" s="29">
        <f t="shared" si="538"/>
        <v>169.11838445250009</v>
      </c>
      <c r="AQ226" s="113" t="s">
        <v>333</v>
      </c>
      <c r="AR226" s="115" t="s">
        <v>116</v>
      </c>
      <c r="AS226" s="113">
        <v>70</v>
      </c>
      <c r="AT226" s="113">
        <v>74</v>
      </c>
      <c r="AU226" s="113">
        <v>88</v>
      </c>
      <c r="AV226" s="113">
        <v>70</v>
      </c>
      <c r="AW226" s="113">
        <v>85</v>
      </c>
      <c r="AX226" s="113">
        <v>71</v>
      </c>
      <c r="AY226" s="113">
        <v>74</v>
      </c>
      <c r="AZ226" s="113">
        <v>62</v>
      </c>
      <c r="BA226" s="113">
        <v>79</v>
      </c>
      <c r="BB226" s="113">
        <v>83</v>
      </c>
      <c r="BC226" s="113">
        <v>79</v>
      </c>
      <c r="BD226" s="113">
        <v>75</v>
      </c>
      <c r="BE226" s="113">
        <v>70</v>
      </c>
      <c r="BF226" s="113">
        <v>69</v>
      </c>
      <c r="BG226" s="113">
        <v>78</v>
      </c>
      <c r="BH226" s="113">
        <v>76</v>
      </c>
      <c r="BI226" s="113"/>
      <c r="BJ226" s="113"/>
      <c r="BK226" s="113"/>
      <c r="BL226" s="113"/>
      <c r="BM226" s="113"/>
      <c r="BN226" s="113"/>
      <c r="BO226" s="113"/>
      <c r="BP226" s="113"/>
      <c r="BQ226" s="113"/>
      <c r="BR226" s="113"/>
      <c r="BS226" s="113"/>
      <c r="BT226" s="113"/>
      <c r="BU226" s="113"/>
      <c r="BV226" s="113"/>
      <c r="BW226" s="113"/>
      <c r="BX226" s="113"/>
      <c r="BY226" s="113"/>
      <c r="BZ226" s="113"/>
      <c r="CA226" s="113"/>
      <c r="CB226" s="113"/>
      <c r="CC226" s="113"/>
      <c r="CD226" s="113"/>
      <c r="CE226" s="113"/>
      <c r="CF226" s="113"/>
      <c r="CG226" s="113"/>
      <c r="CH226" s="113"/>
      <c r="CI226" s="113"/>
      <c r="CJ226" s="113"/>
      <c r="CK226" s="113"/>
      <c r="CL226" s="113"/>
      <c r="CM226" s="113"/>
      <c r="CN226" s="113"/>
      <c r="CO226" s="113"/>
      <c r="CP226" s="113"/>
    </row>
    <row r="227" spans="1:94" s="63" customFormat="1">
      <c r="A227" s="113" t="s">
        <v>262</v>
      </c>
      <c r="B227" s="113" t="s">
        <v>340</v>
      </c>
      <c r="C227" s="114" t="s">
        <v>341</v>
      </c>
      <c r="D227" s="128" t="s">
        <v>87</v>
      </c>
      <c r="E227" s="127" t="s">
        <v>330</v>
      </c>
      <c r="F227" s="132" t="s">
        <v>342</v>
      </c>
      <c r="G227" s="126" t="s">
        <v>343</v>
      </c>
      <c r="H227" s="123">
        <v>726</v>
      </c>
      <c r="I227" s="131">
        <v>36.770000000000003</v>
      </c>
      <c r="J227" s="123">
        <v>26701</v>
      </c>
      <c r="K227" s="124">
        <v>4.2000000000000003E-2</v>
      </c>
      <c r="L227" s="123">
        <f t="shared" ref="L227" si="561">J227-(J227*K227)</f>
        <v>25579.558000000001</v>
      </c>
      <c r="M227" s="122">
        <f t="shared" ref="M227" si="562">L227/H227</f>
        <v>35.23355096418733</v>
      </c>
      <c r="N227" s="125"/>
      <c r="O227" s="125"/>
      <c r="P227" s="125"/>
      <c r="Q227" s="125"/>
      <c r="R227" s="125"/>
      <c r="S227" s="154">
        <v>8.61</v>
      </c>
      <c r="T227" s="129"/>
      <c r="U227" s="113" t="s">
        <v>769</v>
      </c>
      <c r="V227" s="115" t="s">
        <v>103</v>
      </c>
      <c r="W227" s="115"/>
      <c r="X227" s="120">
        <v>0.52</v>
      </c>
      <c r="Y227" s="120"/>
      <c r="Z227" s="118">
        <v>0.55000000000000004</v>
      </c>
      <c r="AA227" s="119">
        <v>45855</v>
      </c>
      <c r="AB227" s="117">
        <f t="shared" ref="AB227" si="563">IFERROR(AVERAGE(AS227:CP227),0)</f>
        <v>70.849999999999994</v>
      </c>
      <c r="AC227" s="117">
        <f t="shared" ref="AC227" si="564">AB227*X227</f>
        <v>36.841999999999999</v>
      </c>
      <c r="AD227" s="117">
        <f t="shared" ref="AD227" si="565">(AC227*L227)/2000</f>
        <v>471.201037918</v>
      </c>
      <c r="AE227" s="117">
        <f t="shared" ref="AE227" si="566">IFERROR((AD227/I227),"")</f>
        <v>12.81482289687245</v>
      </c>
      <c r="AF227" s="170">
        <f t="shared" ref="AF227" si="567">IFERROR(((AE227-S227)/AE227),"")</f>
        <v>0.32812181102390947</v>
      </c>
      <c r="AG227" s="265">
        <v>16.489999999999998</v>
      </c>
      <c r="AH227" s="265">
        <f t="shared" si="475"/>
        <v>0.64117145017895638</v>
      </c>
      <c r="AI227" s="115">
        <v>11.5</v>
      </c>
      <c r="AJ227" s="118">
        <f t="shared" ref="AJ227" si="568">AD227-(AI227*I227)</f>
        <v>48.346037917999979</v>
      </c>
      <c r="AK227" s="116">
        <f t="shared" ref="AK227" si="569">AJ227/I227</f>
        <v>1.3148228968724496</v>
      </c>
      <c r="AL227" s="116">
        <f t="shared" ref="AL227" si="570">(((AI227*M227)*2000)/L227)/X227</f>
        <v>60.923924560288192</v>
      </c>
      <c r="AM227" s="116">
        <f t="shared" ref="AM227" si="571">((AJ227*2000)/Z227)/J227</f>
        <v>6.5841644225786542</v>
      </c>
      <c r="AN227" s="116" t="s">
        <v>701</v>
      </c>
      <c r="AO227" s="29">
        <f t="shared" ref="AO227" si="572">9*I227</f>
        <v>330.93</v>
      </c>
      <c r="AP227" s="29">
        <f t="shared" ref="AP227" si="573">AD227-AO227</f>
        <v>140.27103791799999</v>
      </c>
      <c r="AQ227" s="113" t="s">
        <v>333</v>
      </c>
      <c r="AR227" s="115" t="s">
        <v>770</v>
      </c>
      <c r="AS227" s="113">
        <v>63</v>
      </c>
      <c r="AT227" s="113">
        <v>75</v>
      </c>
      <c r="AU227" s="113">
        <v>66</v>
      </c>
      <c r="AV227" s="113">
        <v>74</v>
      </c>
      <c r="AW227" s="113">
        <v>67</v>
      </c>
      <c r="AX227" s="113">
        <v>83</v>
      </c>
      <c r="AY227" s="113">
        <v>66</v>
      </c>
      <c r="AZ227" s="113">
        <v>62</v>
      </c>
      <c r="BA227" s="113">
        <v>76</v>
      </c>
      <c r="BB227" s="113">
        <v>63</v>
      </c>
      <c r="BC227" s="113">
        <v>62</v>
      </c>
      <c r="BD227" s="113">
        <v>80</v>
      </c>
      <c r="BE227" s="113">
        <v>82</v>
      </c>
      <c r="BF227" s="113">
        <v>67</v>
      </c>
      <c r="BG227" s="113">
        <v>59</v>
      </c>
      <c r="BH227" s="113">
        <v>67</v>
      </c>
      <c r="BI227" s="113">
        <v>79</v>
      </c>
      <c r="BJ227" s="113">
        <v>83</v>
      </c>
      <c r="BK227" s="113">
        <v>75</v>
      </c>
      <c r="BL227" s="113">
        <v>68</v>
      </c>
      <c r="BM227" s="113"/>
      <c r="BN227" s="113"/>
      <c r="BO227" s="113"/>
      <c r="BP227" s="113"/>
      <c r="BQ227" s="113"/>
      <c r="BR227" s="113"/>
      <c r="BS227" s="113"/>
      <c r="BT227" s="113"/>
      <c r="BU227" s="113"/>
      <c r="BV227" s="113"/>
      <c r="BW227" s="113"/>
      <c r="BX227" s="113"/>
      <c r="BY227" s="113"/>
      <c r="BZ227" s="113"/>
      <c r="CA227" s="113"/>
      <c r="CB227" s="113"/>
      <c r="CC227" s="113"/>
      <c r="CD227" s="113"/>
      <c r="CE227" s="113"/>
      <c r="CF227" s="113"/>
      <c r="CG227" s="113"/>
      <c r="CH227" s="113"/>
      <c r="CI227" s="113"/>
      <c r="CJ227" s="113"/>
      <c r="CK227" s="113"/>
      <c r="CL227" s="113"/>
      <c r="CM227" s="113"/>
      <c r="CN227" s="113"/>
      <c r="CO227" s="113"/>
      <c r="CP227" s="113"/>
    </row>
    <row r="228" spans="1:94" s="63" customFormat="1">
      <c r="A228" s="113" t="s">
        <v>262</v>
      </c>
      <c r="B228" s="113" t="s">
        <v>340</v>
      </c>
      <c r="C228" s="114" t="s">
        <v>341</v>
      </c>
      <c r="D228" s="128" t="s">
        <v>87</v>
      </c>
      <c r="E228" s="127" t="s">
        <v>330</v>
      </c>
      <c r="F228" s="132" t="s">
        <v>342</v>
      </c>
      <c r="G228" s="126" t="s">
        <v>343</v>
      </c>
      <c r="H228" s="123">
        <v>726</v>
      </c>
      <c r="I228" s="131">
        <v>36.770000000000003</v>
      </c>
      <c r="J228" s="123">
        <v>26701</v>
      </c>
      <c r="K228" s="124">
        <v>4.2000000000000003E-2</v>
      </c>
      <c r="L228" s="123">
        <f t="shared" ref="L228" si="574">J228-(J228*K228)</f>
        <v>25579.558000000001</v>
      </c>
      <c r="M228" s="122">
        <f t="shared" ref="M228" si="575">L228/H228</f>
        <v>35.23355096418733</v>
      </c>
      <c r="N228" s="125"/>
      <c r="O228" s="125"/>
      <c r="P228" s="125"/>
      <c r="Q228" s="125"/>
      <c r="R228" s="125"/>
      <c r="S228" s="154">
        <v>8.61</v>
      </c>
      <c r="T228" s="129"/>
      <c r="U228" s="113" t="s">
        <v>769</v>
      </c>
      <c r="V228" s="115" t="s">
        <v>103</v>
      </c>
      <c r="W228" s="115"/>
      <c r="X228" s="120">
        <v>0.52</v>
      </c>
      <c r="Y228" s="120"/>
      <c r="Z228" s="118">
        <v>0.55000000000000004</v>
      </c>
      <c r="AA228" s="119">
        <v>45855</v>
      </c>
      <c r="AB228" s="117">
        <f t="shared" ref="AB228" si="576">IFERROR(AVERAGE(AS228:CP228),0)</f>
        <v>70.142857142857139</v>
      </c>
      <c r="AC228" s="117">
        <f t="shared" ref="AC228" si="577">AB228*X228</f>
        <v>36.474285714285713</v>
      </c>
      <c r="AD228" s="117">
        <f t="shared" ref="AD228" si="578">(AC228*L228)/2000</f>
        <v>466.49805346857147</v>
      </c>
      <c r="AE228" s="117">
        <f t="shared" ref="AE228" si="579">IFERROR((AD228/I228),"")</f>
        <v>12.686920137845293</v>
      </c>
      <c r="AF228" s="170">
        <f t="shared" ref="AF228" si="580">IFERROR(((AE228-S228)/AE228),"")</f>
        <v>0.32134829364013834</v>
      </c>
      <c r="AG228" s="265">
        <v>16.489999999999998</v>
      </c>
      <c r="AH228" s="265">
        <f t="shared" si="475"/>
        <v>0.64763539860744079</v>
      </c>
      <c r="AI228" s="115">
        <v>11.5</v>
      </c>
      <c r="AJ228" s="118">
        <f t="shared" ref="AJ228" si="581">AD228-(AI228*I228)</f>
        <v>43.643053468571452</v>
      </c>
      <c r="AK228" s="116">
        <f t="shared" ref="AK228" si="582">AJ228/I228</f>
        <v>1.1869201378452936</v>
      </c>
      <c r="AL228" s="116">
        <f t="shared" ref="AL228" si="583">(((AI228*M228)*2000)/L228)/X228</f>
        <v>60.923924560288192</v>
      </c>
      <c r="AM228" s="116">
        <f t="shared" ref="AM228" si="584">((AJ228*2000)/Z228)/J228</f>
        <v>5.9436729940072315</v>
      </c>
      <c r="AN228" s="116" t="s">
        <v>701</v>
      </c>
      <c r="AO228" s="29">
        <f t="shared" ref="AO228" si="585">9*I228</f>
        <v>330.93</v>
      </c>
      <c r="AP228" s="29">
        <f t="shared" ref="AP228" si="586">AD228-AO228</f>
        <v>135.56805346857146</v>
      </c>
      <c r="AQ228" s="113" t="s">
        <v>333</v>
      </c>
      <c r="AR228" s="115" t="s">
        <v>770</v>
      </c>
      <c r="AS228" s="113">
        <v>77</v>
      </c>
      <c r="AT228" s="113">
        <v>69</v>
      </c>
      <c r="AU228" s="113">
        <v>59</v>
      </c>
      <c r="AV228" s="113">
        <v>64</v>
      </c>
      <c r="AW228" s="113">
        <v>81</v>
      </c>
      <c r="AX228" s="113">
        <v>74</v>
      </c>
      <c r="AY228" s="113">
        <v>67</v>
      </c>
      <c r="AZ228" s="113"/>
      <c r="BA228" s="113"/>
      <c r="BB228" s="113"/>
      <c r="BC228" s="113"/>
      <c r="BD228" s="113"/>
      <c r="BE228" s="113"/>
      <c r="BF228" s="113"/>
      <c r="BG228" s="113"/>
      <c r="BH228" s="113"/>
      <c r="BI228" s="113"/>
      <c r="BJ228" s="113"/>
      <c r="BK228" s="113"/>
      <c r="BL228" s="113"/>
      <c r="BM228" s="113"/>
      <c r="BN228" s="113"/>
      <c r="BO228" s="113"/>
      <c r="BP228" s="113"/>
      <c r="BQ228" s="113"/>
      <c r="BR228" s="113"/>
      <c r="BS228" s="113"/>
      <c r="BT228" s="113"/>
      <c r="BU228" s="113"/>
      <c r="BV228" s="113"/>
      <c r="BW228" s="113"/>
      <c r="BX228" s="113"/>
      <c r="BY228" s="113"/>
      <c r="BZ228" s="113"/>
      <c r="CA228" s="113"/>
      <c r="CB228" s="113"/>
      <c r="CC228" s="113"/>
      <c r="CD228" s="113"/>
      <c r="CE228" s="113"/>
      <c r="CF228" s="113"/>
      <c r="CG228" s="113"/>
      <c r="CH228" s="113"/>
      <c r="CI228" s="113"/>
      <c r="CJ228" s="113"/>
      <c r="CK228" s="113"/>
      <c r="CL228" s="113"/>
      <c r="CM228" s="113"/>
      <c r="CN228" s="113"/>
      <c r="CO228" s="113"/>
      <c r="CP228" s="113"/>
    </row>
    <row r="229" spans="1:94" s="63" customFormat="1">
      <c r="A229" s="63" t="s">
        <v>262</v>
      </c>
      <c r="B229" s="63" t="s">
        <v>347</v>
      </c>
      <c r="C229" s="90" t="s">
        <v>348</v>
      </c>
      <c r="D229" s="65" t="s">
        <v>111</v>
      </c>
      <c r="E229" s="66" t="s">
        <v>88</v>
      </c>
      <c r="F229" s="68">
        <v>47</v>
      </c>
      <c r="G229" s="68" t="s">
        <v>349</v>
      </c>
      <c r="H229" s="69">
        <v>807</v>
      </c>
      <c r="I229" s="89">
        <v>36.130000000000003</v>
      </c>
      <c r="J229" s="69">
        <v>28941</v>
      </c>
      <c r="K229" s="72"/>
      <c r="L229" s="69">
        <f t="shared" si="509"/>
        <v>28941</v>
      </c>
      <c r="M229" s="86">
        <f t="shared" si="415"/>
        <v>35.862453531598511</v>
      </c>
      <c r="N229" s="74"/>
      <c r="O229" s="74"/>
      <c r="P229" s="74"/>
      <c r="Q229" s="74"/>
      <c r="R229" s="74"/>
      <c r="S229" s="75">
        <v>4.93</v>
      </c>
      <c r="T229" s="76"/>
      <c r="U229" s="63" t="s">
        <v>365</v>
      </c>
      <c r="V229" s="77" t="s">
        <v>366</v>
      </c>
      <c r="W229" s="77"/>
      <c r="X229" s="78">
        <v>0.31</v>
      </c>
      <c r="Y229" s="78"/>
      <c r="Z229" s="79">
        <v>0.38</v>
      </c>
      <c r="AA229" s="80">
        <v>45777</v>
      </c>
      <c r="AB229" s="81">
        <f t="shared" si="536"/>
        <v>69.349999999999994</v>
      </c>
      <c r="AC229" s="81">
        <f t="shared" si="471"/>
        <v>21.498499999999996</v>
      </c>
      <c r="AD229" s="81">
        <f t="shared" si="416"/>
        <v>311.09404424999991</v>
      </c>
      <c r="AE229" s="81">
        <f t="shared" si="472"/>
        <v>8.6104080888458316</v>
      </c>
      <c r="AF229" s="167">
        <f t="shared" si="511"/>
        <v>0.42743712619307062</v>
      </c>
      <c r="AG229" s="264">
        <v>7.52</v>
      </c>
      <c r="AH229" s="264">
        <f t="shared" si="475"/>
        <v>0.26873722984448439</v>
      </c>
      <c r="AI229" s="77"/>
      <c r="AJ229" s="79">
        <f t="shared" si="512"/>
        <v>311.09404424999991</v>
      </c>
      <c r="AK229" s="82">
        <f t="shared" si="513"/>
        <v>8.6104080888458316</v>
      </c>
      <c r="AL229" s="82"/>
      <c r="AM229" s="82">
        <f t="shared" si="515"/>
        <v>56.574999999999982</v>
      </c>
      <c r="AN229" s="82"/>
      <c r="AO229" s="82"/>
      <c r="AP229" s="82"/>
      <c r="AR229" s="77" t="s">
        <v>116</v>
      </c>
      <c r="AS229" s="63">
        <v>72</v>
      </c>
      <c r="AT229" s="63">
        <v>65</v>
      </c>
      <c r="AU229" s="63">
        <v>62</v>
      </c>
      <c r="AV229" s="63">
        <v>55</v>
      </c>
      <c r="AW229" s="63">
        <v>88</v>
      </c>
      <c r="AX229" s="63">
        <v>83</v>
      </c>
      <c r="AY229" s="63">
        <v>63</v>
      </c>
      <c r="AZ229" s="63">
        <v>64</v>
      </c>
      <c r="BA229" s="63">
        <v>68</v>
      </c>
      <c r="BB229" s="63">
        <v>47</v>
      </c>
      <c r="BC229" s="63">
        <v>79</v>
      </c>
      <c r="BD229" s="63">
        <v>76</v>
      </c>
      <c r="BE229" s="63">
        <v>70</v>
      </c>
      <c r="BF229" s="63">
        <v>66</v>
      </c>
      <c r="BG229" s="63">
        <v>85</v>
      </c>
      <c r="BH229" s="63">
        <v>59</v>
      </c>
      <c r="BI229" s="63">
        <v>66</v>
      </c>
      <c r="BJ229" s="63">
        <v>76</v>
      </c>
      <c r="BK229" s="63">
        <v>75</v>
      </c>
      <c r="BL229" s="63">
        <v>68</v>
      </c>
    </row>
    <row r="230" spans="1:94" s="63" customFormat="1">
      <c r="A230" s="63" t="s">
        <v>262</v>
      </c>
      <c r="B230" s="63" t="s">
        <v>347</v>
      </c>
      <c r="C230" s="90" t="s">
        <v>348</v>
      </c>
      <c r="D230" s="65" t="s">
        <v>111</v>
      </c>
      <c r="E230" s="66" t="s">
        <v>88</v>
      </c>
      <c r="F230" s="68">
        <v>47</v>
      </c>
      <c r="G230" s="68" t="s">
        <v>349</v>
      </c>
      <c r="H230" s="69">
        <v>807</v>
      </c>
      <c r="I230" s="89">
        <v>36.130000000000003</v>
      </c>
      <c r="J230" s="69">
        <v>28941</v>
      </c>
      <c r="K230" s="72">
        <v>1E-3</v>
      </c>
      <c r="L230" s="69">
        <f t="shared" si="509"/>
        <v>28912.059000000001</v>
      </c>
      <c r="M230" s="86">
        <f t="shared" si="415"/>
        <v>35.826591078066919</v>
      </c>
      <c r="N230" s="74"/>
      <c r="O230" s="74"/>
      <c r="P230" s="74"/>
      <c r="Q230" s="74"/>
      <c r="R230" s="74"/>
      <c r="S230" s="75">
        <v>4.93</v>
      </c>
      <c r="T230" s="76"/>
      <c r="U230" s="63" t="s">
        <v>106</v>
      </c>
      <c r="V230" s="77" t="s">
        <v>214</v>
      </c>
      <c r="W230" s="77"/>
      <c r="X230" s="78">
        <v>0.31</v>
      </c>
      <c r="Y230" s="78"/>
      <c r="Z230" s="79">
        <v>0.38</v>
      </c>
      <c r="AA230" s="80">
        <v>45778</v>
      </c>
      <c r="AB230" s="81">
        <f t="shared" si="536"/>
        <v>64.909090909090907</v>
      </c>
      <c r="AC230" s="81">
        <f t="shared" si="471"/>
        <v>20.121818181818181</v>
      </c>
      <c r="AD230" s="81">
        <f t="shared" si="416"/>
        <v>290.88159723000001</v>
      </c>
      <c r="AE230" s="81">
        <f t="shared" si="472"/>
        <v>8.0509714151674512</v>
      </c>
      <c r="AF230" s="167">
        <f t="shared" si="511"/>
        <v>0.38765153348920922</v>
      </c>
      <c r="AG230" s="264">
        <v>7.52</v>
      </c>
      <c r="AH230" s="264">
        <f t="shared" si="475"/>
        <v>0.28712352351101528</v>
      </c>
      <c r="AI230" s="77"/>
      <c r="AJ230" s="79">
        <f t="shared" si="512"/>
        <v>290.88159723000001</v>
      </c>
      <c r="AK230" s="82">
        <f t="shared" si="513"/>
        <v>8.0509714151674512</v>
      </c>
      <c r="AL230" s="82"/>
      <c r="AM230" s="82">
        <f t="shared" si="515"/>
        <v>52.899200956937804</v>
      </c>
      <c r="AN230" s="82"/>
      <c r="AO230" s="82"/>
      <c r="AP230" s="82"/>
      <c r="AR230" s="77"/>
      <c r="AS230" s="63">
        <v>72</v>
      </c>
      <c r="AT230" s="63">
        <v>72</v>
      </c>
      <c r="AU230" s="63">
        <v>72</v>
      </c>
      <c r="AV230" s="63">
        <v>68</v>
      </c>
      <c r="AW230" s="63">
        <v>49</v>
      </c>
      <c r="AX230" s="63">
        <v>76</v>
      </c>
      <c r="AY230" s="63">
        <v>78</v>
      </c>
      <c r="AZ230" s="63">
        <v>64</v>
      </c>
      <c r="BA230" s="63">
        <v>60</v>
      </c>
      <c r="BB230" s="63">
        <v>48</v>
      </c>
      <c r="BC230" s="63">
        <v>70</v>
      </c>
      <c r="BD230" s="63">
        <v>72</v>
      </c>
      <c r="BE230" s="63">
        <v>74</v>
      </c>
      <c r="BF230" s="63">
        <v>60</v>
      </c>
      <c r="BG230" s="63">
        <v>63</v>
      </c>
      <c r="BH230" s="63">
        <v>56</v>
      </c>
      <c r="BI230" s="63">
        <v>56</v>
      </c>
      <c r="BJ230" s="63">
        <v>74</v>
      </c>
      <c r="BK230" s="63">
        <v>70</v>
      </c>
      <c r="BL230" s="63">
        <v>52</v>
      </c>
      <c r="BM230" s="63">
        <v>67</v>
      </c>
      <c r="BN230" s="63">
        <v>55</v>
      </c>
    </row>
    <row r="231" spans="1:94" s="63" customFormat="1">
      <c r="A231" s="63" t="s">
        <v>262</v>
      </c>
      <c r="B231" s="63" t="s">
        <v>347</v>
      </c>
      <c r="C231" s="90" t="s">
        <v>348</v>
      </c>
      <c r="D231" s="65" t="s">
        <v>111</v>
      </c>
      <c r="E231" s="66" t="s">
        <v>88</v>
      </c>
      <c r="F231" s="68">
        <v>47</v>
      </c>
      <c r="G231" s="68" t="s">
        <v>349</v>
      </c>
      <c r="H231" s="69">
        <v>807</v>
      </c>
      <c r="I231" s="89">
        <v>36.130000000000003</v>
      </c>
      <c r="J231" s="69">
        <v>28941</v>
      </c>
      <c r="K231" s="72"/>
      <c r="L231" s="69">
        <f t="shared" si="509"/>
        <v>28941</v>
      </c>
      <c r="M231" s="86">
        <f t="shared" si="415"/>
        <v>35.862453531598511</v>
      </c>
      <c r="N231" s="74"/>
      <c r="O231" s="74"/>
      <c r="P231" s="74"/>
      <c r="Q231" s="74"/>
      <c r="R231" s="74"/>
      <c r="S231" s="75">
        <v>4.93</v>
      </c>
      <c r="T231" s="76"/>
      <c r="U231" s="63" t="s">
        <v>365</v>
      </c>
      <c r="V231" s="77" t="s">
        <v>366</v>
      </c>
      <c r="W231" s="77"/>
      <c r="X231" s="78">
        <v>0.31</v>
      </c>
      <c r="Y231" s="78"/>
      <c r="Z231" s="79">
        <v>0.38</v>
      </c>
      <c r="AA231" s="80">
        <v>45779</v>
      </c>
      <c r="AB231" s="81">
        <f t="shared" si="536"/>
        <v>81.111111111111114</v>
      </c>
      <c r="AC231" s="81">
        <f t="shared" si="471"/>
        <v>25.144444444444446</v>
      </c>
      <c r="AD231" s="81">
        <f t="shared" si="416"/>
        <v>363.85268333333335</v>
      </c>
      <c r="AE231" s="81">
        <f t="shared" si="472"/>
        <v>10.070652735492203</v>
      </c>
      <c r="AF231" s="167">
        <f t="shared" si="511"/>
        <v>0.51045874289507553</v>
      </c>
      <c r="AG231" s="264">
        <v>7.52</v>
      </c>
      <c r="AH231" s="264">
        <f t="shared" si="475"/>
        <v>0.22977033151703413</v>
      </c>
      <c r="AI231" s="77"/>
      <c r="AJ231" s="79">
        <f t="shared" si="512"/>
        <v>363.85268333333335</v>
      </c>
      <c r="AK231" s="82">
        <f t="shared" si="513"/>
        <v>10.070652735492203</v>
      </c>
      <c r="AL231" s="82"/>
      <c r="AM231" s="82">
        <f t="shared" si="515"/>
        <v>66.169590643274859</v>
      </c>
      <c r="AN231" s="82"/>
      <c r="AO231" s="82"/>
      <c r="AP231" s="82"/>
      <c r="AR231" s="77" t="s">
        <v>137</v>
      </c>
      <c r="AS231" s="63">
        <v>91</v>
      </c>
      <c r="AT231" s="63">
        <v>101</v>
      </c>
      <c r="AU231" s="63">
        <v>89</v>
      </c>
      <c r="AV231" s="63">
        <v>78</v>
      </c>
      <c r="AW231" s="63">
        <v>86</v>
      </c>
      <c r="BI231" s="63">
        <v>66</v>
      </c>
      <c r="BJ231" s="63">
        <v>76</v>
      </c>
      <c r="BK231" s="63">
        <v>75</v>
      </c>
      <c r="BL231" s="63">
        <v>68</v>
      </c>
    </row>
    <row r="232" spans="1:94" s="113" customFormat="1">
      <c r="A232" s="63" t="s">
        <v>262</v>
      </c>
      <c r="B232" s="63" t="s">
        <v>347</v>
      </c>
      <c r="C232" s="90" t="s">
        <v>348</v>
      </c>
      <c r="D232" s="65" t="s">
        <v>111</v>
      </c>
      <c r="E232" s="66" t="s">
        <v>88</v>
      </c>
      <c r="F232" s="68">
        <v>47</v>
      </c>
      <c r="G232" s="68" t="s">
        <v>349</v>
      </c>
      <c r="H232" s="69">
        <v>807</v>
      </c>
      <c r="I232" s="89">
        <v>36.130000000000003</v>
      </c>
      <c r="J232" s="69">
        <v>28941</v>
      </c>
      <c r="K232" s="72">
        <v>1E-3</v>
      </c>
      <c r="L232" s="69">
        <f t="shared" si="509"/>
        <v>28912.059000000001</v>
      </c>
      <c r="M232" s="86">
        <f t="shared" si="415"/>
        <v>35.826591078066919</v>
      </c>
      <c r="N232" s="74"/>
      <c r="O232" s="74"/>
      <c r="P232" s="74"/>
      <c r="Q232" s="74"/>
      <c r="R232" s="74"/>
      <c r="S232" s="75">
        <v>4.93</v>
      </c>
      <c r="T232" s="76"/>
      <c r="U232" s="63" t="s">
        <v>106</v>
      </c>
      <c r="V232" s="77" t="s">
        <v>103</v>
      </c>
      <c r="W232" s="77"/>
      <c r="X232" s="78">
        <v>0.31</v>
      </c>
      <c r="Y232" s="78"/>
      <c r="Z232" s="79">
        <v>0.38</v>
      </c>
      <c r="AA232" s="80">
        <v>45783</v>
      </c>
      <c r="AB232" s="81">
        <f t="shared" si="536"/>
        <v>70.36666666666666</v>
      </c>
      <c r="AC232" s="81">
        <f t="shared" si="471"/>
        <v>21.813666666666663</v>
      </c>
      <c r="AD232" s="81">
        <f t="shared" si="416"/>
        <v>315.33900883649994</v>
      </c>
      <c r="AE232" s="81">
        <f t="shared" si="472"/>
        <v>8.7278994972737323</v>
      </c>
      <c r="AF232" s="167">
        <f t="shared" si="511"/>
        <v>0.4351447331010232</v>
      </c>
      <c r="AG232" s="264">
        <v>7.52</v>
      </c>
      <c r="AH232" s="264">
        <f t="shared" si="475"/>
        <v>0.26485447972119841</v>
      </c>
      <c r="AI232" s="77"/>
      <c r="AJ232" s="79">
        <f t="shared" si="512"/>
        <v>315.33900883649994</v>
      </c>
      <c r="AK232" s="82">
        <f t="shared" si="513"/>
        <v>8.7278994972737323</v>
      </c>
      <c r="AL232" s="82"/>
      <c r="AM232" s="82">
        <f t="shared" si="515"/>
        <v>57.346981578947357</v>
      </c>
      <c r="AN232" s="82"/>
      <c r="AO232" s="82"/>
      <c r="AP232" s="82"/>
      <c r="AQ232" s="63"/>
      <c r="AR232" s="77" t="s">
        <v>91</v>
      </c>
      <c r="AS232" s="63">
        <v>70</v>
      </c>
      <c r="AT232" s="63">
        <v>68</v>
      </c>
      <c r="AU232" s="63">
        <v>71</v>
      </c>
      <c r="AV232" s="63">
        <v>70</v>
      </c>
      <c r="AW232" s="63">
        <v>68</v>
      </c>
      <c r="AX232" s="63">
        <v>70</v>
      </c>
      <c r="AY232" s="63">
        <v>65</v>
      </c>
      <c r="AZ232" s="63">
        <v>77</v>
      </c>
      <c r="BA232" s="63">
        <v>68</v>
      </c>
      <c r="BB232" s="63">
        <v>68</v>
      </c>
      <c r="BC232" s="63">
        <v>69</v>
      </c>
      <c r="BD232" s="63">
        <v>71</v>
      </c>
      <c r="BE232" s="63">
        <v>76</v>
      </c>
      <c r="BF232" s="63">
        <v>78</v>
      </c>
      <c r="BG232" s="63">
        <v>69</v>
      </c>
      <c r="BH232" s="63">
        <v>83</v>
      </c>
      <c r="BI232" s="63">
        <v>58</v>
      </c>
      <c r="BJ232" s="63">
        <v>56</v>
      </c>
      <c r="BK232" s="63">
        <v>62</v>
      </c>
      <c r="BL232" s="63">
        <v>67</v>
      </c>
      <c r="BM232" s="63">
        <v>75</v>
      </c>
      <c r="BN232" s="63">
        <v>65</v>
      </c>
      <c r="BO232" s="63">
        <v>72</v>
      </c>
      <c r="BP232" s="63">
        <v>73</v>
      </c>
      <c r="BQ232" s="63">
        <v>69</v>
      </c>
      <c r="BR232" s="63">
        <v>72</v>
      </c>
      <c r="BS232" s="63">
        <v>83</v>
      </c>
      <c r="BT232" s="63">
        <v>69</v>
      </c>
      <c r="BU232" s="63">
        <v>82</v>
      </c>
      <c r="BV232" s="63">
        <v>67</v>
      </c>
      <c r="BW232" s="63"/>
      <c r="BX232" s="63"/>
      <c r="BY232" s="63"/>
      <c r="BZ232" s="63"/>
      <c r="CA232" s="63"/>
      <c r="CB232" s="63"/>
      <c r="CC232" s="63"/>
      <c r="CD232" s="63"/>
      <c r="CE232" s="63"/>
      <c r="CF232" s="63"/>
      <c r="CG232" s="63"/>
      <c r="CH232" s="63"/>
      <c r="CI232" s="63"/>
      <c r="CJ232" s="63"/>
      <c r="CK232" s="63"/>
      <c r="CL232" s="63"/>
      <c r="CM232" s="63"/>
      <c r="CN232" s="63"/>
      <c r="CO232" s="63"/>
      <c r="CP232" s="63"/>
    </row>
    <row r="233" spans="1:94" s="113" customFormat="1">
      <c r="A233" s="63" t="s">
        <v>262</v>
      </c>
      <c r="B233" s="63" t="s">
        <v>347</v>
      </c>
      <c r="C233" s="90" t="s">
        <v>348</v>
      </c>
      <c r="D233" s="65" t="s">
        <v>111</v>
      </c>
      <c r="E233" s="66" t="s">
        <v>88</v>
      </c>
      <c r="F233" s="68">
        <v>47</v>
      </c>
      <c r="G233" s="68" t="s">
        <v>349</v>
      </c>
      <c r="H233" s="69">
        <v>807</v>
      </c>
      <c r="I233" s="89">
        <v>36.130000000000003</v>
      </c>
      <c r="J233" s="69">
        <v>28941</v>
      </c>
      <c r="K233" s="72">
        <v>1E-3</v>
      </c>
      <c r="L233" s="69">
        <f t="shared" si="509"/>
        <v>28912.059000000001</v>
      </c>
      <c r="M233" s="86">
        <f t="shared" si="415"/>
        <v>35.826591078066919</v>
      </c>
      <c r="N233" s="74"/>
      <c r="O233" s="74"/>
      <c r="P233" s="74"/>
      <c r="Q233" s="74"/>
      <c r="R233" s="74"/>
      <c r="S233" s="75">
        <v>4.93</v>
      </c>
      <c r="T233" s="76"/>
      <c r="U233" s="63" t="s">
        <v>106</v>
      </c>
      <c r="V233" s="77" t="s">
        <v>103</v>
      </c>
      <c r="W233" s="77"/>
      <c r="X233" s="78">
        <v>0.31</v>
      </c>
      <c r="Y233" s="78"/>
      <c r="Z233" s="79">
        <v>0.38</v>
      </c>
      <c r="AA233" s="80">
        <v>45813</v>
      </c>
      <c r="AB233" s="81">
        <f t="shared" si="536"/>
        <v>73.466666666666669</v>
      </c>
      <c r="AC233" s="81">
        <f t="shared" si="471"/>
        <v>22.774666666666668</v>
      </c>
      <c r="AD233" s="81">
        <f t="shared" si="416"/>
        <v>329.23125318600006</v>
      </c>
      <c r="AE233" s="81">
        <f t="shared" si="472"/>
        <v>9.1124066755051221</v>
      </c>
      <c r="AF233" s="167">
        <f t="shared" si="511"/>
        <v>0.45897937004367528</v>
      </c>
      <c r="AG233" s="264">
        <v>7.52</v>
      </c>
      <c r="AH233" s="264">
        <f t="shared" si="475"/>
        <v>0.25367867817216411</v>
      </c>
      <c r="AI233" s="77"/>
      <c r="AJ233" s="79">
        <f t="shared" si="512"/>
        <v>329.23125318600006</v>
      </c>
      <c r="AK233" s="82">
        <f t="shared" si="513"/>
        <v>9.1124066755051221</v>
      </c>
      <c r="AL233" s="82"/>
      <c r="AM233" s="82">
        <f t="shared" si="515"/>
        <v>59.873400000000004</v>
      </c>
      <c r="AN233" s="82"/>
      <c r="AO233" s="82"/>
      <c r="AP233" s="82"/>
      <c r="AQ233" s="63"/>
      <c r="AR233" s="77" t="s">
        <v>91</v>
      </c>
      <c r="AS233" s="63">
        <v>73</v>
      </c>
      <c r="AT233" s="63">
        <v>87</v>
      </c>
      <c r="AU233" s="63">
        <v>84</v>
      </c>
      <c r="AV233" s="63">
        <v>71</v>
      </c>
      <c r="AW233" s="63">
        <v>71</v>
      </c>
      <c r="AX233" s="63">
        <v>74</v>
      </c>
      <c r="AY233" s="63">
        <v>78</v>
      </c>
      <c r="AZ233" s="63">
        <v>81</v>
      </c>
      <c r="BA233" s="63">
        <v>68</v>
      </c>
      <c r="BB233" s="63">
        <v>61</v>
      </c>
      <c r="BC233" s="63">
        <v>60</v>
      </c>
      <c r="BD233" s="63">
        <v>72</v>
      </c>
      <c r="BE233" s="63">
        <v>84</v>
      </c>
      <c r="BF233" s="63">
        <v>66</v>
      </c>
      <c r="BG233" s="63">
        <v>72</v>
      </c>
      <c r="BH233" s="63"/>
      <c r="BI233" s="63"/>
      <c r="BJ233" s="63"/>
      <c r="BK233" s="63"/>
      <c r="BL233" s="63"/>
      <c r="BM233" s="63"/>
      <c r="BN233" s="63"/>
      <c r="BO233" s="63"/>
      <c r="BP233" s="63"/>
      <c r="BQ233" s="63"/>
      <c r="BR233" s="63"/>
      <c r="BS233" s="63"/>
      <c r="BT233" s="63"/>
      <c r="BU233" s="63"/>
      <c r="BV233" s="63"/>
      <c r="BW233" s="63"/>
      <c r="BX233" s="63"/>
      <c r="BY233" s="63"/>
      <c r="BZ233" s="63"/>
      <c r="CA233" s="63"/>
      <c r="CB233" s="63"/>
      <c r="CC233" s="63"/>
      <c r="CD233" s="63"/>
      <c r="CE233" s="63"/>
      <c r="CF233" s="63"/>
      <c r="CG233" s="63"/>
      <c r="CH233" s="63"/>
      <c r="CI233" s="63"/>
      <c r="CJ233" s="63"/>
      <c r="CK233" s="63"/>
      <c r="CL233" s="63"/>
      <c r="CM233" s="63"/>
      <c r="CN233" s="63"/>
      <c r="CO233" s="63"/>
      <c r="CP233" s="63"/>
    </row>
    <row r="234" spans="1:94" s="113" customFormat="1">
      <c r="A234" s="113" t="s">
        <v>262</v>
      </c>
      <c r="B234" s="113" t="s">
        <v>351</v>
      </c>
      <c r="C234" s="130" t="s">
        <v>352</v>
      </c>
      <c r="D234" s="128" t="s">
        <v>111</v>
      </c>
      <c r="E234" s="127" t="s">
        <v>88</v>
      </c>
      <c r="F234" s="126">
        <v>47</v>
      </c>
      <c r="G234" s="126" t="s">
        <v>96</v>
      </c>
      <c r="H234" s="123">
        <v>807</v>
      </c>
      <c r="I234" s="125">
        <v>41.4</v>
      </c>
      <c r="J234" s="123">
        <v>33182</v>
      </c>
      <c r="K234" s="124"/>
      <c r="L234" s="123">
        <f t="shared" si="509"/>
        <v>33182</v>
      </c>
      <c r="M234" s="122">
        <f t="shared" si="415"/>
        <v>41.117719950433703</v>
      </c>
      <c r="N234" s="125"/>
      <c r="O234" s="125"/>
      <c r="P234" s="125"/>
      <c r="Q234" s="125"/>
      <c r="R234" s="125"/>
      <c r="S234" s="154">
        <v>5.23</v>
      </c>
      <c r="T234" s="129"/>
      <c r="U234" s="113" t="s">
        <v>365</v>
      </c>
      <c r="V234" s="115" t="s">
        <v>366</v>
      </c>
      <c r="W234" s="115"/>
      <c r="X234" s="120">
        <v>0.31</v>
      </c>
      <c r="Y234" s="120"/>
      <c r="Z234" s="118">
        <v>0.38</v>
      </c>
      <c r="AA234" s="119">
        <v>45778</v>
      </c>
      <c r="AB234" s="117">
        <f t="shared" si="536"/>
        <v>71.599999999999994</v>
      </c>
      <c r="AC234" s="117">
        <f t="shared" si="471"/>
        <v>22.195999999999998</v>
      </c>
      <c r="AD234" s="117">
        <f t="shared" si="416"/>
        <v>368.25383599999998</v>
      </c>
      <c r="AE234" s="117">
        <f t="shared" si="472"/>
        <v>8.8950201932367143</v>
      </c>
      <c r="AF234" s="170">
        <f t="shared" si="511"/>
        <v>0.41203056469994237</v>
      </c>
      <c r="AG234" s="265">
        <v>8.6999999999999993</v>
      </c>
      <c r="AH234" s="265">
        <f t="shared" si="475"/>
        <v>0.30113600963635229</v>
      </c>
      <c r="AI234" s="115"/>
      <c r="AJ234" s="118">
        <f t="shared" si="512"/>
        <v>368.25383599999998</v>
      </c>
      <c r="AK234" s="116">
        <f t="shared" si="513"/>
        <v>8.8950201932367143</v>
      </c>
      <c r="AL234" s="116"/>
      <c r="AM234" s="116">
        <f t="shared" si="515"/>
        <v>58.410526315789461</v>
      </c>
      <c r="AN234" s="116"/>
      <c r="AO234" s="116"/>
      <c r="AP234" s="116"/>
      <c r="AR234" s="115"/>
      <c r="AS234" s="113">
        <v>70</v>
      </c>
      <c r="AT234" s="113">
        <v>71</v>
      </c>
      <c r="AU234" s="113">
        <v>87</v>
      </c>
      <c r="AV234" s="113">
        <v>57</v>
      </c>
      <c r="AW234" s="113">
        <v>71</v>
      </c>
      <c r="AX234" s="113">
        <v>72</v>
      </c>
      <c r="AY234" s="113">
        <v>81</v>
      </c>
      <c r="AZ234" s="113">
        <v>66</v>
      </c>
      <c r="BA234" s="113">
        <v>70</v>
      </c>
      <c r="BB234" s="113">
        <v>85</v>
      </c>
      <c r="BC234" s="113">
        <v>66</v>
      </c>
      <c r="BD234" s="113">
        <v>51</v>
      </c>
      <c r="BE234" s="113">
        <v>69</v>
      </c>
      <c r="BF234" s="113">
        <v>68</v>
      </c>
      <c r="BG234" s="113">
        <v>69</v>
      </c>
      <c r="BH234" s="113">
        <v>72</v>
      </c>
      <c r="BI234" s="113">
        <v>58</v>
      </c>
      <c r="BJ234" s="113">
        <v>87</v>
      </c>
      <c r="BK234" s="113">
        <v>86</v>
      </c>
      <c r="BL234" s="113">
        <v>76</v>
      </c>
    </row>
    <row r="235" spans="1:94" s="113" customFormat="1">
      <c r="A235" s="113" t="s">
        <v>262</v>
      </c>
      <c r="B235" s="113" t="s">
        <v>351</v>
      </c>
      <c r="C235" s="130" t="s">
        <v>352</v>
      </c>
      <c r="D235" s="128" t="s">
        <v>111</v>
      </c>
      <c r="E235" s="127" t="s">
        <v>88</v>
      </c>
      <c r="F235" s="126">
        <v>47</v>
      </c>
      <c r="G235" s="126" t="s">
        <v>96</v>
      </c>
      <c r="H235" s="123">
        <v>807</v>
      </c>
      <c r="I235" s="125">
        <v>41.4</v>
      </c>
      <c r="J235" s="123">
        <v>33182</v>
      </c>
      <c r="K235" s="124"/>
      <c r="L235" s="123">
        <f t="shared" si="509"/>
        <v>33182</v>
      </c>
      <c r="M235" s="122">
        <f t="shared" ref="M235:M310" si="587">L235/H235</f>
        <v>41.117719950433703</v>
      </c>
      <c r="N235" s="125"/>
      <c r="O235" s="125"/>
      <c r="P235" s="125"/>
      <c r="Q235" s="125"/>
      <c r="R235" s="125"/>
      <c r="S235" s="154">
        <v>5.23</v>
      </c>
      <c r="T235" s="129"/>
      <c r="U235" s="113" t="s">
        <v>106</v>
      </c>
      <c r="V235" s="115" t="s">
        <v>214</v>
      </c>
      <c r="W235" s="115"/>
      <c r="X235" s="26">
        <v>0.31</v>
      </c>
      <c r="Y235" s="120"/>
      <c r="Z235" s="118">
        <v>0.38</v>
      </c>
      <c r="AA235" s="119">
        <v>45778</v>
      </c>
      <c r="AB235" s="117">
        <f t="shared" si="536"/>
        <v>64.571428571428569</v>
      </c>
      <c r="AC235" s="117">
        <f t="shared" si="471"/>
        <v>20.017142857142858</v>
      </c>
      <c r="AD235" s="117">
        <f t="shared" ref="AD235:AD310" si="588">(AC235*L235)/2000</f>
        <v>332.10441714285713</v>
      </c>
      <c r="AE235" s="117">
        <f t="shared" si="472"/>
        <v>8.0218458247066948</v>
      </c>
      <c r="AF235" s="170">
        <f t="shared" si="511"/>
        <v>0.34803035183099812</v>
      </c>
      <c r="AG235" s="265">
        <v>8.6999999999999993</v>
      </c>
      <c r="AH235" s="265">
        <f t="shared" si="475"/>
        <v>0.33391453103924729</v>
      </c>
      <c r="AI235" s="115"/>
      <c r="AJ235" s="118">
        <f t="shared" si="512"/>
        <v>332.10441714285713</v>
      </c>
      <c r="AK235" s="116">
        <f t="shared" si="513"/>
        <v>8.0218458247066948</v>
      </c>
      <c r="AL235" s="116"/>
      <c r="AM235" s="116">
        <f t="shared" si="515"/>
        <v>52.676691729323309</v>
      </c>
      <c r="AN235" s="116"/>
      <c r="AO235" s="116"/>
      <c r="AP235" s="116"/>
      <c r="AR235" s="115"/>
      <c r="AS235" s="113">
        <v>65</v>
      </c>
      <c r="AT235" s="113">
        <v>62</v>
      </c>
      <c r="AU235" s="113">
        <v>55</v>
      </c>
      <c r="AV235" s="113">
        <v>56</v>
      </c>
      <c r="AW235" s="113">
        <v>67</v>
      </c>
      <c r="AX235" s="113">
        <v>71</v>
      </c>
      <c r="AY235" s="113">
        <v>68</v>
      </c>
      <c r="AZ235" s="113">
        <v>70</v>
      </c>
      <c r="BA235" s="113">
        <v>73</v>
      </c>
      <c r="BB235" s="113">
        <v>76</v>
      </c>
      <c r="BC235" s="113">
        <v>72</v>
      </c>
      <c r="BD235" s="113">
        <v>62</v>
      </c>
      <c r="BE235" s="113">
        <v>62</v>
      </c>
      <c r="BF235" s="113">
        <v>71</v>
      </c>
      <c r="BG235" s="113">
        <v>65</v>
      </c>
      <c r="BH235" s="113">
        <v>51</v>
      </c>
      <c r="BI235" s="113">
        <v>71</v>
      </c>
      <c r="BJ235" s="113">
        <v>53</v>
      </c>
      <c r="BK235" s="113">
        <v>62</v>
      </c>
      <c r="BL235" s="113">
        <v>59</v>
      </c>
      <c r="BM235" s="113">
        <v>65</v>
      </c>
    </row>
    <row r="236" spans="1:94" s="113" customFormat="1">
      <c r="A236" s="113" t="s">
        <v>262</v>
      </c>
      <c r="B236" s="113" t="s">
        <v>351</v>
      </c>
      <c r="C236" s="130" t="s">
        <v>352</v>
      </c>
      <c r="D236" s="128" t="s">
        <v>111</v>
      </c>
      <c r="E236" s="127" t="s">
        <v>88</v>
      </c>
      <c r="F236" s="126">
        <v>47</v>
      </c>
      <c r="G236" s="126" t="s">
        <v>96</v>
      </c>
      <c r="H236" s="123">
        <v>807</v>
      </c>
      <c r="I236" s="125">
        <v>41.4</v>
      </c>
      <c r="J236" s="123">
        <v>33182</v>
      </c>
      <c r="K236" s="124"/>
      <c r="L236" s="123">
        <f t="shared" si="509"/>
        <v>33182</v>
      </c>
      <c r="M236" s="122">
        <f t="shared" si="587"/>
        <v>41.117719950433703</v>
      </c>
      <c r="N236" s="125"/>
      <c r="O236" s="125"/>
      <c r="P236" s="125"/>
      <c r="Q236" s="125"/>
      <c r="R236" s="125"/>
      <c r="S236" s="154">
        <v>5.23</v>
      </c>
      <c r="T236" s="129"/>
      <c r="U236" s="113" t="s">
        <v>106</v>
      </c>
      <c r="V236" s="115" t="s">
        <v>103</v>
      </c>
      <c r="W236" s="115"/>
      <c r="X236" s="26">
        <v>0.31</v>
      </c>
      <c r="Y236" s="120"/>
      <c r="Z236" s="118">
        <v>0.38</v>
      </c>
      <c r="AA236" s="119">
        <v>45783</v>
      </c>
      <c r="AB236" s="117">
        <f t="shared" si="536"/>
        <v>77.34375</v>
      </c>
      <c r="AC236" s="117">
        <f t="shared" si="471"/>
        <v>23.9765625</v>
      </c>
      <c r="AD236" s="117">
        <f t="shared" si="588"/>
        <v>397.79514843750002</v>
      </c>
      <c r="AE236" s="117">
        <f t="shared" ref="AE236:AE269" si="589">IFERROR((AD236/I236),"")</f>
        <v>9.6085784646739132</v>
      </c>
      <c r="AF236" s="170">
        <f t="shared" si="511"/>
        <v>0.455694719127478</v>
      </c>
      <c r="AG236" s="265">
        <v>8.6999999999999993</v>
      </c>
      <c r="AH236" s="265">
        <f t="shared" si="475"/>
        <v>0.27877285869850921</v>
      </c>
      <c r="AI236" s="115"/>
      <c r="AJ236" s="118">
        <f t="shared" si="512"/>
        <v>397.79514843750002</v>
      </c>
      <c r="AK236" s="116">
        <f t="shared" si="513"/>
        <v>9.6085784646739132</v>
      </c>
      <c r="AL236" s="116"/>
      <c r="AM236" s="116">
        <f t="shared" si="515"/>
        <v>63.096217105263158</v>
      </c>
      <c r="AN236" s="116"/>
      <c r="AO236" s="116"/>
      <c r="AP236" s="116"/>
      <c r="AR236" s="115"/>
      <c r="AS236" s="113">
        <v>62</v>
      </c>
      <c r="AT236" s="113">
        <v>87</v>
      </c>
      <c r="AU236" s="113">
        <v>81</v>
      </c>
      <c r="AV236" s="113">
        <v>84</v>
      </c>
      <c r="AW236" s="113">
        <v>58</v>
      </c>
      <c r="AX236" s="113">
        <v>72</v>
      </c>
      <c r="AY236" s="113">
        <v>72</v>
      </c>
      <c r="AZ236" s="113">
        <v>79</v>
      </c>
      <c r="BA236" s="113">
        <v>72</v>
      </c>
      <c r="BB236" s="113">
        <v>75</v>
      </c>
      <c r="BC236" s="113">
        <v>81</v>
      </c>
      <c r="BD236" s="113">
        <v>65</v>
      </c>
      <c r="BE236" s="113">
        <v>80</v>
      </c>
      <c r="BF236" s="113">
        <v>75</v>
      </c>
      <c r="BG236" s="113">
        <v>81</v>
      </c>
      <c r="BH236" s="113">
        <v>86</v>
      </c>
      <c r="BI236" s="113">
        <v>79</v>
      </c>
      <c r="BJ236" s="113">
        <v>93</v>
      </c>
      <c r="BK236" s="113">
        <v>77</v>
      </c>
      <c r="BL236" s="113">
        <v>83</v>
      </c>
      <c r="BM236" s="113">
        <v>87</v>
      </c>
      <c r="BN236" s="113">
        <v>74</v>
      </c>
      <c r="BO236" s="113">
        <v>83</v>
      </c>
      <c r="BP236" s="113">
        <v>93</v>
      </c>
      <c r="BQ236" s="113">
        <v>85</v>
      </c>
      <c r="BR236" s="113">
        <v>77</v>
      </c>
      <c r="BS236" s="113">
        <v>68</v>
      </c>
      <c r="BT236" s="113">
        <v>65</v>
      </c>
      <c r="BU236" s="113">
        <v>85</v>
      </c>
      <c r="BV236" s="113">
        <v>82</v>
      </c>
      <c r="BW236" s="113">
        <v>68</v>
      </c>
      <c r="BX236" s="113">
        <v>66</v>
      </c>
    </row>
    <row r="237" spans="1:94" s="113" customFormat="1">
      <c r="A237" s="113" t="s">
        <v>262</v>
      </c>
      <c r="B237" s="113" t="s">
        <v>351</v>
      </c>
      <c r="C237" s="130" t="s">
        <v>352</v>
      </c>
      <c r="D237" s="128" t="s">
        <v>111</v>
      </c>
      <c r="E237" s="127" t="s">
        <v>88</v>
      </c>
      <c r="F237" s="126">
        <v>47</v>
      </c>
      <c r="G237" s="126" t="s">
        <v>96</v>
      </c>
      <c r="H237" s="123">
        <v>807</v>
      </c>
      <c r="I237" s="125">
        <v>41.4</v>
      </c>
      <c r="J237" s="123">
        <v>33182</v>
      </c>
      <c r="K237" s="124"/>
      <c r="L237" s="123">
        <f t="shared" si="509"/>
        <v>33182</v>
      </c>
      <c r="M237" s="122">
        <f t="shared" si="587"/>
        <v>41.117719950433703</v>
      </c>
      <c r="N237" s="125"/>
      <c r="O237" s="125"/>
      <c r="P237" s="125"/>
      <c r="Q237" s="125"/>
      <c r="R237" s="125"/>
      <c r="S237" s="154">
        <v>5.23</v>
      </c>
      <c r="T237" s="129"/>
      <c r="U237" s="113" t="s">
        <v>106</v>
      </c>
      <c r="V237" s="115" t="s">
        <v>103</v>
      </c>
      <c r="W237" s="115"/>
      <c r="X237" s="26">
        <v>0.31</v>
      </c>
      <c r="Y237" s="120"/>
      <c r="Z237" s="118">
        <v>0.38</v>
      </c>
      <c r="AA237" s="119">
        <v>45791</v>
      </c>
      <c r="AB237" s="117">
        <f t="shared" si="536"/>
        <v>69.34615384615384</v>
      </c>
      <c r="AC237" s="117">
        <f t="shared" si="471"/>
        <v>21.49730769230769</v>
      </c>
      <c r="AD237" s="117">
        <f t="shared" si="588"/>
        <v>356.66183192307687</v>
      </c>
      <c r="AE237" s="117">
        <f t="shared" si="589"/>
        <v>8.6150200947603111</v>
      </c>
      <c r="AF237" s="170">
        <f t="shared" si="511"/>
        <v>0.39292074278725048</v>
      </c>
      <c r="AG237" s="265">
        <v>8.6999999999999993</v>
      </c>
      <c r="AH237" s="265">
        <f t="shared" si="475"/>
        <v>0.31092334749807732</v>
      </c>
      <c r="AI237" s="115"/>
      <c r="AJ237" s="118">
        <f t="shared" si="512"/>
        <v>356.66183192307687</v>
      </c>
      <c r="AK237" s="116">
        <f t="shared" si="513"/>
        <v>8.6150200947603111</v>
      </c>
      <c r="AL237" s="116"/>
      <c r="AM237" s="116">
        <f t="shared" si="515"/>
        <v>56.571862348178129</v>
      </c>
      <c r="AN237" s="116"/>
      <c r="AO237" s="116"/>
      <c r="AP237" s="116"/>
      <c r="AR237" s="115"/>
      <c r="AS237" s="113">
        <v>69</v>
      </c>
      <c r="AT237" s="113">
        <v>64</v>
      </c>
      <c r="AU237" s="113">
        <v>73</v>
      </c>
      <c r="AV237" s="113">
        <v>67</v>
      </c>
      <c r="AW237" s="113">
        <v>64</v>
      </c>
      <c r="AX237" s="113">
        <v>66</v>
      </c>
      <c r="AY237" s="113">
        <v>74</v>
      </c>
      <c r="AZ237" s="113">
        <v>72</v>
      </c>
      <c r="BA237" s="113">
        <v>78</v>
      </c>
      <c r="BB237" s="113">
        <v>68</v>
      </c>
      <c r="BC237" s="113">
        <v>71</v>
      </c>
      <c r="BD237" s="113">
        <v>65</v>
      </c>
      <c r="BE237" s="113">
        <v>67</v>
      </c>
      <c r="BF237" s="113">
        <v>76</v>
      </c>
      <c r="BG237" s="113">
        <v>69</v>
      </c>
      <c r="BH237" s="113">
        <v>66</v>
      </c>
      <c r="BI237" s="113">
        <v>77</v>
      </c>
      <c r="BJ237" s="113">
        <v>70</v>
      </c>
      <c r="BK237" s="113">
        <v>68</v>
      </c>
      <c r="BL237" s="113">
        <v>62</v>
      </c>
      <c r="BM237" s="113">
        <v>71</v>
      </c>
      <c r="BN237" s="113">
        <v>64</v>
      </c>
      <c r="BO237" s="113">
        <v>69</v>
      </c>
      <c r="BP237" s="113">
        <v>74</v>
      </c>
      <c r="BQ237" s="113">
        <v>72</v>
      </c>
      <c r="BR237" s="113">
        <v>67</v>
      </c>
    </row>
    <row r="238" spans="1:94" s="113" customFormat="1">
      <c r="A238" s="113" t="s">
        <v>262</v>
      </c>
      <c r="B238" s="113" t="s">
        <v>351</v>
      </c>
      <c r="C238" s="130" t="s">
        <v>352</v>
      </c>
      <c r="D238" s="128" t="s">
        <v>111</v>
      </c>
      <c r="E238" s="127" t="s">
        <v>88</v>
      </c>
      <c r="F238" s="126">
        <v>47</v>
      </c>
      <c r="G238" s="126" t="s">
        <v>96</v>
      </c>
      <c r="H238" s="123">
        <v>807</v>
      </c>
      <c r="I238" s="125">
        <v>41.4</v>
      </c>
      <c r="J238" s="123">
        <v>33182</v>
      </c>
      <c r="K238" s="124"/>
      <c r="L238" s="123">
        <f t="shared" si="509"/>
        <v>33182</v>
      </c>
      <c r="M238" s="122">
        <f t="shared" si="587"/>
        <v>41.117719950433703</v>
      </c>
      <c r="N238" s="125"/>
      <c r="O238" s="125"/>
      <c r="P238" s="125"/>
      <c r="Q238" s="125"/>
      <c r="R238" s="125"/>
      <c r="S238" s="154">
        <v>5.23</v>
      </c>
      <c r="T238" s="129"/>
      <c r="U238" s="113" t="s">
        <v>106</v>
      </c>
      <c r="V238" s="115" t="s">
        <v>103</v>
      </c>
      <c r="W238" s="115"/>
      <c r="X238" s="26">
        <v>0.31</v>
      </c>
      <c r="Y238" s="120"/>
      <c r="Z238" s="118">
        <v>0.38</v>
      </c>
      <c r="AA238" s="119">
        <v>45814</v>
      </c>
      <c r="AB238" s="117">
        <f t="shared" si="536"/>
        <v>75</v>
      </c>
      <c r="AC238" s="117">
        <f t="shared" si="471"/>
        <v>23.25</v>
      </c>
      <c r="AD238" s="117">
        <f t="shared" si="588"/>
        <v>385.74074999999999</v>
      </c>
      <c r="AE238" s="117">
        <f t="shared" si="589"/>
        <v>9.3174094202898559</v>
      </c>
      <c r="AF238" s="170">
        <f t="shared" si="511"/>
        <v>0.43868517910021176</v>
      </c>
      <c r="AG238" s="265">
        <v>8.6999999999999993</v>
      </c>
      <c r="AH238" s="265">
        <f t="shared" si="475"/>
        <v>0.28748451053283763</v>
      </c>
      <c r="AI238" s="115"/>
      <c r="AJ238" s="118">
        <f t="shared" si="512"/>
        <v>385.74074999999999</v>
      </c>
      <c r="AK238" s="116">
        <f t="shared" si="513"/>
        <v>9.3174094202898559</v>
      </c>
      <c r="AL238" s="116"/>
      <c r="AM238" s="116">
        <f t="shared" si="515"/>
        <v>61.184210526315788</v>
      </c>
      <c r="AN238" s="116"/>
      <c r="AO238" s="116"/>
      <c r="AP238" s="116"/>
      <c r="AR238" s="115"/>
      <c r="AS238" s="113">
        <v>77</v>
      </c>
      <c r="AT238" s="113">
        <v>73</v>
      </c>
      <c r="AU238" s="113">
        <v>87</v>
      </c>
      <c r="AV238" s="113">
        <v>66</v>
      </c>
      <c r="AW238" s="113">
        <v>74</v>
      </c>
      <c r="AX238" s="113">
        <v>61</v>
      </c>
      <c r="AY238" s="113">
        <v>68</v>
      </c>
      <c r="AZ238" s="113">
        <v>64</v>
      </c>
      <c r="BA238" s="113">
        <v>88</v>
      </c>
      <c r="BB238" s="113">
        <v>77</v>
      </c>
      <c r="BC238" s="113">
        <v>88</v>
      </c>
      <c r="BD238" s="113">
        <v>77</v>
      </c>
    </row>
    <row r="239" spans="1:94" s="63" customFormat="1">
      <c r="A239" s="63" t="s">
        <v>262</v>
      </c>
      <c r="B239" s="63" t="s">
        <v>356</v>
      </c>
      <c r="C239" s="90" t="s">
        <v>357</v>
      </c>
      <c r="D239" s="65" t="s">
        <v>111</v>
      </c>
      <c r="E239" s="66" t="s">
        <v>88</v>
      </c>
      <c r="F239" s="68">
        <v>7</v>
      </c>
      <c r="G239" s="68" t="s">
        <v>265</v>
      </c>
      <c r="H239" s="69">
        <v>807</v>
      </c>
      <c r="I239" s="74">
        <v>32.99</v>
      </c>
      <c r="J239" s="69">
        <v>26335</v>
      </c>
      <c r="K239" s="72"/>
      <c r="L239" s="69">
        <f t="shared" si="509"/>
        <v>26335</v>
      </c>
      <c r="M239" s="86">
        <f t="shared" si="587"/>
        <v>32.633209417596035</v>
      </c>
      <c r="N239" s="74"/>
      <c r="O239" s="74"/>
      <c r="P239" s="74"/>
      <c r="Q239" s="74"/>
      <c r="R239" s="74"/>
      <c r="S239" s="75">
        <v>4.59</v>
      </c>
      <c r="T239" s="76"/>
      <c r="U239" s="63" t="s">
        <v>365</v>
      </c>
      <c r="V239" s="77" t="s">
        <v>366</v>
      </c>
      <c r="W239" s="77"/>
      <c r="X239" s="78">
        <v>0.31</v>
      </c>
      <c r="Y239" s="78"/>
      <c r="Z239" s="79">
        <v>0.38</v>
      </c>
      <c r="AA239" s="80">
        <v>45777</v>
      </c>
      <c r="AB239" s="81">
        <f t="shared" si="536"/>
        <v>99.85</v>
      </c>
      <c r="AC239" s="81">
        <f t="shared" si="471"/>
        <v>30.953499999999998</v>
      </c>
      <c r="AD239" s="81">
        <f t="shared" si="588"/>
        <v>407.58021124999999</v>
      </c>
      <c r="AE239" s="81">
        <f t="shared" si="589"/>
        <v>12.354659328584418</v>
      </c>
      <c r="AF239" s="167">
        <f t="shared" si="511"/>
        <v>0.62848024555559179</v>
      </c>
      <c r="AG239" s="264">
        <v>10.37</v>
      </c>
      <c r="AH239" s="264">
        <f t="shared" si="475"/>
        <v>0.25738732013757937</v>
      </c>
      <c r="AI239" s="77"/>
      <c r="AJ239" s="79">
        <f t="shared" si="512"/>
        <v>407.58021124999999</v>
      </c>
      <c r="AK239" s="82">
        <f t="shared" si="513"/>
        <v>12.354659328584418</v>
      </c>
      <c r="AL239" s="82"/>
      <c r="AM239" s="82">
        <f t="shared" si="515"/>
        <v>81.456578947368428</v>
      </c>
      <c r="AN239" s="82"/>
      <c r="AO239" s="82"/>
      <c r="AP239" s="82"/>
      <c r="AR239" s="77"/>
      <c r="AS239" s="63">
        <v>110</v>
      </c>
      <c r="AT239" s="63">
        <v>98</v>
      </c>
      <c r="AU239" s="63">
        <v>104</v>
      </c>
      <c r="AV239" s="63">
        <v>108</v>
      </c>
      <c r="AW239" s="63">
        <v>102</v>
      </c>
      <c r="AX239" s="63">
        <v>98</v>
      </c>
      <c r="AY239" s="63">
        <v>99</v>
      </c>
      <c r="AZ239" s="63">
        <v>93</v>
      </c>
      <c r="BA239" s="63">
        <v>100</v>
      </c>
      <c r="BB239" s="63">
        <v>108</v>
      </c>
      <c r="BC239" s="63">
        <v>90</v>
      </c>
      <c r="BD239" s="63">
        <v>80</v>
      </c>
      <c r="BE239" s="63">
        <v>89</v>
      </c>
      <c r="BF239" s="63">
        <v>105</v>
      </c>
      <c r="BG239" s="63">
        <v>100</v>
      </c>
      <c r="BH239" s="63">
        <v>112</v>
      </c>
      <c r="BI239" s="63">
        <v>101</v>
      </c>
      <c r="BJ239" s="63">
        <v>99</v>
      </c>
      <c r="BK239" s="63">
        <v>99</v>
      </c>
      <c r="BL239" s="63">
        <v>102</v>
      </c>
    </row>
    <row r="240" spans="1:94" s="63" customFormat="1">
      <c r="A240" s="63" t="s">
        <v>262</v>
      </c>
      <c r="B240" s="63" t="s">
        <v>356</v>
      </c>
      <c r="C240" s="90" t="s">
        <v>357</v>
      </c>
      <c r="D240" s="65" t="s">
        <v>111</v>
      </c>
      <c r="E240" s="66" t="s">
        <v>88</v>
      </c>
      <c r="F240" s="68">
        <v>7</v>
      </c>
      <c r="G240" s="68" t="s">
        <v>265</v>
      </c>
      <c r="H240" s="69">
        <v>807</v>
      </c>
      <c r="I240" s="74">
        <v>32.99</v>
      </c>
      <c r="J240" s="69">
        <v>26335</v>
      </c>
      <c r="K240" s="72"/>
      <c r="L240" s="69">
        <f t="shared" si="509"/>
        <v>26335</v>
      </c>
      <c r="M240" s="86">
        <f t="shared" si="587"/>
        <v>32.633209417596035</v>
      </c>
      <c r="N240" s="74"/>
      <c r="O240" s="74"/>
      <c r="P240" s="74"/>
      <c r="Q240" s="74"/>
      <c r="R240" s="74"/>
      <c r="S240" s="75">
        <v>4.59</v>
      </c>
      <c r="T240" s="76"/>
      <c r="U240" s="63" t="s">
        <v>106</v>
      </c>
      <c r="V240" s="77" t="s">
        <v>214</v>
      </c>
      <c r="W240" s="77"/>
      <c r="X240" s="78">
        <v>0.31</v>
      </c>
      <c r="Y240" s="78"/>
      <c r="Z240" s="79">
        <v>0.38</v>
      </c>
      <c r="AA240" s="80">
        <v>45778</v>
      </c>
      <c r="AB240" s="81">
        <f t="shared" si="536"/>
        <v>68</v>
      </c>
      <c r="AC240" s="81">
        <f t="shared" si="471"/>
        <v>21.08</v>
      </c>
      <c r="AD240" s="81">
        <f t="shared" si="588"/>
        <v>277.57089999999994</v>
      </c>
      <c r="AE240" s="81">
        <f t="shared" si="589"/>
        <v>8.4137890269778701</v>
      </c>
      <c r="AF240" s="167">
        <f t="shared" si="511"/>
        <v>0.45446694880479177</v>
      </c>
      <c r="AG240" s="264">
        <v>10.37</v>
      </c>
      <c r="AH240" s="264">
        <f t="shared" si="475"/>
        <v>0.37794299876084259</v>
      </c>
      <c r="AI240" s="77"/>
      <c r="AJ240" s="79">
        <f t="shared" si="512"/>
        <v>277.57089999999994</v>
      </c>
      <c r="AK240" s="82">
        <f t="shared" si="513"/>
        <v>8.4137890269778701</v>
      </c>
      <c r="AL240" s="82"/>
      <c r="AM240" s="82">
        <f t="shared" si="515"/>
        <v>55.473684210526308</v>
      </c>
      <c r="AN240" s="82"/>
      <c r="AO240" s="82"/>
      <c r="AP240" s="82"/>
      <c r="AR240" s="77"/>
      <c r="AS240" s="63">
        <v>69</v>
      </c>
      <c r="AT240" s="63">
        <v>73</v>
      </c>
      <c r="AU240" s="63">
        <v>75</v>
      </c>
      <c r="AV240" s="63">
        <v>68</v>
      </c>
      <c r="AW240" s="63">
        <v>74</v>
      </c>
      <c r="AX240" s="63">
        <v>69</v>
      </c>
      <c r="AY240" s="63">
        <v>68</v>
      </c>
      <c r="AZ240" s="63">
        <v>71</v>
      </c>
      <c r="BA240" s="63">
        <v>66</v>
      </c>
      <c r="BB240" s="63">
        <v>72</v>
      </c>
      <c r="BC240" s="63">
        <v>63</v>
      </c>
      <c r="BD240" s="63">
        <v>66</v>
      </c>
      <c r="BE240" s="63">
        <v>61</v>
      </c>
      <c r="BF240" s="63">
        <v>59</v>
      </c>
      <c r="BG240" s="63">
        <v>72</v>
      </c>
      <c r="BH240" s="63">
        <v>68</v>
      </c>
      <c r="BI240" s="63">
        <v>71</v>
      </c>
      <c r="BJ240" s="63">
        <v>74</v>
      </c>
      <c r="BK240" s="63">
        <v>63</v>
      </c>
      <c r="BL240" s="63">
        <v>66</v>
      </c>
      <c r="BM240" s="63">
        <v>67</v>
      </c>
      <c r="BN240" s="63">
        <v>65</v>
      </c>
      <c r="BO240" s="63">
        <v>60</v>
      </c>
      <c r="BP240" s="63">
        <v>72</v>
      </c>
    </row>
    <row r="241" spans="1:94" s="63" customFormat="1">
      <c r="A241" s="63" t="s">
        <v>262</v>
      </c>
      <c r="B241" s="63" t="s">
        <v>356</v>
      </c>
      <c r="C241" s="90" t="s">
        <v>357</v>
      </c>
      <c r="D241" s="65" t="s">
        <v>111</v>
      </c>
      <c r="E241" s="66" t="s">
        <v>88</v>
      </c>
      <c r="F241" s="68">
        <v>7</v>
      </c>
      <c r="G241" s="68" t="s">
        <v>265</v>
      </c>
      <c r="H241" s="69">
        <v>807</v>
      </c>
      <c r="I241" s="74">
        <v>32.99</v>
      </c>
      <c r="J241" s="69">
        <v>26335</v>
      </c>
      <c r="K241" s="72"/>
      <c r="L241" s="69">
        <f t="shared" si="509"/>
        <v>26335</v>
      </c>
      <c r="M241" s="86">
        <f t="shared" si="587"/>
        <v>32.633209417596035</v>
      </c>
      <c r="N241" s="74"/>
      <c r="O241" s="74"/>
      <c r="P241" s="74"/>
      <c r="Q241" s="74"/>
      <c r="R241" s="74"/>
      <c r="S241" s="75">
        <v>4.59</v>
      </c>
      <c r="T241" s="76"/>
      <c r="U241" s="63" t="s">
        <v>106</v>
      </c>
      <c r="V241" s="77" t="s">
        <v>103</v>
      </c>
      <c r="W241" s="77"/>
      <c r="X241" s="78">
        <v>0.31</v>
      </c>
      <c r="Y241" s="78"/>
      <c r="Z241" s="79">
        <v>0.38</v>
      </c>
      <c r="AA241" s="80">
        <v>45783</v>
      </c>
      <c r="AB241" s="81">
        <f t="shared" si="536"/>
        <v>68.827586206896555</v>
      </c>
      <c r="AC241" s="81">
        <f t="shared" si="471"/>
        <v>21.336551724137934</v>
      </c>
      <c r="AD241" s="81">
        <f t="shared" si="588"/>
        <v>280.94904482758619</v>
      </c>
      <c r="AE241" s="81">
        <f t="shared" si="589"/>
        <v>8.5161880820729365</v>
      </c>
      <c r="AF241" s="167">
        <f t="shared" si="511"/>
        <v>0.46102646445042555</v>
      </c>
      <c r="AG241" s="264">
        <v>10.37</v>
      </c>
      <c r="AH241" s="264">
        <f t="shared" si="475"/>
        <v>0.37339859396612302</v>
      </c>
      <c r="AI241" s="77"/>
      <c r="AJ241" s="79">
        <f t="shared" si="512"/>
        <v>280.94904482758619</v>
      </c>
      <c r="AK241" s="82">
        <f t="shared" si="513"/>
        <v>8.5161880820729365</v>
      </c>
      <c r="AL241" s="82"/>
      <c r="AM241" s="82">
        <f t="shared" si="515"/>
        <v>56.148820326678766</v>
      </c>
      <c r="AN241" s="82"/>
      <c r="AO241" s="82"/>
      <c r="AP241" s="82"/>
      <c r="AR241" s="77"/>
      <c r="AS241" s="63">
        <v>61</v>
      </c>
      <c r="AT241" s="63">
        <v>68</v>
      </c>
      <c r="AU241" s="63">
        <v>69</v>
      </c>
      <c r="AV241" s="63">
        <v>73</v>
      </c>
      <c r="AW241" s="63">
        <v>78</v>
      </c>
      <c r="AX241" s="63">
        <v>64</v>
      </c>
      <c r="AY241" s="63">
        <v>72</v>
      </c>
      <c r="AZ241" s="63">
        <v>76</v>
      </c>
      <c r="BA241" s="63">
        <v>67</v>
      </c>
      <c r="BB241" s="63">
        <v>73</v>
      </c>
      <c r="BC241" s="63">
        <v>62</v>
      </c>
      <c r="BD241" s="63">
        <v>68</v>
      </c>
      <c r="BE241" s="63">
        <v>69</v>
      </c>
      <c r="BF241" s="63">
        <v>72</v>
      </c>
      <c r="BG241" s="63">
        <v>66</v>
      </c>
      <c r="BH241" s="63">
        <v>64</v>
      </c>
      <c r="BI241" s="63">
        <v>61</v>
      </c>
      <c r="BJ241" s="63">
        <v>73</v>
      </c>
      <c r="BK241" s="63">
        <v>71</v>
      </c>
      <c r="BL241" s="63">
        <v>67</v>
      </c>
      <c r="BM241" s="63">
        <v>71</v>
      </c>
      <c r="BN241" s="63">
        <v>65</v>
      </c>
      <c r="BO241" s="63">
        <v>67</v>
      </c>
      <c r="BP241" s="63">
        <v>76</v>
      </c>
      <c r="BQ241" s="63">
        <v>72</v>
      </c>
      <c r="BR241" s="63">
        <v>68</v>
      </c>
      <c r="BS241" s="63">
        <v>67</v>
      </c>
      <c r="BT241" s="63">
        <v>64</v>
      </c>
      <c r="BU241" s="63">
        <v>72</v>
      </c>
    </row>
    <row r="242" spans="1:94" s="63" customFormat="1">
      <c r="A242" s="63" t="s">
        <v>262</v>
      </c>
      <c r="B242" s="63" t="s">
        <v>356</v>
      </c>
      <c r="C242" s="90" t="s">
        <v>357</v>
      </c>
      <c r="D242" s="65" t="s">
        <v>111</v>
      </c>
      <c r="E242" s="66" t="s">
        <v>88</v>
      </c>
      <c r="F242" s="68">
        <v>7</v>
      </c>
      <c r="G242" s="68" t="s">
        <v>265</v>
      </c>
      <c r="H242" s="69">
        <v>807</v>
      </c>
      <c r="I242" s="74">
        <v>32.99</v>
      </c>
      <c r="J242" s="69">
        <v>26335</v>
      </c>
      <c r="K242" s="72"/>
      <c r="L242" s="69">
        <f t="shared" si="509"/>
        <v>26335</v>
      </c>
      <c r="M242" s="86">
        <f t="shared" si="587"/>
        <v>32.633209417596035</v>
      </c>
      <c r="N242" s="74"/>
      <c r="O242" s="74"/>
      <c r="P242" s="74"/>
      <c r="Q242" s="74"/>
      <c r="R242" s="74"/>
      <c r="S242" s="75">
        <v>4.59</v>
      </c>
      <c r="T242" s="76"/>
      <c r="U242" s="63" t="s">
        <v>106</v>
      </c>
      <c r="V242" s="77" t="s">
        <v>103</v>
      </c>
      <c r="W242" s="77"/>
      <c r="X242" s="78">
        <v>0.31</v>
      </c>
      <c r="Y242" s="78"/>
      <c r="Z242" s="79">
        <v>0.38</v>
      </c>
      <c r="AA242" s="80">
        <v>45813</v>
      </c>
      <c r="AB242" s="81">
        <f t="shared" si="536"/>
        <v>76.933333333333337</v>
      </c>
      <c r="AC242" s="81">
        <f t="shared" si="471"/>
        <v>23.849333333333334</v>
      </c>
      <c r="AD242" s="81">
        <f t="shared" si="588"/>
        <v>314.03609666666665</v>
      </c>
      <c r="AE242" s="81">
        <f t="shared" si="589"/>
        <v>9.5191299383651593</v>
      </c>
      <c r="AF242" s="167">
        <f t="shared" si="511"/>
        <v>0.51781307433352475</v>
      </c>
      <c r="AG242" s="264">
        <v>10.37</v>
      </c>
      <c r="AH242" s="264">
        <f t="shared" si="475"/>
        <v>0.33405706996192325</v>
      </c>
      <c r="AI242" s="77"/>
      <c r="AJ242" s="79">
        <f t="shared" si="512"/>
        <v>314.03609666666665</v>
      </c>
      <c r="AK242" s="82">
        <f t="shared" si="513"/>
        <v>9.5191299383651593</v>
      </c>
      <c r="AL242" s="82"/>
      <c r="AM242" s="82">
        <f t="shared" si="515"/>
        <v>62.761403508771927</v>
      </c>
      <c r="AN242" s="82"/>
      <c r="AO242" s="82"/>
      <c r="AP242" s="82"/>
      <c r="AR242" s="77" t="s">
        <v>91</v>
      </c>
      <c r="AS242" s="63">
        <v>85</v>
      </c>
      <c r="AT242" s="63">
        <v>75</v>
      </c>
      <c r="AU242" s="63">
        <v>81</v>
      </c>
      <c r="AV242" s="63">
        <v>78</v>
      </c>
      <c r="AW242" s="63">
        <v>80</v>
      </c>
      <c r="AX242" s="63">
        <v>68</v>
      </c>
      <c r="AY242" s="63">
        <v>84</v>
      </c>
      <c r="AZ242" s="63">
        <v>85</v>
      </c>
      <c r="BA242" s="63">
        <v>77</v>
      </c>
      <c r="BB242" s="63">
        <v>75</v>
      </c>
      <c r="BC242" s="63">
        <v>63</v>
      </c>
      <c r="BD242" s="63">
        <v>87</v>
      </c>
      <c r="BE242" s="63">
        <v>73</v>
      </c>
      <c r="BF242" s="63">
        <v>70</v>
      </c>
      <c r="BG242" s="63">
        <v>73</v>
      </c>
    </row>
    <row r="243" spans="1:94" s="113" customFormat="1">
      <c r="A243" s="113" t="s">
        <v>262</v>
      </c>
      <c r="B243" s="113" t="s">
        <v>361</v>
      </c>
      <c r="C243" s="130" t="s">
        <v>362</v>
      </c>
      <c r="D243" s="128" t="s">
        <v>111</v>
      </c>
      <c r="E243" s="127" t="s">
        <v>88</v>
      </c>
      <c r="F243" s="126">
        <v>7</v>
      </c>
      <c r="G243" s="126" t="s">
        <v>273</v>
      </c>
      <c r="H243" s="123">
        <v>807</v>
      </c>
      <c r="I243" s="125">
        <v>30.71</v>
      </c>
      <c r="J243" s="123">
        <v>24570</v>
      </c>
      <c r="K243" s="124"/>
      <c r="L243" s="123">
        <f t="shared" si="509"/>
        <v>24570</v>
      </c>
      <c r="M243" s="122">
        <f t="shared" si="587"/>
        <v>30.446096654275092</v>
      </c>
      <c r="N243" s="125"/>
      <c r="O243" s="125"/>
      <c r="P243" s="125"/>
      <c r="Q243" s="125"/>
      <c r="R243" s="125"/>
      <c r="S243" s="154">
        <v>5.31</v>
      </c>
      <c r="T243" s="129"/>
      <c r="U243" s="113" t="s">
        <v>365</v>
      </c>
      <c r="V243" s="115" t="s">
        <v>366</v>
      </c>
      <c r="W243" s="115"/>
      <c r="X243" s="120">
        <v>0.31</v>
      </c>
      <c r="Y243" s="120"/>
      <c r="Z243" s="118">
        <v>0.38</v>
      </c>
      <c r="AA243" s="119">
        <v>45778</v>
      </c>
      <c r="AB243" s="117">
        <f t="shared" si="536"/>
        <v>98</v>
      </c>
      <c r="AC243" s="117">
        <f t="shared" si="471"/>
        <v>30.38</v>
      </c>
      <c r="AD243" s="117">
        <f t="shared" si="588"/>
        <v>373.2183</v>
      </c>
      <c r="AE243" s="117">
        <f t="shared" si="589"/>
        <v>12.152989254314555</v>
      </c>
      <c r="AF243" s="170">
        <f t="shared" si="511"/>
        <v>0.56307046037131625</v>
      </c>
      <c r="AG243" s="265">
        <v>8.77</v>
      </c>
      <c r="AH243" s="265">
        <f t="shared" si="475"/>
        <v>0.22178388083858078</v>
      </c>
      <c r="AI243" s="115"/>
      <c r="AJ243" s="118">
        <f t="shared" si="512"/>
        <v>373.2183</v>
      </c>
      <c r="AK243" s="116">
        <f t="shared" si="513"/>
        <v>12.152989254314555</v>
      </c>
      <c r="AL243" s="116"/>
      <c r="AM243" s="116">
        <f t="shared" si="515"/>
        <v>79.94736842105263</v>
      </c>
      <c r="AN243" s="116"/>
      <c r="AO243" s="116"/>
      <c r="AP243" s="116"/>
      <c r="AR243" s="115"/>
      <c r="AS243" s="113">
        <v>90</v>
      </c>
      <c r="AT243" s="113">
        <v>103</v>
      </c>
      <c r="AU243" s="113">
        <v>87</v>
      </c>
      <c r="AV243" s="113">
        <v>106</v>
      </c>
      <c r="AW243" s="113">
        <v>99</v>
      </c>
      <c r="AX243" s="113">
        <v>110</v>
      </c>
      <c r="AY243" s="113">
        <v>105</v>
      </c>
      <c r="AZ243" s="113">
        <v>109</v>
      </c>
      <c r="BA243" s="113">
        <v>104</v>
      </c>
      <c r="BB243" s="113">
        <v>65</v>
      </c>
      <c r="BC243" s="113">
        <v>98</v>
      </c>
      <c r="BD243" s="113">
        <v>85</v>
      </c>
      <c r="BE243" s="113">
        <v>108</v>
      </c>
      <c r="BF243" s="113">
        <v>103</v>
      </c>
    </row>
    <row r="244" spans="1:94" s="113" customFormat="1">
      <c r="A244" s="113" t="s">
        <v>262</v>
      </c>
      <c r="B244" s="113" t="s">
        <v>361</v>
      </c>
      <c r="C244" s="130" t="s">
        <v>362</v>
      </c>
      <c r="D244" s="128" t="s">
        <v>111</v>
      </c>
      <c r="E244" s="127" t="s">
        <v>88</v>
      </c>
      <c r="F244" s="126">
        <v>7</v>
      </c>
      <c r="G244" s="126" t="s">
        <v>273</v>
      </c>
      <c r="H244" s="123">
        <v>807</v>
      </c>
      <c r="I244" s="125">
        <v>30.71</v>
      </c>
      <c r="J244" s="123">
        <v>24570</v>
      </c>
      <c r="K244" s="124"/>
      <c r="L244" s="123">
        <f t="shared" si="509"/>
        <v>24570</v>
      </c>
      <c r="M244" s="122">
        <f t="shared" si="587"/>
        <v>30.446096654275092</v>
      </c>
      <c r="N244" s="125"/>
      <c r="O244" s="125"/>
      <c r="P244" s="125"/>
      <c r="Q244" s="125"/>
      <c r="R244" s="125"/>
      <c r="S244" s="154">
        <v>5.31</v>
      </c>
      <c r="T244" s="129"/>
      <c r="U244" s="113" t="s">
        <v>106</v>
      </c>
      <c r="V244" s="115" t="s">
        <v>214</v>
      </c>
      <c r="W244" s="115"/>
      <c r="X244" s="26">
        <v>0.31</v>
      </c>
      <c r="Y244" s="120"/>
      <c r="Z244" s="118">
        <v>0.38</v>
      </c>
      <c r="AA244" s="119">
        <v>45778</v>
      </c>
      <c r="AB244" s="117">
        <f t="shared" si="536"/>
        <v>64.181818181818187</v>
      </c>
      <c r="AC244" s="117">
        <f t="shared" si="471"/>
        <v>19.896363636363638</v>
      </c>
      <c r="AD244" s="117">
        <f t="shared" si="588"/>
        <v>244.42682727272731</v>
      </c>
      <c r="AE244" s="117">
        <f t="shared" si="589"/>
        <v>7.9591933335306839</v>
      </c>
      <c r="AF244" s="170">
        <f t="shared" si="511"/>
        <v>0.3328469635698002</v>
      </c>
      <c r="AG244" s="265">
        <v>8.77</v>
      </c>
      <c r="AH244" s="265">
        <f t="shared" si="475"/>
        <v>0.33864450926910772</v>
      </c>
      <c r="AI244" s="115"/>
      <c r="AJ244" s="118">
        <f t="shared" si="512"/>
        <v>244.42682727272731</v>
      </c>
      <c r="AK244" s="116">
        <f t="shared" si="513"/>
        <v>7.9591933335306839</v>
      </c>
      <c r="AL244" s="116"/>
      <c r="AM244" s="116">
        <f t="shared" si="515"/>
        <v>52.358851674641151</v>
      </c>
      <c r="AN244" s="116"/>
      <c r="AO244" s="116"/>
      <c r="AP244" s="116"/>
      <c r="AR244" s="115"/>
      <c r="AS244" s="113">
        <v>59</v>
      </c>
      <c r="AT244" s="113">
        <v>60</v>
      </c>
      <c r="AU244" s="113">
        <v>72</v>
      </c>
      <c r="AV244" s="113">
        <v>68</v>
      </c>
      <c r="AW244" s="113">
        <v>49</v>
      </c>
      <c r="AX244" s="113">
        <v>60</v>
      </c>
      <c r="AY244" s="113">
        <v>67</v>
      </c>
      <c r="AZ244" s="113">
        <v>49</v>
      </c>
      <c r="BA244" s="113">
        <v>72</v>
      </c>
      <c r="BB244" s="113">
        <v>56</v>
      </c>
      <c r="BC244" s="113">
        <v>71</v>
      </c>
      <c r="BD244" s="113">
        <v>67</v>
      </c>
      <c r="BE244" s="113">
        <v>68</v>
      </c>
      <c r="BF244" s="113">
        <v>59</v>
      </c>
      <c r="BG244" s="113">
        <v>79</v>
      </c>
      <c r="BH244" s="113">
        <v>75</v>
      </c>
      <c r="BI244" s="113">
        <v>57</v>
      </c>
      <c r="BJ244" s="113">
        <v>62</v>
      </c>
      <c r="BK244" s="113">
        <v>63</v>
      </c>
      <c r="BL244" s="113">
        <v>66</v>
      </c>
      <c r="BM244" s="113">
        <v>66</v>
      </c>
      <c r="BN244" s="113">
        <v>67</v>
      </c>
    </row>
    <row r="245" spans="1:94" s="63" customFormat="1">
      <c r="A245" s="113" t="s">
        <v>262</v>
      </c>
      <c r="B245" s="113" t="s">
        <v>361</v>
      </c>
      <c r="C245" s="130" t="s">
        <v>362</v>
      </c>
      <c r="D245" s="128" t="s">
        <v>111</v>
      </c>
      <c r="E245" s="127" t="s">
        <v>88</v>
      </c>
      <c r="F245" s="126">
        <v>7</v>
      </c>
      <c r="G245" s="126" t="s">
        <v>273</v>
      </c>
      <c r="H245" s="123">
        <v>807</v>
      </c>
      <c r="I245" s="125">
        <v>30.71</v>
      </c>
      <c r="J245" s="123">
        <v>24570</v>
      </c>
      <c r="K245" s="124"/>
      <c r="L245" s="123">
        <f t="shared" ref="L245:L279" si="590">J245-(J245*K245)</f>
        <v>24570</v>
      </c>
      <c r="M245" s="122">
        <f t="shared" si="587"/>
        <v>30.446096654275092</v>
      </c>
      <c r="N245" s="125"/>
      <c r="O245" s="125"/>
      <c r="P245" s="125"/>
      <c r="Q245" s="125"/>
      <c r="R245" s="125"/>
      <c r="S245" s="154">
        <v>5.31</v>
      </c>
      <c r="T245" s="129"/>
      <c r="U245" s="113" t="s">
        <v>106</v>
      </c>
      <c r="V245" s="115" t="s">
        <v>103</v>
      </c>
      <c r="W245" s="115"/>
      <c r="X245" s="26">
        <v>0.31</v>
      </c>
      <c r="Y245" s="120"/>
      <c r="Z245" s="118">
        <v>0.38</v>
      </c>
      <c r="AA245" s="119">
        <v>45783</v>
      </c>
      <c r="AB245" s="117">
        <f t="shared" si="536"/>
        <v>69.4375</v>
      </c>
      <c r="AC245" s="117">
        <f t="shared" si="471"/>
        <v>21.525625000000002</v>
      </c>
      <c r="AD245" s="117">
        <f t="shared" si="588"/>
        <v>264.44230312500002</v>
      </c>
      <c r="AE245" s="117">
        <f t="shared" si="589"/>
        <v>8.6109509321068067</v>
      </c>
      <c r="AF245" s="170">
        <f t="shared" si="511"/>
        <v>0.38334336801280283</v>
      </c>
      <c r="AG245" s="265">
        <v>8.77</v>
      </c>
      <c r="AH245" s="265">
        <f t="shared" si="475"/>
        <v>0.31301271391079627</v>
      </c>
      <c r="AI245" s="115"/>
      <c r="AJ245" s="118">
        <f t="shared" si="512"/>
        <v>264.44230312500002</v>
      </c>
      <c r="AK245" s="116">
        <f t="shared" si="513"/>
        <v>8.6109509321068067</v>
      </c>
      <c r="AL245" s="116"/>
      <c r="AM245" s="116">
        <f t="shared" si="515"/>
        <v>56.646381578947377</v>
      </c>
      <c r="AN245" s="116"/>
      <c r="AO245" s="116"/>
      <c r="AP245" s="116"/>
      <c r="AQ245" s="113"/>
      <c r="AR245" s="115"/>
      <c r="AS245" s="113">
        <v>75</v>
      </c>
      <c r="AT245" s="113">
        <v>75</v>
      </c>
      <c r="AU245" s="113">
        <v>71</v>
      </c>
      <c r="AV245" s="113">
        <v>74</v>
      </c>
      <c r="AW245" s="113">
        <v>59</v>
      </c>
      <c r="AX245" s="113">
        <v>55</v>
      </c>
      <c r="AY245" s="113">
        <v>72</v>
      </c>
      <c r="AZ245" s="113">
        <v>72</v>
      </c>
      <c r="BA245" s="113">
        <v>68</v>
      </c>
      <c r="BB245" s="113">
        <v>70</v>
      </c>
      <c r="BC245" s="113">
        <v>68</v>
      </c>
      <c r="BD245" s="113">
        <v>64</v>
      </c>
      <c r="BE245" s="113">
        <v>85</v>
      </c>
      <c r="BF245" s="113">
        <v>82</v>
      </c>
      <c r="BG245" s="113">
        <v>64</v>
      </c>
      <c r="BH245" s="113">
        <v>71</v>
      </c>
      <c r="BI245" s="113">
        <v>68</v>
      </c>
      <c r="BJ245" s="113">
        <v>72</v>
      </c>
      <c r="BK245" s="113">
        <v>74</v>
      </c>
      <c r="BL245" s="113">
        <v>69</v>
      </c>
      <c r="BM245" s="113">
        <v>68</v>
      </c>
      <c r="BN245" s="113">
        <v>71</v>
      </c>
      <c r="BO245" s="113">
        <v>56</v>
      </c>
      <c r="BP245" s="113">
        <v>73</v>
      </c>
      <c r="BQ245" s="113">
        <v>68</v>
      </c>
      <c r="BR245" s="113">
        <v>55</v>
      </c>
      <c r="BS245" s="113">
        <v>67</v>
      </c>
      <c r="BT245" s="113">
        <v>64</v>
      </c>
      <c r="BU245" s="113">
        <v>61</v>
      </c>
      <c r="BV245" s="113">
        <v>87</v>
      </c>
      <c r="BW245" s="113">
        <v>75</v>
      </c>
      <c r="BX245" s="113">
        <v>69</v>
      </c>
      <c r="BY245" s="113"/>
      <c r="BZ245" s="113"/>
      <c r="CA245" s="113"/>
      <c r="CB245" s="113"/>
      <c r="CC245" s="113"/>
      <c r="CD245" s="113"/>
      <c r="CE245" s="113"/>
      <c r="CF245" s="113"/>
      <c r="CG245" s="113"/>
      <c r="CH245" s="113"/>
      <c r="CI245" s="113"/>
      <c r="CJ245" s="113"/>
      <c r="CK245" s="113"/>
      <c r="CL245" s="113"/>
      <c r="CM245" s="113"/>
      <c r="CN245" s="113"/>
      <c r="CO245" s="113"/>
      <c r="CP245" s="113"/>
    </row>
    <row r="246" spans="1:94" s="63" customFormat="1">
      <c r="A246" s="113" t="s">
        <v>262</v>
      </c>
      <c r="B246" s="113" t="s">
        <v>361</v>
      </c>
      <c r="C246" s="130" t="s">
        <v>362</v>
      </c>
      <c r="D246" s="128" t="s">
        <v>111</v>
      </c>
      <c r="E246" s="127" t="s">
        <v>88</v>
      </c>
      <c r="F246" s="126">
        <v>7</v>
      </c>
      <c r="G246" s="126" t="s">
        <v>273</v>
      </c>
      <c r="H246" s="123">
        <v>807</v>
      </c>
      <c r="I246" s="125">
        <v>30.71</v>
      </c>
      <c r="J246" s="123">
        <v>24570</v>
      </c>
      <c r="K246" s="124"/>
      <c r="L246" s="123">
        <f t="shared" si="590"/>
        <v>24570</v>
      </c>
      <c r="M246" s="122">
        <f t="shared" si="587"/>
        <v>30.446096654275092</v>
      </c>
      <c r="N246" s="125"/>
      <c r="O246" s="125"/>
      <c r="P246" s="125"/>
      <c r="Q246" s="125"/>
      <c r="R246" s="125"/>
      <c r="S246" s="154">
        <v>5.31</v>
      </c>
      <c r="T246" s="129"/>
      <c r="U246" s="113" t="s">
        <v>106</v>
      </c>
      <c r="V246" s="115" t="s">
        <v>103</v>
      </c>
      <c r="W246" s="115"/>
      <c r="X246" s="26">
        <v>0.31</v>
      </c>
      <c r="Y246" s="120"/>
      <c r="Z246" s="118">
        <v>0.38</v>
      </c>
      <c r="AA246" s="119">
        <v>45791</v>
      </c>
      <c r="AB246" s="117">
        <f t="shared" si="536"/>
        <v>67.578947368421055</v>
      </c>
      <c r="AC246" s="117">
        <f t="shared" si="471"/>
        <v>20.949473684210528</v>
      </c>
      <c r="AD246" s="117">
        <f t="shared" si="588"/>
        <v>257.36428421052631</v>
      </c>
      <c r="AE246" s="117">
        <f t="shared" si="589"/>
        <v>8.3804716447582646</v>
      </c>
      <c r="AF246" s="170">
        <f t="shared" si="511"/>
        <v>0.3663841099777187</v>
      </c>
      <c r="AG246" s="265">
        <v>8.77</v>
      </c>
      <c r="AH246" s="265">
        <f t="shared" si="475"/>
        <v>0.32162117299177367</v>
      </c>
      <c r="AI246" s="115"/>
      <c r="AJ246" s="118">
        <f t="shared" si="512"/>
        <v>257.36428421052631</v>
      </c>
      <c r="AK246" s="116">
        <f t="shared" si="513"/>
        <v>8.3804716447582646</v>
      </c>
      <c r="AL246" s="116"/>
      <c r="AM246" s="116">
        <f t="shared" si="515"/>
        <v>55.130193905817166</v>
      </c>
      <c r="AN246" s="116"/>
      <c r="AO246" s="116"/>
      <c r="AP246" s="116"/>
      <c r="AQ246" s="113"/>
      <c r="AR246" s="115"/>
      <c r="AS246" s="113">
        <v>61</v>
      </c>
      <c r="AT246" s="113">
        <v>58</v>
      </c>
      <c r="AU246" s="113">
        <v>60</v>
      </c>
      <c r="AV246" s="113">
        <v>63</v>
      </c>
      <c r="AW246" s="113">
        <v>62</v>
      </c>
      <c r="AX246" s="113">
        <v>59</v>
      </c>
      <c r="AY246" s="113">
        <v>68</v>
      </c>
      <c r="AZ246" s="113">
        <v>71</v>
      </c>
      <c r="BA246" s="113">
        <v>69</v>
      </c>
      <c r="BB246" s="113">
        <v>74</v>
      </c>
      <c r="BC246" s="113">
        <v>72</v>
      </c>
      <c r="BD246" s="113">
        <v>73</v>
      </c>
      <c r="BE246" s="113">
        <v>67</v>
      </c>
      <c r="BF246" s="113">
        <v>66</v>
      </c>
      <c r="BG246" s="113">
        <v>70</v>
      </c>
      <c r="BH246" s="113">
        <v>72</v>
      </c>
      <c r="BI246" s="113">
        <v>77</v>
      </c>
      <c r="BJ246" s="113">
        <v>74</v>
      </c>
      <c r="BK246" s="113">
        <v>68</v>
      </c>
      <c r="BL246" s="113"/>
      <c r="BM246" s="113"/>
      <c r="BN246" s="113"/>
      <c r="BO246" s="113"/>
      <c r="BP246" s="113"/>
      <c r="BQ246" s="113"/>
      <c r="BR246" s="113"/>
      <c r="BS246" s="113"/>
      <c r="BT246" s="113"/>
      <c r="BU246" s="113"/>
      <c r="BV246" s="113"/>
      <c r="BW246" s="113"/>
      <c r="BX246" s="113"/>
      <c r="BY246" s="113"/>
      <c r="BZ246" s="113"/>
      <c r="CA246" s="113"/>
      <c r="CB246" s="113"/>
      <c r="CC246" s="113"/>
      <c r="CD246" s="113"/>
      <c r="CE246" s="113"/>
      <c r="CF246" s="113"/>
      <c r="CG246" s="113"/>
      <c r="CH246" s="113"/>
      <c r="CI246" s="113"/>
      <c r="CJ246" s="113"/>
      <c r="CK246" s="113"/>
      <c r="CL246" s="113"/>
      <c r="CM246" s="113"/>
      <c r="CN246" s="113"/>
      <c r="CO246" s="113"/>
      <c r="CP246" s="113"/>
    </row>
    <row r="247" spans="1:94" s="63" customFormat="1">
      <c r="A247" s="113" t="s">
        <v>262</v>
      </c>
      <c r="B247" s="113" t="s">
        <v>361</v>
      </c>
      <c r="C247" s="130" t="s">
        <v>362</v>
      </c>
      <c r="D247" s="128" t="s">
        <v>111</v>
      </c>
      <c r="E247" s="127" t="s">
        <v>88</v>
      </c>
      <c r="F247" s="126">
        <v>7</v>
      </c>
      <c r="G247" s="126" t="s">
        <v>273</v>
      </c>
      <c r="H247" s="123">
        <v>807</v>
      </c>
      <c r="I247" s="125">
        <v>30.71</v>
      </c>
      <c r="J247" s="123">
        <v>24570</v>
      </c>
      <c r="K247" s="124"/>
      <c r="L247" s="123">
        <f t="shared" si="590"/>
        <v>24570</v>
      </c>
      <c r="M247" s="122">
        <f t="shared" si="587"/>
        <v>30.446096654275092</v>
      </c>
      <c r="N247" s="125"/>
      <c r="O247" s="125"/>
      <c r="P247" s="125"/>
      <c r="Q247" s="125"/>
      <c r="R247" s="125"/>
      <c r="S247" s="154">
        <v>5.31</v>
      </c>
      <c r="T247" s="129"/>
      <c r="U247" s="113" t="s">
        <v>106</v>
      </c>
      <c r="V247" s="115" t="s">
        <v>103</v>
      </c>
      <c r="W247" s="115"/>
      <c r="X247" s="26">
        <v>0.31</v>
      </c>
      <c r="Y247" s="120"/>
      <c r="Z247" s="118">
        <v>0.38</v>
      </c>
      <c r="AA247" s="119">
        <v>45813</v>
      </c>
      <c r="AB247" s="117">
        <f t="shared" si="536"/>
        <v>75.916666666666671</v>
      </c>
      <c r="AC247" s="117">
        <f t="shared" si="471"/>
        <v>23.534166666666668</v>
      </c>
      <c r="AD247" s="117">
        <f t="shared" si="588"/>
        <v>289.11723749999999</v>
      </c>
      <c r="AE247" s="117">
        <f t="shared" si="589"/>
        <v>9.4144330022793863</v>
      </c>
      <c r="AF247" s="170">
        <f t="shared" si="511"/>
        <v>0.43597240548481647</v>
      </c>
      <c r="AG247" s="265">
        <v>8.77</v>
      </c>
      <c r="AH247" s="265">
        <f t="shared" si="475"/>
        <v>0.28629840160940834</v>
      </c>
      <c r="AI247" s="115"/>
      <c r="AJ247" s="118">
        <f t="shared" si="512"/>
        <v>289.11723749999999</v>
      </c>
      <c r="AK247" s="116">
        <f t="shared" si="513"/>
        <v>9.4144330022793863</v>
      </c>
      <c r="AL247" s="116"/>
      <c r="AM247" s="116">
        <f t="shared" si="515"/>
        <v>61.932017543859644</v>
      </c>
      <c r="AN247" s="116"/>
      <c r="AO247" s="116"/>
      <c r="AP247" s="116"/>
      <c r="AQ247" s="113"/>
      <c r="AR247" s="115"/>
      <c r="AS247" s="113">
        <v>73</v>
      </c>
      <c r="AT247" s="113">
        <v>72</v>
      </c>
      <c r="AU247" s="113">
        <v>60</v>
      </c>
      <c r="AV247" s="113">
        <v>77</v>
      </c>
      <c r="AW247" s="113">
        <v>66</v>
      </c>
      <c r="AX247" s="113">
        <v>94</v>
      </c>
      <c r="AY247" s="113">
        <v>76</v>
      </c>
      <c r="AZ247" s="113">
        <v>91</v>
      </c>
      <c r="BA247" s="113">
        <v>70</v>
      </c>
      <c r="BB247" s="113">
        <v>68</v>
      </c>
      <c r="BC247" s="113">
        <v>85</v>
      </c>
      <c r="BD247" s="113">
        <v>79</v>
      </c>
      <c r="BE247" s="113"/>
      <c r="BF247" s="113"/>
      <c r="BG247" s="113"/>
      <c r="BH247" s="113"/>
      <c r="BI247" s="113"/>
      <c r="BJ247" s="113"/>
      <c r="BK247" s="113"/>
      <c r="BL247" s="113"/>
      <c r="BM247" s="113"/>
      <c r="BN247" s="113"/>
      <c r="BO247" s="113"/>
      <c r="BP247" s="113"/>
      <c r="BQ247" s="113"/>
      <c r="BR247" s="113"/>
      <c r="BS247" s="113"/>
      <c r="BT247" s="113"/>
      <c r="BU247" s="113"/>
      <c r="BV247" s="113"/>
      <c r="BW247" s="113"/>
      <c r="BX247" s="113"/>
      <c r="BY247" s="113"/>
      <c r="BZ247" s="113"/>
      <c r="CA247" s="113"/>
      <c r="CB247" s="113"/>
      <c r="CC247" s="113"/>
      <c r="CD247" s="113"/>
      <c r="CE247" s="113"/>
      <c r="CF247" s="113"/>
      <c r="CG247" s="113"/>
      <c r="CH247" s="113"/>
      <c r="CI247" s="113"/>
      <c r="CJ247" s="113"/>
      <c r="CK247" s="113"/>
      <c r="CL247" s="113"/>
      <c r="CM247" s="113"/>
      <c r="CN247" s="113"/>
      <c r="CO247" s="113"/>
      <c r="CP247" s="113"/>
    </row>
    <row r="248" spans="1:94" s="63" customFormat="1">
      <c r="A248" s="63" t="s">
        <v>262</v>
      </c>
      <c r="B248" s="63" t="s">
        <v>363</v>
      </c>
      <c r="C248" s="90" t="s">
        <v>364</v>
      </c>
      <c r="D248" s="65" t="s">
        <v>193</v>
      </c>
      <c r="E248" s="66" t="s">
        <v>114</v>
      </c>
      <c r="F248" s="68"/>
      <c r="G248" s="68"/>
      <c r="H248" s="69">
        <v>807</v>
      </c>
      <c r="I248" s="74">
        <v>38.76</v>
      </c>
      <c r="J248" s="69">
        <v>30908</v>
      </c>
      <c r="K248" s="72"/>
      <c r="L248" s="69">
        <f t="shared" si="590"/>
        <v>30908</v>
      </c>
      <c r="M248" s="86">
        <f t="shared" si="587"/>
        <v>38.299876084262699</v>
      </c>
      <c r="N248" s="74"/>
      <c r="O248" s="74"/>
      <c r="P248" s="74"/>
      <c r="Q248" s="74"/>
      <c r="R248" s="74"/>
      <c r="S248" s="75"/>
      <c r="T248" s="76"/>
      <c r="U248" s="63" t="s">
        <v>106</v>
      </c>
      <c r="V248" s="77" t="s">
        <v>214</v>
      </c>
      <c r="W248" s="77"/>
      <c r="X248" s="78"/>
      <c r="Y248" s="78"/>
      <c r="Z248" s="79">
        <v>0.33</v>
      </c>
      <c r="AA248" s="80">
        <v>45778</v>
      </c>
      <c r="AB248" s="81">
        <f t="shared" si="536"/>
        <v>40.25</v>
      </c>
      <c r="AC248" s="81">
        <f t="shared" ref="AC248:AC256" si="591">AB248*Z248</f>
        <v>13.282500000000001</v>
      </c>
      <c r="AD248" s="81">
        <f t="shared" si="588"/>
        <v>205.26775499999999</v>
      </c>
      <c r="AE248" s="81">
        <f t="shared" si="589"/>
        <v>5.2958657120743036</v>
      </c>
      <c r="AF248" s="167">
        <f t="shared" si="511"/>
        <v>1</v>
      </c>
      <c r="AG248" s="410">
        <f>215.7/I248</f>
        <v>5.5650154798761609</v>
      </c>
      <c r="AH248" s="264">
        <f t="shared" si="475"/>
        <v>0.34265490497748186</v>
      </c>
      <c r="AI248" s="77"/>
      <c r="AJ248" s="79">
        <f t="shared" si="512"/>
        <v>205.26775499999999</v>
      </c>
      <c r="AK248" s="82">
        <f t="shared" si="513"/>
        <v>5.2958657120743036</v>
      </c>
      <c r="AL248" s="82"/>
      <c r="AM248" s="82">
        <f t="shared" si="515"/>
        <v>40.25</v>
      </c>
      <c r="AN248" s="82"/>
      <c r="AO248" s="82"/>
      <c r="AP248" s="82"/>
      <c r="AR248" s="77"/>
      <c r="AS248" s="63">
        <v>41</v>
      </c>
      <c r="AT248" s="63">
        <v>37</v>
      </c>
      <c r="AU248" s="63">
        <v>42</v>
      </c>
      <c r="AV248" s="63">
        <v>30</v>
      </c>
      <c r="AW248" s="63">
        <v>37</v>
      </c>
      <c r="AX248" s="63">
        <v>39</v>
      </c>
      <c r="AY248" s="63">
        <v>41</v>
      </c>
      <c r="AZ248" s="63">
        <v>36</v>
      </c>
      <c r="BA248" s="63">
        <v>54</v>
      </c>
      <c r="BB248" s="63">
        <v>51</v>
      </c>
      <c r="BC248" s="63">
        <v>36</v>
      </c>
      <c r="BD248" s="63">
        <v>39</v>
      </c>
    </row>
    <row r="249" spans="1:94" s="63" customFormat="1">
      <c r="A249" s="63" t="s">
        <v>262</v>
      </c>
      <c r="B249" s="63" t="s">
        <v>363</v>
      </c>
      <c r="C249" s="90" t="s">
        <v>364</v>
      </c>
      <c r="D249" s="65" t="s">
        <v>193</v>
      </c>
      <c r="E249" s="66" t="s">
        <v>114</v>
      </c>
      <c r="F249" s="68"/>
      <c r="G249" s="68"/>
      <c r="H249" s="69">
        <v>807</v>
      </c>
      <c r="I249" s="74">
        <v>38.76</v>
      </c>
      <c r="J249" s="69">
        <v>30908</v>
      </c>
      <c r="K249" s="72"/>
      <c r="L249" s="69">
        <f t="shared" si="590"/>
        <v>30908</v>
      </c>
      <c r="M249" s="86">
        <f t="shared" si="587"/>
        <v>38.299876084262699</v>
      </c>
      <c r="N249" s="74"/>
      <c r="O249" s="74"/>
      <c r="P249" s="74"/>
      <c r="Q249" s="74"/>
      <c r="R249" s="74"/>
      <c r="S249" s="75"/>
      <c r="T249" s="76"/>
      <c r="U249" s="63" t="s">
        <v>106</v>
      </c>
      <c r="V249" s="77" t="s">
        <v>103</v>
      </c>
      <c r="W249" s="77"/>
      <c r="X249" s="78"/>
      <c r="Y249" s="78"/>
      <c r="Z249" s="79">
        <v>0.33</v>
      </c>
      <c r="AA249" s="80">
        <v>45813</v>
      </c>
      <c r="AB249" s="81">
        <f>44.3-AB250</f>
        <v>32.799999999999997</v>
      </c>
      <c r="AC249" s="81">
        <f t="shared" si="591"/>
        <v>10.824</v>
      </c>
      <c r="AD249" s="81">
        <f t="shared" si="588"/>
        <v>167.27409599999999</v>
      </c>
      <c r="AE249" s="81">
        <f t="shared" si="589"/>
        <v>4.3156371517027861</v>
      </c>
      <c r="AF249" s="167">
        <f t="shared" si="511"/>
        <v>1</v>
      </c>
      <c r="AG249" s="410">
        <f>215.7/I249</f>
        <v>5.5650154798761609</v>
      </c>
      <c r="AH249" s="264">
        <f t="shared" si="475"/>
        <v>0.42048353430925756</v>
      </c>
      <c r="AI249" s="77"/>
      <c r="AJ249" s="79">
        <f t="shared" si="512"/>
        <v>167.27409599999999</v>
      </c>
      <c r="AK249" s="82">
        <f t="shared" si="513"/>
        <v>4.3156371517027861</v>
      </c>
      <c r="AL249" s="82"/>
      <c r="AM249" s="82">
        <f t="shared" si="515"/>
        <v>32.799999999999997</v>
      </c>
      <c r="AN249" s="82"/>
      <c r="AO249" s="82"/>
      <c r="AP249" s="82"/>
      <c r="AR249" s="77" t="s">
        <v>91</v>
      </c>
      <c r="AS249" s="63">
        <v>43</v>
      </c>
      <c r="AT249" s="63">
        <v>38</v>
      </c>
      <c r="AU249" s="63">
        <v>45</v>
      </c>
      <c r="AV249" s="63">
        <v>49</v>
      </c>
      <c r="AW249" s="63">
        <v>49</v>
      </c>
      <c r="AX249" s="63">
        <v>41</v>
      </c>
      <c r="AY249" s="63">
        <v>48</v>
      </c>
      <c r="AZ249" s="63">
        <v>45</v>
      </c>
      <c r="BA249" s="63">
        <v>54</v>
      </c>
      <c r="BB249" s="63">
        <v>37</v>
      </c>
      <c r="BC249" s="63">
        <v>38</v>
      </c>
      <c r="BD249" s="63">
        <v>44</v>
      </c>
    </row>
    <row r="250" spans="1:94" s="63" customFormat="1">
      <c r="A250" s="63" t="s">
        <v>262</v>
      </c>
      <c r="B250" s="63" t="s">
        <v>363</v>
      </c>
      <c r="C250" s="90" t="s">
        <v>364</v>
      </c>
      <c r="D250" s="65" t="s">
        <v>193</v>
      </c>
      <c r="E250" s="66" t="s">
        <v>114</v>
      </c>
      <c r="F250" s="68"/>
      <c r="G250" s="68"/>
      <c r="H250" s="69">
        <v>807</v>
      </c>
      <c r="I250" s="74">
        <v>38.76</v>
      </c>
      <c r="J250" s="69">
        <v>30908</v>
      </c>
      <c r="K250" s="72"/>
      <c r="L250" s="69">
        <f t="shared" si="590"/>
        <v>30908</v>
      </c>
      <c r="M250" s="86">
        <f t="shared" si="587"/>
        <v>38.299876084262699</v>
      </c>
      <c r="N250" s="74"/>
      <c r="O250" s="74"/>
      <c r="P250" s="74"/>
      <c r="Q250" s="74"/>
      <c r="R250" s="74"/>
      <c r="S250" s="75"/>
      <c r="T250" s="76"/>
      <c r="U250" s="63" t="s">
        <v>106</v>
      </c>
      <c r="V250" s="77" t="s">
        <v>771</v>
      </c>
      <c r="W250" s="77"/>
      <c r="X250" s="78"/>
      <c r="Y250" s="78"/>
      <c r="Z250" s="79">
        <v>0.33</v>
      </c>
      <c r="AA250" s="80">
        <v>45814</v>
      </c>
      <c r="AB250" s="81">
        <f>IFERROR(AVERAGE(AS250:CP250),0)</f>
        <v>11.5</v>
      </c>
      <c r="AC250" s="81">
        <f t="shared" si="591"/>
        <v>3.7950000000000004</v>
      </c>
      <c r="AD250" s="81">
        <f t="shared" si="588"/>
        <v>58.647930000000009</v>
      </c>
      <c r="AE250" s="81">
        <f t="shared" si="589"/>
        <v>1.513104489164087</v>
      </c>
      <c r="AF250" s="167">
        <f t="shared" si="511"/>
        <v>1</v>
      </c>
      <c r="AG250" s="410">
        <f>215.7/I250</f>
        <v>5.5650154798761609</v>
      </c>
      <c r="AH250" s="264">
        <f t="shared" si="475"/>
        <v>1.1992921674211865</v>
      </c>
      <c r="AI250" s="77"/>
      <c r="AJ250" s="79">
        <f t="shared" si="512"/>
        <v>58.647930000000009</v>
      </c>
      <c r="AK250" s="82">
        <f t="shared" si="513"/>
        <v>1.513104489164087</v>
      </c>
      <c r="AL250" s="82"/>
      <c r="AM250" s="82">
        <f t="shared" si="515"/>
        <v>11.500000000000002</v>
      </c>
      <c r="AN250" s="82"/>
      <c r="AO250" s="82"/>
      <c r="AP250" s="82"/>
      <c r="AR250" s="77"/>
      <c r="AS250" s="63">
        <v>10</v>
      </c>
      <c r="AT250" s="63">
        <v>13</v>
      </c>
      <c r="AU250" s="63">
        <v>15</v>
      </c>
      <c r="AV250" s="63">
        <v>17</v>
      </c>
      <c r="AW250" s="63">
        <v>8</v>
      </c>
      <c r="AX250" s="63">
        <v>14</v>
      </c>
      <c r="AY250" s="63">
        <v>14</v>
      </c>
      <c r="AZ250" s="63">
        <v>12</v>
      </c>
      <c r="BA250" s="63">
        <v>13</v>
      </c>
      <c r="BB250" s="63">
        <v>10</v>
      </c>
      <c r="BC250" s="63">
        <v>12</v>
      </c>
      <c r="BD250" s="63">
        <v>11</v>
      </c>
      <c r="BE250" s="63">
        <v>10</v>
      </c>
      <c r="BF250" s="63">
        <v>8</v>
      </c>
      <c r="BG250" s="63">
        <v>9</v>
      </c>
      <c r="BH250" s="63">
        <v>8</v>
      </c>
    </row>
    <row r="251" spans="1:94" s="177" customFormat="1">
      <c r="A251" s="177" t="s">
        <v>262</v>
      </c>
      <c r="B251" s="177" t="s">
        <v>367</v>
      </c>
      <c r="C251" s="178" t="s">
        <v>368</v>
      </c>
      <c r="D251" s="179" t="s">
        <v>193</v>
      </c>
      <c r="E251" s="180" t="s">
        <v>114</v>
      </c>
      <c r="F251" s="181"/>
      <c r="G251" s="181"/>
      <c r="H251" s="182">
        <v>807</v>
      </c>
      <c r="I251" s="183">
        <v>38.340000000000003</v>
      </c>
      <c r="J251" s="182">
        <v>30658</v>
      </c>
      <c r="K251" s="184"/>
      <c r="L251" s="182">
        <f t="shared" si="590"/>
        <v>30658</v>
      </c>
      <c r="M251" s="185">
        <f t="shared" si="587"/>
        <v>37.990086741016107</v>
      </c>
      <c r="N251" s="183"/>
      <c r="O251" s="183"/>
      <c r="P251" s="183"/>
      <c r="Q251" s="183"/>
      <c r="R251" s="183"/>
      <c r="S251" s="186"/>
      <c r="T251" s="187"/>
      <c r="U251" s="177" t="s">
        <v>106</v>
      </c>
      <c r="V251" s="188" t="s">
        <v>214</v>
      </c>
      <c r="W251" s="188"/>
      <c r="X251" s="189"/>
      <c r="Y251" s="189"/>
      <c r="Z251" s="190">
        <v>0.33</v>
      </c>
      <c r="AA251" s="191">
        <v>45778</v>
      </c>
      <c r="AB251" s="192">
        <f>IFERROR(AVERAGE(AS251:CP251),0)</f>
        <v>36.916666666666664</v>
      </c>
      <c r="AC251" s="192">
        <f t="shared" si="591"/>
        <v>12.182499999999999</v>
      </c>
      <c r="AD251" s="192">
        <f t="shared" si="588"/>
        <v>186.74554249999997</v>
      </c>
      <c r="AE251" s="192">
        <f t="shared" si="589"/>
        <v>4.8707757563901914</v>
      </c>
      <c r="AF251" s="193">
        <f t="shared" si="511"/>
        <v>1</v>
      </c>
      <c r="AG251" s="411">
        <f>177.77/M251</f>
        <v>4.6793786287429064</v>
      </c>
      <c r="AH251" s="269">
        <f>(((AG251*M251)*2000)/L251)/AB251</f>
        <v>0.31413922503665653</v>
      </c>
      <c r="AI251" s="188"/>
      <c r="AJ251" s="190">
        <f t="shared" si="512"/>
        <v>186.74554249999997</v>
      </c>
      <c r="AK251" s="194">
        <f t="shared" si="513"/>
        <v>4.8707757563901914</v>
      </c>
      <c r="AL251" s="194"/>
      <c r="AM251" s="194">
        <f t="shared" si="515"/>
        <v>36.916666666666664</v>
      </c>
      <c r="AN251" s="194"/>
      <c r="AO251" s="194"/>
      <c r="AP251" s="194"/>
      <c r="AR251" s="188"/>
      <c r="AS251" s="177">
        <v>46</v>
      </c>
      <c r="AT251" s="177">
        <v>39</v>
      </c>
      <c r="AU251" s="177">
        <v>23</v>
      </c>
      <c r="AV251" s="177">
        <v>48</v>
      </c>
      <c r="AW251" s="177">
        <v>43</v>
      </c>
      <c r="AX251" s="177">
        <v>44</v>
      </c>
      <c r="AY251" s="177">
        <v>35</v>
      </c>
      <c r="AZ251" s="177">
        <v>30</v>
      </c>
      <c r="BA251" s="177">
        <v>34</v>
      </c>
      <c r="BB251" s="177">
        <v>32</v>
      </c>
      <c r="BC251" s="177">
        <v>33</v>
      </c>
      <c r="BD251" s="177">
        <v>36</v>
      </c>
    </row>
    <row r="252" spans="1:94" s="177" customFormat="1">
      <c r="A252" s="177" t="s">
        <v>262</v>
      </c>
      <c r="B252" s="177" t="s">
        <v>367</v>
      </c>
      <c r="C252" s="178" t="s">
        <v>368</v>
      </c>
      <c r="D252" s="179" t="s">
        <v>193</v>
      </c>
      <c r="E252" s="180" t="s">
        <v>114</v>
      </c>
      <c r="F252" s="181"/>
      <c r="G252" s="181"/>
      <c r="H252" s="182">
        <v>807</v>
      </c>
      <c r="I252" s="183">
        <v>38.340000000000003</v>
      </c>
      <c r="J252" s="182">
        <v>30658</v>
      </c>
      <c r="K252" s="184"/>
      <c r="L252" s="182">
        <f t="shared" si="590"/>
        <v>30658</v>
      </c>
      <c r="M252" s="185">
        <f t="shared" si="587"/>
        <v>37.990086741016107</v>
      </c>
      <c r="N252" s="183"/>
      <c r="O252" s="183"/>
      <c r="P252" s="183"/>
      <c r="Q252" s="183"/>
      <c r="R252" s="183"/>
      <c r="S252" s="186"/>
      <c r="T252" s="187"/>
      <c r="U252" s="177" t="s">
        <v>106</v>
      </c>
      <c r="V252" s="188" t="s">
        <v>103</v>
      </c>
      <c r="W252" s="188"/>
      <c r="X252" s="189"/>
      <c r="Y252" s="189"/>
      <c r="Z252" s="190">
        <v>0.33</v>
      </c>
      <c r="AA252" s="191">
        <v>45813</v>
      </c>
      <c r="AB252" s="192">
        <f>40.4-AB253</f>
        <v>29.524999999999999</v>
      </c>
      <c r="AC252" s="192">
        <f t="shared" si="591"/>
        <v>9.7432499999999997</v>
      </c>
      <c r="AD252" s="192">
        <f t="shared" si="588"/>
        <v>149.35427924999999</v>
      </c>
      <c r="AE252" s="192">
        <f t="shared" si="589"/>
        <v>3.8955211071987477</v>
      </c>
      <c r="AF252" s="193">
        <f t="shared" si="511"/>
        <v>1</v>
      </c>
      <c r="AG252" s="411">
        <f t="shared" ref="AG252:AG253" si="592">177.77/M252</f>
        <v>4.6793786287429064</v>
      </c>
      <c r="AH252" s="269">
        <f t="shared" si="475"/>
        <v>0.39278486223889031</v>
      </c>
      <c r="AI252" s="188"/>
      <c r="AJ252" s="190">
        <f t="shared" si="512"/>
        <v>149.35427924999999</v>
      </c>
      <c r="AK252" s="194">
        <f t="shared" si="513"/>
        <v>3.8955211071987477</v>
      </c>
      <c r="AL252" s="194"/>
      <c r="AM252" s="194">
        <f t="shared" si="515"/>
        <v>29.524999999999999</v>
      </c>
      <c r="AN252" s="194"/>
      <c r="AO252" s="194"/>
      <c r="AP252" s="194"/>
      <c r="AR252" s="188" t="s">
        <v>91</v>
      </c>
      <c r="AS252" s="177">
        <v>33</v>
      </c>
      <c r="AT252" s="177">
        <v>44</v>
      </c>
      <c r="AU252" s="177">
        <v>46</v>
      </c>
      <c r="AV252" s="177">
        <v>48</v>
      </c>
      <c r="AW252" s="177">
        <v>43</v>
      </c>
      <c r="AX252" s="177">
        <v>35</v>
      </c>
      <c r="AY252" s="177">
        <v>31</v>
      </c>
      <c r="AZ252" s="177">
        <v>52</v>
      </c>
      <c r="BA252" s="177">
        <v>54</v>
      </c>
      <c r="BB252" s="177">
        <v>22</v>
      </c>
      <c r="BC252" s="177">
        <v>36</v>
      </c>
      <c r="BD252" s="177">
        <v>41</v>
      </c>
    </row>
    <row r="253" spans="1:94" s="177" customFormat="1">
      <c r="A253" s="177" t="s">
        <v>262</v>
      </c>
      <c r="B253" s="177" t="s">
        <v>367</v>
      </c>
      <c r="C253" s="178" t="s">
        <v>368</v>
      </c>
      <c r="D253" s="179" t="s">
        <v>193</v>
      </c>
      <c r="E253" s="180" t="s">
        <v>114</v>
      </c>
      <c r="F253" s="181"/>
      <c r="G253" s="181"/>
      <c r="H253" s="182">
        <v>807</v>
      </c>
      <c r="I253" s="183">
        <v>38.340000000000003</v>
      </c>
      <c r="J253" s="182">
        <v>30658</v>
      </c>
      <c r="K253" s="184"/>
      <c r="L253" s="182">
        <f t="shared" si="590"/>
        <v>30658</v>
      </c>
      <c r="M253" s="185">
        <f t="shared" si="587"/>
        <v>37.990086741016107</v>
      </c>
      <c r="N253" s="183"/>
      <c r="O253" s="183"/>
      <c r="P253" s="183"/>
      <c r="Q253" s="183"/>
      <c r="R253" s="183"/>
      <c r="S253" s="186"/>
      <c r="T253" s="187"/>
      <c r="U253" s="177" t="s">
        <v>106</v>
      </c>
      <c r="V253" s="188" t="s">
        <v>771</v>
      </c>
      <c r="W253" s="188"/>
      <c r="X253" s="189"/>
      <c r="Y253" s="189"/>
      <c r="Z253" s="190">
        <v>0.33</v>
      </c>
      <c r="AA253" s="191">
        <v>45814</v>
      </c>
      <c r="AB253" s="192">
        <f>IFERROR(AVERAGE(AS253:CP253),0)</f>
        <v>10.875</v>
      </c>
      <c r="AC253" s="192">
        <f t="shared" si="591"/>
        <v>3.5887500000000001</v>
      </c>
      <c r="AD253" s="192">
        <f t="shared" si="588"/>
        <v>55.011948750000002</v>
      </c>
      <c r="AE253" s="192">
        <f t="shared" si="589"/>
        <v>1.434844776995305</v>
      </c>
      <c r="AF253" s="193">
        <f t="shared" si="511"/>
        <v>1</v>
      </c>
      <c r="AG253" s="411">
        <f t="shared" si="592"/>
        <v>4.6793786287429064</v>
      </c>
      <c r="AH253" s="269">
        <f t="shared" si="475"/>
        <v>1.0663883271359298</v>
      </c>
      <c r="AI253" s="188"/>
      <c r="AJ253" s="190">
        <f t="shared" si="512"/>
        <v>55.011948750000002</v>
      </c>
      <c r="AK253" s="194">
        <f t="shared" si="513"/>
        <v>1.434844776995305</v>
      </c>
      <c r="AL253" s="194"/>
      <c r="AM253" s="194">
        <f t="shared" si="515"/>
        <v>10.875</v>
      </c>
      <c r="AN253" s="194"/>
      <c r="AO253" s="194"/>
      <c r="AP253" s="194"/>
      <c r="AR253" s="188" t="s">
        <v>269</v>
      </c>
      <c r="AS253" s="177">
        <v>8</v>
      </c>
      <c r="AT253" s="177">
        <v>8</v>
      </c>
      <c r="AU253" s="177">
        <v>10</v>
      </c>
      <c r="AV253" s="177">
        <v>9</v>
      </c>
      <c r="AW253" s="177">
        <v>12</v>
      </c>
      <c r="AX253" s="177">
        <v>9</v>
      </c>
      <c r="AY253" s="177">
        <v>9</v>
      </c>
      <c r="AZ253" s="177">
        <v>7</v>
      </c>
      <c r="BA253" s="177">
        <v>12</v>
      </c>
      <c r="BB253" s="177">
        <v>12</v>
      </c>
      <c r="BC253" s="177">
        <v>12</v>
      </c>
      <c r="BD253" s="177">
        <v>10</v>
      </c>
      <c r="BE253" s="177">
        <v>15</v>
      </c>
      <c r="BF253" s="177">
        <v>14</v>
      </c>
      <c r="BG253" s="177">
        <v>15</v>
      </c>
      <c r="BH253" s="177">
        <v>12</v>
      </c>
    </row>
    <row r="254" spans="1:94" s="113" customFormat="1">
      <c r="A254" s="113" t="s">
        <v>262</v>
      </c>
      <c r="B254" s="113" t="s">
        <v>369</v>
      </c>
      <c r="C254" s="130" t="s">
        <v>370</v>
      </c>
      <c r="D254" s="128" t="s">
        <v>193</v>
      </c>
      <c r="E254" s="127" t="s">
        <v>160</v>
      </c>
      <c r="F254" s="126"/>
      <c r="G254" s="126"/>
      <c r="H254" s="123">
        <v>807</v>
      </c>
      <c r="I254" s="125">
        <v>39.130000000000003</v>
      </c>
      <c r="J254" s="123">
        <v>30210</v>
      </c>
      <c r="K254" s="124"/>
      <c r="L254" s="123">
        <f t="shared" si="590"/>
        <v>30210</v>
      </c>
      <c r="M254" s="122">
        <f t="shared" si="587"/>
        <v>37.434944237918216</v>
      </c>
      <c r="N254" s="125"/>
      <c r="O254" s="125"/>
      <c r="P254" s="125"/>
      <c r="Q254" s="125"/>
      <c r="R254" s="125"/>
      <c r="S254" s="154"/>
      <c r="T254" s="129"/>
      <c r="U254" s="113" t="s">
        <v>738</v>
      </c>
      <c r="V254" s="115" t="s">
        <v>214</v>
      </c>
      <c r="W254" s="115"/>
      <c r="X254" s="120"/>
      <c r="Y254" s="120"/>
      <c r="Z254" s="118">
        <v>0.35</v>
      </c>
      <c r="AA254" s="119">
        <v>45763</v>
      </c>
      <c r="AB254" s="117">
        <f>AVERAGE(AS254:BY254)</f>
        <v>44.75</v>
      </c>
      <c r="AC254" s="28">
        <f t="shared" si="591"/>
        <v>15.6625</v>
      </c>
      <c r="AD254" s="117">
        <f t="shared" si="588"/>
        <v>236.58206250000001</v>
      </c>
      <c r="AE254" s="117">
        <f t="shared" si="589"/>
        <v>6.0460532200357777</v>
      </c>
      <c r="AF254" s="170">
        <f t="shared" si="511"/>
        <v>1</v>
      </c>
      <c r="AG254" s="412">
        <f>194.09/I254</f>
        <v>4.9601328903654487</v>
      </c>
      <c r="AH254" s="265">
        <f t="shared" si="475"/>
        <v>0.27469878176932011</v>
      </c>
      <c r="AI254" s="115"/>
      <c r="AJ254" s="118"/>
      <c r="AK254" s="116"/>
      <c r="AL254" s="116"/>
      <c r="AM254" s="116"/>
      <c r="AN254" s="116"/>
      <c r="AO254" s="116"/>
      <c r="AP254" s="116"/>
      <c r="AR254" s="115"/>
      <c r="AS254" s="113">
        <v>46</v>
      </c>
      <c r="AT254" s="113">
        <v>45</v>
      </c>
      <c r="AU254" s="113">
        <v>44</v>
      </c>
      <c r="AV254" s="113">
        <v>44</v>
      </c>
      <c r="AW254" s="113">
        <v>46</v>
      </c>
      <c r="AX254" s="113">
        <v>45</v>
      </c>
      <c r="AY254" s="113">
        <v>42</v>
      </c>
      <c r="AZ254" s="113">
        <v>44</v>
      </c>
      <c r="BA254" s="113">
        <v>42</v>
      </c>
      <c r="BB254" s="113">
        <v>47</v>
      </c>
      <c r="BC254" s="113">
        <v>48</v>
      </c>
      <c r="BD254" s="113">
        <v>44</v>
      </c>
    </row>
    <row r="255" spans="1:94" s="113" customFormat="1">
      <c r="A255" s="113" t="s">
        <v>262</v>
      </c>
      <c r="B255" s="113" t="s">
        <v>369</v>
      </c>
      <c r="C255" s="130" t="s">
        <v>370</v>
      </c>
      <c r="D255" s="128" t="s">
        <v>193</v>
      </c>
      <c r="E255" s="127" t="s">
        <v>160</v>
      </c>
      <c r="F255" s="126"/>
      <c r="G255" s="126"/>
      <c r="H255" s="123">
        <v>807</v>
      </c>
      <c r="I255" s="125">
        <v>39.130000000000003</v>
      </c>
      <c r="J255" s="123">
        <v>30210</v>
      </c>
      <c r="K255" s="124"/>
      <c r="L255" s="123">
        <f t="shared" si="590"/>
        <v>30210</v>
      </c>
      <c r="M255" s="122">
        <f t="shared" si="587"/>
        <v>37.434944237918216</v>
      </c>
      <c r="N255" s="125"/>
      <c r="O255" s="125"/>
      <c r="P255" s="125"/>
      <c r="Q255" s="125"/>
      <c r="R255" s="125"/>
      <c r="S255" s="154"/>
      <c r="T255" s="129"/>
      <c r="U255" s="113" t="s">
        <v>738</v>
      </c>
      <c r="V255" s="115" t="s">
        <v>103</v>
      </c>
      <c r="W255" s="115"/>
      <c r="X255" s="120"/>
      <c r="Y255" s="120"/>
      <c r="Z255" s="118">
        <v>0.35</v>
      </c>
      <c r="AA255" s="119">
        <v>45764</v>
      </c>
      <c r="AB255" s="117">
        <f>AVERAGE(AS255:BY255)</f>
        <v>49</v>
      </c>
      <c r="AC255" s="28">
        <f t="shared" si="591"/>
        <v>17.149999999999999</v>
      </c>
      <c r="AD255" s="117">
        <f t="shared" si="588"/>
        <v>259.05074999999999</v>
      </c>
      <c r="AE255" s="117">
        <f t="shared" si="589"/>
        <v>6.6202593917710191</v>
      </c>
      <c r="AF255" s="170">
        <f t="shared" si="511"/>
        <v>1</v>
      </c>
      <c r="AG255" s="412">
        <f>194.09/I255</f>
        <v>4.9601328903654487</v>
      </c>
      <c r="AH255" s="265">
        <f t="shared" si="475"/>
        <v>0.25087286702402195</v>
      </c>
      <c r="AI255" s="115"/>
      <c r="AJ255" s="118"/>
      <c r="AK255" s="116"/>
      <c r="AL255" s="116"/>
      <c r="AM255" s="116"/>
      <c r="AN255" s="116"/>
      <c r="AO255" s="116"/>
      <c r="AP255" s="116"/>
      <c r="AR255" s="115"/>
      <c r="AS255" s="113">
        <v>55</v>
      </c>
      <c r="AT255" s="113">
        <v>49</v>
      </c>
      <c r="AU255" s="113">
        <v>44</v>
      </c>
      <c r="AV255" s="113">
        <v>49</v>
      </c>
      <c r="AW255" s="113">
        <v>51</v>
      </c>
      <c r="AX255" s="113">
        <v>45</v>
      </c>
      <c r="AY255" s="113">
        <v>52</v>
      </c>
      <c r="AZ255" s="113">
        <v>44</v>
      </c>
      <c r="BA255" s="113">
        <v>47</v>
      </c>
      <c r="BB255" s="113">
        <v>54</v>
      </c>
      <c r="BC255" s="113">
        <v>51</v>
      </c>
      <c r="BD255" s="113">
        <v>47</v>
      </c>
    </row>
    <row r="256" spans="1:94" s="113" customFormat="1">
      <c r="A256" s="113" t="s">
        <v>262</v>
      </c>
      <c r="B256" s="113" t="s">
        <v>369</v>
      </c>
      <c r="C256" s="130" t="s">
        <v>370</v>
      </c>
      <c r="D256" s="128" t="s">
        <v>193</v>
      </c>
      <c r="E256" s="127" t="s">
        <v>160</v>
      </c>
      <c r="F256" s="126"/>
      <c r="G256" s="126"/>
      <c r="H256" s="123">
        <v>807</v>
      </c>
      <c r="I256" s="125">
        <v>39.130000000000003</v>
      </c>
      <c r="J256" s="123">
        <v>30210</v>
      </c>
      <c r="K256" s="124"/>
      <c r="L256" s="123">
        <f t="shared" si="590"/>
        <v>30210</v>
      </c>
      <c r="M256" s="122">
        <f t="shared" si="587"/>
        <v>37.434944237918216</v>
      </c>
      <c r="N256" s="125"/>
      <c r="O256" s="125"/>
      <c r="P256" s="125"/>
      <c r="Q256" s="125"/>
      <c r="R256" s="125"/>
      <c r="S256" s="154"/>
      <c r="T256" s="129"/>
      <c r="U256" s="113" t="s">
        <v>738</v>
      </c>
      <c r="V256" s="115" t="s">
        <v>103</v>
      </c>
      <c r="W256" s="115"/>
      <c r="X256" s="120"/>
      <c r="Y256" s="120"/>
      <c r="Z256" s="118">
        <v>0.35</v>
      </c>
      <c r="AA256" s="119">
        <v>45765</v>
      </c>
      <c r="AB256" s="117">
        <f>AVERAGE(AS256:BY256)</f>
        <v>49.5</v>
      </c>
      <c r="AC256" s="28">
        <f t="shared" si="591"/>
        <v>17.324999999999999</v>
      </c>
      <c r="AD256" s="117">
        <f t="shared" si="588"/>
        <v>261.69412499999999</v>
      </c>
      <c r="AE256" s="117">
        <f t="shared" si="589"/>
        <v>6.6878130590339886</v>
      </c>
      <c r="AF256" s="170">
        <f t="shared" si="511"/>
        <v>1</v>
      </c>
      <c r="AG256" s="412">
        <f>194.09/I256</f>
        <v>4.9601328903654487</v>
      </c>
      <c r="AH256" s="265">
        <f t="shared" si="475"/>
        <v>0.24833879766014291</v>
      </c>
      <c r="AI256" s="115"/>
      <c r="AJ256" s="118"/>
      <c r="AK256" s="116"/>
      <c r="AL256" s="116"/>
      <c r="AM256" s="116"/>
      <c r="AN256" s="116"/>
      <c r="AO256" s="116"/>
      <c r="AP256" s="116"/>
      <c r="AR256" s="115"/>
      <c r="AS256" s="113">
        <v>52</v>
      </c>
      <c r="AT256" s="113">
        <v>56</v>
      </c>
      <c r="AU256" s="113">
        <v>55</v>
      </c>
      <c r="AV256" s="113">
        <v>42</v>
      </c>
      <c r="AW256" s="113">
        <v>44</v>
      </c>
      <c r="AX256" s="113">
        <v>46</v>
      </c>
      <c r="AY256" s="113">
        <v>61</v>
      </c>
      <c r="AZ256" s="113">
        <v>47</v>
      </c>
      <c r="BA256" s="113">
        <v>53</v>
      </c>
      <c r="BB256" s="113">
        <v>45</v>
      </c>
      <c r="BC256" s="113">
        <v>49</v>
      </c>
      <c r="BD256" s="113">
        <v>44</v>
      </c>
    </row>
    <row r="257" spans="1:76" s="63" customFormat="1">
      <c r="A257" s="63" t="s">
        <v>262</v>
      </c>
      <c r="B257" s="63" t="s">
        <v>373</v>
      </c>
      <c r="C257" s="90" t="s">
        <v>374</v>
      </c>
      <c r="D257" s="65" t="s">
        <v>111</v>
      </c>
      <c r="E257" s="66" t="s">
        <v>88</v>
      </c>
      <c r="F257" s="68" t="s">
        <v>375</v>
      </c>
      <c r="G257" s="68" t="s">
        <v>273</v>
      </c>
      <c r="H257" s="69">
        <v>807</v>
      </c>
      <c r="I257" s="74">
        <v>8.77</v>
      </c>
      <c r="J257" s="69">
        <v>7032</v>
      </c>
      <c r="K257" s="72"/>
      <c r="L257" s="69">
        <f t="shared" si="590"/>
        <v>7032</v>
      </c>
      <c r="M257" s="86">
        <f t="shared" si="587"/>
        <v>8.7137546468401492</v>
      </c>
      <c r="N257" s="74"/>
      <c r="O257" s="74"/>
      <c r="P257" s="74"/>
      <c r="Q257" s="74"/>
      <c r="R257" s="74"/>
      <c r="S257" s="75">
        <v>4.0999999999999996</v>
      </c>
      <c r="T257" s="76"/>
      <c r="U257" s="63" t="s">
        <v>365</v>
      </c>
      <c r="V257" s="77" t="s">
        <v>366</v>
      </c>
      <c r="W257" s="77"/>
      <c r="X257" s="78">
        <v>0.31</v>
      </c>
      <c r="Y257" s="78"/>
      <c r="Z257" s="79">
        <v>0.33</v>
      </c>
      <c r="AA257" s="80">
        <v>45777</v>
      </c>
      <c r="AB257" s="81">
        <f t="shared" ref="AB257:AB300" si="593">IFERROR(AVERAGE(AS257:CP257),0)</f>
        <v>89.65</v>
      </c>
      <c r="AC257" s="81">
        <f t="shared" ref="AC257:AC271" si="594">AB257*X257</f>
        <v>27.791500000000003</v>
      </c>
      <c r="AD257" s="81">
        <f t="shared" si="588"/>
        <v>97.714914000000007</v>
      </c>
      <c r="AE257" s="81">
        <f t="shared" si="589"/>
        <v>11.14195142531357</v>
      </c>
      <c r="AF257" s="167">
        <f t="shared" si="511"/>
        <v>0.6320213718859744</v>
      </c>
      <c r="AG257" s="410">
        <f>75.72/I257</f>
        <v>8.6339794754846064</v>
      </c>
      <c r="AH257" s="264">
        <f t="shared" si="475"/>
        <v>0.23868063190763492</v>
      </c>
      <c r="AI257" s="77"/>
      <c r="AJ257" s="79">
        <f t="shared" ref="AJ257:AJ279" si="595">AD257-(AI257*I257)</f>
        <v>97.714914000000007</v>
      </c>
      <c r="AK257" s="82">
        <f t="shared" ref="AK257:AK279" si="596">AJ257/I257</f>
        <v>11.14195142531357</v>
      </c>
      <c r="AL257" s="82"/>
      <c r="AM257" s="82">
        <f t="shared" ref="AM257:AM279" si="597">((AJ257*2000)/Z257)/J257</f>
        <v>84.216666666666669</v>
      </c>
      <c r="AN257" s="82"/>
      <c r="AO257" s="82"/>
      <c r="AP257" s="82"/>
      <c r="AR257" s="77"/>
      <c r="AS257" s="63">
        <v>96</v>
      </c>
      <c r="AT257" s="63">
        <v>90</v>
      </c>
      <c r="AU257" s="63">
        <v>100</v>
      </c>
      <c r="AV257" s="63">
        <v>99</v>
      </c>
      <c r="AW257" s="63">
        <v>109</v>
      </c>
      <c r="AX257" s="63">
        <v>89</v>
      </c>
      <c r="AY257" s="63">
        <v>73</v>
      </c>
      <c r="AZ257" s="63">
        <v>82</v>
      </c>
      <c r="BA257" s="63">
        <v>92</v>
      </c>
      <c r="BB257" s="63">
        <v>61</v>
      </c>
      <c r="BC257" s="63">
        <v>85</v>
      </c>
      <c r="BD257" s="63">
        <v>110</v>
      </c>
      <c r="BE257" s="63">
        <v>90</v>
      </c>
      <c r="BF257" s="63">
        <v>88</v>
      </c>
      <c r="BG257" s="63">
        <v>70</v>
      </c>
      <c r="BH257" s="63">
        <v>107</v>
      </c>
      <c r="BI257" s="63">
        <v>81</v>
      </c>
      <c r="BJ257" s="63">
        <v>89</v>
      </c>
      <c r="BK257" s="63">
        <v>90</v>
      </c>
      <c r="BL257" s="63">
        <v>92</v>
      </c>
    </row>
    <row r="258" spans="1:76" s="63" customFormat="1">
      <c r="A258" s="63" t="s">
        <v>262</v>
      </c>
      <c r="B258" s="63" t="s">
        <v>373</v>
      </c>
      <c r="C258" s="90" t="s">
        <v>374</v>
      </c>
      <c r="D258" s="65" t="s">
        <v>111</v>
      </c>
      <c r="E258" s="66" t="s">
        <v>88</v>
      </c>
      <c r="F258" s="68" t="s">
        <v>375</v>
      </c>
      <c r="G258" s="68" t="s">
        <v>273</v>
      </c>
      <c r="H258" s="69">
        <v>807</v>
      </c>
      <c r="I258" s="74">
        <v>8.77</v>
      </c>
      <c r="J258" s="69">
        <v>7032</v>
      </c>
      <c r="K258" s="72"/>
      <c r="L258" s="69">
        <f t="shared" si="590"/>
        <v>7032</v>
      </c>
      <c r="M258" s="86">
        <f t="shared" si="587"/>
        <v>8.7137546468401492</v>
      </c>
      <c r="N258" s="74"/>
      <c r="O258" s="74"/>
      <c r="P258" s="74"/>
      <c r="Q258" s="74"/>
      <c r="R258" s="74"/>
      <c r="S258" s="75">
        <v>4.0999999999999996</v>
      </c>
      <c r="T258" s="76"/>
      <c r="U258" s="63" t="s">
        <v>772</v>
      </c>
      <c r="V258" s="77" t="s">
        <v>103</v>
      </c>
      <c r="W258" s="77"/>
      <c r="X258" s="78">
        <v>0.31</v>
      </c>
      <c r="Y258" s="78"/>
      <c r="Z258" s="79">
        <v>0.33</v>
      </c>
      <c r="AA258" s="80">
        <v>45778</v>
      </c>
      <c r="AB258" s="81">
        <f t="shared" si="593"/>
        <v>70.400000000000006</v>
      </c>
      <c r="AC258" s="81">
        <f t="shared" si="594"/>
        <v>21.824000000000002</v>
      </c>
      <c r="AD258" s="81">
        <f t="shared" si="588"/>
        <v>76.733184000000008</v>
      </c>
      <c r="AE258" s="81">
        <f t="shared" si="589"/>
        <v>8.7495078677309017</v>
      </c>
      <c r="AF258" s="167">
        <f t="shared" si="511"/>
        <v>0.53140221576104552</v>
      </c>
      <c r="AG258" s="410">
        <f>75.72/I258</f>
        <v>8.6339794754846064</v>
      </c>
      <c r="AH258" s="264">
        <f t="shared" si="475"/>
        <v>0.30394486719487884</v>
      </c>
      <c r="AI258" s="77"/>
      <c r="AJ258" s="79">
        <f t="shared" si="595"/>
        <v>76.733184000000008</v>
      </c>
      <c r="AK258" s="82">
        <f t="shared" si="596"/>
        <v>8.7495078677309017</v>
      </c>
      <c r="AL258" s="82"/>
      <c r="AM258" s="82">
        <f t="shared" si="597"/>
        <v>66.13333333333334</v>
      </c>
      <c r="AN258" s="82"/>
      <c r="AO258" s="82"/>
      <c r="AP258" s="82"/>
      <c r="AQ258" s="63" t="s">
        <v>773</v>
      </c>
      <c r="AR258" s="77"/>
      <c r="AS258" s="63">
        <v>71</v>
      </c>
      <c r="AT258" s="63">
        <v>67</v>
      </c>
      <c r="AU258" s="63">
        <v>66</v>
      </c>
      <c r="AV258" s="63">
        <v>69</v>
      </c>
      <c r="AW258" s="63">
        <v>73</v>
      </c>
      <c r="AX258" s="63">
        <v>71</v>
      </c>
      <c r="AY258" s="63">
        <v>72</v>
      </c>
      <c r="AZ258" s="63">
        <v>67</v>
      </c>
      <c r="BA258" s="63">
        <v>76</v>
      </c>
      <c r="BB258" s="63">
        <v>67</v>
      </c>
      <c r="BC258" s="63">
        <v>69</v>
      </c>
      <c r="BD258" s="63">
        <v>74</v>
      </c>
      <c r="BE258" s="63">
        <v>70</v>
      </c>
      <c r="BF258" s="63">
        <v>73</v>
      </c>
      <c r="BG258" s="63">
        <v>71</v>
      </c>
      <c r="BH258" s="63">
        <v>72</v>
      </c>
      <c r="BI258" s="63">
        <v>65</v>
      </c>
      <c r="BJ258" s="63">
        <v>75</v>
      </c>
      <c r="BK258" s="63">
        <v>73</v>
      </c>
      <c r="BL258" s="63">
        <v>67</v>
      </c>
    </row>
    <row r="259" spans="1:76" s="63" customFormat="1">
      <c r="A259" s="63" t="s">
        <v>262</v>
      </c>
      <c r="B259" s="63" t="s">
        <v>373</v>
      </c>
      <c r="C259" s="90" t="s">
        <v>374</v>
      </c>
      <c r="D259" s="65" t="s">
        <v>111</v>
      </c>
      <c r="E259" s="66" t="s">
        <v>88</v>
      </c>
      <c r="F259" s="68" t="s">
        <v>375</v>
      </c>
      <c r="G259" s="68" t="s">
        <v>273</v>
      </c>
      <c r="H259" s="69">
        <v>807</v>
      </c>
      <c r="I259" s="74">
        <v>8.77</v>
      </c>
      <c r="J259" s="69">
        <v>7032</v>
      </c>
      <c r="K259" s="72"/>
      <c r="L259" s="69">
        <f t="shared" si="590"/>
        <v>7032</v>
      </c>
      <c r="M259" s="86">
        <f t="shared" si="587"/>
        <v>8.7137546468401492</v>
      </c>
      <c r="N259" s="74"/>
      <c r="O259" s="74"/>
      <c r="P259" s="74"/>
      <c r="Q259" s="74"/>
      <c r="R259" s="74"/>
      <c r="S259" s="75">
        <v>4.0999999999999996</v>
      </c>
      <c r="T259" s="76"/>
      <c r="U259" s="63" t="s">
        <v>772</v>
      </c>
      <c r="V259" s="77" t="s">
        <v>103</v>
      </c>
      <c r="W259" s="77"/>
      <c r="X259" s="78">
        <v>0.31</v>
      </c>
      <c r="Y259" s="78"/>
      <c r="Z259" s="79">
        <v>0.33</v>
      </c>
      <c r="AA259" s="80">
        <v>45783</v>
      </c>
      <c r="AB259" s="81">
        <f t="shared" si="593"/>
        <v>70.5</v>
      </c>
      <c r="AC259" s="81">
        <f t="shared" si="594"/>
        <v>21.855</v>
      </c>
      <c r="AD259" s="81">
        <f t="shared" si="588"/>
        <v>76.842180000000013</v>
      </c>
      <c r="AE259" s="81">
        <f t="shared" si="589"/>
        <v>8.7619361459521112</v>
      </c>
      <c r="AF259" s="167">
        <f t="shared" si="511"/>
        <v>0.5320668934691859</v>
      </c>
      <c r="AG259" s="410">
        <f>75.72/I259</f>
        <v>8.6339794754846064</v>
      </c>
      <c r="AH259" s="264">
        <f t="shared" si="475"/>
        <v>0.30351373972368045</v>
      </c>
      <c r="AI259" s="77"/>
      <c r="AJ259" s="79">
        <f t="shared" si="595"/>
        <v>76.842180000000013</v>
      </c>
      <c r="AK259" s="82">
        <f t="shared" si="596"/>
        <v>8.7619361459521112</v>
      </c>
      <c r="AL259" s="82"/>
      <c r="AM259" s="82">
        <f t="shared" si="597"/>
        <v>66.227272727272734</v>
      </c>
      <c r="AN259" s="82"/>
      <c r="AO259" s="82"/>
      <c r="AP259" s="82"/>
      <c r="AR259" s="77"/>
      <c r="AS259" s="63">
        <v>71</v>
      </c>
      <c r="AT259" s="63">
        <v>66</v>
      </c>
      <c r="AU259" s="63">
        <v>74</v>
      </c>
      <c r="AV259" s="63">
        <v>71</v>
      </c>
      <c r="AW259" s="63">
        <v>68</v>
      </c>
      <c r="AX259" s="63">
        <v>72</v>
      </c>
      <c r="AY259" s="63">
        <v>69</v>
      </c>
      <c r="AZ259" s="63">
        <v>67</v>
      </c>
      <c r="BA259" s="63">
        <v>73</v>
      </c>
      <c r="BB259" s="63">
        <v>77</v>
      </c>
      <c r="BC259" s="63">
        <v>62</v>
      </c>
      <c r="BD259" s="63">
        <v>76</v>
      </c>
      <c r="BE259" s="63">
        <v>69</v>
      </c>
      <c r="BF259" s="63">
        <v>72</v>
      </c>
    </row>
    <row r="260" spans="1:76" s="113" customFormat="1">
      <c r="A260" s="113" t="s">
        <v>262</v>
      </c>
      <c r="B260" s="113" t="s">
        <v>379</v>
      </c>
      <c r="C260" s="114" t="s">
        <v>380</v>
      </c>
      <c r="D260" s="128" t="s">
        <v>87</v>
      </c>
      <c r="E260" s="127" t="s">
        <v>160</v>
      </c>
      <c r="F260" s="126" t="s">
        <v>381</v>
      </c>
      <c r="G260" s="126" t="s">
        <v>382</v>
      </c>
      <c r="H260" s="123">
        <v>565.71428571428567</v>
      </c>
      <c r="I260" s="125">
        <v>12.58</v>
      </c>
      <c r="J260" s="123">
        <v>6935</v>
      </c>
      <c r="K260" s="124">
        <v>0.1</v>
      </c>
      <c r="L260" s="123">
        <f t="shared" si="590"/>
        <v>6241.5</v>
      </c>
      <c r="M260" s="122">
        <f t="shared" si="587"/>
        <v>11.032954545454546</v>
      </c>
      <c r="N260" s="118">
        <v>7.97</v>
      </c>
      <c r="O260" s="118">
        <v>6.9</v>
      </c>
      <c r="P260" s="118">
        <v>6.89</v>
      </c>
      <c r="Q260" s="118">
        <v>2.04</v>
      </c>
      <c r="R260" s="118">
        <v>9.5500000000000007</v>
      </c>
      <c r="S260" s="153">
        <v>4.0999999999999996</v>
      </c>
      <c r="T260" s="121">
        <f>AVERAGE(N260:S260)</f>
        <v>6.2416666666666671</v>
      </c>
      <c r="V260" s="115" t="s">
        <v>103</v>
      </c>
      <c r="W260" s="115"/>
      <c r="X260" s="120">
        <v>0.38</v>
      </c>
      <c r="Y260" s="120"/>
      <c r="Z260" s="118">
        <v>0.4</v>
      </c>
      <c r="AA260" s="119">
        <v>45778</v>
      </c>
      <c r="AB260" s="117">
        <f t="shared" si="593"/>
        <v>61.95</v>
      </c>
      <c r="AC260" s="117">
        <f t="shared" si="594"/>
        <v>23.541</v>
      </c>
      <c r="AD260" s="117">
        <f t="shared" si="588"/>
        <v>73.465575749999999</v>
      </c>
      <c r="AE260" s="117">
        <f t="shared" si="589"/>
        <v>5.8398708863275042</v>
      </c>
      <c r="AF260" s="170">
        <f t="shared" si="511"/>
        <v>0.29792968375395884</v>
      </c>
      <c r="AG260" s="265">
        <v>6.04</v>
      </c>
      <c r="AH260" s="265">
        <f t="shared" si="475"/>
        <v>0.34468983621525989</v>
      </c>
      <c r="AI260" s="115"/>
      <c r="AJ260" s="118">
        <f t="shared" si="595"/>
        <v>73.465575749999999</v>
      </c>
      <c r="AK260" s="116">
        <f t="shared" si="596"/>
        <v>5.8398708863275042</v>
      </c>
      <c r="AL260" s="116"/>
      <c r="AM260" s="116">
        <f t="shared" si="597"/>
        <v>52.967249999999993</v>
      </c>
      <c r="AN260" s="116"/>
      <c r="AO260" s="116"/>
      <c r="AP260" s="116"/>
      <c r="AR260" s="115" t="s">
        <v>116</v>
      </c>
      <c r="AS260" s="113">
        <v>44</v>
      </c>
      <c r="AT260" s="113">
        <v>51</v>
      </c>
      <c r="AU260" s="113">
        <v>49</v>
      </c>
      <c r="AV260" s="113">
        <v>56</v>
      </c>
      <c r="AW260" s="113">
        <v>69</v>
      </c>
      <c r="AX260" s="113">
        <v>49</v>
      </c>
      <c r="AY260" s="113">
        <v>40</v>
      </c>
      <c r="AZ260" s="113">
        <v>52</v>
      </c>
      <c r="BA260" s="113">
        <v>58</v>
      </c>
      <c r="BB260" s="113">
        <v>95</v>
      </c>
      <c r="BC260" s="113">
        <v>69</v>
      </c>
      <c r="BD260" s="113">
        <v>85</v>
      </c>
      <c r="BE260" s="113">
        <v>49</v>
      </c>
      <c r="BF260" s="113">
        <v>61</v>
      </c>
      <c r="BG260" s="113">
        <v>69</v>
      </c>
      <c r="BH260" s="113">
        <v>83</v>
      </c>
      <c r="BI260" s="113">
        <v>76</v>
      </c>
      <c r="BJ260" s="113">
        <v>49</v>
      </c>
      <c r="BK260" s="113">
        <v>55</v>
      </c>
      <c r="BL260" s="113">
        <v>80</v>
      </c>
    </row>
    <row r="261" spans="1:76" s="113" customFormat="1">
      <c r="A261" s="113" t="s">
        <v>262</v>
      </c>
      <c r="B261" s="113" t="s">
        <v>379</v>
      </c>
      <c r="C261" s="114" t="s">
        <v>380</v>
      </c>
      <c r="D261" s="128" t="s">
        <v>87</v>
      </c>
      <c r="E261" s="127" t="s">
        <v>160</v>
      </c>
      <c r="F261" s="126" t="s">
        <v>381</v>
      </c>
      <c r="G261" s="126" t="s">
        <v>382</v>
      </c>
      <c r="H261" s="123">
        <v>565.71428571428567</v>
      </c>
      <c r="I261" s="125">
        <v>12.58</v>
      </c>
      <c r="J261" s="123">
        <v>6935</v>
      </c>
      <c r="K261" s="124">
        <v>0.1</v>
      </c>
      <c r="L261" s="123">
        <f t="shared" ref="L261" si="598">J261-(J261*K261)</f>
        <v>6241.5</v>
      </c>
      <c r="M261" s="122">
        <f t="shared" ref="M261" si="599">L261/H261</f>
        <v>11.032954545454546</v>
      </c>
      <c r="N261" s="118">
        <v>7.97</v>
      </c>
      <c r="O261" s="118">
        <v>6.9</v>
      </c>
      <c r="P261" s="118">
        <v>6.89</v>
      </c>
      <c r="Q261" s="118">
        <v>2.04</v>
      </c>
      <c r="R261" s="118">
        <v>9.5500000000000007</v>
      </c>
      <c r="S261" s="153">
        <v>4.0999999999999996</v>
      </c>
      <c r="T261" s="121">
        <f>AVERAGE(N261:S261)</f>
        <v>6.2416666666666671</v>
      </c>
      <c r="V261" s="115" t="s">
        <v>103</v>
      </c>
      <c r="W261" s="115"/>
      <c r="X261" s="120">
        <v>0.38</v>
      </c>
      <c r="Y261" s="120"/>
      <c r="Z261" s="118">
        <v>0.4</v>
      </c>
      <c r="AA261" s="119">
        <v>45859</v>
      </c>
      <c r="AB261" s="117">
        <f t="shared" ref="AB261" si="600">IFERROR(AVERAGE(AS261:CP261),0)</f>
        <v>82.083333333333329</v>
      </c>
      <c r="AC261" s="117">
        <f t="shared" ref="AC261" si="601">AB261*X261</f>
        <v>31.191666666666666</v>
      </c>
      <c r="AD261" s="117">
        <f t="shared" ref="AD261" si="602">(AC261*L261)/2000</f>
        <v>97.341393750000009</v>
      </c>
      <c r="AE261" s="117">
        <v>6.8</v>
      </c>
      <c r="AF261" s="170">
        <f t="shared" ref="AF261" si="603">IFERROR(((AE261-S261)/AE261),"")</f>
        <v>0.3970588235294118</v>
      </c>
      <c r="AG261" s="265">
        <v>6.04</v>
      </c>
      <c r="AH261" s="265">
        <f t="shared" ref="AH261:AH324" si="604">(((AG261*M261)*2000)/L261)/AB261</f>
        <v>0.26014459313951699</v>
      </c>
      <c r="AI261" s="115"/>
      <c r="AJ261" s="118">
        <f t="shared" ref="AJ261" si="605">AD261-(AI261*I261)</f>
        <v>97.341393750000009</v>
      </c>
      <c r="AK261" s="116">
        <f t="shared" ref="AK261" si="606">AJ261/I261</f>
        <v>7.737789646263912</v>
      </c>
      <c r="AL261" s="116"/>
      <c r="AM261" s="116">
        <f t="shared" ref="AM261" si="607">((AJ261*2000)/Z261)/J261</f>
        <v>70.181250000000006</v>
      </c>
      <c r="AN261" s="116"/>
      <c r="AO261" s="116"/>
      <c r="AP261" s="116"/>
      <c r="AR261" s="115" t="s">
        <v>91</v>
      </c>
      <c r="AS261" s="113">
        <v>56</v>
      </c>
      <c r="AT261" s="113">
        <v>93</v>
      </c>
      <c r="AU261" s="113">
        <v>61</v>
      </c>
      <c r="AV261" s="113">
        <v>74</v>
      </c>
      <c r="AW261" s="113">
        <v>74</v>
      </c>
      <c r="AX261" s="113">
        <v>89</v>
      </c>
      <c r="AY261" s="113">
        <v>99</v>
      </c>
      <c r="AZ261" s="113">
        <v>92</v>
      </c>
      <c r="BA261" s="113">
        <v>106</v>
      </c>
      <c r="BB261" s="113">
        <v>108</v>
      </c>
      <c r="BC261" s="113">
        <v>64</v>
      </c>
      <c r="BD261" s="113">
        <v>69</v>
      </c>
    </row>
    <row r="262" spans="1:76" s="63" customFormat="1">
      <c r="A262" s="63" t="s">
        <v>262</v>
      </c>
      <c r="B262" s="63" t="s">
        <v>383</v>
      </c>
      <c r="C262" s="64" t="s">
        <v>384</v>
      </c>
      <c r="D262" s="65" t="s">
        <v>87</v>
      </c>
      <c r="E262" s="66" t="s">
        <v>261</v>
      </c>
      <c r="F262" s="68">
        <v>8</v>
      </c>
      <c r="G262" s="68" t="s">
        <v>273</v>
      </c>
      <c r="H262" s="69">
        <v>691.42857142857144</v>
      </c>
      <c r="I262" s="74">
        <v>7.27</v>
      </c>
      <c r="J262" s="69">
        <v>4869</v>
      </c>
      <c r="K262" s="72">
        <v>0.01</v>
      </c>
      <c r="L262" s="69">
        <f t="shared" si="590"/>
        <v>4820.3100000000004</v>
      </c>
      <c r="M262" s="86">
        <f t="shared" si="587"/>
        <v>6.9715227272727276</v>
      </c>
      <c r="N262" s="79"/>
      <c r="O262" s="79"/>
      <c r="P262" s="79"/>
      <c r="Q262" s="79"/>
      <c r="R262" s="79"/>
      <c r="S262" s="84">
        <v>3.69</v>
      </c>
      <c r="T262" s="85"/>
      <c r="V262" s="77" t="s">
        <v>366</v>
      </c>
      <c r="W262" s="77"/>
      <c r="X262" s="78">
        <v>0.35</v>
      </c>
      <c r="Y262" s="78"/>
      <c r="Z262" s="79">
        <v>0.38</v>
      </c>
      <c r="AA262" s="80">
        <v>45761</v>
      </c>
      <c r="AB262" s="81">
        <f t="shared" si="593"/>
        <v>86.3</v>
      </c>
      <c r="AC262" s="81">
        <f t="shared" si="594"/>
        <v>30.204999999999998</v>
      </c>
      <c r="AD262" s="81">
        <f t="shared" si="588"/>
        <v>72.798731775000007</v>
      </c>
      <c r="AE262" s="81">
        <f t="shared" si="589"/>
        <v>10.013580711829437</v>
      </c>
      <c r="AF262" s="167">
        <f t="shared" si="511"/>
        <v>0.63150044862165466</v>
      </c>
      <c r="AG262" s="264">
        <v>7.37</v>
      </c>
      <c r="AH262" s="264">
        <f t="shared" si="604"/>
        <v>0.24702412303802807</v>
      </c>
      <c r="AI262" s="77"/>
      <c r="AJ262" s="79">
        <f t="shared" si="595"/>
        <v>72.798731775000007</v>
      </c>
      <c r="AK262" s="82">
        <f t="shared" si="596"/>
        <v>10.013580711829437</v>
      </c>
      <c r="AL262" s="82"/>
      <c r="AM262" s="82">
        <f t="shared" si="597"/>
        <v>78.691973684210538</v>
      </c>
      <c r="AN262" s="82"/>
      <c r="AO262" s="82"/>
      <c r="AP262" s="82"/>
      <c r="AR262" s="77" t="s">
        <v>282</v>
      </c>
      <c r="AS262" s="63">
        <v>92</v>
      </c>
      <c r="AT262" s="63">
        <v>87</v>
      </c>
      <c r="AU262" s="63">
        <v>85</v>
      </c>
      <c r="AV262" s="63">
        <v>91</v>
      </c>
      <c r="AW262" s="63">
        <v>82</v>
      </c>
      <c r="AX262" s="63">
        <v>88</v>
      </c>
      <c r="AY262" s="63">
        <v>83</v>
      </c>
      <c r="AZ262" s="63">
        <v>89</v>
      </c>
      <c r="BA262" s="63">
        <v>86</v>
      </c>
      <c r="BB262" s="63">
        <v>80</v>
      </c>
    </row>
    <row r="263" spans="1:76" s="63" customFormat="1">
      <c r="A263" s="63" t="s">
        <v>262</v>
      </c>
      <c r="B263" s="63" t="s">
        <v>383</v>
      </c>
      <c r="C263" s="64" t="s">
        <v>384</v>
      </c>
      <c r="D263" s="65" t="s">
        <v>87</v>
      </c>
      <c r="E263" s="66" t="s">
        <v>261</v>
      </c>
      <c r="F263" s="68">
        <v>8</v>
      </c>
      <c r="G263" s="68" t="s">
        <v>273</v>
      </c>
      <c r="H263" s="69">
        <v>691.42857142857144</v>
      </c>
      <c r="I263" s="74">
        <v>7.27</v>
      </c>
      <c r="J263" s="69">
        <v>4869</v>
      </c>
      <c r="K263" s="72">
        <v>0.01</v>
      </c>
      <c r="L263" s="69">
        <f t="shared" si="590"/>
        <v>4820.3100000000004</v>
      </c>
      <c r="M263" s="86">
        <f t="shared" si="587"/>
        <v>6.9715227272727276</v>
      </c>
      <c r="N263" s="79"/>
      <c r="O263" s="79"/>
      <c r="P263" s="79"/>
      <c r="Q263" s="79"/>
      <c r="R263" s="79"/>
      <c r="S263" s="84">
        <v>3.69</v>
      </c>
      <c r="T263" s="85"/>
      <c r="U263" s="196" t="s">
        <v>774</v>
      </c>
      <c r="V263" s="77" t="s">
        <v>103</v>
      </c>
      <c r="W263" s="77"/>
      <c r="X263" s="78">
        <v>0.35</v>
      </c>
      <c r="Y263" s="78"/>
      <c r="Z263" s="79">
        <v>0.38</v>
      </c>
      <c r="AA263" s="80">
        <v>45796</v>
      </c>
      <c r="AB263" s="81">
        <f t="shared" si="593"/>
        <v>64.150000000000006</v>
      </c>
      <c r="AC263" s="81">
        <f t="shared" si="594"/>
        <v>22.452500000000001</v>
      </c>
      <c r="AD263" s="81">
        <f t="shared" si="588"/>
        <v>54.114005137500001</v>
      </c>
      <c r="AE263" s="81">
        <f t="shared" si="589"/>
        <v>7.4434670065337007</v>
      </c>
      <c r="AF263" s="167">
        <f t="shared" si="511"/>
        <v>0.50426326915118924</v>
      </c>
      <c r="AG263" s="264">
        <v>7.37</v>
      </c>
      <c r="AH263" s="264">
        <f t="shared" si="604"/>
        <v>0.33231772124991144</v>
      </c>
      <c r="AI263" s="77"/>
      <c r="AJ263" s="79">
        <f t="shared" si="595"/>
        <v>54.114005137500001</v>
      </c>
      <c r="AK263" s="82">
        <f t="shared" si="596"/>
        <v>7.4434670065337007</v>
      </c>
      <c r="AL263" s="82"/>
      <c r="AM263" s="82">
        <f t="shared" si="597"/>
        <v>58.494671052631588</v>
      </c>
      <c r="AN263" s="82"/>
      <c r="AO263" s="82"/>
      <c r="AP263" s="82"/>
      <c r="AR263" s="77" t="s">
        <v>116</v>
      </c>
      <c r="AS263" s="63">
        <v>65</v>
      </c>
      <c r="AT263" s="63">
        <v>69</v>
      </c>
      <c r="AU263" s="63">
        <v>73</v>
      </c>
      <c r="AV263" s="63">
        <v>59</v>
      </c>
      <c r="AW263" s="63">
        <v>59</v>
      </c>
      <c r="AX263" s="63">
        <v>68</v>
      </c>
      <c r="AY263" s="63">
        <v>81</v>
      </c>
      <c r="AZ263" s="63">
        <v>80</v>
      </c>
      <c r="BA263" s="63">
        <v>41</v>
      </c>
      <c r="BB263" s="63">
        <v>49</v>
      </c>
      <c r="BC263" s="63">
        <v>54</v>
      </c>
      <c r="BD263" s="63">
        <v>71</v>
      </c>
      <c r="BE263" s="63">
        <v>54</v>
      </c>
      <c r="BF263" s="63">
        <v>71</v>
      </c>
      <c r="BG263" s="63">
        <v>60</v>
      </c>
      <c r="BH263" s="63">
        <v>70</v>
      </c>
      <c r="BI263" s="63">
        <v>69</v>
      </c>
      <c r="BJ263" s="63">
        <v>59</v>
      </c>
      <c r="BK263" s="63">
        <v>63</v>
      </c>
      <c r="BL263" s="63">
        <v>68</v>
      </c>
    </row>
    <row r="264" spans="1:76" s="63" customFormat="1">
      <c r="A264" s="63" t="s">
        <v>262</v>
      </c>
      <c r="B264" s="63" t="s">
        <v>383</v>
      </c>
      <c r="C264" s="64" t="s">
        <v>384</v>
      </c>
      <c r="D264" s="65" t="s">
        <v>87</v>
      </c>
      <c r="E264" s="66" t="s">
        <v>261</v>
      </c>
      <c r="F264" s="68">
        <v>8</v>
      </c>
      <c r="G264" s="68" t="s">
        <v>273</v>
      </c>
      <c r="H264" s="69">
        <v>691.42857142857144</v>
      </c>
      <c r="I264" s="74">
        <v>7.27</v>
      </c>
      <c r="J264" s="69">
        <v>4869</v>
      </c>
      <c r="K264" s="72">
        <v>0.01</v>
      </c>
      <c r="L264" s="69">
        <f t="shared" ref="L264" si="608">J264-(J264*K264)</f>
        <v>4820.3100000000004</v>
      </c>
      <c r="M264" s="86">
        <f t="shared" ref="M264" si="609">L264/H264</f>
        <v>6.9715227272727276</v>
      </c>
      <c r="N264" s="79"/>
      <c r="O264" s="79"/>
      <c r="P264" s="79"/>
      <c r="Q264" s="79"/>
      <c r="R264" s="79"/>
      <c r="S264" s="84">
        <v>3.69</v>
      </c>
      <c r="T264" s="85"/>
      <c r="U264" s="196" t="s">
        <v>774</v>
      </c>
      <c r="V264" s="77" t="s">
        <v>103</v>
      </c>
      <c r="W264" s="77"/>
      <c r="X264" s="78">
        <v>0.35</v>
      </c>
      <c r="Y264" s="78"/>
      <c r="Z264" s="79">
        <v>0.38</v>
      </c>
      <c r="AA264" s="80">
        <v>45866</v>
      </c>
      <c r="AB264" s="81">
        <f t="shared" ref="AB264" si="610">IFERROR(AVERAGE(AS264:CP264),0)</f>
        <v>54.666666666666664</v>
      </c>
      <c r="AC264" s="81">
        <f t="shared" ref="AC264" si="611">AB264*X264</f>
        <v>19.133333333333333</v>
      </c>
      <c r="AD264" s="81">
        <f t="shared" ref="AD264" si="612">(AC264*L264)/2000</f>
        <v>46.114299000000003</v>
      </c>
      <c r="AE264" s="81">
        <f t="shared" ref="AE264" si="613">IFERROR((AD264/I264),"")</f>
        <v>6.3430947730398906</v>
      </c>
      <c r="AF264" s="167">
        <f t="shared" ref="AF264" si="614">IFERROR(((AE264-S264)/AE264),"")</f>
        <v>0.41826503748869742</v>
      </c>
      <c r="AG264" s="264">
        <v>7.37</v>
      </c>
      <c r="AH264" s="264">
        <f t="shared" si="604"/>
        <v>0.38996674057649672</v>
      </c>
      <c r="AI264" s="77"/>
      <c r="AJ264" s="79">
        <f t="shared" ref="AJ264" si="615">AD264-(AI264*I264)</f>
        <v>46.114299000000003</v>
      </c>
      <c r="AK264" s="82">
        <f t="shared" ref="AK264" si="616">AJ264/I264</f>
        <v>6.3430947730398906</v>
      </c>
      <c r="AL264" s="82"/>
      <c r="AM264" s="82">
        <f t="shared" ref="AM264" si="617">((AJ264*2000)/Z264)/J264</f>
        <v>49.847368421052629</v>
      </c>
      <c r="AN264" s="82"/>
      <c r="AO264" s="82"/>
      <c r="AP264" s="82"/>
      <c r="AR264" s="77" t="s">
        <v>282</v>
      </c>
      <c r="AS264" s="63">
        <v>53</v>
      </c>
      <c r="AT264" s="63">
        <v>51</v>
      </c>
      <c r="AU264" s="63">
        <v>49</v>
      </c>
      <c r="AV264" s="63">
        <v>48</v>
      </c>
      <c r="AW264" s="63">
        <v>54</v>
      </c>
      <c r="AX264" s="63">
        <v>57</v>
      </c>
      <c r="AY264" s="63">
        <v>53</v>
      </c>
      <c r="AZ264" s="63">
        <v>49</v>
      </c>
      <c r="BA264" s="63">
        <v>54</v>
      </c>
      <c r="BB264" s="63">
        <v>61</v>
      </c>
      <c r="BC264" s="63">
        <v>58</v>
      </c>
      <c r="BD264" s="63">
        <v>57</v>
      </c>
      <c r="BE264" s="63">
        <v>53</v>
      </c>
      <c r="BF264" s="63">
        <v>64</v>
      </c>
      <c r="BG264" s="63">
        <v>59</v>
      </c>
    </row>
    <row r="265" spans="1:76" s="113" customFormat="1">
      <c r="A265" s="113" t="s">
        <v>262</v>
      </c>
      <c r="B265" s="113" t="s">
        <v>385</v>
      </c>
      <c r="C265" s="114" t="s">
        <v>386</v>
      </c>
      <c r="D265" s="128" t="s">
        <v>87</v>
      </c>
      <c r="E265" s="127" t="s">
        <v>261</v>
      </c>
      <c r="F265" s="126">
        <v>777</v>
      </c>
      <c r="G265" s="126" t="s">
        <v>273</v>
      </c>
      <c r="H265" s="123">
        <v>691.42857142857144</v>
      </c>
      <c r="I265" s="125">
        <v>7.06</v>
      </c>
      <c r="J265" s="123">
        <v>4876</v>
      </c>
      <c r="K265" s="124">
        <v>1.4999999999999999E-2</v>
      </c>
      <c r="L265" s="123">
        <f t="shared" si="590"/>
        <v>4802.8599999999997</v>
      </c>
      <c r="M265" s="122">
        <f t="shared" si="587"/>
        <v>6.9462851239669412</v>
      </c>
      <c r="N265" s="118"/>
      <c r="O265" s="118"/>
      <c r="P265" s="118"/>
      <c r="Q265" s="118">
        <v>4.71</v>
      </c>
      <c r="R265" s="118">
        <v>5.21</v>
      </c>
      <c r="S265" s="153">
        <v>7.19</v>
      </c>
      <c r="T265" s="121">
        <f>AVERAGE(N265:R265)</f>
        <v>4.96</v>
      </c>
      <c r="V265" s="115" t="s">
        <v>366</v>
      </c>
      <c r="W265" s="115"/>
      <c r="X265" s="120">
        <v>0.34</v>
      </c>
      <c r="Y265" s="120"/>
      <c r="Z265" s="118">
        <v>0.38</v>
      </c>
      <c r="AA265" s="119">
        <v>45761</v>
      </c>
      <c r="AB265" s="117">
        <f t="shared" si="593"/>
        <v>79.599999999999994</v>
      </c>
      <c r="AC265" s="117">
        <f t="shared" si="594"/>
        <v>27.064</v>
      </c>
      <c r="AD265" s="117">
        <f t="shared" si="588"/>
        <v>64.992301519999998</v>
      </c>
      <c r="AE265" s="117">
        <f t="shared" si="589"/>
        <v>9.2057084305949015</v>
      </c>
      <c r="AF265" s="170">
        <f t="shared" si="511"/>
        <v>0.21896288002080896</v>
      </c>
      <c r="AG265" s="265">
        <v>7.45</v>
      </c>
      <c r="AH265" s="265">
        <f t="shared" si="604"/>
        <v>0.27072345197059677</v>
      </c>
      <c r="AI265" s="115"/>
      <c r="AJ265" s="118">
        <f t="shared" si="595"/>
        <v>64.992301519999998</v>
      </c>
      <c r="AK265" s="116">
        <f t="shared" si="596"/>
        <v>9.2057084305949015</v>
      </c>
      <c r="AL265" s="116"/>
      <c r="AM265" s="116">
        <f t="shared" si="597"/>
        <v>70.152736842105256</v>
      </c>
      <c r="AN265" s="116"/>
      <c r="AO265" s="116"/>
      <c r="AP265" s="116"/>
      <c r="AR265" s="115" t="s">
        <v>282</v>
      </c>
      <c r="AS265" s="113">
        <v>83</v>
      </c>
      <c r="AT265" s="113">
        <v>97</v>
      </c>
      <c r="AU265" s="113">
        <v>93</v>
      </c>
      <c r="AV265" s="113">
        <v>74</v>
      </c>
      <c r="AW265" s="113">
        <v>78</v>
      </c>
      <c r="AX265" s="113">
        <v>83</v>
      </c>
      <c r="AY265" s="113">
        <v>74</v>
      </c>
      <c r="AZ265" s="113">
        <v>72</v>
      </c>
      <c r="BA265" s="113">
        <v>68</v>
      </c>
      <c r="BB265" s="113">
        <v>74</v>
      </c>
    </row>
    <row r="266" spans="1:76" s="113" customFormat="1">
      <c r="A266" s="113" t="s">
        <v>262</v>
      </c>
      <c r="B266" s="113" t="s">
        <v>385</v>
      </c>
      <c r="C266" s="114" t="s">
        <v>386</v>
      </c>
      <c r="D266" s="128" t="s">
        <v>87</v>
      </c>
      <c r="E266" s="127" t="s">
        <v>261</v>
      </c>
      <c r="F266" s="126">
        <v>777</v>
      </c>
      <c r="G266" s="126" t="s">
        <v>273</v>
      </c>
      <c r="H266" s="123">
        <v>691.42857142857144</v>
      </c>
      <c r="I266" s="125">
        <v>7.06</v>
      </c>
      <c r="J266" s="123">
        <v>4876</v>
      </c>
      <c r="K266" s="124">
        <v>1.4999999999999999E-2</v>
      </c>
      <c r="L266" s="123">
        <f t="shared" si="590"/>
        <v>4802.8599999999997</v>
      </c>
      <c r="M266" s="122">
        <f t="shared" si="587"/>
        <v>6.9462851239669412</v>
      </c>
      <c r="N266" s="118"/>
      <c r="O266" s="118"/>
      <c r="P266" s="118"/>
      <c r="Q266" s="118">
        <v>4.71</v>
      </c>
      <c r="R266" s="118">
        <v>5.21</v>
      </c>
      <c r="S266" s="153">
        <v>7.19</v>
      </c>
      <c r="T266" s="121">
        <f>AVERAGE(N266:R266)</f>
        <v>4.96</v>
      </c>
      <c r="U266" s="113" t="s">
        <v>774</v>
      </c>
      <c r="V266" s="115" t="s">
        <v>103</v>
      </c>
      <c r="W266" s="115"/>
      <c r="X266" s="120">
        <v>0.34</v>
      </c>
      <c r="Y266" s="120"/>
      <c r="Z266" s="118">
        <v>0.38</v>
      </c>
      <c r="AA266" s="119">
        <v>45796</v>
      </c>
      <c r="AB266" s="117">
        <f t="shared" si="593"/>
        <v>61.1</v>
      </c>
      <c r="AC266" s="117">
        <f t="shared" si="594"/>
        <v>20.774000000000001</v>
      </c>
      <c r="AD266" s="117">
        <f t="shared" si="588"/>
        <v>49.887306819999999</v>
      </c>
      <c r="AE266" s="117">
        <f t="shared" si="589"/>
        <v>7.0661907677053826</v>
      </c>
      <c r="AF266" s="170">
        <f t="shared" si="511"/>
        <v>-1.7521354342775922E-2</v>
      </c>
      <c r="AG266" s="265">
        <v>7.45</v>
      </c>
      <c r="AH266" s="265">
        <f t="shared" si="604"/>
        <v>0.35269372793550741</v>
      </c>
      <c r="AI266" s="115"/>
      <c r="AJ266" s="118">
        <f t="shared" si="595"/>
        <v>49.887306819999999</v>
      </c>
      <c r="AK266" s="116">
        <f t="shared" si="596"/>
        <v>7.0661907677053826</v>
      </c>
      <c r="AL266" s="116"/>
      <c r="AM266" s="116">
        <f t="shared" si="597"/>
        <v>53.848394736842103</v>
      </c>
      <c r="AN266" s="116"/>
      <c r="AO266" s="116"/>
      <c r="AP266" s="116"/>
      <c r="AR266" s="115" t="s">
        <v>116</v>
      </c>
      <c r="AS266" s="113">
        <v>58</v>
      </c>
      <c r="AT266" s="113">
        <v>61</v>
      </c>
      <c r="AU266" s="113">
        <v>70</v>
      </c>
      <c r="AV266" s="113">
        <v>62</v>
      </c>
      <c r="AW266" s="113">
        <v>54</v>
      </c>
      <c r="AX266" s="113">
        <v>59</v>
      </c>
      <c r="AY266" s="113">
        <v>55</v>
      </c>
      <c r="AZ266" s="113">
        <v>63</v>
      </c>
      <c r="BA266" s="113">
        <v>67</v>
      </c>
      <c r="BB266" s="113">
        <v>62</v>
      </c>
    </row>
    <row r="267" spans="1:76" s="113" customFormat="1">
      <c r="A267" s="113" t="s">
        <v>262</v>
      </c>
      <c r="B267" s="113" t="s">
        <v>385</v>
      </c>
      <c r="C267" s="114" t="s">
        <v>386</v>
      </c>
      <c r="D267" s="128" t="s">
        <v>87</v>
      </c>
      <c r="E267" s="127" t="s">
        <v>261</v>
      </c>
      <c r="F267" s="126">
        <v>777</v>
      </c>
      <c r="G267" s="126" t="s">
        <v>273</v>
      </c>
      <c r="H267" s="123">
        <v>691.42857142857144</v>
      </c>
      <c r="I267" s="125">
        <v>7.06</v>
      </c>
      <c r="J267" s="123">
        <v>4876</v>
      </c>
      <c r="K267" s="124">
        <v>1.4999999999999999E-2</v>
      </c>
      <c r="L267" s="123">
        <f t="shared" ref="L267" si="618">J267-(J267*K267)</f>
        <v>4802.8599999999997</v>
      </c>
      <c r="M267" s="122">
        <f t="shared" ref="M267" si="619">L267/H267</f>
        <v>6.9462851239669412</v>
      </c>
      <c r="N267" s="118"/>
      <c r="O267" s="118"/>
      <c r="P267" s="118"/>
      <c r="Q267" s="118">
        <v>4.71</v>
      </c>
      <c r="R267" s="118">
        <v>5.21</v>
      </c>
      <c r="S267" s="153">
        <v>7.19</v>
      </c>
      <c r="T267" s="121">
        <f>AVERAGE(N267:R267)</f>
        <v>4.96</v>
      </c>
      <c r="U267" s="113" t="s">
        <v>774</v>
      </c>
      <c r="V267" s="115" t="s">
        <v>103</v>
      </c>
      <c r="W267" s="115" t="s">
        <v>775</v>
      </c>
      <c r="X267" s="120">
        <v>0.34</v>
      </c>
      <c r="Y267" s="120"/>
      <c r="Z267" s="118">
        <v>0.38</v>
      </c>
      <c r="AA267" s="119">
        <v>45853</v>
      </c>
      <c r="AB267" s="117">
        <f t="shared" ref="AB267" si="620">IFERROR(AVERAGE(AS267:CP267),0)</f>
        <v>52.06666666666667</v>
      </c>
      <c r="AC267" s="117">
        <f t="shared" ref="AC267" si="621">AB267*X267</f>
        <v>17.702666666666669</v>
      </c>
      <c r="AD267" s="117">
        <f t="shared" ref="AD267" si="622">(AC267*L267)/2000</f>
        <v>42.511714813333342</v>
      </c>
      <c r="AE267" s="117">
        <f t="shared" ref="AE267" si="623">IFERROR((AD267/I267),"")</f>
        <v>6.0214893503305023</v>
      </c>
      <c r="AF267" s="170">
        <f t="shared" ref="AF267" si="624">IFERROR(((AE267-S267)/AE267),"")</f>
        <v>-0.19405674936639419</v>
      </c>
      <c r="AG267" s="265">
        <v>7.45</v>
      </c>
      <c r="AH267" s="265">
        <f t="shared" si="604"/>
        <v>0.41388450915863317</v>
      </c>
      <c r="AI267" s="115"/>
      <c r="AJ267" s="118">
        <f t="shared" ref="AJ267" si="625">AD267-(AI267*I267)</f>
        <v>42.511714813333342</v>
      </c>
      <c r="AK267" s="116">
        <f t="shared" ref="AK267" si="626">AJ267/I267</f>
        <v>6.0214893503305023</v>
      </c>
      <c r="AL267" s="116"/>
      <c r="AM267" s="116">
        <f t="shared" ref="AM267" si="627">((AJ267*2000)/Z267)/J267</f>
        <v>45.8871754385965</v>
      </c>
      <c r="AN267" s="116"/>
      <c r="AO267" s="116"/>
      <c r="AP267" s="116"/>
      <c r="AR267" s="115" t="s">
        <v>282</v>
      </c>
      <c r="AS267" s="113">
        <v>56</v>
      </c>
      <c r="AT267" s="113">
        <v>59</v>
      </c>
      <c r="AU267" s="113">
        <v>54</v>
      </c>
      <c r="AV267" s="113">
        <v>49</v>
      </c>
      <c r="AW267" s="113">
        <v>37</v>
      </c>
      <c r="AX267" s="113">
        <v>52</v>
      </c>
      <c r="AY267" s="113">
        <v>57</v>
      </c>
      <c r="AZ267" s="113">
        <v>55</v>
      </c>
      <c r="BA267" s="113">
        <v>53</v>
      </c>
      <c r="BB267" s="113">
        <v>43</v>
      </c>
      <c r="BC267" s="113">
        <v>50</v>
      </c>
      <c r="BD267" s="113">
        <v>53</v>
      </c>
      <c r="BE267" s="113">
        <v>54</v>
      </c>
      <c r="BF267" s="113">
        <v>50</v>
      </c>
      <c r="BG267" s="113">
        <v>59</v>
      </c>
    </row>
    <row r="268" spans="1:76" s="113" customFormat="1">
      <c r="A268" s="113" t="s">
        <v>262</v>
      </c>
      <c r="B268" s="113" t="s">
        <v>385</v>
      </c>
      <c r="C268" s="114" t="s">
        <v>386</v>
      </c>
      <c r="D268" s="128" t="s">
        <v>87</v>
      </c>
      <c r="E268" s="127" t="s">
        <v>261</v>
      </c>
      <c r="F268" s="126">
        <v>777</v>
      </c>
      <c r="G268" s="126" t="s">
        <v>273</v>
      </c>
      <c r="H268" s="123">
        <v>691.42857142857144</v>
      </c>
      <c r="I268" s="125">
        <v>7.06</v>
      </c>
      <c r="J268" s="123">
        <v>4876</v>
      </c>
      <c r="K268" s="124">
        <v>1.4999999999999999E-2</v>
      </c>
      <c r="L268" s="123">
        <f t="shared" ref="L268" si="628">J268-(J268*K268)</f>
        <v>4802.8599999999997</v>
      </c>
      <c r="M268" s="122">
        <f t="shared" ref="M268" si="629">L268/H268</f>
        <v>6.9462851239669412</v>
      </c>
      <c r="N268" s="118"/>
      <c r="O268" s="118"/>
      <c r="P268" s="118"/>
      <c r="Q268" s="118">
        <v>4.71</v>
      </c>
      <c r="R268" s="118">
        <v>5.21</v>
      </c>
      <c r="S268" s="153">
        <v>7.19</v>
      </c>
      <c r="T268" s="121">
        <f>AVERAGE(N268:R268)</f>
        <v>4.96</v>
      </c>
      <c r="U268" s="113" t="s">
        <v>774</v>
      </c>
      <c r="V268" s="115" t="s">
        <v>103</v>
      </c>
      <c r="W268" s="115" t="s">
        <v>775</v>
      </c>
      <c r="X268" s="120">
        <v>0.34</v>
      </c>
      <c r="Y268" s="120"/>
      <c r="Z268" s="118">
        <v>0.38</v>
      </c>
      <c r="AA268" s="119">
        <v>45854</v>
      </c>
      <c r="AB268" s="117">
        <f t="shared" ref="AB268" si="630">IFERROR(AVERAGE(AS268:CP268),0)</f>
        <v>47.84375</v>
      </c>
      <c r="AC268" s="117">
        <f t="shared" ref="AC268" si="631">AB268*X268</f>
        <v>16.266875000000002</v>
      </c>
      <c r="AD268" s="117">
        <f t="shared" ref="AD268" si="632">(AC268*L268)/2000</f>
        <v>39.063761631250003</v>
      </c>
      <c r="AE268" s="117">
        <f t="shared" ref="AE268" si="633">IFERROR((AD268/I268),"")</f>
        <v>5.5331107126416441</v>
      </c>
      <c r="AF268" s="170">
        <f t="shared" ref="AF268" si="634">IFERROR(((AE268-S268)/AE268),"")</f>
        <v>-0.29944987067994455</v>
      </c>
      <c r="AG268" s="265">
        <v>7.45</v>
      </c>
      <c r="AH268" s="265">
        <f t="shared" si="604"/>
        <v>0.45041592218125676</v>
      </c>
      <c r="AI268" s="115"/>
      <c r="AJ268" s="118">
        <f t="shared" ref="AJ268" si="635">AD268-(AI268*I268)</f>
        <v>39.063761631250003</v>
      </c>
      <c r="AK268" s="116">
        <f t="shared" ref="AK268" si="636">AJ268/I268</f>
        <v>5.5331107126416441</v>
      </c>
      <c r="AL268" s="116"/>
      <c r="AM268" s="116">
        <f t="shared" ref="AM268" si="637">((AJ268*2000)/Z268)/J268</f>
        <v>42.165452302631586</v>
      </c>
      <c r="AN268" s="116"/>
      <c r="AO268" s="116"/>
      <c r="AP268" s="116"/>
      <c r="AR268" s="115" t="s">
        <v>282</v>
      </c>
      <c r="AS268" s="113">
        <v>48</v>
      </c>
      <c r="AT268" s="113">
        <v>46</v>
      </c>
      <c r="AU268" s="113">
        <v>51</v>
      </c>
      <c r="AV268" s="113">
        <v>49</v>
      </c>
      <c r="AW268" s="113">
        <v>47</v>
      </c>
      <c r="AX268" s="113">
        <v>45</v>
      </c>
      <c r="AY268" s="113">
        <v>42</v>
      </c>
      <c r="AZ268" s="113">
        <v>48</v>
      </c>
      <c r="BA268" s="113">
        <v>44</v>
      </c>
      <c r="BB268" s="113">
        <v>49</v>
      </c>
      <c r="BC268" s="113">
        <v>51</v>
      </c>
      <c r="BD268" s="113">
        <v>44</v>
      </c>
      <c r="BE268" s="113">
        <v>46</v>
      </c>
      <c r="BF268" s="113">
        <v>53</v>
      </c>
      <c r="BG268" s="113">
        <v>51</v>
      </c>
      <c r="BH268" s="113">
        <v>53</v>
      </c>
      <c r="BI268" s="113">
        <v>46</v>
      </c>
      <c r="BJ268" s="113">
        <v>48</v>
      </c>
      <c r="BK268" s="113">
        <v>42</v>
      </c>
      <c r="BL268" s="113">
        <v>51</v>
      </c>
      <c r="BM268" s="113">
        <v>52</v>
      </c>
      <c r="BN268" s="113">
        <v>47</v>
      </c>
      <c r="BO268" s="113">
        <v>49</v>
      </c>
      <c r="BP268" s="113">
        <v>42</v>
      </c>
      <c r="BQ268" s="113">
        <v>49</v>
      </c>
      <c r="BR268" s="113">
        <v>52</v>
      </c>
      <c r="BS268" s="113">
        <v>46</v>
      </c>
      <c r="BT268" s="113">
        <v>51</v>
      </c>
      <c r="BU268" s="113">
        <v>48</v>
      </c>
      <c r="BV268" s="113">
        <v>44</v>
      </c>
      <c r="BW268" s="113">
        <v>49</v>
      </c>
      <c r="BX268" s="113">
        <v>48</v>
      </c>
    </row>
    <row r="269" spans="1:76" s="63" customFormat="1">
      <c r="A269" s="63" t="s">
        <v>262</v>
      </c>
      <c r="B269" s="63" t="s">
        <v>776</v>
      </c>
      <c r="C269" s="64" t="s">
        <v>777</v>
      </c>
      <c r="D269" s="65" t="s">
        <v>87</v>
      </c>
      <c r="E269" s="66" t="s">
        <v>330</v>
      </c>
      <c r="F269" s="91" t="s">
        <v>778</v>
      </c>
      <c r="G269" s="68" t="s">
        <v>382</v>
      </c>
      <c r="H269" s="69">
        <v>453.75</v>
      </c>
      <c r="I269" s="74">
        <v>33.68</v>
      </c>
      <c r="J269" s="69">
        <v>15154</v>
      </c>
      <c r="K269" s="72">
        <v>0.08</v>
      </c>
      <c r="L269" s="69">
        <f t="shared" si="590"/>
        <v>13941.68</v>
      </c>
      <c r="M269" s="86">
        <f t="shared" si="587"/>
        <v>30.725465564738293</v>
      </c>
      <c r="N269" s="79">
        <v>8.0500000000000007</v>
      </c>
      <c r="O269" s="79">
        <v>6.14</v>
      </c>
      <c r="P269" s="79">
        <v>7.47</v>
      </c>
      <c r="Q269" s="79">
        <v>2.62</v>
      </c>
      <c r="R269" s="79">
        <v>7.22</v>
      </c>
      <c r="S269" s="84">
        <v>6.74</v>
      </c>
      <c r="T269" s="85">
        <f>AVERAGE(N269:S269)</f>
        <v>6.373333333333334</v>
      </c>
      <c r="U269" s="63" t="s">
        <v>365</v>
      </c>
      <c r="V269" s="77" t="s">
        <v>103</v>
      </c>
      <c r="W269" s="77"/>
      <c r="X269" s="78">
        <v>0.48</v>
      </c>
      <c r="Y269" s="78"/>
      <c r="Z269" s="79">
        <v>0.55000000000000004</v>
      </c>
      <c r="AA269" s="80">
        <v>45793</v>
      </c>
      <c r="AB269" s="81">
        <f t="shared" si="593"/>
        <v>72.5</v>
      </c>
      <c r="AC269" s="81">
        <f t="shared" si="594"/>
        <v>34.799999999999997</v>
      </c>
      <c r="AD269" s="81">
        <f t="shared" si="588"/>
        <v>242.58523199999999</v>
      </c>
      <c r="AE269" s="81">
        <f t="shared" si="589"/>
        <v>7.2026494061757713</v>
      </c>
      <c r="AF269" s="167">
        <f t="shared" si="511"/>
        <v>6.4233225870897082E-2</v>
      </c>
      <c r="AG269" s="264"/>
      <c r="AH269" s="264">
        <f t="shared" si="604"/>
        <v>0</v>
      </c>
      <c r="AI269" s="77"/>
      <c r="AJ269" s="79">
        <f t="shared" si="595"/>
        <v>242.58523199999999</v>
      </c>
      <c r="AK269" s="82">
        <f t="shared" si="596"/>
        <v>7.2026494061757713</v>
      </c>
      <c r="AL269" s="82"/>
      <c r="AM269" s="82">
        <f t="shared" si="597"/>
        <v>58.210909090909084</v>
      </c>
      <c r="AN269" s="82"/>
      <c r="AO269" s="82"/>
      <c r="AP269" s="82"/>
      <c r="AR269" s="77" t="s">
        <v>91</v>
      </c>
      <c r="AS269" s="63">
        <v>68</v>
      </c>
      <c r="AT269" s="63">
        <v>71</v>
      </c>
      <c r="AU269" s="63">
        <v>62</v>
      </c>
      <c r="AV269" s="63">
        <v>86</v>
      </c>
      <c r="AW269" s="63">
        <v>72</v>
      </c>
      <c r="AX269" s="63">
        <v>66</v>
      </c>
      <c r="AY269" s="63">
        <v>65</v>
      </c>
      <c r="AZ269" s="63">
        <v>79</v>
      </c>
      <c r="BA269" s="63">
        <v>64</v>
      </c>
      <c r="BB269" s="63">
        <v>81</v>
      </c>
      <c r="BC269" s="63">
        <v>51</v>
      </c>
      <c r="BD269" s="63">
        <v>76</v>
      </c>
      <c r="BE269" s="63">
        <v>86</v>
      </c>
      <c r="BF269" s="63">
        <v>79</v>
      </c>
      <c r="BG269" s="63">
        <v>74</v>
      </c>
      <c r="BH269" s="63">
        <v>80</v>
      </c>
    </row>
    <row r="270" spans="1:76" s="63" customFormat="1">
      <c r="A270" s="63" t="s">
        <v>262</v>
      </c>
      <c r="B270" s="63" t="s">
        <v>776</v>
      </c>
      <c r="C270" s="64" t="s">
        <v>777</v>
      </c>
      <c r="D270" s="65" t="s">
        <v>87</v>
      </c>
      <c r="E270" s="66" t="s">
        <v>330</v>
      </c>
      <c r="F270" s="91" t="s">
        <v>778</v>
      </c>
      <c r="G270" s="68" t="s">
        <v>382</v>
      </c>
      <c r="H270" s="69">
        <v>453.75</v>
      </c>
      <c r="I270" s="74">
        <v>33.68</v>
      </c>
      <c r="J270" s="69">
        <v>15154</v>
      </c>
      <c r="K270" s="72">
        <v>0.08</v>
      </c>
      <c r="L270" s="69">
        <f t="shared" ref="L270" si="638">J270-(J270*K270)</f>
        <v>13941.68</v>
      </c>
      <c r="M270" s="86">
        <f t="shared" ref="M270" si="639">L270/H270</f>
        <v>30.725465564738293</v>
      </c>
      <c r="N270" s="79">
        <v>8.0500000000000007</v>
      </c>
      <c r="O270" s="79">
        <v>6.14</v>
      </c>
      <c r="P270" s="79">
        <v>7.47</v>
      </c>
      <c r="Q270" s="79">
        <v>2.62</v>
      </c>
      <c r="R270" s="79">
        <v>7.22</v>
      </c>
      <c r="S270" s="84">
        <v>6.74</v>
      </c>
      <c r="T270" s="85">
        <f>AVERAGE(N270:S270)</f>
        <v>6.373333333333334</v>
      </c>
      <c r="U270" s="63" t="s">
        <v>365</v>
      </c>
      <c r="V270" s="77" t="s">
        <v>103</v>
      </c>
      <c r="W270" s="77"/>
      <c r="X270" s="78">
        <v>0.48</v>
      </c>
      <c r="Y270" s="78"/>
      <c r="Z270" s="79">
        <v>0.55000000000000004</v>
      </c>
      <c r="AA270" s="80">
        <v>45859</v>
      </c>
      <c r="AB270" s="81">
        <f t="shared" ref="AB270" si="640">IFERROR(AVERAGE(AS270:CP270),0)</f>
        <v>65.25</v>
      </c>
      <c r="AC270" s="81">
        <f t="shared" ref="AC270" si="641">AB270*X270</f>
        <v>31.32</v>
      </c>
      <c r="AD270" s="81">
        <f t="shared" ref="AD270" si="642">(AC270*L270)/2000</f>
        <v>218.32670880000001</v>
      </c>
      <c r="AE270" s="81">
        <f t="shared" ref="AE270" si="643">IFERROR((AD270/I270),"")</f>
        <v>6.4823844655581953</v>
      </c>
      <c r="AF270" s="167">
        <f t="shared" ref="AF270" si="644">IFERROR(((AE270-S270)/AE270),"")</f>
        <v>-3.9740860143447507E-2</v>
      </c>
      <c r="AG270" s="264"/>
      <c r="AH270" s="264">
        <f t="shared" si="604"/>
        <v>0</v>
      </c>
      <c r="AI270" s="77"/>
      <c r="AJ270" s="79">
        <f t="shared" ref="AJ270" si="645">AD270-(AI270*I270)</f>
        <v>218.32670880000001</v>
      </c>
      <c r="AK270" s="82">
        <f t="shared" ref="AK270" si="646">AJ270/I270</f>
        <v>6.4823844655581953</v>
      </c>
      <c r="AL270" s="82"/>
      <c r="AM270" s="82">
        <f t="shared" ref="AM270" si="647">((AJ270*2000)/Z270)/J270</f>
        <v>52.389818181818171</v>
      </c>
      <c r="AN270" s="82"/>
      <c r="AO270" s="82"/>
      <c r="AP270" s="82"/>
      <c r="AR270" s="77" t="s">
        <v>91</v>
      </c>
      <c r="AS270" s="63">
        <v>58</v>
      </c>
      <c r="AT270" s="63">
        <v>55</v>
      </c>
      <c r="AU270" s="63">
        <v>55</v>
      </c>
      <c r="AV270" s="63">
        <v>66</v>
      </c>
      <c r="AW270" s="63">
        <v>64</v>
      </c>
      <c r="AX270" s="63">
        <v>34</v>
      </c>
      <c r="AY270" s="63">
        <v>79</v>
      </c>
      <c r="AZ270" s="63">
        <v>63</v>
      </c>
      <c r="BA270" s="63">
        <v>71</v>
      </c>
      <c r="BB270" s="63">
        <v>65</v>
      </c>
      <c r="BC270" s="63">
        <v>100</v>
      </c>
      <c r="BD270" s="63">
        <v>73</v>
      </c>
    </row>
    <row r="271" spans="1:76" s="113" customFormat="1">
      <c r="A271" s="113" t="s">
        <v>262</v>
      </c>
      <c r="B271" s="113" t="s">
        <v>779</v>
      </c>
      <c r="C271" s="114" t="s">
        <v>780</v>
      </c>
      <c r="D271" s="128" t="s">
        <v>87</v>
      </c>
      <c r="E271" s="127" t="s">
        <v>330</v>
      </c>
      <c r="F271" s="134" t="s">
        <v>778</v>
      </c>
      <c r="G271" s="126" t="s">
        <v>382</v>
      </c>
      <c r="H271" s="123">
        <v>518.57142857142856</v>
      </c>
      <c r="I271" s="125">
        <v>8.5299999999999994</v>
      </c>
      <c r="J271" s="123">
        <v>4308</v>
      </c>
      <c r="K271" s="124">
        <v>0.4</v>
      </c>
      <c r="L271" s="123">
        <f t="shared" si="590"/>
        <v>2584.8000000000002</v>
      </c>
      <c r="M271" s="122">
        <f t="shared" si="587"/>
        <v>4.984462809917356</v>
      </c>
      <c r="N271" s="118">
        <v>6.21</v>
      </c>
      <c r="O271" s="118">
        <v>5.24</v>
      </c>
      <c r="P271" s="118">
        <v>5.64</v>
      </c>
      <c r="Q271" s="118">
        <v>5.52</v>
      </c>
      <c r="R271" s="118">
        <v>5.54</v>
      </c>
      <c r="S271" s="153">
        <v>6.2</v>
      </c>
      <c r="T271" s="121">
        <f>AVERAGE(N271:S271)</f>
        <v>5.7250000000000005</v>
      </c>
      <c r="U271" s="113" t="s">
        <v>365</v>
      </c>
      <c r="V271" s="115" t="s">
        <v>103</v>
      </c>
      <c r="W271" s="115"/>
      <c r="X271" s="120">
        <v>0.5</v>
      </c>
      <c r="Y271" s="120"/>
      <c r="Z271" s="118">
        <v>0.55000000000000004</v>
      </c>
      <c r="AA271" s="119">
        <v>45796</v>
      </c>
      <c r="AB271" s="117">
        <f t="shared" si="593"/>
        <v>89.85</v>
      </c>
      <c r="AC271" s="117">
        <f t="shared" si="594"/>
        <v>44.924999999999997</v>
      </c>
      <c r="AD271" s="117">
        <f t="shared" si="588"/>
        <v>58.061070000000001</v>
      </c>
      <c r="AE271" s="117">
        <f t="shared" ref="AE271" si="648">IFERROR((AD271/I271),"")</f>
        <v>6.806690504103166</v>
      </c>
      <c r="AF271" s="170">
        <f t="shared" si="511"/>
        <v>8.9131495509814126E-2</v>
      </c>
      <c r="AG271" s="265"/>
      <c r="AH271" s="265">
        <f t="shared" si="604"/>
        <v>0</v>
      </c>
      <c r="AI271" s="115"/>
      <c r="AJ271" s="118">
        <f t="shared" si="595"/>
        <v>58.061070000000001</v>
      </c>
      <c r="AK271" s="116">
        <f t="shared" si="596"/>
        <v>6.806690504103166</v>
      </c>
      <c r="AL271" s="116"/>
      <c r="AM271" s="116">
        <f t="shared" si="597"/>
        <v>49.009090909090901</v>
      </c>
      <c r="AN271" s="116"/>
      <c r="AO271" s="116"/>
      <c r="AP271" s="116"/>
      <c r="AQ271" s="15"/>
      <c r="AR271" s="25" t="s">
        <v>116</v>
      </c>
      <c r="AS271" s="15">
        <v>85</v>
      </c>
      <c r="AT271" s="15">
        <v>90</v>
      </c>
      <c r="AU271" s="15">
        <v>73</v>
      </c>
      <c r="AV271" s="15">
        <v>105</v>
      </c>
      <c r="AW271" s="15">
        <v>95</v>
      </c>
      <c r="AX271" s="15">
        <v>99</v>
      </c>
      <c r="AY271" s="15">
        <v>83</v>
      </c>
      <c r="AZ271" s="15">
        <v>89</v>
      </c>
      <c r="BA271" s="15">
        <v>78</v>
      </c>
      <c r="BB271" s="15">
        <v>97</v>
      </c>
      <c r="BC271" s="15">
        <v>103</v>
      </c>
      <c r="BD271" s="15">
        <v>87</v>
      </c>
      <c r="BE271" s="15">
        <v>92</v>
      </c>
      <c r="BF271" s="15">
        <v>98</v>
      </c>
      <c r="BG271" s="15">
        <v>94</v>
      </c>
      <c r="BH271" s="15">
        <v>86</v>
      </c>
      <c r="BI271" s="15">
        <v>79</v>
      </c>
      <c r="BJ271" s="15">
        <v>90</v>
      </c>
      <c r="BK271" s="15">
        <v>86</v>
      </c>
      <c r="BL271" s="15">
        <v>88</v>
      </c>
    </row>
    <row r="272" spans="1:76" s="63" customFormat="1">
      <c r="A272" s="63" t="s">
        <v>262</v>
      </c>
      <c r="B272" s="63" t="s">
        <v>781</v>
      </c>
      <c r="C272" s="64" t="s">
        <v>782</v>
      </c>
      <c r="D272" s="65" t="s">
        <v>87</v>
      </c>
      <c r="E272" s="66" t="s">
        <v>330</v>
      </c>
      <c r="F272" s="91" t="s">
        <v>778</v>
      </c>
      <c r="G272" s="68" t="s">
        <v>382</v>
      </c>
      <c r="H272" s="69">
        <v>518.57142857142856</v>
      </c>
      <c r="I272" s="74">
        <v>5.18</v>
      </c>
      <c r="J272" s="69">
        <v>2523</v>
      </c>
      <c r="K272" s="72"/>
      <c r="L272" s="69">
        <f t="shared" si="590"/>
        <v>2523</v>
      </c>
      <c r="M272" s="86">
        <f t="shared" si="587"/>
        <v>4.8652892561983476</v>
      </c>
      <c r="N272" s="79">
        <v>11.75</v>
      </c>
      <c r="O272" s="79">
        <v>12.25</v>
      </c>
      <c r="P272" s="79">
        <v>11.54</v>
      </c>
      <c r="Q272" s="79">
        <v>8.0299999999999994</v>
      </c>
      <c r="R272" s="79">
        <v>6.7</v>
      </c>
      <c r="S272" s="84">
        <v>6.19</v>
      </c>
      <c r="T272" s="85">
        <f>AVERAGE(N272:S272)</f>
        <v>9.41</v>
      </c>
      <c r="U272" s="63" t="s">
        <v>365</v>
      </c>
      <c r="V272" s="77" t="s">
        <v>103</v>
      </c>
      <c r="W272" s="77"/>
      <c r="X272" s="78"/>
      <c r="Y272" s="78"/>
      <c r="Z272" s="79">
        <v>0.55000000000000004</v>
      </c>
      <c r="AA272" s="80"/>
      <c r="AB272" s="81">
        <f t="shared" si="593"/>
        <v>0</v>
      </c>
      <c r="AC272" s="81"/>
      <c r="AD272" s="81">
        <f t="shared" si="588"/>
        <v>0</v>
      </c>
      <c r="AE272" s="81"/>
      <c r="AF272" s="167"/>
      <c r="AG272" s="264"/>
      <c r="AH272" s="264" t="e">
        <f t="shared" si="604"/>
        <v>#DIV/0!</v>
      </c>
      <c r="AI272" s="77"/>
      <c r="AJ272" s="79">
        <f t="shared" si="595"/>
        <v>0</v>
      </c>
      <c r="AK272" s="82">
        <f t="shared" si="596"/>
        <v>0</v>
      </c>
      <c r="AL272" s="82"/>
      <c r="AM272" s="82">
        <f t="shared" si="597"/>
        <v>0</v>
      </c>
      <c r="AN272" s="82"/>
      <c r="AO272" s="82"/>
      <c r="AP272" s="82"/>
      <c r="AR272" s="77"/>
    </row>
    <row r="273" spans="1:94" s="113" customFormat="1">
      <c r="A273" s="113" t="s">
        <v>262</v>
      </c>
      <c r="B273" s="113" t="s">
        <v>392</v>
      </c>
      <c r="C273" s="114" t="s">
        <v>393</v>
      </c>
      <c r="D273" s="128" t="s">
        <v>87</v>
      </c>
      <c r="E273" s="127" t="s">
        <v>330</v>
      </c>
      <c r="F273" s="126" t="s">
        <v>394</v>
      </c>
      <c r="G273" s="126" t="s">
        <v>273</v>
      </c>
      <c r="H273" s="123">
        <v>726</v>
      </c>
      <c r="I273" s="125">
        <v>19.86</v>
      </c>
      <c r="J273" s="123">
        <v>14099</v>
      </c>
      <c r="K273" s="124">
        <v>0.05</v>
      </c>
      <c r="L273" s="123">
        <f t="shared" si="590"/>
        <v>13394.05</v>
      </c>
      <c r="M273" s="122">
        <f t="shared" si="587"/>
        <v>18.449104683195593</v>
      </c>
      <c r="N273" s="118"/>
      <c r="O273" s="118"/>
      <c r="P273" s="118"/>
      <c r="Q273" s="118"/>
      <c r="R273" s="118"/>
      <c r="S273" s="153">
        <v>15.13</v>
      </c>
      <c r="T273" s="121"/>
      <c r="U273" s="113" t="s">
        <v>783</v>
      </c>
      <c r="V273" s="115" t="s">
        <v>103</v>
      </c>
      <c r="W273" s="115"/>
      <c r="X273" s="120">
        <v>0.45</v>
      </c>
      <c r="Y273" s="120"/>
      <c r="Z273" s="118">
        <v>0.55000000000000004</v>
      </c>
      <c r="AA273" s="119">
        <v>45768</v>
      </c>
      <c r="AB273" s="117">
        <f t="shared" si="593"/>
        <v>86.916666666666671</v>
      </c>
      <c r="AC273" s="117">
        <f>AB273*X273</f>
        <v>39.112500000000004</v>
      </c>
      <c r="AD273" s="117">
        <f t="shared" si="588"/>
        <v>261.93739031249999</v>
      </c>
      <c r="AE273" s="117">
        <f>IFERROR((AD273/I273),"")</f>
        <v>13.189193872734139</v>
      </c>
      <c r="AF273" s="170">
        <f>IFERROR(((AE273-S273)/AE273),"")</f>
        <v>-0.14715123198530483</v>
      </c>
      <c r="AG273" s="265">
        <v>13.94</v>
      </c>
      <c r="AH273" s="265">
        <f t="shared" si="604"/>
        <v>0.44182784878330938</v>
      </c>
      <c r="AI273" s="115"/>
      <c r="AJ273" s="118">
        <f t="shared" si="595"/>
        <v>261.93739031249999</v>
      </c>
      <c r="AK273" s="116">
        <f t="shared" si="596"/>
        <v>13.189193872734139</v>
      </c>
      <c r="AL273" s="116"/>
      <c r="AM273" s="116">
        <f t="shared" si="597"/>
        <v>67.557954545454535</v>
      </c>
      <c r="AN273" s="116"/>
      <c r="AO273" s="116"/>
      <c r="AP273" s="116"/>
      <c r="AR273" s="115" t="s">
        <v>282</v>
      </c>
      <c r="AS273" s="113">
        <v>82</v>
      </c>
      <c r="AT273" s="113">
        <v>94</v>
      </c>
      <c r="AU273" s="113">
        <v>83</v>
      </c>
      <c r="AV273" s="113">
        <v>81</v>
      </c>
      <c r="AW273" s="113">
        <v>84</v>
      </c>
      <c r="AX273" s="113">
        <v>93</v>
      </c>
      <c r="AY273" s="113">
        <v>85</v>
      </c>
      <c r="AZ273" s="113">
        <v>86</v>
      </c>
      <c r="BA273" s="113">
        <v>93</v>
      </c>
      <c r="BB273" s="113">
        <v>91</v>
      </c>
      <c r="BC273" s="113">
        <v>82</v>
      </c>
      <c r="BD273" s="113">
        <v>87</v>
      </c>
      <c r="BE273" s="113">
        <v>84</v>
      </c>
      <c r="BF273" s="113">
        <v>81</v>
      </c>
      <c r="BG273" s="113">
        <v>92</v>
      </c>
      <c r="BH273" s="113">
        <v>87</v>
      </c>
      <c r="BI273" s="113">
        <v>83</v>
      </c>
      <c r="BJ273" s="113">
        <v>85</v>
      </c>
      <c r="BK273" s="113">
        <v>97</v>
      </c>
      <c r="BL273" s="113">
        <v>94</v>
      </c>
      <c r="BM273" s="113">
        <v>84</v>
      </c>
      <c r="BN273" s="113">
        <v>89</v>
      </c>
      <c r="BO273" s="113">
        <v>78</v>
      </c>
      <c r="BP273" s="113">
        <v>91</v>
      </c>
    </row>
    <row r="274" spans="1:94" s="63" customFormat="1">
      <c r="A274" s="113" t="s">
        <v>262</v>
      </c>
      <c r="B274" s="113" t="s">
        <v>392</v>
      </c>
      <c r="C274" s="114" t="s">
        <v>393</v>
      </c>
      <c r="D274" s="128" t="s">
        <v>87</v>
      </c>
      <c r="E274" s="127" t="s">
        <v>330</v>
      </c>
      <c r="F274" s="126" t="s">
        <v>394</v>
      </c>
      <c r="G274" s="126" t="s">
        <v>273</v>
      </c>
      <c r="H274" s="123">
        <v>726</v>
      </c>
      <c r="I274" s="125">
        <v>19.86</v>
      </c>
      <c r="J274" s="123">
        <v>14099</v>
      </c>
      <c r="K274" s="124">
        <v>0.05</v>
      </c>
      <c r="L274" s="123">
        <f t="shared" si="590"/>
        <v>13394.05</v>
      </c>
      <c r="M274" s="122">
        <f t="shared" si="587"/>
        <v>18.449104683195593</v>
      </c>
      <c r="N274" s="118"/>
      <c r="O274" s="118"/>
      <c r="P274" s="118"/>
      <c r="Q274" s="118"/>
      <c r="R274" s="118"/>
      <c r="S274" s="153">
        <v>15.13</v>
      </c>
      <c r="T274" s="121"/>
      <c r="U274" s="113" t="s">
        <v>784</v>
      </c>
      <c r="V274" s="115" t="s">
        <v>214</v>
      </c>
      <c r="W274" s="115"/>
      <c r="X274" s="120">
        <v>0.45</v>
      </c>
      <c r="Y274" s="120"/>
      <c r="Z274" s="118">
        <v>0.55000000000000004</v>
      </c>
      <c r="AA274" s="119">
        <v>45770</v>
      </c>
      <c r="AB274" s="117">
        <f t="shared" si="593"/>
        <v>88.277777777777771</v>
      </c>
      <c r="AC274" s="117">
        <f>AB274*X274</f>
        <v>39.725000000000001</v>
      </c>
      <c r="AD274" s="117">
        <f t="shared" si="588"/>
        <v>266.03931812499997</v>
      </c>
      <c r="AE274" s="117">
        <f>IFERROR((AD274/I274),"")</f>
        <v>13.395736058660622</v>
      </c>
      <c r="AF274" s="170">
        <f>IFERROR(((AE274-S274)/AE274),"")</f>
        <v>-0.1294638781881747</v>
      </c>
      <c r="AG274" s="265">
        <v>13.94</v>
      </c>
      <c r="AH274" s="265">
        <f t="shared" si="604"/>
        <v>0.43501552512365488</v>
      </c>
      <c r="AI274" s="115"/>
      <c r="AJ274" s="118">
        <f t="shared" si="595"/>
        <v>266.03931812499997</v>
      </c>
      <c r="AK274" s="116">
        <f t="shared" si="596"/>
        <v>13.395736058660622</v>
      </c>
      <c r="AL274" s="116"/>
      <c r="AM274" s="116">
        <f t="shared" si="597"/>
        <v>68.615909090909085</v>
      </c>
      <c r="AN274" s="116"/>
      <c r="AO274" s="116"/>
      <c r="AP274" s="116"/>
      <c r="AQ274" s="113"/>
      <c r="AR274" s="115" t="s">
        <v>282</v>
      </c>
      <c r="AS274" s="113">
        <v>91</v>
      </c>
      <c r="AT274" s="113">
        <v>94</v>
      </c>
      <c r="AU274" s="113">
        <v>81</v>
      </c>
      <c r="AV274" s="113">
        <v>86</v>
      </c>
      <c r="AW274" s="113">
        <v>83</v>
      </c>
      <c r="AX274" s="113">
        <v>96</v>
      </c>
      <c r="AY274" s="113">
        <v>87</v>
      </c>
      <c r="AZ274" s="113">
        <v>84</v>
      </c>
      <c r="BA274" s="113">
        <v>88</v>
      </c>
      <c r="BB274" s="113">
        <v>79</v>
      </c>
      <c r="BC274" s="113">
        <v>83</v>
      </c>
      <c r="BD274" s="113">
        <v>92</v>
      </c>
      <c r="BE274" s="113">
        <v>93</v>
      </c>
      <c r="BF274" s="113">
        <v>89</v>
      </c>
      <c r="BG274" s="113">
        <v>88</v>
      </c>
      <c r="BH274" s="113">
        <v>91</v>
      </c>
      <c r="BI274" s="113">
        <v>94</v>
      </c>
      <c r="BJ274" s="113">
        <v>90</v>
      </c>
      <c r="BK274" s="113"/>
      <c r="BL274" s="113"/>
      <c r="BM274" s="113"/>
      <c r="BN274" s="113"/>
      <c r="BO274" s="113"/>
      <c r="BP274" s="113"/>
      <c r="BQ274" s="113"/>
      <c r="BR274" s="113"/>
      <c r="BS274" s="113"/>
      <c r="BT274" s="113"/>
      <c r="BU274" s="113"/>
      <c r="BV274" s="113"/>
      <c r="BW274" s="113"/>
      <c r="BX274" s="113"/>
      <c r="BY274" s="113"/>
      <c r="BZ274" s="113"/>
      <c r="CA274" s="113"/>
      <c r="CB274" s="113"/>
      <c r="CC274" s="113"/>
      <c r="CD274" s="113"/>
      <c r="CE274" s="113"/>
      <c r="CF274" s="113"/>
      <c r="CG274" s="113"/>
      <c r="CH274" s="113"/>
      <c r="CI274" s="113"/>
      <c r="CJ274" s="113"/>
      <c r="CK274" s="113"/>
      <c r="CL274" s="113"/>
      <c r="CM274" s="113"/>
      <c r="CN274" s="113"/>
      <c r="CO274" s="113"/>
      <c r="CP274" s="113"/>
    </row>
    <row r="275" spans="1:94" s="63" customFormat="1">
      <c r="A275" s="113" t="s">
        <v>262</v>
      </c>
      <c r="B275" s="113" t="s">
        <v>392</v>
      </c>
      <c r="C275" s="114" t="s">
        <v>393</v>
      </c>
      <c r="D275" s="128" t="s">
        <v>87</v>
      </c>
      <c r="E275" s="127" t="s">
        <v>330</v>
      </c>
      <c r="F275" s="126" t="s">
        <v>394</v>
      </c>
      <c r="G275" s="126" t="s">
        <v>273</v>
      </c>
      <c r="H275" s="123">
        <v>726</v>
      </c>
      <c r="I275" s="125">
        <v>19.86</v>
      </c>
      <c r="J275" s="123">
        <v>14099</v>
      </c>
      <c r="K275" s="124">
        <v>0.05</v>
      </c>
      <c r="L275" s="123">
        <f t="shared" si="590"/>
        <v>13394.05</v>
      </c>
      <c r="M275" s="122">
        <f t="shared" si="587"/>
        <v>18.449104683195593</v>
      </c>
      <c r="N275" s="118"/>
      <c r="O275" s="118"/>
      <c r="P275" s="118"/>
      <c r="Q275" s="118"/>
      <c r="R275" s="118"/>
      <c r="S275" s="153">
        <v>15.13</v>
      </c>
      <c r="T275" s="121"/>
      <c r="U275" s="113"/>
      <c r="V275" s="115" t="s">
        <v>103</v>
      </c>
      <c r="W275" s="115"/>
      <c r="X275" s="120">
        <v>0.45</v>
      </c>
      <c r="Y275" s="120"/>
      <c r="Z275" s="118">
        <v>0.55000000000000004</v>
      </c>
      <c r="AA275" s="119">
        <v>45796</v>
      </c>
      <c r="AB275" s="117">
        <f t="shared" si="593"/>
        <v>84.1</v>
      </c>
      <c r="AC275" s="117">
        <f>AB275*X275</f>
        <v>37.844999999999999</v>
      </c>
      <c r="AD275" s="117">
        <f t="shared" si="588"/>
        <v>253.448911125</v>
      </c>
      <c r="AE275" s="117">
        <f>IFERROR((AD275/I275),"")</f>
        <v>12.761778002265862</v>
      </c>
      <c r="AF275" s="170">
        <f>IFERROR(((AE275-S275)/AE275),"")</f>
        <v>-0.18557147736887913</v>
      </c>
      <c r="AG275" s="265">
        <v>13.94</v>
      </c>
      <c r="AH275" s="265">
        <f t="shared" si="604"/>
        <v>0.45662549175682893</v>
      </c>
      <c r="AI275" s="115"/>
      <c r="AJ275" s="118">
        <f t="shared" si="595"/>
        <v>253.448911125</v>
      </c>
      <c r="AK275" s="116">
        <f t="shared" si="596"/>
        <v>12.761778002265862</v>
      </c>
      <c r="AL275" s="116"/>
      <c r="AM275" s="116">
        <f t="shared" si="597"/>
        <v>65.368636363636355</v>
      </c>
      <c r="AN275" s="116"/>
      <c r="AO275" s="116"/>
      <c r="AP275" s="116"/>
      <c r="AQ275" s="113"/>
      <c r="AR275" s="115" t="s">
        <v>116</v>
      </c>
      <c r="AS275" s="113">
        <v>71</v>
      </c>
      <c r="AT275" s="113">
        <v>83</v>
      </c>
      <c r="AU275" s="113">
        <v>69</v>
      </c>
      <c r="AV275" s="113">
        <v>89</v>
      </c>
      <c r="AW275" s="113">
        <v>93</v>
      </c>
      <c r="AX275" s="113">
        <v>84</v>
      </c>
      <c r="AY275" s="113">
        <v>79</v>
      </c>
      <c r="AZ275" s="113">
        <v>87</v>
      </c>
      <c r="BA275" s="113">
        <v>90</v>
      </c>
      <c r="BB275" s="113">
        <v>97</v>
      </c>
      <c r="BC275" s="113">
        <v>88</v>
      </c>
      <c r="BD275" s="113">
        <v>83</v>
      </c>
      <c r="BE275" s="113">
        <v>76</v>
      </c>
      <c r="BF275" s="113">
        <v>89</v>
      </c>
      <c r="BG275" s="113">
        <v>84</v>
      </c>
      <c r="BH275" s="113">
        <v>81</v>
      </c>
      <c r="BI275" s="113">
        <v>79</v>
      </c>
      <c r="BJ275" s="113">
        <v>83</v>
      </c>
      <c r="BK275" s="113">
        <v>90</v>
      </c>
      <c r="BL275" s="113">
        <v>87</v>
      </c>
      <c r="BM275" s="113"/>
      <c r="BN275" s="113"/>
      <c r="BO275" s="113"/>
      <c r="BP275" s="113"/>
      <c r="BQ275" s="113"/>
      <c r="BR275" s="113"/>
      <c r="BS275" s="113"/>
      <c r="BT275" s="113"/>
      <c r="BU275" s="113"/>
      <c r="BV275" s="113"/>
      <c r="BW275" s="113"/>
      <c r="BX275" s="113"/>
      <c r="BY275" s="113"/>
      <c r="BZ275" s="113"/>
      <c r="CA275" s="113"/>
      <c r="CB275" s="113"/>
      <c r="CC275" s="113"/>
      <c r="CD275" s="113"/>
      <c r="CE275" s="113"/>
      <c r="CF275" s="113"/>
      <c r="CG275" s="113"/>
      <c r="CH275" s="113"/>
      <c r="CI275" s="113"/>
      <c r="CJ275" s="113"/>
      <c r="CK275" s="113"/>
      <c r="CL275" s="113"/>
      <c r="CM275" s="113"/>
      <c r="CN275" s="113"/>
      <c r="CO275" s="113"/>
      <c r="CP275" s="113"/>
    </row>
    <row r="276" spans="1:94" s="113" customFormat="1">
      <c r="A276" s="63" t="s">
        <v>262</v>
      </c>
      <c r="B276" s="63" t="s">
        <v>399</v>
      </c>
      <c r="C276" s="64" t="s">
        <v>400</v>
      </c>
      <c r="D276" s="65" t="s">
        <v>87</v>
      </c>
      <c r="E276" s="66" t="s">
        <v>330</v>
      </c>
      <c r="F276" s="68"/>
      <c r="G276" s="68"/>
      <c r="H276" s="69">
        <v>660</v>
      </c>
      <c r="I276" s="74">
        <v>3.03</v>
      </c>
      <c r="J276" s="69">
        <v>1954</v>
      </c>
      <c r="K276" s="72"/>
      <c r="L276" s="69">
        <f t="shared" si="590"/>
        <v>1954</v>
      </c>
      <c r="M276" s="86">
        <f t="shared" si="587"/>
        <v>2.9606060606060605</v>
      </c>
      <c r="N276" s="79">
        <v>7.18</v>
      </c>
      <c r="O276" s="79">
        <v>11.11</v>
      </c>
      <c r="P276" s="79">
        <v>10.97</v>
      </c>
      <c r="Q276" s="79">
        <v>10.36</v>
      </c>
      <c r="R276" s="79">
        <v>9.9</v>
      </c>
      <c r="S276" s="84">
        <v>7.7</v>
      </c>
      <c r="T276" s="85">
        <f t="shared" ref="T276:T289" si="649">AVERAGE(N276:S276)</f>
        <v>9.5366666666666671</v>
      </c>
      <c r="U276" s="63"/>
      <c r="V276" s="77"/>
      <c r="W276" s="77"/>
      <c r="X276" s="78"/>
      <c r="Y276" s="78"/>
      <c r="Z276" s="79">
        <v>0.55000000000000004</v>
      </c>
      <c r="AA276" s="80"/>
      <c r="AB276" s="81">
        <f t="shared" si="593"/>
        <v>0</v>
      </c>
      <c r="AC276" s="81"/>
      <c r="AD276" s="81">
        <f t="shared" si="588"/>
        <v>0</v>
      </c>
      <c r="AE276" s="81"/>
      <c r="AF276" s="167"/>
      <c r="AG276" s="264"/>
      <c r="AH276" s="264" t="e">
        <f t="shared" si="604"/>
        <v>#DIV/0!</v>
      </c>
      <c r="AI276" s="77"/>
      <c r="AJ276" s="79">
        <f t="shared" si="595"/>
        <v>0</v>
      </c>
      <c r="AK276" s="82">
        <f t="shared" si="596"/>
        <v>0</v>
      </c>
      <c r="AL276" s="82"/>
      <c r="AM276" s="82">
        <f t="shared" si="597"/>
        <v>0</v>
      </c>
      <c r="AN276" s="82"/>
      <c r="AO276" s="82"/>
      <c r="AP276" s="82"/>
      <c r="AQ276" s="63"/>
      <c r="AR276" s="77"/>
      <c r="AS276" s="63"/>
      <c r="AT276" s="63"/>
      <c r="AU276" s="63"/>
      <c r="AV276" s="63"/>
      <c r="AW276" s="63"/>
      <c r="AX276" s="63"/>
      <c r="AY276" s="63"/>
      <c r="AZ276" s="63"/>
      <c r="BA276" s="63"/>
      <c r="BB276" s="63"/>
      <c r="BC276" s="63"/>
      <c r="BD276" s="63"/>
      <c r="BE276" s="63"/>
      <c r="BF276" s="63"/>
      <c r="BG276" s="63"/>
      <c r="BH276" s="63"/>
      <c r="BI276" s="63"/>
      <c r="BJ276" s="63"/>
      <c r="BK276" s="63"/>
      <c r="BL276" s="63"/>
      <c r="BM276" s="63"/>
      <c r="BN276" s="63"/>
      <c r="BO276" s="63"/>
      <c r="BP276" s="63"/>
      <c r="BQ276" s="63"/>
      <c r="BR276" s="63"/>
      <c r="BS276" s="63"/>
      <c r="BT276" s="63"/>
      <c r="BU276" s="63"/>
      <c r="BV276" s="63"/>
      <c r="BW276" s="63"/>
      <c r="BX276" s="63"/>
      <c r="BY276" s="63"/>
      <c r="BZ276" s="63"/>
      <c r="CA276" s="63"/>
      <c r="CB276" s="63"/>
      <c r="CC276" s="63"/>
      <c r="CD276" s="63"/>
      <c r="CE276" s="63"/>
      <c r="CF276" s="63"/>
      <c r="CG276" s="63"/>
      <c r="CH276" s="63"/>
      <c r="CI276" s="63"/>
      <c r="CJ276" s="63"/>
      <c r="CK276" s="63"/>
      <c r="CL276" s="63"/>
      <c r="CM276" s="63"/>
      <c r="CN276" s="63"/>
      <c r="CO276" s="63"/>
      <c r="CP276" s="63"/>
    </row>
    <row r="277" spans="1:94" s="63" customFormat="1">
      <c r="A277" s="113" t="s">
        <v>262</v>
      </c>
      <c r="B277" s="113" t="s">
        <v>401</v>
      </c>
      <c r="C277" s="114" t="s">
        <v>402</v>
      </c>
      <c r="D277" s="128" t="s">
        <v>87</v>
      </c>
      <c r="E277" s="127" t="s">
        <v>330</v>
      </c>
      <c r="F277" s="126"/>
      <c r="G277" s="126" t="s">
        <v>204</v>
      </c>
      <c r="H277" s="123">
        <v>660</v>
      </c>
      <c r="I277" s="125">
        <v>22.93</v>
      </c>
      <c r="J277" s="123">
        <v>14817</v>
      </c>
      <c r="K277" s="124"/>
      <c r="L277" s="123">
        <f t="shared" si="590"/>
        <v>14817</v>
      </c>
      <c r="M277" s="122">
        <f t="shared" si="587"/>
        <v>22.45</v>
      </c>
      <c r="N277" s="118">
        <v>11.65</v>
      </c>
      <c r="O277" s="118">
        <v>12.13</v>
      </c>
      <c r="P277" s="118">
        <v>15.66</v>
      </c>
      <c r="Q277" s="118">
        <v>12.15</v>
      </c>
      <c r="R277" s="118">
        <v>14.3</v>
      </c>
      <c r="S277" s="153">
        <v>11.08</v>
      </c>
      <c r="T277" s="121">
        <f t="shared" si="649"/>
        <v>12.828333333333333</v>
      </c>
      <c r="U277" s="113" t="s">
        <v>785</v>
      </c>
      <c r="V277" s="115" t="s">
        <v>103</v>
      </c>
      <c r="W277" s="115"/>
      <c r="X277" s="120">
        <v>0.5</v>
      </c>
      <c r="Y277" s="120"/>
      <c r="Z277" s="118">
        <v>0.55000000000000004</v>
      </c>
      <c r="AA277" s="119">
        <v>45759</v>
      </c>
      <c r="AB277" s="117">
        <f t="shared" si="593"/>
        <v>90.428571428571431</v>
      </c>
      <c r="AC277" s="117">
        <f t="shared" ref="AC277:AC292" si="650">AB277*X277</f>
        <v>45.214285714285715</v>
      </c>
      <c r="AD277" s="117">
        <f t="shared" si="588"/>
        <v>334.97003571428576</v>
      </c>
      <c r="AE277" s="117">
        <f t="shared" ref="AE277:AE292" si="651">IFERROR((AD277/I277),"")</f>
        <v>14.608374867609497</v>
      </c>
      <c r="AF277" s="170">
        <f t="shared" ref="AF277:AF292" si="652">IFERROR(((AE277-S277)/AE277),"")</f>
        <v>0.24153096423016951</v>
      </c>
      <c r="AG277" s="265">
        <v>11.46</v>
      </c>
      <c r="AH277" s="265">
        <f t="shared" si="604"/>
        <v>0.38402987218153095</v>
      </c>
      <c r="AI277" s="115"/>
      <c r="AJ277" s="118">
        <f t="shared" si="595"/>
        <v>334.97003571428576</v>
      </c>
      <c r="AK277" s="116">
        <f t="shared" si="596"/>
        <v>14.608374867609497</v>
      </c>
      <c r="AL277" s="116"/>
      <c r="AM277" s="116">
        <f t="shared" si="597"/>
        <v>82.207792207792195</v>
      </c>
      <c r="AN277" s="116"/>
      <c r="AO277" s="116"/>
      <c r="AP277" s="116"/>
      <c r="AQ277" s="113"/>
      <c r="AR277" s="115" t="s">
        <v>282</v>
      </c>
      <c r="AS277" s="113">
        <v>95</v>
      </c>
      <c r="AT277" s="113">
        <v>92</v>
      </c>
      <c r="AU277" s="113">
        <v>90</v>
      </c>
      <c r="AV277" s="113">
        <v>80</v>
      </c>
      <c r="AW277" s="113">
        <v>93</v>
      </c>
      <c r="AX277" s="113">
        <v>96</v>
      </c>
      <c r="AY277" s="113">
        <v>105</v>
      </c>
      <c r="AZ277" s="113">
        <v>90</v>
      </c>
      <c r="BA277" s="113">
        <v>88</v>
      </c>
      <c r="BB277" s="113">
        <v>94</v>
      </c>
      <c r="BC277" s="113">
        <v>83</v>
      </c>
      <c r="BD277" s="113">
        <v>82</v>
      </c>
      <c r="BE277" s="113">
        <v>86</v>
      </c>
      <c r="BF277" s="113">
        <v>92</v>
      </c>
      <c r="BG277" s="113"/>
      <c r="BH277" s="113"/>
      <c r="BI277" s="113"/>
      <c r="BJ277" s="113"/>
      <c r="BK277" s="113"/>
      <c r="BL277" s="113"/>
      <c r="BM277" s="113"/>
      <c r="BN277" s="113"/>
      <c r="BO277" s="113"/>
      <c r="BP277" s="113"/>
      <c r="BQ277" s="113"/>
      <c r="BR277" s="113"/>
      <c r="BS277" s="113"/>
      <c r="BT277" s="113"/>
      <c r="BU277" s="113"/>
      <c r="BV277" s="113"/>
      <c r="BW277" s="113"/>
      <c r="BX277" s="113"/>
      <c r="BY277" s="113"/>
      <c r="BZ277" s="113"/>
      <c r="CA277" s="113"/>
      <c r="CB277" s="113"/>
      <c r="CC277" s="113"/>
      <c r="CD277" s="113"/>
      <c r="CE277" s="113"/>
      <c r="CF277" s="113"/>
      <c r="CG277" s="113"/>
      <c r="CH277" s="113"/>
      <c r="CI277" s="113"/>
      <c r="CJ277" s="113"/>
      <c r="CK277" s="113"/>
      <c r="CL277" s="113"/>
      <c r="CM277" s="113"/>
      <c r="CN277" s="113"/>
      <c r="CO277" s="113"/>
      <c r="CP277" s="113"/>
    </row>
    <row r="278" spans="1:94" s="63" customFormat="1">
      <c r="A278" s="113" t="s">
        <v>262</v>
      </c>
      <c r="B278" s="113" t="s">
        <v>401</v>
      </c>
      <c r="C278" s="114" t="s">
        <v>402</v>
      </c>
      <c r="D278" s="128" t="s">
        <v>87</v>
      </c>
      <c r="E278" s="127" t="s">
        <v>330</v>
      </c>
      <c r="F278" s="126"/>
      <c r="G278" s="126" t="s">
        <v>204</v>
      </c>
      <c r="H278" s="123">
        <v>660</v>
      </c>
      <c r="I278" s="125">
        <v>22.93</v>
      </c>
      <c r="J278" s="123">
        <v>14817</v>
      </c>
      <c r="K278" s="124"/>
      <c r="L278" s="123">
        <f t="shared" si="590"/>
        <v>14817</v>
      </c>
      <c r="M278" s="122">
        <f t="shared" si="587"/>
        <v>22.45</v>
      </c>
      <c r="N278" s="118">
        <v>11.65</v>
      </c>
      <c r="O278" s="118">
        <v>12.13</v>
      </c>
      <c r="P278" s="118">
        <v>15.66</v>
      </c>
      <c r="Q278" s="118">
        <v>12.15</v>
      </c>
      <c r="R278" s="118">
        <v>14.3</v>
      </c>
      <c r="S278" s="153">
        <v>11.08</v>
      </c>
      <c r="T278" s="121">
        <f t="shared" si="649"/>
        <v>12.828333333333333</v>
      </c>
      <c r="U278" s="113" t="s">
        <v>297</v>
      </c>
      <c r="V278" s="115" t="s">
        <v>366</v>
      </c>
      <c r="W278" s="115"/>
      <c r="X278" s="120">
        <v>0.5</v>
      </c>
      <c r="Y278" s="120"/>
      <c r="Z278" s="118">
        <v>0.55000000000000004</v>
      </c>
      <c r="AA278" s="119">
        <v>45762</v>
      </c>
      <c r="AB278" s="117">
        <f t="shared" si="593"/>
        <v>85.913043478260875</v>
      </c>
      <c r="AC278" s="117">
        <f t="shared" si="650"/>
        <v>42.956521739130437</v>
      </c>
      <c r="AD278" s="117">
        <f t="shared" si="588"/>
        <v>318.24339130434782</v>
      </c>
      <c r="AE278" s="117">
        <f t="shared" si="651"/>
        <v>13.878909346024763</v>
      </c>
      <c r="AF278" s="170">
        <f t="shared" si="652"/>
        <v>0.20166637566707893</v>
      </c>
      <c r="AG278" s="265">
        <v>11.46</v>
      </c>
      <c r="AH278" s="265">
        <f t="shared" si="604"/>
        <v>0.40421420684578574</v>
      </c>
      <c r="AI278" s="115"/>
      <c r="AJ278" s="118">
        <f t="shared" si="595"/>
        <v>318.24339130434782</v>
      </c>
      <c r="AK278" s="116">
        <f t="shared" si="596"/>
        <v>13.878909346024763</v>
      </c>
      <c r="AL278" s="116"/>
      <c r="AM278" s="116">
        <f t="shared" si="597"/>
        <v>78.102766798418969</v>
      </c>
      <c r="AN278" s="116"/>
      <c r="AO278" s="116"/>
      <c r="AP278" s="116"/>
      <c r="AQ278" s="113"/>
      <c r="AR278" s="115" t="s">
        <v>269</v>
      </c>
      <c r="AS278" s="113">
        <v>95</v>
      </c>
      <c r="AT278" s="113">
        <v>92</v>
      </c>
      <c r="AU278" s="113">
        <v>90</v>
      </c>
      <c r="AV278" s="113">
        <v>80</v>
      </c>
      <c r="AW278" s="113">
        <v>93</v>
      </c>
      <c r="AX278" s="113">
        <v>96</v>
      </c>
      <c r="AY278" s="113">
        <v>105</v>
      </c>
      <c r="AZ278" s="113">
        <v>90</v>
      </c>
      <c r="BA278" s="113">
        <v>88</v>
      </c>
      <c r="BB278" s="113">
        <v>94</v>
      </c>
      <c r="BC278" s="113">
        <v>83</v>
      </c>
      <c r="BD278" s="113">
        <v>82</v>
      </c>
      <c r="BE278" s="113">
        <v>79</v>
      </c>
      <c r="BF278" s="113">
        <v>81</v>
      </c>
      <c r="BG278" s="113">
        <v>83</v>
      </c>
      <c r="BH278" s="113">
        <v>76</v>
      </c>
      <c r="BI278" s="113">
        <v>84</v>
      </c>
      <c r="BJ278" s="113">
        <v>82</v>
      </c>
      <c r="BK278" s="113">
        <v>77</v>
      </c>
      <c r="BL278" s="113">
        <v>81</v>
      </c>
      <c r="BM278" s="113">
        <v>85</v>
      </c>
      <c r="BN278" s="113">
        <v>81</v>
      </c>
      <c r="BO278" s="113">
        <v>79</v>
      </c>
      <c r="BP278" s="113"/>
      <c r="BQ278" s="113"/>
      <c r="BR278" s="113"/>
      <c r="BS278" s="113"/>
      <c r="BT278" s="113"/>
      <c r="BU278" s="113"/>
      <c r="BV278" s="113"/>
      <c r="BW278" s="113"/>
      <c r="BX278" s="113"/>
      <c r="BY278" s="113"/>
      <c r="BZ278" s="113"/>
      <c r="CA278" s="113"/>
      <c r="CB278" s="113"/>
      <c r="CC278" s="113"/>
      <c r="CD278" s="113"/>
      <c r="CE278" s="113"/>
      <c r="CF278" s="113"/>
      <c r="CG278" s="113"/>
      <c r="CH278" s="113"/>
      <c r="CI278" s="113"/>
      <c r="CJ278" s="113"/>
      <c r="CK278" s="113"/>
      <c r="CL278" s="113"/>
      <c r="CM278" s="113"/>
      <c r="CN278" s="113"/>
      <c r="CO278" s="113"/>
      <c r="CP278" s="113"/>
    </row>
    <row r="279" spans="1:94" s="63" customFormat="1">
      <c r="A279" s="113" t="s">
        <v>262</v>
      </c>
      <c r="B279" s="113" t="s">
        <v>401</v>
      </c>
      <c r="C279" s="114" t="s">
        <v>402</v>
      </c>
      <c r="D279" s="128" t="s">
        <v>87</v>
      </c>
      <c r="E279" s="127" t="s">
        <v>330</v>
      </c>
      <c r="F279" s="126"/>
      <c r="G279" s="126" t="s">
        <v>204</v>
      </c>
      <c r="H279" s="123">
        <v>660</v>
      </c>
      <c r="I279" s="125">
        <v>22.93</v>
      </c>
      <c r="J279" s="123">
        <v>14817</v>
      </c>
      <c r="K279" s="124"/>
      <c r="L279" s="123">
        <f t="shared" si="590"/>
        <v>14817</v>
      </c>
      <c r="M279" s="122">
        <f t="shared" si="587"/>
        <v>22.45</v>
      </c>
      <c r="N279" s="118">
        <v>11.65</v>
      </c>
      <c r="O279" s="118">
        <v>12.13</v>
      </c>
      <c r="P279" s="118">
        <v>15.66</v>
      </c>
      <c r="Q279" s="118">
        <v>12.15</v>
      </c>
      <c r="R279" s="118">
        <v>14.3</v>
      </c>
      <c r="S279" s="153">
        <v>11.08</v>
      </c>
      <c r="T279" s="121">
        <f t="shared" si="649"/>
        <v>12.828333333333333</v>
      </c>
      <c r="U279" s="113" t="s">
        <v>297</v>
      </c>
      <c r="V279" s="115" t="s">
        <v>366</v>
      </c>
      <c r="W279" s="115"/>
      <c r="X279" s="120">
        <v>0.5</v>
      </c>
      <c r="Y279" s="120"/>
      <c r="Z279" s="118">
        <v>0.55000000000000004</v>
      </c>
      <c r="AA279" s="119">
        <v>45796</v>
      </c>
      <c r="AB279" s="117">
        <f t="shared" si="593"/>
        <v>64.78947368421052</v>
      </c>
      <c r="AC279" s="117">
        <f t="shared" si="650"/>
        <v>32.39473684210526</v>
      </c>
      <c r="AD279" s="117">
        <f t="shared" si="588"/>
        <v>239.99640789473682</v>
      </c>
      <c r="AE279" s="117">
        <f t="shared" si="651"/>
        <v>10.466480937406752</v>
      </c>
      <c r="AF279" s="170">
        <f t="shared" si="652"/>
        <v>-5.8617511106388909E-2</v>
      </c>
      <c r="AG279" s="265">
        <v>11.46</v>
      </c>
      <c r="AH279" s="265">
        <f t="shared" si="604"/>
        <v>0.53600177239494873</v>
      </c>
      <c r="AI279" s="115"/>
      <c r="AJ279" s="118">
        <f t="shared" si="595"/>
        <v>239.99640789473682</v>
      </c>
      <c r="AK279" s="116">
        <f t="shared" si="596"/>
        <v>10.466480937406752</v>
      </c>
      <c r="AL279" s="116"/>
      <c r="AM279" s="116">
        <f t="shared" si="597"/>
        <v>58.899521531100469</v>
      </c>
      <c r="AN279" s="116"/>
      <c r="AO279" s="116"/>
      <c r="AP279" s="116"/>
      <c r="AQ279" s="113"/>
      <c r="AR279" s="115" t="s">
        <v>116</v>
      </c>
      <c r="AS279" s="113">
        <v>63</v>
      </c>
      <c r="AT279" s="113">
        <v>66</v>
      </c>
      <c r="AU279" s="113">
        <v>59</v>
      </c>
      <c r="AV279" s="113">
        <v>56</v>
      </c>
      <c r="AW279" s="113">
        <v>59</v>
      </c>
      <c r="AX279" s="113">
        <v>67</v>
      </c>
      <c r="AY279" s="113">
        <v>70</v>
      </c>
      <c r="AZ279" s="113">
        <v>69</v>
      </c>
      <c r="BA279" s="113">
        <v>65</v>
      </c>
      <c r="BB279" s="113">
        <v>61</v>
      </c>
      <c r="BC279" s="113">
        <v>69</v>
      </c>
      <c r="BD279" s="113">
        <v>72</v>
      </c>
      <c r="BE279" s="113">
        <v>70</v>
      </c>
      <c r="BF279" s="113">
        <v>58</v>
      </c>
      <c r="BG279" s="113">
        <v>67</v>
      </c>
      <c r="BH279" s="113">
        <v>73</v>
      </c>
      <c r="BI279" s="113">
        <v>60</v>
      </c>
      <c r="BJ279" s="113">
        <v>58</v>
      </c>
      <c r="BK279" s="113">
        <v>69</v>
      </c>
      <c r="BL279" s="113"/>
      <c r="BM279" s="113"/>
      <c r="BN279" s="113"/>
      <c r="BO279" s="113"/>
      <c r="BP279" s="113"/>
      <c r="BQ279" s="113"/>
      <c r="BR279" s="113"/>
      <c r="BS279" s="113"/>
      <c r="BT279" s="113"/>
      <c r="BU279" s="113"/>
      <c r="BV279" s="113"/>
      <c r="BW279" s="113"/>
      <c r="BX279" s="113"/>
      <c r="BY279" s="113"/>
      <c r="BZ279" s="113"/>
      <c r="CA279" s="113"/>
      <c r="CB279" s="113"/>
      <c r="CC279" s="113"/>
      <c r="CD279" s="113"/>
      <c r="CE279" s="113"/>
      <c r="CF279" s="113"/>
      <c r="CG279" s="113"/>
      <c r="CH279" s="113"/>
      <c r="CI279" s="113"/>
      <c r="CJ279" s="113"/>
      <c r="CK279" s="113"/>
      <c r="CL279" s="113"/>
      <c r="CM279" s="113"/>
      <c r="CN279" s="113"/>
      <c r="CO279" s="113"/>
      <c r="CP279" s="113"/>
    </row>
    <row r="280" spans="1:94" s="63" customFormat="1">
      <c r="A280" s="63" t="s">
        <v>262</v>
      </c>
      <c r="B280" s="63" t="s">
        <v>405</v>
      </c>
      <c r="C280" s="64" t="s">
        <v>406</v>
      </c>
      <c r="D280" s="65" t="s">
        <v>87</v>
      </c>
      <c r="E280" s="66" t="s">
        <v>330</v>
      </c>
      <c r="F280" s="68"/>
      <c r="G280" s="68" t="s">
        <v>382</v>
      </c>
      <c r="H280" s="69">
        <v>660</v>
      </c>
      <c r="I280" s="74">
        <v>6.52</v>
      </c>
      <c r="J280" s="69">
        <v>4148</v>
      </c>
      <c r="K280" s="72"/>
      <c r="L280" s="69">
        <f t="shared" ref="L280:L324" si="653">J280-(J280*K280)</f>
        <v>4148</v>
      </c>
      <c r="M280" s="86">
        <f t="shared" si="587"/>
        <v>6.2848484848484851</v>
      </c>
      <c r="N280" s="79">
        <v>10.52</v>
      </c>
      <c r="O280" s="79">
        <v>13.47</v>
      </c>
      <c r="P280" s="79">
        <v>16.91</v>
      </c>
      <c r="Q280" s="79">
        <v>8.57</v>
      </c>
      <c r="R280" s="79">
        <v>10.57</v>
      </c>
      <c r="S280" s="84">
        <v>9.1300000000000008</v>
      </c>
      <c r="T280" s="85">
        <f t="shared" si="649"/>
        <v>11.528333333333334</v>
      </c>
      <c r="U280" s="63" t="s">
        <v>106</v>
      </c>
      <c r="V280" s="77" t="s">
        <v>103</v>
      </c>
      <c r="W280" s="77"/>
      <c r="X280" s="78">
        <v>0.5</v>
      </c>
      <c r="Y280" s="78"/>
      <c r="Z280" s="79">
        <v>0.55000000000000004</v>
      </c>
      <c r="AA280" s="80">
        <v>45762</v>
      </c>
      <c r="AB280" s="81">
        <f t="shared" si="593"/>
        <v>94.454545454545453</v>
      </c>
      <c r="AC280" s="81">
        <f t="shared" si="650"/>
        <v>47.227272727272727</v>
      </c>
      <c r="AD280" s="81">
        <f t="shared" si="588"/>
        <v>97.949363636363628</v>
      </c>
      <c r="AE280" s="81">
        <f t="shared" si="651"/>
        <v>15.022908533184607</v>
      </c>
      <c r="AF280" s="167">
        <f t="shared" si="652"/>
        <v>0.39226149318339804</v>
      </c>
      <c r="AG280" s="264">
        <v>10.39</v>
      </c>
      <c r="AH280" s="264">
        <f t="shared" si="604"/>
        <v>0.33333333333333337</v>
      </c>
      <c r="AI280" s="77"/>
      <c r="AJ280" s="79"/>
      <c r="AK280" s="82"/>
      <c r="AL280" s="82"/>
      <c r="AM280" s="82"/>
      <c r="AN280" s="82"/>
      <c r="AO280" s="82"/>
      <c r="AP280" s="82"/>
      <c r="AR280" s="77" t="s">
        <v>282</v>
      </c>
      <c r="AS280" s="63">
        <v>107</v>
      </c>
      <c r="AT280" s="63">
        <v>114</v>
      </c>
      <c r="AU280" s="63">
        <v>93</v>
      </c>
      <c r="AV280" s="63">
        <v>75</v>
      </c>
      <c r="AW280" s="63">
        <v>86</v>
      </c>
      <c r="AX280" s="63">
        <v>83</v>
      </c>
      <c r="AY280" s="63">
        <v>91</v>
      </c>
      <c r="AZ280" s="63">
        <v>112</v>
      </c>
      <c r="BA280" s="63">
        <v>93</v>
      </c>
      <c r="BB280" s="63">
        <v>88</v>
      </c>
      <c r="BC280" s="63">
        <v>97</v>
      </c>
    </row>
    <row r="281" spans="1:94" s="113" customFormat="1">
      <c r="A281" s="63" t="s">
        <v>262</v>
      </c>
      <c r="B281" s="63" t="s">
        <v>405</v>
      </c>
      <c r="C281" s="64" t="s">
        <v>406</v>
      </c>
      <c r="D281" s="65" t="s">
        <v>87</v>
      </c>
      <c r="E281" s="66" t="s">
        <v>330</v>
      </c>
      <c r="F281" s="68"/>
      <c r="G281" s="68" t="s">
        <v>382</v>
      </c>
      <c r="H281" s="69">
        <v>660</v>
      </c>
      <c r="I281" s="74">
        <v>6.52</v>
      </c>
      <c r="J281" s="69">
        <v>4148</v>
      </c>
      <c r="K281" s="72"/>
      <c r="L281" s="69">
        <f t="shared" si="653"/>
        <v>4148</v>
      </c>
      <c r="M281" s="86">
        <f t="shared" si="587"/>
        <v>6.2848484848484851</v>
      </c>
      <c r="N281" s="79">
        <v>10.52</v>
      </c>
      <c r="O281" s="79">
        <v>13.47</v>
      </c>
      <c r="P281" s="79">
        <v>16.91</v>
      </c>
      <c r="Q281" s="79">
        <v>8.57</v>
      </c>
      <c r="R281" s="79">
        <v>10.57</v>
      </c>
      <c r="S281" s="84">
        <v>9.1300000000000008</v>
      </c>
      <c r="T281" s="85">
        <f t="shared" si="649"/>
        <v>11.528333333333334</v>
      </c>
      <c r="U281" s="63" t="s">
        <v>106</v>
      </c>
      <c r="V281" s="77" t="s">
        <v>103</v>
      </c>
      <c r="W281" s="77"/>
      <c r="X281" s="78">
        <v>0.5</v>
      </c>
      <c r="Y281" s="78"/>
      <c r="Z281" s="79">
        <v>0.55000000000000004</v>
      </c>
      <c r="AA281" s="80">
        <v>45793</v>
      </c>
      <c r="AB281" s="81">
        <f t="shared" si="593"/>
        <v>84.375</v>
      </c>
      <c r="AC281" s="81">
        <f t="shared" si="650"/>
        <v>42.1875</v>
      </c>
      <c r="AD281" s="81">
        <f t="shared" si="588"/>
        <v>87.496875000000003</v>
      </c>
      <c r="AE281" s="81">
        <f t="shared" si="651"/>
        <v>13.41976610429448</v>
      </c>
      <c r="AF281" s="167">
        <f t="shared" si="652"/>
        <v>0.31966027358119936</v>
      </c>
      <c r="AG281" s="264">
        <v>10.39</v>
      </c>
      <c r="AH281" s="264">
        <f t="shared" si="604"/>
        <v>0.37315375982042653</v>
      </c>
      <c r="AI281" s="77"/>
      <c r="AJ281" s="79"/>
      <c r="AK281" s="82"/>
      <c r="AL281" s="82"/>
      <c r="AM281" s="82"/>
      <c r="AN281" s="82"/>
      <c r="AO281" s="82"/>
      <c r="AP281" s="82"/>
      <c r="AQ281" s="63"/>
      <c r="AR281" s="77" t="s">
        <v>91</v>
      </c>
      <c r="AS281" s="63">
        <v>104</v>
      </c>
      <c r="AT281" s="63">
        <v>83</v>
      </c>
      <c r="AU281" s="63">
        <v>67</v>
      </c>
      <c r="AV281" s="63">
        <v>61</v>
      </c>
      <c r="AW281" s="63">
        <v>72</v>
      </c>
      <c r="AX281" s="63">
        <v>75</v>
      </c>
      <c r="AY281" s="63">
        <v>87</v>
      </c>
      <c r="AZ281" s="63">
        <v>78</v>
      </c>
      <c r="BA281" s="63">
        <v>84</v>
      </c>
      <c r="BB281" s="63">
        <v>79</v>
      </c>
      <c r="BC281" s="63">
        <v>80</v>
      </c>
      <c r="BD281" s="63">
        <v>93</v>
      </c>
      <c r="BE281" s="63">
        <v>94</v>
      </c>
      <c r="BF281" s="63">
        <v>90</v>
      </c>
      <c r="BG281" s="63">
        <v>104</v>
      </c>
      <c r="BH281" s="63">
        <v>99</v>
      </c>
      <c r="BI281" s="63"/>
      <c r="BJ281" s="63"/>
      <c r="BK281" s="63"/>
      <c r="BL281" s="63"/>
      <c r="BM281" s="63"/>
      <c r="BN281" s="63"/>
      <c r="BO281" s="63"/>
      <c r="BP281" s="63"/>
      <c r="BQ281" s="63"/>
      <c r="BR281" s="63"/>
      <c r="BS281" s="63"/>
      <c r="BT281" s="63"/>
      <c r="BU281" s="63"/>
      <c r="BV281" s="63"/>
      <c r="BW281" s="63"/>
      <c r="BX281" s="63"/>
      <c r="BY281" s="63"/>
      <c r="BZ281" s="63"/>
      <c r="CA281" s="63"/>
      <c r="CB281" s="63"/>
      <c r="CC281" s="63"/>
      <c r="CD281" s="63"/>
      <c r="CE281" s="63"/>
      <c r="CF281" s="63"/>
      <c r="CG281" s="63"/>
      <c r="CH281" s="63"/>
      <c r="CI281" s="63"/>
      <c r="CJ281" s="63"/>
      <c r="CK281" s="63"/>
      <c r="CL281" s="63"/>
      <c r="CM281" s="63"/>
      <c r="CN281" s="63"/>
      <c r="CO281" s="63"/>
      <c r="CP281" s="63"/>
    </row>
    <row r="282" spans="1:94" s="113" customFormat="1">
      <c r="A282" s="63" t="s">
        <v>262</v>
      </c>
      <c r="B282" s="63" t="s">
        <v>405</v>
      </c>
      <c r="C282" s="64" t="s">
        <v>406</v>
      </c>
      <c r="D282" s="65" t="s">
        <v>87</v>
      </c>
      <c r="E282" s="66" t="s">
        <v>330</v>
      </c>
      <c r="F282" s="68"/>
      <c r="G282" s="68" t="s">
        <v>382</v>
      </c>
      <c r="H282" s="69">
        <v>660</v>
      </c>
      <c r="I282" s="74">
        <v>6.52</v>
      </c>
      <c r="J282" s="69">
        <v>4148</v>
      </c>
      <c r="K282" s="72"/>
      <c r="L282" s="69">
        <f t="shared" ref="L282" si="654">J282-(J282*K282)</f>
        <v>4148</v>
      </c>
      <c r="M282" s="86">
        <f t="shared" ref="M282" si="655">L282/H282</f>
        <v>6.2848484848484851</v>
      </c>
      <c r="N282" s="79">
        <v>10.52</v>
      </c>
      <c r="O282" s="79">
        <v>13.47</v>
      </c>
      <c r="P282" s="79">
        <v>16.91</v>
      </c>
      <c r="Q282" s="79">
        <v>8.57</v>
      </c>
      <c r="R282" s="79">
        <v>10.57</v>
      </c>
      <c r="S282" s="84">
        <v>9.1300000000000008</v>
      </c>
      <c r="T282" s="85">
        <f t="shared" ref="T282" si="656">AVERAGE(N282:S282)</f>
        <v>11.528333333333334</v>
      </c>
      <c r="U282" s="63" t="s">
        <v>106</v>
      </c>
      <c r="V282" s="77" t="s">
        <v>103</v>
      </c>
      <c r="W282" s="77"/>
      <c r="X282" s="78">
        <v>0.5</v>
      </c>
      <c r="Y282" s="78"/>
      <c r="Z282" s="79">
        <v>0.55000000000000004</v>
      </c>
      <c r="AA282" s="80">
        <v>45859</v>
      </c>
      <c r="AB282" s="81">
        <f t="shared" ref="AB282" si="657">IFERROR(AVERAGE(AS282:CP282),0)</f>
        <v>81.666666666666671</v>
      </c>
      <c r="AC282" s="81">
        <f t="shared" ref="AC282" si="658">AB282*X282</f>
        <v>40.833333333333336</v>
      </c>
      <c r="AD282" s="81">
        <f t="shared" ref="AD282" si="659">(AC282*L282)/2000</f>
        <v>84.688333333333347</v>
      </c>
      <c r="AE282" s="81">
        <f t="shared" ref="AE282" si="660">IFERROR((AD282/I282),"")</f>
        <v>12.989008179959104</v>
      </c>
      <c r="AF282" s="167">
        <f t="shared" ref="AF282" si="661">IFERROR(((AE282-S282)/AE282),"")</f>
        <v>0.297097986735678</v>
      </c>
      <c r="AG282" s="264">
        <v>10.39</v>
      </c>
      <c r="AH282" s="264">
        <f t="shared" si="604"/>
        <v>0.38552875695732841</v>
      </c>
      <c r="AI282" s="77"/>
      <c r="AJ282" s="79"/>
      <c r="AK282" s="82"/>
      <c r="AL282" s="82"/>
      <c r="AM282" s="82"/>
      <c r="AN282" s="82"/>
      <c r="AO282" s="82"/>
      <c r="AP282" s="82"/>
      <c r="AQ282" s="63"/>
      <c r="AR282" s="77" t="s">
        <v>91</v>
      </c>
      <c r="AS282" s="63">
        <v>93</v>
      </c>
      <c r="AT282" s="63">
        <v>53</v>
      </c>
      <c r="AU282" s="63">
        <v>78</v>
      </c>
      <c r="AV282" s="63">
        <v>72</v>
      </c>
      <c r="AW282" s="63">
        <v>98</v>
      </c>
      <c r="AX282" s="63">
        <v>74</v>
      </c>
      <c r="AY282" s="63">
        <v>63</v>
      </c>
      <c r="AZ282" s="63">
        <v>76</v>
      </c>
      <c r="BA282" s="63">
        <v>100</v>
      </c>
      <c r="BB282" s="63">
        <v>100</v>
      </c>
      <c r="BC282" s="63">
        <v>81</v>
      </c>
      <c r="BD282" s="63">
        <v>92</v>
      </c>
      <c r="BE282" s="63"/>
      <c r="BF282" s="63"/>
      <c r="BG282" s="63"/>
      <c r="BH282" s="63"/>
      <c r="BI282" s="63"/>
      <c r="BJ282" s="63"/>
      <c r="BK282" s="63"/>
      <c r="BL282" s="63"/>
      <c r="BM282" s="63"/>
      <c r="BN282" s="63"/>
      <c r="BO282" s="63"/>
      <c r="BP282" s="63"/>
      <c r="BQ282" s="63"/>
      <c r="BR282" s="63"/>
      <c r="BS282" s="63"/>
      <c r="BT282" s="63"/>
      <c r="BU282" s="63"/>
      <c r="BV282" s="63"/>
      <c r="BW282" s="63"/>
      <c r="BX282" s="63"/>
      <c r="BY282" s="63"/>
      <c r="BZ282" s="63"/>
      <c r="CA282" s="63"/>
      <c r="CB282" s="63"/>
      <c r="CC282" s="63"/>
      <c r="CD282" s="63"/>
      <c r="CE282" s="63"/>
      <c r="CF282" s="63"/>
      <c r="CG282" s="63"/>
      <c r="CH282" s="63"/>
      <c r="CI282" s="63"/>
      <c r="CJ282" s="63"/>
      <c r="CK282" s="63"/>
      <c r="CL282" s="63"/>
      <c r="CM282" s="63"/>
      <c r="CN282" s="63"/>
      <c r="CO282" s="63"/>
      <c r="CP282" s="63"/>
    </row>
    <row r="283" spans="1:94" s="63" customFormat="1">
      <c r="A283" s="113" t="s">
        <v>262</v>
      </c>
      <c r="B283" s="113" t="s">
        <v>407</v>
      </c>
      <c r="C283" s="114" t="s">
        <v>408</v>
      </c>
      <c r="D283" s="128" t="s">
        <v>87</v>
      </c>
      <c r="E283" s="127" t="s">
        <v>330</v>
      </c>
      <c r="F283" s="126"/>
      <c r="G283" s="126"/>
      <c r="H283" s="123">
        <v>518.57142857142856</v>
      </c>
      <c r="I283" s="125">
        <v>7.28</v>
      </c>
      <c r="J283" s="123">
        <v>3672</v>
      </c>
      <c r="K283" s="124">
        <v>0.1</v>
      </c>
      <c r="L283" s="123">
        <f t="shared" si="653"/>
        <v>3304.8</v>
      </c>
      <c r="M283" s="122">
        <f t="shared" si="587"/>
        <v>6.3728925619834715</v>
      </c>
      <c r="N283" s="118">
        <v>10.74</v>
      </c>
      <c r="O283" s="118">
        <v>9.6300000000000008</v>
      </c>
      <c r="P283" s="118">
        <v>12.11</v>
      </c>
      <c r="Q283" s="118">
        <v>9.2799999999999994</v>
      </c>
      <c r="R283" s="118">
        <v>12.37</v>
      </c>
      <c r="S283" s="153">
        <v>10.57</v>
      </c>
      <c r="T283" s="121">
        <f t="shared" si="649"/>
        <v>10.783333333333333</v>
      </c>
      <c r="U283" s="113"/>
      <c r="V283" s="115" t="s">
        <v>103</v>
      </c>
      <c r="W283" s="115"/>
      <c r="X283" s="120">
        <v>0.45</v>
      </c>
      <c r="Y283" s="120"/>
      <c r="Z283" s="118">
        <v>0.55000000000000004</v>
      </c>
      <c r="AA283" s="119">
        <v>45793</v>
      </c>
      <c r="AB283" s="117">
        <f t="shared" si="593"/>
        <v>89.466666666666669</v>
      </c>
      <c r="AC283" s="117">
        <f t="shared" si="650"/>
        <v>40.260000000000005</v>
      </c>
      <c r="AD283" s="117">
        <f t="shared" si="588"/>
        <v>66.525624000000008</v>
      </c>
      <c r="AE283" s="117">
        <f t="shared" si="651"/>
        <v>9.1381351648351661</v>
      </c>
      <c r="AF283" s="170">
        <f t="shared" si="652"/>
        <v>-0.1566911420477618</v>
      </c>
      <c r="AG283" s="265">
        <v>10.14</v>
      </c>
      <c r="AH283" s="265">
        <f t="shared" si="604"/>
        <v>0.43711741449175406</v>
      </c>
      <c r="AI283" s="115"/>
      <c r="AJ283" s="118">
        <f t="shared" ref="AJ283:AJ326" si="662">AD283-(AI283*I283)</f>
        <v>66.525624000000008</v>
      </c>
      <c r="AK283" s="116">
        <f t="shared" ref="AK283:AK326" si="663">AJ283/I283</f>
        <v>9.1381351648351661</v>
      </c>
      <c r="AL283" s="116"/>
      <c r="AM283" s="116">
        <f t="shared" ref="AM283:AM293" si="664">((AJ283*2000)/Z283)/J283</f>
        <v>65.88000000000001</v>
      </c>
      <c r="AN283" s="116"/>
      <c r="AO283" s="116"/>
      <c r="AP283" s="116"/>
      <c r="AQ283" s="113"/>
      <c r="AR283" s="115" t="s">
        <v>91</v>
      </c>
      <c r="AS283" s="113">
        <v>102</v>
      </c>
      <c r="AT283" s="113">
        <v>32</v>
      </c>
      <c r="AU283" s="113">
        <v>59</v>
      </c>
      <c r="AV283" s="113">
        <v>58</v>
      </c>
      <c r="AW283" s="113">
        <v>59</v>
      </c>
      <c r="AX283" s="113">
        <v>86</v>
      </c>
      <c r="AY283" s="113">
        <v>110</v>
      </c>
      <c r="AZ283" s="113">
        <v>79</v>
      </c>
      <c r="BA283" s="113">
        <v>122</v>
      </c>
      <c r="BB283" s="113">
        <v>93</v>
      </c>
      <c r="BC283" s="113">
        <v>90</v>
      </c>
      <c r="BD283" s="113">
        <v>81</v>
      </c>
      <c r="BE283" s="113">
        <v>81</v>
      </c>
      <c r="BF283" s="113">
        <v>144</v>
      </c>
      <c r="BG283" s="113">
        <v>146</v>
      </c>
      <c r="BH283" s="113"/>
      <c r="BI283" s="113"/>
      <c r="BJ283" s="113"/>
      <c r="BK283" s="113"/>
      <c r="BL283" s="113"/>
      <c r="BM283" s="113"/>
      <c r="BN283" s="113"/>
      <c r="BO283" s="113"/>
      <c r="BP283" s="113"/>
      <c r="BQ283" s="113"/>
      <c r="BR283" s="113"/>
      <c r="BS283" s="113"/>
      <c r="BT283" s="113"/>
      <c r="BU283" s="113"/>
      <c r="BV283" s="113"/>
      <c r="BW283" s="113"/>
      <c r="BX283" s="113"/>
      <c r="BY283" s="113"/>
      <c r="BZ283" s="113"/>
      <c r="CA283" s="113"/>
      <c r="CB283" s="113"/>
      <c r="CC283" s="113"/>
      <c r="CD283" s="113"/>
      <c r="CE283" s="113"/>
      <c r="CF283" s="113"/>
      <c r="CG283" s="113"/>
      <c r="CH283" s="113"/>
      <c r="CI283" s="113"/>
      <c r="CJ283" s="113"/>
      <c r="CK283" s="113"/>
      <c r="CL283" s="113"/>
      <c r="CM283" s="113"/>
      <c r="CN283" s="113"/>
      <c r="CO283" s="113"/>
      <c r="CP283" s="113"/>
    </row>
    <row r="284" spans="1:94" s="63" customFormat="1">
      <c r="A284" s="63" t="s">
        <v>262</v>
      </c>
      <c r="B284" s="63" t="s">
        <v>409</v>
      </c>
      <c r="C284" s="64" t="s">
        <v>410</v>
      </c>
      <c r="D284" s="65" t="s">
        <v>87</v>
      </c>
      <c r="E284" s="66" t="s">
        <v>119</v>
      </c>
      <c r="F284" s="68"/>
      <c r="G284" s="68"/>
      <c r="H284" s="69">
        <v>660</v>
      </c>
      <c r="I284" s="74">
        <v>9.5500000000000007</v>
      </c>
      <c r="J284" s="69">
        <v>6131</v>
      </c>
      <c r="K284" s="72">
        <v>0.3</v>
      </c>
      <c r="L284" s="69">
        <f t="shared" si="653"/>
        <v>4291.7</v>
      </c>
      <c r="M284" s="86">
        <f t="shared" si="587"/>
        <v>6.502575757575757</v>
      </c>
      <c r="N284" s="79">
        <v>5.79</v>
      </c>
      <c r="O284" s="79">
        <v>4.3899999999999997</v>
      </c>
      <c r="P284" s="79">
        <v>5.23</v>
      </c>
      <c r="Q284" s="79">
        <v>5.27</v>
      </c>
      <c r="R284" s="79">
        <v>4.5999999999999996</v>
      </c>
      <c r="S284" s="84">
        <v>3.78</v>
      </c>
      <c r="T284" s="85">
        <f t="shared" si="649"/>
        <v>4.8433333333333337</v>
      </c>
      <c r="U284" s="63" t="s">
        <v>786</v>
      </c>
      <c r="V284" s="77" t="s">
        <v>103</v>
      </c>
      <c r="W284" s="77"/>
      <c r="X284" s="78">
        <v>0.45</v>
      </c>
      <c r="Y284" s="78"/>
      <c r="Z284" s="79">
        <v>0.52</v>
      </c>
      <c r="AA284" s="80">
        <v>45770</v>
      </c>
      <c r="AB284" s="81">
        <f t="shared" si="593"/>
        <v>56.875</v>
      </c>
      <c r="AC284" s="81">
        <f t="shared" si="650"/>
        <v>25.59375</v>
      </c>
      <c r="AD284" s="81">
        <f t="shared" si="588"/>
        <v>54.920348437499996</v>
      </c>
      <c r="AE284" s="81">
        <f t="shared" si="651"/>
        <v>5.7508218259162298</v>
      </c>
      <c r="AF284" s="167">
        <f t="shared" si="652"/>
        <v>0.34270264069644268</v>
      </c>
      <c r="AG284" s="264">
        <v>4.45</v>
      </c>
      <c r="AH284" s="264">
        <f t="shared" si="604"/>
        <v>0.23709623709623709</v>
      </c>
      <c r="AI284" s="77"/>
      <c r="AJ284" s="79">
        <f t="shared" si="662"/>
        <v>54.920348437499996</v>
      </c>
      <c r="AK284" s="82">
        <f t="shared" si="663"/>
        <v>5.7508218259162298</v>
      </c>
      <c r="AL284" s="82"/>
      <c r="AM284" s="82">
        <f t="shared" si="664"/>
        <v>34.453124999999993</v>
      </c>
      <c r="AN284" s="82"/>
      <c r="AO284" s="82"/>
      <c r="AP284" s="82"/>
      <c r="AR284" s="77" t="s">
        <v>282</v>
      </c>
      <c r="AS284" s="63">
        <v>54</v>
      </c>
      <c r="AT284" s="63">
        <v>51</v>
      </c>
      <c r="AV284" s="63">
        <v>61</v>
      </c>
      <c r="AW284" s="63">
        <v>58</v>
      </c>
      <c r="AX284" s="63">
        <v>62</v>
      </c>
      <c r="AY284" s="63">
        <v>53</v>
      </c>
      <c r="AZ284" s="63">
        <v>59</v>
      </c>
      <c r="BA284" s="63">
        <v>57</v>
      </c>
    </row>
    <row r="285" spans="1:94" s="113" customFormat="1">
      <c r="A285" s="63" t="s">
        <v>262</v>
      </c>
      <c r="B285" s="63" t="s">
        <v>409</v>
      </c>
      <c r="C285" s="64" t="s">
        <v>410</v>
      </c>
      <c r="D285" s="65" t="s">
        <v>87</v>
      </c>
      <c r="E285" s="66" t="s">
        <v>119</v>
      </c>
      <c r="F285" s="68"/>
      <c r="G285" s="68"/>
      <c r="H285" s="69">
        <v>660</v>
      </c>
      <c r="I285" s="74">
        <v>9.5500000000000007</v>
      </c>
      <c r="J285" s="69">
        <v>6131</v>
      </c>
      <c r="K285" s="72">
        <v>0.3</v>
      </c>
      <c r="L285" s="69">
        <f t="shared" si="653"/>
        <v>4291.7</v>
      </c>
      <c r="M285" s="86">
        <f t="shared" si="587"/>
        <v>6.502575757575757</v>
      </c>
      <c r="N285" s="79">
        <v>5.79</v>
      </c>
      <c r="O285" s="79">
        <v>4.3899999999999997</v>
      </c>
      <c r="P285" s="79">
        <v>5.23</v>
      </c>
      <c r="Q285" s="79">
        <v>5.27</v>
      </c>
      <c r="R285" s="79">
        <v>4.5999999999999996</v>
      </c>
      <c r="S285" s="84">
        <v>3.78</v>
      </c>
      <c r="T285" s="85">
        <f t="shared" si="649"/>
        <v>4.8433333333333337</v>
      </c>
      <c r="U285" s="63" t="s">
        <v>786</v>
      </c>
      <c r="V285" s="77" t="s">
        <v>103</v>
      </c>
      <c r="W285" s="77"/>
      <c r="X285" s="78">
        <v>0.45</v>
      </c>
      <c r="Y285" s="78"/>
      <c r="Z285" s="79">
        <v>0.52</v>
      </c>
      <c r="AA285" s="80">
        <v>45796</v>
      </c>
      <c r="AB285" s="81">
        <f t="shared" si="593"/>
        <v>61.5</v>
      </c>
      <c r="AC285" s="81">
        <f t="shared" si="650"/>
        <v>27.675000000000001</v>
      </c>
      <c r="AD285" s="81">
        <f t="shared" si="588"/>
        <v>59.386398749999998</v>
      </c>
      <c r="AE285" s="81">
        <f t="shared" si="651"/>
        <v>6.2184710732984287</v>
      </c>
      <c r="AF285" s="167">
        <f t="shared" si="652"/>
        <v>0.39213353966845815</v>
      </c>
      <c r="AG285" s="264">
        <v>4.45</v>
      </c>
      <c r="AH285" s="264">
        <f t="shared" si="604"/>
        <v>0.21926582902192657</v>
      </c>
      <c r="AI285" s="77"/>
      <c r="AJ285" s="79">
        <f t="shared" si="662"/>
        <v>59.386398749999998</v>
      </c>
      <c r="AK285" s="82">
        <f t="shared" si="663"/>
        <v>6.2184710732984287</v>
      </c>
      <c r="AL285" s="82"/>
      <c r="AM285" s="82">
        <f t="shared" si="664"/>
        <v>37.254807692307693</v>
      </c>
      <c r="AN285" s="82"/>
      <c r="AO285" s="82"/>
      <c r="AP285" s="82"/>
      <c r="AQ285" s="63"/>
      <c r="AR285" s="77" t="s">
        <v>116</v>
      </c>
      <c r="AS285" s="63">
        <v>42</v>
      </c>
      <c r="AT285" s="63">
        <v>49</v>
      </c>
      <c r="AU285" s="63">
        <v>55</v>
      </c>
      <c r="AV285" s="63">
        <v>64</v>
      </c>
      <c r="AW285" s="63">
        <v>60</v>
      </c>
      <c r="AX285" s="63">
        <v>64</v>
      </c>
      <c r="AY285" s="63">
        <v>62</v>
      </c>
      <c r="AZ285" s="63">
        <v>69</v>
      </c>
      <c r="BA285" s="63">
        <v>72</v>
      </c>
      <c r="BB285" s="63">
        <v>73</v>
      </c>
      <c r="BC285" s="63">
        <v>67</v>
      </c>
      <c r="BD285" s="63">
        <v>68</v>
      </c>
      <c r="BE285" s="63">
        <v>58</v>
      </c>
      <c r="BF285" s="63">
        <v>69</v>
      </c>
      <c r="BG285" s="63">
        <v>60</v>
      </c>
      <c r="BH285" s="63">
        <v>58</v>
      </c>
      <c r="BI285" s="63">
        <v>68</v>
      </c>
      <c r="BJ285" s="63">
        <v>49</v>
      </c>
      <c r="BK285" s="63"/>
      <c r="BL285" s="63"/>
      <c r="BM285" s="63"/>
      <c r="BN285" s="63"/>
      <c r="BO285" s="63"/>
      <c r="BP285" s="63"/>
      <c r="BQ285" s="63"/>
      <c r="BR285" s="63"/>
      <c r="BS285" s="63"/>
      <c r="BT285" s="63"/>
      <c r="BU285" s="63"/>
      <c r="BV285" s="63"/>
      <c r="BW285" s="63"/>
      <c r="BX285" s="63"/>
      <c r="BY285" s="63"/>
      <c r="BZ285" s="63"/>
      <c r="CA285" s="63"/>
      <c r="CB285" s="63"/>
      <c r="CC285" s="63"/>
      <c r="CD285" s="63"/>
      <c r="CE285" s="63"/>
      <c r="CF285" s="63"/>
      <c r="CG285" s="63"/>
      <c r="CH285" s="63"/>
      <c r="CI285" s="63"/>
      <c r="CJ285" s="63"/>
      <c r="CK285" s="63"/>
      <c r="CL285" s="63"/>
      <c r="CM285" s="63"/>
      <c r="CN285" s="63"/>
      <c r="CO285" s="63"/>
      <c r="CP285" s="63"/>
    </row>
    <row r="286" spans="1:94" s="113" customFormat="1">
      <c r="A286" s="63" t="s">
        <v>262</v>
      </c>
      <c r="B286" s="63" t="s">
        <v>409</v>
      </c>
      <c r="C286" s="64" t="s">
        <v>410</v>
      </c>
      <c r="D286" s="65" t="s">
        <v>87</v>
      </c>
      <c r="E286" s="66" t="s">
        <v>119</v>
      </c>
      <c r="F286" s="68"/>
      <c r="G286" s="68"/>
      <c r="H286" s="69">
        <v>660</v>
      </c>
      <c r="I286" s="74">
        <v>9.5500000000000007</v>
      </c>
      <c r="J286" s="69">
        <v>6131</v>
      </c>
      <c r="K286" s="72">
        <v>0.3</v>
      </c>
      <c r="L286" s="69">
        <f t="shared" ref="L286" si="665">J286-(J286*K286)</f>
        <v>4291.7</v>
      </c>
      <c r="M286" s="86">
        <f t="shared" ref="M286" si="666">L286/H286</f>
        <v>6.502575757575757</v>
      </c>
      <c r="N286" s="79">
        <v>5.79</v>
      </c>
      <c r="O286" s="79">
        <v>4.3899999999999997</v>
      </c>
      <c r="P286" s="79">
        <v>5.23</v>
      </c>
      <c r="Q286" s="79">
        <v>5.27</v>
      </c>
      <c r="R286" s="79">
        <v>4.5999999999999996</v>
      </c>
      <c r="S286" s="84">
        <v>3.78</v>
      </c>
      <c r="T286" s="85">
        <f t="shared" ref="T286" si="667">AVERAGE(N286:S286)</f>
        <v>4.8433333333333337</v>
      </c>
      <c r="U286" s="63" t="s">
        <v>786</v>
      </c>
      <c r="V286" s="77" t="s">
        <v>103</v>
      </c>
      <c r="W286" s="77" t="s">
        <v>775</v>
      </c>
      <c r="X286" s="78">
        <v>0.45</v>
      </c>
      <c r="Y286" s="78"/>
      <c r="Z286" s="79">
        <v>0.52</v>
      </c>
      <c r="AA286" s="80">
        <v>45853</v>
      </c>
      <c r="AB286" s="81">
        <f t="shared" ref="AB286" si="668">IFERROR(AVERAGE(AS286:CP286),0)</f>
        <v>42.133333333333333</v>
      </c>
      <c r="AC286" s="81">
        <f t="shared" ref="AC286" si="669">AB286*X286</f>
        <v>18.96</v>
      </c>
      <c r="AD286" s="81">
        <f t="shared" ref="AD286" si="670">(AC286*L286)/2000</f>
        <v>40.685316</v>
      </c>
      <c r="AE286" s="81">
        <f t="shared" ref="AE286" si="671">IFERROR((AD286/I286),"")</f>
        <v>4.2602425130890049</v>
      </c>
      <c r="AF286" s="167">
        <f t="shared" ref="AF286" si="672">IFERROR(((AE286-S286)/AE286),"")</f>
        <v>0.11272656700024154</v>
      </c>
      <c r="AG286" s="264">
        <v>4.45</v>
      </c>
      <c r="AH286" s="264">
        <f t="shared" si="604"/>
        <v>0.32005178365937859</v>
      </c>
      <c r="AI286" s="77"/>
      <c r="AJ286" s="79">
        <f t="shared" ref="AJ286" si="673">AD286-(AI286*I286)</f>
        <v>40.685316</v>
      </c>
      <c r="AK286" s="82">
        <f t="shared" ref="AK286" si="674">AJ286/I286</f>
        <v>4.2602425130890049</v>
      </c>
      <c r="AL286" s="82"/>
      <c r="AM286" s="82">
        <f t="shared" ref="AM286" si="675">((AJ286*2000)/Z286)/J286</f>
        <v>25.523076923076921</v>
      </c>
      <c r="AN286" s="82"/>
      <c r="AO286" s="82"/>
      <c r="AP286" s="82"/>
      <c r="AQ286" s="63"/>
      <c r="AR286" s="77" t="s">
        <v>282</v>
      </c>
      <c r="AS286" s="63">
        <v>39</v>
      </c>
      <c r="AT286" s="63">
        <v>52</v>
      </c>
      <c r="AU286" s="63">
        <v>51</v>
      </c>
      <c r="AV286" s="63">
        <v>43</v>
      </c>
      <c r="AW286" s="63">
        <v>39</v>
      </c>
      <c r="AX286" s="63">
        <v>41</v>
      </c>
      <c r="AY286" s="63">
        <v>40</v>
      </c>
      <c r="AZ286" s="63">
        <v>41</v>
      </c>
      <c r="BA286" s="63">
        <v>39</v>
      </c>
      <c r="BB286" s="63">
        <v>44</v>
      </c>
      <c r="BC286" s="63">
        <v>45</v>
      </c>
      <c r="BD286" s="63">
        <v>39</v>
      </c>
      <c r="BE286" s="63">
        <v>37</v>
      </c>
      <c r="BF286" s="63">
        <v>44</v>
      </c>
      <c r="BG286" s="63">
        <v>38</v>
      </c>
      <c r="BH286" s="63"/>
      <c r="BI286" s="63"/>
      <c r="BJ286" s="63"/>
      <c r="BK286" s="63"/>
      <c r="BL286" s="63"/>
      <c r="BM286" s="63"/>
      <c r="BN286" s="63"/>
      <c r="BO286" s="63"/>
      <c r="BP286" s="63"/>
      <c r="BQ286" s="63"/>
      <c r="BR286" s="63"/>
      <c r="BS286" s="63"/>
      <c r="BT286" s="63"/>
      <c r="BU286" s="63"/>
      <c r="BV286" s="63"/>
      <c r="BW286" s="63"/>
      <c r="BX286" s="63"/>
      <c r="BY286" s="63"/>
      <c r="BZ286" s="63"/>
      <c r="CA286" s="63"/>
      <c r="CB286" s="63"/>
      <c r="CC286" s="63"/>
      <c r="CD286" s="63"/>
      <c r="CE286" s="63"/>
      <c r="CF286" s="63"/>
      <c r="CG286" s="63"/>
      <c r="CH286" s="63"/>
      <c r="CI286" s="63"/>
      <c r="CJ286" s="63"/>
      <c r="CK286" s="63"/>
      <c r="CL286" s="63"/>
      <c r="CM286" s="63"/>
      <c r="CN286" s="63"/>
      <c r="CO286" s="63"/>
      <c r="CP286" s="63"/>
    </row>
    <row r="287" spans="1:94" s="113" customFormat="1">
      <c r="A287" s="63" t="s">
        <v>262</v>
      </c>
      <c r="B287" s="63" t="s">
        <v>409</v>
      </c>
      <c r="C287" s="64" t="s">
        <v>410</v>
      </c>
      <c r="D287" s="65" t="s">
        <v>87</v>
      </c>
      <c r="E287" s="66" t="s">
        <v>119</v>
      </c>
      <c r="F287" s="68"/>
      <c r="G287" s="68"/>
      <c r="H287" s="69">
        <v>660</v>
      </c>
      <c r="I287" s="74">
        <v>9.5500000000000007</v>
      </c>
      <c r="J287" s="69">
        <v>6131</v>
      </c>
      <c r="K287" s="72">
        <v>0.3</v>
      </c>
      <c r="L287" s="69">
        <f>J287-(J287*K287)</f>
        <v>4291.7</v>
      </c>
      <c r="M287" s="86">
        <f>L287/H287</f>
        <v>6.502575757575757</v>
      </c>
      <c r="N287" s="79">
        <v>5.79</v>
      </c>
      <c r="O287" s="79">
        <v>4.3899999999999997</v>
      </c>
      <c r="P287" s="79">
        <v>5.23</v>
      </c>
      <c r="Q287" s="79">
        <v>5.27</v>
      </c>
      <c r="R287" s="79">
        <v>4.5999999999999996</v>
      </c>
      <c r="S287" s="84">
        <v>3.78</v>
      </c>
      <c r="T287" s="85">
        <f>AVERAGE(N287:S287)</f>
        <v>4.8433333333333337</v>
      </c>
      <c r="U287" s="63" t="s">
        <v>786</v>
      </c>
      <c r="V287" s="77" t="s">
        <v>103</v>
      </c>
      <c r="W287" s="77" t="s">
        <v>775</v>
      </c>
      <c r="X287" s="78">
        <v>0.45</v>
      </c>
      <c r="Y287" s="78"/>
      <c r="Z287" s="79">
        <v>0.52</v>
      </c>
      <c r="AA287" s="80">
        <v>45861</v>
      </c>
      <c r="AB287" s="81">
        <f>IFERROR(AVERAGE(AS287:CP287),0)</f>
        <v>43.65</v>
      </c>
      <c r="AC287" s="81">
        <f>AB287*X287</f>
        <v>19.642499999999998</v>
      </c>
      <c r="AD287" s="81">
        <f>(AC287*L287)/2000</f>
        <v>42.149858624999993</v>
      </c>
      <c r="AE287" s="81">
        <f>IFERROR((AD287/I287),"")</f>
        <v>4.4135977617801041</v>
      </c>
      <c r="AF287" s="167">
        <f>IFERROR(((AE287-S287)/AE287),"")</f>
        <v>0.14355584626827433</v>
      </c>
      <c r="AG287" s="264">
        <v>4.45</v>
      </c>
      <c r="AH287" s="264">
        <f t="shared" si="604"/>
        <v>0.30893123676628831</v>
      </c>
      <c r="AI287" s="77"/>
      <c r="AJ287" s="79">
        <f>AD287-(AI287*I287)</f>
        <v>42.149858624999993</v>
      </c>
      <c r="AK287" s="82">
        <f>AJ287/I287</f>
        <v>4.4135977617801041</v>
      </c>
      <c r="AL287" s="82"/>
      <c r="AM287" s="82">
        <f>((AJ287*2000)/Z287)/J287</f>
        <v>26.441826923076917</v>
      </c>
      <c r="AN287" s="82"/>
      <c r="AO287" s="82"/>
      <c r="AP287" s="82"/>
      <c r="AQ287" s="63"/>
      <c r="AR287" s="77" t="s">
        <v>282</v>
      </c>
      <c r="AS287" s="63">
        <v>43</v>
      </c>
      <c r="AT287" s="63">
        <v>41</v>
      </c>
      <c r="AU287" s="63">
        <v>49</v>
      </c>
      <c r="AV287" s="63">
        <v>42</v>
      </c>
      <c r="AW287" s="63">
        <v>41</v>
      </c>
      <c r="AX287" s="63">
        <v>46</v>
      </c>
      <c r="AY287" s="63">
        <v>40</v>
      </c>
      <c r="AZ287" s="63">
        <v>44</v>
      </c>
      <c r="BA287" s="63">
        <v>39</v>
      </c>
      <c r="BB287" s="63">
        <v>43</v>
      </c>
      <c r="BC287" s="63">
        <v>44</v>
      </c>
      <c r="BD287" s="63">
        <v>47</v>
      </c>
      <c r="BE287" s="63">
        <v>45</v>
      </c>
      <c r="BF287" s="63">
        <v>42</v>
      </c>
      <c r="BG287" s="63">
        <v>51</v>
      </c>
      <c r="BH287" s="63">
        <v>46</v>
      </c>
      <c r="BI287" s="63">
        <v>43</v>
      </c>
      <c r="BJ287" s="63">
        <v>44</v>
      </c>
      <c r="BK287" s="63">
        <v>41</v>
      </c>
      <c r="BL287" s="63">
        <v>42</v>
      </c>
      <c r="BM287" s="63"/>
      <c r="BN287" s="63"/>
      <c r="BO287" s="63"/>
      <c r="BP287" s="63"/>
      <c r="BQ287" s="63"/>
      <c r="BR287" s="63"/>
      <c r="BS287" s="63"/>
      <c r="BT287" s="63"/>
      <c r="BU287" s="63"/>
      <c r="BV287" s="63"/>
      <c r="BW287" s="63"/>
      <c r="BX287" s="63"/>
      <c r="BY287" s="63"/>
      <c r="BZ287" s="63"/>
      <c r="CA287" s="63"/>
      <c r="CB287" s="63"/>
      <c r="CC287" s="63"/>
      <c r="CD287" s="63"/>
      <c r="CE287" s="63"/>
      <c r="CF287" s="63"/>
      <c r="CG287" s="63"/>
      <c r="CH287" s="63"/>
      <c r="CI287" s="63"/>
      <c r="CJ287" s="63"/>
      <c r="CK287" s="63"/>
      <c r="CL287" s="63"/>
      <c r="CM287" s="63"/>
      <c r="CN287" s="63"/>
      <c r="CO287" s="63"/>
      <c r="CP287" s="63"/>
    </row>
    <row r="288" spans="1:94" s="113" customFormat="1">
      <c r="A288" s="113" t="s">
        <v>262</v>
      </c>
      <c r="B288" s="113" t="s">
        <v>411</v>
      </c>
      <c r="C288" s="114" t="s">
        <v>412</v>
      </c>
      <c r="D288" s="128" t="s">
        <v>87</v>
      </c>
      <c r="E288" s="127" t="s">
        <v>160</v>
      </c>
      <c r="F288" s="126">
        <v>4</v>
      </c>
      <c r="G288" s="126" t="s">
        <v>273</v>
      </c>
      <c r="H288" s="123">
        <v>691.42857142857144</v>
      </c>
      <c r="I288" s="125">
        <v>9.75</v>
      </c>
      <c r="J288" s="123">
        <v>6586</v>
      </c>
      <c r="K288" s="124"/>
      <c r="L288" s="123">
        <f t="shared" si="653"/>
        <v>6586</v>
      </c>
      <c r="M288" s="122">
        <f t="shared" si="587"/>
        <v>9.5252066115702476</v>
      </c>
      <c r="N288" s="118">
        <v>11.02</v>
      </c>
      <c r="O288" s="118">
        <v>7.95</v>
      </c>
      <c r="P288" s="118">
        <v>8.9499999999999993</v>
      </c>
      <c r="Q288" s="118">
        <v>7.78</v>
      </c>
      <c r="R288" s="118">
        <v>10.99</v>
      </c>
      <c r="S288" s="153">
        <v>9.4600000000000009</v>
      </c>
      <c r="T288" s="121">
        <f t="shared" si="649"/>
        <v>9.3583333333333325</v>
      </c>
      <c r="V288" s="115"/>
      <c r="W288" s="115"/>
      <c r="X288" s="120">
        <v>0.41</v>
      </c>
      <c r="Y288" s="120"/>
      <c r="Z288" s="118">
        <v>0.4</v>
      </c>
      <c r="AA288" s="119">
        <v>45761</v>
      </c>
      <c r="AB288" s="117">
        <f t="shared" si="593"/>
        <v>51.666666666666664</v>
      </c>
      <c r="AC288" s="117">
        <f t="shared" si="650"/>
        <v>21.18333333333333</v>
      </c>
      <c r="AD288" s="117">
        <f t="shared" si="588"/>
        <v>69.756716666666662</v>
      </c>
      <c r="AE288" s="117">
        <f t="shared" si="651"/>
        <v>7.1545350427350423</v>
      </c>
      <c r="AF288" s="170">
        <f t="shared" si="652"/>
        <v>-0.32223826475013301</v>
      </c>
      <c r="AG288" s="265">
        <v>9.26</v>
      </c>
      <c r="AH288" s="265">
        <f t="shared" si="604"/>
        <v>0.51842175419888026</v>
      </c>
      <c r="AI288" s="115"/>
      <c r="AJ288" s="118">
        <f t="shared" si="662"/>
        <v>69.756716666666662</v>
      </c>
      <c r="AK288" s="116">
        <f t="shared" si="663"/>
        <v>7.1545350427350423</v>
      </c>
      <c r="AL288" s="116"/>
      <c r="AM288" s="116">
        <f t="shared" si="664"/>
        <v>52.958333333333321</v>
      </c>
      <c r="AN288" s="116"/>
      <c r="AO288" s="116"/>
      <c r="AP288" s="116"/>
      <c r="AR288" s="115" t="s">
        <v>282</v>
      </c>
      <c r="AS288" s="113">
        <v>48</v>
      </c>
      <c r="AT288" s="113">
        <v>51</v>
      </c>
      <c r="AU288" s="113">
        <v>56</v>
      </c>
    </row>
    <row r="289" spans="1:94" s="63" customFormat="1" ht="13.9" customHeight="1">
      <c r="A289" s="113" t="s">
        <v>262</v>
      </c>
      <c r="B289" s="113" t="s">
        <v>411</v>
      </c>
      <c r="C289" s="114" t="s">
        <v>412</v>
      </c>
      <c r="D289" s="128" t="s">
        <v>87</v>
      </c>
      <c r="E289" s="127" t="s">
        <v>160</v>
      </c>
      <c r="F289" s="126">
        <v>4</v>
      </c>
      <c r="G289" s="126" t="s">
        <v>273</v>
      </c>
      <c r="H289" s="123">
        <v>691.42857142857144</v>
      </c>
      <c r="I289" s="125">
        <v>9.75</v>
      </c>
      <c r="J289" s="123">
        <v>6586</v>
      </c>
      <c r="K289" s="124"/>
      <c r="L289" s="123">
        <f t="shared" si="653"/>
        <v>6586</v>
      </c>
      <c r="M289" s="122">
        <f t="shared" si="587"/>
        <v>9.5252066115702476</v>
      </c>
      <c r="N289" s="118">
        <v>11.02</v>
      </c>
      <c r="O289" s="118">
        <v>7.95</v>
      </c>
      <c r="P289" s="118">
        <v>8.9499999999999993</v>
      </c>
      <c r="Q289" s="118">
        <v>7.78</v>
      </c>
      <c r="R289" s="118">
        <v>10.99</v>
      </c>
      <c r="S289" s="153">
        <v>9.4600000000000009</v>
      </c>
      <c r="T289" s="121">
        <f t="shared" si="649"/>
        <v>9.3583333333333325</v>
      </c>
      <c r="U289" s="113"/>
      <c r="V289" s="115"/>
      <c r="W289" s="115"/>
      <c r="X289" s="120">
        <v>0.41</v>
      </c>
      <c r="Y289" s="120"/>
      <c r="Z289" s="118">
        <v>0.4</v>
      </c>
      <c r="AA289" s="119">
        <v>45793</v>
      </c>
      <c r="AB289" s="117">
        <f t="shared" si="593"/>
        <v>59.125</v>
      </c>
      <c r="AC289" s="117">
        <f t="shared" si="650"/>
        <v>24.241249999999997</v>
      </c>
      <c r="AD289" s="117">
        <f t="shared" si="588"/>
        <v>79.826436249999986</v>
      </c>
      <c r="AE289" s="117">
        <f t="shared" si="651"/>
        <v>8.1873267948717938</v>
      </c>
      <c r="AF289" s="170">
        <f t="shared" si="652"/>
        <v>-0.15544429054979916</v>
      </c>
      <c r="AG289" s="265">
        <v>9.26</v>
      </c>
      <c r="AH289" s="265">
        <f t="shared" si="604"/>
        <v>0.45302535250642106</v>
      </c>
      <c r="AI289" s="115"/>
      <c r="AJ289" s="118">
        <f t="shared" si="662"/>
        <v>79.826436249999986</v>
      </c>
      <c r="AK289" s="116">
        <f t="shared" si="663"/>
        <v>8.1873267948717938</v>
      </c>
      <c r="AL289" s="116"/>
      <c r="AM289" s="116">
        <f t="shared" si="664"/>
        <v>60.603124999999984</v>
      </c>
      <c r="AN289" s="116"/>
      <c r="AO289" s="116"/>
      <c r="AP289" s="116"/>
      <c r="AQ289" s="113"/>
      <c r="AR289" s="115" t="s">
        <v>91</v>
      </c>
      <c r="AS289" s="113">
        <v>64</v>
      </c>
      <c r="AT289" s="113">
        <v>55</v>
      </c>
      <c r="AU289" s="113">
        <v>52</v>
      </c>
      <c r="AV289" s="113">
        <v>56</v>
      </c>
      <c r="AW289" s="113">
        <v>46</v>
      </c>
      <c r="AX289" s="113">
        <v>54</v>
      </c>
      <c r="AY289" s="113">
        <v>68</v>
      </c>
      <c r="AZ289" s="113">
        <v>81</v>
      </c>
      <c r="BA289" s="113">
        <v>61</v>
      </c>
      <c r="BB289" s="113">
        <v>51</v>
      </c>
      <c r="BC289" s="113">
        <v>76</v>
      </c>
      <c r="BD289" s="113">
        <v>55</v>
      </c>
      <c r="BE289" s="113">
        <v>37</v>
      </c>
      <c r="BF289" s="113">
        <v>74</v>
      </c>
      <c r="BG289" s="113">
        <v>62</v>
      </c>
      <c r="BH289" s="113">
        <v>54</v>
      </c>
      <c r="BI289" s="113"/>
      <c r="BJ289" s="113"/>
      <c r="BK289" s="113"/>
      <c r="BL289" s="113"/>
      <c r="BM289" s="113"/>
      <c r="BN289" s="113"/>
      <c r="BO289" s="113"/>
      <c r="BP289" s="113"/>
      <c r="BQ289" s="113"/>
      <c r="BR289" s="113"/>
      <c r="BS289" s="113"/>
      <c r="BT289" s="113"/>
      <c r="BU289" s="113"/>
      <c r="BV289" s="113"/>
      <c r="BW289" s="113"/>
      <c r="BX289" s="113"/>
      <c r="BY289" s="113"/>
      <c r="BZ289" s="113"/>
      <c r="CA289" s="113"/>
      <c r="CB289" s="113"/>
      <c r="CC289" s="113"/>
      <c r="CD289" s="113"/>
      <c r="CE289" s="113"/>
      <c r="CF289" s="113"/>
      <c r="CG289" s="113"/>
      <c r="CH289" s="113"/>
      <c r="CI289" s="113"/>
      <c r="CJ289" s="113"/>
      <c r="CK289" s="113"/>
      <c r="CL289" s="113"/>
      <c r="CM289" s="113"/>
      <c r="CN289" s="113"/>
      <c r="CO289" s="113"/>
      <c r="CP289" s="113"/>
    </row>
    <row r="290" spans="1:94" s="63" customFormat="1" ht="13.9" customHeight="1">
      <c r="A290" s="113" t="s">
        <v>262</v>
      </c>
      <c r="B290" s="113" t="s">
        <v>411</v>
      </c>
      <c r="C290" s="114" t="s">
        <v>412</v>
      </c>
      <c r="D290" s="128" t="s">
        <v>87</v>
      </c>
      <c r="E290" s="127" t="s">
        <v>160</v>
      </c>
      <c r="F290" s="126">
        <v>4</v>
      </c>
      <c r="G290" s="126" t="s">
        <v>273</v>
      </c>
      <c r="H290" s="123">
        <v>691.42857142857144</v>
      </c>
      <c r="I290" s="125">
        <v>9.75</v>
      </c>
      <c r="J290" s="123">
        <v>6586</v>
      </c>
      <c r="K290" s="124"/>
      <c r="L290" s="123">
        <f t="shared" ref="L290" si="676">J290-(J290*K290)</f>
        <v>6586</v>
      </c>
      <c r="M290" s="122">
        <f t="shared" ref="M290" si="677">L290/H290</f>
        <v>9.5252066115702476</v>
      </c>
      <c r="N290" s="118">
        <v>11.02</v>
      </c>
      <c r="O290" s="118">
        <v>7.95</v>
      </c>
      <c r="P290" s="118">
        <v>8.9499999999999993</v>
      </c>
      <c r="Q290" s="118">
        <v>7.78</v>
      </c>
      <c r="R290" s="118">
        <v>10.99</v>
      </c>
      <c r="S290" s="153">
        <v>9.4600000000000009</v>
      </c>
      <c r="T290" s="121">
        <f t="shared" ref="T290" si="678">AVERAGE(N290:S290)</f>
        <v>9.3583333333333325</v>
      </c>
      <c r="U290" s="113"/>
      <c r="V290" s="115"/>
      <c r="W290" s="115"/>
      <c r="X290" s="120">
        <v>0.41</v>
      </c>
      <c r="Y290" s="120"/>
      <c r="Z290" s="118">
        <v>0.4</v>
      </c>
      <c r="AA290" s="119">
        <v>45859</v>
      </c>
      <c r="AB290" s="117">
        <f t="shared" ref="AB290" si="679">IFERROR(AVERAGE(AS290:CP290),0)</f>
        <v>69.916666666666671</v>
      </c>
      <c r="AC290" s="117">
        <f t="shared" ref="AC290" si="680">AB290*X290</f>
        <v>28.665833333333335</v>
      </c>
      <c r="AD290" s="117">
        <f t="shared" ref="AD290" si="681">(AC290*L290)/2000</f>
        <v>94.396589166666672</v>
      </c>
      <c r="AE290" s="117">
        <f t="shared" ref="AE290" si="682">IFERROR((AD290/I290),"")</f>
        <v>9.6817014529914527</v>
      </c>
      <c r="AF290" s="170">
        <f t="shared" ref="AF290" si="683">IFERROR(((AE290-S290)/AE290),"")</f>
        <v>2.2899017705503663E-2</v>
      </c>
      <c r="AG290" s="265">
        <v>9.26</v>
      </c>
      <c r="AH290" s="265">
        <f t="shared" si="604"/>
        <v>0.38310070036150862</v>
      </c>
      <c r="AI290" s="115"/>
      <c r="AJ290" s="118">
        <f t="shared" ref="AJ290" si="684">AD290-(AI290*I290)</f>
        <v>94.396589166666672</v>
      </c>
      <c r="AK290" s="116">
        <f t="shared" ref="AK290" si="685">AJ290/I290</f>
        <v>9.6817014529914527</v>
      </c>
      <c r="AL290" s="116"/>
      <c r="AM290" s="116">
        <f t="shared" ref="AM290" si="686">((AJ290*2000)/Z290)/J290</f>
        <v>71.66458333333334</v>
      </c>
      <c r="AN290" s="116"/>
      <c r="AO290" s="116"/>
      <c r="AP290" s="116"/>
      <c r="AQ290" s="113"/>
      <c r="AR290" s="115" t="s">
        <v>91</v>
      </c>
      <c r="AS290" s="113">
        <v>77</v>
      </c>
      <c r="AT290" s="113">
        <v>76</v>
      </c>
      <c r="AU290" s="113">
        <v>76</v>
      </c>
      <c r="AV290" s="113">
        <v>90</v>
      </c>
      <c r="AW290" s="113">
        <v>46</v>
      </c>
      <c r="AX290" s="113">
        <v>45</v>
      </c>
      <c r="AY290" s="113">
        <v>62</v>
      </c>
      <c r="AZ290" s="113">
        <v>73</v>
      </c>
      <c r="BA290" s="113">
        <v>84</v>
      </c>
      <c r="BB290" s="113">
        <v>72</v>
      </c>
      <c r="BC290" s="113">
        <v>75</v>
      </c>
      <c r="BD290" s="113">
        <v>63</v>
      </c>
      <c r="BE290" s="113"/>
      <c r="BF290" s="113"/>
      <c r="BG290" s="113"/>
      <c r="BH290" s="113"/>
      <c r="BI290" s="113"/>
      <c r="BJ290" s="113"/>
      <c r="BK290" s="113"/>
      <c r="BL290" s="113"/>
      <c r="BM290" s="113"/>
      <c r="BN290" s="113"/>
      <c r="BO290" s="113"/>
      <c r="BP290" s="113"/>
      <c r="BQ290" s="113"/>
      <c r="BR290" s="113"/>
      <c r="BS290" s="113"/>
      <c r="BT290" s="113"/>
      <c r="BU290" s="113"/>
      <c r="BV290" s="113"/>
      <c r="BW290" s="113"/>
      <c r="BX290" s="113"/>
      <c r="BY290" s="113"/>
      <c r="BZ290" s="113"/>
      <c r="CA290" s="113"/>
      <c r="CB290" s="113"/>
      <c r="CC290" s="113"/>
      <c r="CD290" s="113"/>
      <c r="CE290" s="113"/>
      <c r="CF290" s="113"/>
      <c r="CG290" s="113"/>
      <c r="CH290" s="113"/>
      <c r="CI290" s="113"/>
      <c r="CJ290" s="113"/>
      <c r="CK290" s="113"/>
      <c r="CL290" s="113"/>
      <c r="CM290" s="113"/>
      <c r="CN290" s="113"/>
      <c r="CO290" s="113"/>
      <c r="CP290" s="113"/>
    </row>
    <row r="291" spans="1:94" s="113" customFormat="1" ht="13.9" customHeight="1">
      <c r="A291" s="63" t="s">
        <v>262</v>
      </c>
      <c r="B291" s="63" t="s">
        <v>414</v>
      </c>
      <c r="C291" s="64" t="s">
        <v>415</v>
      </c>
      <c r="D291" s="65" t="s">
        <v>87</v>
      </c>
      <c r="E291" s="66" t="s">
        <v>330</v>
      </c>
      <c r="F291" s="68"/>
      <c r="G291" s="68"/>
      <c r="H291" s="69">
        <v>519</v>
      </c>
      <c r="I291" s="74">
        <v>3.85</v>
      </c>
      <c r="J291" s="92">
        <v>2061</v>
      </c>
      <c r="K291" s="93">
        <v>0.15</v>
      </c>
      <c r="L291" s="92">
        <f t="shared" si="653"/>
        <v>1751.85</v>
      </c>
      <c r="M291" s="94">
        <f t="shared" si="587"/>
        <v>3.3754335260115607</v>
      </c>
      <c r="N291" s="79"/>
      <c r="O291" s="79"/>
      <c r="P291" s="79"/>
      <c r="Q291" s="79"/>
      <c r="R291" s="79">
        <v>5.89</v>
      </c>
      <c r="S291" s="84">
        <v>12.69</v>
      </c>
      <c r="T291" s="85">
        <f>AVERAGE(N291:R291)</f>
        <v>5.89</v>
      </c>
      <c r="U291" s="63"/>
      <c r="V291" s="77"/>
      <c r="W291" s="77"/>
      <c r="X291" s="78">
        <v>0.4</v>
      </c>
      <c r="Y291" s="78"/>
      <c r="Z291" s="79">
        <v>0.55000000000000004</v>
      </c>
      <c r="AA291" s="80"/>
      <c r="AB291" s="81">
        <f t="shared" si="593"/>
        <v>0</v>
      </c>
      <c r="AC291" s="81">
        <f t="shared" si="650"/>
        <v>0</v>
      </c>
      <c r="AD291" s="81">
        <f t="shared" si="588"/>
        <v>0</v>
      </c>
      <c r="AE291" s="81">
        <f t="shared" si="651"/>
        <v>0</v>
      </c>
      <c r="AF291" s="167" t="str">
        <f t="shared" si="652"/>
        <v/>
      </c>
      <c r="AG291" s="264"/>
      <c r="AH291" s="264" t="e">
        <f t="shared" si="604"/>
        <v>#DIV/0!</v>
      </c>
      <c r="AI291" s="77"/>
      <c r="AJ291" s="79">
        <f t="shared" si="662"/>
        <v>0</v>
      </c>
      <c r="AK291" s="82">
        <f t="shared" si="663"/>
        <v>0</v>
      </c>
      <c r="AL291" s="82"/>
      <c r="AM291" s="82">
        <f t="shared" si="664"/>
        <v>0</v>
      </c>
      <c r="AN291" s="82"/>
      <c r="AO291" s="82"/>
      <c r="AP291" s="82"/>
      <c r="AQ291" s="63"/>
      <c r="AR291" s="77"/>
      <c r="AS291" s="63"/>
      <c r="AT291" s="63"/>
      <c r="AU291" s="63"/>
      <c r="AV291" s="63"/>
      <c r="AW291" s="63"/>
      <c r="AX291" s="63"/>
      <c r="AY291" s="63"/>
      <c r="AZ291" s="63"/>
      <c r="BA291" s="63"/>
      <c r="BB291" s="63"/>
      <c r="BC291" s="63"/>
      <c r="BD291" s="63"/>
      <c r="BE291" s="63"/>
      <c r="BF291" s="63"/>
      <c r="BG291" s="63"/>
      <c r="BH291" s="63"/>
      <c r="BI291" s="63"/>
      <c r="BJ291" s="63"/>
      <c r="BK291" s="63"/>
      <c r="BL291" s="63"/>
      <c r="BM291" s="63"/>
      <c r="BN291" s="63"/>
      <c r="BO291" s="63"/>
      <c r="BP291" s="63"/>
      <c r="BQ291" s="63"/>
      <c r="BR291" s="63"/>
      <c r="BS291" s="63"/>
      <c r="BT291" s="63"/>
      <c r="BU291" s="63"/>
      <c r="BV291" s="63"/>
      <c r="BW291" s="63"/>
      <c r="BX291" s="63"/>
      <c r="BY291" s="63"/>
      <c r="BZ291" s="63"/>
      <c r="CA291" s="63"/>
      <c r="CB291" s="63"/>
      <c r="CC291" s="63"/>
      <c r="CD291" s="63"/>
      <c r="CE291" s="63"/>
      <c r="CF291" s="63"/>
      <c r="CG291" s="63"/>
      <c r="CH291" s="63"/>
      <c r="CI291" s="63"/>
      <c r="CJ291" s="63"/>
      <c r="CK291" s="63"/>
      <c r="CL291" s="63"/>
      <c r="CM291" s="63"/>
      <c r="CN291" s="63"/>
      <c r="CO291" s="63"/>
      <c r="CP291" s="63"/>
    </row>
    <row r="292" spans="1:94" s="63" customFormat="1">
      <c r="A292" s="113" t="s">
        <v>262</v>
      </c>
      <c r="B292" s="113" t="s">
        <v>787</v>
      </c>
      <c r="C292" s="114" t="s">
        <v>788</v>
      </c>
      <c r="D292" s="128" t="s">
        <v>87</v>
      </c>
      <c r="E292" s="127" t="s">
        <v>148</v>
      </c>
      <c r="F292" s="126">
        <v>4</v>
      </c>
      <c r="G292" s="126"/>
      <c r="H292" s="123">
        <v>518.57142857142856</v>
      </c>
      <c r="I292" s="125">
        <v>10.58</v>
      </c>
      <c r="J292" s="123">
        <v>5292</v>
      </c>
      <c r="K292" s="124">
        <v>0.3</v>
      </c>
      <c r="L292" s="123">
        <f t="shared" si="653"/>
        <v>3704.4</v>
      </c>
      <c r="M292" s="122">
        <f t="shared" si="587"/>
        <v>7.1434710743801659</v>
      </c>
      <c r="N292" s="118">
        <v>5.08</v>
      </c>
      <c r="O292" s="118">
        <v>4.32</v>
      </c>
      <c r="P292" s="118">
        <v>5.0999999999999996</v>
      </c>
      <c r="Q292" s="118">
        <v>3.68</v>
      </c>
      <c r="R292" s="118">
        <v>6.48</v>
      </c>
      <c r="S292" s="153">
        <v>2.93</v>
      </c>
      <c r="T292" s="121">
        <f>AVERAGE(N292:S292)</f>
        <v>4.5983333333333336</v>
      </c>
      <c r="U292" s="113"/>
      <c r="V292" s="115" t="s">
        <v>103</v>
      </c>
      <c r="W292" s="115"/>
      <c r="X292" s="120">
        <v>0.26</v>
      </c>
      <c r="Y292" s="120"/>
      <c r="Z292" s="118">
        <v>0.35</v>
      </c>
      <c r="AA292" s="119">
        <v>45796</v>
      </c>
      <c r="AB292" s="117">
        <f t="shared" si="593"/>
        <v>77.857142857142861</v>
      </c>
      <c r="AC292" s="117">
        <f t="shared" si="650"/>
        <v>20.242857142857144</v>
      </c>
      <c r="AD292" s="117">
        <f t="shared" si="588"/>
        <v>37.493819999999999</v>
      </c>
      <c r="AE292" s="117">
        <f t="shared" si="651"/>
        <v>3.5438393194706994</v>
      </c>
      <c r="AF292" s="170">
        <f t="shared" si="652"/>
        <v>0.17321307884872755</v>
      </c>
      <c r="AG292" s="265"/>
      <c r="AH292" s="265">
        <f t="shared" si="604"/>
        <v>0</v>
      </c>
      <c r="AI292" s="115"/>
      <c r="AJ292" s="118">
        <f t="shared" si="662"/>
        <v>37.493819999999999</v>
      </c>
      <c r="AK292" s="116">
        <f t="shared" si="663"/>
        <v>3.5438393194706994</v>
      </c>
      <c r="AL292" s="116"/>
      <c r="AM292" s="116">
        <f t="shared" si="664"/>
        <v>40.485714285714288</v>
      </c>
      <c r="AN292" s="116"/>
      <c r="AO292" s="116"/>
      <c r="AP292" s="116"/>
      <c r="AQ292" s="113"/>
      <c r="AR292" s="115" t="s">
        <v>116</v>
      </c>
      <c r="AS292" s="113">
        <v>93</v>
      </c>
      <c r="AT292" s="113">
        <v>84</v>
      </c>
      <c r="AU292" s="113">
        <v>80</v>
      </c>
      <c r="AV292" s="113">
        <v>79</v>
      </c>
      <c r="AW292" s="113">
        <v>83</v>
      </c>
      <c r="AX292" s="113">
        <v>69</v>
      </c>
      <c r="AY292" s="113">
        <v>27</v>
      </c>
      <c r="AZ292" s="113">
        <v>73</v>
      </c>
      <c r="BA292" s="113">
        <v>86</v>
      </c>
      <c r="BB292" s="113">
        <v>70</v>
      </c>
      <c r="BC292" s="113">
        <v>85</v>
      </c>
      <c r="BD292" s="113">
        <v>93</v>
      </c>
      <c r="BE292" s="113">
        <v>83</v>
      </c>
      <c r="BF292" s="113">
        <v>85</v>
      </c>
      <c r="BG292" s="113"/>
      <c r="BH292" s="113"/>
      <c r="BI292" s="113"/>
      <c r="BJ292" s="113"/>
      <c r="BK292" s="113"/>
      <c r="BL292" s="113"/>
      <c r="BM292" s="113"/>
      <c r="BN292" s="113"/>
      <c r="BO292" s="113"/>
      <c r="BP292" s="113"/>
      <c r="BQ292" s="113"/>
      <c r="BR292" s="113"/>
      <c r="BS292" s="113"/>
      <c r="BT292" s="113"/>
      <c r="BU292" s="113"/>
      <c r="BV292" s="113"/>
      <c r="BW292" s="113"/>
      <c r="BX292" s="113"/>
      <c r="BY292" s="113"/>
      <c r="BZ292" s="113"/>
      <c r="CA292" s="113"/>
      <c r="CB292" s="113"/>
      <c r="CC292" s="113"/>
      <c r="CD292" s="113"/>
      <c r="CE292" s="113"/>
      <c r="CF292" s="113"/>
      <c r="CG292" s="113"/>
      <c r="CH292" s="113"/>
      <c r="CI292" s="113"/>
      <c r="CJ292" s="113"/>
      <c r="CK292" s="113"/>
      <c r="CL292" s="113"/>
      <c r="CM292" s="113"/>
      <c r="CN292" s="113"/>
      <c r="CO292" s="113"/>
      <c r="CP292" s="113"/>
    </row>
    <row r="293" spans="1:94" s="113" customFormat="1">
      <c r="A293" s="63" t="s">
        <v>262</v>
      </c>
      <c r="B293" s="63" t="s">
        <v>789</v>
      </c>
      <c r="C293" s="64" t="s">
        <v>790</v>
      </c>
      <c r="D293" s="65" t="s">
        <v>87</v>
      </c>
      <c r="E293" s="66" t="s">
        <v>148</v>
      </c>
      <c r="F293" s="68"/>
      <c r="G293" s="68"/>
      <c r="H293" s="69">
        <v>660</v>
      </c>
      <c r="I293" s="74">
        <v>3.91</v>
      </c>
      <c r="J293" s="69">
        <v>2513</v>
      </c>
      <c r="K293" s="72">
        <v>0.3</v>
      </c>
      <c r="L293" s="69">
        <f t="shared" si="653"/>
        <v>1759.1</v>
      </c>
      <c r="M293" s="86">
        <f t="shared" si="587"/>
        <v>2.6653030303030301</v>
      </c>
      <c r="N293" s="79">
        <v>9.33</v>
      </c>
      <c r="O293" s="79">
        <v>7.53</v>
      </c>
      <c r="P293" s="79">
        <v>3.78</v>
      </c>
      <c r="Q293" s="79">
        <v>3.67</v>
      </c>
      <c r="R293" s="79">
        <v>4.91</v>
      </c>
      <c r="S293" s="84">
        <v>4.37</v>
      </c>
      <c r="T293" s="85">
        <f>AVERAGE(N293:S293)</f>
        <v>5.5983333333333336</v>
      </c>
      <c r="U293" s="63"/>
      <c r="V293" s="77"/>
      <c r="W293" s="77"/>
      <c r="X293" s="78"/>
      <c r="Y293" s="78"/>
      <c r="Z293" s="79">
        <v>0.35</v>
      </c>
      <c r="AA293" s="80"/>
      <c r="AB293" s="81">
        <f t="shared" si="593"/>
        <v>0</v>
      </c>
      <c r="AC293" s="81"/>
      <c r="AD293" s="81">
        <f t="shared" si="588"/>
        <v>0</v>
      </c>
      <c r="AE293" s="81"/>
      <c r="AF293" s="167"/>
      <c r="AG293" s="264"/>
      <c r="AH293" s="264" t="e">
        <f t="shared" si="604"/>
        <v>#DIV/0!</v>
      </c>
      <c r="AI293" s="77"/>
      <c r="AJ293" s="79">
        <f t="shared" si="662"/>
        <v>0</v>
      </c>
      <c r="AK293" s="82">
        <f t="shared" si="663"/>
        <v>0</v>
      </c>
      <c r="AL293" s="82"/>
      <c r="AM293" s="82">
        <f t="shared" si="664"/>
        <v>0</v>
      </c>
      <c r="AN293" s="82"/>
      <c r="AO293" s="82"/>
      <c r="AP293" s="82"/>
      <c r="AQ293" s="63"/>
      <c r="AR293" s="77"/>
      <c r="AS293" s="63"/>
      <c r="AT293" s="63"/>
      <c r="AU293" s="63"/>
      <c r="AV293" s="63"/>
      <c r="AW293" s="63"/>
      <c r="AX293" s="63"/>
      <c r="AY293" s="63"/>
      <c r="AZ293" s="63"/>
      <c r="BA293" s="63"/>
      <c r="BB293" s="63"/>
      <c r="BC293" s="63"/>
      <c r="BD293" s="63"/>
      <c r="BE293" s="63"/>
      <c r="BF293" s="63"/>
      <c r="BG293" s="63"/>
      <c r="BH293" s="63"/>
      <c r="BI293" s="63"/>
      <c r="BJ293" s="63"/>
      <c r="BK293" s="63"/>
      <c r="BL293" s="63"/>
      <c r="BM293" s="63"/>
      <c r="BN293" s="63"/>
      <c r="BO293" s="63"/>
      <c r="BP293" s="63"/>
      <c r="BQ293" s="63"/>
      <c r="BR293" s="63"/>
      <c r="BS293" s="63"/>
      <c r="BT293" s="63"/>
      <c r="BU293" s="63"/>
      <c r="BV293" s="63"/>
      <c r="BW293" s="63"/>
      <c r="BX293" s="63"/>
      <c r="BY293" s="63"/>
      <c r="BZ293" s="63"/>
      <c r="CA293" s="63"/>
      <c r="CB293" s="63"/>
      <c r="CC293" s="63"/>
      <c r="CD293" s="63"/>
      <c r="CE293" s="63"/>
      <c r="CF293" s="63"/>
      <c r="CG293" s="63"/>
      <c r="CH293" s="63"/>
      <c r="CI293" s="63"/>
      <c r="CJ293" s="63"/>
      <c r="CK293" s="63"/>
      <c r="CL293" s="63"/>
      <c r="CM293" s="63"/>
      <c r="CN293" s="63"/>
      <c r="CO293" s="63"/>
      <c r="CP293" s="63"/>
    </row>
    <row r="294" spans="1:94" s="113" customFormat="1">
      <c r="A294" s="113" t="s">
        <v>262</v>
      </c>
      <c r="B294" s="113" t="s">
        <v>416</v>
      </c>
      <c r="C294" s="114" t="s">
        <v>417</v>
      </c>
      <c r="D294" s="128" t="s">
        <v>87</v>
      </c>
      <c r="E294" s="127" t="s">
        <v>99</v>
      </c>
      <c r="F294" s="126"/>
      <c r="G294" s="126"/>
      <c r="H294" s="123">
        <v>660</v>
      </c>
      <c r="I294" s="125">
        <f t="shared" ref="I294:I302" si="687">J294/H294</f>
        <v>6.1878787878787875</v>
      </c>
      <c r="J294" s="123">
        <v>4084</v>
      </c>
      <c r="K294" s="124"/>
      <c r="L294" s="123">
        <f t="shared" si="653"/>
        <v>4084</v>
      </c>
      <c r="M294" s="122">
        <f t="shared" si="587"/>
        <v>6.1878787878787875</v>
      </c>
      <c r="N294" s="125"/>
      <c r="O294" s="125"/>
      <c r="P294" s="125"/>
      <c r="Q294" s="125"/>
      <c r="R294" s="125">
        <v>9.8000000000000007</v>
      </c>
      <c r="S294" s="154"/>
      <c r="T294" s="129">
        <f t="shared" ref="T294:T302" si="688">AVERAGE(N294:R294)</f>
        <v>9.8000000000000007</v>
      </c>
      <c r="V294" s="115"/>
      <c r="W294" s="115"/>
      <c r="X294" s="120">
        <v>0.65</v>
      </c>
      <c r="Y294" s="120"/>
      <c r="Z294" s="118">
        <v>0.44</v>
      </c>
      <c r="AA294" s="119">
        <v>45814</v>
      </c>
      <c r="AB294" s="117">
        <f t="shared" si="593"/>
        <v>76.666666666666671</v>
      </c>
      <c r="AC294" s="117">
        <f>AB294*X294</f>
        <v>49.833333333333336</v>
      </c>
      <c r="AD294" s="117">
        <f t="shared" si="588"/>
        <v>101.75966666666667</v>
      </c>
      <c r="AE294" s="117">
        <f>IFERROR((AD294/I294),"")</f>
        <v>16.445000000000004</v>
      </c>
      <c r="AF294" s="170"/>
      <c r="AG294" s="265">
        <v>8.11</v>
      </c>
      <c r="AH294" s="265">
        <f t="shared" si="604"/>
        <v>0.32055335968379439</v>
      </c>
      <c r="AI294" s="115">
        <v>9</v>
      </c>
      <c r="AJ294" s="118">
        <f t="shared" si="662"/>
        <v>46.068757575757587</v>
      </c>
      <c r="AK294" s="116">
        <f t="shared" si="663"/>
        <v>7.4450000000000021</v>
      </c>
      <c r="AL294" s="117">
        <f>(((AI294*M294)*2000)/L294)/X294</f>
        <v>41.958041958041953</v>
      </c>
      <c r="AM294" s="116">
        <f>((AJ294*2000)/X294)/J294</f>
        <v>34.708624708624718</v>
      </c>
      <c r="AN294" s="116"/>
      <c r="AO294" s="116"/>
      <c r="AP294" s="116"/>
      <c r="AR294" s="115" t="s">
        <v>91</v>
      </c>
      <c r="AS294" s="113">
        <v>54</v>
      </c>
      <c r="AT294" s="113">
        <v>63</v>
      </c>
      <c r="AU294" s="113">
        <v>96</v>
      </c>
      <c r="AV294" s="113">
        <v>97</v>
      </c>
      <c r="AW294" s="113">
        <v>92</v>
      </c>
      <c r="AX294" s="113">
        <v>58</v>
      </c>
    </row>
    <row r="295" spans="1:94" s="113" customFormat="1">
      <c r="A295" s="113" t="s">
        <v>262</v>
      </c>
      <c r="B295" s="113" t="s">
        <v>416</v>
      </c>
      <c r="C295" s="114" t="s">
        <v>417</v>
      </c>
      <c r="D295" s="128" t="s">
        <v>87</v>
      </c>
      <c r="E295" s="127" t="s">
        <v>99</v>
      </c>
      <c r="F295" s="126"/>
      <c r="G295" s="126"/>
      <c r="H295" s="123">
        <v>660</v>
      </c>
      <c r="I295" s="125">
        <f>J295/H295</f>
        <v>6.1878787878787875</v>
      </c>
      <c r="J295" s="123">
        <v>4084</v>
      </c>
      <c r="K295" s="256"/>
      <c r="L295" s="123">
        <f>J295-(J295*K295)</f>
        <v>4084</v>
      </c>
      <c r="M295" s="122">
        <f>L295/H295</f>
        <v>6.1878787878787875</v>
      </c>
      <c r="N295" s="125"/>
      <c r="O295" s="125"/>
      <c r="P295" s="125"/>
      <c r="Q295" s="125"/>
      <c r="R295" s="125">
        <v>9.8000000000000007</v>
      </c>
      <c r="S295" s="154"/>
      <c r="T295" s="129">
        <f>AVERAGE(N295:R295)</f>
        <v>9.8000000000000007</v>
      </c>
      <c r="V295" s="115"/>
      <c r="W295" s="115" t="s">
        <v>791</v>
      </c>
      <c r="X295" s="120">
        <v>0.65</v>
      </c>
      <c r="Y295" s="120"/>
      <c r="Z295" s="118">
        <v>0.44</v>
      </c>
      <c r="AA295" s="119">
        <v>45862</v>
      </c>
      <c r="AB295" s="117">
        <f>IFERROR(AVERAGE(AS295:CP295),0)</f>
        <v>39.621621621621621</v>
      </c>
      <c r="AC295" s="117">
        <f>AB295*X295</f>
        <v>25.754054054054055</v>
      </c>
      <c r="AD295" s="117">
        <f>(AC295*L295)/2000</f>
        <v>52.589778378378384</v>
      </c>
      <c r="AE295" s="117">
        <f>IFERROR((AD295/I295),"")</f>
        <v>8.49883783783784</v>
      </c>
      <c r="AF295" s="170"/>
      <c r="AG295" s="265">
        <v>8.11</v>
      </c>
      <c r="AH295" s="265">
        <f t="shared" si="604"/>
        <v>0.62026127578651447</v>
      </c>
      <c r="AI295" s="115">
        <v>9</v>
      </c>
      <c r="AJ295" s="118">
        <f>AD295-(AI295*I295)</f>
        <v>-3.1011307125307042</v>
      </c>
      <c r="AK295" s="116">
        <f>AJ295/I295</f>
        <v>-0.50116216216216081</v>
      </c>
      <c r="AL295" s="117">
        <f>(((AI295*M295)*2000)/L295)/X295</f>
        <v>41.958041958041953</v>
      </c>
      <c r="AM295" s="116">
        <f>((AJ295*2000)/X295)/J295</f>
        <v>-2.3364203364203298</v>
      </c>
      <c r="AN295" s="116"/>
      <c r="AO295" s="116"/>
      <c r="AP295" s="116"/>
      <c r="AR295" s="115" t="s">
        <v>282</v>
      </c>
      <c r="AS295" s="113">
        <v>41</v>
      </c>
      <c r="AT295" s="113">
        <v>44</v>
      </c>
      <c r="AU295" s="113">
        <v>42</v>
      </c>
      <c r="AV295" s="113">
        <v>39</v>
      </c>
      <c r="AW295" s="113">
        <v>42</v>
      </c>
      <c r="AX295" s="113">
        <v>41</v>
      </c>
      <c r="AY295" s="113">
        <v>44</v>
      </c>
      <c r="AZ295" s="113">
        <v>39</v>
      </c>
      <c r="BA295" s="113">
        <v>40</v>
      </c>
      <c r="BB295" s="113">
        <v>42</v>
      </c>
      <c r="BC295" s="113">
        <v>44</v>
      </c>
      <c r="BD295" s="113">
        <v>39</v>
      </c>
      <c r="BE295" s="113">
        <v>37</v>
      </c>
      <c r="BF295" s="113">
        <v>40</v>
      </c>
      <c r="BG295" s="113">
        <v>36</v>
      </c>
      <c r="BH295" s="113">
        <v>42</v>
      </c>
      <c r="BI295" s="113">
        <v>41</v>
      </c>
      <c r="BJ295" s="113">
        <v>36</v>
      </c>
      <c r="BK295" s="113">
        <v>46</v>
      </c>
      <c r="BL295" s="113">
        <v>38</v>
      </c>
      <c r="BM295" s="113">
        <v>36</v>
      </c>
      <c r="BN295" s="113">
        <v>41</v>
      </c>
      <c r="BO295" s="113">
        <v>39</v>
      </c>
      <c r="BP295" s="113">
        <v>42</v>
      </c>
      <c r="BQ295" s="113">
        <v>41</v>
      </c>
      <c r="BR295" s="113">
        <v>33</v>
      </c>
      <c r="BS295" s="113">
        <v>43</v>
      </c>
      <c r="BT295" s="113">
        <v>36</v>
      </c>
      <c r="BU295" s="113">
        <v>39</v>
      </c>
      <c r="BV295" s="113">
        <v>44</v>
      </c>
      <c r="BW295" s="113">
        <v>38</v>
      </c>
      <c r="BX295" s="113">
        <v>37</v>
      </c>
      <c r="BY295" s="113">
        <v>39</v>
      </c>
      <c r="BZ295" s="113">
        <v>43</v>
      </c>
      <c r="CA295" s="113">
        <v>31</v>
      </c>
      <c r="CB295" s="113">
        <v>32</v>
      </c>
      <c r="CC295" s="113">
        <v>39</v>
      </c>
    </row>
    <row r="296" spans="1:94" s="113" customFormat="1">
      <c r="A296" s="113" t="s">
        <v>262</v>
      </c>
      <c r="B296" s="113" t="s">
        <v>416</v>
      </c>
      <c r="C296" s="114" t="s">
        <v>418</v>
      </c>
      <c r="D296" s="128" t="s">
        <v>87</v>
      </c>
      <c r="E296" s="127" t="s">
        <v>99</v>
      </c>
      <c r="F296" s="126"/>
      <c r="G296" s="126"/>
      <c r="H296" s="123">
        <v>660</v>
      </c>
      <c r="I296" s="125">
        <f t="shared" si="687"/>
        <v>2.4924242424242422</v>
      </c>
      <c r="J296" s="123">
        <f>810+835</f>
        <v>1645</v>
      </c>
      <c r="K296" s="124"/>
      <c r="L296" s="123">
        <f t="shared" si="653"/>
        <v>1645</v>
      </c>
      <c r="M296" s="122">
        <f t="shared" si="587"/>
        <v>2.4924242424242422</v>
      </c>
      <c r="N296" s="125"/>
      <c r="O296" s="125"/>
      <c r="P296" s="125"/>
      <c r="Q296" s="125"/>
      <c r="R296" s="125">
        <v>9.8000000000000007</v>
      </c>
      <c r="S296" s="154"/>
      <c r="T296" s="129">
        <f t="shared" si="688"/>
        <v>9.8000000000000007</v>
      </c>
      <c r="V296" s="115"/>
      <c r="W296" s="115"/>
      <c r="X296" s="120">
        <v>0.65</v>
      </c>
      <c r="Y296" s="120"/>
      <c r="Z296" s="118">
        <v>0.44</v>
      </c>
      <c r="AA296" s="119">
        <v>45814</v>
      </c>
      <c r="AB296" s="117">
        <f t="shared" si="593"/>
        <v>73.333333333333329</v>
      </c>
      <c r="AC296" s="117">
        <f>AB296*X296</f>
        <v>47.666666666666664</v>
      </c>
      <c r="AD296" s="117">
        <f t="shared" si="588"/>
        <v>39.205833333333331</v>
      </c>
      <c r="AE296" s="117">
        <f>IFERROR((AD296/I296),"")</f>
        <v>15.73</v>
      </c>
      <c r="AF296" s="170"/>
      <c r="AG296" s="265">
        <v>8.11</v>
      </c>
      <c r="AH296" s="265">
        <f t="shared" si="604"/>
        <v>0.33512396694214874</v>
      </c>
      <c r="AI296" s="115">
        <v>9</v>
      </c>
      <c r="AJ296" s="118">
        <f t="shared" si="662"/>
        <v>16.774015151515151</v>
      </c>
      <c r="AK296" s="116">
        <f t="shared" si="663"/>
        <v>6.73</v>
      </c>
      <c r="AL296" s="117">
        <f>(((AI296*M296)*2000)/L296)/X296</f>
        <v>41.958041958041953</v>
      </c>
      <c r="AM296" s="116">
        <f>((AJ296*2000)/X296)/J296</f>
        <v>31.375291375291376</v>
      </c>
      <c r="AN296" s="116"/>
      <c r="AO296" s="116"/>
      <c r="AP296" s="116"/>
      <c r="AR296" s="115" t="s">
        <v>91</v>
      </c>
      <c r="AS296" s="113">
        <v>74</v>
      </c>
      <c r="AT296" s="113">
        <v>87</v>
      </c>
      <c r="AU296" s="113">
        <v>59</v>
      </c>
      <c r="AV296" s="113">
        <v>70</v>
      </c>
      <c r="AW296" s="113">
        <v>75</v>
      </c>
      <c r="AX296" s="113">
        <v>75</v>
      </c>
    </row>
    <row r="297" spans="1:94" s="113" customFormat="1">
      <c r="A297" s="113" t="s">
        <v>262</v>
      </c>
      <c r="B297" s="113" t="s">
        <v>416</v>
      </c>
      <c r="C297" s="114" t="s">
        <v>418</v>
      </c>
      <c r="D297" s="128" t="s">
        <v>87</v>
      </c>
      <c r="E297" s="127" t="s">
        <v>99</v>
      </c>
      <c r="F297" s="126"/>
      <c r="G297" s="126"/>
      <c r="H297" s="123">
        <v>660</v>
      </c>
      <c r="I297" s="125">
        <f t="shared" ref="I297" si="689">J297/H297</f>
        <v>2.4924242424242422</v>
      </c>
      <c r="J297" s="123">
        <f>810+835</f>
        <v>1645</v>
      </c>
      <c r="K297" s="124"/>
      <c r="L297" s="123">
        <f t="shared" ref="L297" si="690">J297-(J297*K297)</f>
        <v>1645</v>
      </c>
      <c r="M297" s="122">
        <f t="shared" ref="M297" si="691">L297/H297</f>
        <v>2.4924242424242422</v>
      </c>
      <c r="N297" s="125"/>
      <c r="O297" s="125"/>
      <c r="P297" s="125"/>
      <c r="Q297" s="125"/>
      <c r="R297" s="125">
        <v>9.8000000000000007</v>
      </c>
      <c r="S297" s="154"/>
      <c r="T297" s="129">
        <f t="shared" ref="T297" si="692">AVERAGE(N297:R297)</f>
        <v>9.8000000000000007</v>
      </c>
      <c r="V297" s="115"/>
      <c r="W297" s="115" t="s">
        <v>775</v>
      </c>
      <c r="X297" s="120">
        <v>0.65</v>
      </c>
      <c r="Y297" s="120"/>
      <c r="Z297" s="118">
        <v>0.44</v>
      </c>
      <c r="AA297" s="119">
        <v>45853</v>
      </c>
      <c r="AB297" s="117">
        <f t="shared" ref="AB297" si="693">IFERROR(AVERAGE(AS297:CP297),0)</f>
        <v>46.666666666666664</v>
      </c>
      <c r="AC297" s="117">
        <f>AB297*X297</f>
        <v>30.333333333333332</v>
      </c>
      <c r="AD297" s="117">
        <f t="shared" ref="AD297" si="694">(AC297*L297)/2000</f>
        <v>24.949166666666663</v>
      </c>
      <c r="AE297" s="117">
        <f>IFERROR((AD297/I297),"")</f>
        <v>10.01</v>
      </c>
      <c r="AF297" s="170"/>
      <c r="AG297" s="265">
        <v>8.11</v>
      </c>
      <c r="AH297" s="265">
        <f t="shared" si="604"/>
        <v>0.52662337662337666</v>
      </c>
      <c r="AI297" s="115">
        <v>9</v>
      </c>
      <c r="AJ297" s="118">
        <f t="shared" ref="AJ297" si="695">AD297-(AI297*I297)</f>
        <v>2.5173484848484833</v>
      </c>
      <c r="AK297" s="116">
        <f t="shared" ref="AK297" si="696">AJ297/I297</f>
        <v>1.0099999999999996</v>
      </c>
      <c r="AL297" s="117">
        <f>(((AI297*M297)*2000)/L297)/X297</f>
        <v>41.958041958041953</v>
      </c>
      <c r="AM297" s="116">
        <f>((AJ297*2000)/X297)/J297</f>
        <v>4.7086247086247051</v>
      </c>
      <c r="AN297" s="116"/>
      <c r="AO297" s="116"/>
      <c r="AP297" s="116"/>
      <c r="AR297" s="115" t="s">
        <v>282</v>
      </c>
      <c r="AS297" s="113">
        <v>46</v>
      </c>
      <c r="AT297" s="113">
        <v>43</v>
      </c>
      <c r="AU297" s="113">
        <v>49</v>
      </c>
      <c r="AV297" s="113">
        <v>44</v>
      </c>
      <c r="AW297" s="113">
        <v>50</v>
      </c>
      <c r="AX297" s="113">
        <v>46</v>
      </c>
      <c r="AY297" s="113">
        <v>42</v>
      </c>
      <c r="AZ297" s="113">
        <v>38</v>
      </c>
      <c r="BA297" s="113">
        <v>54</v>
      </c>
      <c r="BB297" s="113">
        <v>48</v>
      </c>
      <c r="BC297" s="113">
        <v>52</v>
      </c>
      <c r="BD297" s="113">
        <v>53</v>
      </c>
      <c r="BE297" s="113">
        <v>39</v>
      </c>
      <c r="BF297" s="113">
        <v>46</v>
      </c>
      <c r="BG297" s="113">
        <v>50</v>
      </c>
    </row>
    <row r="298" spans="1:94" s="113" customFormat="1">
      <c r="A298" s="113" t="s">
        <v>262</v>
      </c>
      <c r="B298" s="113" t="s">
        <v>416</v>
      </c>
      <c r="C298" s="114" t="s">
        <v>418</v>
      </c>
      <c r="D298" s="128" t="s">
        <v>87</v>
      </c>
      <c r="E298" s="127" t="s">
        <v>99</v>
      </c>
      <c r="F298" s="126"/>
      <c r="G298" s="126"/>
      <c r="H298" s="123">
        <v>660</v>
      </c>
      <c r="I298" s="125">
        <f>J298/H298</f>
        <v>2.4924242424242422</v>
      </c>
      <c r="J298" s="123">
        <f>810+835</f>
        <v>1645</v>
      </c>
      <c r="K298" s="256"/>
      <c r="L298" s="123">
        <f>J298-(J298*K298)</f>
        <v>1645</v>
      </c>
      <c r="M298" s="122">
        <f>L298/H298</f>
        <v>2.4924242424242422</v>
      </c>
      <c r="N298" s="125"/>
      <c r="O298" s="125"/>
      <c r="P298" s="125"/>
      <c r="Q298" s="125"/>
      <c r="R298" s="125">
        <v>9.8000000000000007</v>
      </c>
      <c r="S298" s="154"/>
      <c r="T298" s="129">
        <f>AVERAGE(N298:R298)</f>
        <v>9.8000000000000007</v>
      </c>
      <c r="V298" s="115"/>
      <c r="W298" s="115" t="s">
        <v>775</v>
      </c>
      <c r="X298" s="120">
        <v>0.65</v>
      </c>
      <c r="Y298" s="120"/>
      <c r="Z298" s="118">
        <v>0.44</v>
      </c>
      <c r="AA298" s="119">
        <v>45862</v>
      </c>
      <c r="AB298" s="117">
        <f>IFERROR(AVERAGE(AS298:CP298),0)</f>
        <v>45.8</v>
      </c>
      <c r="AC298" s="117">
        <f>AB298*X298</f>
        <v>29.77</v>
      </c>
      <c r="AD298" s="117">
        <f>(AC298*L298)/2000</f>
        <v>24.485825000000002</v>
      </c>
      <c r="AE298" s="117">
        <f>IFERROR((AD298/I298),"")</f>
        <v>9.8241000000000014</v>
      </c>
      <c r="AF298" s="170"/>
      <c r="AG298" s="265">
        <v>8.11</v>
      </c>
      <c r="AH298" s="265">
        <f t="shared" si="604"/>
        <v>0.53658859335715237</v>
      </c>
      <c r="AI298" s="115">
        <v>9</v>
      </c>
      <c r="AJ298" s="118">
        <f>AD298-(AI298*I298)</f>
        <v>2.0540068181818221</v>
      </c>
      <c r="AK298" s="116">
        <f>AJ298/I298</f>
        <v>0.82410000000000161</v>
      </c>
      <c r="AL298" s="117">
        <f>(((AI298*M298)*2000)/L298)/X298</f>
        <v>41.958041958041953</v>
      </c>
      <c r="AM298" s="116">
        <f>((AJ298*2000)/X298)/J298</f>
        <v>3.8419580419580486</v>
      </c>
      <c r="AN298" s="116"/>
      <c r="AO298" s="116"/>
      <c r="AP298" s="116"/>
      <c r="AR298" s="115" t="s">
        <v>282</v>
      </c>
      <c r="AS298" s="113">
        <v>47</v>
      </c>
      <c r="AT298" s="113">
        <v>46</v>
      </c>
      <c r="AU298" s="113">
        <v>44</v>
      </c>
      <c r="AV298" s="113">
        <v>48</v>
      </c>
      <c r="AW298" s="113">
        <v>42</v>
      </c>
      <c r="AX298" s="113">
        <v>47</v>
      </c>
      <c r="AY298" s="113">
        <v>49</v>
      </c>
      <c r="AZ298" s="113">
        <v>43</v>
      </c>
      <c r="BA298" s="113">
        <v>46</v>
      </c>
      <c r="BB298" s="113">
        <v>46</v>
      </c>
    </row>
    <row r="299" spans="1:94" s="113" customFormat="1">
      <c r="A299" s="113" t="s">
        <v>262</v>
      </c>
      <c r="B299" s="113" t="s">
        <v>416</v>
      </c>
      <c r="C299" s="114" t="s">
        <v>419</v>
      </c>
      <c r="D299" s="128" t="s">
        <v>87</v>
      </c>
      <c r="E299" s="127" t="s">
        <v>330</v>
      </c>
      <c r="F299" s="126"/>
      <c r="G299" s="126"/>
      <c r="H299" s="123">
        <v>660</v>
      </c>
      <c r="I299" s="125">
        <f t="shared" si="687"/>
        <v>0.80151515151515151</v>
      </c>
      <c r="J299" s="123">
        <v>529</v>
      </c>
      <c r="K299" s="124"/>
      <c r="L299" s="123">
        <f t="shared" si="653"/>
        <v>529</v>
      </c>
      <c r="M299" s="122">
        <f t="shared" si="587"/>
        <v>0.80151515151515151</v>
      </c>
      <c r="N299" s="125"/>
      <c r="O299" s="125"/>
      <c r="P299" s="125"/>
      <c r="Q299" s="125"/>
      <c r="R299" s="125">
        <v>14.97</v>
      </c>
      <c r="S299" s="154"/>
      <c r="T299" s="129">
        <f t="shared" si="688"/>
        <v>14.97</v>
      </c>
      <c r="V299" s="115"/>
      <c r="W299" s="115"/>
      <c r="X299" s="120"/>
      <c r="Y299" s="120"/>
      <c r="Z299" s="118">
        <v>0.55000000000000004</v>
      </c>
      <c r="AA299" s="119"/>
      <c r="AB299" s="117">
        <f t="shared" si="593"/>
        <v>0</v>
      </c>
      <c r="AC299" s="117"/>
      <c r="AD299" s="117">
        <f t="shared" si="588"/>
        <v>0</v>
      </c>
      <c r="AE299" s="117"/>
      <c r="AF299" s="170"/>
      <c r="AG299" s="265"/>
      <c r="AH299" s="265" t="e">
        <f t="shared" si="604"/>
        <v>#DIV/0!</v>
      </c>
      <c r="AI299" s="115"/>
      <c r="AJ299" s="118">
        <f t="shared" si="662"/>
        <v>0</v>
      </c>
      <c r="AK299" s="116">
        <f t="shared" si="663"/>
        <v>0</v>
      </c>
      <c r="AL299" s="116"/>
      <c r="AM299" s="116">
        <f t="shared" ref="AM299:AM352" si="697">((AJ299*2000)/Z299)/J299</f>
        <v>0</v>
      </c>
      <c r="AN299" s="116"/>
      <c r="AO299" s="116"/>
      <c r="AP299" s="116"/>
      <c r="AR299" s="115"/>
    </row>
    <row r="300" spans="1:94" s="113" customFormat="1">
      <c r="A300" s="113" t="s">
        <v>262</v>
      </c>
      <c r="B300" s="113" t="s">
        <v>416</v>
      </c>
      <c r="C300" s="114" t="s">
        <v>420</v>
      </c>
      <c r="D300" s="128" t="s">
        <v>87</v>
      </c>
      <c r="E300" s="127" t="s">
        <v>99</v>
      </c>
      <c r="F300" s="126"/>
      <c r="G300" s="126"/>
      <c r="H300" s="123">
        <v>660</v>
      </c>
      <c r="I300" s="125">
        <f t="shared" si="687"/>
        <v>1.2272727272727273</v>
      </c>
      <c r="J300" s="123">
        <v>810</v>
      </c>
      <c r="K300" s="124"/>
      <c r="L300" s="123">
        <f t="shared" si="653"/>
        <v>810</v>
      </c>
      <c r="M300" s="122">
        <f t="shared" si="587"/>
        <v>1.2272727272727273</v>
      </c>
      <c r="N300" s="125"/>
      <c r="O300" s="125"/>
      <c r="P300" s="125"/>
      <c r="Q300" s="125"/>
      <c r="R300" s="125">
        <v>9.8000000000000007</v>
      </c>
      <c r="S300" s="154"/>
      <c r="T300" s="129">
        <f t="shared" si="688"/>
        <v>9.8000000000000007</v>
      </c>
      <c r="V300" s="115"/>
      <c r="W300" s="115"/>
      <c r="X300" s="120">
        <v>0.65</v>
      </c>
      <c r="Y300" s="120"/>
      <c r="Z300" s="118">
        <v>0.44</v>
      </c>
      <c r="AA300" s="119"/>
      <c r="AB300" s="117">
        <f t="shared" si="593"/>
        <v>0</v>
      </c>
      <c r="AC300" s="117"/>
      <c r="AD300" s="117">
        <f t="shared" si="588"/>
        <v>0</v>
      </c>
      <c r="AE300" s="117"/>
      <c r="AF300" s="170"/>
      <c r="AG300" s="265"/>
      <c r="AH300" s="265" t="e">
        <f t="shared" si="604"/>
        <v>#DIV/0!</v>
      </c>
      <c r="AI300" s="115"/>
      <c r="AJ300" s="118">
        <f t="shared" si="662"/>
        <v>0</v>
      </c>
      <c r="AK300" s="116">
        <f t="shared" si="663"/>
        <v>0</v>
      </c>
      <c r="AL300" s="116"/>
      <c r="AM300" s="116">
        <f t="shared" si="697"/>
        <v>0</v>
      </c>
      <c r="AN300" s="116"/>
      <c r="AO300" s="116"/>
      <c r="AP300" s="116"/>
      <c r="AR300" s="115"/>
    </row>
    <row r="301" spans="1:94" s="113" customFormat="1">
      <c r="A301" s="113" t="s">
        <v>262</v>
      </c>
      <c r="B301" s="113" t="s">
        <v>416</v>
      </c>
      <c r="C301" s="114" t="s">
        <v>421</v>
      </c>
      <c r="D301" s="128" t="s">
        <v>87</v>
      </c>
      <c r="E301" s="127" t="s">
        <v>99</v>
      </c>
      <c r="F301" s="126"/>
      <c r="G301" s="126"/>
      <c r="H301" s="123">
        <v>660</v>
      </c>
      <c r="I301" s="125">
        <f t="shared" si="687"/>
        <v>1.2651515151515151</v>
      </c>
      <c r="J301" s="123">
        <v>835</v>
      </c>
      <c r="K301" s="124"/>
      <c r="L301" s="123">
        <f t="shared" si="653"/>
        <v>835</v>
      </c>
      <c r="M301" s="122">
        <f t="shared" si="587"/>
        <v>1.2651515151515151</v>
      </c>
      <c r="N301" s="125"/>
      <c r="O301" s="125"/>
      <c r="P301" s="125"/>
      <c r="Q301" s="125"/>
      <c r="R301" s="125">
        <v>9.8000000000000007</v>
      </c>
      <c r="S301" s="154"/>
      <c r="T301" s="129">
        <f t="shared" si="688"/>
        <v>9.8000000000000007</v>
      </c>
      <c r="V301" s="115"/>
      <c r="W301" s="115"/>
      <c r="X301" s="120">
        <v>0.65</v>
      </c>
      <c r="Y301" s="120"/>
      <c r="Z301" s="118">
        <v>0.44</v>
      </c>
      <c r="AA301" s="119"/>
      <c r="AB301" s="117">
        <f t="shared" ref="AB301:AB339" si="698">IFERROR(AVERAGE(AS301:CP301),0)</f>
        <v>0</v>
      </c>
      <c r="AC301" s="117"/>
      <c r="AD301" s="117">
        <f t="shared" si="588"/>
        <v>0</v>
      </c>
      <c r="AE301" s="117"/>
      <c r="AF301" s="170"/>
      <c r="AG301" s="265"/>
      <c r="AH301" s="265" t="e">
        <f t="shared" si="604"/>
        <v>#DIV/0!</v>
      </c>
      <c r="AI301" s="115"/>
      <c r="AJ301" s="118">
        <f t="shared" si="662"/>
        <v>0</v>
      </c>
      <c r="AK301" s="116">
        <f t="shared" si="663"/>
        <v>0</v>
      </c>
      <c r="AL301" s="116"/>
      <c r="AM301" s="116">
        <f t="shared" si="697"/>
        <v>0</v>
      </c>
      <c r="AN301" s="116"/>
      <c r="AO301" s="116"/>
      <c r="AP301" s="116"/>
      <c r="AR301" s="115"/>
    </row>
    <row r="302" spans="1:94" s="63" customFormat="1">
      <c r="A302" s="113" t="s">
        <v>262</v>
      </c>
      <c r="B302" s="113" t="s">
        <v>416</v>
      </c>
      <c r="C302" s="114" t="s">
        <v>422</v>
      </c>
      <c r="D302" s="128" t="s">
        <v>87</v>
      </c>
      <c r="E302" s="127" t="s">
        <v>148</v>
      </c>
      <c r="F302" s="126"/>
      <c r="G302" s="126"/>
      <c r="H302" s="123">
        <v>660</v>
      </c>
      <c r="I302" s="125">
        <f t="shared" si="687"/>
        <v>1.9333333333333333</v>
      </c>
      <c r="J302" s="123">
        <v>1276</v>
      </c>
      <c r="K302" s="124"/>
      <c r="L302" s="123">
        <f t="shared" si="653"/>
        <v>1276</v>
      </c>
      <c r="M302" s="122">
        <f t="shared" si="587"/>
        <v>1.9333333333333333</v>
      </c>
      <c r="N302" s="125"/>
      <c r="O302" s="125"/>
      <c r="P302" s="125"/>
      <c r="Q302" s="125"/>
      <c r="R302" s="125">
        <v>9.5399999999999991</v>
      </c>
      <c r="S302" s="154"/>
      <c r="T302" s="129">
        <f t="shared" si="688"/>
        <v>9.5399999999999991</v>
      </c>
      <c r="U302" s="113"/>
      <c r="V302" s="115"/>
      <c r="W302" s="115"/>
      <c r="X302" s="120"/>
      <c r="Y302" s="120"/>
      <c r="Z302" s="118">
        <v>0.35</v>
      </c>
      <c r="AA302" s="119"/>
      <c r="AB302" s="117">
        <f t="shared" si="698"/>
        <v>0</v>
      </c>
      <c r="AC302" s="117"/>
      <c r="AD302" s="117">
        <f t="shared" si="588"/>
        <v>0</v>
      </c>
      <c r="AE302" s="117"/>
      <c r="AF302" s="170"/>
      <c r="AG302" s="265"/>
      <c r="AH302" s="265" t="e">
        <f t="shared" si="604"/>
        <v>#DIV/0!</v>
      </c>
      <c r="AI302" s="115"/>
      <c r="AJ302" s="118">
        <f t="shared" si="662"/>
        <v>0</v>
      </c>
      <c r="AK302" s="116">
        <f t="shared" si="663"/>
        <v>0</v>
      </c>
      <c r="AL302" s="116"/>
      <c r="AM302" s="116">
        <f t="shared" si="697"/>
        <v>0</v>
      </c>
      <c r="AN302" s="116"/>
      <c r="AO302" s="116"/>
      <c r="AP302" s="116"/>
      <c r="AQ302" s="113"/>
      <c r="AR302" s="115"/>
      <c r="AS302" s="113"/>
      <c r="AT302" s="113"/>
      <c r="AU302" s="113"/>
      <c r="AV302" s="113"/>
      <c r="AW302" s="113"/>
      <c r="AX302" s="113"/>
      <c r="AY302" s="113"/>
      <c r="AZ302" s="113"/>
      <c r="BA302" s="113"/>
      <c r="BB302" s="113"/>
      <c r="BC302" s="113"/>
      <c r="BD302" s="113"/>
      <c r="BE302" s="113"/>
      <c r="BF302" s="113"/>
      <c r="BG302" s="113"/>
      <c r="BH302" s="113"/>
      <c r="BI302" s="113"/>
      <c r="BJ302" s="113"/>
      <c r="BK302" s="113"/>
      <c r="BL302" s="113"/>
      <c r="BM302" s="113"/>
      <c r="BN302" s="113"/>
      <c r="BO302" s="113"/>
      <c r="BP302" s="113"/>
      <c r="BQ302" s="113"/>
      <c r="BR302" s="113"/>
      <c r="BS302" s="113"/>
      <c r="BT302" s="113"/>
      <c r="BU302" s="113"/>
      <c r="BV302" s="113"/>
      <c r="BW302" s="113"/>
      <c r="BX302" s="113"/>
      <c r="BY302" s="113"/>
      <c r="BZ302" s="113"/>
      <c r="CA302" s="113"/>
      <c r="CB302" s="113"/>
      <c r="CC302" s="113"/>
      <c r="CD302" s="113"/>
      <c r="CE302" s="113"/>
      <c r="CF302" s="113"/>
      <c r="CG302" s="113"/>
      <c r="CH302" s="113"/>
      <c r="CI302" s="113"/>
      <c r="CJ302" s="113"/>
      <c r="CK302" s="113"/>
      <c r="CL302" s="113"/>
      <c r="CM302" s="113"/>
      <c r="CN302" s="113"/>
      <c r="CO302" s="113"/>
      <c r="CP302" s="113"/>
    </row>
    <row r="303" spans="1:94" s="63" customFormat="1" ht="13.15" customHeight="1">
      <c r="A303" s="63" t="s">
        <v>262</v>
      </c>
      <c r="B303" s="63" t="s">
        <v>423</v>
      </c>
      <c r="C303" s="64" t="s">
        <v>424</v>
      </c>
      <c r="D303" s="65" t="s">
        <v>87</v>
      </c>
      <c r="E303" s="66" t="s">
        <v>425</v>
      </c>
      <c r="F303" s="95" t="s">
        <v>426</v>
      </c>
      <c r="G303" s="68" t="s">
        <v>273</v>
      </c>
      <c r="H303" s="69">
        <v>691.42857142857144</v>
      </c>
      <c r="I303" s="74">
        <v>38.4</v>
      </c>
      <c r="J303" s="69">
        <v>26251</v>
      </c>
      <c r="K303" s="72"/>
      <c r="L303" s="69">
        <f t="shared" si="653"/>
        <v>26251</v>
      </c>
      <c r="M303" s="86">
        <f t="shared" si="587"/>
        <v>37.966322314049584</v>
      </c>
      <c r="N303" s="79">
        <v>10.92</v>
      </c>
      <c r="O303" s="79">
        <v>9.4700000000000006</v>
      </c>
      <c r="P303" s="79">
        <v>12.38</v>
      </c>
      <c r="Q303" s="79">
        <v>10.67</v>
      </c>
      <c r="R303" s="79">
        <v>11.39</v>
      </c>
      <c r="S303" s="84">
        <v>6.95</v>
      </c>
      <c r="T303" s="85">
        <f t="shared" ref="T303:T310" si="699">AVERAGE(N303:S303)</f>
        <v>10.296666666666669</v>
      </c>
      <c r="U303" s="63" t="s">
        <v>792</v>
      </c>
      <c r="V303" s="77" t="s">
        <v>214</v>
      </c>
      <c r="W303" s="77"/>
      <c r="X303" s="78">
        <v>0.3</v>
      </c>
      <c r="Y303" s="78"/>
      <c r="Z303" s="79">
        <v>0.32</v>
      </c>
      <c r="AA303" s="80">
        <v>45763</v>
      </c>
      <c r="AB303" s="81">
        <f t="shared" si="698"/>
        <v>93</v>
      </c>
      <c r="AC303" s="81">
        <f t="shared" ref="AC303:AC341" si="700">AB303*X303</f>
        <v>27.9</v>
      </c>
      <c r="AD303" s="81">
        <f t="shared" si="588"/>
        <v>366.20144999999997</v>
      </c>
      <c r="AE303" s="81">
        <f t="shared" ref="AE303:AE341" si="701">IFERROR((AD303/I303),"")</f>
        <v>9.5364960937499994</v>
      </c>
      <c r="AF303" s="167">
        <f t="shared" ref="AF303:AF320" si="702">IFERROR(((AE303-S303)/AE303),"")</f>
        <v>0.2712207993714934</v>
      </c>
      <c r="AG303" s="264"/>
      <c r="AH303" s="264">
        <f t="shared" si="604"/>
        <v>0</v>
      </c>
      <c r="AI303" s="77"/>
      <c r="AJ303" s="79">
        <f t="shared" si="662"/>
        <v>366.20144999999997</v>
      </c>
      <c r="AK303" s="82">
        <f t="shared" si="663"/>
        <v>9.5364960937499994</v>
      </c>
      <c r="AL303" s="82"/>
      <c r="AM303" s="82">
        <f t="shared" si="697"/>
        <v>87.187499999999986</v>
      </c>
      <c r="AN303" s="82" t="s">
        <v>701</v>
      </c>
      <c r="AO303" s="82"/>
      <c r="AP303" s="82"/>
      <c r="AQ303" s="63" t="s">
        <v>793</v>
      </c>
      <c r="AR303" s="77"/>
      <c r="AS303" s="63">
        <v>91</v>
      </c>
      <c r="AT303" s="63">
        <v>83</v>
      </c>
      <c r="AU303" s="63">
        <v>89</v>
      </c>
      <c r="AV303" s="63">
        <v>101</v>
      </c>
      <c r="AW303" s="63">
        <v>96</v>
      </c>
      <c r="AX303" s="63">
        <v>89</v>
      </c>
      <c r="AY303" s="63">
        <v>99</v>
      </c>
      <c r="AZ303" s="63">
        <v>96</v>
      </c>
    </row>
    <row r="304" spans="1:94" s="63" customFormat="1" ht="13.15" customHeight="1">
      <c r="A304" s="63" t="s">
        <v>262</v>
      </c>
      <c r="B304" s="63" t="s">
        <v>423</v>
      </c>
      <c r="C304" s="64" t="s">
        <v>424</v>
      </c>
      <c r="D304" s="65" t="s">
        <v>87</v>
      </c>
      <c r="E304" s="66" t="s">
        <v>425</v>
      </c>
      <c r="F304" s="95" t="s">
        <v>426</v>
      </c>
      <c r="G304" s="68" t="s">
        <v>273</v>
      </c>
      <c r="H304" s="69">
        <v>691.42857142857144</v>
      </c>
      <c r="I304" s="74">
        <v>38.4</v>
      </c>
      <c r="J304" s="69">
        <v>26251</v>
      </c>
      <c r="K304" s="72"/>
      <c r="L304" s="69">
        <f t="shared" si="653"/>
        <v>26251</v>
      </c>
      <c r="M304" s="86">
        <f t="shared" si="587"/>
        <v>37.966322314049584</v>
      </c>
      <c r="N304" s="79">
        <v>10.92</v>
      </c>
      <c r="O304" s="79">
        <v>9.4700000000000006</v>
      </c>
      <c r="P304" s="79">
        <v>12.38</v>
      </c>
      <c r="Q304" s="79">
        <v>10.67</v>
      </c>
      <c r="R304" s="79">
        <v>11.39</v>
      </c>
      <c r="S304" s="84">
        <v>6.95</v>
      </c>
      <c r="T304" s="85">
        <f t="shared" si="699"/>
        <v>10.296666666666669</v>
      </c>
      <c r="U304" s="63" t="s">
        <v>792</v>
      </c>
      <c r="V304" s="77" t="s">
        <v>214</v>
      </c>
      <c r="W304" s="77"/>
      <c r="X304" s="78">
        <v>0.3</v>
      </c>
      <c r="Y304" s="78"/>
      <c r="Z304" s="79">
        <v>0.32</v>
      </c>
      <c r="AA304" s="80">
        <v>45763</v>
      </c>
      <c r="AB304" s="81">
        <f t="shared" si="698"/>
        <v>99.25</v>
      </c>
      <c r="AC304" s="81">
        <f t="shared" si="700"/>
        <v>29.774999999999999</v>
      </c>
      <c r="AD304" s="81">
        <f t="shared" si="588"/>
        <v>390.81176249999993</v>
      </c>
      <c r="AE304" s="81">
        <f t="shared" si="701"/>
        <v>10.177389648437499</v>
      </c>
      <c r="AF304" s="167">
        <f t="shared" si="702"/>
        <v>0.31711369613651269</v>
      </c>
      <c r="AG304" s="264"/>
      <c r="AH304" s="264">
        <f t="shared" si="604"/>
        <v>0</v>
      </c>
      <c r="AI304" s="77"/>
      <c r="AJ304" s="79">
        <f t="shared" si="662"/>
        <v>390.81176249999993</v>
      </c>
      <c r="AK304" s="82">
        <f t="shared" si="663"/>
        <v>10.177389648437499</v>
      </c>
      <c r="AL304" s="82"/>
      <c r="AM304" s="82">
        <f t="shared" si="697"/>
        <v>93.046874999999986</v>
      </c>
      <c r="AN304" s="82" t="s">
        <v>701</v>
      </c>
      <c r="AO304" s="82"/>
      <c r="AP304" s="82"/>
      <c r="AQ304" s="63" t="s">
        <v>794</v>
      </c>
      <c r="AR304" s="77"/>
      <c r="AS304" s="63">
        <v>98</v>
      </c>
      <c r="AT304" s="63">
        <v>106</v>
      </c>
      <c r="AU304" s="63">
        <v>102</v>
      </c>
      <c r="AV304" s="63">
        <v>94</v>
      </c>
      <c r="AW304" s="63">
        <v>97</v>
      </c>
      <c r="AX304" s="63">
        <v>92</v>
      </c>
      <c r="AY304" s="63">
        <v>105</v>
      </c>
      <c r="AZ304" s="63">
        <v>101</v>
      </c>
      <c r="BA304" s="63">
        <v>110</v>
      </c>
      <c r="BB304" s="63">
        <v>96</v>
      </c>
      <c r="BC304" s="63">
        <v>91</v>
      </c>
      <c r="BD304" s="63">
        <v>99</v>
      </c>
    </row>
    <row r="305" spans="1:94" s="63" customFormat="1" ht="13.15" customHeight="1">
      <c r="A305" s="63" t="s">
        <v>262</v>
      </c>
      <c r="B305" s="63" t="s">
        <v>423</v>
      </c>
      <c r="C305" s="64" t="s">
        <v>424</v>
      </c>
      <c r="D305" s="65" t="s">
        <v>87</v>
      </c>
      <c r="E305" s="66" t="s">
        <v>425</v>
      </c>
      <c r="F305" s="95" t="s">
        <v>426</v>
      </c>
      <c r="G305" s="68" t="s">
        <v>273</v>
      </c>
      <c r="H305" s="69">
        <v>691.42857142857144</v>
      </c>
      <c r="I305" s="74">
        <v>38.4</v>
      </c>
      <c r="J305" s="69">
        <v>26251</v>
      </c>
      <c r="K305" s="72"/>
      <c r="L305" s="69">
        <f t="shared" si="653"/>
        <v>26251</v>
      </c>
      <c r="M305" s="86">
        <f t="shared" si="587"/>
        <v>37.966322314049584</v>
      </c>
      <c r="N305" s="79">
        <v>10.92</v>
      </c>
      <c r="O305" s="79">
        <v>9.4700000000000006</v>
      </c>
      <c r="P305" s="79">
        <v>12.38</v>
      </c>
      <c r="Q305" s="79">
        <v>10.67</v>
      </c>
      <c r="R305" s="79">
        <v>11.39</v>
      </c>
      <c r="S305" s="84">
        <v>6.95</v>
      </c>
      <c r="T305" s="85">
        <f t="shared" si="699"/>
        <v>10.296666666666669</v>
      </c>
      <c r="U305" s="63" t="s">
        <v>792</v>
      </c>
      <c r="V305" s="77" t="s">
        <v>214</v>
      </c>
      <c r="W305" s="77"/>
      <c r="X305" s="78">
        <v>0.3</v>
      </c>
      <c r="Y305" s="78"/>
      <c r="Z305" s="79">
        <v>0.32</v>
      </c>
      <c r="AA305" s="80">
        <v>45764</v>
      </c>
      <c r="AB305" s="81">
        <f t="shared" si="698"/>
        <v>101.25</v>
      </c>
      <c r="AC305" s="81">
        <f t="shared" si="700"/>
        <v>30.375</v>
      </c>
      <c r="AD305" s="81">
        <f t="shared" si="588"/>
        <v>398.68706250000002</v>
      </c>
      <c r="AE305" s="81">
        <f t="shared" si="701"/>
        <v>10.382475585937501</v>
      </c>
      <c r="AF305" s="167">
        <f t="shared" si="702"/>
        <v>0.33060280831159405</v>
      </c>
      <c r="AG305" s="264"/>
      <c r="AH305" s="264">
        <f t="shared" si="604"/>
        <v>0</v>
      </c>
      <c r="AI305" s="77"/>
      <c r="AJ305" s="79">
        <f t="shared" si="662"/>
        <v>398.68706250000002</v>
      </c>
      <c r="AK305" s="82">
        <f t="shared" si="663"/>
        <v>10.382475585937501</v>
      </c>
      <c r="AL305" s="82"/>
      <c r="AM305" s="82">
        <f t="shared" si="697"/>
        <v>94.921875</v>
      </c>
      <c r="AN305" s="82" t="s">
        <v>701</v>
      </c>
      <c r="AO305" s="82"/>
      <c r="AP305" s="82"/>
      <c r="AR305" s="77"/>
      <c r="AS305" s="63">
        <v>112</v>
      </c>
      <c r="AT305" s="63">
        <v>97</v>
      </c>
      <c r="AU305" s="63">
        <v>107</v>
      </c>
      <c r="AV305" s="63">
        <v>101</v>
      </c>
      <c r="AW305" s="63">
        <v>89</v>
      </c>
      <c r="AX305" s="63">
        <v>99</v>
      </c>
      <c r="AY305" s="63">
        <v>84</v>
      </c>
      <c r="AZ305" s="63">
        <v>86</v>
      </c>
      <c r="BA305" s="63">
        <v>102</v>
      </c>
      <c r="BB305" s="63">
        <v>113</v>
      </c>
      <c r="BC305" s="63">
        <v>108</v>
      </c>
      <c r="BD305" s="63">
        <v>117</v>
      </c>
    </row>
    <row r="306" spans="1:94" s="113" customFormat="1" ht="13.15" customHeight="1">
      <c r="A306" s="63" t="s">
        <v>262</v>
      </c>
      <c r="B306" s="63" t="s">
        <v>423</v>
      </c>
      <c r="C306" s="64" t="s">
        <v>424</v>
      </c>
      <c r="D306" s="65" t="s">
        <v>87</v>
      </c>
      <c r="E306" s="66" t="s">
        <v>425</v>
      </c>
      <c r="F306" s="95" t="s">
        <v>426</v>
      </c>
      <c r="G306" s="68" t="s">
        <v>273</v>
      </c>
      <c r="H306" s="69">
        <v>691.42857142857144</v>
      </c>
      <c r="I306" s="74">
        <v>38.4</v>
      </c>
      <c r="J306" s="69">
        <v>26251</v>
      </c>
      <c r="K306" s="72"/>
      <c r="L306" s="69">
        <f t="shared" si="653"/>
        <v>26251</v>
      </c>
      <c r="M306" s="86">
        <f t="shared" si="587"/>
        <v>37.966322314049584</v>
      </c>
      <c r="N306" s="79">
        <v>10.92</v>
      </c>
      <c r="O306" s="79">
        <v>9.4700000000000006</v>
      </c>
      <c r="P306" s="79">
        <v>12.38</v>
      </c>
      <c r="Q306" s="79">
        <v>10.67</v>
      </c>
      <c r="R306" s="79">
        <v>11.39</v>
      </c>
      <c r="S306" s="84">
        <v>6.95</v>
      </c>
      <c r="T306" s="85">
        <f t="shared" si="699"/>
        <v>10.296666666666669</v>
      </c>
      <c r="U306" s="63" t="s">
        <v>792</v>
      </c>
      <c r="V306" s="77" t="s">
        <v>103</v>
      </c>
      <c r="W306" s="77"/>
      <c r="X306" s="78">
        <v>0.3</v>
      </c>
      <c r="Y306" s="78"/>
      <c r="Z306" s="79">
        <v>0.32</v>
      </c>
      <c r="AA306" s="80">
        <v>45777</v>
      </c>
      <c r="AB306" s="81">
        <f t="shared" si="698"/>
        <v>97.1</v>
      </c>
      <c r="AC306" s="81">
        <f t="shared" si="700"/>
        <v>29.129999999999995</v>
      </c>
      <c r="AD306" s="81">
        <f t="shared" si="588"/>
        <v>382.34581499999996</v>
      </c>
      <c r="AE306" s="81">
        <f t="shared" si="701"/>
        <v>9.9569222656249998</v>
      </c>
      <c r="AF306" s="167">
        <f t="shared" si="702"/>
        <v>0.30199314460915438</v>
      </c>
      <c r="AG306" s="264"/>
      <c r="AH306" s="264">
        <f t="shared" si="604"/>
        <v>0</v>
      </c>
      <c r="AI306" s="77"/>
      <c r="AJ306" s="79">
        <f t="shared" si="662"/>
        <v>382.34581499999996</v>
      </c>
      <c r="AK306" s="82">
        <f t="shared" si="663"/>
        <v>9.9569222656249998</v>
      </c>
      <c r="AL306" s="82"/>
      <c r="AM306" s="82">
        <f t="shared" si="697"/>
        <v>91.031249999999986</v>
      </c>
      <c r="AN306" s="82" t="s">
        <v>701</v>
      </c>
      <c r="AO306" s="82"/>
      <c r="AP306" s="82"/>
      <c r="AQ306" s="63"/>
      <c r="AR306" s="77" t="s">
        <v>116</v>
      </c>
      <c r="AS306" s="63">
        <v>90</v>
      </c>
      <c r="AT306" s="63">
        <v>86</v>
      </c>
      <c r="AU306" s="63">
        <v>97</v>
      </c>
      <c r="AV306" s="63">
        <v>101</v>
      </c>
      <c r="AW306" s="63">
        <v>82</v>
      </c>
      <c r="AX306" s="63">
        <v>99</v>
      </c>
      <c r="AY306" s="63">
        <v>93</v>
      </c>
      <c r="AZ306" s="63">
        <v>112</v>
      </c>
      <c r="BA306" s="63">
        <v>105</v>
      </c>
      <c r="BB306" s="63">
        <v>98</v>
      </c>
      <c r="BC306" s="63">
        <v>92</v>
      </c>
      <c r="BD306" s="63">
        <v>110</v>
      </c>
      <c r="BE306" s="63">
        <v>103</v>
      </c>
      <c r="BF306" s="63">
        <v>99</v>
      </c>
      <c r="BG306" s="63">
        <v>85</v>
      </c>
      <c r="BH306" s="63">
        <v>106</v>
      </c>
      <c r="BI306" s="63">
        <v>101</v>
      </c>
      <c r="BJ306" s="63">
        <v>89</v>
      </c>
      <c r="BK306" s="63">
        <v>95</v>
      </c>
      <c r="BL306" s="63">
        <v>99</v>
      </c>
      <c r="BM306" s="63"/>
      <c r="BN306" s="63"/>
      <c r="BO306" s="63"/>
      <c r="BP306" s="63"/>
      <c r="BQ306" s="63"/>
      <c r="BR306" s="63"/>
      <c r="BS306" s="63"/>
      <c r="BT306" s="63"/>
      <c r="BU306" s="63"/>
      <c r="BV306" s="63"/>
      <c r="BW306" s="63"/>
      <c r="BX306" s="63"/>
      <c r="BY306" s="63"/>
      <c r="BZ306" s="63"/>
      <c r="CA306" s="63"/>
      <c r="CB306" s="63"/>
      <c r="CC306" s="63"/>
      <c r="CD306" s="63"/>
      <c r="CE306" s="63"/>
      <c r="CF306" s="63"/>
      <c r="CG306" s="63"/>
      <c r="CH306" s="63"/>
      <c r="CI306" s="63"/>
      <c r="CJ306" s="63"/>
      <c r="CK306" s="63"/>
      <c r="CL306" s="63"/>
      <c r="CM306" s="63"/>
      <c r="CN306" s="63"/>
      <c r="CO306" s="63"/>
      <c r="CP306" s="63"/>
    </row>
    <row r="307" spans="1:94" s="113" customFormat="1" ht="13.15" customHeight="1">
      <c r="A307" s="63" t="s">
        <v>262</v>
      </c>
      <c r="B307" s="63" t="s">
        <v>423</v>
      </c>
      <c r="C307" s="64" t="s">
        <v>424</v>
      </c>
      <c r="D307" s="65" t="s">
        <v>87</v>
      </c>
      <c r="E307" s="66" t="s">
        <v>425</v>
      </c>
      <c r="F307" s="95" t="s">
        <v>426</v>
      </c>
      <c r="G307" s="68" t="s">
        <v>273</v>
      </c>
      <c r="H307" s="69">
        <v>691.42857142857144</v>
      </c>
      <c r="I307" s="74">
        <v>38.4</v>
      </c>
      <c r="J307" s="69">
        <v>26251</v>
      </c>
      <c r="K307" s="72"/>
      <c r="L307" s="69">
        <f t="shared" ref="L307" si="703">J307-(J307*K307)</f>
        <v>26251</v>
      </c>
      <c r="M307" s="86">
        <f t="shared" ref="M307" si="704">L307/H307</f>
        <v>37.966322314049584</v>
      </c>
      <c r="N307" s="79">
        <v>10.92</v>
      </c>
      <c r="O307" s="79">
        <v>9.4700000000000006</v>
      </c>
      <c r="P307" s="79">
        <v>12.38</v>
      </c>
      <c r="Q307" s="79">
        <v>10.67</v>
      </c>
      <c r="R307" s="79">
        <v>11.39</v>
      </c>
      <c r="S307" s="84">
        <v>6.95</v>
      </c>
      <c r="T307" s="85">
        <f t="shared" ref="T307" si="705">AVERAGE(N307:S307)</f>
        <v>10.296666666666669</v>
      </c>
      <c r="U307" s="63" t="s">
        <v>792</v>
      </c>
      <c r="V307" s="77" t="s">
        <v>103</v>
      </c>
      <c r="W307" s="77"/>
      <c r="X307" s="78">
        <v>0.3</v>
      </c>
      <c r="Y307" s="78"/>
      <c r="Z307" s="79">
        <v>0.32</v>
      </c>
      <c r="AA307" s="80">
        <v>45839</v>
      </c>
      <c r="AB307" s="81">
        <f t="shared" ref="AB307" si="706">IFERROR(AVERAGE(AS307:CP307),0)</f>
        <v>108.83333333333333</v>
      </c>
      <c r="AC307" s="81">
        <f t="shared" ref="AC307" si="707">AB307*X307</f>
        <v>32.65</v>
      </c>
      <c r="AD307" s="81">
        <f t="shared" ref="AD307" si="708">(AC307*L307)/2000</f>
        <v>428.54757499999994</v>
      </c>
      <c r="AE307" s="81">
        <f t="shared" ref="AE307" si="709">IFERROR((AD307/I307),"")</f>
        <v>11.160093098958333</v>
      </c>
      <c r="AF307" s="167">
        <f t="shared" ref="AF307" si="710">IFERROR(((AE307-S307)/AE307),"")</f>
        <v>0.37724533851346603</v>
      </c>
      <c r="AG307" s="264"/>
      <c r="AH307" s="264">
        <f t="shared" si="604"/>
        <v>0</v>
      </c>
      <c r="AI307" s="77"/>
      <c r="AJ307" s="79">
        <f t="shared" ref="AJ307" si="711">AD307-(AI307*I307)</f>
        <v>428.54757499999994</v>
      </c>
      <c r="AK307" s="82">
        <f t="shared" ref="AK307" si="712">AJ307/I307</f>
        <v>11.160093098958333</v>
      </c>
      <c r="AL307" s="82"/>
      <c r="AM307" s="82">
        <f t="shared" ref="AM307" si="713">((AJ307*2000)/Z307)/J307</f>
        <v>102.03124999999999</v>
      </c>
      <c r="AN307" s="82" t="s">
        <v>701</v>
      </c>
      <c r="AO307" s="82"/>
      <c r="AP307" s="82"/>
      <c r="AQ307" s="63"/>
      <c r="AR307" s="77" t="s">
        <v>91</v>
      </c>
      <c r="AS307" s="63">
        <v>132</v>
      </c>
      <c r="AT307" s="63">
        <v>121</v>
      </c>
      <c r="AU307" s="63">
        <v>103</v>
      </c>
      <c r="AV307" s="63">
        <v>106</v>
      </c>
      <c r="AW307" s="63">
        <v>105</v>
      </c>
      <c r="AX307" s="63">
        <v>112</v>
      </c>
      <c r="AY307" s="63">
        <v>129</v>
      </c>
      <c r="AZ307" s="63">
        <v>84</v>
      </c>
      <c r="BA307" s="63">
        <v>129</v>
      </c>
      <c r="BB307" s="63">
        <v>100</v>
      </c>
      <c r="BC307" s="63">
        <v>110</v>
      </c>
      <c r="BD307" s="63">
        <v>75</v>
      </c>
      <c r="BE307" s="63"/>
      <c r="BF307" s="63"/>
      <c r="BG307" s="63"/>
      <c r="BH307" s="63"/>
      <c r="BI307" s="63"/>
      <c r="BJ307" s="63"/>
      <c r="BK307" s="63"/>
      <c r="BL307" s="63"/>
      <c r="BM307" s="63"/>
      <c r="BN307" s="63"/>
      <c r="BO307" s="63"/>
      <c r="BP307" s="63"/>
      <c r="BQ307" s="63"/>
      <c r="BR307" s="63"/>
      <c r="BS307" s="63"/>
      <c r="BT307" s="63"/>
      <c r="BU307" s="63"/>
      <c r="BV307" s="63"/>
      <c r="BW307" s="63"/>
      <c r="BX307" s="63"/>
      <c r="BY307" s="63"/>
      <c r="BZ307" s="63"/>
      <c r="CA307" s="63"/>
      <c r="CB307" s="63"/>
      <c r="CC307" s="63"/>
      <c r="CD307" s="63"/>
      <c r="CE307" s="63"/>
      <c r="CF307" s="63"/>
      <c r="CG307" s="63"/>
      <c r="CH307" s="63"/>
      <c r="CI307" s="63"/>
      <c r="CJ307" s="63"/>
      <c r="CK307" s="63"/>
      <c r="CL307" s="63"/>
      <c r="CM307" s="63"/>
      <c r="CN307" s="63"/>
      <c r="CO307" s="63"/>
      <c r="CP307" s="63"/>
    </row>
    <row r="308" spans="1:94" s="113" customFormat="1" ht="13.15" customHeight="1">
      <c r="A308" s="63" t="s">
        <v>262</v>
      </c>
      <c r="B308" s="63" t="s">
        <v>423</v>
      </c>
      <c r="C308" s="64" t="s">
        <v>424</v>
      </c>
      <c r="D308" s="65" t="s">
        <v>87</v>
      </c>
      <c r="E308" s="66" t="s">
        <v>425</v>
      </c>
      <c r="F308" s="95" t="s">
        <v>426</v>
      </c>
      <c r="G308" s="68" t="s">
        <v>273</v>
      </c>
      <c r="H308" s="69">
        <v>691.42857142857144</v>
      </c>
      <c r="I308" s="74">
        <v>38.4</v>
      </c>
      <c r="J308" s="69">
        <v>26251</v>
      </c>
      <c r="K308" s="72"/>
      <c r="L308" s="69">
        <f t="shared" ref="L308" si="714">J308-(J308*K308)</f>
        <v>26251</v>
      </c>
      <c r="M308" s="86">
        <f t="shared" ref="M308" si="715">L308/H308</f>
        <v>37.966322314049584</v>
      </c>
      <c r="N308" s="79">
        <v>10.92</v>
      </c>
      <c r="O308" s="79">
        <v>9.4700000000000006</v>
      </c>
      <c r="P308" s="79">
        <v>12.38</v>
      </c>
      <c r="Q308" s="79">
        <v>10.67</v>
      </c>
      <c r="R308" s="79">
        <v>11.39</v>
      </c>
      <c r="S308" s="84">
        <v>6.95</v>
      </c>
      <c r="T308" s="85">
        <f t="shared" ref="T308" si="716">AVERAGE(N308:S308)</f>
        <v>10.296666666666669</v>
      </c>
      <c r="U308" s="63" t="s">
        <v>792</v>
      </c>
      <c r="V308" s="77" t="s">
        <v>103</v>
      </c>
      <c r="W308" s="77"/>
      <c r="X308" s="78">
        <v>0.3</v>
      </c>
      <c r="Y308" s="78"/>
      <c r="Z308" s="79">
        <v>0.32</v>
      </c>
      <c r="AA308" s="80">
        <v>45863</v>
      </c>
      <c r="AB308" s="81">
        <v>96</v>
      </c>
      <c r="AC308" s="81">
        <f t="shared" ref="AC308" si="717">AB308*X308</f>
        <v>28.799999999999997</v>
      </c>
      <c r="AD308" s="81">
        <f t="shared" ref="AD308" si="718">(AC308*L308)/2000</f>
        <v>378.01439999999997</v>
      </c>
      <c r="AE308" s="81">
        <f t="shared" ref="AE308" si="719">IFERROR((AD308/I308),"")</f>
        <v>9.844125</v>
      </c>
      <c r="AF308" s="167">
        <f t="shared" ref="AF308" si="720">IFERROR(((AE308-S308)/AE308),"")</f>
        <v>0.2939951493911343</v>
      </c>
      <c r="AG308" s="264"/>
      <c r="AH308" s="264">
        <f t="shared" si="604"/>
        <v>0</v>
      </c>
      <c r="AI308" s="77"/>
      <c r="AJ308" s="79">
        <f t="shared" ref="AJ308" si="721">AD308-(AI308*I308)</f>
        <v>378.01439999999997</v>
      </c>
      <c r="AK308" s="82">
        <f t="shared" ref="AK308" si="722">AJ308/I308</f>
        <v>9.844125</v>
      </c>
      <c r="AL308" s="82"/>
      <c r="AM308" s="82">
        <f t="shared" ref="AM308" si="723">((AJ308*2000)/Z308)/J308</f>
        <v>89.999999999999986</v>
      </c>
      <c r="AN308" s="82" t="s">
        <v>701</v>
      </c>
      <c r="AO308" s="82"/>
      <c r="AP308" s="82"/>
      <c r="AQ308" s="63"/>
      <c r="AR308" s="77" t="s">
        <v>116</v>
      </c>
      <c r="AS308" s="63">
        <v>75</v>
      </c>
      <c r="AT308" s="63">
        <v>86</v>
      </c>
      <c r="AU308" s="63">
        <v>79</v>
      </c>
      <c r="AV308" s="63">
        <v>76</v>
      </c>
      <c r="AW308" s="63">
        <v>71</v>
      </c>
      <c r="AX308" s="63">
        <v>89</v>
      </c>
      <c r="AY308" s="63">
        <v>86</v>
      </c>
      <c r="AZ308" s="63">
        <v>79</v>
      </c>
      <c r="BA308" s="63">
        <v>79</v>
      </c>
      <c r="BB308" s="63">
        <v>86</v>
      </c>
      <c r="BC308" s="63">
        <v>90</v>
      </c>
      <c r="BD308" s="63">
        <v>83</v>
      </c>
      <c r="BE308" s="63">
        <v>79</v>
      </c>
      <c r="BF308" s="63">
        <v>80</v>
      </c>
      <c r="BG308" s="63">
        <v>76</v>
      </c>
      <c r="BH308" s="63">
        <v>72</v>
      </c>
      <c r="BI308" s="63"/>
      <c r="BJ308" s="63"/>
      <c r="BK308" s="63"/>
      <c r="BL308" s="63"/>
      <c r="BM308" s="63"/>
      <c r="BN308" s="63"/>
      <c r="BO308" s="63"/>
      <c r="BP308" s="63"/>
      <c r="BQ308" s="63"/>
      <c r="BR308" s="63"/>
      <c r="BS308" s="63"/>
      <c r="BT308" s="63"/>
      <c r="BU308" s="63"/>
      <c r="BV308" s="63"/>
      <c r="BW308" s="63"/>
      <c r="BX308" s="63"/>
      <c r="BY308" s="63"/>
      <c r="BZ308" s="63"/>
      <c r="CA308" s="63"/>
      <c r="CB308" s="63"/>
      <c r="CC308" s="63"/>
      <c r="CD308" s="63"/>
      <c r="CE308" s="63"/>
      <c r="CF308" s="63"/>
      <c r="CG308" s="63"/>
      <c r="CH308" s="63"/>
      <c r="CI308" s="63"/>
      <c r="CJ308" s="63"/>
      <c r="CK308" s="63"/>
      <c r="CL308" s="63"/>
      <c r="CM308" s="63"/>
      <c r="CN308" s="63"/>
      <c r="CO308" s="63"/>
      <c r="CP308" s="63"/>
    </row>
    <row r="309" spans="1:94" s="63" customFormat="1">
      <c r="A309" s="113" t="s">
        <v>262</v>
      </c>
      <c r="B309" s="113" t="s">
        <v>433</v>
      </c>
      <c r="C309" s="114" t="s">
        <v>434</v>
      </c>
      <c r="D309" s="128" t="s">
        <v>87</v>
      </c>
      <c r="E309" s="127" t="s">
        <v>156</v>
      </c>
      <c r="F309" s="126"/>
      <c r="G309" s="126"/>
      <c r="H309" s="123">
        <v>691.42857142857144</v>
      </c>
      <c r="I309" s="125">
        <v>34.89</v>
      </c>
      <c r="J309" s="123">
        <v>23900</v>
      </c>
      <c r="K309" s="124">
        <v>0.05</v>
      </c>
      <c r="L309" s="123">
        <f t="shared" si="653"/>
        <v>22705</v>
      </c>
      <c r="M309" s="122">
        <f t="shared" si="587"/>
        <v>32.837809917355372</v>
      </c>
      <c r="N309" s="118">
        <v>9.4499999999999993</v>
      </c>
      <c r="O309" s="118">
        <v>8.7100000000000009</v>
      </c>
      <c r="P309" s="118">
        <v>7.74</v>
      </c>
      <c r="Q309" s="118">
        <v>4</v>
      </c>
      <c r="R309" s="118">
        <v>10.41</v>
      </c>
      <c r="S309" s="118">
        <v>7.38</v>
      </c>
      <c r="T309" s="118">
        <f t="shared" si="699"/>
        <v>7.9483333333333341</v>
      </c>
      <c r="U309" s="113" t="s">
        <v>365</v>
      </c>
      <c r="V309" s="115" t="s">
        <v>103</v>
      </c>
      <c r="W309" s="115"/>
      <c r="X309" s="120">
        <v>0.31</v>
      </c>
      <c r="Y309" s="120"/>
      <c r="Z309" s="118">
        <v>0.32</v>
      </c>
      <c r="AA309" s="119">
        <v>45777</v>
      </c>
      <c r="AB309" s="117">
        <f t="shared" si="698"/>
        <v>79.099999999999994</v>
      </c>
      <c r="AC309" s="117">
        <f t="shared" si="700"/>
        <v>24.520999999999997</v>
      </c>
      <c r="AD309" s="117">
        <f t="shared" si="588"/>
        <v>278.37465249999997</v>
      </c>
      <c r="AE309" s="117">
        <f t="shared" si="701"/>
        <v>7.9786372169676119</v>
      </c>
      <c r="AF309" s="170">
        <f t="shared" si="702"/>
        <v>7.5030008344599483E-2</v>
      </c>
      <c r="AG309" s="265"/>
      <c r="AH309" s="265">
        <f t="shared" si="604"/>
        <v>0</v>
      </c>
      <c r="AI309" s="115"/>
      <c r="AJ309" s="118">
        <f t="shared" si="662"/>
        <v>278.37465249999997</v>
      </c>
      <c r="AK309" s="116">
        <f t="shared" si="663"/>
        <v>7.9786372169676119</v>
      </c>
      <c r="AL309" s="116"/>
      <c r="AM309" s="116">
        <f t="shared" si="697"/>
        <v>72.796718749999997</v>
      </c>
      <c r="AN309" s="116"/>
      <c r="AO309" s="116"/>
      <c r="AP309" s="116"/>
      <c r="AQ309" s="113"/>
      <c r="AR309" s="115" t="s">
        <v>116</v>
      </c>
      <c r="AS309" s="113">
        <v>90</v>
      </c>
      <c r="AT309" s="113">
        <v>81</v>
      </c>
      <c r="AU309" s="113">
        <v>79</v>
      </c>
      <c r="AV309" s="113">
        <v>95</v>
      </c>
      <c r="AW309" s="113">
        <v>78</v>
      </c>
      <c r="AX309" s="113">
        <v>76</v>
      </c>
      <c r="AY309" s="113">
        <v>64</v>
      </c>
      <c r="AZ309" s="113">
        <v>87</v>
      </c>
      <c r="BA309" s="113">
        <v>69</v>
      </c>
      <c r="BB309" s="113">
        <v>76</v>
      </c>
      <c r="BC309" s="113">
        <v>88</v>
      </c>
      <c r="BD309" s="113">
        <v>99</v>
      </c>
      <c r="BE309" s="113">
        <v>93</v>
      </c>
      <c r="BF309" s="113">
        <v>100</v>
      </c>
      <c r="BG309" s="113">
        <v>60</v>
      </c>
      <c r="BH309" s="113">
        <v>59</v>
      </c>
      <c r="BI309" s="113">
        <v>70</v>
      </c>
      <c r="BJ309" s="113">
        <v>67</v>
      </c>
      <c r="BK309" s="113">
        <v>72</v>
      </c>
      <c r="BL309" s="113">
        <v>79</v>
      </c>
      <c r="BM309" s="113"/>
      <c r="BN309" s="113"/>
      <c r="BO309" s="113"/>
      <c r="BP309" s="113"/>
      <c r="BQ309" s="113"/>
      <c r="BR309" s="113"/>
      <c r="BS309" s="113"/>
      <c r="BT309" s="113"/>
      <c r="BU309" s="113"/>
      <c r="BV309" s="113"/>
      <c r="BW309" s="113"/>
      <c r="BX309" s="113"/>
      <c r="BY309" s="113"/>
      <c r="BZ309" s="113"/>
      <c r="CA309" s="113"/>
      <c r="CB309" s="113"/>
      <c r="CC309" s="113"/>
      <c r="CD309" s="113"/>
      <c r="CE309" s="113"/>
      <c r="CF309" s="113"/>
      <c r="CG309" s="113"/>
      <c r="CH309" s="113"/>
      <c r="CI309" s="113"/>
      <c r="CJ309" s="113"/>
      <c r="CK309" s="113"/>
      <c r="CL309" s="113"/>
      <c r="CM309" s="113"/>
      <c r="CN309" s="113"/>
      <c r="CO309" s="113"/>
      <c r="CP309" s="113"/>
    </row>
    <row r="310" spans="1:94" s="295" customFormat="1" ht="13.5" thickBot="1">
      <c r="A310" s="238" t="s">
        <v>262</v>
      </c>
      <c r="B310" s="238" t="s">
        <v>435</v>
      </c>
      <c r="C310" s="239" t="s">
        <v>436</v>
      </c>
      <c r="D310" s="240" t="s">
        <v>87</v>
      </c>
      <c r="E310" s="241" t="s">
        <v>312</v>
      </c>
      <c r="F310" s="242"/>
      <c r="G310" s="242"/>
      <c r="H310" s="243">
        <v>691.42857142857144</v>
      </c>
      <c r="I310" s="244">
        <v>30.18</v>
      </c>
      <c r="J310" s="243">
        <v>20669</v>
      </c>
      <c r="K310" s="245"/>
      <c r="L310" s="243">
        <f t="shared" si="653"/>
        <v>20669</v>
      </c>
      <c r="M310" s="246">
        <f t="shared" si="587"/>
        <v>29.893181818181816</v>
      </c>
      <c r="N310" s="247">
        <v>7.93</v>
      </c>
      <c r="O310" s="247">
        <v>7.93</v>
      </c>
      <c r="P310" s="247">
        <v>9.73</v>
      </c>
      <c r="Q310" s="247">
        <v>4.2300000000000004</v>
      </c>
      <c r="R310" s="247">
        <v>10.28</v>
      </c>
      <c r="S310" s="293">
        <v>5.31</v>
      </c>
      <c r="T310" s="294">
        <f t="shared" si="699"/>
        <v>7.5683333333333342</v>
      </c>
      <c r="U310" s="238" t="s">
        <v>106</v>
      </c>
      <c r="V310" s="248" t="s">
        <v>103</v>
      </c>
      <c r="W310" s="248"/>
      <c r="X310" s="249">
        <v>0.27</v>
      </c>
      <c r="Y310" s="249"/>
      <c r="Z310" s="247">
        <v>0.3</v>
      </c>
      <c r="AA310" s="250">
        <v>45777</v>
      </c>
      <c r="AB310" s="251">
        <f t="shared" si="698"/>
        <v>92.55</v>
      </c>
      <c r="AC310" s="251">
        <f t="shared" si="700"/>
        <v>24.988500000000002</v>
      </c>
      <c r="AD310" s="251">
        <f t="shared" si="588"/>
        <v>258.24365325000002</v>
      </c>
      <c r="AE310" s="251">
        <f t="shared" si="701"/>
        <v>8.5567810884691848</v>
      </c>
      <c r="AF310" s="252">
        <f t="shared" si="702"/>
        <v>0.37943954097930965</v>
      </c>
      <c r="AG310" s="266"/>
      <c r="AH310" s="266">
        <f t="shared" si="604"/>
        <v>0</v>
      </c>
      <c r="AI310" s="248"/>
      <c r="AJ310" s="247">
        <f t="shared" si="662"/>
        <v>258.24365325000002</v>
      </c>
      <c r="AK310" s="253">
        <f t="shared" si="663"/>
        <v>8.5567810884691848</v>
      </c>
      <c r="AL310" s="253"/>
      <c r="AM310" s="253">
        <f t="shared" si="697"/>
        <v>83.295000000000016</v>
      </c>
      <c r="AN310" s="253" t="s">
        <v>795</v>
      </c>
      <c r="AO310" s="253"/>
      <c r="AP310" s="253"/>
      <c r="AQ310" s="238"/>
      <c r="AR310" s="248" t="s">
        <v>116</v>
      </c>
      <c r="AS310" s="238">
        <v>95</v>
      </c>
      <c r="AT310" s="238">
        <v>99</v>
      </c>
      <c r="AU310" s="238">
        <v>88</v>
      </c>
      <c r="AV310" s="238">
        <v>89</v>
      </c>
      <c r="AW310" s="238">
        <v>102</v>
      </c>
      <c r="AX310" s="238">
        <v>113</v>
      </c>
      <c r="AY310" s="238">
        <v>101</v>
      </c>
      <c r="AZ310" s="238">
        <v>99</v>
      </c>
      <c r="BA310" s="238">
        <v>86</v>
      </c>
      <c r="BB310" s="238">
        <v>95</v>
      </c>
      <c r="BC310" s="238">
        <v>79</v>
      </c>
      <c r="BD310" s="238">
        <v>75</v>
      </c>
      <c r="BE310" s="238">
        <v>89</v>
      </c>
      <c r="BF310" s="238">
        <v>68</v>
      </c>
      <c r="BG310" s="238">
        <v>90</v>
      </c>
      <c r="BH310" s="238">
        <v>100</v>
      </c>
      <c r="BI310" s="238">
        <v>96</v>
      </c>
      <c r="BJ310" s="238">
        <v>103</v>
      </c>
      <c r="BK310" s="238">
        <v>86</v>
      </c>
      <c r="BL310" s="238">
        <v>98</v>
      </c>
      <c r="BM310" s="238"/>
      <c r="BN310" s="238"/>
      <c r="BO310" s="238"/>
      <c r="BP310" s="238"/>
      <c r="BQ310" s="238"/>
      <c r="BR310" s="238"/>
      <c r="BS310" s="238"/>
      <c r="BT310" s="238"/>
      <c r="BU310" s="238"/>
      <c r="BV310" s="238"/>
      <c r="BW310" s="238"/>
      <c r="BX310" s="238"/>
      <c r="BY310" s="238"/>
      <c r="BZ310" s="238"/>
      <c r="CA310" s="238"/>
      <c r="CB310" s="238"/>
      <c r="CC310" s="238"/>
      <c r="CD310" s="238"/>
      <c r="CE310" s="238"/>
      <c r="CF310" s="238"/>
      <c r="CG310" s="238"/>
      <c r="CH310" s="238"/>
      <c r="CI310" s="238"/>
      <c r="CJ310" s="238"/>
      <c r="CK310" s="238"/>
      <c r="CL310" s="238"/>
      <c r="CM310" s="238"/>
      <c r="CN310" s="238"/>
      <c r="CO310" s="238"/>
      <c r="CP310" s="238"/>
    </row>
    <row r="311" spans="1:94" s="136" customFormat="1">
      <c r="A311" s="158" t="s">
        <v>437</v>
      </c>
      <c r="B311" s="158" t="s">
        <v>438</v>
      </c>
      <c r="C311" s="273" t="s">
        <v>439</v>
      </c>
      <c r="D311" s="274" t="s">
        <v>87</v>
      </c>
      <c r="E311" s="275" t="s">
        <v>88</v>
      </c>
      <c r="F311" s="276">
        <v>7</v>
      </c>
      <c r="G311" s="276" t="s">
        <v>145</v>
      </c>
      <c r="H311" s="277">
        <v>622</v>
      </c>
      <c r="I311" s="278">
        <v>36.81</v>
      </c>
      <c r="J311" s="279">
        <v>22639</v>
      </c>
      <c r="K311" s="280"/>
      <c r="L311" s="279">
        <f t="shared" si="653"/>
        <v>22639</v>
      </c>
      <c r="M311" s="281">
        <f t="shared" ref="M311:M366" si="724">L311/H311</f>
        <v>36.39710610932476</v>
      </c>
      <c r="N311" s="282"/>
      <c r="O311" s="282"/>
      <c r="P311" s="282"/>
      <c r="Q311" s="282"/>
      <c r="R311" s="282"/>
      <c r="S311" s="283">
        <v>6.24</v>
      </c>
      <c r="T311" s="284"/>
      <c r="U311" s="158" t="s">
        <v>796</v>
      </c>
      <c r="V311" s="285" t="s">
        <v>103</v>
      </c>
      <c r="W311" s="285"/>
      <c r="X311" s="286">
        <v>0.31</v>
      </c>
      <c r="Y311" s="286"/>
      <c r="Z311" s="287">
        <v>0.33</v>
      </c>
      <c r="AA311" s="288">
        <v>45775</v>
      </c>
      <c r="AB311" s="289">
        <f t="shared" si="698"/>
        <v>101.77777777777777</v>
      </c>
      <c r="AC311" s="289">
        <f t="shared" si="700"/>
        <v>31.551111111111108</v>
      </c>
      <c r="AD311" s="289">
        <f t="shared" ref="AD311:AD366" si="725">(AC311*L311)/2000</f>
        <v>357.1428022222222</v>
      </c>
      <c r="AE311" s="289">
        <f t="shared" si="701"/>
        <v>9.7023309487156251</v>
      </c>
      <c r="AF311" s="290">
        <f t="shared" si="702"/>
        <v>0.35685558109868032</v>
      </c>
      <c r="AG311" s="291">
        <v>8.74</v>
      </c>
      <c r="AH311" s="291">
        <f t="shared" si="604"/>
        <v>0.27612013648043365</v>
      </c>
      <c r="AI311" s="285"/>
      <c r="AJ311" s="287">
        <f t="shared" si="662"/>
        <v>357.1428022222222</v>
      </c>
      <c r="AK311" s="292">
        <f t="shared" si="663"/>
        <v>9.7023309487156251</v>
      </c>
      <c r="AL311" s="292"/>
      <c r="AM311" s="292">
        <f t="shared" si="697"/>
        <v>95.609427609427598</v>
      </c>
      <c r="AN311" s="292"/>
      <c r="AO311" s="292"/>
      <c r="AP311" s="292"/>
      <c r="AQ311" s="158"/>
      <c r="AR311" s="285" t="s">
        <v>165</v>
      </c>
      <c r="AS311" s="158">
        <v>108</v>
      </c>
      <c r="AT311" s="158">
        <v>100</v>
      </c>
      <c r="AU311" s="158">
        <v>87</v>
      </c>
      <c r="AV311" s="158">
        <v>101</v>
      </c>
      <c r="AW311" s="158">
        <v>113</v>
      </c>
      <c r="AX311" s="158">
        <v>101</v>
      </c>
      <c r="AY311" s="158">
        <v>100</v>
      </c>
      <c r="AZ311" s="158">
        <v>98</v>
      </c>
      <c r="BA311" s="158">
        <v>108</v>
      </c>
      <c r="BB311" s="158"/>
      <c r="BC311" s="158"/>
      <c r="BD311" s="158"/>
      <c r="BE311" s="158"/>
      <c r="BF311" s="158"/>
      <c r="BG311" s="158"/>
      <c r="BH311" s="158"/>
      <c r="BI311" s="158"/>
      <c r="BJ311" s="158"/>
      <c r="BK311" s="158"/>
      <c r="BL311" s="158"/>
      <c r="BM311" s="158"/>
      <c r="BN311" s="158"/>
      <c r="BO311" s="158"/>
      <c r="BP311" s="158"/>
      <c r="BQ311" s="158"/>
      <c r="BR311" s="158"/>
      <c r="BS311" s="158"/>
      <c r="BT311" s="158"/>
      <c r="BU311" s="158"/>
      <c r="BV311" s="158"/>
      <c r="BW311" s="158"/>
      <c r="BX311" s="158"/>
      <c r="BY311" s="158"/>
      <c r="BZ311" s="158"/>
      <c r="CA311" s="158"/>
      <c r="CB311" s="158"/>
      <c r="CC311" s="158"/>
      <c r="CD311" s="158"/>
      <c r="CE311" s="158"/>
      <c r="CF311" s="158"/>
      <c r="CG311" s="158"/>
      <c r="CH311" s="158"/>
      <c r="CI311" s="158"/>
      <c r="CJ311" s="158"/>
      <c r="CK311" s="158"/>
      <c r="CL311" s="158"/>
      <c r="CM311" s="158"/>
      <c r="CN311" s="158"/>
      <c r="CO311" s="158"/>
      <c r="CP311" s="158"/>
    </row>
    <row r="312" spans="1:94" s="63" customFormat="1">
      <c r="A312" s="63" t="s">
        <v>437</v>
      </c>
      <c r="B312" s="63" t="s">
        <v>442</v>
      </c>
      <c r="C312" s="64" t="s">
        <v>443</v>
      </c>
      <c r="D312" s="65" t="s">
        <v>87</v>
      </c>
      <c r="E312" s="66" t="s">
        <v>160</v>
      </c>
      <c r="F312" s="68" t="s">
        <v>444</v>
      </c>
      <c r="G312" s="68" t="s">
        <v>140</v>
      </c>
      <c r="H312" s="69">
        <v>726</v>
      </c>
      <c r="I312" s="70">
        <v>42.12009114</v>
      </c>
      <c r="J312" s="71">
        <v>30107</v>
      </c>
      <c r="K312" s="72"/>
      <c r="L312" s="71">
        <f t="shared" si="653"/>
        <v>30107</v>
      </c>
      <c r="M312" s="73">
        <f t="shared" si="724"/>
        <v>41.469696969696969</v>
      </c>
      <c r="N312" s="79"/>
      <c r="O312" s="79"/>
      <c r="P312" s="79"/>
      <c r="Q312" s="79">
        <v>4.28</v>
      </c>
      <c r="R312" s="79">
        <v>7.24</v>
      </c>
      <c r="S312" s="84">
        <v>6.31</v>
      </c>
      <c r="T312" s="85">
        <f t="shared" ref="T312:T317" si="726">AVERAGE(N312:R312)</f>
        <v>5.76</v>
      </c>
      <c r="U312" s="63" t="s">
        <v>365</v>
      </c>
      <c r="V312" s="77" t="s">
        <v>103</v>
      </c>
      <c r="W312" s="77"/>
      <c r="X312" s="78">
        <v>0.41</v>
      </c>
      <c r="Y312" s="78"/>
      <c r="Z312" s="79">
        <v>0.4</v>
      </c>
      <c r="AA312" s="80">
        <v>45762</v>
      </c>
      <c r="AB312" s="81">
        <f t="shared" si="698"/>
        <v>65.400000000000006</v>
      </c>
      <c r="AC312" s="81">
        <f t="shared" si="700"/>
        <v>26.814</v>
      </c>
      <c r="AD312" s="81">
        <f t="shared" si="725"/>
        <v>403.64454899999998</v>
      </c>
      <c r="AE312" s="81">
        <f t="shared" si="701"/>
        <v>9.5831831811178745</v>
      </c>
      <c r="AF312" s="167">
        <f t="shared" si="702"/>
        <v>0.34155490083578466</v>
      </c>
      <c r="AG312" s="264">
        <v>9.23</v>
      </c>
      <c r="AH312" s="264">
        <f t="shared" si="604"/>
        <v>0.38879200680701925</v>
      </c>
      <c r="AI312" s="77">
        <v>8</v>
      </c>
      <c r="AJ312" s="79">
        <f t="shared" si="662"/>
        <v>66.683819879999987</v>
      </c>
      <c r="AK312" s="82">
        <f t="shared" si="663"/>
        <v>1.5831831811178743</v>
      </c>
      <c r="AL312" s="82"/>
      <c r="AM312" s="82">
        <f t="shared" si="697"/>
        <v>11.074471033314508</v>
      </c>
      <c r="AN312" s="82" t="s">
        <v>701</v>
      </c>
      <c r="AO312" s="82">
        <f>9*I312</f>
        <v>379.08082026</v>
      </c>
      <c r="AP312" s="82">
        <f>AD312-AO312</f>
        <v>24.563728739999988</v>
      </c>
      <c r="AR312" s="77" t="s">
        <v>91</v>
      </c>
      <c r="AS312" s="63">
        <v>67</v>
      </c>
      <c r="AT312" s="63">
        <v>35</v>
      </c>
      <c r="AU312" s="63">
        <v>87</v>
      </c>
      <c r="AV312" s="63">
        <v>53</v>
      </c>
      <c r="AW312" s="63">
        <v>60</v>
      </c>
      <c r="AX312" s="63">
        <v>64</v>
      </c>
      <c r="AY312" s="63">
        <v>73</v>
      </c>
      <c r="AZ312" s="63">
        <v>62</v>
      </c>
      <c r="BA312" s="63">
        <v>70</v>
      </c>
      <c r="BB312" s="63">
        <v>62</v>
      </c>
      <c r="BC312" s="63">
        <v>66</v>
      </c>
      <c r="BD312" s="63">
        <v>61</v>
      </c>
      <c r="BE312" s="63">
        <v>73</v>
      </c>
      <c r="BF312" s="63">
        <v>72</v>
      </c>
      <c r="BG312" s="63">
        <v>65</v>
      </c>
      <c r="BH312" s="63">
        <v>62</v>
      </c>
      <c r="BI312" s="63">
        <v>73</v>
      </c>
      <c r="BJ312" s="63">
        <v>74</v>
      </c>
      <c r="BK312" s="63">
        <v>68</v>
      </c>
      <c r="BL312" s="63">
        <v>61</v>
      </c>
    </row>
    <row r="313" spans="1:94" s="113" customFormat="1">
      <c r="A313" s="63" t="s">
        <v>437</v>
      </c>
      <c r="B313" s="63" t="s">
        <v>442</v>
      </c>
      <c r="C313" s="64" t="s">
        <v>443</v>
      </c>
      <c r="D313" s="65" t="s">
        <v>87</v>
      </c>
      <c r="E313" s="66" t="s">
        <v>160</v>
      </c>
      <c r="F313" s="68" t="s">
        <v>444</v>
      </c>
      <c r="G313" s="68" t="s">
        <v>140</v>
      </c>
      <c r="H313" s="69">
        <v>726</v>
      </c>
      <c r="I313" s="70">
        <v>42.12009114</v>
      </c>
      <c r="J313" s="71">
        <v>30107</v>
      </c>
      <c r="K313" s="72"/>
      <c r="L313" s="71">
        <f t="shared" si="653"/>
        <v>30107</v>
      </c>
      <c r="M313" s="73">
        <f t="shared" si="724"/>
        <v>41.469696969696969</v>
      </c>
      <c r="N313" s="79"/>
      <c r="O313" s="79"/>
      <c r="P313" s="79"/>
      <c r="Q313" s="79">
        <v>4.28</v>
      </c>
      <c r="R313" s="79">
        <v>7.24</v>
      </c>
      <c r="S313" s="84">
        <v>6.31</v>
      </c>
      <c r="T313" s="85">
        <f t="shared" si="726"/>
        <v>5.76</v>
      </c>
      <c r="U313" s="63" t="s">
        <v>365</v>
      </c>
      <c r="V313" s="77" t="s">
        <v>103</v>
      </c>
      <c r="W313" s="77"/>
      <c r="X313" s="78">
        <v>0.41</v>
      </c>
      <c r="Y313" s="78"/>
      <c r="Z313" s="79">
        <v>0.4</v>
      </c>
      <c r="AA313" s="80">
        <v>45768</v>
      </c>
      <c r="AB313" s="81">
        <f t="shared" si="698"/>
        <v>61.06666666666667</v>
      </c>
      <c r="AC313" s="81">
        <f t="shared" si="700"/>
        <v>25.037333333333333</v>
      </c>
      <c r="AD313" s="81">
        <f t="shared" si="725"/>
        <v>376.89949733333333</v>
      </c>
      <c r="AE313" s="81">
        <f t="shared" si="701"/>
        <v>8.9482118184546113</v>
      </c>
      <c r="AF313" s="167">
        <f t="shared" si="702"/>
        <v>0.29483117655011437</v>
      </c>
      <c r="AG313" s="264">
        <v>9.23</v>
      </c>
      <c r="AH313" s="264">
        <f t="shared" si="604"/>
        <v>0.41638095925511565</v>
      </c>
      <c r="AI313" s="77">
        <v>8</v>
      </c>
      <c r="AJ313" s="79">
        <f t="shared" si="662"/>
        <v>39.938768213333333</v>
      </c>
      <c r="AK313" s="82">
        <f t="shared" si="663"/>
        <v>0.94821181845461067</v>
      </c>
      <c r="AL313" s="82"/>
      <c r="AM313" s="82">
        <f t="shared" si="697"/>
        <v>6.6328043666478438</v>
      </c>
      <c r="AN313" s="82" t="s">
        <v>701</v>
      </c>
      <c r="AO313" s="82">
        <f>9*I313</f>
        <v>379.08082026</v>
      </c>
      <c r="AP313" s="82">
        <f>AD313-AO313</f>
        <v>-2.1813229266666667</v>
      </c>
      <c r="AQ313" s="63"/>
      <c r="AR313" s="77" t="s">
        <v>116</v>
      </c>
      <c r="AS313" s="63">
        <v>71</v>
      </c>
      <c r="AT313" s="63">
        <v>50</v>
      </c>
      <c r="AU313" s="63">
        <v>64</v>
      </c>
      <c r="AV313" s="63">
        <v>71</v>
      </c>
      <c r="AW313" s="63">
        <v>56</v>
      </c>
      <c r="AX313" s="63">
        <v>50</v>
      </c>
      <c r="AY313" s="63">
        <v>71</v>
      </c>
      <c r="AZ313" s="63"/>
      <c r="BA313" s="63"/>
      <c r="BB313" s="63"/>
      <c r="BC313" s="63">
        <v>58</v>
      </c>
      <c r="BD313" s="63">
        <v>50</v>
      </c>
      <c r="BE313" s="63">
        <v>53</v>
      </c>
      <c r="BF313" s="63">
        <v>73</v>
      </c>
      <c r="BG313" s="63">
        <v>62</v>
      </c>
      <c r="BH313" s="63">
        <v>66</v>
      </c>
      <c r="BI313" s="63">
        <v>50</v>
      </c>
      <c r="BJ313" s="63">
        <v>71</v>
      </c>
      <c r="BK313" s="63"/>
      <c r="BL313" s="63"/>
      <c r="BM313" s="63"/>
      <c r="BN313" s="63"/>
      <c r="BO313" s="63"/>
      <c r="BP313" s="63"/>
      <c r="BQ313" s="63"/>
      <c r="BR313" s="63"/>
      <c r="BS313" s="63"/>
      <c r="BT313" s="63"/>
      <c r="BU313" s="63"/>
      <c r="BV313" s="63"/>
      <c r="BW313" s="63"/>
      <c r="BX313" s="63"/>
      <c r="BY313" s="63"/>
      <c r="BZ313" s="63"/>
      <c r="CA313" s="63"/>
      <c r="CB313" s="63"/>
      <c r="CC313" s="63"/>
      <c r="CD313" s="63"/>
      <c r="CE313" s="63"/>
      <c r="CF313" s="63"/>
      <c r="CG313" s="63"/>
      <c r="CH313" s="63"/>
      <c r="CI313" s="63"/>
      <c r="CJ313" s="63"/>
      <c r="CK313" s="63"/>
      <c r="CL313" s="63"/>
      <c r="CM313" s="63"/>
      <c r="CN313" s="63"/>
      <c r="CO313" s="63"/>
      <c r="CP313" s="63"/>
    </row>
    <row r="314" spans="1:94" s="113" customFormat="1">
      <c r="A314" s="63" t="s">
        <v>437</v>
      </c>
      <c r="B314" s="63" t="s">
        <v>442</v>
      </c>
      <c r="C314" s="64" t="s">
        <v>443</v>
      </c>
      <c r="D314" s="65" t="s">
        <v>87</v>
      </c>
      <c r="E314" s="66" t="s">
        <v>160</v>
      </c>
      <c r="F314" s="68" t="s">
        <v>444</v>
      </c>
      <c r="G314" s="68" t="s">
        <v>140</v>
      </c>
      <c r="H314" s="69">
        <v>726</v>
      </c>
      <c r="I314" s="70">
        <v>42.12009114</v>
      </c>
      <c r="J314" s="71">
        <v>30107</v>
      </c>
      <c r="K314" s="72"/>
      <c r="L314" s="71">
        <f t="shared" ref="L314" si="727">J314-(J314*K314)</f>
        <v>30107</v>
      </c>
      <c r="M314" s="73">
        <f t="shared" ref="M314" si="728">L314/H314</f>
        <v>41.469696969696969</v>
      </c>
      <c r="N314" s="79"/>
      <c r="O314" s="79"/>
      <c r="P314" s="79"/>
      <c r="Q314" s="79">
        <v>4.28</v>
      </c>
      <c r="R314" s="79">
        <v>7.24</v>
      </c>
      <c r="S314" s="84">
        <v>6.31</v>
      </c>
      <c r="T314" s="85">
        <f t="shared" si="726"/>
        <v>5.76</v>
      </c>
      <c r="U314" s="63" t="s">
        <v>365</v>
      </c>
      <c r="V314" s="77" t="s">
        <v>103</v>
      </c>
      <c r="W314" s="77"/>
      <c r="X314" s="78">
        <v>0.41</v>
      </c>
      <c r="Y314" s="78"/>
      <c r="Z314" s="79">
        <v>0.4</v>
      </c>
      <c r="AA314" s="80">
        <v>45838</v>
      </c>
      <c r="AB314" s="81">
        <f t="shared" ref="AB314" si="729">IFERROR(AVERAGE(AS314:CP314),0)</f>
        <v>59.458333333333336</v>
      </c>
      <c r="AC314" s="81">
        <f t="shared" ref="AC314" si="730">AB314*X314</f>
        <v>24.377916666666668</v>
      </c>
      <c r="AD314" s="81">
        <f t="shared" ref="AD314" si="731">(AC314*L314)/2000</f>
        <v>366.97296854166672</v>
      </c>
      <c r="AE314" s="81">
        <f t="shared" ref="AE314" si="732">IFERROR((AD314/I314),"")</f>
        <v>8.7125397550045935</v>
      </c>
      <c r="AF314" s="167">
        <f t="shared" ref="AF314" si="733">IFERROR(((AE314-S314)/AE314),"")</f>
        <v>0.27575653283240914</v>
      </c>
      <c r="AG314" s="264">
        <v>9.23</v>
      </c>
      <c r="AH314" s="264">
        <f t="shared" si="604"/>
        <v>0.42764396207729327</v>
      </c>
      <c r="AI314" s="77">
        <v>8</v>
      </c>
      <c r="AJ314" s="79">
        <f t="shared" ref="AJ314" si="734">AD314-(AI314*I314)</f>
        <v>30.01223942166672</v>
      </c>
      <c r="AK314" s="82">
        <f t="shared" ref="AK314" si="735">AJ314/I314</f>
        <v>0.71253975500459277</v>
      </c>
      <c r="AL314" s="82"/>
      <c r="AM314" s="82">
        <f t="shared" ref="AM314" si="736">((AJ314*2000)/Z314)/J314</f>
        <v>4.9842626999811861</v>
      </c>
      <c r="AN314" s="82" t="s">
        <v>701</v>
      </c>
      <c r="AO314" s="82">
        <f>9*I314</f>
        <v>379.08082026</v>
      </c>
      <c r="AP314" s="82">
        <f>AD314-AO314</f>
        <v>-12.107851718333279</v>
      </c>
      <c r="AQ314" s="63"/>
      <c r="AR314" s="77" t="s">
        <v>91</v>
      </c>
      <c r="AS314" s="63">
        <v>59</v>
      </c>
      <c r="AT314" s="63">
        <v>60</v>
      </c>
      <c r="AU314" s="63">
        <v>64</v>
      </c>
      <c r="AV314" s="63">
        <v>50</v>
      </c>
      <c r="AW314" s="63">
        <v>57</v>
      </c>
      <c r="AX314" s="63">
        <v>57</v>
      </c>
      <c r="AY314" s="63">
        <v>68</v>
      </c>
      <c r="AZ314" s="63">
        <v>41</v>
      </c>
      <c r="BA314" s="63">
        <v>54</v>
      </c>
      <c r="BB314" s="63">
        <v>50</v>
      </c>
      <c r="BC314" s="63">
        <v>55</v>
      </c>
      <c r="BD314" s="63">
        <v>64</v>
      </c>
      <c r="BE314" s="63">
        <v>53</v>
      </c>
      <c r="BF314" s="63">
        <v>56</v>
      </c>
      <c r="BG314" s="63">
        <v>45</v>
      </c>
      <c r="BH314" s="63">
        <v>74</v>
      </c>
      <c r="BI314" s="63">
        <v>67</v>
      </c>
      <c r="BJ314" s="63">
        <v>63</v>
      </c>
      <c r="BK314" s="63">
        <v>56</v>
      </c>
      <c r="BL314" s="63">
        <v>64</v>
      </c>
      <c r="BM314" s="63">
        <v>64</v>
      </c>
      <c r="BN314" s="63">
        <v>77</v>
      </c>
      <c r="BO314" s="63">
        <v>62</v>
      </c>
      <c r="BP314" s="63">
        <v>67</v>
      </c>
      <c r="BQ314" s="63"/>
      <c r="BR314" s="63"/>
      <c r="BS314" s="63"/>
      <c r="BT314" s="63"/>
      <c r="BU314" s="63"/>
      <c r="BV314" s="63"/>
      <c r="BW314" s="63"/>
      <c r="BX314" s="63"/>
      <c r="BY314" s="63"/>
      <c r="BZ314" s="63"/>
      <c r="CA314" s="63"/>
      <c r="CB314" s="63"/>
      <c r="CC314" s="63"/>
      <c r="CD314" s="63"/>
      <c r="CE314" s="63"/>
      <c r="CF314" s="63"/>
      <c r="CG314" s="63"/>
      <c r="CH314" s="63"/>
      <c r="CI314" s="63"/>
      <c r="CJ314" s="63"/>
      <c r="CK314" s="63"/>
      <c r="CL314" s="63"/>
      <c r="CM314" s="63"/>
      <c r="CN314" s="63"/>
      <c r="CO314" s="63"/>
      <c r="CP314" s="63"/>
    </row>
    <row r="315" spans="1:94" s="113" customFormat="1">
      <c r="A315" s="63" t="s">
        <v>437</v>
      </c>
      <c r="B315" s="63" t="s">
        <v>442</v>
      </c>
      <c r="C315" s="64" t="s">
        <v>443</v>
      </c>
      <c r="D315" s="65" t="s">
        <v>87</v>
      </c>
      <c r="E315" s="66" t="s">
        <v>160</v>
      </c>
      <c r="F315" s="68" t="s">
        <v>444</v>
      </c>
      <c r="G315" s="68" t="s">
        <v>140</v>
      </c>
      <c r="H315" s="69">
        <v>726</v>
      </c>
      <c r="I315" s="70">
        <v>42.12009114</v>
      </c>
      <c r="J315" s="71">
        <v>30107</v>
      </c>
      <c r="K315" s="72"/>
      <c r="L315" s="71">
        <f t="shared" ref="L315" si="737">J315-(J315*K315)</f>
        <v>30107</v>
      </c>
      <c r="M315" s="73">
        <f t="shared" ref="M315" si="738">L315/H315</f>
        <v>41.469696969696969</v>
      </c>
      <c r="N315" s="79"/>
      <c r="O315" s="79"/>
      <c r="P315" s="79"/>
      <c r="Q315" s="79">
        <v>4.28</v>
      </c>
      <c r="R315" s="79">
        <v>7.24</v>
      </c>
      <c r="S315" s="84">
        <v>6.31</v>
      </c>
      <c r="T315" s="85">
        <f t="shared" si="726"/>
        <v>5.76</v>
      </c>
      <c r="U315" s="63" t="s">
        <v>365</v>
      </c>
      <c r="V315" s="77" t="s">
        <v>103</v>
      </c>
      <c r="W315" s="77"/>
      <c r="X315" s="78">
        <v>0.41</v>
      </c>
      <c r="Y315" s="78"/>
      <c r="Z315" s="79">
        <v>0.4</v>
      </c>
      <c r="AA315" s="80">
        <v>45856</v>
      </c>
      <c r="AB315" s="81">
        <f t="shared" ref="AB315" si="739">IFERROR(AVERAGE(AS315:CP315),0)</f>
        <v>49.823529411764703</v>
      </c>
      <c r="AC315" s="81">
        <f t="shared" ref="AC315" si="740">AB315*X315</f>
        <v>20.427647058823528</v>
      </c>
      <c r="AD315" s="81">
        <f>(AC315*L315)/2000</f>
        <v>307.50758499999995</v>
      </c>
      <c r="AE315" s="81">
        <f>IFERROR((AD315/I315),"")</f>
        <v>7.3007340838341772</v>
      </c>
      <c r="AF315" s="167">
        <f t="shared" ref="AF315" si="741">IFERROR(((AE315-S315)/AE315),"")</f>
        <v>0.13570335153391411</v>
      </c>
      <c r="AG315" s="264">
        <v>9.23</v>
      </c>
      <c r="AH315" s="264">
        <f t="shared" si="604"/>
        <v>0.51034114895872973</v>
      </c>
      <c r="AI315" s="77">
        <v>8</v>
      </c>
      <c r="AJ315" s="79">
        <f t="shared" ref="AJ315" si="742">AD315-(AI315*I315)</f>
        <v>-29.453144120000047</v>
      </c>
      <c r="AK315" s="82">
        <f t="shared" ref="AK315" si="743">AJ315/I315</f>
        <v>-0.69926591616582257</v>
      </c>
      <c r="AL315" s="82"/>
      <c r="AM315" s="82">
        <f t="shared" ref="AM315" si="744">((AJ315*2000)/Z315)/J315</f>
        <v>-4.8914113196266724</v>
      </c>
      <c r="AN315" s="82" t="s">
        <v>701</v>
      </c>
      <c r="AO315" s="82">
        <f>9*I315</f>
        <v>379.08082026</v>
      </c>
      <c r="AP315" s="82">
        <f>AD315-AO315</f>
        <v>-71.573235260000047</v>
      </c>
      <c r="AQ315" s="63"/>
      <c r="AR315" s="77" t="s">
        <v>116</v>
      </c>
      <c r="AS315" s="63">
        <v>42</v>
      </c>
      <c r="AT315" s="63">
        <v>53</v>
      </c>
      <c r="AU315" s="63">
        <v>50</v>
      </c>
      <c r="AV315" s="63">
        <v>48</v>
      </c>
      <c r="AW315" s="63">
        <v>56</v>
      </c>
      <c r="AX315" s="63">
        <v>43</v>
      </c>
      <c r="AY315" s="63">
        <v>49</v>
      </c>
      <c r="AZ315" s="63">
        <v>51</v>
      </c>
      <c r="BA315" s="63">
        <v>50</v>
      </c>
      <c r="BB315" s="63">
        <v>46</v>
      </c>
      <c r="BC315" s="63">
        <v>48</v>
      </c>
      <c r="BD315" s="63">
        <v>43</v>
      </c>
      <c r="BE315" s="63">
        <v>55</v>
      </c>
      <c r="BF315" s="63">
        <v>50</v>
      </c>
      <c r="BG315" s="63">
        <v>47</v>
      </c>
      <c r="BH315" s="63">
        <v>49</v>
      </c>
      <c r="BI315" s="63">
        <v>67</v>
      </c>
      <c r="BJ315" s="63"/>
      <c r="BK315" s="63"/>
      <c r="BL315" s="63"/>
      <c r="BM315" s="63"/>
      <c r="BN315" s="63"/>
      <c r="BO315" s="63"/>
      <c r="BP315" s="63"/>
      <c r="BQ315" s="63"/>
      <c r="BR315" s="63"/>
      <c r="BS315" s="63"/>
      <c r="BT315" s="63"/>
      <c r="BU315" s="63"/>
      <c r="BV315" s="63"/>
      <c r="BW315" s="63"/>
      <c r="BX315" s="63"/>
      <c r="BY315" s="63"/>
      <c r="BZ315" s="63"/>
      <c r="CA315" s="63"/>
      <c r="CB315" s="63"/>
      <c r="CC315" s="63"/>
      <c r="CD315" s="63"/>
      <c r="CE315" s="63"/>
      <c r="CF315" s="63"/>
      <c r="CG315" s="63"/>
      <c r="CH315" s="63"/>
      <c r="CI315" s="63"/>
      <c r="CJ315" s="63"/>
      <c r="CK315" s="63"/>
      <c r="CL315" s="63"/>
      <c r="CM315" s="63"/>
      <c r="CN315" s="63"/>
      <c r="CO315" s="63"/>
      <c r="CP315" s="63"/>
    </row>
    <row r="316" spans="1:94" s="113" customFormat="1">
      <c r="A316" s="113" t="s">
        <v>437</v>
      </c>
      <c r="B316" s="113" t="s">
        <v>445</v>
      </c>
      <c r="C316" s="114" t="s">
        <v>446</v>
      </c>
      <c r="D316" s="128" t="s">
        <v>87</v>
      </c>
      <c r="E316" s="127" t="s">
        <v>114</v>
      </c>
      <c r="F316" s="126" t="s">
        <v>447</v>
      </c>
      <c r="G316" s="126" t="s">
        <v>96</v>
      </c>
      <c r="H316" s="123">
        <v>806.66666666666663</v>
      </c>
      <c r="I316" s="125">
        <v>46.96</v>
      </c>
      <c r="J316" s="123">
        <v>37779</v>
      </c>
      <c r="K316" s="124"/>
      <c r="L316" s="123">
        <f t="shared" si="653"/>
        <v>37779</v>
      </c>
      <c r="M316" s="122">
        <f t="shared" si="724"/>
        <v>46.833471074380171</v>
      </c>
      <c r="N316" s="118"/>
      <c r="O316" s="118"/>
      <c r="P316" s="118"/>
      <c r="Q316" s="118"/>
      <c r="R316" s="118">
        <v>6.77</v>
      </c>
      <c r="S316" s="153">
        <v>6.96</v>
      </c>
      <c r="T316" s="121">
        <f t="shared" si="726"/>
        <v>6.77</v>
      </c>
      <c r="U316" s="113" t="s">
        <v>297</v>
      </c>
      <c r="V316" s="115" t="s">
        <v>366</v>
      </c>
      <c r="W316" s="115"/>
      <c r="X316" s="120">
        <v>0.35</v>
      </c>
      <c r="Y316" s="120"/>
      <c r="Z316" s="118">
        <v>0.35</v>
      </c>
      <c r="AA316" s="119">
        <v>45768</v>
      </c>
      <c r="AB316" s="117">
        <f t="shared" si="698"/>
        <v>77.466666666666669</v>
      </c>
      <c r="AC316" s="117">
        <f t="shared" si="700"/>
        <v>27.113333333333333</v>
      </c>
      <c r="AD316" s="117">
        <f t="shared" si="725"/>
        <v>512.15731000000005</v>
      </c>
      <c r="AE316" s="117">
        <f t="shared" si="701"/>
        <v>10.906245954003408</v>
      </c>
      <c r="AF316" s="170">
        <f t="shared" si="702"/>
        <v>0.36183357414150746</v>
      </c>
      <c r="AG316" s="265">
        <v>8.93</v>
      </c>
      <c r="AH316" s="265">
        <f t="shared" si="604"/>
        <v>0.28580674528100597</v>
      </c>
      <c r="AI316" s="115">
        <v>10</v>
      </c>
      <c r="AJ316" s="118">
        <f t="shared" si="662"/>
        <v>42.55731000000003</v>
      </c>
      <c r="AK316" s="116">
        <f t="shared" si="663"/>
        <v>0.90624595400340779</v>
      </c>
      <c r="AL316" s="117">
        <f>(((AI316*M316)*2000)/L316)/Z316</f>
        <v>70.838252656434477</v>
      </c>
      <c r="AM316" s="116">
        <f t="shared" si="697"/>
        <v>6.4370319111524585</v>
      </c>
      <c r="AN316" s="116"/>
      <c r="AO316" s="116"/>
      <c r="AP316" s="116"/>
      <c r="AR316" s="115" t="s">
        <v>116</v>
      </c>
      <c r="AS316" s="113">
        <v>70</v>
      </c>
      <c r="AT316" s="113">
        <v>60</v>
      </c>
      <c r="AU316" s="113">
        <v>87</v>
      </c>
      <c r="AV316" s="113">
        <v>94</v>
      </c>
      <c r="AW316" s="113">
        <v>89</v>
      </c>
      <c r="AX316" s="113">
        <v>77</v>
      </c>
      <c r="AY316" s="113">
        <v>77</v>
      </c>
      <c r="AZ316" s="113">
        <v>72</v>
      </c>
      <c r="BA316" s="113">
        <v>58</v>
      </c>
      <c r="BB316" s="113">
        <v>81</v>
      </c>
      <c r="BC316" s="113">
        <v>78</v>
      </c>
      <c r="BD316" s="113">
        <v>83</v>
      </c>
      <c r="BE316" s="113">
        <v>78</v>
      </c>
      <c r="BF316" s="113">
        <v>80</v>
      </c>
      <c r="BG316" s="113">
        <v>78</v>
      </c>
    </row>
    <row r="317" spans="1:94" s="63" customFormat="1">
      <c r="A317" s="113" t="s">
        <v>437</v>
      </c>
      <c r="B317" s="113" t="s">
        <v>445</v>
      </c>
      <c r="C317" s="114" t="s">
        <v>446</v>
      </c>
      <c r="D317" s="128" t="s">
        <v>87</v>
      </c>
      <c r="E317" s="127" t="s">
        <v>114</v>
      </c>
      <c r="F317" s="126" t="s">
        <v>447</v>
      </c>
      <c r="G317" s="126" t="s">
        <v>96</v>
      </c>
      <c r="H317" s="123">
        <v>806.66666666666663</v>
      </c>
      <c r="I317" s="125">
        <v>46.96</v>
      </c>
      <c r="J317" s="123">
        <v>37779</v>
      </c>
      <c r="K317" s="124"/>
      <c r="L317" s="123">
        <f t="shared" si="653"/>
        <v>37779</v>
      </c>
      <c r="M317" s="122">
        <f t="shared" si="724"/>
        <v>46.833471074380171</v>
      </c>
      <c r="N317" s="118"/>
      <c r="O317" s="118"/>
      <c r="P317" s="118"/>
      <c r="Q317" s="118"/>
      <c r="R317" s="118">
        <v>6.77</v>
      </c>
      <c r="S317" s="153">
        <v>6.96</v>
      </c>
      <c r="T317" s="121">
        <f t="shared" si="726"/>
        <v>6.77</v>
      </c>
      <c r="U317" s="113" t="s">
        <v>106</v>
      </c>
      <c r="V317" s="115" t="s">
        <v>103</v>
      </c>
      <c r="W317" s="115"/>
      <c r="X317" s="120">
        <v>0.35</v>
      </c>
      <c r="Y317" s="120"/>
      <c r="Z317" s="118">
        <v>0.35</v>
      </c>
      <c r="AA317" s="119">
        <v>45789</v>
      </c>
      <c r="AB317" s="117">
        <f t="shared" si="698"/>
        <v>66.2</v>
      </c>
      <c r="AC317" s="117">
        <f t="shared" si="700"/>
        <v>23.169999999999998</v>
      </c>
      <c r="AD317" s="117">
        <f t="shared" si="725"/>
        <v>437.66971499999994</v>
      </c>
      <c r="AE317" s="117">
        <f t="shared" si="701"/>
        <v>9.3200535562180562</v>
      </c>
      <c r="AF317" s="170">
        <f t="shared" si="702"/>
        <v>0.25322317538009215</v>
      </c>
      <c r="AG317" s="265">
        <v>8.93</v>
      </c>
      <c r="AH317" s="265">
        <f t="shared" si="604"/>
        <v>0.33444857806296974</v>
      </c>
      <c r="AI317" s="115">
        <v>10</v>
      </c>
      <c r="AJ317" s="118">
        <f t="shared" si="662"/>
        <v>-31.930285000000083</v>
      </c>
      <c r="AK317" s="116">
        <f t="shared" si="663"/>
        <v>-0.6799464437819438</v>
      </c>
      <c r="AL317" s="117">
        <f>(((AI317*M317)*2000)/L317)/Z317</f>
        <v>70.838252656434477</v>
      </c>
      <c r="AM317" s="116">
        <f t="shared" si="697"/>
        <v>-4.8296347555142258</v>
      </c>
      <c r="AN317" s="116"/>
      <c r="AO317" s="116"/>
      <c r="AP317" s="116"/>
      <c r="AQ317" s="113"/>
      <c r="AR317" s="115" t="s">
        <v>116</v>
      </c>
      <c r="AS317" s="113">
        <v>58</v>
      </c>
      <c r="AT317" s="113">
        <v>82</v>
      </c>
      <c r="AU317" s="113">
        <v>69</v>
      </c>
      <c r="AV317" s="113">
        <v>65</v>
      </c>
      <c r="AW317" s="113">
        <v>70</v>
      </c>
      <c r="AX317" s="113">
        <v>72</v>
      </c>
      <c r="AY317" s="113">
        <v>59</v>
      </c>
      <c r="AZ317" s="113">
        <v>65</v>
      </c>
      <c r="BA317" s="113">
        <v>63</v>
      </c>
      <c r="BB317" s="113">
        <v>71</v>
      </c>
      <c r="BC317" s="113">
        <v>69</v>
      </c>
      <c r="BD317" s="113">
        <v>58</v>
      </c>
      <c r="BE317" s="113">
        <v>62</v>
      </c>
      <c r="BF317" s="113">
        <v>65</v>
      </c>
      <c r="BG317" s="113">
        <v>71</v>
      </c>
      <c r="BH317" s="113">
        <v>75</v>
      </c>
      <c r="BI317" s="113">
        <v>59</v>
      </c>
      <c r="BJ317" s="113">
        <v>57</v>
      </c>
      <c r="BK317" s="113">
        <v>71</v>
      </c>
      <c r="BL317" s="113">
        <v>63</v>
      </c>
      <c r="BM317" s="113"/>
      <c r="BN317" s="113"/>
      <c r="BO317" s="113"/>
      <c r="BP317" s="113"/>
      <c r="BQ317" s="113"/>
      <c r="BR317" s="113"/>
      <c r="BS317" s="113"/>
      <c r="BT317" s="113"/>
      <c r="BU317" s="113"/>
      <c r="BV317" s="113"/>
      <c r="BW317" s="113"/>
      <c r="BX317" s="113"/>
      <c r="BY317" s="113"/>
      <c r="BZ317" s="113"/>
      <c r="CA317" s="113"/>
      <c r="CB317" s="113"/>
      <c r="CC317" s="113"/>
      <c r="CD317" s="113"/>
      <c r="CE317" s="113"/>
      <c r="CF317" s="113"/>
      <c r="CG317" s="113"/>
      <c r="CH317" s="113"/>
      <c r="CI317" s="113"/>
      <c r="CJ317" s="113"/>
      <c r="CK317" s="113"/>
      <c r="CL317" s="113"/>
      <c r="CM317" s="113"/>
      <c r="CN317" s="113"/>
      <c r="CO317" s="113"/>
      <c r="CP317" s="113"/>
    </row>
    <row r="318" spans="1:94" s="113" customFormat="1">
      <c r="A318" s="63" t="s">
        <v>437</v>
      </c>
      <c r="B318" s="63" t="s">
        <v>451</v>
      </c>
      <c r="C318" s="64" t="s">
        <v>452</v>
      </c>
      <c r="D318" s="65" t="s">
        <v>87</v>
      </c>
      <c r="E318" s="66" t="s">
        <v>453</v>
      </c>
      <c r="F318" s="68" t="s">
        <v>181</v>
      </c>
      <c r="G318" s="68" t="s">
        <v>382</v>
      </c>
      <c r="H318" s="69">
        <v>777.85714285714289</v>
      </c>
      <c r="I318" s="74">
        <v>10.029999999999999</v>
      </c>
      <c r="J318" s="69">
        <v>7703</v>
      </c>
      <c r="K318" s="72"/>
      <c r="L318" s="69">
        <f t="shared" si="653"/>
        <v>7703</v>
      </c>
      <c r="M318" s="86">
        <f t="shared" si="724"/>
        <v>9.9028466483011925</v>
      </c>
      <c r="N318" s="79">
        <v>12.44</v>
      </c>
      <c r="O318" s="79">
        <v>7.7</v>
      </c>
      <c r="P318" s="79">
        <v>13.16</v>
      </c>
      <c r="Q318" s="79">
        <v>13.14</v>
      </c>
      <c r="R318" s="79">
        <v>11.39</v>
      </c>
      <c r="S318" s="84">
        <v>13.42</v>
      </c>
      <c r="T318" s="85">
        <f>AVERAGE(N318:S318)</f>
        <v>11.875</v>
      </c>
      <c r="U318" s="63" t="s">
        <v>365</v>
      </c>
      <c r="V318" s="77" t="s">
        <v>103</v>
      </c>
      <c r="W318" s="77"/>
      <c r="X318" s="78">
        <v>0.49</v>
      </c>
      <c r="Y318" s="78"/>
      <c r="Z318" s="79">
        <v>0.5</v>
      </c>
      <c r="AA318" s="80">
        <v>45761</v>
      </c>
      <c r="AB318" s="81">
        <f t="shared" si="698"/>
        <v>54.93333333333333</v>
      </c>
      <c r="AC318" s="81">
        <f t="shared" si="700"/>
        <v>26.917333333333332</v>
      </c>
      <c r="AD318" s="81">
        <f t="shared" si="725"/>
        <v>103.67210933333332</v>
      </c>
      <c r="AE318" s="81">
        <f t="shared" si="701"/>
        <v>10.33620232635427</v>
      </c>
      <c r="AF318" s="167">
        <f t="shared" si="702"/>
        <v>-0.29834919792378239</v>
      </c>
      <c r="AG318" s="264">
        <v>10.06</v>
      </c>
      <c r="AH318" s="264">
        <f t="shared" si="604"/>
        <v>0.47086041349059882</v>
      </c>
      <c r="AI318" s="77">
        <v>8</v>
      </c>
      <c r="AJ318" s="79">
        <f t="shared" si="662"/>
        <v>23.432109333333329</v>
      </c>
      <c r="AK318" s="82">
        <f t="shared" si="663"/>
        <v>2.3362023263542704</v>
      </c>
      <c r="AL318" s="82"/>
      <c r="AM318" s="82">
        <f t="shared" si="697"/>
        <v>12.167783634081959</v>
      </c>
      <c r="AN318" s="82"/>
      <c r="AO318" s="82"/>
      <c r="AP318" s="82"/>
      <c r="AQ318" s="63"/>
      <c r="AR318" s="77" t="s">
        <v>91</v>
      </c>
      <c r="AS318" s="63">
        <v>59</v>
      </c>
      <c r="AT318" s="63">
        <v>61</v>
      </c>
      <c r="AU318" s="63">
        <v>42</v>
      </c>
      <c r="AV318" s="63">
        <v>40</v>
      </c>
      <c r="AW318" s="63">
        <v>50</v>
      </c>
      <c r="AX318" s="63">
        <v>49</v>
      </c>
      <c r="AY318" s="63">
        <v>61</v>
      </c>
      <c r="AZ318" s="63">
        <v>65</v>
      </c>
      <c r="BA318" s="63">
        <v>47</v>
      </c>
      <c r="BB318" s="63">
        <v>52</v>
      </c>
      <c r="BC318" s="63">
        <v>47</v>
      </c>
      <c r="BD318" s="63">
        <v>54</v>
      </c>
      <c r="BE318" s="63">
        <v>75</v>
      </c>
      <c r="BF318" s="63">
        <v>58</v>
      </c>
      <c r="BG318" s="63">
        <v>64</v>
      </c>
      <c r="BH318" s="63"/>
      <c r="BI318" s="63"/>
      <c r="BJ318" s="63"/>
      <c r="BK318" s="63"/>
      <c r="BL318" s="63"/>
      <c r="BM318" s="63"/>
      <c r="BN318" s="63"/>
      <c r="BO318" s="63"/>
      <c r="BP318" s="63"/>
      <c r="BQ318" s="63"/>
      <c r="BR318" s="63"/>
      <c r="BS318" s="63"/>
      <c r="BT318" s="63"/>
      <c r="BU318" s="63"/>
      <c r="BV318" s="63"/>
      <c r="BW318" s="63"/>
      <c r="BX318" s="63"/>
      <c r="BY318" s="63"/>
      <c r="BZ318" s="63"/>
      <c r="CA318" s="63"/>
      <c r="CB318" s="63"/>
      <c r="CC318" s="63"/>
      <c r="CD318" s="63"/>
      <c r="CE318" s="63"/>
      <c r="CF318" s="63"/>
      <c r="CG318" s="63"/>
      <c r="CH318" s="63"/>
      <c r="CI318" s="63"/>
      <c r="CJ318" s="63"/>
      <c r="CK318" s="63"/>
      <c r="CL318" s="63"/>
      <c r="CM318" s="63"/>
      <c r="CN318" s="63"/>
      <c r="CO318" s="63"/>
      <c r="CP318" s="63"/>
    </row>
    <row r="319" spans="1:94" s="63" customFormat="1">
      <c r="A319" s="113" t="s">
        <v>437</v>
      </c>
      <c r="B319" s="113" t="s">
        <v>454</v>
      </c>
      <c r="C319" s="114" t="s">
        <v>455</v>
      </c>
      <c r="D319" s="128" t="s">
        <v>87</v>
      </c>
      <c r="E319" s="127" t="s">
        <v>129</v>
      </c>
      <c r="F319" s="126" t="s">
        <v>456</v>
      </c>
      <c r="G319" s="126" t="s">
        <v>96</v>
      </c>
      <c r="H319" s="123">
        <v>622.28571428571433</v>
      </c>
      <c r="I319" s="125">
        <v>9.27</v>
      </c>
      <c r="J319" s="123">
        <v>5633</v>
      </c>
      <c r="K319" s="124">
        <v>0.06</v>
      </c>
      <c r="L319" s="123">
        <f t="shared" si="653"/>
        <v>5295.02</v>
      </c>
      <c r="M319" s="122">
        <f t="shared" si="724"/>
        <v>8.5089853076216713</v>
      </c>
      <c r="N319" s="118">
        <v>4.84</v>
      </c>
      <c r="O319" s="118">
        <v>7.37</v>
      </c>
      <c r="P319" s="118">
        <v>6.16</v>
      </c>
      <c r="Q319" s="118">
        <v>5.36</v>
      </c>
      <c r="R319" s="118"/>
      <c r="S319" s="153">
        <v>7.22</v>
      </c>
      <c r="T319" s="121">
        <f>AVERAGE(N319:S319)</f>
        <v>6.1899999999999995</v>
      </c>
      <c r="U319" s="113" t="s">
        <v>365</v>
      </c>
      <c r="V319" s="115" t="s">
        <v>103</v>
      </c>
      <c r="W319" s="115"/>
      <c r="X319" s="120">
        <v>0.36</v>
      </c>
      <c r="Y319" s="120">
        <v>0.35</v>
      </c>
      <c r="Z319" s="118">
        <v>0.45</v>
      </c>
      <c r="AA319" s="119">
        <v>45775</v>
      </c>
      <c r="AB319" s="117">
        <f t="shared" si="698"/>
        <v>51.315789473684212</v>
      </c>
      <c r="AC319" s="117">
        <f>AB319*Y319</f>
        <v>17.960526315789473</v>
      </c>
      <c r="AD319" s="117">
        <f t="shared" si="725"/>
        <v>47.550673026315785</v>
      </c>
      <c r="AE319" s="117">
        <f t="shared" si="701"/>
        <v>5.1295224408107645</v>
      </c>
      <c r="AF319" s="170">
        <f t="shared" si="702"/>
        <v>-0.40753843721537897</v>
      </c>
      <c r="AG319" s="265"/>
      <c r="AH319" s="265">
        <f t="shared" si="604"/>
        <v>0</v>
      </c>
      <c r="AI319" s="115"/>
      <c r="AJ319" s="118">
        <f t="shared" si="662"/>
        <v>47.550673026315785</v>
      </c>
      <c r="AK319" s="116">
        <f t="shared" si="663"/>
        <v>5.1295224408107645</v>
      </c>
      <c r="AL319" s="116"/>
      <c r="AM319" s="116">
        <f t="shared" si="697"/>
        <v>37.517543859649116</v>
      </c>
      <c r="AN319" s="116"/>
      <c r="AO319" s="116"/>
      <c r="AP319" s="116"/>
      <c r="AQ319" s="113"/>
      <c r="AR319" s="115" t="s">
        <v>116</v>
      </c>
      <c r="AS319" s="113">
        <v>60</v>
      </c>
      <c r="AT319" s="113">
        <v>56</v>
      </c>
      <c r="AU319" s="113">
        <v>42</v>
      </c>
      <c r="AV319" s="113">
        <v>39</v>
      </c>
      <c r="AW319" s="113">
        <v>54</v>
      </c>
      <c r="AX319" s="113">
        <v>44</v>
      </c>
      <c r="AY319" s="113">
        <v>50</v>
      </c>
      <c r="AZ319" s="113">
        <v>59</v>
      </c>
      <c r="BA319" s="113">
        <v>33</v>
      </c>
      <c r="BB319" s="113">
        <v>51</v>
      </c>
      <c r="BC319" s="113">
        <v>76</v>
      </c>
      <c r="BD319" s="113">
        <v>49</v>
      </c>
      <c r="BE319" s="113">
        <v>49</v>
      </c>
      <c r="BF319" s="113">
        <v>50</v>
      </c>
      <c r="BG319" s="113">
        <v>50</v>
      </c>
      <c r="BH319" s="113">
        <v>60</v>
      </c>
      <c r="BI319" s="113">
        <v>61</v>
      </c>
      <c r="BJ319" s="113">
        <v>48</v>
      </c>
      <c r="BK319" s="113">
        <v>44</v>
      </c>
      <c r="BL319" s="113"/>
      <c r="BM319" s="113"/>
      <c r="BN319" s="113"/>
      <c r="BO319" s="113"/>
      <c r="BP319" s="113"/>
      <c r="BQ319" s="113"/>
      <c r="BR319" s="113"/>
      <c r="BS319" s="113"/>
      <c r="BT319" s="113"/>
      <c r="BU319" s="113"/>
      <c r="BV319" s="113"/>
      <c r="BW319" s="113"/>
      <c r="BX319" s="113"/>
      <c r="BY319" s="113"/>
      <c r="BZ319" s="113"/>
      <c r="CA319" s="113"/>
      <c r="CB319" s="113"/>
      <c r="CC319" s="113"/>
      <c r="CD319" s="113"/>
      <c r="CE319" s="113"/>
      <c r="CF319" s="113"/>
      <c r="CG319" s="113"/>
      <c r="CH319" s="113"/>
      <c r="CI319" s="113"/>
      <c r="CJ319" s="113"/>
      <c r="CK319" s="113"/>
      <c r="CL319" s="113"/>
      <c r="CM319" s="113"/>
      <c r="CN319" s="113"/>
      <c r="CO319" s="113"/>
      <c r="CP319" s="113"/>
    </row>
    <row r="320" spans="1:94" s="63" customFormat="1">
      <c r="A320" s="113" t="s">
        <v>437</v>
      </c>
      <c r="B320" s="113" t="s">
        <v>454</v>
      </c>
      <c r="C320" s="114" t="s">
        <v>455</v>
      </c>
      <c r="D320" s="128" t="s">
        <v>87</v>
      </c>
      <c r="E320" s="127" t="s">
        <v>129</v>
      </c>
      <c r="F320" s="126" t="s">
        <v>456</v>
      </c>
      <c r="G320" s="126" t="s">
        <v>96</v>
      </c>
      <c r="H320" s="123">
        <v>622.28571428571433</v>
      </c>
      <c r="I320" s="125">
        <v>9.27</v>
      </c>
      <c r="J320" s="123">
        <v>5633</v>
      </c>
      <c r="K320" s="124">
        <v>0.06</v>
      </c>
      <c r="L320" s="123">
        <f t="shared" ref="L320" si="745">J320-(J320*K320)</f>
        <v>5295.02</v>
      </c>
      <c r="M320" s="122">
        <f t="shared" ref="M320" si="746">L320/H320</f>
        <v>8.5089853076216713</v>
      </c>
      <c r="N320" s="118">
        <v>4.84</v>
      </c>
      <c r="O320" s="118">
        <v>7.37</v>
      </c>
      <c r="P320" s="118">
        <v>6.16</v>
      </c>
      <c r="Q320" s="118">
        <v>5.36</v>
      </c>
      <c r="R320" s="118"/>
      <c r="S320" s="153">
        <v>7.22</v>
      </c>
      <c r="T320" s="121">
        <f>AVERAGE(N320:S320)</f>
        <v>6.1899999999999995</v>
      </c>
      <c r="U320" s="113" t="s">
        <v>365</v>
      </c>
      <c r="V320" s="115" t="s">
        <v>103</v>
      </c>
      <c r="W320" s="115"/>
      <c r="X320" s="120">
        <v>0.36</v>
      </c>
      <c r="Y320" s="120">
        <v>0.35</v>
      </c>
      <c r="Z320" s="118">
        <v>0.45</v>
      </c>
      <c r="AA320" s="119">
        <v>45832</v>
      </c>
      <c r="AB320" s="117">
        <f t="shared" ref="AB320" si="747">IFERROR(AVERAGE(AS320:CP320),0)</f>
        <v>62</v>
      </c>
      <c r="AC320" s="117">
        <f>AB320*Y320</f>
        <v>21.7</v>
      </c>
      <c r="AD320" s="117">
        <f t="shared" ref="AD320" si="748">(AC320*L320)/2000</f>
        <v>57.450967000000006</v>
      </c>
      <c r="AE320" s="117">
        <f t="shared" ref="AE320" si="749">IFERROR((AD320/I320),"")</f>
        <v>6.1975153182308533</v>
      </c>
      <c r="AF320" s="170">
        <f t="shared" si="702"/>
        <v>-0.1649830019397234</v>
      </c>
      <c r="AG320" s="265"/>
      <c r="AH320" s="265">
        <f t="shared" si="604"/>
        <v>0</v>
      </c>
      <c r="AI320" s="115"/>
      <c r="AJ320" s="118">
        <f t="shared" ref="AJ320" si="750">AD320-(AI320*I320)</f>
        <v>57.450967000000006</v>
      </c>
      <c r="AK320" s="116">
        <f t="shared" ref="AK320" si="751">AJ320/I320</f>
        <v>6.1975153182308533</v>
      </c>
      <c r="AL320" s="116"/>
      <c r="AM320" s="116">
        <f t="shared" ref="AM320" si="752">((AJ320*2000)/Z320)/J320</f>
        <v>45.328888888888891</v>
      </c>
      <c r="AN320" s="116"/>
      <c r="AO320" s="116"/>
      <c r="AP320" s="116"/>
      <c r="AQ320" s="113"/>
      <c r="AR320" s="115" t="s">
        <v>91</v>
      </c>
      <c r="AS320" s="113">
        <v>77</v>
      </c>
      <c r="AT320" s="113">
        <v>64</v>
      </c>
      <c r="AU320" s="113">
        <v>56</v>
      </c>
      <c r="AV320" s="113">
        <v>89</v>
      </c>
      <c r="AW320" s="113">
        <v>68</v>
      </c>
      <c r="AX320" s="113">
        <v>48</v>
      </c>
      <c r="AY320" s="113">
        <v>61</v>
      </c>
      <c r="AZ320" s="113">
        <v>82</v>
      </c>
      <c r="BA320" s="113">
        <v>50</v>
      </c>
      <c r="BB320" s="113">
        <v>49</v>
      </c>
      <c r="BC320" s="113">
        <v>55</v>
      </c>
      <c r="BD320" s="113">
        <v>45</v>
      </c>
      <c r="BE320" s="113"/>
      <c r="BF320" s="113"/>
      <c r="BG320" s="113"/>
      <c r="BH320" s="113"/>
      <c r="BI320" s="113"/>
      <c r="BJ320" s="113"/>
      <c r="BK320" s="113"/>
      <c r="BL320" s="113"/>
      <c r="BM320" s="113"/>
      <c r="BN320" s="113"/>
      <c r="BO320" s="113"/>
      <c r="BP320" s="113"/>
      <c r="BQ320" s="113"/>
      <c r="BR320" s="113"/>
      <c r="BS320" s="113"/>
      <c r="BT320" s="113"/>
      <c r="BU320" s="113"/>
      <c r="BV320" s="113"/>
      <c r="BW320" s="113"/>
      <c r="BX320" s="113"/>
      <c r="BY320" s="113"/>
      <c r="BZ320" s="113"/>
      <c r="CA320" s="113"/>
      <c r="CB320" s="113"/>
      <c r="CC320" s="113"/>
      <c r="CD320" s="113"/>
      <c r="CE320" s="113"/>
      <c r="CF320" s="113"/>
      <c r="CG320" s="113"/>
      <c r="CH320" s="113"/>
      <c r="CI320" s="113"/>
      <c r="CJ320" s="113"/>
      <c r="CK320" s="113"/>
      <c r="CL320" s="113"/>
      <c r="CM320" s="113"/>
      <c r="CN320" s="113"/>
      <c r="CO320" s="113"/>
      <c r="CP320" s="113"/>
    </row>
    <row r="321" spans="1:94" s="63" customFormat="1">
      <c r="A321" s="63" t="s">
        <v>437</v>
      </c>
      <c r="B321" s="63" t="s">
        <v>457</v>
      </c>
      <c r="C321" s="64" t="s">
        <v>458</v>
      </c>
      <c r="D321" s="65" t="s">
        <v>87</v>
      </c>
      <c r="E321" s="66" t="s">
        <v>88</v>
      </c>
      <c r="F321" s="68"/>
      <c r="G321" s="68"/>
      <c r="H321" s="69">
        <v>622</v>
      </c>
      <c r="I321" s="74">
        <v>9.27</v>
      </c>
      <c r="J321" s="69">
        <v>5670</v>
      </c>
      <c r="K321" s="72">
        <v>0.03</v>
      </c>
      <c r="L321" s="69">
        <f t="shared" si="653"/>
        <v>5499.9</v>
      </c>
      <c r="M321" s="86">
        <f t="shared" si="724"/>
        <v>8.8422829581993572</v>
      </c>
      <c r="N321" s="79"/>
      <c r="O321" s="79"/>
      <c r="P321" s="79"/>
      <c r="Q321" s="79"/>
      <c r="R321" s="79"/>
      <c r="S321" s="84"/>
      <c r="T321" s="85"/>
      <c r="V321" s="77" t="s">
        <v>103</v>
      </c>
      <c r="W321" s="77"/>
      <c r="X321" s="78">
        <v>0.28999999999999998</v>
      </c>
      <c r="Y321" s="78"/>
      <c r="Z321" s="79">
        <v>0.33</v>
      </c>
      <c r="AA321" s="80">
        <v>45790</v>
      </c>
      <c r="AB321" s="81">
        <f t="shared" si="698"/>
        <v>107.8</v>
      </c>
      <c r="AC321" s="81">
        <f t="shared" si="700"/>
        <v>31.261999999999997</v>
      </c>
      <c r="AD321" s="81">
        <f t="shared" si="725"/>
        <v>85.968936899999989</v>
      </c>
      <c r="AE321" s="81">
        <f t="shared" si="701"/>
        <v>9.273887475728154</v>
      </c>
      <c r="AF321" s="167"/>
      <c r="AG321" s="264"/>
      <c r="AH321" s="264">
        <f t="shared" si="604"/>
        <v>0</v>
      </c>
      <c r="AI321" s="77"/>
      <c r="AJ321" s="79">
        <f t="shared" si="662"/>
        <v>85.968936899999989</v>
      </c>
      <c r="AK321" s="82">
        <f t="shared" si="663"/>
        <v>9.273887475728154</v>
      </c>
      <c r="AL321" s="82"/>
      <c r="AM321" s="82">
        <f t="shared" si="697"/>
        <v>91.891333333333307</v>
      </c>
      <c r="AN321" s="82" t="s">
        <v>701</v>
      </c>
      <c r="AO321" s="82"/>
      <c r="AP321" s="82"/>
      <c r="AR321" s="77" t="s">
        <v>116</v>
      </c>
      <c r="AS321" s="63">
        <v>115</v>
      </c>
      <c r="AT321" s="63">
        <v>97</v>
      </c>
      <c r="AU321" s="63">
        <v>112</v>
      </c>
      <c r="AV321" s="63">
        <v>117</v>
      </c>
      <c r="AW321" s="63">
        <v>103</v>
      </c>
      <c r="AX321" s="63">
        <v>109</v>
      </c>
      <c r="AY321" s="63">
        <v>99</v>
      </c>
      <c r="AZ321" s="63">
        <v>113</v>
      </c>
      <c r="BA321" s="63">
        <v>105</v>
      </c>
      <c r="BB321" s="63">
        <v>96</v>
      </c>
      <c r="BC321" s="63">
        <v>120</v>
      </c>
      <c r="BD321" s="63">
        <v>102</v>
      </c>
      <c r="BE321" s="63">
        <v>98</v>
      </c>
      <c r="BF321" s="63">
        <v>117</v>
      </c>
      <c r="BG321" s="63">
        <v>114</v>
      </c>
      <c r="BH321" s="63">
        <v>99</v>
      </c>
      <c r="BI321" s="63">
        <v>101</v>
      </c>
      <c r="BJ321" s="63">
        <v>109</v>
      </c>
      <c r="BK321" s="63">
        <v>113</v>
      </c>
      <c r="BL321" s="63">
        <v>117</v>
      </c>
    </row>
    <row r="322" spans="1:94" s="113" customFormat="1">
      <c r="A322" s="63" t="s">
        <v>437</v>
      </c>
      <c r="B322" s="63" t="s">
        <v>457</v>
      </c>
      <c r="C322" s="64" t="s">
        <v>458</v>
      </c>
      <c r="D322" s="65" t="s">
        <v>87</v>
      </c>
      <c r="E322" s="66" t="s">
        <v>88</v>
      </c>
      <c r="F322" s="68"/>
      <c r="G322" s="68"/>
      <c r="H322" s="69">
        <v>622</v>
      </c>
      <c r="I322" s="74">
        <v>9.27</v>
      </c>
      <c r="J322" s="69">
        <v>5670</v>
      </c>
      <c r="K322" s="72">
        <v>0.03</v>
      </c>
      <c r="L322" s="69">
        <f t="shared" si="653"/>
        <v>5499.9</v>
      </c>
      <c r="M322" s="86">
        <f t="shared" si="724"/>
        <v>8.8422829581993572</v>
      </c>
      <c r="N322" s="79"/>
      <c r="O322" s="79"/>
      <c r="P322" s="79"/>
      <c r="Q322" s="79"/>
      <c r="R322" s="79"/>
      <c r="S322" s="84"/>
      <c r="T322" s="85"/>
      <c r="U322" s="63"/>
      <c r="V322" s="77" t="s">
        <v>103</v>
      </c>
      <c r="W322" s="77"/>
      <c r="X322" s="78">
        <v>0.33</v>
      </c>
      <c r="Y322" s="78"/>
      <c r="Z322" s="79">
        <v>0.33</v>
      </c>
      <c r="AA322" s="80">
        <v>45819</v>
      </c>
      <c r="AB322" s="81">
        <f t="shared" si="698"/>
        <v>74.333333333333329</v>
      </c>
      <c r="AC322" s="81">
        <f t="shared" si="700"/>
        <v>24.53</v>
      </c>
      <c r="AD322" s="81">
        <f t="shared" si="725"/>
        <v>67.456273499999995</v>
      </c>
      <c r="AE322" s="81">
        <f t="shared" si="701"/>
        <v>7.2768364077669903</v>
      </c>
      <c r="AF322" s="167"/>
      <c r="AG322" s="264"/>
      <c r="AH322" s="264">
        <f t="shared" si="604"/>
        <v>0</v>
      </c>
      <c r="AI322" s="77"/>
      <c r="AJ322" s="79">
        <f t="shared" si="662"/>
        <v>67.456273499999995</v>
      </c>
      <c r="AK322" s="82">
        <f t="shared" si="663"/>
        <v>7.2768364077669903</v>
      </c>
      <c r="AL322" s="82"/>
      <c r="AM322" s="82">
        <f t="shared" si="697"/>
        <v>72.103333333333325</v>
      </c>
      <c r="AN322" s="82" t="s">
        <v>701</v>
      </c>
      <c r="AO322" s="82"/>
      <c r="AP322" s="82"/>
      <c r="AQ322" s="63"/>
      <c r="AR322" s="77" t="s">
        <v>91</v>
      </c>
      <c r="AS322" s="63">
        <v>71</v>
      </c>
      <c r="AT322" s="63">
        <v>67</v>
      </c>
      <c r="AU322" s="63">
        <v>67</v>
      </c>
      <c r="AV322" s="63">
        <v>69</v>
      </c>
      <c r="AW322" s="63">
        <v>64</v>
      </c>
      <c r="AX322" s="63">
        <v>79</v>
      </c>
      <c r="AY322" s="63">
        <v>83</v>
      </c>
      <c r="AZ322" s="63">
        <v>80</v>
      </c>
      <c r="BA322" s="63">
        <v>63</v>
      </c>
      <c r="BB322" s="63">
        <v>97</v>
      </c>
      <c r="BC322" s="63">
        <v>67</v>
      </c>
      <c r="BD322" s="63">
        <v>85</v>
      </c>
      <c r="BE322" s="63"/>
      <c r="BF322" s="63"/>
      <c r="BG322" s="63"/>
      <c r="BH322" s="63"/>
      <c r="BI322" s="63"/>
      <c r="BJ322" s="63"/>
      <c r="BK322" s="63"/>
      <c r="BL322" s="63"/>
      <c r="BM322" s="63"/>
      <c r="BN322" s="63"/>
      <c r="BO322" s="63"/>
      <c r="BP322" s="63"/>
      <c r="BQ322" s="63"/>
      <c r="BR322" s="63"/>
      <c r="BS322" s="63"/>
      <c r="BT322" s="63"/>
      <c r="BU322" s="63"/>
      <c r="BV322" s="63"/>
      <c r="BW322" s="63"/>
      <c r="BX322" s="63"/>
      <c r="BY322" s="63"/>
      <c r="BZ322" s="63"/>
      <c r="CA322" s="63"/>
      <c r="CB322" s="63"/>
      <c r="CC322" s="63"/>
      <c r="CD322" s="63"/>
      <c r="CE322" s="63"/>
      <c r="CF322" s="63"/>
      <c r="CG322" s="63"/>
      <c r="CH322" s="63"/>
      <c r="CI322" s="63"/>
      <c r="CJ322" s="63"/>
      <c r="CK322" s="63"/>
      <c r="CL322" s="63"/>
      <c r="CM322" s="63"/>
      <c r="CN322" s="63"/>
      <c r="CO322" s="63"/>
      <c r="CP322" s="63"/>
    </row>
    <row r="323" spans="1:94" s="113" customFormat="1">
      <c r="A323" s="63" t="s">
        <v>437</v>
      </c>
      <c r="B323" s="63" t="s">
        <v>457</v>
      </c>
      <c r="C323" s="64" t="s">
        <v>458</v>
      </c>
      <c r="D323" s="65" t="s">
        <v>87</v>
      </c>
      <c r="E323" s="66" t="s">
        <v>88</v>
      </c>
      <c r="F323" s="68"/>
      <c r="G323" s="68"/>
      <c r="H323" s="69">
        <v>622</v>
      </c>
      <c r="I323" s="74">
        <v>9.27</v>
      </c>
      <c r="J323" s="69">
        <v>5670</v>
      </c>
      <c r="K323" s="72">
        <v>0.03</v>
      </c>
      <c r="L323" s="69">
        <f t="shared" ref="L323" si="753">J323-(J323*K323)</f>
        <v>5499.9</v>
      </c>
      <c r="M323" s="86">
        <f t="shared" ref="M323" si="754">L323/H323</f>
        <v>8.8422829581993572</v>
      </c>
      <c r="N323" s="79"/>
      <c r="O323" s="79"/>
      <c r="P323" s="79"/>
      <c r="Q323" s="79"/>
      <c r="R323" s="79"/>
      <c r="S323" s="84"/>
      <c r="T323" s="85"/>
      <c r="U323" s="63"/>
      <c r="V323" s="77" t="s">
        <v>103</v>
      </c>
      <c r="W323" s="77"/>
      <c r="X323" s="78">
        <v>0.33</v>
      </c>
      <c r="Y323" s="78"/>
      <c r="Z323" s="79">
        <v>0.33</v>
      </c>
      <c r="AA323" s="80">
        <v>45849</v>
      </c>
      <c r="AB323" s="81">
        <f t="shared" ref="AB323" si="755">IFERROR(AVERAGE(AS323:CP323),0)</f>
        <v>42.0625</v>
      </c>
      <c r="AC323" s="81">
        <f t="shared" ref="AC323" si="756">AB323*X323</f>
        <v>13.880625</v>
      </c>
      <c r="AD323" s="81">
        <f t="shared" ref="AD323" si="757">(AC323*L323)/2000</f>
        <v>38.171024718749997</v>
      </c>
      <c r="AE323" s="81">
        <f t="shared" ref="AE323" si="758">IFERROR((AD323/I323),"")</f>
        <v>4.1176941444174755</v>
      </c>
      <c r="AF323" s="167"/>
      <c r="AG323" s="264"/>
      <c r="AH323" s="264">
        <f t="shared" si="604"/>
        <v>0</v>
      </c>
      <c r="AI323" s="77"/>
      <c r="AJ323" s="79">
        <f t="shared" ref="AJ323" si="759">AD323-(AI323*I323)</f>
        <v>38.171024718749997</v>
      </c>
      <c r="AK323" s="82">
        <f t="shared" ref="AK323" si="760">AJ323/I323</f>
        <v>4.1176941444174755</v>
      </c>
      <c r="AL323" s="82"/>
      <c r="AM323" s="82">
        <f t="shared" ref="AM323" si="761">((AJ323*2000)/Z323)/J323</f>
        <v>40.800624999999997</v>
      </c>
      <c r="AN323" s="82" t="s">
        <v>701</v>
      </c>
      <c r="AO323" s="82"/>
      <c r="AP323" s="82"/>
      <c r="AQ323" s="176" t="s">
        <v>797</v>
      </c>
      <c r="AR323" s="77" t="s">
        <v>116</v>
      </c>
      <c r="AS323" s="63">
        <v>41</v>
      </c>
      <c r="AT323" s="63">
        <v>39</v>
      </c>
      <c r="AU323" s="63">
        <v>43</v>
      </c>
      <c r="AV323" s="63">
        <v>38</v>
      </c>
      <c r="AW323" s="63">
        <v>42</v>
      </c>
      <c r="AX323" s="63">
        <v>36</v>
      </c>
      <c r="AY323" s="63">
        <v>45</v>
      </c>
      <c r="AZ323" s="63">
        <v>39</v>
      </c>
      <c r="BA323" s="63">
        <v>42</v>
      </c>
      <c r="BB323" s="63">
        <v>47</v>
      </c>
      <c r="BC323" s="63">
        <v>39</v>
      </c>
      <c r="BD323" s="63">
        <v>35</v>
      </c>
      <c r="BE323" s="63">
        <v>48</v>
      </c>
      <c r="BF323" s="63">
        <v>40</v>
      </c>
      <c r="BG323" s="63">
        <v>49</v>
      </c>
      <c r="BH323" s="63">
        <v>50</v>
      </c>
      <c r="BI323" s="63"/>
      <c r="BJ323" s="63"/>
      <c r="BK323" s="63"/>
      <c r="BL323" s="63"/>
      <c r="BM323" s="63"/>
      <c r="BN323" s="63"/>
      <c r="BO323" s="63"/>
      <c r="BP323" s="63"/>
      <c r="BQ323" s="63"/>
      <c r="BR323" s="63"/>
      <c r="BS323" s="63"/>
      <c r="BT323" s="63"/>
      <c r="BU323" s="63"/>
      <c r="BV323" s="63"/>
      <c r="BW323" s="63"/>
      <c r="BX323" s="63"/>
      <c r="BY323" s="63"/>
      <c r="BZ323" s="63"/>
      <c r="CA323" s="63"/>
      <c r="CB323" s="63"/>
      <c r="CC323" s="63"/>
      <c r="CD323" s="63"/>
      <c r="CE323" s="63"/>
      <c r="CF323" s="63"/>
      <c r="CG323" s="63"/>
      <c r="CH323" s="63"/>
      <c r="CI323" s="63"/>
      <c r="CJ323" s="63"/>
      <c r="CK323" s="63"/>
      <c r="CL323" s="63"/>
      <c r="CM323" s="63"/>
      <c r="CN323" s="63"/>
      <c r="CO323" s="63"/>
      <c r="CP323" s="63"/>
    </row>
    <row r="324" spans="1:94" s="113" customFormat="1">
      <c r="A324" s="113" t="s">
        <v>437</v>
      </c>
      <c r="B324" s="113" t="s">
        <v>459</v>
      </c>
      <c r="C324" s="114" t="s">
        <v>460</v>
      </c>
      <c r="D324" s="128" t="s">
        <v>87</v>
      </c>
      <c r="E324" s="127" t="s">
        <v>160</v>
      </c>
      <c r="F324" s="126">
        <v>4</v>
      </c>
      <c r="G324" s="126" t="s">
        <v>145</v>
      </c>
      <c r="H324" s="123">
        <v>622.28571428571433</v>
      </c>
      <c r="I324" s="125">
        <v>10.07</v>
      </c>
      <c r="J324" s="123">
        <v>6057</v>
      </c>
      <c r="K324" s="124">
        <v>0.15</v>
      </c>
      <c r="L324" s="123">
        <f t="shared" si="653"/>
        <v>5148.45</v>
      </c>
      <c r="M324" s="122">
        <f t="shared" si="724"/>
        <v>8.2734504132231397</v>
      </c>
      <c r="N324" s="125">
        <v>10.11</v>
      </c>
      <c r="O324" s="125">
        <v>7.08</v>
      </c>
      <c r="P324" s="125">
        <v>8.1</v>
      </c>
      <c r="Q324" s="125">
        <v>8.4</v>
      </c>
      <c r="R324" s="125">
        <v>8.23</v>
      </c>
      <c r="S324" s="154">
        <v>5.16</v>
      </c>
      <c r="T324" s="129">
        <f t="shared" ref="T324:T335" si="762">AVERAGE(N324:S324)</f>
        <v>7.8466666666666667</v>
      </c>
      <c r="U324" s="113" t="s">
        <v>365</v>
      </c>
      <c r="V324" s="115" t="s">
        <v>103</v>
      </c>
      <c r="W324" s="115"/>
      <c r="X324" s="120">
        <v>0.35</v>
      </c>
      <c r="Y324" s="120"/>
      <c r="Z324" s="118">
        <v>0.4</v>
      </c>
      <c r="AA324" s="119">
        <v>45771</v>
      </c>
      <c r="AB324" s="117">
        <f t="shared" si="698"/>
        <v>58.15</v>
      </c>
      <c r="AC324" s="117">
        <f t="shared" si="700"/>
        <v>20.352499999999999</v>
      </c>
      <c r="AD324" s="117">
        <f t="shared" si="725"/>
        <v>52.391914312499999</v>
      </c>
      <c r="AE324" s="117">
        <f t="shared" si="701"/>
        <v>5.2027720270605755</v>
      </c>
      <c r="AF324" s="170">
        <f t="shared" ref="AF324:AF366" si="763">IFERROR(((AE324-S324)/AE324),"")</f>
        <v>8.2210073472583807E-3</v>
      </c>
      <c r="AG324" s="265">
        <v>6.18</v>
      </c>
      <c r="AH324" s="265">
        <f t="shared" si="604"/>
        <v>0.34156937150761896</v>
      </c>
      <c r="AI324" s="115"/>
      <c r="AJ324" s="118">
        <f t="shared" si="662"/>
        <v>52.391914312499999</v>
      </c>
      <c r="AK324" s="116">
        <f t="shared" si="663"/>
        <v>5.2027720270605755</v>
      </c>
      <c r="AL324" s="116"/>
      <c r="AM324" s="116">
        <f t="shared" si="697"/>
        <v>43.249062499999994</v>
      </c>
      <c r="AN324" s="116" t="s">
        <v>701</v>
      </c>
      <c r="AO324" s="116">
        <f>7.5*I324</f>
        <v>75.525000000000006</v>
      </c>
      <c r="AP324" s="116">
        <f>AD324-AO324</f>
        <v>-23.133085687500007</v>
      </c>
      <c r="AR324" s="115"/>
      <c r="AS324" s="113">
        <v>53</v>
      </c>
      <c r="AT324" s="113">
        <v>51</v>
      </c>
      <c r="AU324" s="113">
        <v>48</v>
      </c>
      <c r="AV324" s="113">
        <v>56</v>
      </c>
      <c r="AW324" s="113">
        <v>68</v>
      </c>
      <c r="AX324" s="113">
        <v>47</v>
      </c>
      <c r="AY324" s="113">
        <v>58</v>
      </c>
      <c r="AZ324" s="113">
        <v>51</v>
      </c>
      <c r="BA324" s="113">
        <v>49</v>
      </c>
      <c r="BB324" s="113">
        <v>75</v>
      </c>
      <c r="BC324" s="113">
        <v>44</v>
      </c>
      <c r="BD324" s="113">
        <v>59</v>
      </c>
      <c r="BE324" s="113">
        <v>70</v>
      </c>
      <c r="BF324" s="113">
        <v>72</v>
      </c>
      <c r="BG324" s="113">
        <v>68</v>
      </c>
      <c r="BH324" s="113">
        <v>56</v>
      </c>
      <c r="BI324" s="113">
        <v>51</v>
      </c>
      <c r="BJ324" s="113">
        <v>69</v>
      </c>
      <c r="BK324" s="113">
        <v>62</v>
      </c>
      <c r="BL324" s="113">
        <v>56</v>
      </c>
    </row>
    <row r="325" spans="1:94" s="113" customFormat="1">
      <c r="A325" s="113" t="s">
        <v>437</v>
      </c>
      <c r="B325" s="113" t="s">
        <v>459</v>
      </c>
      <c r="C325" s="114" t="s">
        <v>460</v>
      </c>
      <c r="D325" s="128" t="s">
        <v>87</v>
      </c>
      <c r="E325" s="127" t="s">
        <v>160</v>
      </c>
      <c r="F325" s="126">
        <v>4</v>
      </c>
      <c r="G325" s="126" t="s">
        <v>145</v>
      </c>
      <c r="H325" s="123">
        <v>622.28571428571433</v>
      </c>
      <c r="I325" s="125">
        <v>10.07</v>
      </c>
      <c r="J325" s="123">
        <v>6057</v>
      </c>
      <c r="K325" s="124">
        <v>0.15</v>
      </c>
      <c r="L325" s="123">
        <f t="shared" ref="L325:L358" si="764">J325-(J325*K325)</f>
        <v>5148.45</v>
      </c>
      <c r="M325" s="122">
        <f t="shared" si="724"/>
        <v>8.2734504132231397</v>
      </c>
      <c r="N325" s="125">
        <v>10.11</v>
      </c>
      <c r="O325" s="125">
        <v>7.08</v>
      </c>
      <c r="P325" s="125">
        <v>8.1</v>
      </c>
      <c r="Q325" s="125">
        <v>8.4</v>
      </c>
      <c r="R325" s="125">
        <v>8.23</v>
      </c>
      <c r="S325" s="154">
        <v>5.16</v>
      </c>
      <c r="T325" s="129">
        <f t="shared" si="762"/>
        <v>7.8466666666666667</v>
      </c>
      <c r="U325" s="113" t="s">
        <v>365</v>
      </c>
      <c r="V325" s="115" t="s">
        <v>103</v>
      </c>
      <c r="W325" s="115"/>
      <c r="X325" s="120">
        <v>0.35</v>
      </c>
      <c r="Y325" s="120"/>
      <c r="Z325" s="118">
        <v>0.4</v>
      </c>
      <c r="AA325" s="119">
        <v>45798</v>
      </c>
      <c r="AB325" s="117">
        <f t="shared" si="698"/>
        <v>73.833333333333329</v>
      </c>
      <c r="AC325" s="117">
        <f t="shared" si="700"/>
        <v>25.841666666666665</v>
      </c>
      <c r="AD325" s="117">
        <f t="shared" si="725"/>
        <v>66.522264374999992</v>
      </c>
      <c r="AE325" s="117">
        <f t="shared" si="701"/>
        <v>6.6059845456802373</v>
      </c>
      <c r="AF325" s="170">
        <f t="shared" si="763"/>
        <v>0.21889008908229893</v>
      </c>
      <c r="AG325" s="265">
        <v>6.18</v>
      </c>
      <c r="AH325" s="265">
        <f t="shared" ref="AH325:AH388" si="765">(((AG325*M325)*2000)/L325)/AB325</f>
        <v>0.26901479394809991</v>
      </c>
      <c r="AI325" s="115"/>
      <c r="AJ325" s="118">
        <f t="shared" si="662"/>
        <v>66.522264374999992</v>
      </c>
      <c r="AK325" s="116">
        <f t="shared" si="663"/>
        <v>6.6059845456802373</v>
      </c>
      <c r="AL325" s="116"/>
      <c r="AM325" s="116">
        <f t="shared" si="697"/>
        <v>54.91354166666666</v>
      </c>
      <c r="AN325" s="116" t="s">
        <v>701</v>
      </c>
      <c r="AO325" s="116">
        <f>7.5*I325</f>
        <v>75.525000000000006</v>
      </c>
      <c r="AP325" s="116">
        <f>AD325-AO325</f>
        <v>-9.0027356250000139</v>
      </c>
      <c r="AR325" s="115"/>
      <c r="AS325" s="113">
        <v>64</v>
      </c>
      <c r="AT325" s="113">
        <v>75</v>
      </c>
      <c r="AU325" s="113">
        <v>83</v>
      </c>
      <c r="AV325" s="113">
        <v>46</v>
      </c>
      <c r="AW325" s="113">
        <v>71</v>
      </c>
      <c r="AX325" s="113">
        <v>89</v>
      </c>
      <c r="AY325" s="113">
        <v>81</v>
      </c>
      <c r="AZ325" s="113">
        <v>112</v>
      </c>
      <c r="BA325" s="113">
        <v>43</v>
      </c>
      <c r="BB325" s="113">
        <v>79</v>
      </c>
      <c r="BC325" s="113">
        <v>54</v>
      </c>
      <c r="BD325" s="113">
        <v>89</v>
      </c>
    </row>
    <row r="326" spans="1:94" s="63" customFormat="1">
      <c r="A326" s="113" t="s">
        <v>437</v>
      </c>
      <c r="B326" s="113" t="s">
        <v>459</v>
      </c>
      <c r="C326" s="114" t="s">
        <v>460</v>
      </c>
      <c r="D326" s="128" t="s">
        <v>87</v>
      </c>
      <c r="E326" s="127" t="s">
        <v>160</v>
      </c>
      <c r="F326" s="126">
        <v>4</v>
      </c>
      <c r="G326" s="126" t="s">
        <v>145</v>
      </c>
      <c r="H326" s="123">
        <v>622.28571428571433</v>
      </c>
      <c r="I326" s="125">
        <v>10.07</v>
      </c>
      <c r="J326" s="123">
        <v>6057</v>
      </c>
      <c r="K326" s="124">
        <v>0.15</v>
      </c>
      <c r="L326" s="123">
        <f t="shared" si="764"/>
        <v>5148.45</v>
      </c>
      <c r="M326" s="122">
        <f t="shared" si="724"/>
        <v>8.2734504132231397</v>
      </c>
      <c r="N326" s="125">
        <v>10.11</v>
      </c>
      <c r="O326" s="125">
        <v>7.08</v>
      </c>
      <c r="P326" s="125">
        <v>8.1</v>
      </c>
      <c r="Q326" s="125">
        <v>8.4</v>
      </c>
      <c r="R326" s="125">
        <v>8.23</v>
      </c>
      <c r="S326" s="154">
        <v>5.16</v>
      </c>
      <c r="T326" s="129">
        <f t="shared" si="762"/>
        <v>7.8466666666666667</v>
      </c>
      <c r="U326" s="113" t="s">
        <v>365</v>
      </c>
      <c r="V326" s="115" t="s">
        <v>103</v>
      </c>
      <c r="W326" s="115"/>
      <c r="X326" s="120">
        <v>0.35</v>
      </c>
      <c r="Y326" s="120"/>
      <c r="Z326" s="118">
        <v>0.4</v>
      </c>
      <c r="AA326" s="119">
        <v>45820</v>
      </c>
      <c r="AB326" s="117">
        <f t="shared" si="698"/>
        <v>63.125</v>
      </c>
      <c r="AC326" s="117">
        <f t="shared" si="700"/>
        <v>22.09375</v>
      </c>
      <c r="AD326" s="117">
        <f t="shared" si="725"/>
        <v>56.87428359375</v>
      </c>
      <c r="AE326" s="117">
        <f t="shared" si="701"/>
        <v>5.6478931076216483</v>
      </c>
      <c r="AF326" s="170">
        <f t="shared" si="763"/>
        <v>8.6384975481078471E-2</v>
      </c>
      <c r="AG326" s="265">
        <v>6.18</v>
      </c>
      <c r="AH326" s="265">
        <f t="shared" si="765"/>
        <v>0.31464964678286006</v>
      </c>
      <c r="AI326" s="115"/>
      <c r="AJ326" s="118">
        <f t="shared" si="662"/>
        <v>56.87428359375</v>
      </c>
      <c r="AK326" s="116">
        <f t="shared" si="663"/>
        <v>5.6478931076216483</v>
      </c>
      <c r="AL326" s="116"/>
      <c r="AM326" s="116">
        <f t="shared" si="697"/>
        <v>46.94921875</v>
      </c>
      <c r="AN326" s="116" t="s">
        <v>701</v>
      </c>
      <c r="AO326" s="116">
        <f>7.5*I326</f>
        <v>75.525000000000006</v>
      </c>
      <c r="AP326" s="116">
        <f>AD326-AO326</f>
        <v>-18.650716406250005</v>
      </c>
      <c r="AQ326" s="113"/>
      <c r="AR326" s="115"/>
      <c r="AS326" s="113">
        <v>66</v>
      </c>
      <c r="AT326" s="113">
        <v>57</v>
      </c>
      <c r="AU326" s="113">
        <v>60</v>
      </c>
      <c r="AV326" s="113">
        <v>46</v>
      </c>
      <c r="AW326" s="113">
        <v>84</v>
      </c>
      <c r="AX326" s="113">
        <v>70</v>
      </c>
      <c r="AY326" s="113">
        <v>61</v>
      </c>
      <c r="AZ326" s="113">
        <v>61</v>
      </c>
      <c r="BA326" s="113"/>
      <c r="BB326" s="113"/>
      <c r="BC326" s="113"/>
      <c r="BD326" s="113"/>
      <c r="BE326" s="113"/>
      <c r="BF326" s="113"/>
      <c r="BG326" s="113"/>
      <c r="BH326" s="113"/>
      <c r="BI326" s="113"/>
      <c r="BJ326" s="113"/>
      <c r="BK326" s="113"/>
      <c r="BL326" s="113"/>
      <c r="BM326" s="113"/>
      <c r="BN326" s="113"/>
      <c r="BO326" s="113"/>
      <c r="BP326" s="113"/>
      <c r="BQ326" s="113"/>
      <c r="BR326" s="113"/>
      <c r="BS326" s="113"/>
      <c r="BT326" s="113"/>
      <c r="BU326" s="113"/>
      <c r="BV326" s="113"/>
      <c r="BW326" s="113"/>
      <c r="BX326" s="113"/>
      <c r="BY326" s="113"/>
      <c r="BZ326" s="113"/>
      <c r="CA326" s="113"/>
      <c r="CB326" s="113"/>
      <c r="CC326" s="113"/>
      <c r="CD326" s="113"/>
      <c r="CE326" s="113"/>
      <c r="CF326" s="113"/>
      <c r="CG326" s="113"/>
      <c r="CH326" s="113"/>
      <c r="CI326" s="113"/>
      <c r="CJ326" s="113"/>
      <c r="CK326" s="113"/>
      <c r="CL326" s="113"/>
      <c r="CM326" s="113"/>
      <c r="CN326" s="113"/>
      <c r="CO326" s="113"/>
      <c r="CP326" s="113"/>
    </row>
    <row r="327" spans="1:94" s="63" customFormat="1">
      <c r="A327" s="63" t="s">
        <v>437</v>
      </c>
      <c r="B327" s="63" t="s">
        <v>461</v>
      </c>
      <c r="C327" s="64" t="s">
        <v>462</v>
      </c>
      <c r="D327" s="65" t="s">
        <v>87</v>
      </c>
      <c r="E327" s="66" t="s">
        <v>129</v>
      </c>
      <c r="F327" s="68">
        <v>2</v>
      </c>
      <c r="G327" s="68" t="s">
        <v>140</v>
      </c>
      <c r="H327" s="69">
        <v>691.42857142857144</v>
      </c>
      <c r="I327" s="74">
        <v>8.07</v>
      </c>
      <c r="J327" s="69">
        <v>5487</v>
      </c>
      <c r="K327" s="72"/>
      <c r="L327" s="69">
        <f t="shared" si="764"/>
        <v>5487</v>
      </c>
      <c r="M327" s="86">
        <f t="shared" si="724"/>
        <v>7.9357438016528921</v>
      </c>
      <c r="N327" s="79">
        <v>2.88</v>
      </c>
      <c r="O327" s="79">
        <v>7.79</v>
      </c>
      <c r="P327" s="79">
        <v>8.19</v>
      </c>
      <c r="Q327" s="79">
        <v>7.17</v>
      </c>
      <c r="R327" s="79">
        <v>8.01</v>
      </c>
      <c r="S327" s="84">
        <v>9.5399999999999991</v>
      </c>
      <c r="T327" s="85">
        <f t="shared" si="762"/>
        <v>7.2633333333333328</v>
      </c>
      <c r="U327" s="63" t="s">
        <v>103</v>
      </c>
      <c r="V327" s="77" t="s">
        <v>103</v>
      </c>
      <c r="W327" s="77"/>
      <c r="X327" s="78">
        <v>0.48599999999999999</v>
      </c>
      <c r="Y327" s="78"/>
      <c r="Z327" s="79">
        <v>0.45</v>
      </c>
      <c r="AA327" s="80">
        <v>45768</v>
      </c>
      <c r="AB327" s="81">
        <f t="shared" si="698"/>
        <v>59.333333333333336</v>
      </c>
      <c r="AC327" s="81">
        <f t="shared" si="700"/>
        <v>28.836000000000002</v>
      </c>
      <c r="AD327" s="81">
        <f t="shared" si="725"/>
        <v>79.11156600000001</v>
      </c>
      <c r="AE327" s="81">
        <f t="shared" si="701"/>
        <v>9.8031680297397781</v>
      </c>
      <c r="AF327" s="167">
        <f t="shared" si="763"/>
        <v>2.6845202381659539E-2</v>
      </c>
      <c r="AG327" s="264"/>
      <c r="AH327" s="264">
        <f t="shared" si="765"/>
        <v>0</v>
      </c>
      <c r="AI327" s="77"/>
      <c r="AJ327" s="79">
        <f t="shared" ref="AJ327:AJ352" si="766">AD327-(AI327*I327)</f>
        <v>79.11156600000001</v>
      </c>
      <c r="AK327" s="82">
        <f t="shared" ref="AK327:AK352" si="767">AJ327/I327</f>
        <v>9.8031680297397781</v>
      </c>
      <c r="AL327" s="82"/>
      <c r="AM327" s="82">
        <f t="shared" si="697"/>
        <v>64.08</v>
      </c>
      <c r="AN327" s="82"/>
      <c r="AO327" s="82"/>
      <c r="AP327" s="82"/>
      <c r="AR327" s="77"/>
      <c r="AS327" s="63">
        <v>58</v>
      </c>
      <c r="AT327" s="63">
        <v>50</v>
      </c>
      <c r="AU327" s="63">
        <v>57</v>
      </c>
      <c r="AV327" s="63">
        <v>67</v>
      </c>
      <c r="AW327" s="63">
        <v>63</v>
      </c>
      <c r="AX327" s="63">
        <v>61</v>
      </c>
      <c r="AY327" s="63">
        <v>59</v>
      </c>
      <c r="AZ327" s="63">
        <v>62</v>
      </c>
      <c r="BA327" s="63">
        <v>56</v>
      </c>
      <c r="BB327" s="63">
        <v>64</v>
      </c>
      <c r="BC327" s="63">
        <v>57</v>
      </c>
      <c r="BD327" s="63">
        <v>58</v>
      </c>
    </row>
    <row r="328" spans="1:94" s="63" customFormat="1">
      <c r="A328" s="63" t="s">
        <v>437</v>
      </c>
      <c r="B328" s="63" t="s">
        <v>461</v>
      </c>
      <c r="C328" s="64" t="s">
        <v>462</v>
      </c>
      <c r="D328" s="65" t="s">
        <v>87</v>
      </c>
      <c r="E328" s="66" t="s">
        <v>129</v>
      </c>
      <c r="F328" s="68">
        <v>2</v>
      </c>
      <c r="G328" s="68" t="s">
        <v>140</v>
      </c>
      <c r="H328" s="69">
        <v>691.42857142857144</v>
      </c>
      <c r="I328" s="74">
        <v>8.07</v>
      </c>
      <c r="J328" s="69">
        <v>5487</v>
      </c>
      <c r="K328" s="72"/>
      <c r="L328" s="69">
        <f t="shared" si="764"/>
        <v>5487</v>
      </c>
      <c r="M328" s="86">
        <f t="shared" si="724"/>
        <v>7.9357438016528921</v>
      </c>
      <c r="N328" s="79">
        <v>2.88</v>
      </c>
      <c r="O328" s="79">
        <v>7.79</v>
      </c>
      <c r="P328" s="79">
        <v>8.19</v>
      </c>
      <c r="Q328" s="79">
        <v>7.17</v>
      </c>
      <c r="R328" s="79">
        <v>8.01</v>
      </c>
      <c r="S328" s="84">
        <v>9.5399999999999991</v>
      </c>
      <c r="T328" s="85">
        <f t="shared" si="762"/>
        <v>7.2633333333333328</v>
      </c>
      <c r="U328" s="63" t="s">
        <v>103</v>
      </c>
      <c r="V328" s="77" t="s">
        <v>103</v>
      </c>
      <c r="W328" s="77"/>
      <c r="X328" s="78">
        <v>0.48599999999999999</v>
      </c>
      <c r="Y328" s="78"/>
      <c r="Z328" s="79">
        <v>0.45</v>
      </c>
      <c r="AA328" s="80">
        <v>45770</v>
      </c>
      <c r="AB328" s="81">
        <f t="shared" si="698"/>
        <v>57.636363636363633</v>
      </c>
      <c r="AC328" s="81">
        <f t="shared" si="700"/>
        <v>28.011272727272726</v>
      </c>
      <c r="AD328" s="81">
        <f t="shared" si="725"/>
        <v>76.848926727272712</v>
      </c>
      <c r="AE328" s="81">
        <f t="shared" si="701"/>
        <v>9.5227914160189222</v>
      </c>
      <c r="AF328" s="167">
        <f t="shared" si="763"/>
        <v>-1.8070944987967745E-3</v>
      </c>
      <c r="AG328" s="264"/>
      <c r="AH328" s="264">
        <f t="shared" si="765"/>
        <v>0</v>
      </c>
      <c r="AI328" s="77"/>
      <c r="AJ328" s="79">
        <f t="shared" si="766"/>
        <v>76.848926727272712</v>
      </c>
      <c r="AK328" s="82">
        <f t="shared" si="767"/>
        <v>9.5227914160189222</v>
      </c>
      <c r="AL328" s="82"/>
      <c r="AM328" s="82">
        <f t="shared" si="697"/>
        <v>62.247272727272716</v>
      </c>
      <c r="AN328" s="82"/>
      <c r="AO328" s="82"/>
      <c r="AP328" s="82"/>
      <c r="AR328" s="77" t="s">
        <v>165</v>
      </c>
      <c r="AS328" s="63">
        <v>56</v>
      </c>
      <c r="AT328" s="63">
        <v>57</v>
      </c>
      <c r="AU328" s="63">
        <v>55</v>
      </c>
      <c r="AV328" s="63">
        <v>60</v>
      </c>
      <c r="AW328" s="63">
        <v>56</v>
      </c>
      <c r="AX328" s="63">
        <v>56</v>
      </c>
      <c r="AY328" s="63">
        <v>56</v>
      </c>
      <c r="AZ328" s="63">
        <v>59</v>
      </c>
      <c r="BA328" s="63">
        <v>62</v>
      </c>
      <c r="BB328" s="63">
        <v>59</v>
      </c>
      <c r="BC328" s="63">
        <v>58</v>
      </c>
    </row>
    <row r="329" spans="1:94" s="113" customFormat="1">
      <c r="A329" s="63" t="s">
        <v>437</v>
      </c>
      <c r="B329" s="63" t="s">
        <v>461</v>
      </c>
      <c r="C329" s="64" t="s">
        <v>462</v>
      </c>
      <c r="D329" s="65" t="s">
        <v>87</v>
      </c>
      <c r="E329" s="66" t="s">
        <v>129</v>
      </c>
      <c r="F329" s="68">
        <v>2</v>
      </c>
      <c r="G329" s="68" t="s">
        <v>140</v>
      </c>
      <c r="H329" s="69">
        <v>691.42857142857144</v>
      </c>
      <c r="I329" s="74">
        <v>8.07</v>
      </c>
      <c r="J329" s="69">
        <v>5487</v>
      </c>
      <c r="K329" s="72"/>
      <c r="L329" s="69">
        <f t="shared" si="764"/>
        <v>5487</v>
      </c>
      <c r="M329" s="86">
        <f t="shared" si="724"/>
        <v>7.9357438016528921</v>
      </c>
      <c r="N329" s="79">
        <v>2.88</v>
      </c>
      <c r="O329" s="79">
        <v>7.79</v>
      </c>
      <c r="P329" s="79">
        <v>8.19</v>
      </c>
      <c r="Q329" s="79">
        <v>7.17</v>
      </c>
      <c r="R329" s="79">
        <v>8.01</v>
      </c>
      <c r="S329" s="84">
        <v>9.5399999999999991</v>
      </c>
      <c r="T329" s="85">
        <f t="shared" si="762"/>
        <v>7.2633333333333328</v>
      </c>
      <c r="U329" s="63" t="s">
        <v>103</v>
      </c>
      <c r="V329" s="77" t="s">
        <v>103</v>
      </c>
      <c r="W329" s="77"/>
      <c r="X329" s="78">
        <v>0.48599999999999999</v>
      </c>
      <c r="Y329" s="78"/>
      <c r="Z329" s="79">
        <v>0.45</v>
      </c>
      <c r="AA329" s="80">
        <v>45798</v>
      </c>
      <c r="AB329" s="81">
        <f t="shared" si="698"/>
        <v>55.4</v>
      </c>
      <c r="AC329" s="81">
        <f t="shared" si="700"/>
        <v>26.924399999999999</v>
      </c>
      <c r="AD329" s="81">
        <f t="shared" si="725"/>
        <v>73.867091399999993</v>
      </c>
      <c r="AE329" s="81">
        <f t="shared" si="701"/>
        <v>9.1532950929368013</v>
      </c>
      <c r="AF329" s="167">
        <f t="shared" si="763"/>
        <v>-4.2247617184504531E-2</v>
      </c>
      <c r="AG329" s="264"/>
      <c r="AH329" s="264">
        <f t="shared" si="765"/>
        <v>0</v>
      </c>
      <c r="AI329" s="77"/>
      <c r="AJ329" s="79">
        <f t="shared" si="766"/>
        <v>73.867091399999993</v>
      </c>
      <c r="AK329" s="82">
        <f t="shared" si="767"/>
        <v>9.1532950929368013</v>
      </c>
      <c r="AL329" s="82"/>
      <c r="AM329" s="82">
        <f t="shared" si="697"/>
        <v>59.831999999999994</v>
      </c>
      <c r="AN329" s="82"/>
      <c r="AO329" s="82"/>
      <c r="AP329" s="82"/>
      <c r="AQ329" s="63"/>
      <c r="AR329" s="77" t="s">
        <v>116</v>
      </c>
      <c r="AS329" s="63">
        <v>60</v>
      </c>
      <c r="AT329" s="63">
        <v>48</v>
      </c>
      <c r="AU329" s="63">
        <v>38</v>
      </c>
      <c r="AV329" s="63">
        <v>39</v>
      </c>
      <c r="AW329" s="63">
        <v>56</v>
      </c>
      <c r="AX329" s="63">
        <v>59</v>
      </c>
      <c r="AY329" s="63">
        <v>47</v>
      </c>
      <c r="AZ329" s="63">
        <v>68</v>
      </c>
      <c r="BA329" s="63">
        <v>60</v>
      </c>
      <c r="BB329" s="63">
        <v>53</v>
      </c>
      <c r="BC329" s="63">
        <v>59</v>
      </c>
      <c r="BD329" s="63">
        <v>57</v>
      </c>
      <c r="BE329" s="63">
        <v>47</v>
      </c>
      <c r="BF329" s="63">
        <v>45</v>
      </c>
      <c r="BG329" s="63">
        <v>53</v>
      </c>
      <c r="BH329" s="63">
        <v>63</v>
      </c>
      <c r="BI329" s="63">
        <v>60</v>
      </c>
      <c r="BJ329" s="63">
        <v>70</v>
      </c>
      <c r="BK329" s="63">
        <v>69</v>
      </c>
      <c r="BL329" s="63">
        <v>57</v>
      </c>
      <c r="BM329" s="63"/>
      <c r="BN329" s="63"/>
      <c r="BO329" s="63"/>
      <c r="BP329" s="63"/>
      <c r="BQ329" s="63"/>
      <c r="BR329" s="63"/>
      <c r="BS329" s="63"/>
      <c r="BT329" s="63"/>
      <c r="BU329" s="63"/>
      <c r="BV329" s="63"/>
      <c r="BW329" s="63"/>
      <c r="BX329" s="63"/>
      <c r="BY329" s="63"/>
      <c r="BZ329" s="63"/>
      <c r="CA329" s="63"/>
      <c r="CB329" s="63"/>
      <c r="CC329" s="63"/>
      <c r="CD329" s="63"/>
      <c r="CE329" s="63"/>
      <c r="CF329" s="63"/>
      <c r="CG329" s="63"/>
      <c r="CH329" s="63"/>
      <c r="CI329" s="63"/>
      <c r="CJ329" s="63"/>
      <c r="CK329" s="63"/>
      <c r="CL329" s="63"/>
      <c r="CM329" s="63"/>
      <c r="CN329" s="63"/>
      <c r="CO329" s="63"/>
      <c r="CP329" s="63"/>
    </row>
    <row r="330" spans="1:94" s="113" customFormat="1">
      <c r="A330" s="113" t="s">
        <v>437</v>
      </c>
      <c r="B330" s="113" t="s">
        <v>463</v>
      </c>
      <c r="C330" s="114" t="s">
        <v>464</v>
      </c>
      <c r="D330" s="128" t="s">
        <v>87</v>
      </c>
      <c r="E330" s="127" t="s">
        <v>465</v>
      </c>
      <c r="F330" s="126">
        <v>2</v>
      </c>
      <c r="G330" s="126" t="s">
        <v>466</v>
      </c>
      <c r="H330" s="123">
        <v>691.42857142857144</v>
      </c>
      <c r="I330" s="125">
        <v>6.72</v>
      </c>
      <c r="J330" s="123">
        <v>4595</v>
      </c>
      <c r="K330" s="124"/>
      <c r="L330" s="123">
        <f t="shared" si="764"/>
        <v>4595</v>
      </c>
      <c r="M330" s="122">
        <f t="shared" si="724"/>
        <v>6.6456611570247937</v>
      </c>
      <c r="N330" s="118"/>
      <c r="O330" s="118"/>
      <c r="P330" s="118">
        <v>6.67</v>
      </c>
      <c r="Q330" s="118">
        <v>7.41</v>
      </c>
      <c r="R330" s="118">
        <v>12.7</v>
      </c>
      <c r="S330" s="153">
        <v>8.3000000000000007</v>
      </c>
      <c r="T330" s="121">
        <f t="shared" si="762"/>
        <v>8.77</v>
      </c>
      <c r="U330" s="113" t="s">
        <v>106</v>
      </c>
      <c r="V330" s="115" t="s">
        <v>214</v>
      </c>
      <c r="W330" s="115"/>
      <c r="X330" s="120">
        <v>0.47</v>
      </c>
      <c r="Y330" s="120"/>
      <c r="Z330" s="118">
        <v>0.43</v>
      </c>
      <c r="AA330" s="119">
        <v>45762</v>
      </c>
      <c r="AB330" s="117">
        <f t="shared" si="698"/>
        <v>62.444444444444443</v>
      </c>
      <c r="AC330" s="117">
        <f t="shared" si="700"/>
        <v>29.348888888888887</v>
      </c>
      <c r="AD330" s="117">
        <f t="shared" si="725"/>
        <v>67.429072222222217</v>
      </c>
      <c r="AE330" s="117">
        <f t="shared" si="701"/>
        <v>10.034088128306879</v>
      </c>
      <c r="AF330" s="170">
        <f t="shared" si="763"/>
        <v>0.17281970281035219</v>
      </c>
      <c r="AG330" s="265">
        <v>8.5299999999999994</v>
      </c>
      <c r="AH330" s="265">
        <f t="shared" si="765"/>
        <v>0.39512808446810388</v>
      </c>
      <c r="AI330" s="115"/>
      <c r="AJ330" s="118">
        <f t="shared" si="766"/>
        <v>67.429072222222217</v>
      </c>
      <c r="AK330" s="116">
        <f t="shared" si="767"/>
        <v>10.034088128306879</v>
      </c>
      <c r="AL330" s="116"/>
      <c r="AM330" s="116">
        <f t="shared" si="697"/>
        <v>68.253229974160206</v>
      </c>
      <c r="AN330" s="116" t="s">
        <v>701</v>
      </c>
      <c r="AO330" s="116"/>
      <c r="AP330" s="116"/>
      <c r="AR330" s="115"/>
      <c r="AS330" s="113">
        <v>58</v>
      </c>
      <c r="AT330" s="113">
        <v>67</v>
      </c>
      <c r="AU330" s="113">
        <v>57</v>
      </c>
      <c r="AV330" s="113">
        <v>60</v>
      </c>
      <c r="AW330" s="113">
        <v>62</v>
      </c>
      <c r="AX330" s="113">
        <v>67</v>
      </c>
      <c r="AY330" s="113">
        <v>58</v>
      </c>
      <c r="AZ330" s="113">
        <v>68</v>
      </c>
      <c r="BA330" s="113">
        <v>65</v>
      </c>
    </row>
    <row r="331" spans="1:94" s="63" customFormat="1">
      <c r="A331" s="113" t="s">
        <v>437</v>
      </c>
      <c r="B331" s="113" t="s">
        <v>463</v>
      </c>
      <c r="C331" s="114" t="s">
        <v>464</v>
      </c>
      <c r="D331" s="128" t="s">
        <v>87</v>
      </c>
      <c r="E331" s="127" t="s">
        <v>465</v>
      </c>
      <c r="F331" s="126">
        <v>2</v>
      </c>
      <c r="G331" s="126" t="s">
        <v>466</v>
      </c>
      <c r="H331" s="123">
        <v>691.42857142857144</v>
      </c>
      <c r="I331" s="125">
        <v>6.72</v>
      </c>
      <c r="J331" s="123">
        <v>4595</v>
      </c>
      <c r="K331" s="124"/>
      <c r="L331" s="123">
        <f t="shared" si="764"/>
        <v>4595</v>
      </c>
      <c r="M331" s="122">
        <f t="shared" si="724"/>
        <v>6.6456611570247937</v>
      </c>
      <c r="N331" s="118"/>
      <c r="O331" s="118"/>
      <c r="P331" s="118">
        <v>6.67</v>
      </c>
      <c r="Q331" s="118">
        <v>7.41</v>
      </c>
      <c r="R331" s="118">
        <v>12.7</v>
      </c>
      <c r="S331" s="153">
        <v>8.3000000000000007</v>
      </c>
      <c r="T331" s="121">
        <f t="shared" si="762"/>
        <v>8.77</v>
      </c>
      <c r="U331" s="113" t="s">
        <v>106</v>
      </c>
      <c r="V331" s="115" t="s">
        <v>214</v>
      </c>
      <c r="W331" s="115"/>
      <c r="X331" s="120">
        <v>0.47</v>
      </c>
      <c r="Y331" s="120"/>
      <c r="Z331" s="118">
        <v>0.43</v>
      </c>
      <c r="AA331" s="119">
        <v>45800</v>
      </c>
      <c r="AB331" s="117">
        <f t="shared" si="698"/>
        <v>63.9</v>
      </c>
      <c r="AC331" s="117">
        <f t="shared" si="700"/>
        <v>30.032999999999998</v>
      </c>
      <c r="AD331" s="117">
        <f t="shared" si="725"/>
        <v>69.000817499999997</v>
      </c>
      <c r="AE331" s="117">
        <f t="shared" si="701"/>
        <v>10.267978794642858</v>
      </c>
      <c r="AF331" s="170">
        <f t="shared" si="763"/>
        <v>0.19166175096403745</v>
      </c>
      <c r="AG331" s="265">
        <v>8.5299999999999994</v>
      </c>
      <c r="AH331" s="265">
        <f t="shared" si="765"/>
        <v>0.38612760123643608</v>
      </c>
      <c r="AI331" s="115"/>
      <c r="AJ331" s="118">
        <f t="shared" si="766"/>
        <v>69.000817499999997</v>
      </c>
      <c r="AK331" s="116">
        <f t="shared" si="767"/>
        <v>10.267978794642858</v>
      </c>
      <c r="AL331" s="116"/>
      <c r="AM331" s="116">
        <f t="shared" si="697"/>
        <v>69.844186046511624</v>
      </c>
      <c r="AN331" s="116" t="s">
        <v>701</v>
      </c>
      <c r="AO331" s="116"/>
      <c r="AP331" s="116"/>
      <c r="AQ331" s="175"/>
      <c r="AR331" s="115" t="s">
        <v>116</v>
      </c>
      <c r="AS331" s="113">
        <v>71</v>
      </c>
      <c r="AT331" s="113">
        <v>69</v>
      </c>
      <c r="AU331" s="113">
        <v>78</v>
      </c>
      <c r="AV331" s="113">
        <v>58</v>
      </c>
      <c r="AW331" s="113">
        <v>70</v>
      </c>
      <c r="AX331" s="113">
        <v>69</v>
      </c>
      <c r="AY331" s="113">
        <v>55</v>
      </c>
      <c r="AZ331" s="113">
        <v>71</v>
      </c>
      <c r="BA331" s="113">
        <v>63</v>
      </c>
      <c r="BB331" s="113">
        <v>52</v>
      </c>
      <c r="BC331" s="113">
        <v>49</v>
      </c>
      <c r="BD331" s="113">
        <v>73</v>
      </c>
      <c r="BE331" s="113">
        <v>66</v>
      </c>
      <c r="BF331" s="113">
        <v>69</v>
      </c>
      <c r="BG331" s="113">
        <v>57</v>
      </c>
      <c r="BH331" s="113">
        <v>73</v>
      </c>
      <c r="BI331" s="113">
        <v>65</v>
      </c>
      <c r="BJ331" s="113">
        <v>60</v>
      </c>
      <c r="BK331" s="113">
        <v>59</v>
      </c>
      <c r="BL331" s="113">
        <v>51</v>
      </c>
      <c r="BM331" s="113"/>
      <c r="BN331" s="113"/>
      <c r="BO331" s="113"/>
      <c r="BP331" s="113"/>
      <c r="BQ331" s="113"/>
      <c r="BR331" s="113"/>
      <c r="BS331" s="113"/>
      <c r="BT331" s="113"/>
      <c r="BU331" s="113"/>
      <c r="BV331" s="113"/>
      <c r="BW331" s="113"/>
      <c r="BX331" s="113"/>
      <c r="BY331" s="113"/>
      <c r="BZ331" s="113"/>
      <c r="CA331" s="113"/>
      <c r="CB331" s="113"/>
      <c r="CC331" s="113"/>
      <c r="CD331" s="113"/>
      <c r="CE331" s="113"/>
      <c r="CF331" s="113"/>
      <c r="CG331" s="113"/>
      <c r="CH331" s="113"/>
      <c r="CI331" s="113"/>
      <c r="CJ331" s="113"/>
      <c r="CK331" s="113"/>
      <c r="CL331" s="113"/>
      <c r="CM331" s="113"/>
      <c r="CN331" s="113"/>
      <c r="CO331" s="113"/>
      <c r="CP331" s="113"/>
    </row>
    <row r="332" spans="1:94" s="63" customFormat="1">
      <c r="A332" s="113" t="s">
        <v>437</v>
      </c>
      <c r="B332" s="113" t="s">
        <v>463</v>
      </c>
      <c r="C332" s="114" t="s">
        <v>464</v>
      </c>
      <c r="D332" s="128" t="s">
        <v>87</v>
      </c>
      <c r="E332" s="127" t="s">
        <v>465</v>
      </c>
      <c r="F332" s="126">
        <v>2</v>
      </c>
      <c r="G332" s="126" t="s">
        <v>466</v>
      </c>
      <c r="H332" s="123">
        <v>691.42857142857144</v>
      </c>
      <c r="I332" s="125">
        <v>6.72</v>
      </c>
      <c r="J332" s="123">
        <v>4595</v>
      </c>
      <c r="K332" s="124"/>
      <c r="L332" s="123">
        <f t="shared" si="764"/>
        <v>4595</v>
      </c>
      <c r="M332" s="122">
        <f t="shared" si="724"/>
        <v>6.6456611570247937</v>
      </c>
      <c r="N332" s="118"/>
      <c r="O332" s="118"/>
      <c r="P332" s="118">
        <v>6.67</v>
      </c>
      <c r="Q332" s="118">
        <v>7.41</v>
      </c>
      <c r="R332" s="118">
        <v>12.7</v>
      </c>
      <c r="S332" s="153">
        <v>8.3000000000000007</v>
      </c>
      <c r="T332" s="121">
        <f t="shared" si="762"/>
        <v>8.77</v>
      </c>
      <c r="U332" s="113" t="s">
        <v>106</v>
      </c>
      <c r="V332" s="115" t="s">
        <v>103</v>
      </c>
      <c r="W332" s="115"/>
      <c r="X332" s="120">
        <v>0.47</v>
      </c>
      <c r="Y332" s="120"/>
      <c r="Z332" s="118">
        <v>0.43</v>
      </c>
      <c r="AA332" s="119">
        <v>45831</v>
      </c>
      <c r="AB332" s="117">
        <f t="shared" si="698"/>
        <v>49.5</v>
      </c>
      <c r="AC332" s="117">
        <f t="shared" si="700"/>
        <v>23.264999999999997</v>
      </c>
      <c r="AD332" s="117">
        <f t="shared" si="725"/>
        <v>53.451337499999994</v>
      </c>
      <c r="AE332" s="117">
        <f t="shared" si="701"/>
        <v>7.9540680803571426</v>
      </c>
      <c r="AF332" s="170">
        <f t="shared" si="763"/>
        <v>-4.3491194210060813E-2</v>
      </c>
      <c r="AG332" s="265">
        <v>8.5299999999999994</v>
      </c>
      <c r="AH332" s="265">
        <f t="shared" si="765"/>
        <v>0.49845563068703563</v>
      </c>
      <c r="AI332" s="115"/>
      <c r="AJ332" s="118">
        <f t="shared" si="766"/>
        <v>53.451337499999994</v>
      </c>
      <c r="AK332" s="116">
        <f t="shared" si="767"/>
        <v>7.9540680803571426</v>
      </c>
      <c r="AL332" s="116"/>
      <c r="AM332" s="116">
        <f t="shared" si="697"/>
        <v>54.104651162790695</v>
      </c>
      <c r="AN332" s="116" t="s">
        <v>701</v>
      </c>
      <c r="AO332" s="116"/>
      <c r="AP332" s="116"/>
      <c r="AQ332" s="175"/>
      <c r="AR332" s="115" t="s">
        <v>116</v>
      </c>
      <c r="AS332" s="113">
        <v>50</v>
      </c>
      <c r="AT332" s="113">
        <v>55</v>
      </c>
      <c r="AU332" s="113">
        <v>43</v>
      </c>
      <c r="AV332" s="113">
        <v>50</v>
      </c>
      <c r="AW332" s="113">
        <v>57</v>
      </c>
      <c r="AX332" s="113">
        <v>46</v>
      </c>
      <c r="AY332" s="113">
        <v>48</v>
      </c>
      <c r="AZ332" s="113">
        <v>43</v>
      </c>
      <c r="BA332" s="113">
        <v>51</v>
      </c>
      <c r="BB332" s="113">
        <v>49</v>
      </c>
      <c r="BC332" s="113">
        <v>46</v>
      </c>
      <c r="BD332" s="113">
        <v>53</v>
      </c>
      <c r="BE332" s="113">
        <v>56</v>
      </c>
      <c r="BF332" s="113">
        <v>48</v>
      </c>
      <c r="BG332" s="113">
        <v>45</v>
      </c>
      <c r="BH332" s="113">
        <v>52</v>
      </c>
      <c r="BI332" s="113"/>
      <c r="BJ332" s="113"/>
      <c r="BK332" s="113"/>
      <c r="BL332" s="113"/>
      <c r="BM332" s="113"/>
      <c r="BN332" s="113"/>
      <c r="BO332" s="113"/>
      <c r="BP332" s="113"/>
      <c r="BQ332" s="113"/>
      <c r="BR332" s="113"/>
      <c r="BS332" s="113"/>
      <c r="BT332" s="113"/>
      <c r="BU332" s="113"/>
      <c r="BV332" s="113"/>
      <c r="BW332" s="113"/>
      <c r="BX332" s="113"/>
      <c r="BY332" s="113"/>
      <c r="BZ332" s="113"/>
      <c r="CA332" s="113"/>
      <c r="CB332" s="113"/>
      <c r="CC332" s="113"/>
      <c r="CD332" s="113"/>
      <c r="CE332" s="113"/>
      <c r="CF332" s="113"/>
      <c r="CG332" s="113"/>
      <c r="CH332" s="113"/>
      <c r="CI332" s="113"/>
      <c r="CJ332" s="113"/>
      <c r="CK332" s="113"/>
      <c r="CL332" s="113"/>
      <c r="CM332" s="113"/>
      <c r="CN332" s="113"/>
      <c r="CO332" s="113"/>
      <c r="CP332" s="113"/>
    </row>
    <row r="333" spans="1:94" s="63" customFormat="1">
      <c r="A333" s="113" t="s">
        <v>437</v>
      </c>
      <c r="B333" s="113" t="s">
        <v>463</v>
      </c>
      <c r="C333" s="114" t="s">
        <v>464</v>
      </c>
      <c r="D333" s="128" t="s">
        <v>87</v>
      </c>
      <c r="E333" s="127" t="s">
        <v>465</v>
      </c>
      <c r="F333" s="126">
        <v>2</v>
      </c>
      <c r="G333" s="126" t="s">
        <v>466</v>
      </c>
      <c r="H333" s="123">
        <v>691.42857142857144</v>
      </c>
      <c r="I333" s="125">
        <v>6.72</v>
      </c>
      <c r="J333" s="123">
        <v>4595</v>
      </c>
      <c r="K333" s="124"/>
      <c r="L333" s="123">
        <f t="shared" ref="L333" si="768">J333-(J333*K333)</f>
        <v>4595</v>
      </c>
      <c r="M333" s="122">
        <f t="shared" ref="M333" si="769">L333/H333</f>
        <v>6.6456611570247937</v>
      </c>
      <c r="N333" s="118"/>
      <c r="O333" s="118"/>
      <c r="P333" s="118">
        <v>6.67</v>
      </c>
      <c r="Q333" s="118">
        <v>7.41</v>
      </c>
      <c r="R333" s="118">
        <v>12.7</v>
      </c>
      <c r="S333" s="153">
        <v>8.3000000000000007</v>
      </c>
      <c r="T333" s="121">
        <f t="shared" ref="T333" si="770">AVERAGE(N333:S333)</f>
        <v>8.77</v>
      </c>
      <c r="U333" s="113" t="s">
        <v>106</v>
      </c>
      <c r="V333" s="115" t="s">
        <v>103</v>
      </c>
      <c r="W333" s="115"/>
      <c r="X333" s="120">
        <v>0.47</v>
      </c>
      <c r="Y333" s="120"/>
      <c r="Z333" s="118">
        <v>0.43</v>
      </c>
      <c r="AA333" s="119">
        <v>45853</v>
      </c>
      <c r="AB333" s="117">
        <f t="shared" ref="AB333" si="771">IFERROR(AVERAGE(AS333:CP333),0)</f>
        <v>55.875</v>
      </c>
      <c r="AC333" s="117">
        <f t="shared" ref="AC333" si="772">AB333*X333</f>
        <v>26.261249999999997</v>
      </c>
      <c r="AD333" s="117">
        <f t="shared" ref="AD333" si="773">(AC333*L333)/2000</f>
        <v>60.335221874999995</v>
      </c>
      <c r="AE333" s="117">
        <f t="shared" ref="AE333" si="774">IFERROR((AD333/I333),"")</f>
        <v>8.9784556361607137</v>
      </c>
      <c r="AF333" s="170">
        <f t="shared" ref="AF333" si="775">IFERROR(((AE333-S333)/AE333),"")</f>
        <v>7.5564848082362204E-2</v>
      </c>
      <c r="AG333" s="265">
        <v>8.5299999999999994</v>
      </c>
      <c r="AH333" s="265">
        <f t="shared" si="765"/>
        <v>0.4415848540314678</v>
      </c>
      <c r="AI333" s="115"/>
      <c r="AJ333" s="118">
        <f t="shared" ref="AJ333" si="776">AD333-(AI333*I333)</f>
        <v>60.335221874999995</v>
      </c>
      <c r="AK333" s="116">
        <f t="shared" ref="AK333" si="777">AJ333/I333</f>
        <v>8.9784556361607137</v>
      </c>
      <c r="AL333" s="116"/>
      <c r="AM333" s="116">
        <f t="shared" ref="AM333" si="778">((AJ333*2000)/Z333)/J333</f>
        <v>61.072674418604649</v>
      </c>
      <c r="AN333" s="116" t="s">
        <v>701</v>
      </c>
      <c r="AO333" s="116"/>
      <c r="AP333" s="116"/>
      <c r="AQ333" s="175"/>
      <c r="AR333" s="115" t="s">
        <v>116</v>
      </c>
      <c r="AS333" s="113">
        <v>49</v>
      </c>
      <c r="AT333" s="113">
        <v>52</v>
      </c>
      <c r="AU333" s="113">
        <v>46</v>
      </c>
      <c r="AV333" s="113">
        <v>49</v>
      </c>
      <c r="AW333" s="113">
        <v>55</v>
      </c>
      <c r="AX333" s="113">
        <v>50</v>
      </c>
      <c r="AY333" s="113">
        <v>47</v>
      </c>
      <c r="AZ333" s="113">
        <v>50</v>
      </c>
      <c r="BA333" s="113">
        <v>57</v>
      </c>
      <c r="BB333" s="113">
        <v>59</v>
      </c>
      <c r="BC333" s="113">
        <v>69</v>
      </c>
      <c r="BD333" s="113">
        <v>63</v>
      </c>
      <c r="BE333" s="113">
        <v>57</v>
      </c>
      <c r="BF333" s="113">
        <v>56</v>
      </c>
      <c r="BG333" s="113">
        <v>70</v>
      </c>
      <c r="BH333" s="113">
        <v>65</v>
      </c>
      <c r="BI333" s="113"/>
      <c r="BJ333" s="113"/>
      <c r="BK333" s="113"/>
      <c r="BL333" s="113"/>
      <c r="BM333" s="113"/>
      <c r="BN333" s="113"/>
      <c r="BO333" s="113"/>
      <c r="BP333" s="113"/>
      <c r="BQ333" s="113"/>
      <c r="BR333" s="113"/>
      <c r="BS333" s="113"/>
      <c r="BT333" s="113"/>
      <c r="BU333" s="113"/>
      <c r="BV333" s="113"/>
      <c r="BW333" s="113"/>
      <c r="BX333" s="113"/>
      <c r="BY333" s="113"/>
      <c r="BZ333" s="113"/>
      <c r="CA333" s="113"/>
      <c r="CB333" s="113"/>
      <c r="CC333" s="113"/>
      <c r="CD333" s="113"/>
      <c r="CE333" s="113"/>
      <c r="CF333" s="113"/>
      <c r="CG333" s="113"/>
      <c r="CH333" s="113"/>
      <c r="CI333" s="113"/>
      <c r="CJ333" s="113"/>
      <c r="CK333" s="113"/>
      <c r="CL333" s="113"/>
      <c r="CM333" s="113"/>
      <c r="CN333" s="113"/>
      <c r="CO333" s="113"/>
      <c r="CP333" s="113"/>
    </row>
    <row r="334" spans="1:94" s="113" customFormat="1">
      <c r="A334" s="63" t="s">
        <v>437</v>
      </c>
      <c r="B334" s="63" t="s">
        <v>468</v>
      </c>
      <c r="C334" s="64" t="s">
        <v>469</v>
      </c>
      <c r="D334" s="65" t="s">
        <v>87</v>
      </c>
      <c r="E334" s="88" t="s">
        <v>470</v>
      </c>
      <c r="F334" s="163" t="s">
        <v>471</v>
      </c>
      <c r="G334" s="68" t="s">
        <v>204</v>
      </c>
      <c r="H334" s="69">
        <v>680.625</v>
      </c>
      <c r="I334" s="74">
        <v>20.25</v>
      </c>
      <c r="J334" s="69">
        <v>13593</v>
      </c>
      <c r="K334" s="72"/>
      <c r="L334" s="69">
        <f t="shared" si="764"/>
        <v>13593</v>
      </c>
      <c r="M334" s="86">
        <f t="shared" si="724"/>
        <v>19.971349862258954</v>
      </c>
      <c r="N334" s="79">
        <v>7.76</v>
      </c>
      <c r="O334" s="79">
        <v>7.74</v>
      </c>
      <c r="P334" s="79">
        <v>9.14</v>
      </c>
      <c r="Q334" s="79">
        <v>8.16</v>
      </c>
      <c r="R334" s="79">
        <v>10.98</v>
      </c>
      <c r="S334" s="84">
        <v>7.65</v>
      </c>
      <c r="T334" s="85">
        <f t="shared" si="762"/>
        <v>8.5716666666666672</v>
      </c>
      <c r="U334" s="63"/>
      <c r="V334" s="77"/>
      <c r="W334" s="77"/>
      <c r="X334" s="78"/>
      <c r="Y334" s="78"/>
      <c r="Z334" s="79">
        <v>0.3</v>
      </c>
      <c r="AA334" s="80"/>
      <c r="AB334" s="81">
        <f t="shared" si="698"/>
        <v>0</v>
      </c>
      <c r="AC334" s="81">
        <f t="shared" si="700"/>
        <v>0</v>
      </c>
      <c r="AD334" s="81">
        <f t="shared" si="725"/>
        <v>0</v>
      </c>
      <c r="AE334" s="81">
        <f t="shared" si="701"/>
        <v>0</v>
      </c>
      <c r="AF334" s="167" t="str">
        <f t="shared" si="763"/>
        <v/>
      </c>
      <c r="AG334" s="264"/>
      <c r="AH334" s="264" t="e">
        <f t="shared" si="765"/>
        <v>#DIV/0!</v>
      </c>
      <c r="AI334" s="77"/>
      <c r="AJ334" s="79">
        <f t="shared" si="766"/>
        <v>0</v>
      </c>
      <c r="AK334" s="82">
        <f t="shared" si="767"/>
        <v>0</v>
      </c>
      <c r="AL334" s="82"/>
      <c r="AM334" s="82">
        <f t="shared" si="697"/>
        <v>0</v>
      </c>
      <c r="AN334" s="82"/>
      <c r="AO334" s="82"/>
      <c r="AP334" s="82"/>
      <c r="AQ334" s="63"/>
      <c r="AR334" s="77"/>
      <c r="AS334" s="63"/>
      <c r="AT334" s="63"/>
      <c r="AU334" s="63"/>
      <c r="AV334" s="63"/>
      <c r="AW334" s="63"/>
      <c r="AX334" s="63"/>
      <c r="AY334" s="63"/>
      <c r="AZ334" s="63"/>
      <c r="BA334" s="63"/>
      <c r="BB334" s="63"/>
      <c r="BC334" s="63"/>
      <c r="BD334" s="63"/>
      <c r="BE334" s="63"/>
      <c r="BF334" s="63"/>
      <c r="BG334" s="63"/>
      <c r="BH334" s="63"/>
      <c r="BI334" s="63"/>
      <c r="BJ334" s="63"/>
      <c r="BK334" s="63"/>
      <c r="BL334" s="63"/>
      <c r="BM334" s="63"/>
      <c r="BN334" s="63"/>
      <c r="BO334" s="63"/>
      <c r="BP334" s="63"/>
      <c r="BQ334" s="63"/>
      <c r="BR334" s="63"/>
      <c r="BS334" s="63"/>
      <c r="BT334" s="63"/>
      <c r="BU334" s="63"/>
      <c r="BV334" s="63"/>
      <c r="BW334" s="63"/>
      <c r="BX334" s="63"/>
      <c r="BY334" s="63"/>
      <c r="BZ334" s="63"/>
      <c r="CA334" s="63"/>
      <c r="CB334" s="63"/>
      <c r="CC334" s="63"/>
      <c r="CD334" s="63"/>
      <c r="CE334" s="63"/>
      <c r="CF334" s="63"/>
      <c r="CG334" s="63"/>
      <c r="CH334" s="63"/>
      <c r="CI334" s="63"/>
      <c r="CJ334" s="63"/>
      <c r="CK334" s="63"/>
      <c r="CL334" s="63"/>
      <c r="CM334" s="63"/>
      <c r="CN334" s="63"/>
      <c r="CO334" s="63"/>
      <c r="CP334" s="63"/>
    </row>
    <row r="335" spans="1:94" s="63" customFormat="1">
      <c r="A335" s="113" t="s">
        <v>437</v>
      </c>
      <c r="B335" s="113" t="s">
        <v>472</v>
      </c>
      <c r="C335" s="114" t="s">
        <v>473</v>
      </c>
      <c r="D335" s="128" t="s">
        <v>87</v>
      </c>
      <c r="E335" s="133" t="s">
        <v>228</v>
      </c>
      <c r="F335" s="159" t="s">
        <v>474</v>
      </c>
      <c r="G335" s="126" t="s">
        <v>475</v>
      </c>
      <c r="H335" s="123">
        <v>680.625</v>
      </c>
      <c r="I335" s="125">
        <v>20.260000000000002</v>
      </c>
      <c r="J335" s="123">
        <v>13612</v>
      </c>
      <c r="K335" s="124">
        <v>0.08</v>
      </c>
      <c r="L335" s="123">
        <f t="shared" si="764"/>
        <v>12523.04</v>
      </c>
      <c r="M335" s="122">
        <f t="shared" si="724"/>
        <v>18.399324150596879</v>
      </c>
      <c r="N335" s="118">
        <v>5.77</v>
      </c>
      <c r="O335" s="118">
        <v>9.43</v>
      </c>
      <c r="P335" s="118">
        <v>8.17</v>
      </c>
      <c r="Q335" s="118">
        <v>7.25</v>
      </c>
      <c r="R335" s="118">
        <v>8.65</v>
      </c>
      <c r="S335" s="153">
        <v>8.48</v>
      </c>
      <c r="T335" s="121">
        <f t="shared" si="762"/>
        <v>7.958333333333333</v>
      </c>
      <c r="U335" s="113"/>
      <c r="V335" s="115"/>
      <c r="W335" s="115"/>
      <c r="X335" s="120">
        <v>0.54</v>
      </c>
      <c r="Y335" s="120"/>
      <c r="Z335" s="118">
        <v>0.4</v>
      </c>
      <c r="AA335" s="119"/>
      <c r="AB335" s="117">
        <f t="shared" si="698"/>
        <v>0</v>
      </c>
      <c r="AC335" s="117">
        <f t="shared" si="700"/>
        <v>0</v>
      </c>
      <c r="AD335" s="117">
        <f t="shared" si="725"/>
        <v>0</v>
      </c>
      <c r="AE335" s="117">
        <f t="shared" si="701"/>
        <v>0</v>
      </c>
      <c r="AF335" s="170" t="str">
        <f t="shared" si="763"/>
        <v/>
      </c>
      <c r="AG335" s="265"/>
      <c r="AH335" s="265" t="e">
        <f t="shared" si="765"/>
        <v>#DIV/0!</v>
      </c>
      <c r="AI335" s="115"/>
      <c r="AJ335" s="118">
        <f t="shared" si="766"/>
        <v>0</v>
      </c>
      <c r="AK335" s="116">
        <f t="shared" si="767"/>
        <v>0</v>
      </c>
      <c r="AL335" s="116"/>
      <c r="AM335" s="116">
        <f t="shared" si="697"/>
        <v>0</v>
      </c>
      <c r="AN335" s="116"/>
      <c r="AO335" s="116"/>
      <c r="AP335" s="116"/>
      <c r="AQ335" s="113"/>
      <c r="AR335" s="115"/>
      <c r="AS335" s="113"/>
      <c r="AT335" s="113"/>
      <c r="AU335" s="113"/>
      <c r="AV335" s="113"/>
      <c r="AW335" s="113"/>
      <c r="AX335" s="113"/>
      <c r="AY335" s="113"/>
      <c r="AZ335" s="113"/>
      <c r="BA335" s="113"/>
      <c r="BB335" s="113"/>
      <c r="BC335" s="113"/>
      <c r="BD335" s="113"/>
      <c r="BE335" s="113"/>
      <c r="BF335" s="113"/>
      <c r="BG335" s="113"/>
      <c r="BH335" s="113"/>
      <c r="BI335" s="113"/>
      <c r="BJ335" s="113"/>
      <c r="BK335" s="113"/>
      <c r="BL335" s="113"/>
      <c r="BM335" s="113"/>
      <c r="BN335" s="113"/>
      <c r="BO335" s="113"/>
      <c r="BP335" s="113"/>
      <c r="BQ335" s="113"/>
      <c r="BR335" s="113"/>
      <c r="BS335" s="113"/>
      <c r="BT335" s="113"/>
      <c r="BU335" s="113"/>
      <c r="BV335" s="113"/>
      <c r="BW335" s="113"/>
      <c r="BX335" s="113"/>
      <c r="BY335" s="113"/>
      <c r="BZ335" s="113"/>
      <c r="CA335" s="113"/>
      <c r="CB335" s="113"/>
      <c r="CC335" s="113"/>
      <c r="CD335" s="113"/>
      <c r="CE335" s="113"/>
      <c r="CF335" s="113"/>
      <c r="CG335" s="113"/>
      <c r="CH335" s="113"/>
      <c r="CI335" s="113"/>
      <c r="CJ335" s="113"/>
      <c r="CK335" s="113"/>
      <c r="CL335" s="113"/>
      <c r="CM335" s="113"/>
      <c r="CN335" s="113"/>
      <c r="CO335" s="113"/>
      <c r="CP335" s="113"/>
    </row>
    <row r="336" spans="1:94" s="63" customFormat="1">
      <c r="A336" s="63" t="s">
        <v>437</v>
      </c>
      <c r="B336" s="63" t="s">
        <v>476</v>
      </c>
      <c r="C336" s="64" t="s">
        <v>477</v>
      </c>
      <c r="D336" s="65" t="s">
        <v>87</v>
      </c>
      <c r="E336" s="66" t="s">
        <v>99</v>
      </c>
      <c r="F336" s="68"/>
      <c r="G336" s="68" t="s">
        <v>478</v>
      </c>
      <c r="H336" s="69">
        <v>680.625</v>
      </c>
      <c r="I336" s="74">
        <f>17.01</f>
        <v>17.010000000000002</v>
      </c>
      <c r="J336" s="69">
        <v>11418</v>
      </c>
      <c r="K336" s="72"/>
      <c r="L336" s="69">
        <f t="shared" si="764"/>
        <v>11418</v>
      </c>
      <c r="M336" s="86">
        <f t="shared" si="724"/>
        <v>16.775757575757577</v>
      </c>
      <c r="N336" s="79">
        <f>(9.32+5.15)/2</f>
        <v>7.2350000000000003</v>
      </c>
      <c r="O336" s="79">
        <f>(9.79+11.15)/2</f>
        <v>10.469999999999999</v>
      </c>
      <c r="P336" s="79">
        <f>(7+8.07)/2</f>
        <v>7.5350000000000001</v>
      </c>
      <c r="Q336" s="79">
        <v>8.64</v>
      </c>
      <c r="R336" s="79">
        <v>9.7899999999999991</v>
      </c>
      <c r="S336" s="84">
        <v>10.07</v>
      </c>
      <c r="T336" s="85">
        <f>AVERAGE(N336:R336)</f>
        <v>8.7339999999999982</v>
      </c>
      <c r="U336" s="164"/>
      <c r="V336" s="165" t="s">
        <v>103</v>
      </c>
      <c r="W336" s="165"/>
      <c r="X336" s="78">
        <v>0.4</v>
      </c>
      <c r="Y336" s="78"/>
      <c r="Z336" s="79">
        <v>0.44</v>
      </c>
      <c r="AA336" s="80">
        <v>45797</v>
      </c>
      <c r="AB336" s="81">
        <f t="shared" si="698"/>
        <v>97.652173913043484</v>
      </c>
      <c r="AC336" s="81">
        <f t="shared" si="700"/>
        <v>39.060869565217395</v>
      </c>
      <c r="AD336" s="81">
        <f t="shared" si="725"/>
        <v>222.99850434782613</v>
      </c>
      <c r="AE336" s="81">
        <f t="shared" si="701"/>
        <v>13.10984740434016</v>
      </c>
      <c r="AF336" s="167">
        <f t="shared" si="763"/>
        <v>0.23187511727510912</v>
      </c>
      <c r="AG336" s="264">
        <v>9.9600000000000009</v>
      </c>
      <c r="AH336" s="264">
        <f t="shared" si="765"/>
        <v>0.29970881812539713</v>
      </c>
      <c r="AI336" s="77"/>
      <c r="AJ336" s="79">
        <f t="shared" si="766"/>
        <v>222.99850434782613</v>
      </c>
      <c r="AK336" s="82">
        <f t="shared" si="767"/>
        <v>13.10984740434016</v>
      </c>
      <c r="AL336" s="82"/>
      <c r="AM336" s="82">
        <f t="shared" si="697"/>
        <v>88.774703557312264</v>
      </c>
      <c r="AN336" s="82"/>
      <c r="AO336" s="82"/>
      <c r="AP336" s="82"/>
      <c r="AR336" s="77" t="s">
        <v>116</v>
      </c>
      <c r="AS336" s="63">
        <v>107</v>
      </c>
      <c r="AT336" s="63">
        <v>99</v>
      </c>
      <c r="AU336" s="63">
        <v>97</v>
      </c>
      <c r="AV336" s="63">
        <v>101</v>
      </c>
      <c r="AW336" s="63">
        <v>73</v>
      </c>
      <c r="AX336" s="63">
        <v>89</v>
      </c>
      <c r="AY336" s="63">
        <v>95</v>
      </c>
      <c r="AZ336" s="63">
        <v>101</v>
      </c>
      <c r="BA336" s="63">
        <v>93</v>
      </c>
      <c r="BB336" s="63">
        <v>88</v>
      </c>
      <c r="BC336" s="63">
        <v>96</v>
      </c>
      <c r="BD336" s="63">
        <v>93</v>
      </c>
      <c r="BE336" s="63">
        <v>99</v>
      </c>
      <c r="BF336" s="63">
        <v>103</v>
      </c>
      <c r="BG336" s="63">
        <v>102</v>
      </c>
      <c r="BH336" s="63">
        <v>99</v>
      </c>
      <c r="BI336" s="63">
        <v>103</v>
      </c>
      <c r="BJ336" s="63">
        <v>102</v>
      </c>
      <c r="BK336" s="63">
        <v>99</v>
      </c>
      <c r="BL336" s="63">
        <v>105</v>
      </c>
      <c r="BM336" s="63">
        <v>101</v>
      </c>
      <c r="BN336" s="63">
        <v>103</v>
      </c>
      <c r="BO336" s="63">
        <v>98</v>
      </c>
    </row>
    <row r="337" spans="1:94" s="113" customFormat="1">
      <c r="A337" s="63" t="s">
        <v>437</v>
      </c>
      <c r="B337" s="63" t="s">
        <v>476</v>
      </c>
      <c r="C337" s="64" t="s">
        <v>479</v>
      </c>
      <c r="D337" s="65" t="s">
        <v>87</v>
      </c>
      <c r="E337" s="66" t="s">
        <v>99</v>
      </c>
      <c r="F337" s="68"/>
      <c r="G337" s="68" t="s">
        <v>478</v>
      </c>
      <c r="H337" s="69">
        <v>680.625</v>
      </c>
      <c r="I337" s="74">
        <v>19.239999999999998</v>
      </c>
      <c r="J337" s="69">
        <v>12983</v>
      </c>
      <c r="K337" s="72"/>
      <c r="L337" s="69">
        <f t="shared" si="764"/>
        <v>12983</v>
      </c>
      <c r="M337" s="86">
        <f t="shared" si="724"/>
        <v>19.075114784205692</v>
      </c>
      <c r="N337" s="79">
        <f>(9.32+5.15)/2</f>
        <v>7.2350000000000003</v>
      </c>
      <c r="O337" s="79">
        <f>(9.79+11.15)/2</f>
        <v>10.469999999999999</v>
      </c>
      <c r="P337" s="79">
        <f>(7+8.07)/2</f>
        <v>7.5350000000000001</v>
      </c>
      <c r="Q337" s="79">
        <v>8.64</v>
      </c>
      <c r="R337" s="79">
        <v>9.7899999999999991</v>
      </c>
      <c r="S337" s="84">
        <v>10.07</v>
      </c>
      <c r="T337" s="85">
        <f>AVERAGE(N337:R337)</f>
        <v>8.7339999999999982</v>
      </c>
      <c r="U337" s="63"/>
      <c r="V337" s="77" t="s">
        <v>103</v>
      </c>
      <c r="W337" s="77"/>
      <c r="X337" s="78">
        <v>0.4</v>
      </c>
      <c r="Y337" s="78"/>
      <c r="Z337" s="79">
        <v>0.44</v>
      </c>
      <c r="AA337" s="80"/>
      <c r="AB337" s="81">
        <f t="shared" si="698"/>
        <v>0</v>
      </c>
      <c r="AC337" s="81">
        <f t="shared" si="700"/>
        <v>0</v>
      </c>
      <c r="AD337" s="81">
        <f t="shared" si="725"/>
        <v>0</v>
      </c>
      <c r="AE337" s="81">
        <f t="shared" si="701"/>
        <v>0</v>
      </c>
      <c r="AF337" s="167" t="str">
        <f t="shared" si="763"/>
        <v/>
      </c>
      <c r="AG337" s="264"/>
      <c r="AH337" s="264" t="e">
        <f t="shared" si="765"/>
        <v>#DIV/0!</v>
      </c>
      <c r="AI337" s="77"/>
      <c r="AJ337" s="79">
        <f t="shared" si="766"/>
        <v>0</v>
      </c>
      <c r="AK337" s="82">
        <f t="shared" si="767"/>
        <v>0</v>
      </c>
      <c r="AL337" s="82"/>
      <c r="AM337" s="82">
        <f t="shared" si="697"/>
        <v>0</v>
      </c>
      <c r="AN337" s="82"/>
      <c r="AO337" s="82"/>
      <c r="AP337" s="82"/>
      <c r="AQ337" s="63"/>
      <c r="AR337" s="77"/>
      <c r="AS337" s="63"/>
      <c r="AT337" s="63"/>
      <c r="AU337" s="63"/>
      <c r="AV337" s="63"/>
      <c r="AW337" s="63"/>
      <c r="AX337" s="63"/>
      <c r="AY337" s="63"/>
      <c r="AZ337" s="63"/>
      <c r="BA337" s="63"/>
      <c r="BB337" s="63"/>
      <c r="BC337" s="63"/>
      <c r="BD337" s="63"/>
      <c r="BE337" s="63"/>
      <c r="BF337" s="63"/>
      <c r="BG337" s="63"/>
      <c r="BH337" s="63"/>
      <c r="BI337" s="63"/>
      <c r="BJ337" s="63"/>
      <c r="BK337" s="63"/>
      <c r="BL337" s="63"/>
      <c r="BM337" s="63"/>
      <c r="BN337" s="63"/>
      <c r="BO337" s="63"/>
      <c r="BP337" s="63"/>
      <c r="BQ337" s="63"/>
      <c r="BR337" s="63"/>
      <c r="BS337" s="63"/>
      <c r="BT337" s="63"/>
      <c r="BU337" s="63"/>
      <c r="BV337" s="63"/>
      <c r="BW337" s="63"/>
      <c r="BX337" s="63"/>
      <c r="BY337" s="63"/>
      <c r="BZ337" s="63"/>
      <c r="CA337" s="63"/>
      <c r="CB337" s="63"/>
      <c r="CC337" s="63"/>
      <c r="CD337" s="63"/>
      <c r="CE337" s="63"/>
      <c r="CF337" s="63"/>
      <c r="CG337" s="63"/>
      <c r="CH337" s="63"/>
      <c r="CI337" s="63"/>
      <c r="CJ337" s="63"/>
      <c r="CK337" s="63"/>
      <c r="CL337" s="63"/>
      <c r="CM337" s="63"/>
      <c r="CN337" s="63"/>
      <c r="CO337" s="63"/>
      <c r="CP337" s="63"/>
    </row>
    <row r="338" spans="1:94" s="63" customFormat="1">
      <c r="A338" s="113" t="s">
        <v>437</v>
      </c>
      <c r="B338" s="113" t="s">
        <v>481</v>
      </c>
      <c r="C338" s="114" t="s">
        <v>482</v>
      </c>
      <c r="D338" s="128" t="s">
        <v>87</v>
      </c>
      <c r="E338" s="133" t="s">
        <v>114</v>
      </c>
      <c r="F338" s="126">
        <v>181</v>
      </c>
      <c r="G338" s="126" t="s">
        <v>475</v>
      </c>
      <c r="H338" s="123">
        <v>680.625</v>
      </c>
      <c r="I338" s="125">
        <v>41.1</v>
      </c>
      <c r="J338" s="123">
        <v>29289</v>
      </c>
      <c r="K338" s="124">
        <v>0.05</v>
      </c>
      <c r="L338" s="123">
        <f t="shared" si="764"/>
        <v>27824.55</v>
      </c>
      <c r="M338" s="122">
        <f t="shared" si="724"/>
        <v>40.880881542699726</v>
      </c>
      <c r="N338" s="118">
        <v>10.48</v>
      </c>
      <c r="O338" s="118">
        <v>6.78</v>
      </c>
      <c r="P338" s="118">
        <v>9.19</v>
      </c>
      <c r="Q338" s="118">
        <v>5.59</v>
      </c>
      <c r="R338" s="118">
        <v>7.3</v>
      </c>
      <c r="S338" s="153">
        <v>8.36</v>
      </c>
      <c r="T338" s="121">
        <f t="shared" ref="T338:T346" si="779">AVERAGE(N338:S338)</f>
        <v>7.95</v>
      </c>
      <c r="U338" s="113"/>
      <c r="V338" s="115" t="s">
        <v>103</v>
      </c>
      <c r="W338" s="115"/>
      <c r="X338" s="120">
        <v>0.25</v>
      </c>
      <c r="Y338" s="120"/>
      <c r="Z338" s="118">
        <v>0.38</v>
      </c>
      <c r="AA338" s="119"/>
      <c r="AB338" s="117">
        <f t="shared" si="698"/>
        <v>0</v>
      </c>
      <c r="AC338" s="117">
        <f t="shared" si="700"/>
        <v>0</v>
      </c>
      <c r="AD338" s="117">
        <f t="shared" si="725"/>
        <v>0</v>
      </c>
      <c r="AE338" s="117">
        <f t="shared" si="701"/>
        <v>0</v>
      </c>
      <c r="AF338" s="170" t="str">
        <f t="shared" si="763"/>
        <v/>
      </c>
      <c r="AG338" s="265"/>
      <c r="AH338" s="265" t="e">
        <f t="shared" si="765"/>
        <v>#DIV/0!</v>
      </c>
      <c r="AI338" s="115"/>
      <c r="AJ338" s="118">
        <f t="shared" si="766"/>
        <v>0</v>
      </c>
      <c r="AK338" s="116">
        <f t="shared" si="767"/>
        <v>0</v>
      </c>
      <c r="AL338" s="116"/>
      <c r="AM338" s="116">
        <f t="shared" si="697"/>
        <v>0</v>
      </c>
      <c r="AN338" s="116"/>
      <c r="AO338" s="116"/>
      <c r="AP338" s="116"/>
      <c r="AQ338" s="175"/>
      <c r="AR338" s="115"/>
      <c r="AS338" s="113"/>
      <c r="AT338" s="113"/>
      <c r="AU338" s="113"/>
      <c r="AV338" s="113"/>
      <c r="AW338" s="113"/>
      <c r="AX338" s="113"/>
      <c r="AY338" s="113"/>
      <c r="AZ338" s="113"/>
      <c r="BA338" s="113"/>
      <c r="BB338" s="113"/>
      <c r="BC338" s="113"/>
      <c r="BD338" s="113"/>
      <c r="BE338" s="113"/>
      <c r="BF338" s="113"/>
      <c r="BG338" s="113"/>
      <c r="BH338" s="113"/>
      <c r="BI338" s="113"/>
      <c r="BJ338" s="113"/>
      <c r="BK338" s="113"/>
      <c r="BL338" s="113"/>
      <c r="BM338" s="113"/>
      <c r="BN338" s="113"/>
      <c r="BO338" s="113"/>
      <c r="BP338" s="113"/>
      <c r="BQ338" s="113"/>
      <c r="BR338" s="113"/>
      <c r="BS338" s="113"/>
      <c r="BT338" s="113"/>
      <c r="BU338" s="113"/>
      <c r="BV338" s="113"/>
      <c r="BW338" s="113"/>
      <c r="BX338" s="113"/>
      <c r="BY338" s="113"/>
      <c r="BZ338" s="113"/>
      <c r="CA338" s="113"/>
      <c r="CB338" s="113"/>
      <c r="CC338" s="113"/>
      <c r="CD338" s="113"/>
      <c r="CE338" s="113"/>
      <c r="CF338" s="113"/>
      <c r="CG338" s="113"/>
      <c r="CH338" s="113"/>
      <c r="CI338" s="113"/>
      <c r="CJ338" s="113"/>
      <c r="CK338" s="113"/>
      <c r="CL338" s="113"/>
      <c r="CM338" s="113"/>
      <c r="CN338" s="113"/>
      <c r="CO338" s="113"/>
      <c r="CP338" s="113"/>
    </row>
    <row r="339" spans="1:94" s="113" customFormat="1">
      <c r="A339" s="63" t="s">
        <v>437</v>
      </c>
      <c r="B339" s="63" t="s">
        <v>483</v>
      </c>
      <c r="C339" s="64" t="s">
        <v>484</v>
      </c>
      <c r="D339" s="65" t="s">
        <v>87</v>
      </c>
      <c r="E339" s="88" t="s">
        <v>114</v>
      </c>
      <c r="F339" s="68">
        <v>15</v>
      </c>
      <c r="G339" s="68" t="s">
        <v>204</v>
      </c>
      <c r="H339" s="69">
        <v>777.85714285714289</v>
      </c>
      <c r="I339" s="74">
        <v>18.39</v>
      </c>
      <c r="J339" s="69">
        <v>14077</v>
      </c>
      <c r="K339" s="72"/>
      <c r="L339" s="69">
        <f t="shared" si="764"/>
        <v>14077</v>
      </c>
      <c r="M339" s="86">
        <f t="shared" si="724"/>
        <v>18.097153351698804</v>
      </c>
      <c r="N339" s="79">
        <v>10</v>
      </c>
      <c r="O339" s="79">
        <v>8.59</v>
      </c>
      <c r="P339" s="79">
        <v>9.56</v>
      </c>
      <c r="Q339" s="79">
        <v>10.1</v>
      </c>
      <c r="R339" s="79">
        <v>8.52</v>
      </c>
      <c r="S339" s="84">
        <v>10.41</v>
      </c>
      <c r="T339" s="85">
        <f t="shared" si="779"/>
        <v>9.5299999999999994</v>
      </c>
      <c r="U339" s="63"/>
      <c r="V339" s="77"/>
      <c r="W339" s="77"/>
      <c r="X339" s="78"/>
      <c r="Y339" s="78"/>
      <c r="Z339" s="79">
        <v>0.38</v>
      </c>
      <c r="AA339" s="80"/>
      <c r="AB339" s="81">
        <f t="shared" si="698"/>
        <v>0</v>
      </c>
      <c r="AC339" s="233">
        <f t="shared" si="700"/>
        <v>0</v>
      </c>
      <c r="AD339" s="233">
        <f t="shared" si="725"/>
        <v>0</v>
      </c>
      <c r="AE339" s="233">
        <f t="shared" si="701"/>
        <v>0</v>
      </c>
      <c r="AF339" s="234" t="str">
        <f t="shared" si="763"/>
        <v/>
      </c>
      <c r="AG339" s="270"/>
      <c r="AH339" s="270" t="e">
        <f t="shared" si="765"/>
        <v>#DIV/0!</v>
      </c>
      <c r="AI339" s="77"/>
      <c r="AJ339" s="79">
        <f t="shared" si="766"/>
        <v>0</v>
      </c>
      <c r="AK339" s="82">
        <f t="shared" si="767"/>
        <v>0</v>
      </c>
      <c r="AL339" s="82"/>
      <c r="AM339" s="82">
        <f t="shared" si="697"/>
        <v>0</v>
      </c>
      <c r="AN339" s="82"/>
      <c r="AO339" s="82"/>
      <c r="AP339" s="82"/>
      <c r="AQ339" s="63"/>
      <c r="AR339" s="77"/>
      <c r="AS339" s="63"/>
      <c r="AT339" s="63"/>
      <c r="AU339" s="63"/>
      <c r="AV339" s="63"/>
      <c r="AW339" s="63"/>
      <c r="AX339" s="63"/>
      <c r="AY339" s="63"/>
      <c r="AZ339" s="63"/>
      <c r="BA339" s="63"/>
      <c r="BB339" s="63"/>
      <c r="BC339" s="63"/>
      <c r="BD339" s="63"/>
      <c r="BE339" s="63"/>
      <c r="BF339" s="63"/>
      <c r="BG339" s="63"/>
      <c r="BH339" s="63"/>
      <c r="BI339" s="63"/>
      <c r="BJ339" s="63"/>
      <c r="BK339" s="63"/>
      <c r="BL339" s="63"/>
      <c r="BM339" s="63"/>
      <c r="BN339" s="63"/>
      <c r="BO339" s="63"/>
      <c r="BP339" s="63"/>
      <c r="BQ339" s="63"/>
      <c r="BR339" s="63"/>
      <c r="BS339" s="63"/>
      <c r="BT339" s="63"/>
      <c r="BU339" s="63"/>
      <c r="BV339" s="63"/>
      <c r="BW339" s="63"/>
      <c r="BX339" s="63"/>
      <c r="BY339" s="63"/>
      <c r="BZ339" s="63"/>
      <c r="CA339" s="63"/>
      <c r="CB339" s="63"/>
      <c r="CC339" s="63"/>
      <c r="CD339" s="63"/>
      <c r="CE339" s="63"/>
      <c r="CF339" s="63"/>
      <c r="CG339" s="63"/>
      <c r="CH339" s="63"/>
      <c r="CI339" s="63"/>
      <c r="CJ339" s="63"/>
      <c r="CK339" s="63"/>
      <c r="CL339" s="63"/>
      <c r="CM339" s="63"/>
      <c r="CN339" s="63"/>
      <c r="CO339" s="63"/>
      <c r="CP339" s="63"/>
    </row>
    <row r="340" spans="1:94" s="63" customFormat="1">
      <c r="A340" s="113" t="s">
        <v>437</v>
      </c>
      <c r="B340" s="113" t="s">
        <v>798</v>
      </c>
      <c r="C340" s="114" t="s">
        <v>799</v>
      </c>
      <c r="D340" s="128" t="s">
        <v>87</v>
      </c>
      <c r="E340" s="133" t="s">
        <v>800</v>
      </c>
      <c r="F340" s="159" t="s">
        <v>801</v>
      </c>
      <c r="G340" s="126" t="s">
        <v>90</v>
      </c>
      <c r="H340" s="123">
        <v>680.625</v>
      </c>
      <c r="I340" s="125">
        <v>8.34</v>
      </c>
      <c r="J340" s="123">
        <v>5471</v>
      </c>
      <c r="K340" s="124"/>
      <c r="L340" s="123">
        <f t="shared" si="764"/>
        <v>5471</v>
      </c>
      <c r="M340" s="122">
        <f t="shared" si="724"/>
        <v>8.0382001836547285</v>
      </c>
      <c r="N340" s="118">
        <v>5.08</v>
      </c>
      <c r="O340" s="118">
        <v>4.53</v>
      </c>
      <c r="P340" s="118">
        <v>3.17</v>
      </c>
      <c r="Q340" s="118">
        <v>6.07</v>
      </c>
      <c r="R340" s="118">
        <v>5.04</v>
      </c>
      <c r="S340" s="153">
        <v>6.22</v>
      </c>
      <c r="T340" s="121">
        <f t="shared" si="779"/>
        <v>5.0183333333333335</v>
      </c>
      <c r="U340" s="113"/>
      <c r="V340" s="115"/>
      <c r="W340" s="115"/>
      <c r="X340" s="120">
        <v>0.45</v>
      </c>
      <c r="Y340" s="120"/>
      <c r="Z340" s="118">
        <v>0.4</v>
      </c>
      <c r="AA340" s="119">
        <v>45831</v>
      </c>
      <c r="AB340" s="117">
        <f t="shared" ref="AB340:AB366" si="780">IFERROR(AVERAGE(AS340:CP340),0)</f>
        <v>45.75</v>
      </c>
      <c r="AC340" s="117">
        <f t="shared" si="700"/>
        <v>20.587500000000002</v>
      </c>
      <c r="AD340" s="117">
        <f t="shared" si="725"/>
        <v>56.317106250000002</v>
      </c>
      <c r="AE340" s="117">
        <f t="shared" si="701"/>
        <v>6.7526506294964035</v>
      </c>
      <c r="AF340" s="170">
        <f t="shared" si="763"/>
        <v>7.8880229219874143E-2</v>
      </c>
      <c r="AG340" s="265"/>
      <c r="AH340" s="265">
        <f t="shared" si="765"/>
        <v>0</v>
      </c>
      <c r="AI340" s="115"/>
      <c r="AJ340" s="118">
        <f t="shared" si="766"/>
        <v>56.317106250000002</v>
      </c>
      <c r="AK340" s="116">
        <f t="shared" si="767"/>
        <v>6.7526506294964035</v>
      </c>
      <c r="AL340" s="116"/>
      <c r="AM340" s="116">
        <f t="shared" si="697"/>
        <v>51.46875</v>
      </c>
      <c r="AN340" s="116" t="s">
        <v>701</v>
      </c>
      <c r="AO340" s="116"/>
      <c r="AP340" s="116"/>
      <c r="AQ340" s="113"/>
      <c r="AR340" s="115" t="s">
        <v>91</v>
      </c>
      <c r="AS340" s="113">
        <v>64</v>
      </c>
      <c r="AT340" s="113">
        <v>35</v>
      </c>
      <c r="AU340" s="113">
        <v>39</v>
      </c>
      <c r="AV340" s="113">
        <v>31</v>
      </c>
      <c r="AW340" s="113">
        <v>38</v>
      </c>
      <c r="AX340" s="113">
        <v>57</v>
      </c>
      <c r="AY340" s="113">
        <v>35</v>
      </c>
      <c r="AZ340" s="113">
        <v>37</v>
      </c>
      <c r="BA340" s="113">
        <v>44</v>
      </c>
      <c r="BB340" s="113">
        <v>64</v>
      </c>
      <c r="BC340" s="113">
        <v>42</v>
      </c>
      <c r="BD340" s="113">
        <v>63</v>
      </c>
      <c r="BE340" s="113"/>
      <c r="BF340" s="113"/>
      <c r="BG340" s="113"/>
      <c r="BH340" s="113"/>
      <c r="BI340" s="113"/>
      <c r="BJ340" s="113"/>
      <c r="BK340" s="113"/>
      <c r="BL340" s="113"/>
      <c r="BM340" s="113"/>
      <c r="BN340" s="113"/>
      <c r="BO340" s="113"/>
      <c r="BP340" s="113"/>
      <c r="BQ340" s="113"/>
      <c r="BR340" s="113"/>
      <c r="BS340" s="113"/>
      <c r="BT340" s="113"/>
      <c r="BU340" s="113"/>
      <c r="BV340" s="113"/>
      <c r="BW340" s="113"/>
      <c r="BX340" s="113"/>
      <c r="BY340" s="113"/>
      <c r="BZ340" s="113"/>
      <c r="CA340" s="113"/>
      <c r="CB340" s="113"/>
      <c r="CC340" s="113"/>
      <c r="CD340" s="113"/>
      <c r="CE340" s="113"/>
      <c r="CF340" s="113"/>
      <c r="CG340" s="113"/>
      <c r="CH340" s="113"/>
      <c r="CI340" s="113"/>
      <c r="CJ340" s="113"/>
      <c r="CK340" s="113"/>
      <c r="CL340" s="113"/>
      <c r="CM340" s="113"/>
      <c r="CN340" s="113"/>
      <c r="CO340" s="113"/>
      <c r="CP340" s="113"/>
    </row>
    <row r="341" spans="1:94" s="63" customFormat="1">
      <c r="A341" s="63" t="s">
        <v>437</v>
      </c>
      <c r="B341" s="63" t="s">
        <v>485</v>
      </c>
      <c r="C341" s="64" t="s">
        <v>486</v>
      </c>
      <c r="D341" s="65" t="s">
        <v>87</v>
      </c>
      <c r="E341" s="66" t="s">
        <v>88</v>
      </c>
      <c r="F341" s="68" t="s">
        <v>487</v>
      </c>
      <c r="G341" s="68" t="s">
        <v>90</v>
      </c>
      <c r="H341" s="69">
        <v>622.28571428571433</v>
      </c>
      <c r="I341" s="74">
        <v>17.14</v>
      </c>
      <c r="J341" s="69">
        <v>10509</v>
      </c>
      <c r="K341" s="72"/>
      <c r="L341" s="69">
        <f t="shared" si="764"/>
        <v>10509</v>
      </c>
      <c r="M341" s="86">
        <f t="shared" si="724"/>
        <v>16.887741046831955</v>
      </c>
      <c r="N341" s="79">
        <v>6.55</v>
      </c>
      <c r="O341" s="79">
        <v>7.61</v>
      </c>
      <c r="P341" s="79">
        <v>8.89</v>
      </c>
      <c r="Q341" s="79">
        <v>8.4600000000000009</v>
      </c>
      <c r="R341" s="79">
        <v>12.57</v>
      </c>
      <c r="S341" s="84">
        <v>8.8699999999999992</v>
      </c>
      <c r="T341" s="85">
        <f t="shared" si="779"/>
        <v>8.8249999999999993</v>
      </c>
      <c r="V341" s="77" t="s">
        <v>103</v>
      </c>
      <c r="W341" s="77"/>
      <c r="X341" s="78">
        <v>0.3</v>
      </c>
      <c r="Y341" s="78"/>
      <c r="Z341" s="79">
        <v>0.33</v>
      </c>
      <c r="AA341" s="80">
        <v>45784</v>
      </c>
      <c r="AB341" s="81">
        <f t="shared" si="780"/>
        <v>114.3</v>
      </c>
      <c r="AC341" s="81">
        <f t="shared" si="700"/>
        <v>34.29</v>
      </c>
      <c r="AD341" s="81">
        <f t="shared" si="725"/>
        <v>180.176805</v>
      </c>
      <c r="AE341" s="81">
        <f t="shared" si="701"/>
        <v>10.512065635939322</v>
      </c>
      <c r="AF341" s="167">
        <f t="shared" si="763"/>
        <v>0.15620770387176086</v>
      </c>
      <c r="AG341" s="264">
        <v>9.2899999999999991</v>
      </c>
      <c r="AH341" s="264">
        <f t="shared" si="765"/>
        <v>0.26122193862589949</v>
      </c>
      <c r="AI341" s="77"/>
      <c r="AJ341" s="79">
        <f t="shared" si="766"/>
        <v>180.176805</v>
      </c>
      <c r="AK341" s="82">
        <f t="shared" si="767"/>
        <v>10.512065635939322</v>
      </c>
      <c r="AL341" s="82"/>
      <c r="AM341" s="82">
        <f t="shared" si="697"/>
        <v>103.90909090909089</v>
      </c>
      <c r="AN341" s="82" t="s">
        <v>701</v>
      </c>
      <c r="AO341" s="82">
        <f>9.5*I341</f>
        <v>162.83000000000001</v>
      </c>
      <c r="AP341" s="82">
        <f>AD341-AO341</f>
        <v>17.346804999999989</v>
      </c>
      <c r="AR341" s="77"/>
      <c r="AS341" s="63">
        <v>97</v>
      </c>
      <c r="AT341" s="63">
        <v>101</v>
      </c>
      <c r="AU341" s="63">
        <v>110</v>
      </c>
      <c r="AV341" s="63">
        <v>120</v>
      </c>
      <c r="AW341" s="63">
        <v>115</v>
      </c>
      <c r="AX341" s="63">
        <v>110</v>
      </c>
      <c r="AY341" s="63">
        <v>113</v>
      </c>
      <c r="AZ341" s="63">
        <v>105</v>
      </c>
      <c r="BA341" s="63">
        <v>122</v>
      </c>
      <c r="BB341" s="63">
        <v>128</v>
      </c>
      <c r="BC341" s="63">
        <v>123</v>
      </c>
      <c r="BD341" s="63">
        <v>109</v>
      </c>
      <c r="BE341" s="63">
        <v>121</v>
      </c>
      <c r="BF341" s="63">
        <v>103</v>
      </c>
      <c r="BG341" s="63">
        <v>111</v>
      </c>
      <c r="BH341" s="63">
        <v>119</v>
      </c>
      <c r="BI341" s="63">
        <v>125</v>
      </c>
      <c r="BJ341" s="63">
        <v>112</v>
      </c>
      <c r="BK341" s="63">
        <v>119</v>
      </c>
      <c r="BL341" s="63">
        <v>123</v>
      </c>
    </row>
    <row r="342" spans="1:94" s="113" customFormat="1">
      <c r="A342" s="63" t="s">
        <v>437</v>
      </c>
      <c r="B342" s="63" t="s">
        <v>485</v>
      </c>
      <c r="C342" s="64" t="s">
        <v>486</v>
      </c>
      <c r="D342" s="65" t="s">
        <v>87</v>
      </c>
      <c r="E342" s="66" t="s">
        <v>88</v>
      </c>
      <c r="F342" s="68" t="s">
        <v>487</v>
      </c>
      <c r="G342" s="68" t="s">
        <v>90</v>
      </c>
      <c r="H342" s="69">
        <v>622.28571428571433</v>
      </c>
      <c r="I342" s="74">
        <v>17.14</v>
      </c>
      <c r="J342" s="69">
        <v>10509</v>
      </c>
      <c r="K342" s="72"/>
      <c r="L342" s="69">
        <f t="shared" si="764"/>
        <v>10509</v>
      </c>
      <c r="M342" s="86">
        <f t="shared" si="724"/>
        <v>16.887741046831955</v>
      </c>
      <c r="N342" s="79">
        <v>6.55</v>
      </c>
      <c r="O342" s="79">
        <v>7.61</v>
      </c>
      <c r="P342" s="79">
        <v>8.89</v>
      </c>
      <c r="Q342" s="79">
        <v>8.4600000000000009</v>
      </c>
      <c r="R342" s="79">
        <v>12.57</v>
      </c>
      <c r="S342" s="84">
        <v>8.8699999999999992</v>
      </c>
      <c r="T342" s="85">
        <f t="shared" si="779"/>
        <v>8.8249999999999993</v>
      </c>
      <c r="U342" s="63"/>
      <c r="V342" s="77" t="s">
        <v>103</v>
      </c>
      <c r="W342" s="77"/>
      <c r="X342" s="78">
        <v>0.3</v>
      </c>
      <c r="Y342" s="78"/>
      <c r="Z342" s="79">
        <v>0.33</v>
      </c>
      <c r="AA342" s="80">
        <v>45784</v>
      </c>
      <c r="AB342" s="81">
        <f t="shared" si="780"/>
        <v>110.83333333333333</v>
      </c>
      <c r="AC342" s="81">
        <f t="shared" ref="AC342:AC366" si="781">AB342*X342</f>
        <v>33.25</v>
      </c>
      <c r="AD342" s="81">
        <f t="shared" si="725"/>
        <v>174.71212499999999</v>
      </c>
      <c r="AE342" s="81">
        <f t="shared" ref="AE342:AE366" si="782">IFERROR((AD342/I342),"")</f>
        <v>10.193239498249707</v>
      </c>
      <c r="AF342" s="167">
        <f t="shared" si="763"/>
        <v>0.12981540348158427</v>
      </c>
      <c r="AG342" s="264">
        <v>9.2899999999999991</v>
      </c>
      <c r="AH342" s="264">
        <f t="shared" si="765"/>
        <v>0.26939248948818323</v>
      </c>
      <c r="AI342" s="77"/>
      <c r="AJ342" s="79">
        <f t="shared" si="766"/>
        <v>174.71212499999999</v>
      </c>
      <c r="AK342" s="82">
        <f t="shared" si="767"/>
        <v>10.193239498249707</v>
      </c>
      <c r="AL342" s="82"/>
      <c r="AM342" s="82">
        <f t="shared" si="697"/>
        <v>100.75757575757575</v>
      </c>
      <c r="AN342" s="82" t="s">
        <v>701</v>
      </c>
      <c r="AO342" s="82">
        <f>9.5*I342</f>
        <v>162.83000000000001</v>
      </c>
      <c r="AP342" s="82">
        <f>AD342-AO342</f>
        <v>11.882124999999974</v>
      </c>
      <c r="AQ342" s="63"/>
      <c r="AR342" s="77"/>
      <c r="AS342" s="63">
        <v>87</v>
      </c>
      <c r="AT342" s="63">
        <v>100</v>
      </c>
      <c r="AU342" s="63">
        <v>108</v>
      </c>
      <c r="AV342" s="63">
        <v>118</v>
      </c>
      <c r="AW342" s="63">
        <v>131</v>
      </c>
      <c r="AX342" s="63">
        <v>124</v>
      </c>
      <c r="AY342" s="63">
        <v>100</v>
      </c>
      <c r="AZ342" s="63">
        <v>102</v>
      </c>
      <c r="BA342" s="63">
        <v>97</v>
      </c>
      <c r="BB342" s="63">
        <v>132</v>
      </c>
      <c r="BC342" s="63">
        <v>107</v>
      </c>
      <c r="BD342" s="63">
        <v>124</v>
      </c>
      <c r="BE342" s="63"/>
      <c r="BF342" s="63"/>
      <c r="BG342" s="63"/>
      <c r="BH342" s="63"/>
      <c r="BI342" s="63"/>
      <c r="BJ342" s="63"/>
      <c r="BK342" s="63"/>
      <c r="BL342" s="63"/>
      <c r="BM342" s="63"/>
      <c r="BN342" s="63"/>
      <c r="BO342" s="63"/>
      <c r="BP342" s="63"/>
      <c r="BQ342" s="63"/>
      <c r="BR342" s="63"/>
      <c r="BS342" s="63"/>
      <c r="BT342" s="63"/>
      <c r="BU342" s="63"/>
      <c r="BV342" s="63"/>
      <c r="BW342" s="63"/>
      <c r="BX342" s="63"/>
      <c r="BY342" s="63"/>
      <c r="BZ342" s="63"/>
      <c r="CA342" s="63"/>
      <c r="CB342" s="63"/>
      <c r="CC342" s="63"/>
      <c r="CD342" s="63"/>
      <c r="CE342" s="63"/>
      <c r="CF342" s="63"/>
      <c r="CG342" s="63"/>
      <c r="CH342" s="63"/>
      <c r="CI342" s="63"/>
      <c r="CJ342" s="63"/>
      <c r="CK342" s="63"/>
      <c r="CL342" s="63"/>
      <c r="CM342" s="63"/>
      <c r="CN342" s="63"/>
      <c r="CO342" s="63"/>
      <c r="CP342" s="63"/>
    </row>
    <row r="343" spans="1:94" s="63" customFormat="1">
      <c r="A343" s="113" t="s">
        <v>437</v>
      </c>
      <c r="B343" s="113" t="s">
        <v>488</v>
      </c>
      <c r="C343" s="114" t="s">
        <v>489</v>
      </c>
      <c r="D343" s="128" t="s">
        <v>87</v>
      </c>
      <c r="E343" s="127" t="s">
        <v>88</v>
      </c>
      <c r="F343" s="126">
        <v>7</v>
      </c>
      <c r="G343" s="126" t="s">
        <v>145</v>
      </c>
      <c r="H343" s="123">
        <v>691.42857142857144</v>
      </c>
      <c r="I343" s="125">
        <v>44.56</v>
      </c>
      <c r="J343" s="123">
        <v>30602</v>
      </c>
      <c r="K343" s="124">
        <v>0.12</v>
      </c>
      <c r="L343" s="123">
        <f t="shared" si="764"/>
        <v>26929.760000000002</v>
      </c>
      <c r="M343" s="122">
        <f t="shared" si="724"/>
        <v>38.948</v>
      </c>
      <c r="N343" s="118">
        <v>6.98</v>
      </c>
      <c r="O343" s="118">
        <v>5.93</v>
      </c>
      <c r="P343" s="118">
        <v>6.95</v>
      </c>
      <c r="Q343" s="118">
        <v>7.81</v>
      </c>
      <c r="R343" s="118">
        <v>9.17</v>
      </c>
      <c r="S343" s="153">
        <v>7.55</v>
      </c>
      <c r="T343" s="121">
        <f t="shared" si="779"/>
        <v>7.3983333333333325</v>
      </c>
      <c r="U343" s="113" t="s">
        <v>365</v>
      </c>
      <c r="V343" s="115" t="s">
        <v>103</v>
      </c>
      <c r="W343" s="115"/>
      <c r="X343" s="120">
        <v>0.33</v>
      </c>
      <c r="Y343" s="120"/>
      <c r="Z343" s="118">
        <v>0.33</v>
      </c>
      <c r="AA343" s="119">
        <v>45765</v>
      </c>
      <c r="AB343" s="117">
        <f t="shared" si="780"/>
        <v>83.8</v>
      </c>
      <c r="AC343" s="117">
        <f t="shared" si="781"/>
        <v>27.654</v>
      </c>
      <c r="AD343" s="117">
        <f t="shared" si="725"/>
        <v>372.35779152000003</v>
      </c>
      <c r="AE343" s="117">
        <f t="shared" si="782"/>
        <v>8.3563238671454219</v>
      </c>
      <c r="AF343" s="170">
        <f t="shared" si="763"/>
        <v>9.6492653942680168E-2</v>
      </c>
      <c r="AG343" s="265">
        <v>7.55</v>
      </c>
      <c r="AH343" s="265">
        <f t="shared" si="765"/>
        <v>0.26060671808122443</v>
      </c>
      <c r="AI343" s="115"/>
      <c r="AJ343" s="118">
        <f t="shared" si="766"/>
        <v>372.35779152000003</v>
      </c>
      <c r="AK343" s="116">
        <f t="shared" si="767"/>
        <v>8.3563238671454219</v>
      </c>
      <c r="AL343" s="116"/>
      <c r="AM343" s="116">
        <f t="shared" si="697"/>
        <v>73.744000000000014</v>
      </c>
      <c r="AN343" s="116"/>
      <c r="AO343" s="116"/>
      <c r="AP343" s="116"/>
      <c r="AQ343" s="113" t="s">
        <v>802</v>
      </c>
      <c r="AR343" s="115" t="s">
        <v>137</v>
      </c>
      <c r="AS343" s="113">
        <v>89</v>
      </c>
      <c r="AT343" s="113">
        <v>90</v>
      </c>
      <c r="AU343" s="113">
        <v>78</v>
      </c>
      <c r="AV343" s="113">
        <v>85</v>
      </c>
      <c r="AW343" s="113">
        <v>88</v>
      </c>
      <c r="AX343" s="113">
        <v>76</v>
      </c>
      <c r="AY343" s="113">
        <v>92</v>
      </c>
      <c r="AZ343" s="113">
        <v>81</v>
      </c>
      <c r="BA343" s="113">
        <v>73</v>
      </c>
      <c r="BB343" s="113">
        <v>86</v>
      </c>
      <c r="BC343" s="113"/>
      <c r="BD343" s="113"/>
      <c r="BE343" s="113"/>
      <c r="BF343" s="113"/>
      <c r="BG343" s="113"/>
      <c r="BH343" s="113"/>
      <c r="BI343" s="113"/>
      <c r="BJ343" s="113"/>
      <c r="BK343" s="113"/>
      <c r="BL343" s="113"/>
      <c r="BM343" s="113"/>
      <c r="BN343" s="113"/>
      <c r="BO343" s="113"/>
      <c r="BP343" s="113"/>
      <c r="BQ343" s="113"/>
      <c r="BR343" s="113"/>
      <c r="BS343" s="113"/>
      <c r="BT343" s="113"/>
      <c r="BU343" s="113"/>
      <c r="BV343" s="113"/>
      <c r="BW343" s="113"/>
      <c r="BX343" s="113"/>
      <c r="BY343" s="113"/>
      <c r="BZ343" s="113"/>
      <c r="CA343" s="113"/>
      <c r="CB343" s="113"/>
      <c r="CC343" s="113"/>
      <c r="CD343" s="113"/>
      <c r="CE343" s="113"/>
      <c r="CF343" s="113"/>
      <c r="CG343" s="113"/>
      <c r="CH343" s="113"/>
      <c r="CI343" s="113"/>
      <c r="CJ343" s="113"/>
      <c r="CK343" s="113"/>
      <c r="CL343" s="113"/>
      <c r="CM343" s="113"/>
      <c r="CN343" s="113"/>
      <c r="CO343" s="113"/>
      <c r="CP343" s="113"/>
    </row>
    <row r="344" spans="1:94" s="113" customFormat="1">
      <c r="A344" s="63" t="s">
        <v>437</v>
      </c>
      <c r="B344" s="63" t="s">
        <v>490</v>
      </c>
      <c r="C344" s="64" t="s">
        <v>491</v>
      </c>
      <c r="D344" s="65" t="s">
        <v>87</v>
      </c>
      <c r="E344" s="66" t="s">
        <v>119</v>
      </c>
      <c r="F344" s="68" t="s">
        <v>492</v>
      </c>
      <c r="G344" s="68" t="s">
        <v>145</v>
      </c>
      <c r="H344" s="69">
        <v>691.42857142857144</v>
      </c>
      <c r="I344" s="74">
        <v>57.07</v>
      </c>
      <c r="J344" s="69">
        <v>39054</v>
      </c>
      <c r="K344" s="72">
        <v>0.02</v>
      </c>
      <c r="L344" s="69">
        <f t="shared" si="764"/>
        <v>38272.92</v>
      </c>
      <c r="M344" s="86">
        <f t="shared" si="724"/>
        <v>55.353396694214872</v>
      </c>
      <c r="N344" s="79">
        <v>6.76</v>
      </c>
      <c r="O344" s="79">
        <v>6.51</v>
      </c>
      <c r="P344" s="79">
        <v>6.15</v>
      </c>
      <c r="Q344" s="79">
        <v>7.01</v>
      </c>
      <c r="R344" s="79">
        <v>8.16</v>
      </c>
      <c r="S344" s="84">
        <v>6.91</v>
      </c>
      <c r="T344" s="85">
        <f t="shared" si="779"/>
        <v>6.916666666666667</v>
      </c>
      <c r="U344" s="63"/>
      <c r="V344" s="77"/>
      <c r="W344" s="77"/>
      <c r="X344" s="78">
        <v>0.43</v>
      </c>
      <c r="Y344" s="78"/>
      <c r="Z344" s="79">
        <v>0.52</v>
      </c>
      <c r="AA344" s="80">
        <v>45823</v>
      </c>
      <c r="AB344" s="81">
        <f t="shared" si="780"/>
        <v>48.1875</v>
      </c>
      <c r="AC344" s="81">
        <f t="shared" si="781"/>
        <v>20.720624999999998</v>
      </c>
      <c r="AD344" s="81">
        <f t="shared" si="725"/>
        <v>396.51941148749995</v>
      </c>
      <c r="AE344" s="81">
        <f t="shared" si="782"/>
        <v>6.9479483351585767</v>
      </c>
      <c r="AF344" s="167">
        <f t="shared" si="763"/>
        <v>5.4618044533444885E-3</v>
      </c>
      <c r="AG344" s="264">
        <v>5.34</v>
      </c>
      <c r="AH344" s="264">
        <f t="shared" si="765"/>
        <v>0.32054539023056883</v>
      </c>
      <c r="AI344" s="77"/>
      <c r="AJ344" s="79">
        <f t="shared" si="766"/>
        <v>396.51941148749995</v>
      </c>
      <c r="AK344" s="82">
        <f t="shared" si="767"/>
        <v>6.9479483351585767</v>
      </c>
      <c r="AL344" s="82"/>
      <c r="AM344" s="82">
        <f t="shared" si="697"/>
        <v>39.050408653846148</v>
      </c>
      <c r="AN344" s="82"/>
      <c r="AO344" s="82"/>
      <c r="AP344" s="82"/>
      <c r="AQ344" s="63"/>
      <c r="AR344" s="77"/>
      <c r="AS344" s="63">
        <v>43</v>
      </c>
      <c r="AT344" s="63">
        <v>39</v>
      </c>
      <c r="AU344" s="63">
        <v>47</v>
      </c>
      <c r="AV344" s="63">
        <v>49</v>
      </c>
      <c r="AW344" s="63">
        <v>50</v>
      </c>
      <c r="AX344" s="63">
        <v>39</v>
      </c>
      <c r="AY344" s="63">
        <v>46</v>
      </c>
      <c r="AZ344" s="63">
        <v>49</v>
      </c>
      <c r="BA344" s="63">
        <v>50</v>
      </c>
      <c r="BB344" s="63">
        <v>54</v>
      </c>
      <c r="BC344" s="63">
        <v>46</v>
      </c>
      <c r="BD344" s="63">
        <v>54</v>
      </c>
      <c r="BE344" s="63">
        <v>57</v>
      </c>
      <c r="BF344" s="63">
        <v>48</v>
      </c>
      <c r="BG344" s="63">
        <v>47</v>
      </c>
      <c r="BH344" s="63">
        <v>53</v>
      </c>
      <c r="BI344" s="63"/>
      <c r="BJ344" s="63"/>
      <c r="BK344" s="63"/>
      <c r="BL344" s="63"/>
      <c r="BM344" s="63"/>
      <c r="BN344" s="63"/>
      <c r="BO344" s="63"/>
      <c r="BP344" s="63"/>
      <c r="BQ344" s="63"/>
      <c r="BR344" s="63"/>
      <c r="BS344" s="63"/>
      <c r="BT344" s="63"/>
      <c r="BU344" s="63"/>
      <c r="BV344" s="63"/>
      <c r="BW344" s="63"/>
      <c r="BX344" s="63"/>
      <c r="BY344" s="63"/>
      <c r="BZ344" s="63"/>
      <c r="CA344" s="63"/>
      <c r="CB344" s="63"/>
      <c r="CC344" s="63"/>
      <c r="CD344" s="63"/>
      <c r="CE344" s="63"/>
      <c r="CF344" s="63"/>
      <c r="CG344" s="63"/>
      <c r="CH344" s="63"/>
      <c r="CI344" s="63"/>
      <c r="CJ344" s="63"/>
      <c r="CK344" s="63"/>
      <c r="CL344" s="63"/>
      <c r="CM344" s="63"/>
      <c r="CN344" s="63"/>
      <c r="CO344" s="63"/>
      <c r="CP344" s="63"/>
    </row>
    <row r="345" spans="1:94" s="113" customFormat="1">
      <c r="A345" s="63" t="s">
        <v>437</v>
      </c>
      <c r="B345" s="63" t="s">
        <v>490</v>
      </c>
      <c r="C345" s="64" t="s">
        <v>491</v>
      </c>
      <c r="D345" s="65" t="s">
        <v>87</v>
      </c>
      <c r="E345" s="66" t="s">
        <v>119</v>
      </c>
      <c r="F345" s="68" t="s">
        <v>492</v>
      </c>
      <c r="G345" s="68" t="s">
        <v>145</v>
      </c>
      <c r="H345" s="69">
        <v>691.42857142857144</v>
      </c>
      <c r="I345" s="74">
        <v>57.07</v>
      </c>
      <c r="J345" s="69">
        <v>39054</v>
      </c>
      <c r="K345" s="72">
        <v>0.02</v>
      </c>
      <c r="L345" s="69">
        <f t="shared" ref="L345" si="783">J345-(J345*K345)</f>
        <v>38272.92</v>
      </c>
      <c r="M345" s="86">
        <f t="shared" ref="M345" si="784">L345/H345</f>
        <v>55.353396694214872</v>
      </c>
      <c r="N345" s="79">
        <v>6.76</v>
      </c>
      <c r="O345" s="79">
        <v>6.51</v>
      </c>
      <c r="P345" s="79">
        <v>6.15</v>
      </c>
      <c r="Q345" s="79">
        <v>7.01</v>
      </c>
      <c r="R345" s="79">
        <v>8.16</v>
      </c>
      <c r="S345" s="84">
        <v>6.91</v>
      </c>
      <c r="T345" s="85">
        <f t="shared" ref="T345" si="785">AVERAGE(N345:S345)</f>
        <v>6.916666666666667</v>
      </c>
      <c r="U345" s="63"/>
      <c r="V345" s="77"/>
      <c r="W345" s="77"/>
      <c r="X345" s="78">
        <v>0.43</v>
      </c>
      <c r="Y345" s="78"/>
      <c r="Z345" s="79">
        <v>0.52</v>
      </c>
      <c r="AA345" s="80">
        <v>45867</v>
      </c>
      <c r="AB345" s="81">
        <f t="shared" ref="AB345" si="786">IFERROR(AVERAGE(AS345:CP345),0)</f>
        <v>48.260869565217391</v>
      </c>
      <c r="AC345" s="81">
        <f t="shared" si="781"/>
        <v>20.752173913043478</v>
      </c>
      <c r="AD345" s="81">
        <f t="shared" ref="AD345" si="787">(AC345*L345)/2000</f>
        <v>397.12314600000002</v>
      </c>
      <c r="AE345" s="81">
        <f>IFERROR((AD345/I345),"")</f>
        <v>6.9585271771508674</v>
      </c>
      <c r="AF345" s="167">
        <f t="shared" ref="AF345" si="788">IFERROR(((AE345-S345)/AE345),"")</f>
        <v>6.9737713046823932E-3</v>
      </c>
      <c r="AG345" s="264">
        <v>5.34</v>
      </c>
      <c r="AH345" s="264">
        <f t="shared" si="765"/>
        <v>0.32005807460352914</v>
      </c>
      <c r="AI345" s="77"/>
      <c r="AJ345" s="79">
        <f t="shared" ref="AJ345" si="789">AD345-(AI345*I345)</f>
        <v>397.12314600000002</v>
      </c>
      <c r="AK345" s="82">
        <f t="shared" ref="AK345" si="790">AJ345/I345</f>
        <v>6.9585271771508674</v>
      </c>
      <c r="AL345" s="82"/>
      <c r="AM345" s="82">
        <f t="shared" ref="AM345" si="791">((AJ345*2000)/Z345)/J345</f>
        <v>39.109866220735782</v>
      </c>
      <c r="AN345" s="82"/>
      <c r="AO345" s="82"/>
      <c r="AP345" s="82"/>
      <c r="AQ345" s="63"/>
      <c r="AR345" s="77"/>
      <c r="AS345" s="63">
        <v>47</v>
      </c>
      <c r="AT345" s="63">
        <v>36</v>
      </c>
      <c r="AU345" s="63">
        <v>55</v>
      </c>
      <c r="AV345" s="63">
        <v>47</v>
      </c>
      <c r="AW345" s="63">
        <v>35</v>
      </c>
      <c r="AX345" s="63">
        <v>59</v>
      </c>
      <c r="AY345" s="63">
        <v>42</v>
      </c>
      <c r="AZ345" s="63">
        <v>40</v>
      </c>
      <c r="BA345" s="63">
        <v>57</v>
      </c>
      <c r="BB345" s="63">
        <v>44</v>
      </c>
      <c r="BC345" s="63">
        <v>50</v>
      </c>
      <c r="BD345" s="63">
        <v>42</v>
      </c>
      <c r="BE345" s="63">
        <v>44</v>
      </c>
      <c r="BF345" s="63">
        <v>51</v>
      </c>
      <c r="BG345" s="63">
        <v>40</v>
      </c>
      <c r="BH345" s="63">
        <v>60</v>
      </c>
      <c r="BI345" s="63">
        <v>52</v>
      </c>
      <c r="BJ345" s="63">
        <v>47</v>
      </c>
      <c r="BK345" s="63">
        <v>62</v>
      </c>
      <c r="BL345" s="63">
        <v>58</v>
      </c>
      <c r="BM345" s="63">
        <v>42</v>
      </c>
      <c r="BN345" s="63">
        <v>44</v>
      </c>
      <c r="BO345" s="63">
        <v>56</v>
      </c>
      <c r="BP345" s="63"/>
      <c r="BQ345" s="63"/>
      <c r="BR345" s="63"/>
      <c r="BS345" s="63"/>
      <c r="BT345" s="63"/>
      <c r="BU345" s="63"/>
      <c r="BV345" s="63"/>
      <c r="BW345" s="63"/>
      <c r="BX345" s="63"/>
      <c r="BY345" s="63"/>
      <c r="BZ345" s="63"/>
      <c r="CA345" s="63"/>
      <c r="CB345" s="63"/>
      <c r="CC345" s="63"/>
      <c r="CD345" s="63"/>
      <c r="CE345" s="63"/>
      <c r="CF345" s="63"/>
      <c r="CG345" s="63"/>
      <c r="CH345" s="63"/>
      <c r="CI345" s="63"/>
      <c r="CJ345" s="63"/>
      <c r="CK345" s="63"/>
      <c r="CL345" s="63"/>
      <c r="CM345" s="63"/>
      <c r="CN345" s="63"/>
      <c r="CO345" s="63"/>
      <c r="CP345" s="63"/>
    </row>
    <row r="346" spans="1:94" s="63" customFormat="1">
      <c r="A346" s="113" t="s">
        <v>437</v>
      </c>
      <c r="B346" s="113" t="s">
        <v>493</v>
      </c>
      <c r="C346" s="114" t="s">
        <v>494</v>
      </c>
      <c r="D346" s="128" t="s">
        <v>87</v>
      </c>
      <c r="E346" s="127" t="s">
        <v>160</v>
      </c>
      <c r="F346" s="126">
        <v>1</v>
      </c>
      <c r="G346" s="126" t="s">
        <v>273</v>
      </c>
      <c r="H346" s="123">
        <v>605</v>
      </c>
      <c r="I346" s="125">
        <v>37.82</v>
      </c>
      <c r="J346" s="123">
        <v>22654</v>
      </c>
      <c r="K346" s="124"/>
      <c r="L346" s="123">
        <f t="shared" si="764"/>
        <v>22654</v>
      </c>
      <c r="M346" s="122">
        <f t="shared" si="724"/>
        <v>37.444628099173556</v>
      </c>
      <c r="N346" s="125">
        <v>8.3699999999999992</v>
      </c>
      <c r="O346" s="125">
        <v>9.11</v>
      </c>
      <c r="P346" s="125">
        <v>9.52</v>
      </c>
      <c r="Q346" s="125">
        <v>8.51</v>
      </c>
      <c r="R346" s="125">
        <v>9.17</v>
      </c>
      <c r="S346" s="154">
        <v>6.56</v>
      </c>
      <c r="T346" s="129">
        <f t="shared" si="779"/>
        <v>8.5400000000000009</v>
      </c>
      <c r="U346" s="113" t="s">
        <v>365</v>
      </c>
      <c r="V346" s="115" t="s">
        <v>103</v>
      </c>
      <c r="W346" s="115"/>
      <c r="X346" s="120">
        <v>0.33</v>
      </c>
      <c r="Y346" s="120"/>
      <c r="Z346" s="118">
        <v>0.4</v>
      </c>
      <c r="AA346" s="119">
        <v>45769</v>
      </c>
      <c r="AB346" s="117">
        <f t="shared" si="780"/>
        <v>93.933333333333337</v>
      </c>
      <c r="AC346" s="117">
        <f t="shared" si="781"/>
        <v>30.998000000000001</v>
      </c>
      <c r="AD346" s="117">
        <f t="shared" si="725"/>
        <v>351.11434600000001</v>
      </c>
      <c r="AE346" s="117">
        <f t="shared" si="782"/>
        <v>9.2838272342675836</v>
      </c>
      <c r="AF346" s="170">
        <f t="shared" si="763"/>
        <v>0.29339486458921282</v>
      </c>
      <c r="AG346" s="265">
        <v>6.29</v>
      </c>
      <c r="AH346" s="265">
        <f t="shared" si="765"/>
        <v>0.22136325510736762</v>
      </c>
      <c r="AI346" s="115"/>
      <c r="AJ346" s="118">
        <f t="shared" si="766"/>
        <v>351.11434600000001</v>
      </c>
      <c r="AK346" s="116">
        <f t="shared" si="767"/>
        <v>9.2838272342675836</v>
      </c>
      <c r="AL346" s="116"/>
      <c r="AM346" s="116">
        <f t="shared" si="697"/>
        <v>77.495000000000005</v>
      </c>
      <c r="AN346" s="116"/>
      <c r="AO346" s="116"/>
      <c r="AP346" s="116"/>
      <c r="AQ346" s="113"/>
      <c r="AR346" s="115" t="s">
        <v>91</v>
      </c>
      <c r="AS346" s="115">
        <v>101</v>
      </c>
      <c r="AT346" s="113">
        <v>95</v>
      </c>
      <c r="AU346" s="113">
        <v>95</v>
      </c>
      <c r="AV346" s="113">
        <v>117</v>
      </c>
      <c r="AW346" s="113">
        <v>78</v>
      </c>
      <c r="AX346" s="113">
        <v>122</v>
      </c>
      <c r="AY346" s="113">
        <v>112</v>
      </c>
      <c r="AZ346" s="113">
        <v>126</v>
      </c>
      <c r="BA346" s="113">
        <v>120</v>
      </c>
      <c r="BB346" s="113">
        <v>110</v>
      </c>
      <c r="BC346" s="113">
        <v>65</v>
      </c>
      <c r="BD346" s="113">
        <v>70</v>
      </c>
      <c r="BE346" s="113">
        <v>62</v>
      </c>
      <c r="BF346" s="113">
        <v>61</v>
      </c>
      <c r="BG346" s="113">
        <v>75</v>
      </c>
      <c r="BH346" s="113"/>
      <c r="BI346" s="113"/>
      <c r="BJ346" s="113"/>
      <c r="BK346" s="113"/>
      <c r="BL346" s="113"/>
      <c r="BM346" s="113"/>
      <c r="BN346" s="113"/>
      <c r="BO346" s="113"/>
      <c r="BP346" s="113"/>
      <c r="BQ346" s="113"/>
      <c r="BR346" s="113"/>
      <c r="BS346" s="113"/>
      <c r="BT346" s="113"/>
      <c r="BU346" s="113"/>
      <c r="BV346" s="113"/>
      <c r="BW346" s="113"/>
      <c r="BX346" s="113"/>
      <c r="BY346" s="113"/>
      <c r="BZ346" s="113"/>
      <c r="CA346" s="113"/>
      <c r="CB346" s="113"/>
      <c r="CC346" s="113"/>
      <c r="CD346" s="113"/>
      <c r="CE346" s="113"/>
      <c r="CF346" s="113"/>
      <c r="CG346" s="113"/>
      <c r="CH346" s="113"/>
      <c r="CI346" s="113"/>
      <c r="CJ346" s="113"/>
      <c r="CK346" s="113"/>
      <c r="CL346" s="113"/>
      <c r="CM346" s="113"/>
      <c r="CN346" s="113"/>
      <c r="CO346" s="113"/>
      <c r="CP346" s="113"/>
    </row>
    <row r="347" spans="1:94" s="63" customFormat="1">
      <c r="A347" s="63" t="s">
        <v>437</v>
      </c>
      <c r="B347" s="63" t="s">
        <v>495</v>
      </c>
      <c r="C347" s="64" t="s">
        <v>496</v>
      </c>
      <c r="D347" s="65" t="s">
        <v>87</v>
      </c>
      <c r="E347" s="66" t="s">
        <v>148</v>
      </c>
      <c r="F347" s="68">
        <v>4</v>
      </c>
      <c r="G347" s="68" t="s">
        <v>497</v>
      </c>
      <c r="H347" s="69">
        <v>726</v>
      </c>
      <c r="I347" s="74">
        <v>7.06</v>
      </c>
      <c r="J347" s="69">
        <v>4941</v>
      </c>
      <c r="K347" s="72"/>
      <c r="L347" s="69">
        <f t="shared" si="764"/>
        <v>4941</v>
      </c>
      <c r="M347" s="86">
        <f t="shared" si="724"/>
        <v>6.8057851239669418</v>
      </c>
      <c r="N347" s="79"/>
      <c r="O347" s="79"/>
      <c r="P347" s="79">
        <v>6.93</v>
      </c>
      <c r="Q347" s="79">
        <v>10.01</v>
      </c>
      <c r="R347" s="79"/>
      <c r="S347" s="84">
        <v>9.33</v>
      </c>
      <c r="T347" s="85">
        <f t="shared" ref="T347:T354" si="792">AVERAGE(N347:R347)</f>
        <v>8.4699999999999989</v>
      </c>
      <c r="U347" s="63" t="s">
        <v>106</v>
      </c>
      <c r="V347" s="77" t="s">
        <v>103</v>
      </c>
      <c r="W347" s="77"/>
      <c r="X347" s="78">
        <v>0.33</v>
      </c>
      <c r="Y347" s="78"/>
      <c r="Z347" s="79">
        <v>0.35</v>
      </c>
      <c r="AA347" s="80">
        <v>45772</v>
      </c>
      <c r="AB347" s="81">
        <f t="shared" si="780"/>
        <v>90.473684210526315</v>
      </c>
      <c r="AC347" s="81">
        <f t="shared" si="781"/>
        <v>29.856315789473687</v>
      </c>
      <c r="AD347" s="81">
        <f t="shared" si="725"/>
        <v>73.760028157894752</v>
      </c>
      <c r="AE347" s="81">
        <f t="shared" si="782"/>
        <v>10.44759605635903</v>
      </c>
      <c r="AF347" s="167">
        <f t="shared" si="763"/>
        <v>0.10697159904826092</v>
      </c>
      <c r="AG347" s="264">
        <v>12.76</v>
      </c>
      <c r="AH347" s="264">
        <f t="shared" si="765"/>
        <v>0.38852750894635707</v>
      </c>
      <c r="AI347" s="77"/>
      <c r="AJ347" s="79">
        <f t="shared" si="766"/>
        <v>73.760028157894752</v>
      </c>
      <c r="AK347" s="82">
        <f t="shared" si="767"/>
        <v>10.44759605635903</v>
      </c>
      <c r="AL347" s="82"/>
      <c r="AM347" s="82">
        <f t="shared" si="697"/>
        <v>85.303759398496254</v>
      </c>
      <c r="AN347" s="82"/>
      <c r="AO347" s="82"/>
      <c r="AP347" s="82"/>
      <c r="AR347" s="77" t="s">
        <v>165</v>
      </c>
      <c r="AS347" s="63">
        <v>95</v>
      </c>
      <c r="AT347" s="63">
        <v>85</v>
      </c>
      <c r="AU347" s="63">
        <v>97</v>
      </c>
      <c r="AV347" s="63">
        <v>91</v>
      </c>
      <c r="AW347" s="63">
        <v>98</v>
      </c>
      <c r="AX347" s="63">
        <v>82</v>
      </c>
      <c r="AY347" s="63">
        <v>89</v>
      </c>
      <c r="AZ347" s="63">
        <v>89</v>
      </c>
      <c r="BA347" s="63">
        <v>84</v>
      </c>
      <c r="BB347" s="63">
        <v>90</v>
      </c>
      <c r="BC347" s="63">
        <v>84</v>
      </c>
      <c r="BD347" s="63">
        <v>86</v>
      </c>
      <c r="BE347" s="63">
        <v>91</v>
      </c>
      <c r="BF347" s="63">
        <v>87</v>
      </c>
      <c r="BG347" s="63">
        <v>98</v>
      </c>
      <c r="BH347" s="63">
        <v>95</v>
      </c>
      <c r="BI347" s="63">
        <v>93</v>
      </c>
      <c r="BJ347" s="63">
        <v>89</v>
      </c>
      <c r="BK347" s="63">
        <v>96</v>
      </c>
    </row>
    <row r="348" spans="1:94" s="63" customFormat="1">
      <c r="A348" s="63" t="s">
        <v>437</v>
      </c>
      <c r="B348" s="63" t="s">
        <v>495</v>
      </c>
      <c r="C348" s="64" t="s">
        <v>496</v>
      </c>
      <c r="D348" s="65" t="s">
        <v>87</v>
      </c>
      <c r="E348" s="66" t="s">
        <v>148</v>
      </c>
      <c r="F348" s="68">
        <v>4</v>
      </c>
      <c r="G348" s="68" t="s">
        <v>497</v>
      </c>
      <c r="H348" s="69">
        <v>726</v>
      </c>
      <c r="I348" s="74">
        <v>7.06</v>
      </c>
      <c r="J348" s="69">
        <v>4941</v>
      </c>
      <c r="K348" s="72"/>
      <c r="L348" s="69">
        <f t="shared" si="764"/>
        <v>4941</v>
      </c>
      <c r="M348" s="86">
        <f t="shared" si="724"/>
        <v>6.8057851239669418</v>
      </c>
      <c r="N348" s="79"/>
      <c r="O348" s="79"/>
      <c r="P348" s="79">
        <v>6.93</v>
      </c>
      <c r="Q348" s="79">
        <v>10.01</v>
      </c>
      <c r="R348" s="79"/>
      <c r="S348" s="84">
        <v>9.33</v>
      </c>
      <c r="T348" s="85">
        <f t="shared" si="792"/>
        <v>8.4699999999999989</v>
      </c>
      <c r="U348" s="63" t="s">
        <v>297</v>
      </c>
      <c r="V348" s="77" t="s">
        <v>366</v>
      </c>
      <c r="W348" s="77"/>
      <c r="X348" s="78">
        <v>0.33</v>
      </c>
      <c r="Y348" s="78"/>
      <c r="Z348" s="79">
        <v>0.35</v>
      </c>
      <c r="AA348" s="80">
        <v>45772</v>
      </c>
      <c r="AB348" s="81">
        <f t="shared" si="780"/>
        <v>144.13333333333333</v>
      </c>
      <c r="AC348" s="81">
        <f t="shared" si="781"/>
        <v>47.564</v>
      </c>
      <c r="AD348" s="81">
        <f t="shared" si="725"/>
        <v>117.506862</v>
      </c>
      <c r="AE348" s="81">
        <f t="shared" si="782"/>
        <v>16.644031444759207</v>
      </c>
      <c r="AF348" s="167">
        <f t="shared" si="763"/>
        <v>0.43943869422706566</v>
      </c>
      <c r="AG348" s="264">
        <v>12.76</v>
      </c>
      <c r="AH348" s="264">
        <f t="shared" si="765"/>
        <v>0.24388192750819948</v>
      </c>
      <c r="AI348" s="77"/>
      <c r="AJ348" s="79">
        <f t="shared" si="766"/>
        <v>117.506862</v>
      </c>
      <c r="AK348" s="82">
        <f t="shared" si="767"/>
        <v>16.644031444759207</v>
      </c>
      <c r="AL348" s="82"/>
      <c r="AM348" s="82">
        <f t="shared" si="697"/>
        <v>135.89714285714285</v>
      </c>
      <c r="AN348" s="82"/>
      <c r="AO348" s="82"/>
      <c r="AP348" s="82"/>
      <c r="AR348" s="77"/>
      <c r="AS348" s="63">
        <v>155</v>
      </c>
      <c r="AT348" s="63">
        <v>152</v>
      </c>
      <c r="AU348" s="63">
        <v>118</v>
      </c>
      <c r="AV348" s="63">
        <v>184</v>
      </c>
      <c r="AW348" s="63">
        <v>121</v>
      </c>
      <c r="AX348" s="63">
        <v>114</v>
      </c>
      <c r="AY348" s="63">
        <v>139</v>
      </c>
      <c r="AZ348" s="63">
        <v>162</v>
      </c>
      <c r="BA348" s="63">
        <v>176</v>
      </c>
      <c r="BB348" s="63">
        <v>128</v>
      </c>
      <c r="BC348" s="63">
        <v>138</v>
      </c>
      <c r="BD348" s="63">
        <v>162</v>
      </c>
      <c r="BE348" s="63">
        <v>133</v>
      </c>
      <c r="BF348" s="63">
        <v>131</v>
      </c>
      <c r="BG348" s="63">
        <v>149</v>
      </c>
    </row>
    <row r="349" spans="1:94" s="113" customFormat="1">
      <c r="A349" s="63" t="s">
        <v>437</v>
      </c>
      <c r="B349" s="63" t="s">
        <v>495</v>
      </c>
      <c r="C349" s="64" t="s">
        <v>496</v>
      </c>
      <c r="D349" s="65" t="s">
        <v>87</v>
      </c>
      <c r="E349" s="66" t="s">
        <v>148</v>
      </c>
      <c r="F349" s="68">
        <v>4</v>
      </c>
      <c r="G349" s="68" t="s">
        <v>497</v>
      </c>
      <c r="H349" s="69">
        <v>726</v>
      </c>
      <c r="I349" s="74">
        <v>7.06</v>
      </c>
      <c r="J349" s="69">
        <v>4941</v>
      </c>
      <c r="K349" s="72"/>
      <c r="L349" s="69">
        <f t="shared" si="764"/>
        <v>4941</v>
      </c>
      <c r="M349" s="86">
        <f t="shared" si="724"/>
        <v>6.8057851239669418</v>
      </c>
      <c r="N349" s="79"/>
      <c r="O349" s="79"/>
      <c r="P349" s="79">
        <v>6.93</v>
      </c>
      <c r="Q349" s="79">
        <v>10.01</v>
      </c>
      <c r="R349" s="79"/>
      <c r="S349" s="84">
        <v>9.33</v>
      </c>
      <c r="T349" s="85">
        <f t="shared" si="792"/>
        <v>8.4699999999999989</v>
      </c>
      <c r="U349" s="63" t="s">
        <v>297</v>
      </c>
      <c r="V349" s="77" t="s">
        <v>103</v>
      </c>
      <c r="W349" s="77"/>
      <c r="X349" s="78">
        <v>0.33</v>
      </c>
      <c r="Y349" s="78"/>
      <c r="Z349" s="79">
        <v>0.35</v>
      </c>
      <c r="AA349" s="80">
        <v>45821</v>
      </c>
      <c r="AB349" s="81">
        <v>139</v>
      </c>
      <c r="AC349" s="81">
        <f t="shared" si="781"/>
        <v>45.870000000000005</v>
      </c>
      <c r="AD349" s="81">
        <f t="shared" si="725"/>
        <v>113.32183500000001</v>
      </c>
      <c r="AE349" s="81">
        <f t="shared" si="782"/>
        <v>16.051251416430595</v>
      </c>
      <c r="AF349" s="167">
        <f t="shared" si="763"/>
        <v>0.41873690979324507</v>
      </c>
      <c r="AG349" s="264">
        <v>12.76</v>
      </c>
      <c r="AH349" s="264">
        <f t="shared" si="765"/>
        <v>0.25288859821233922</v>
      </c>
      <c r="AI349" s="77"/>
      <c r="AJ349" s="79">
        <f t="shared" si="766"/>
        <v>113.32183500000001</v>
      </c>
      <c r="AK349" s="82">
        <f t="shared" si="767"/>
        <v>16.051251416430595</v>
      </c>
      <c r="AL349" s="82"/>
      <c r="AM349" s="82">
        <f t="shared" si="697"/>
        <v>131.05714285714288</v>
      </c>
      <c r="AN349" s="82"/>
      <c r="AO349" s="82"/>
      <c r="AP349" s="82"/>
      <c r="AQ349" s="63"/>
      <c r="AR349" s="77"/>
      <c r="AS349" s="63"/>
      <c r="AT349" s="63"/>
      <c r="AU349" s="63"/>
      <c r="AV349" s="63"/>
      <c r="AW349" s="63"/>
      <c r="AX349" s="63"/>
      <c r="AY349" s="63"/>
      <c r="AZ349" s="63"/>
      <c r="BA349" s="63"/>
      <c r="BB349" s="63"/>
      <c r="BC349" s="63"/>
      <c r="BD349" s="63"/>
      <c r="BE349" s="63"/>
      <c r="BF349" s="63"/>
      <c r="BG349" s="63"/>
      <c r="BH349" s="63"/>
      <c r="BI349" s="63"/>
      <c r="BJ349" s="63"/>
      <c r="BK349" s="63"/>
      <c r="BL349" s="63"/>
      <c r="BM349" s="63"/>
      <c r="BN349" s="63"/>
      <c r="BO349" s="63"/>
      <c r="BP349" s="63"/>
      <c r="BQ349" s="63"/>
      <c r="BR349" s="63"/>
      <c r="BS349" s="63"/>
      <c r="BT349" s="63"/>
      <c r="BU349" s="63"/>
      <c r="BV349" s="63"/>
      <c r="BW349" s="63"/>
      <c r="BX349" s="63"/>
      <c r="BY349" s="63"/>
      <c r="BZ349" s="63"/>
      <c r="CA349" s="63"/>
      <c r="CB349" s="63"/>
      <c r="CC349" s="63"/>
      <c r="CD349" s="63"/>
      <c r="CE349" s="63"/>
      <c r="CF349" s="63"/>
      <c r="CG349" s="63"/>
      <c r="CH349" s="63"/>
      <c r="CI349" s="63"/>
      <c r="CJ349" s="63"/>
      <c r="CK349" s="63"/>
      <c r="CL349" s="63"/>
      <c r="CM349" s="63"/>
      <c r="CN349" s="63"/>
      <c r="CO349" s="63"/>
      <c r="CP349" s="63"/>
    </row>
    <row r="350" spans="1:94" s="197" customFormat="1">
      <c r="A350" s="197" t="s">
        <v>437</v>
      </c>
      <c r="B350" s="197" t="s">
        <v>499</v>
      </c>
      <c r="C350" s="198" t="s">
        <v>500</v>
      </c>
      <c r="D350" s="199" t="s">
        <v>87</v>
      </c>
      <c r="E350" s="200" t="s">
        <v>501</v>
      </c>
      <c r="F350" s="201" t="s">
        <v>502</v>
      </c>
      <c r="G350" s="201" t="s">
        <v>273</v>
      </c>
      <c r="H350" s="202">
        <v>726</v>
      </c>
      <c r="I350" s="203">
        <v>4.51</v>
      </c>
      <c r="J350" s="202">
        <v>3247</v>
      </c>
      <c r="K350" s="204">
        <v>0.02</v>
      </c>
      <c r="L350" s="202">
        <f t="shared" si="764"/>
        <v>3182.06</v>
      </c>
      <c r="M350" s="205">
        <f t="shared" si="724"/>
        <v>4.3830027548209367</v>
      </c>
      <c r="N350" s="206"/>
      <c r="O350" s="206"/>
      <c r="P350" s="206"/>
      <c r="Q350" s="206">
        <v>1.1599999999999999</v>
      </c>
      <c r="R350" s="206">
        <v>8.3000000000000007</v>
      </c>
      <c r="S350" s="207">
        <v>7.95</v>
      </c>
      <c r="T350" s="208">
        <f t="shared" si="792"/>
        <v>4.7300000000000004</v>
      </c>
      <c r="V350" s="209" t="s">
        <v>366</v>
      </c>
      <c r="W350" s="209"/>
      <c r="X350" s="210">
        <v>0.44</v>
      </c>
      <c r="Y350" s="210">
        <v>0.52</v>
      </c>
      <c r="Z350" s="206">
        <v>0.5</v>
      </c>
      <c r="AA350" s="211">
        <v>45782</v>
      </c>
      <c r="AB350" s="212">
        <f t="shared" si="780"/>
        <v>55.333333333333336</v>
      </c>
      <c r="AC350" s="212">
        <f>AB350*Y350</f>
        <v>28.773333333333337</v>
      </c>
      <c r="AD350" s="212">
        <f t="shared" si="725"/>
        <v>45.779236533333339</v>
      </c>
      <c r="AE350" s="212">
        <f>IFERROR((AD350/I350),"")</f>
        <v>10.150606770140431</v>
      </c>
      <c r="AF350" s="213">
        <f t="shared" si="763"/>
        <v>0.21679558867494048</v>
      </c>
      <c r="AG350" s="268">
        <v>6.3</v>
      </c>
      <c r="AH350" s="268">
        <f t="shared" si="765"/>
        <v>0.31365129941252617</v>
      </c>
      <c r="AI350" s="209"/>
      <c r="AJ350" s="206">
        <f t="shared" si="766"/>
        <v>45.779236533333339</v>
      </c>
      <c r="AK350" s="214">
        <f t="shared" si="767"/>
        <v>10.150606770140431</v>
      </c>
      <c r="AL350" s="214"/>
      <c r="AM350" s="214">
        <f t="shared" si="697"/>
        <v>56.395733333333339</v>
      </c>
      <c r="AN350" s="214" t="s">
        <v>701</v>
      </c>
      <c r="AO350" s="214"/>
      <c r="AP350" s="214"/>
      <c r="AR350" s="209" t="s">
        <v>91</v>
      </c>
      <c r="AS350" s="197">
        <v>65</v>
      </c>
      <c r="AT350" s="197">
        <v>53</v>
      </c>
      <c r="AU350" s="197">
        <v>61</v>
      </c>
      <c r="AV350" s="197">
        <v>59</v>
      </c>
      <c r="AW350" s="197">
        <v>59</v>
      </c>
      <c r="AX350" s="197">
        <v>60</v>
      </c>
      <c r="AY350" s="197">
        <v>54</v>
      </c>
      <c r="AZ350" s="197">
        <v>51</v>
      </c>
      <c r="BA350" s="197">
        <v>50</v>
      </c>
      <c r="BB350" s="197">
        <v>60</v>
      </c>
      <c r="BC350" s="197">
        <v>41</v>
      </c>
      <c r="BD350" s="197">
        <v>60</v>
      </c>
      <c r="BE350" s="197">
        <v>51</v>
      </c>
      <c r="BF350" s="197">
        <v>54</v>
      </c>
      <c r="BG350" s="197">
        <v>52</v>
      </c>
    </row>
    <row r="351" spans="1:94" s="197" customFormat="1">
      <c r="A351" s="197" t="s">
        <v>437</v>
      </c>
      <c r="B351" s="197" t="s">
        <v>499</v>
      </c>
      <c r="C351" s="198" t="s">
        <v>500</v>
      </c>
      <c r="D351" s="199" t="s">
        <v>87</v>
      </c>
      <c r="E351" s="200" t="s">
        <v>501</v>
      </c>
      <c r="F351" s="201" t="s">
        <v>502</v>
      </c>
      <c r="G351" s="201" t="s">
        <v>273</v>
      </c>
      <c r="H351" s="202">
        <v>726</v>
      </c>
      <c r="I351" s="203">
        <v>4.51</v>
      </c>
      <c r="J351" s="202">
        <v>3247</v>
      </c>
      <c r="K351" s="204">
        <v>0.02</v>
      </c>
      <c r="L351" s="202">
        <f t="shared" si="764"/>
        <v>3182.06</v>
      </c>
      <c r="M351" s="205">
        <f t="shared" si="724"/>
        <v>4.3830027548209367</v>
      </c>
      <c r="N351" s="206"/>
      <c r="O351" s="206"/>
      <c r="P351" s="206"/>
      <c r="Q351" s="206">
        <v>1.1599999999999999</v>
      </c>
      <c r="R351" s="206">
        <v>8.3000000000000007</v>
      </c>
      <c r="S351" s="207">
        <v>7.95</v>
      </c>
      <c r="T351" s="208">
        <f t="shared" si="792"/>
        <v>4.7300000000000004</v>
      </c>
      <c r="V351" s="209" t="s">
        <v>366</v>
      </c>
      <c r="W351" s="209"/>
      <c r="X351" s="210">
        <v>0.44</v>
      </c>
      <c r="Y351" s="210">
        <v>0.52</v>
      </c>
      <c r="Z351" s="206">
        <v>0.5</v>
      </c>
      <c r="AA351" s="211">
        <v>45806</v>
      </c>
      <c r="AB351" s="212">
        <f t="shared" si="780"/>
        <v>52.5</v>
      </c>
      <c r="AC351" s="212">
        <f t="shared" ref="AC351:AC353" si="793">AB351*Y351</f>
        <v>27.3</v>
      </c>
      <c r="AD351" s="212">
        <f t="shared" si="725"/>
        <v>43.435119</v>
      </c>
      <c r="AE351" s="212">
        <f t="shared" si="782"/>
        <v>9.6308467849223955</v>
      </c>
      <c r="AF351" s="213">
        <f t="shared" si="763"/>
        <v>0.17452741409549269</v>
      </c>
      <c r="AG351" s="268">
        <v>6.3</v>
      </c>
      <c r="AH351" s="268">
        <f t="shared" si="765"/>
        <v>0.33057851239669422</v>
      </c>
      <c r="AI351" s="209"/>
      <c r="AJ351" s="206">
        <f t="shared" si="766"/>
        <v>43.435119</v>
      </c>
      <c r="AK351" s="214">
        <f t="shared" si="767"/>
        <v>9.6308467849223955</v>
      </c>
      <c r="AL351" s="214"/>
      <c r="AM351" s="214">
        <f t="shared" si="697"/>
        <v>53.507999999999996</v>
      </c>
      <c r="AN351" s="214" t="s">
        <v>701</v>
      </c>
      <c r="AO351" s="214"/>
      <c r="AP351" s="214"/>
      <c r="AR351" s="209"/>
      <c r="AS351" s="197">
        <v>63</v>
      </c>
      <c r="AT351" s="197">
        <v>49</v>
      </c>
      <c r="AU351" s="197">
        <v>60</v>
      </c>
      <c r="AV351" s="197">
        <v>50</v>
      </c>
      <c r="AW351" s="197">
        <v>46</v>
      </c>
      <c r="AX351" s="197">
        <v>60</v>
      </c>
      <c r="AY351" s="197">
        <v>71</v>
      </c>
      <c r="AZ351" s="197">
        <v>52</v>
      </c>
      <c r="BA351" s="197">
        <v>42</v>
      </c>
      <c r="BB351" s="197">
        <v>34</v>
      </c>
      <c r="BC351" s="197">
        <v>45</v>
      </c>
      <c r="BD351" s="197">
        <v>58</v>
      </c>
    </row>
    <row r="352" spans="1:94" s="197" customFormat="1">
      <c r="A352" s="197" t="s">
        <v>437</v>
      </c>
      <c r="B352" s="197" t="s">
        <v>499</v>
      </c>
      <c r="C352" s="198" t="s">
        <v>500</v>
      </c>
      <c r="D352" s="199" t="s">
        <v>87</v>
      </c>
      <c r="E352" s="200" t="s">
        <v>501</v>
      </c>
      <c r="F352" s="201" t="s">
        <v>502</v>
      </c>
      <c r="G352" s="201" t="s">
        <v>273</v>
      </c>
      <c r="H352" s="202">
        <v>726</v>
      </c>
      <c r="I352" s="203">
        <v>4.51</v>
      </c>
      <c r="J352" s="202">
        <v>3247</v>
      </c>
      <c r="K352" s="204">
        <v>0.02</v>
      </c>
      <c r="L352" s="202">
        <f t="shared" si="764"/>
        <v>3182.06</v>
      </c>
      <c r="M352" s="205">
        <f t="shared" si="724"/>
        <v>4.3830027548209367</v>
      </c>
      <c r="N352" s="206"/>
      <c r="O352" s="206"/>
      <c r="P352" s="206"/>
      <c r="Q352" s="206">
        <v>1.1599999999999999</v>
      </c>
      <c r="R352" s="206">
        <v>8.3000000000000007</v>
      </c>
      <c r="S352" s="207">
        <v>7.95</v>
      </c>
      <c r="T352" s="208">
        <f t="shared" si="792"/>
        <v>4.7300000000000004</v>
      </c>
      <c r="U352" s="197" t="s">
        <v>333</v>
      </c>
      <c r="V352" s="209" t="s">
        <v>103</v>
      </c>
      <c r="W352" s="209"/>
      <c r="X352" s="210">
        <v>0.44</v>
      </c>
      <c r="Y352" s="210">
        <v>0.52</v>
      </c>
      <c r="Z352" s="206">
        <v>0.5</v>
      </c>
      <c r="AA352" s="211">
        <v>45831</v>
      </c>
      <c r="AB352" s="212">
        <f t="shared" si="780"/>
        <v>44.9375</v>
      </c>
      <c r="AC352" s="212">
        <f t="shared" si="793"/>
        <v>23.3675</v>
      </c>
      <c r="AD352" s="212">
        <f t="shared" si="725"/>
        <v>37.178393524999997</v>
      </c>
      <c r="AE352" s="212">
        <f t="shared" si="782"/>
        <v>8.2435462361419063</v>
      </c>
      <c r="AF352" s="213">
        <f t="shared" si="763"/>
        <v>3.5609218136597703E-2</v>
      </c>
      <c r="AG352" s="268">
        <v>6.3</v>
      </c>
      <c r="AH352" s="268">
        <f t="shared" si="765"/>
        <v>0.38621133576248007</v>
      </c>
      <c r="AI352" s="209"/>
      <c r="AJ352" s="206">
        <f t="shared" si="766"/>
        <v>37.178393524999997</v>
      </c>
      <c r="AK352" s="214">
        <f t="shared" si="767"/>
        <v>8.2435462361419063</v>
      </c>
      <c r="AL352" s="214"/>
      <c r="AM352" s="214">
        <f t="shared" si="697"/>
        <v>45.8003</v>
      </c>
      <c r="AN352" s="214" t="s">
        <v>701</v>
      </c>
      <c r="AO352" s="214"/>
      <c r="AP352" s="214"/>
      <c r="AQ352" s="197" t="s">
        <v>803</v>
      </c>
      <c r="AR352" s="209" t="s">
        <v>116</v>
      </c>
      <c r="AS352" s="197">
        <v>40</v>
      </c>
      <c r="AT352" s="197">
        <v>41</v>
      </c>
      <c r="AU352" s="197">
        <v>39</v>
      </c>
      <c r="AV352" s="197">
        <v>50</v>
      </c>
      <c r="AW352" s="197">
        <v>46</v>
      </c>
      <c r="AX352" s="197">
        <v>48</v>
      </c>
      <c r="AY352" s="197">
        <v>39</v>
      </c>
      <c r="AZ352" s="197">
        <v>51</v>
      </c>
      <c r="BA352" s="197">
        <v>45</v>
      </c>
      <c r="BB352" s="197">
        <v>52</v>
      </c>
      <c r="BC352" s="197">
        <v>45</v>
      </c>
      <c r="BD352" s="197">
        <v>42</v>
      </c>
      <c r="BE352" s="197">
        <v>49</v>
      </c>
      <c r="BF352" s="197">
        <v>48</v>
      </c>
      <c r="BG352" s="197">
        <v>41</v>
      </c>
      <c r="BH352" s="197">
        <v>43</v>
      </c>
    </row>
    <row r="353" spans="1:94" s="197" customFormat="1">
      <c r="A353" s="197" t="s">
        <v>437</v>
      </c>
      <c r="B353" s="197" t="s">
        <v>499</v>
      </c>
      <c r="C353" s="198" t="s">
        <v>500</v>
      </c>
      <c r="D353" s="199" t="s">
        <v>87</v>
      </c>
      <c r="E353" s="200" t="s">
        <v>501</v>
      </c>
      <c r="F353" s="201" t="s">
        <v>502</v>
      </c>
      <c r="G353" s="201" t="s">
        <v>273</v>
      </c>
      <c r="H353" s="202">
        <v>726</v>
      </c>
      <c r="I353" s="203">
        <v>4.51</v>
      </c>
      <c r="J353" s="202">
        <v>3247</v>
      </c>
      <c r="K353" s="204">
        <v>0.02</v>
      </c>
      <c r="L353" s="202">
        <f t="shared" ref="L353" si="794">J353-(J353*K353)</f>
        <v>3182.06</v>
      </c>
      <c r="M353" s="205">
        <f t="shared" ref="M353" si="795">L353/H353</f>
        <v>4.3830027548209367</v>
      </c>
      <c r="N353" s="206"/>
      <c r="O353" s="206"/>
      <c r="P353" s="206"/>
      <c r="Q353" s="206">
        <v>1.1599999999999999</v>
      </c>
      <c r="R353" s="206">
        <v>8.3000000000000007</v>
      </c>
      <c r="S353" s="207">
        <v>7.95</v>
      </c>
      <c r="T353" s="208">
        <f t="shared" ref="T353" si="796">AVERAGE(N353:R353)</f>
        <v>4.7300000000000004</v>
      </c>
      <c r="U353" s="197" t="s">
        <v>333</v>
      </c>
      <c r="V353" s="209" t="s">
        <v>103</v>
      </c>
      <c r="W353" s="209"/>
      <c r="X353" s="210">
        <v>0.44</v>
      </c>
      <c r="Y353" s="210">
        <v>0.52</v>
      </c>
      <c r="Z353" s="206">
        <v>0.5</v>
      </c>
      <c r="AA353" s="211">
        <v>45856</v>
      </c>
      <c r="AB353" s="212">
        <f t="shared" si="780"/>
        <v>44.111111111111114</v>
      </c>
      <c r="AC353" s="212">
        <f t="shared" si="793"/>
        <v>22.937777777777779</v>
      </c>
      <c r="AD353" s="212">
        <f t="shared" ref="AD353" si="797">(AC353*L353)/2000</f>
        <v>36.494692577777776</v>
      </c>
      <c r="AE353" s="212">
        <f t="shared" ref="AE353" si="798">IFERROR((AD353/I353),"")</f>
        <v>8.0919495737866463</v>
      </c>
      <c r="AF353" s="213">
        <f t="shared" ref="AF353" si="799">IFERROR(((AE353-S353)/AE353),"")</f>
        <v>1.7542073451184453E-2</v>
      </c>
      <c r="AG353" s="268">
        <v>6.3</v>
      </c>
      <c r="AH353" s="268">
        <f t="shared" si="765"/>
        <v>0.39344671815475574</v>
      </c>
      <c r="AI353" s="209"/>
      <c r="AJ353" s="206">
        <f t="shared" ref="AJ353" si="800">AD353-(AI353*I353)</f>
        <v>36.494692577777776</v>
      </c>
      <c r="AK353" s="214">
        <f t="shared" ref="AK353" si="801">AJ353/I353</f>
        <v>8.0919495737866463</v>
      </c>
      <c r="AL353" s="214"/>
      <c r="AM353" s="214">
        <f t="shared" ref="AM353" si="802">((AJ353*2000)/Z353)/J353</f>
        <v>44.958044444444447</v>
      </c>
      <c r="AN353" s="214" t="s">
        <v>701</v>
      </c>
      <c r="AO353" s="214"/>
      <c r="AP353" s="214"/>
      <c r="AQ353" s="197" t="s">
        <v>803</v>
      </c>
      <c r="AR353" s="209" t="s">
        <v>116</v>
      </c>
      <c r="AS353" s="197">
        <v>44</v>
      </c>
      <c r="AT353" s="197">
        <v>42</v>
      </c>
      <c r="AU353" s="197">
        <v>52</v>
      </c>
      <c r="AV353" s="197">
        <v>49</v>
      </c>
      <c r="AW353" s="197">
        <v>50</v>
      </c>
      <c r="AX353" s="197">
        <v>38</v>
      </c>
      <c r="AY353" s="197">
        <v>40</v>
      </c>
      <c r="AZ353" s="197">
        <v>47</v>
      </c>
      <c r="BA353" s="197">
        <v>39</v>
      </c>
      <c r="BB353" s="197">
        <v>39</v>
      </c>
      <c r="BC353" s="197">
        <v>48</v>
      </c>
      <c r="BD353" s="197">
        <v>42</v>
      </c>
      <c r="BE353" s="197">
        <v>51</v>
      </c>
      <c r="BF353" s="197">
        <v>39</v>
      </c>
      <c r="BG353" s="197">
        <v>47</v>
      </c>
      <c r="BH353" s="197">
        <v>49</v>
      </c>
      <c r="BI353" s="197">
        <v>40</v>
      </c>
      <c r="BJ353" s="197">
        <v>38</v>
      </c>
    </row>
    <row r="354" spans="1:94" s="113" customFormat="1">
      <c r="A354" s="113" t="s">
        <v>437</v>
      </c>
      <c r="B354" s="113" t="s">
        <v>511</v>
      </c>
      <c r="C354" s="114" t="s">
        <v>512</v>
      </c>
      <c r="D354" s="128" t="s">
        <v>87</v>
      </c>
      <c r="E354" s="127" t="s">
        <v>160</v>
      </c>
      <c r="F354" s="126">
        <v>4</v>
      </c>
      <c r="G354" s="126" t="s">
        <v>513</v>
      </c>
      <c r="H354" s="123">
        <v>691.42857142857144</v>
      </c>
      <c r="I354" s="125">
        <v>34.200000000000003</v>
      </c>
      <c r="J354" s="123">
        <v>23449</v>
      </c>
      <c r="K354" s="124"/>
      <c r="L354" s="123">
        <f t="shared" si="764"/>
        <v>23449</v>
      </c>
      <c r="M354" s="122">
        <f t="shared" si="724"/>
        <v>33.913842975206613</v>
      </c>
      <c r="N354" s="125">
        <v>10.01</v>
      </c>
      <c r="O354" s="125">
        <v>6.89</v>
      </c>
      <c r="P354" s="125">
        <v>11.32</v>
      </c>
      <c r="Q354" s="125">
        <v>9</v>
      </c>
      <c r="R354" s="125">
        <v>10.199999999999999</v>
      </c>
      <c r="S354" s="154">
        <v>8.0399999999999991</v>
      </c>
      <c r="T354" s="129">
        <f t="shared" si="792"/>
        <v>9.484</v>
      </c>
      <c r="U354" s="113" t="s">
        <v>365</v>
      </c>
      <c r="V354" s="115" t="s">
        <v>103</v>
      </c>
      <c r="W354" s="115"/>
      <c r="X354" s="120">
        <v>0.4</v>
      </c>
      <c r="Y354" s="120"/>
      <c r="Z354" s="118">
        <v>0.41</v>
      </c>
      <c r="AA354" s="119">
        <v>45761</v>
      </c>
      <c r="AB354" s="117">
        <f t="shared" si="780"/>
        <v>55.629629629629626</v>
      </c>
      <c r="AC354" s="117">
        <f t="shared" si="781"/>
        <v>22.251851851851853</v>
      </c>
      <c r="AD354" s="117">
        <f t="shared" si="725"/>
        <v>260.89183703703708</v>
      </c>
      <c r="AE354" s="117">
        <f t="shared" si="782"/>
        <v>7.6284162876326622</v>
      </c>
      <c r="AF354" s="170">
        <f t="shared" si="763"/>
        <v>-5.3954018350388731E-2</v>
      </c>
      <c r="AG354" s="265">
        <v>6.9</v>
      </c>
      <c r="AH354" s="265">
        <f t="shared" si="765"/>
        <v>0.35877782790989432</v>
      </c>
      <c r="AI354" s="115"/>
      <c r="AJ354" s="118"/>
      <c r="AK354" s="116"/>
      <c r="AL354" s="116"/>
      <c r="AM354" s="116"/>
      <c r="AN354" s="116"/>
      <c r="AO354" s="116"/>
      <c r="AP354" s="116"/>
      <c r="AR354" s="115" t="s">
        <v>282</v>
      </c>
      <c r="AS354" s="113">
        <v>43</v>
      </c>
      <c r="AT354" s="113">
        <v>69</v>
      </c>
      <c r="AU354" s="113">
        <v>54</v>
      </c>
      <c r="AV354" s="113">
        <v>51</v>
      </c>
      <c r="AW354" s="113">
        <v>44</v>
      </c>
      <c r="AX354" s="113">
        <v>47</v>
      </c>
      <c r="AY354" s="113">
        <v>59</v>
      </c>
      <c r="AZ354" s="113">
        <v>55</v>
      </c>
      <c r="BA354" s="113">
        <v>37</v>
      </c>
      <c r="BB354" s="113">
        <v>62</v>
      </c>
      <c r="BC354" s="113">
        <v>39</v>
      </c>
      <c r="BD354" s="113">
        <v>58</v>
      </c>
      <c r="BE354" s="113">
        <v>77</v>
      </c>
      <c r="BF354" s="113">
        <v>68</v>
      </c>
      <c r="BG354" s="113">
        <v>61</v>
      </c>
      <c r="BH354" s="113">
        <v>54</v>
      </c>
      <c r="BI354" s="113">
        <v>55</v>
      </c>
      <c r="BJ354" s="113">
        <v>56</v>
      </c>
      <c r="BK354" s="113">
        <v>54</v>
      </c>
      <c r="BL354" s="113">
        <v>55</v>
      </c>
      <c r="BM354" s="113">
        <v>56</v>
      </c>
      <c r="BN354" s="113">
        <v>54</v>
      </c>
      <c r="BO354" s="113">
        <v>70</v>
      </c>
      <c r="BP354" s="113">
        <v>52</v>
      </c>
      <c r="BQ354" s="113">
        <v>54</v>
      </c>
      <c r="BR354" s="113">
        <v>60</v>
      </c>
      <c r="BS354" s="113">
        <v>58</v>
      </c>
    </row>
    <row r="355" spans="1:94" s="113" customFormat="1">
      <c r="A355" s="113" t="s">
        <v>437</v>
      </c>
      <c r="B355" s="113" t="s">
        <v>511</v>
      </c>
      <c r="C355" s="114" t="s">
        <v>512</v>
      </c>
      <c r="D355" s="128" t="s">
        <v>87</v>
      </c>
      <c r="E355" s="127" t="s">
        <v>160</v>
      </c>
      <c r="F355" s="126">
        <v>4</v>
      </c>
      <c r="G355" s="126" t="s">
        <v>513</v>
      </c>
      <c r="H355" s="123">
        <v>691.42857142857144</v>
      </c>
      <c r="I355" s="125">
        <v>34.200000000000003</v>
      </c>
      <c r="J355" s="123">
        <v>23449</v>
      </c>
      <c r="K355" s="124"/>
      <c r="L355" s="123">
        <f t="shared" si="764"/>
        <v>23449</v>
      </c>
      <c r="M355" s="122">
        <f t="shared" si="724"/>
        <v>33.913842975206613</v>
      </c>
      <c r="N355" s="125">
        <v>10.01</v>
      </c>
      <c r="O355" s="125">
        <v>6.89</v>
      </c>
      <c r="P355" s="125">
        <v>11.32</v>
      </c>
      <c r="Q355" s="125">
        <v>9</v>
      </c>
      <c r="R355" s="125">
        <v>10.199999999999999</v>
      </c>
      <c r="S355" s="154">
        <v>8.0399999999999991</v>
      </c>
      <c r="T355" s="129">
        <f>AVERAGE(N355:S355)</f>
        <v>9.2433333333333341</v>
      </c>
      <c r="U355" s="113" t="s">
        <v>365</v>
      </c>
      <c r="V355" s="115" t="s">
        <v>103</v>
      </c>
      <c r="W355" s="115"/>
      <c r="X355" s="120">
        <v>0.4</v>
      </c>
      <c r="Y355" s="120"/>
      <c r="Z355" s="118">
        <v>0.41</v>
      </c>
      <c r="AA355" s="119">
        <v>45761</v>
      </c>
      <c r="AB355" s="117">
        <f t="shared" si="780"/>
        <v>56.3</v>
      </c>
      <c r="AC355" s="117">
        <f t="shared" si="781"/>
        <v>22.52</v>
      </c>
      <c r="AD355" s="117">
        <f t="shared" si="725"/>
        <v>264.03573999999998</v>
      </c>
      <c r="AE355" s="117">
        <f t="shared" si="782"/>
        <v>7.7203432748537999</v>
      </c>
      <c r="AF355" s="170">
        <f t="shared" si="763"/>
        <v>-4.140447047055075E-2</v>
      </c>
      <c r="AG355" s="265">
        <v>6.9</v>
      </c>
      <c r="AH355" s="265">
        <f t="shared" si="765"/>
        <v>0.35450582035435912</v>
      </c>
      <c r="AI355" s="115"/>
      <c r="AJ355" s="118"/>
      <c r="AK355" s="116"/>
      <c r="AL355" s="116"/>
      <c r="AM355" s="116"/>
      <c r="AN355" s="116"/>
      <c r="AO355" s="116"/>
      <c r="AP355" s="116"/>
      <c r="AR355" s="115" t="s">
        <v>165</v>
      </c>
      <c r="AS355" s="113">
        <v>43</v>
      </c>
      <c r="AT355" s="113">
        <v>69</v>
      </c>
      <c r="AU355" s="113">
        <v>54</v>
      </c>
      <c r="AV355" s="113">
        <v>51</v>
      </c>
      <c r="AW355" s="113">
        <v>44</v>
      </c>
      <c r="AX355" s="113">
        <v>47</v>
      </c>
      <c r="AY355" s="113">
        <v>59</v>
      </c>
      <c r="AZ355" s="113">
        <v>55</v>
      </c>
      <c r="BA355" s="113">
        <v>37</v>
      </c>
      <c r="BB355" s="113">
        <v>62</v>
      </c>
      <c r="BC355" s="113">
        <v>39</v>
      </c>
      <c r="BD355" s="113">
        <v>58</v>
      </c>
      <c r="BE355" s="113">
        <v>77</v>
      </c>
      <c r="BF355" s="113">
        <v>68</v>
      </c>
      <c r="BG355" s="113">
        <v>61</v>
      </c>
      <c r="BH355" s="113">
        <v>54</v>
      </c>
      <c r="BI355" s="113">
        <v>55</v>
      </c>
      <c r="BJ355" s="113">
        <v>56</v>
      </c>
      <c r="BK355" s="113">
        <v>54</v>
      </c>
      <c r="BL355" s="113">
        <v>70</v>
      </c>
      <c r="BM355" s="113">
        <v>52</v>
      </c>
      <c r="BN355" s="113">
        <v>54</v>
      </c>
      <c r="BO355" s="113">
        <v>70</v>
      </c>
      <c r="BP355" s="113">
        <v>52</v>
      </c>
      <c r="BQ355" s="113">
        <v>54</v>
      </c>
      <c r="BR355" s="113">
        <v>70</v>
      </c>
      <c r="BS355" s="113">
        <v>52</v>
      </c>
      <c r="BT355" s="113">
        <v>54</v>
      </c>
      <c r="BU355" s="113">
        <v>60</v>
      </c>
      <c r="BV355" s="113">
        <v>58</v>
      </c>
    </row>
    <row r="356" spans="1:94" s="113" customFormat="1">
      <c r="A356" s="113" t="s">
        <v>437</v>
      </c>
      <c r="B356" s="113" t="s">
        <v>511</v>
      </c>
      <c r="C356" s="114" t="s">
        <v>512</v>
      </c>
      <c r="D356" s="128" t="s">
        <v>87</v>
      </c>
      <c r="E356" s="127" t="s">
        <v>160</v>
      </c>
      <c r="F356" s="126">
        <v>4</v>
      </c>
      <c r="G356" s="126" t="s">
        <v>513</v>
      </c>
      <c r="H356" s="123">
        <v>691.42857142857144</v>
      </c>
      <c r="I356" s="125">
        <v>34.200000000000003</v>
      </c>
      <c r="J356" s="123">
        <v>23449</v>
      </c>
      <c r="K356" s="124"/>
      <c r="L356" s="123">
        <f t="shared" si="764"/>
        <v>23449</v>
      </c>
      <c r="M356" s="122">
        <f t="shared" si="724"/>
        <v>33.913842975206613</v>
      </c>
      <c r="N356" s="125">
        <v>10.01</v>
      </c>
      <c r="O356" s="125">
        <v>6.89</v>
      </c>
      <c r="P356" s="125">
        <v>11.32</v>
      </c>
      <c r="Q356" s="125">
        <v>9</v>
      </c>
      <c r="R356" s="125">
        <v>10.199999999999999</v>
      </c>
      <c r="S356" s="154">
        <v>8.0399999999999991</v>
      </c>
      <c r="T356" s="129">
        <f>AVERAGE(N356:R356)</f>
        <v>9.484</v>
      </c>
      <c r="U356" s="113" t="s">
        <v>365</v>
      </c>
      <c r="V356" s="115" t="s">
        <v>103</v>
      </c>
      <c r="W356" s="115"/>
      <c r="X356" s="120">
        <v>0.4</v>
      </c>
      <c r="Y356" s="120"/>
      <c r="Z356" s="118">
        <v>0.41</v>
      </c>
      <c r="AA356" s="119">
        <v>45762</v>
      </c>
      <c r="AB356" s="117">
        <f t="shared" si="780"/>
        <v>61.214285714285715</v>
      </c>
      <c r="AC356" s="117">
        <f t="shared" si="781"/>
        <v>24.485714285714288</v>
      </c>
      <c r="AD356" s="117">
        <f t="shared" si="725"/>
        <v>287.08275714285719</v>
      </c>
      <c r="AE356" s="117">
        <f t="shared" si="782"/>
        <v>8.3942326649958243</v>
      </c>
      <c r="AF356" s="170">
        <f t="shared" si="763"/>
        <v>4.2199529025801832E-2</v>
      </c>
      <c r="AG356" s="265">
        <v>6.9</v>
      </c>
      <c r="AH356" s="265">
        <f t="shared" si="765"/>
        <v>0.32604607654994844</v>
      </c>
      <c r="AI356" s="115"/>
      <c r="AJ356" s="118"/>
      <c r="AK356" s="116"/>
      <c r="AL356" s="116"/>
      <c r="AM356" s="116"/>
      <c r="AN356" s="116"/>
      <c r="AO356" s="116"/>
      <c r="AP356" s="116"/>
      <c r="AR356" s="115" t="s">
        <v>91</v>
      </c>
      <c r="AS356" s="113">
        <v>61</v>
      </c>
      <c r="AT356" s="113">
        <v>51</v>
      </c>
      <c r="AU356" s="113">
        <v>65</v>
      </c>
      <c r="AV356" s="113">
        <v>52</v>
      </c>
      <c r="AW356" s="113">
        <v>63</v>
      </c>
      <c r="AX356" s="113">
        <v>57</v>
      </c>
      <c r="AY356" s="113">
        <v>70</v>
      </c>
      <c r="AZ356" s="113">
        <v>66</v>
      </c>
      <c r="BA356" s="113">
        <v>59</v>
      </c>
      <c r="BB356" s="113">
        <v>66</v>
      </c>
      <c r="BC356" s="113">
        <v>68</v>
      </c>
      <c r="BD356" s="113">
        <v>52</v>
      </c>
      <c r="BE356" s="113">
        <v>60</v>
      </c>
      <c r="BF356" s="113">
        <v>67</v>
      </c>
      <c r="BG356" s="113" t="s">
        <v>703</v>
      </c>
    </row>
    <row r="357" spans="1:94" s="63" customFormat="1">
      <c r="A357" s="113" t="s">
        <v>437</v>
      </c>
      <c r="B357" s="113" t="s">
        <v>511</v>
      </c>
      <c r="C357" s="114" t="s">
        <v>512</v>
      </c>
      <c r="D357" s="128" t="s">
        <v>87</v>
      </c>
      <c r="E357" s="127" t="s">
        <v>160</v>
      </c>
      <c r="F357" s="126">
        <v>4</v>
      </c>
      <c r="G357" s="126" t="s">
        <v>513</v>
      </c>
      <c r="H357" s="123">
        <v>691.42857142857144</v>
      </c>
      <c r="I357" s="125">
        <v>34.200000000000003</v>
      </c>
      <c r="J357" s="123">
        <v>23449</v>
      </c>
      <c r="K357" s="124"/>
      <c r="L357" s="123">
        <f t="shared" si="764"/>
        <v>23449</v>
      </c>
      <c r="M357" s="122">
        <f t="shared" si="724"/>
        <v>33.913842975206613</v>
      </c>
      <c r="N357" s="125">
        <v>10.01</v>
      </c>
      <c r="O357" s="125">
        <v>6.89</v>
      </c>
      <c r="P357" s="125">
        <v>11.32</v>
      </c>
      <c r="Q357" s="125">
        <v>9</v>
      </c>
      <c r="R357" s="125">
        <v>10.199999999999999</v>
      </c>
      <c r="S357" s="154">
        <v>8.0399999999999991</v>
      </c>
      <c r="T357" s="129">
        <f>AVERAGE(N357:R357)</f>
        <v>9.484</v>
      </c>
      <c r="U357" s="113" t="s">
        <v>365</v>
      </c>
      <c r="V357" s="115" t="s">
        <v>103</v>
      </c>
      <c r="W357" s="115"/>
      <c r="X357" s="120">
        <v>0.4</v>
      </c>
      <c r="Y357" s="120"/>
      <c r="Z357" s="118">
        <v>0.41</v>
      </c>
      <c r="AA357" s="119">
        <v>45798</v>
      </c>
      <c r="AB357" s="117">
        <f t="shared" si="780"/>
        <v>59.666666666666664</v>
      </c>
      <c r="AC357" s="117">
        <f t="shared" si="781"/>
        <v>23.866666666666667</v>
      </c>
      <c r="AD357" s="117">
        <f t="shared" si="725"/>
        <v>279.82473333333331</v>
      </c>
      <c r="AE357" s="117">
        <f t="shared" si="782"/>
        <v>8.1820097465886921</v>
      </c>
      <c r="AF357" s="170">
        <f t="shared" si="763"/>
        <v>1.7356340433094784E-2</v>
      </c>
      <c r="AG357" s="265">
        <v>6.9</v>
      </c>
      <c r="AH357" s="265">
        <f t="shared" si="765"/>
        <v>0.33450297797682266</v>
      </c>
      <c r="AI357" s="115"/>
      <c r="AJ357" s="118"/>
      <c r="AK357" s="116"/>
      <c r="AL357" s="116"/>
      <c r="AM357" s="116"/>
      <c r="AN357" s="116"/>
      <c r="AO357" s="116"/>
      <c r="AP357" s="116"/>
      <c r="AQ357" s="113"/>
      <c r="AR357" s="115" t="s">
        <v>91</v>
      </c>
      <c r="AS357" s="113">
        <v>63</v>
      </c>
      <c r="AT357" s="113">
        <v>55</v>
      </c>
      <c r="AU357" s="113">
        <v>72</v>
      </c>
      <c r="AV357" s="113">
        <v>62</v>
      </c>
      <c r="AW357" s="113">
        <v>49</v>
      </c>
      <c r="AX357" s="113">
        <v>58</v>
      </c>
      <c r="AY357" s="113">
        <v>62</v>
      </c>
      <c r="AZ357" s="113">
        <v>66</v>
      </c>
      <c r="BA357" s="113">
        <v>55</v>
      </c>
      <c r="BB357" s="113">
        <v>59</v>
      </c>
      <c r="BC357" s="113">
        <v>64</v>
      </c>
      <c r="BD357" s="113">
        <v>66</v>
      </c>
      <c r="BE357" s="113">
        <v>58</v>
      </c>
      <c r="BF357" s="113">
        <v>46</v>
      </c>
      <c r="BG357" s="113">
        <v>60</v>
      </c>
      <c r="BH357" s="113"/>
      <c r="BI357" s="113"/>
      <c r="BJ357" s="113"/>
      <c r="BK357" s="113"/>
      <c r="BL357" s="113"/>
      <c r="BM357" s="113"/>
      <c r="BN357" s="113"/>
      <c r="BO357" s="113"/>
      <c r="BP357" s="113"/>
      <c r="BQ357" s="113"/>
      <c r="BR357" s="113"/>
      <c r="BS357" s="113"/>
      <c r="BT357" s="113"/>
      <c r="BU357" s="113"/>
      <c r="BV357" s="113"/>
      <c r="BW357" s="113"/>
      <c r="BX357" s="113"/>
      <c r="BY357" s="113"/>
      <c r="BZ357" s="113"/>
      <c r="CA357" s="113"/>
      <c r="CB357" s="113"/>
      <c r="CC357" s="113"/>
      <c r="CD357" s="113"/>
      <c r="CE357" s="113"/>
      <c r="CF357" s="113"/>
      <c r="CG357" s="113"/>
      <c r="CH357" s="113"/>
      <c r="CI357" s="113"/>
      <c r="CJ357" s="113"/>
      <c r="CK357" s="113"/>
      <c r="CL357" s="113"/>
      <c r="CM357" s="113"/>
      <c r="CN357" s="113"/>
      <c r="CO357" s="113"/>
      <c r="CP357" s="113"/>
    </row>
    <row r="358" spans="1:94" s="63" customFormat="1">
      <c r="A358" s="63" t="s">
        <v>437</v>
      </c>
      <c r="B358" s="63" t="s">
        <v>514</v>
      </c>
      <c r="C358" s="64" t="s">
        <v>515</v>
      </c>
      <c r="D358" s="65" t="s">
        <v>87</v>
      </c>
      <c r="E358" s="66" t="s">
        <v>114</v>
      </c>
      <c r="F358" s="68">
        <v>15</v>
      </c>
      <c r="G358" s="68" t="s">
        <v>349</v>
      </c>
      <c r="H358" s="69">
        <v>691.42857142857144</v>
      </c>
      <c r="I358" s="74">
        <v>34.06</v>
      </c>
      <c r="J358" s="69">
        <v>23354</v>
      </c>
      <c r="K358" s="72"/>
      <c r="L358" s="69">
        <f t="shared" si="764"/>
        <v>23354</v>
      </c>
      <c r="M358" s="86">
        <f t="shared" si="724"/>
        <v>33.776446280991735</v>
      </c>
      <c r="N358" s="79">
        <v>9.5500000000000007</v>
      </c>
      <c r="O358" s="79">
        <v>7.36</v>
      </c>
      <c r="P358" s="79">
        <v>8.27</v>
      </c>
      <c r="Q358" s="79">
        <v>8.3699999999999992</v>
      </c>
      <c r="R358" s="79">
        <v>7.83</v>
      </c>
      <c r="S358" s="84">
        <v>7.6</v>
      </c>
      <c r="T358" s="85">
        <f t="shared" ref="T358:T366" si="803">AVERAGE(N358:S358)</f>
        <v>8.1633333333333322</v>
      </c>
      <c r="U358" s="63" t="s">
        <v>804</v>
      </c>
      <c r="V358" s="77" t="s">
        <v>103</v>
      </c>
      <c r="W358" s="77"/>
      <c r="X358" s="78">
        <v>0.33</v>
      </c>
      <c r="Y358" s="78">
        <v>0.25</v>
      </c>
      <c r="Z358" s="79">
        <v>0.38</v>
      </c>
      <c r="AA358" s="80">
        <v>45771</v>
      </c>
      <c r="AB358" s="81">
        <f t="shared" si="780"/>
        <v>70.333333333333329</v>
      </c>
      <c r="AC358" s="81">
        <f>AB358*Y358</f>
        <v>17.583333333333332</v>
      </c>
      <c r="AD358" s="81">
        <f t="shared" si="725"/>
        <v>205.3205833333333</v>
      </c>
      <c r="AE358" s="81">
        <f t="shared" si="782"/>
        <v>6.0282026815423748</v>
      </c>
      <c r="AF358" s="167">
        <f t="shared" si="763"/>
        <v>-0.26074062228701722</v>
      </c>
      <c r="AG358" s="264">
        <v>4.62</v>
      </c>
      <c r="AH358" s="264">
        <f t="shared" si="765"/>
        <v>0.19000430848772082</v>
      </c>
      <c r="AI358" s="77"/>
      <c r="AJ358" s="79">
        <f t="shared" ref="AJ358:AJ366" si="804">AD358-(AI358*I358)</f>
        <v>205.3205833333333</v>
      </c>
      <c r="AK358" s="82">
        <f t="shared" ref="AK358:AK366" si="805">AJ358/I358</f>
        <v>6.0282026815423748</v>
      </c>
      <c r="AL358" s="82"/>
      <c r="AM358" s="82">
        <f t="shared" ref="AM358:AM366" si="806">((AJ358*2000)/Z358)/J358</f>
        <v>46.271929824561404</v>
      </c>
      <c r="AN358" s="82"/>
      <c r="AO358" s="82"/>
      <c r="AP358" s="82"/>
      <c r="AR358" s="77" t="s">
        <v>165</v>
      </c>
      <c r="AS358" s="63">
        <v>81</v>
      </c>
      <c r="AT358" s="63">
        <v>75</v>
      </c>
      <c r="AU358" s="63">
        <v>75</v>
      </c>
      <c r="AV358" s="63">
        <v>66</v>
      </c>
      <c r="AW358" s="63">
        <v>66</v>
      </c>
      <c r="AX358" s="63">
        <v>75</v>
      </c>
      <c r="AY358" s="63">
        <v>63</v>
      </c>
      <c r="AZ358" s="63">
        <v>65</v>
      </c>
      <c r="BA358" s="63">
        <v>64</v>
      </c>
      <c r="BB358" s="63">
        <v>79</v>
      </c>
      <c r="BC358" s="63">
        <v>65</v>
      </c>
      <c r="BD358" s="63">
        <v>71</v>
      </c>
      <c r="BE358" s="63">
        <v>70</v>
      </c>
      <c r="BF358" s="63">
        <v>73</v>
      </c>
      <c r="BG358" s="63">
        <v>67</v>
      </c>
    </row>
    <row r="359" spans="1:94" s="63" customFormat="1">
      <c r="A359" s="63" t="s">
        <v>437</v>
      </c>
      <c r="B359" s="63" t="s">
        <v>514</v>
      </c>
      <c r="C359" s="64" t="s">
        <v>515</v>
      </c>
      <c r="D359" s="65" t="s">
        <v>87</v>
      </c>
      <c r="E359" s="66" t="s">
        <v>114</v>
      </c>
      <c r="F359" s="68">
        <v>15</v>
      </c>
      <c r="G359" s="68" t="s">
        <v>349</v>
      </c>
      <c r="H359" s="69">
        <v>691.42857142857144</v>
      </c>
      <c r="I359" s="74">
        <v>34.06</v>
      </c>
      <c r="J359" s="69">
        <v>23354</v>
      </c>
      <c r="K359" s="72"/>
      <c r="L359" s="69">
        <f t="shared" ref="L359:L366" si="807">J359-(J359*K359)</f>
        <v>23354</v>
      </c>
      <c r="M359" s="86">
        <f t="shared" si="724"/>
        <v>33.776446280991735</v>
      </c>
      <c r="N359" s="79">
        <v>9.5500000000000007</v>
      </c>
      <c r="O359" s="79">
        <v>7.36</v>
      </c>
      <c r="P359" s="79">
        <v>8.27</v>
      </c>
      <c r="Q359" s="79">
        <v>8.3699999999999992</v>
      </c>
      <c r="R359" s="79">
        <v>7.83</v>
      </c>
      <c r="S359" s="84">
        <v>7.6</v>
      </c>
      <c r="T359" s="85">
        <f t="shared" si="803"/>
        <v>8.1633333333333322</v>
      </c>
      <c r="U359" s="63" t="s">
        <v>804</v>
      </c>
      <c r="V359" s="77" t="s">
        <v>103</v>
      </c>
      <c r="W359" s="77"/>
      <c r="X359" s="78">
        <v>0.33</v>
      </c>
      <c r="Y359" s="78">
        <v>0.25</v>
      </c>
      <c r="Z359" s="79">
        <v>0.38</v>
      </c>
      <c r="AA359" s="80">
        <v>45771</v>
      </c>
      <c r="AB359" s="81">
        <f t="shared" si="780"/>
        <v>70.884615384615387</v>
      </c>
      <c r="AC359" s="81">
        <f t="shared" ref="AC359:AC361" si="808">AB359*Y359</f>
        <v>17.721153846153847</v>
      </c>
      <c r="AD359" s="81">
        <f t="shared" si="725"/>
        <v>206.92991346153846</v>
      </c>
      <c r="AE359" s="81">
        <f t="shared" si="782"/>
        <v>6.0754525385067071</v>
      </c>
      <c r="AF359" s="167">
        <f t="shared" si="763"/>
        <v>-0.25093562196899538</v>
      </c>
      <c r="AG359" s="264">
        <v>4.62</v>
      </c>
      <c r="AH359" s="264">
        <f t="shared" si="765"/>
        <v>0.18852661174961771</v>
      </c>
      <c r="AI359" s="77"/>
      <c r="AJ359" s="79">
        <f t="shared" si="804"/>
        <v>206.92991346153846</v>
      </c>
      <c r="AK359" s="82">
        <f t="shared" si="805"/>
        <v>6.0754525385067071</v>
      </c>
      <c r="AL359" s="82"/>
      <c r="AM359" s="82">
        <f t="shared" si="806"/>
        <v>46.634615384615387</v>
      </c>
      <c r="AN359" s="82"/>
      <c r="AO359" s="82"/>
      <c r="AP359" s="82"/>
      <c r="AR359" s="77" t="s">
        <v>165</v>
      </c>
      <c r="AS359" s="63">
        <v>60</v>
      </c>
      <c r="AT359" s="63">
        <v>70</v>
      </c>
      <c r="AU359" s="63">
        <v>76</v>
      </c>
      <c r="AV359" s="63">
        <v>73</v>
      </c>
      <c r="AW359" s="63">
        <v>66</v>
      </c>
      <c r="AX359" s="63">
        <v>72</v>
      </c>
      <c r="AY359" s="63">
        <v>76</v>
      </c>
      <c r="AZ359" s="63">
        <v>70</v>
      </c>
      <c r="BA359" s="63">
        <v>70</v>
      </c>
      <c r="BB359" s="63">
        <v>75</v>
      </c>
      <c r="BC359" s="63">
        <v>52</v>
      </c>
      <c r="BD359" s="63">
        <v>75</v>
      </c>
      <c r="BE359" s="63">
        <v>75</v>
      </c>
      <c r="BF359" s="63">
        <v>76</v>
      </c>
      <c r="BG359" s="63">
        <v>65</v>
      </c>
      <c r="BH359" s="63">
        <v>75</v>
      </c>
      <c r="BI359" s="63">
        <v>78</v>
      </c>
      <c r="BJ359" s="63">
        <v>64</v>
      </c>
      <c r="BK359" s="63">
        <v>73</v>
      </c>
      <c r="BL359" s="63">
        <v>72</v>
      </c>
      <c r="BM359" s="63">
        <v>69</v>
      </c>
      <c r="BN359" s="63">
        <v>69</v>
      </c>
      <c r="BO359" s="63">
        <v>78</v>
      </c>
      <c r="BP359" s="63">
        <v>68</v>
      </c>
      <c r="BQ359" s="63">
        <v>76</v>
      </c>
      <c r="BR359" s="63">
        <v>70</v>
      </c>
    </row>
    <row r="360" spans="1:94" s="63" customFormat="1">
      <c r="A360" s="63" t="s">
        <v>437</v>
      </c>
      <c r="B360" s="63" t="s">
        <v>514</v>
      </c>
      <c r="C360" s="64" t="s">
        <v>515</v>
      </c>
      <c r="D360" s="65" t="s">
        <v>87</v>
      </c>
      <c r="E360" s="66" t="s">
        <v>114</v>
      </c>
      <c r="F360" s="68">
        <v>15</v>
      </c>
      <c r="G360" s="68" t="s">
        <v>349</v>
      </c>
      <c r="H360" s="69">
        <v>691.42857142857144</v>
      </c>
      <c r="I360" s="74">
        <v>34.06</v>
      </c>
      <c r="J360" s="69">
        <v>23354</v>
      </c>
      <c r="K360" s="72"/>
      <c r="L360" s="69">
        <f t="shared" si="807"/>
        <v>23354</v>
      </c>
      <c r="M360" s="86">
        <f t="shared" si="724"/>
        <v>33.776446280991735</v>
      </c>
      <c r="N360" s="79">
        <v>9.5500000000000007</v>
      </c>
      <c r="O360" s="79">
        <v>7.36</v>
      </c>
      <c r="P360" s="79">
        <v>8.27</v>
      </c>
      <c r="Q360" s="79">
        <v>8.3699999999999992</v>
      </c>
      <c r="R360" s="79">
        <v>7.83</v>
      </c>
      <c r="S360" s="84">
        <v>7.6</v>
      </c>
      <c r="T360" s="85">
        <f t="shared" si="803"/>
        <v>8.1633333333333322</v>
      </c>
      <c r="U360" s="63" t="s">
        <v>804</v>
      </c>
      <c r="V360" s="77" t="s">
        <v>103</v>
      </c>
      <c r="W360" s="77"/>
      <c r="X360" s="78">
        <v>0.33</v>
      </c>
      <c r="Y360" s="78">
        <v>0.25</v>
      </c>
      <c r="Z360" s="79">
        <v>0.38</v>
      </c>
      <c r="AA360" s="80">
        <v>45771</v>
      </c>
      <c r="AB360" s="81">
        <f t="shared" si="780"/>
        <v>76.0625</v>
      </c>
      <c r="AC360" s="81">
        <f t="shared" si="808"/>
        <v>19.015625</v>
      </c>
      <c r="AD360" s="81">
        <f t="shared" si="725"/>
        <v>222.04545312499999</v>
      </c>
      <c r="AE360" s="81">
        <f t="shared" si="782"/>
        <v>6.5192440729594825</v>
      </c>
      <c r="AF360" s="167">
        <f t="shared" si="763"/>
        <v>-0.16577933192028751</v>
      </c>
      <c r="AG360" s="264">
        <v>4.62</v>
      </c>
      <c r="AH360" s="264">
        <f t="shared" si="765"/>
        <v>0.17569283633375662</v>
      </c>
      <c r="AI360" s="77"/>
      <c r="AJ360" s="79">
        <f t="shared" si="804"/>
        <v>222.04545312499999</v>
      </c>
      <c r="AK360" s="82">
        <f t="shared" si="805"/>
        <v>6.5192440729594825</v>
      </c>
      <c r="AL360" s="82"/>
      <c r="AM360" s="82">
        <f t="shared" si="806"/>
        <v>50.04111842105263</v>
      </c>
      <c r="AN360" s="82"/>
      <c r="AO360" s="82"/>
      <c r="AP360" s="82"/>
      <c r="AR360" s="77" t="s">
        <v>165</v>
      </c>
      <c r="AS360" s="63">
        <v>70</v>
      </c>
      <c r="AT360" s="63">
        <v>73</v>
      </c>
      <c r="AU360" s="63">
        <v>68</v>
      </c>
      <c r="AV360" s="63">
        <v>69</v>
      </c>
      <c r="AW360" s="63">
        <v>80</v>
      </c>
      <c r="AX360" s="63">
        <v>78</v>
      </c>
      <c r="AY360" s="63">
        <v>77</v>
      </c>
      <c r="AZ360" s="63">
        <v>78</v>
      </c>
      <c r="BA360" s="63">
        <v>80</v>
      </c>
      <c r="BB360" s="63">
        <v>81</v>
      </c>
      <c r="BC360" s="63">
        <v>69</v>
      </c>
      <c r="BD360" s="63">
        <v>78</v>
      </c>
      <c r="BE360" s="63">
        <v>82</v>
      </c>
      <c r="BF360" s="63">
        <v>78</v>
      </c>
      <c r="BG360" s="63">
        <v>79</v>
      </c>
      <c r="BH360" s="63">
        <v>77</v>
      </c>
    </row>
    <row r="361" spans="1:94" s="63" customFormat="1">
      <c r="A361" s="63" t="s">
        <v>437</v>
      </c>
      <c r="B361" s="63" t="s">
        <v>514</v>
      </c>
      <c r="C361" s="64" t="s">
        <v>515</v>
      </c>
      <c r="D361" s="65" t="s">
        <v>87</v>
      </c>
      <c r="E361" s="66" t="s">
        <v>114</v>
      </c>
      <c r="F361" s="68">
        <v>15</v>
      </c>
      <c r="G361" s="68" t="s">
        <v>349</v>
      </c>
      <c r="H361" s="69">
        <v>691.42857142857144</v>
      </c>
      <c r="I361" s="74">
        <v>34.06</v>
      </c>
      <c r="J361" s="69">
        <v>23354</v>
      </c>
      <c r="K361" s="72"/>
      <c r="L361" s="69">
        <f t="shared" si="807"/>
        <v>23354</v>
      </c>
      <c r="M361" s="86">
        <f t="shared" si="724"/>
        <v>33.776446280991735</v>
      </c>
      <c r="N361" s="79">
        <v>9.5500000000000007</v>
      </c>
      <c r="O361" s="79">
        <v>7.36</v>
      </c>
      <c r="P361" s="79">
        <v>8.27</v>
      </c>
      <c r="Q361" s="79">
        <v>8.3699999999999992</v>
      </c>
      <c r="R361" s="79">
        <v>7.83</v>
      </c>
      <c r="S361" s="84">
        <v>7.6</v>
      </c>
      <c r="T361" s="85">
        <f t="shared" si="803"/>
        <v>8.1633333333333322</v>
      </c>
      <c r="U361" s="63" t="s">
        <v>804</v>
      </c>
      <c r="V361" s="77" t="s">
        <v>103</v>
      </c>
      <c r="W361" s="77"/>
      <c r="X361" s="78">
        <v>0.33</v>
      </c>
      <c r="Y361" s="78">
        <v>0.25</v>
      </c>
      <c r="Z361" s="79">
        <v>0.38</v>
      </c>
      <c r="AA361" s="80">
        <v>45803</v>
      </c>
      <c r="AB361" s="81">
        <f t="shared" si="780"/>
        <v>69.266666666666666</v>
      </c>
      <c r="AC361" s="81">
        <f t="shared" si="808"/>
        <v>17.316666666666666</v>
      </c>
      <c r="AD361" s="81">
        <f t="shared" si="725"/>
        <v>202.20671666666667</v>
      </c>
      <c r="AE361" s="81">
        <f t="shared" si="782"/>
        <v>5.9367797024858087</v>
      </c>
      <c r="AF361" s="167">
        <f t="shared" si="763"/>
        <v>-0.28015529981982967</v>
      </c>
      <c r="AG361" s="264">
        <v>4.62</v>
      </c>
      <c r="AH361" s="264">
        <f t="shared" si="765"/>
        <v>0.19293026511505817</v>
      </c>
      <c r="AI361" s="77"/>
      <c r="AJ361" s="79">
        <f t="shared" si="804"/>
        <v>202.20671666666667</v>
      </c>
      <c r="AK361" s="82">
        <f t="shared" si="805"/>
        <v>5.9367797024858087</v>
      </c>
      <c r="AL361" s="82"/>
      <c r="AM361" s="82">
        <f t="shared" si="806"/>
        <v>45.570175438596493</v>
      </c>
      <c r="AN361" s="82"/>
      <c r="AO361" s="82"/>
      <c r="AP361" s="82"/>
      <c r="AQ361" s="63" t="s">
        <v>805</v>
      </c>
      <c r="AR361" s="77" t="s">
        <v>137</v>
      </c>
      <c r="AS361" s="63">
        <v>73</v>
      </c>
      <c r="AT361" s="63">
        <v>68</v>
      </c>
      <c r="AU361" s="63">
        <v>77</v>
      </c>
      <c r="AV361" s="63">
        <v>64</v>
      </c>
      <c r="AW361" s="63">
        <v>73</v>
      </c>
      <c r="AX361" s="63">
        <v>63</v>
      </c>
      <c r="AY361" s="63">
        <v>71</v>
      </c>
      <c r="AZ361" s="63">
        <v>66</v>
      </c>
      <c r="BA361" s="63">
        <v>62</v>
      </c>
      <c r="BB361" s="63">
        <v>74</v>
      </c>
      <c r="BC361" s="63">
        <v>70</v>
      </c>
      <c r="BD361" s="63">
        <v>66</v>
      </c>
      <c r="BE361" s="63">
        <v>67</v>
      </c>
      <c r="BF361" s="63">
        <v>76</v>
      </c>
      <c r="BG361" s="63">
        <v>69</v>
      </c>
    </row>
    <row r="362" spans="1:94" s="113" customFormat="1">
      <c r="A362" s="113" t="s">
        <v>437</v>
      </c>
      <c r="B362" s="113" t="s">
        <v>517</v>
      </c>
      <c r="C362" s="114" t="s">
        <v>518</v>
      </c>
      <c r="D362" s="128" t="s">
        <v>87</v>
      </c>
      <c r="E362" s="127" t="s">
        <v>119</v>
      </c>
      <c r="F362" s="126">
        <v>3</v>
      </c>
      <c r="G362" s="126" t="s">
        <v>475</v>
      </c>
      <c r="H362" s="123">
        <v>777.85714285714289</v>
      </c>
      <c r="I362" s="125">
        <v>43.76</v>
      </c>
      <c r="J362" s="123">
        <v>33795</v>
      </c>
      <c r="K362" s="124">
        <v>0.1</v>
      </c>
      <c r="L362" s="123">
        <f t="shared" si="807"/>
        <v>30415.5</v>
      </c>
      <c r="M362" s="122">
        <f t="shared" si="724"/>
        <v>39.10165289256198</v>
      </c>
      <c r="N362" s="118">
        <v>7.24</v>
      </c>
      <c r="O362" s="118">
        <v>6.34</v>
      </c>
      <c r="P362" s="118">
        <v>7.09</v>
      </c>
      <c r="Q362" s="118">
        <v>5.52</v>
      </c>
      <c r="R362" s="118">
        <v>5.76</v>
      </c>
      <c r="S362" s="153">
        <v>4.83</v>
      </c>
      <c r="T362" s="121">
        <f t="shared" si="803"/>
        <v>6.13</v>
      </c>
      <c r="U362" s="113" t="s">
        <v>365</v>
      </c>
      <c r="V362" s="115" t="s">
        <v>103</v>
      </c>
      <c r="W362" s="115"/>
      <c r="X362" s="120">
        <v>0.35</v>
      </c>
      <c r="Y362" s="120"/>
      <c r="Z362" s="118">
        <v>0.52</v>
      </c>
      <c r="AA362" s="119">
        <v>45777</v>
      </c>
      <c r="AB362" s="117">
        <f t="shared" si="780"/>
        <v>57.8125</v>
      </c>
      <c r="AC362" s="117">
        <f t="shared" si="781"/>
        <v>20.234375</v>
      </c>
      <c r="AD362" s="117">
        <f t="shared" si="725"/>
        <v>307.71931640625002</v>
      </c>
      <c r="AE362" s="117">
        <f t="shared" si="782"/>
        <v>7.0319770659563536</v>
      </c>
      <c r="AF362" s="170">
        <f t="shared" si="763"/>
        <v>0.31313769161971566</v>
      </c>
      <c r="AG362" s="265">
        <v>5.0599999999999996</v>
      </c>
      <c r="AH362" s="265">
        <f t="shared" si="765"/>
        <v>0.22503958503958499</v>
      </c>
      <c r="AI362" s="115"/>
      <c r="AJ362" s="118">
        <f t="shared" si="804"/>
        <v>307.71931640625002</v>
      </c>
      <c r="AK362" s="116">
        <f t="shared" si="805"/>
        <v>7.0319770659563536</v>
      </c>
      <c r="AL362" s="116"/>
      <c r="AM362" s="116">
        <f t="shared" si="806"/>
        <v>35.021033653846153</v>
      </c>
      <c r="AN362" s="116"/>
      <c r="AO362" s="116"/>
      <c r="AP362" s="116"/>
      <c r="AR362" s="115" t="s">
        <v>91</v>
      </c>
      <c r="AS362" s="113">
        <v>56</v>
      </c>
      <c r="AT362" s="113">
        <v>49</v>
      </c>
      <c r="AU362" s="113">
        <v>50</v>
      </c>
      <c r="AV362" s="113">
        <v>59</v>
      </c>
      <c r="AW362" s="113">
        <v>62</v>
      </c>
      <c r="AX362" s="113">
        <v>74</v>
      </c>
      <c r="AY362" s="113">
        <v>59</v>
      </c>
      <c r="AZ362" s="113">
        <v>51</v>
      </c>
      <c r="BA362" s="113">
        <v>37</v>
      </c>
      <c r="BB362" s="113">
        <v>62</v>
      </c>
      <c r="BC362" s="113">
        <v>42</v>
      </c>
      <c r="BD362" s="113">
        <v>61</v>
      </c>
      <c r="BE362" s="113">
        <v>72</v>
      </c>
      <c r="BF362" s="113">
        <v>78</v>
      </c>
      <c r="BG362" s="113">
        <v>56</v>
      </c>
      <c r="BH362" s="113">
        <v>57</v>
      </c>
    </row>
    <row r="363" spans="1:94" s="113" customFormat="1">
      <c r="A363" s="113" t="s">
        <v>437</v>
      </c>
      <c r="B363" s="113" t="s">
        <v>517</v>
      </c>
      <c r="C363" s="114" t="s">
        <v>518</v>
      </c>
      <c r="D363" s="128" t="s">
        <v>87</v>
      </c>
      <c r="E363" s="127" t="s">
        <v>119</v>
      </c>
      <c r="F363" s="126">
        <v>3</v>
      </c>
      <c r="G363" s="126" t="s">
        <v>475</v>
      </c>
      <c r="H363" s="123">
        <v>777.85714285714289</v>
      </c>
      <c r="I363" s="125">
        <v>43.76</v>
      </c>
      <c r="J363" s="123">
        <v>33795</v>
      </c>
      <c r="K363" s="124">
        <v>0.1</v>
      </c>
      <c r="L363" s="123">
        <f t="shared" si="807"/>
        <v>30415.5</v>
      </c>
      <c r="M363" s="122">
        <f t="shared" si="724"/>
        <v>39.10165289256198</v>
      </c>
      <c r="N363" s="118">
        <v>7.24</v>
      </c>
      <c r="O363" s="118">
        <v>6.34</v>
      </c>
      <c r="P363" s="118">
        <v>7.09</v>
      </c>
      <c r="Q363" s="118">
        <v>5.52</v>
      </c>
      <c r="R363" s="118">
        <v>5.76</v>
      </c>
      <c r="S363" s="153">
        <v>4.83</v>
      </c>
      <c r="T363" s="121">
        <f t="shared" si="803"/>
        <v>6.13</v>
      </c>
      <c r="U363" s="113" t="s">
        <v>365</v>
      </c>
      <c r="V363" s="115" t="s">
        <v>103</v>
      </c>
      <c r="W363" s="115"/>
      <c r="X363" s="120">
        <v>0.35</v>
      </c>
      <c r="Y363" s="120"/>
      <c r="Z363" s="118">
        <v>0.52</v>
      </c>
      <c r="AA363" s="119">
        <v>45797</v>
      </c>
      <c r="AB363" s="117">
        <f t="shared" si="780"/>
        <v>64.2</v>
      </c>
      <c r="AC363" s="117">
        <f t="shared" si="781"/>
        <v>22.47</v>
      </c>
      <c r="AD363" s="117">
        <f t="shared" si="725"/>
        <v>341.71814249999994</v>
      </c>
      <c r="AE363" s="117">
        <f t="shared" si="782"/>
        <v>7.8089155050274215</v>
      </c>
      <c r="AF363" s="170">
        <f t="shared" si="763"/>
        <v>0.38147621178761376</v>
      </c>
      <c r="AG363" s="265">
        <v>5.0599999999999996</v>
      </c>
      <c r="AH363" s="265">
        <f t="shared" si="765"/>
        <v>0.2026495484439409</v>
      </c>
      <c r="AI363" s="115"/>
      <c r="AJ363" s="118">
        <f t="shared" si="804"/>
        <v>341.71814249999994</v>
      </c>
      <c r="AK363" s="116">
        <f t="shared" si="805"/>
        <v>7.8089155050274215</v>
      </c>
      <c r="AL363" s="116"/>
      <c r="AM363" s="116">
        <f t="shared" si="806"/>
        <v>38.890384615384605</v>
      </c>
      <c r="AN363" s="116"/>
      <c r="AO363" s="116"/>
      <c r="AP363" s="116"/>
      <c r="AR363" s="115" t="s">
        <v>116</v>
      </c>
      <c r="AS363" s="113">
        <v>65</v>
      </c>
      <c r="AT363" s="113">
        <v>70</v>
      </c>
      <c r="AU363" s="113">
        <v>69</v>
      </c>
      <c r="AV363" s="113">
        <v>68</v>
      </c>
      <c r="AW363" s="113">
        <v>66</v>
      </c>
      <c r="AX363" s="113">
        <v>68</v>
      </c>
      <c r="AY363" s="113">
        <v>55</v>
      </c>
      <c r="AZ363" s="113">
        <v>59</v>
      </c>
      <c r="BA363" s="113">
        <v>60</v>
      </c>
      <c r="BB363" s="113">
        <v>58</v>
      </c>
      <c r="BC363" s="113">
        <v>69</v>
      </c>
      <c r="BD363" s="113">
        <v>65</v>
      </c>
      <c r="BE363" s="113">
        <v>72</v>
      </c>
      <c r="BF363" s="113">
        <v>70</v>
      </c>
      <c r="BG363" s="113">
        <v>65</v>
      </c>
      <c r="BH363" s="113">
        <v>73</v>
      </c>
      <c r="BI363" s="113">
        <v>62</v>
      </c>
      <c r="BJ363" s="113">
        <v>59</v>
      </c>
      <c r="BK363" s="113">
        <v>62</v>
      </c>
      <c r="BL363" s="113">
        <v>49</v>
      </c>
    </row>
    <row r="364" spans="1:94" s="113" customFormat="1">
      <c r="A364" s="113" t="s">
        <v>437</v>
      </c>
      <c r="B364" s="113" t="s">
        <v>517</v>
      </c>
      <c r="C364" s="114" t="s">
        <v>518</v>
      </c>
      <c r="D364" s="128" t="s">
        <v>87</v>
      </c>
      <c r="E364" s="127" t="s">
        <v>119</v>
      </c>
      <c r="F364" s="126">
        <v>3</v>
      </c>
      <c r="G364" s="126" t="s">
        <v>475</v>
      </c>
      <c r="H364" s="123">
        <v>777.85714285714289</v>
      </c>
      <c r="I364" s="125">
        <v>43.76</v>
      </c>
      <c r="J364" s="123">
        <v>33795</v>
      </c>
      <c r="K364" s="124">
        <v>0.1</v>
      </c>
      <c r="L364" s="123">
        <f t="shared" ref="L364" si="809">J364-(J364*K364)</f>
        <v>30415.5</v>
      </c>
      <c r="M364" s="122">
        <f t="shared" ref="M364" si="810">L364/H364</f>
        <v>39.10165289256198</v>
      </c>
      <c r="N364" s="118">
        <v>7.24</v>
      </c>
      <c r="O364" s="118">
        <v>6.34</v>
      </c>
      <c r="P364" s="118">
        <v>7.09</v>
      </c>
      <c r="Q364" s="118">
        <v>5.52</v>
      </c>
      <c r="R364" s="118">
        <v>5.76</v>
      </c>
      <c r="S364" s="153">
        <v>4.83</v>
      </c>
      <c r="T364" s="121">
        <f t="shared" ref="T364" si="811">AVERAGE(N364:S364)</f>
        <v>6.13</v>
      </c>
      <c r="U364" s="113" t="s">
        <v>806</v>
      </c>
      <c r="V364" s="115" t="s">
        <v>214</v>
      </c>
      <c r="W364" s="115"/>
      <c r="X364" s="120">
        <v>0.35</v>
      </c>
      <c r="Y364" s="120"/>
      <c r="Z364" s="118">
        <v>0.52</v>
      </c>
      <c r="AA364" s="119">
        <v>45832</v>
      </c>
      <c r="AB364" s="117">
        <f t="shared" ref="AB364" si="812">IFERROR(AVERAGE(AS364:CP364),0)</f>
        <v>72.5</v>
      </c>
      <c r="AC364" s="117">
        <f t="shared" ref="AC364" si="813">AB364*X364</f>
        <v>25.375</v>
      </c>
      <c r="AD364" s="117">
        <f t="shared" ref="AD364" si="814">(AC364*L364)/2000</f>
        <v>385.89665624999998</v>
      </c>
      <c r="AE364" s="117">
        <f t="shared" ref="AE364" si="815">IFERROR((AD364/I364),"")</f>
        <v>8.8184793475776964</v>
      </c>
      <c r="AF364" s="170">
        <f t="shared" ref="AF364" si="816">IFERROR(((AE364-S364)/AE364),"")</f>
        <v>0.452286521334687</v>
      </c>
      <c r="AG364" s="265">
        <v>5.0599999999999996</v>
      </c>
      <c r="AH364" s="265">
        <f t="shared" si="765"/>
        <v>0.17944966910484147</v>
      </c>
      <c r="AI364" s="115"/>
      <c r="AJ364" s="118">
        <f t="shared" ref="AJ364" si="817">AD364-(AI364*I364)</f>
        <v>385.89665624999998</v>
      </c>
      <c r="AK364" s="116">
        <f t="shared" ref="AK364" si="818">AJ364/I364</f>
        <v>8.8184793475776964</v>
      </c>
      <c r="AL364" s="116"/>
      <c r="AM364" s="116">
        <f t="shared" ref="AM364" si="819">((AJ364*2000)/Z364)/J364</f>
        <v>43.918269230769226</v>
      </c>
      <c r="AN364" s="116"/>
      <c r="AO364" s="116"/>
      <c r="AP364" s="116"/>
      <c r="AQ364" s="235" t="s">
        <v>807</v>
      </c>
      <c r="AR364" s="115" t="s">
        <v>91</v>
      </c>
      <c r="AS364" s="113">
        <v>76</v>
      </c>
      <c r="AT364" s="113">
        <v>78</v>
      </c>
      <c r="AU364" s="113">
        <v>70</v>
      </c>
      <c r="AV364" s="113">
        <v>90</v>
      </c>
      <c r="AW364" s="113">
        <v>73</v>
      </c>
      <c r="AX364" s="113">
        <v>66</v>
      </c>
      <c r="AY364" s="113">
        <v>56</v>
      </c>
      <c r="AZ364" s="113">
        <v>62</v>
      </c>
      <c r="BA364" s="113">
        <v>75</v>
      </c>
      <c r="BB364" s="113">
        <v>79</v>
      </c>
    </row>
    <row r="365" spans="1:94" s="113" customFormat="1">
      <c r="A365" s="113" t="s">
        <v>437</v>
      </c>
      <c r="B365" s="113" t="s">
        <v>517</v>
      </c>
      <c r="C365" s="114" t="s">
        <v>518</v>
      </c>
      <c r="D365" s="128" t="s">
        <v>87</v>
      </c>
      <c r="E365" s="127" t="s">
        <v>119</v>
      </c>
      <c r="F365" s="126">
        <v>3</v>
      </c>
      <c r="G365" s="126" t="s">
        <v>475</v>
      </c>
      <c r="H365" s="123">
        <v>777.85714285714289</v>
      </c>
      <c r="I365" s="125">
        <v>43.76</v>
      </c>
      <c r="J365" s="123">
        <v>33795</v>
      </c>
      <c r="K365" s="124">
        <v>0.1</v>
      </c>
      <c r="L365" s="123">
        <f t="shared" si="807"/>
        <v>30415.5</v>
      </c>
      <c r="M365" s="122">
        <f t="shared" si="724"/>
        <v>39.10165289256198</v>
      </c>
      <c r="N365" s="118">
        <v>7.24</v>
      </c>
      <c r="O365" s="118">
        <v>6.34</v>
      </c>
      <c r="P365" s="118">
        <v>7.09</v>
      </c>
      <c r="Q365" s="118">
        <v>5.52</v>
      </c>
      <c r="R365" s="118">
        <v>5.76</v>
      </c>
      <c r="S365" s="153">
        <v>4.83</v>
      </c>
      <c r="T365" s="121">
        <f t="shared" si="803"/>
        <v>6.13</v>
      </c>
      <c r="U365" s="113" t="s">
        <v>806</v>
      </c>
      <c r="V365" s="115" t="s">
        <v>214</v>
      </c>
      <c r="W365" s="115"/>
      <c r="X365" s="120">
        <v>0.35</v>
      </c>
      <c r="Y365" s="120"/>
      <c r="Z365" s="118">
        <v>0.52</v>
      </c>
      <c r="AA365" s="119">
        <v>45832</v>
      </c>
      <c r="AB365" s="117">
        <f t="shared" si="780"/>
        <v>40.714285714285715</v>
      </c>
      <c r="AC365" s="117">
        <f t="shared" si="781"/>
        <v>14.25</v>
      </c>
      <c r="AD365" s="117">
        <f t="shared" si="725"/>
        <v>216.71043750000001</v>
      </c>
      <c r="AE365" s="117">
        <f t="shared" si="782"/>
        <v>4.9522494858318105</v>
      </c>
      <c r="AF365" s="170">
        <f t="shared" si="763"/>
        <v>2.4685647639837476E-2</v>
      </c>
      <c r="AG365" s="265">
        <v>5.0599999999999996</v>
      </c>
      <c r="AH365" s="265">
        <f t="shared" si="765"/>
        <v>0.31954634059897208</v>
      </c>
      <c r="AI365" s="115"/>
      <c r="AJ365" s="118">
        <f t="shared" si="804"/>
        <v>216.71043750000001</v>
      </c>
      <c r="AK365" s="116">
        <f t="shared" si="805"/>
        <v>4.9522494858318105</v>
      </c>
      <c r="AL365" s="116"/>
      <c r="AM365" s="116">
        <f t="shared" si="806"/>
        <v>24.663461538461537</v>
      </c>
      <c r="AN365" s="116"/>
      <c r="AO365" s="116"/>
      <c r="AP365" s="116"/>
      <c r="AQ365" s="235" t="s">
        <v>808</v>
      </c>
      <c r="AR365" s="115" t="s">
        <v>91</v>
      </c>
      <c r="AS365" s="113">
        <v>43</v>
      </c>
      <c r="AT365" s="113">
        <v>58</v>
      </c>
      <c r="AU365" s="113">
        <v>33</v>
      </c>
      <c r="AV365" s="113">
        <v>50</v>
      </c>
      <c r="AW365" s="113">
        <v>26</v>
      </c>
      <c r="AY365" s="113">
        <v>30</v>
      </c>
      <c r="AZ365" s="113">
        <v>45</v>
      </c>
    </row>
    <row r="366" spans="1:94" s="113" customFormat="1">
      <c r="A366" s="113" t="s">
        <v>437</v>
      </c>
      <c r="B366" s="113" t="s">
        <v>517</v>
      </c>
      <c r="C366" s="114" t="s">
        <v>518</v>
      </c>
      <c r="D366" s="128" t="s">
        <v>87</v>
      </c>
      <c r="E366" s="127" t="s">
        <v>119</v>
      </c>
      <c r="F366" s="126">
        <v>3</v>
      </c>
      <c r="G366" s="126" t="s">
        <v>475</v>
      </c>
      <c r="H366" s="123">
        <v>777.85714285714289</v>
      </c>
      <c r="I366" s="125">
        <v>43.76</v>
      </c>
      <c r="J366" s="123">
        <v>33795</v>
      </c>
      <c r="K366" s="124">
        <v>0.05</v>
      </c>
      <c r="L366" s="123">
        <f t="shared" si="807"/>
        <v>32105.25</v>
      </c>
      <c r="M366" s="122">
        <f t="shared" si="724"/>
        <v>41.27396694214876</v>
      </c>
      <c r="N366" s="118">
        <v>7.24</v>
      </c>
      <c r="O366" s="118">
        <v>6.34</v>
      </c>
      <c r="P366" s="118">
        <v>7.09</v>
      </c>
      <c r="Q366" s="118">
        <v>5.52</v>
      </c>
      <c r="R366" s="118">
        <v>5.76</v>
      </c>
      <c r="S366" s="153">
        <v>4.83</v>
      </c>
      <c r="T366" s="121">
        <f t="shared" si="803"/>
        <v>6.13</v>
      </c>
      <c r="U366" s="113" t="s">
        <v>806</v>
      </c>
      <c r="V366" s="115" t="s">
        <v>214</v>
      </c>
      <c r="W366" s="115"/>
      <c r="X366" s="120">
        <v>0.35</v>
      </c>
      <c r="Y366" s="120"/>
      <c r="Z366" s="118">
        <v>0.52</v>
      </c>
      <c r="AA366" s="119">
        <v>45834</v>
      </c>
      <c r="AB366" s="117">
        <f t="shared" si="780"/>
        <v>50.625</v>
      </c>
      <c r="AC366" s="117">
        <f t="shared" si="781"/>
        <v>17.71875</v>
      </c>
      <c r="AD366" s="117">
        <f t="shared" si="725"/>
        <v>284.43244921874998</v>
      </c>
      <c r="AE366" s="117">
        <f t="shared" si="782"/>
        <v>6.4998274501542506</v>
      </c>
      <c r="AF366" s="170">
        <f t="shared" si="763"/>
        <v>0.25690335058273323</v>
      </c>
      <c r="AG366" s="265">
        <v>5.0599999999999996</v>
      </c>
      <c r="AH366" s="265">
        <f t="shared" si="765"/>
        <v>0.25698964958224213</v>
      </c>
      <c r="AI366" s="115"/>
      <c r="AJ366" s="118">
        <f t="shared" si="804"/>
        <v>284.43244921874998</v>
      </c>
      <c r="AK366" s="116">
        <f t="shared" si="805"/>
        <v>6.4998274501542506</v>
      </c>
      <c r="AL366" s="116"/>
      <c r="AM366" s="116">
        <f t="shared" si="806"/>
        <v>32.370793269230766</v>
      </c>
      <c r="AN366" s="116"/>
      <c r="AO366" s="116"/>
      <c r="AP366" s="116"/>
      <c r="AQ366" s="236" t="s">
        <v>809</v>
      </c>
      <c r="AR366" s="115" t="s">
        <v>137</v>
      </c>
      <c r="AS366" s="113">
        <v>38</v>
      </c>
      <c r="AT366" s="113">
        <v>56</v>
      </c>
      <c r="AU366" s="113">
        <v>40</v>
      </c>
      <c r="AV366" s="113">
        <v>47</v>
      </c>
      <c r="AW366" s="113">
        <v>47</v>
      </c>
      <c r="AX366" s="113">
        <v>64</v>
      </c>
      <c r="AY366" s="113">
        <v>36</v>
      </c>
      <c r="AZ366" s="113">
        <v>41</v>
      </c>
      <c r="BA366" s="113">
        <v>60</v>
      </c>
      <c r="BB366" s="113">
        <v>58</v>
      </c>
      <c r="BC366" s="113">
        <v>47</v>
      </c>
      <c r="BD366" s="113">
        <v>53</v>
      </c>
      <c r="BE366" s="113">
        <v>58</v>
      </c>
      <c r="BF366" s="113">
        <v>63</v>
      </c>
      <c r="BG366" s="113">
        <v>48</v>
      </c>
      <c r="BH366" s="113">
        <v>54</v>
      </c>
    </row>
    <row r="367" spans="1:94" s="113" customFormat="1">
      <c r="A367" s="113" t="s">
        <v>437</v>
      </c>
      <c r="B367" s="113" t="s">
        <v>517</v>
      </c>
      <c r="C367" s="114" t="s">
        <v>518</v>
      </c>
      <c r="D367" s="128" t="s">
        <v>87</v>
      </c>
      <c r="E367" s="127" t="s">
        <v>119</v>
      </c>
      <c r="F367" s="126">
        <v>3</v>
      </c>
      <c r="G367" s="126" t="s">
        <v>475</v>
      </c>
      <c r="H367" s="123">
        <v>777.85714285714289</v>
      </c>
      <c r="I367" s="125">
        <v>43.76</v>
      </c>
      <c r="J367" s="123">
        <v>33795</v>
      </c>
      <c r="K367" s="124">
        <v>0.1</v>
      </c>
      <c r="L367" s="123">
        <f t="shared" ref="L367:L368" si="820">J367-(J367*K367)</f>
        <v>30415.5</v>
      </c>
      <c r="M367" s="122">
        <f t="shared" ref="M367:M368" si="821">L367/H367</f>
        <v>39.10165289256198</v>
      </c>
      <c r="N367" s="118">
        <v>7.24</v>
      </c>
      <c r="O367" s="118">
        <v>6.34</v>
      </c>
      <c r="P367" s="118">
        <v>7.09</v>
      </c>
      <c r="Q367" s="118">
        <v>5.52</v>
      </c>
      <c r="R367" s="118">
        <v>5.76</v>
      </c>
      <c r="S367" s="153">
        <v>4.83</v>
      </c>
      <c r="T367" s="121">
        <f t="shared" ref="T367:T368" si="822">AVERAGE(N367:S367)</f>
        <v>6.13</v>
      </c>
      <c r="U367" s="113" t="s">
        <v>806</v>
      </c>
      <c r="V367" s="115" t="s">
        <v>214</v>
      </c>
      <c r="W367" s="115"/>
      <c r="X367" s="120">
        <v>0.35</v>
      </c>
      <c r="Y367" s="120"/>
      <c r="Z367" s="118">
        <v>0.52</v>
      </c>
      <c r="AA367" s="119">
        <v>45834</v>
      </c>
      <c r="AB367" s="117">
        <f t="shared" ref="AB367:AB368" si="823">IFERROR(AVERAGE(AS367:CP367),0)</f>
        <v>47.6</v>
      </c>
      <c r="AC367" s="117">
        <f t="shared" ref="AC367:AC368" si="824">AB367*X367</f>
        <v>16.66</v>
      </c>
      <c r="AD367" s="117">
        <f t="shared" ref="AD367:AD368" si="825">(AC367*L367)/2000</f>
        <v>253.36111499999998</v>
      </c>
      <c r="AE367" s="117">
        <f t="shared" ref="AE367:AE368" si="826">IFERROR((AD367/I367),"")</f>
        <v>5.7897878199268735</v>
      </c>
      <c r="AF367" s="170">
        <f t="shared" ref="AF367:AF368" si="827">IFERROR(((AE367-S367)/AE367),"")</f>
        <v>0.16577253774715975</v>
      </c>
      <c r="AG367" s="265">
        <v>5.0599999999999996</v>
      </c>
      <c r="AH367" s="265">
        <f t="shared" si="765"/>
        <v>0.27332144979203793</v>
      </c>
      <c r="AI367" s="115"/>
      <c r="AJ367" s="118">
        <f t="shared" ref="AJ367:AJ368" si="828">AD367-(AI367*I367)</f>
        <v>253.36111499999998</v>
      </c>
      <c r="AK367" s="116">
        <f t="shared" ref="AK367:AK368" si="829">AJ367/I367</f>
        <v>5.7897878199268735</v>
      </c>
      <c r="AL367" s="116"/>
      <c r="AM367" s="116">
        <f t="shared" ref="AM367:AM368" si="830">((AJ367*2000)/Z367)/J367</f>
        <v>28.834615384615383</v>
      </c>
      <c r="AN367" s="116"/>
      <c r="AO367" s="116"/>
      <c r="AP367" s="116"/>
      <c r="AQ367" s="236" t="s">
        <v>810</v>
      </c>
      <c r="AR367" s="115" t="s">
        <v>137</v>
      </c>
      <c r="AS367" s="113">
        <v>42</v>
      </c>
      <c r="AT367" s="113">
        <v>55</v>
      </c>
      <c r="AU367" s="113">
        <v>43</v>
      </c>
      <c r="AV367" s="113">
        <v>40</v>
      </c>
      <c r="AW367" s="113">
        <v>58</v>
      </c>
    </row>
    <row r="368" spans="1:94" s="113" customFormat="1">
      <c r="A368" s="113" t="s">
        <v>437</v>
      </c>
      <c r="B368" s="113" t="s">
        <v>517</v>
      </c>
      <c r="C368" s="114" t="s">
        <v>518</v>
      </c>
      <c r="D368" s="128" t="s">
        <v>87</v>
      </c>
      <c r="E368" s="127" t="s">
        <v>119</v>
      </c>
      <c r="F368" s="126">
        <v>3</v>
      </c>
      <c r="G368" s="126" t="s">
        <v>475</v>
      </c>
      <c r="H368" s="123">
        <v>777.85714285714289</v>
      </c>
      <c r="I368" s="125">
        <v>43.76</v>
      </c>
      <c r="J368" s="123">
        <v>33795</v>
      </c>
      <c r="K368" s="124">
        <v>0.1</v>
      </c>
      <c r="L368" s="123">
        <f t="shared" si="820"/>
        <v>30415.5</v>
      </c>
      <c r="M368" s="122">
        <f t="shared" si="821"/>
        <v>39.10165289256198</v>
      </c>
      <c r="N368" s="118">
        <v>7.24</v>
      </c>
      <c r="O368" s="118">
        <v>6.34</v>
      </c>
      <c r="P368" s="118">
        <v>7.09</v>
      </c>
      <c r="Q368" s="118">
        <v>5.52</v>
      </c>
      <c r="R368" s="118">
        <v>5.76</v>
      </c>
      <c r="S368" s="153">
        <v>4.83</v>
      </c>
      <c r="T368" s="121">
        <f t="shared" si="822"/>
        <v>6.13</v>
      </c>
      <c r="U368" s="113" t="s">
        <v>806</v>
      </c>
      <c r="V368" s="115" t="s">
        <v>214</v>
      </c>
      <c r="W368" s="115"/>
      <c r="X368" s="120">
        <v>0.35</v>
      </c>
      <c r="Y368" s="120"/>
      <c r="Z368" s="118">
        <v>0.52</v>
      </c>
      <c r="AA368" s="119">
        <v>45834</v>
      </c>
      <c r="AB368" s="117">
        <f t="shared" si="823"/>
        <v>49</v>
      </c>
      <c r="AC368" s="117">
        <f t="shared" si="824"/>
        <v>17.149999999999999</v>
      </c>
      <c r="AD368" s="117">
        <f t="shared" si="825"/>
        <v>260.81291249999998</v>
      </c>
      <c r="AE368" s="117">
        <f t="shared" si="826"/>
        <v>5.9600756969835462</v>
      </c>
      <c r="AF368" s="170">
        <f t="shared" si="827"/>
        <v>0.18960760809724089</v>
      </c>
      <c r="AG368" s="265">
        <v>5.0599999999999996</v>
      </c>
      <c r="AH368" s="265">
        <f t="shared" si="765"/>
        <v>0.26551226551226542</v>
      </c>
      <c r="AI368" s="115"/>
      <c r="AJ368" s="118">
        <f t="shared" si="828"/>
        <v>260.81291249999998</v>
      </c>
      <c r="AK368" s="116">
        <f t="shared" si="829"/>
        <v>5.9600756969835462</v>
      </c>
      <c r="AL368" s="116"/>
      <c r="AM368" s="116">
        <f t="shared" si="830"/>
        <v>29.682692307692303</v>
      </c>
      <c r="AN368" s="116"/>
      <c r="AO368" s="116"/>
      <c r="AP368" s="116"/>
      <c r="AQ368" s="236" t="s">
        <v>811</v>
      </c>
      <c r="AR368" s="115" t="s">
        <v>137</v>
      </c>
      <c r="AS368" s="113">
        <v>45</v>
      </c>
      <c r="AT368" s="113">
        <v>53</v>
      </c>
    </row>
    <row r="369" spans="1:64" s="113" customFormat="1">
      <c r="A369" s="113" t="s">
        <v>437</v>
      </c>
      <c r="B369" s="113" t="s">
        <v>517</v>
      </c>
      <c r="C369" s="114" t="s">
        <v>518</v>
      </c>
      <c r="D369" s="128" t="s">
        <v>87</v>
      </c>
      <c r="E369" s="127" t="s">
        <v>119</v>
      </c>
      <c r="F369" s="126">
        <v>3</v>
      </c>
      <c r="G369" s="126" t="s">
        <v>475</v>
      </c>
      <c r="H369" s="123">
        <v>777.85714285714289</v>
      </c>
      <c r="I369" s="125">
        <v>43.76</v>
      </c>
      <c r="J369" s="123">
        <v>33795</v>
      </c>
      <c r="K369" s="124">
        <v>0.1</v>
      </c>
      <c r="L369" s="123">
        <f t="shared" ref="L369" si="831">J369-(J369*K369)</f>
        <v>30415.5</v>
      </c>
      <c r="M369" s="122">
        <f t="shared" ref="M369" si="832">L369/H369</f>
        <v>39.10165289256198</v>
      </c>
      <c r="N369" s="118">
        <v>7.24</v>
      </c>
      <c r="O369" s="118">
        <v>6.34</v>
      </c>
      <c r="P369" s="118">
        <v>7.09</v>
      </c>
      <c r="Q369" s="118">
        <v>5.52</v>
      </c>
      <c r="R369" s="118">
        <v>5.76</v>
      </c>
      <c r="S369" s="153">
        <v>4.83</v>
      </c>
      <c r="T369" s="121">
        <f t="shared" ref="T369" si="833">AVERAGE(N369:S369)</f>
        <v>6.13</v>
      </c>
      <c r="U369" s="113" t="s">
        <v>806</v>
      </c>
      <c r="V369" s="115" t="s">
        <v>214</v>
      </c>
      <c r="W369" s="115"/>
      <c r="X369" s="120">
        <v>0.35</v>
      </c>
      <c r="Y369" s="120"/>
      <c r="Z369" s="118">
        <v>0.52</v>
      </c>
      <c r="AA369" s="119">
        <v>45846</v>
      </c>
      <c r="AB369" s="117">
        <f t="shared" ref="AB369" si="834">IFERROR(AVERAGE(AS369:CP369),0)</f>
        <v>56.533333333333331</v>
      </c>
      <c r="AC369" s="117">
        <f t="shared" ref="AC369" si="835">AB369*X369</f>
        <v>19.786666666666665</v>
      </c>
      <c r="AD369" s="117">
        <f t="shared" ref="AD369" si="836">(AC369*L369)/2000</f>
        <v>300.91068000000001</v>
      </c>
      <c r="AE369" s="117">
        <f t="shared" ref="AE369" si="837">IFERROR((AD369/I369),"")</f>
        <v>6.8763866544789769</v>
      </c>
      <c r="AF369" s="170">
        <f t="shared" ref="AF369" si="838">IFERROR(((AE369-S369)/AE369),"")</f>
        <v>0.29759621692390587</v>
      </c>
      <c r="AG369" s="265">
        <v>5.0599999999999996</v>
      </c>
      <c r="AH369" s="265">
        <f t="shared" si="765"/>
        <v>0.23013150371640934</v>
      </c>
      <c r="AI369" s="115"/>
      <c r="AJ369" s="118">
        <f t="shared" ref="AJ369" si="839">AD369-(AI369*I369)</f>
        <v>300.91068000000001</v>
      </c>
      <c r="AK369" s="116">
        <f t="shared" ref="AK369" si="840">AJ369/I369</f>
        <v>6.8763866544789769</v>
      </c>
      <c r="AL369" s="116"/>
      <c r="AM369" s="116">
        <f t="shared" ref="AM369" si="841">((AJ369*2000)/Z369)/J369</f>
        <v>34.246153846153845</v>
      </c>
      <c r="AN369" s="116"/>
      <c r="AO369" s="116"/>
      <c r="AP369" s="116"/>
      <c r="AQ369" s="236" t="s">
        <v>812</v>
      </c>
      <c r="AR369" s="115" t="s">
        <v>91</v>
      </c>
      <c r="AS369" s="113">
        <v>69</v>
      </c>
      <c r="AT369" s="113">
        <v>52</v>
      </c>
      <c r="AU369" s="113">
        <v>45</v>
      </c>
      <c r="AV369" s="113">
        <v>62</v>
      </c>
      <c r="AW369" s="113">
        <v>49</v>
      </c>
      <c r="AX369" s="113">
        <v>54</v>
      </c>
      <c r="AY369" s="113">
        <v>75</v>
      </c>
      <c r="AZ369" s="113">
        <v>52</v>
      </c>
      <c r="BA369" s="113">
        <v>52</v>
      </c>
      <c r="BB369" s="113">
        <v>65</v>
      </c>
      <c r="BC369" s="113">
        <v>38</v>
      </c>
      <c r="BD369" s="113">
        <v>58</v>
      </c>
      <c r="BE369" s="113">
        <v>66</v>
      </c>
      <c r="BF369" s="113">
        <v>56</v>
      </c>
      <c r="BG369" s="113">
        <v>55</v>
      </c>
    </row>
    <row r="370" spans="1:64" s="113" customFormat="1">
      <c r="A370" s="113" t="s">
        <v>437</v>
      </c>
      <c r="B370" s="113" t="s">
        <v>517</v>
      </c>
      <c r="C370" s="114" t="s">
        <v>518</v>
      </c>
      <c r="D370" s="128" t="s">
        <v>87</v>
      </c>
      <c r="E370" s="127" t="s">
        <v>119</v>
      </c>
      <c r="F370" s="126">
        <v>3</v>
      </c>
      <c r="G370" s="126" t="s">
        <v>475</v>
      </c>
      <c r="H370" s="123">
        <v>777.85714285714289</v>
      </c>
      <c r="I370" s="125">
        <v>43.76</v>
      </c>
      <c r="J370" s="123">
        <v>33795</v>
      </c>
      <c r="K370" s="124">
        <v>0.1</v>
      </c>
      <c r="L370" s="123">
        <f t="shared" ref="L370" si="842">J370-(J370*K370)</f>
        <v>30415.5</v>
      </c>
      <c r="M370" s="122">
        <f t="shared" ref="M370" si="843">L370/H370</f>
        <v>39.10165289256198</v>
      </c>
      <c r="N370" s="118">
        <v>7.24</v>
      </c>
      <c r="O370" s="118">
        <v>6.34</v>
      </c>
      <c r="P370" s="118">
        <v>7.09</v>
      </c>
      <c r="Q370" s="118">
        <v>5.52</v>
      </c>
      <c r="R370" s="118">
        <v>5.76</v>
      </c>
      <c r="S370" s="153">
        <v>4.83</v>
      </c>
      <c r="T370" s="121">
        <f t="shared" ref="T370" si="844">AVERAGE(N370:S370)</f>
        <v>6.13</v>
      </c>
      <c r="U370" s="113" t="s">
        <v>806</v>
      </c>
      <c r="V370" s="115" t="s">
        <v>214</v>
      </c>
      <c r="W370" s="115"/>
      <c r="X370" s="120">
        <v>0.35</v>
      </c>
      <c r="Y370" s="120"/>
      <c r="Z370" s="118">
        <v>0.52</v>
      </c>
      <c r="AA370" s="119">
        <v>45847</v>
      </c>
      <c r="AB370" s="117">
        <f t="shared" ref="AB370" si="845">IFERROR(AVERAGE(AS370:CP370),0)</f>
        <v>65.083333333333329</v>
      </c>
      <c r="AC370" s="117">
        <f t="shared" ref="AC370" si="846">AB370*X370</f>
        <v>22.779166666666665</v>
      </c>
      <c r="AD370" s="117">
        <f t="shared" ref="AD370" si="847">(AC370*L370)/2000</f>
        <v>346.41987187499996</v>
      </c>
      <c r="AE370" s="117">
        <f t="shared" ref="AE370" si="848">IFERROR((AD370/I370),"")</f>
        <v>7.916359046503656</v>
      </c>
      <c r="AF370" s="170">
        <f t="shared" ref="AF370" si="849">IFERROR(((AE370-S370)/AE370),"")</f>
        <v>0.38987102888755143</v>
      </c>
      <c r="AG370" s="265">
        <v>5.0599999999999996</v>
      </c>
      <c r="AH370" s="265">
        <f t="shared" si="765"/>
        <v>0.19989911923330614</v>
      </c>
      <c r="AI370" s="115"/>
      <c r="AJ370" s="118">
        <f t="shared" ref="AJ370" si="850">AD370-(AI370*I370)</f>
        <v>346.41987187499996</v>
      </c>
      <c r="AK370" s="116">
        <f t="shared" ref="AK370" si="851">AJ370/I370</f>
        <v>7.916359046503656</v>
      </c>
      <c r="AL370" s="116"/>
      <c r="AM370" s="116">
        <f t="shared" ref="AM370" si="852">((AJ370*2000)/Z370)/J370</f>
        <v>39.425480769230759</v>
      </c>
      <c r="AN370" s="116"/>
      <c r="AO370" s="116"/>
      <c r="AP370" s="116"/>
      <c r="AQ370" s="236" t="s">
        <v>813</v>
      </c>
      <c r="AR370" s="115" t="s">
        <v>91</v>
      </c>
      <c r="AS370" s="113">
        <v>74</v>
      </c>
      <c r="AT370" s="113">
        <v>70</v>
      </c>
      <c r="AU370" s="113">
        <v>68</v>
      </c>
      <c r="AV370" s="113">
        <v>66</v>
      </c>
      <c r="AW370" s="113">
        <v>63</v>
      </c>
      <c r="AX370" s="113">
        <v>59</v>
      </c>
      <c r="AY370" s="113">
        <v>64</v>
      </c>
      <c r="AZ370" s="113">
        <v>57</v>
      </c>
      <c r="BA370" s="113">
        <v>72</v>
      </c>
      <c r="BB370" s="113">
        <v>67</v>
      </c>
      <c r="BC370" s="113">
        <v>51</v>
      </c>
      <c r="BD370" s="113">
        <v>70</v>
      </c>
    </row>
    <row r="371" spans="1:64" s="63" customFormat="1">
      <c r="A371" s="63" t="s">
        <v>437</v>
      </c>
      <c r="B371" s="63" t="s">
        <v>521</v>
      </c>
      <c r="C371" s="64" t="s">
        <v>522</v>
      </c>
      <c r="D371" s="65" t="s">
        <v>87</v>
      </c>
      <c r="E371" s="66" t="s">
        <v>88</v>
      </c>
      <c r="F371" s="68">
        <v>337</v>
      </c>
      <c r="G371" s="68" t="s">
        <v>475</v>
      </c>
      <c r="H371" s="69">
        <v>777.85714285714289</v>
      </c>
      <c r="I371" s="74">
        <v>43.1</v>
      </c>
      <c r="J371" s="69">
        <v>33260</v>
      </c>
      <c r="K371" s="72"/>
      <c r="L371" s="69">
        <f t="shared" ref="L371:L405" si="853">J371-(J371*K371)</f>
        <v>33260</v>
      </c>
      <c r="M371" s="86">
        <f t="shared" ref="M371:M405" si="854">L371/H371</f>
        <v>42.758494031221304</v>
      </c>
      <c r="N371" s="79">
        <v>5.56</v>
      </c>
      <c r="O371" s="79">
        <v>6.43</v>
      </c>
      <c r="P371" s="79">
        <v>7.97</v>
      </c>
      <c r="Q371" s="79">
        <v>7.01</v>
      </c>
      <c r="R371" s="79">
        <v>8.15</v>
      </c>
      <c r="S371" s="84">
        <v>7.04</v>
      </c>
      <c r="T371" s="85">
        <f t="shared" ref="T371:T379" si="855">AVERAGE(N371:S371)</f>
        <v>7.0266666666666664</v>
      </c>
      <c r="U371" s="63" t="s">
        <v>365</v>
      </c>
      <c r="V371" s="77" t="s">
        <v>103</v>
      </c>
      <c r="W371" s="77"/>
      <c r="X371" s="78">
        <v>0.24</v>
      </c>
      <c r="Y371" s="78"/>
      <c r="Z371" s="79">
        <v>0.33</v>
      </c>
      <c r="AA371" s="80">
        <v>45777</v>
      </c>
      <c r="AB371" s="81">
        <f t="shared" ref="AB371:AB382" si="856">IFERROR(AVERAGE(AS371:CP371),0)</f>
        <v>97.125</v>
      </c>
      <c r="AC371" s="81">
        <f t="shared" ref="AC371:AC379" si="857">AB371*X371</f>
        <v>23.31</v>
      </c>
      <c r="AD371" s="81">
        <f t="shared" ref="AD371:AD405" si="858">(AC371*L371)/2000</f>
        <v>387.64529999999996</v>
      </c>
      <c r="AE371" s="81">
        <f t="shared" ref="AE371:AE382" si="859">IFERROR((AD371/I371),"")</f>
        <v>8.994090487238978</v>
      </c>
      <c r="AF371" s="167">
        <f t="shared" ref="AF371:AF382" si="860">IFERROR(((AE371-S371)/AE371),"")</f>
        <v>0.21726382339731698</v>
      </c>
      <c r="AG371" s="264">
        <v>6.84</v>
      </c>
      <c r="AH371" s="264">
        <f t="shared" si="765"/>
        <v>0.18107363561909015</v>
      </c>
      <c r="AI371" s="77"/>
      <c r="AJ371" s="79">
        <f t="shared" ref="AJ371:AJ405" si="861">AD371-(AI371*I371)</f>
        <v>387.64529999999996</v>
      </c>
      <c r="AK371" s="82">
        <f t="shared" ref="AK371:AK405" si="862">AJ371/I371</f>
        <v>8.994090487238978</v>
      </c>
      <c r="AL371" s="82"/>
      <c r="AM371" s="82">
        <f t="shared" ref="AM371:AM405" si="863">((AJ371*2000)/Z371)/J371</f>
        <v>70.63636363636364</v>
      </c>
      <c r="AN371" s="82"/>
      <c r="AO371" s="82"/>
      <c r="AP371" s="82"/>
      <c r="AR371" s="77" t="s">
        <v>91</v>
      </c>
      <c r="AS371" s="63">
        <v>89</v>
      </c>
      <c r="AT371" s="63">
        <v>113</v>
      </c>
      <c r="AU371" s="63">
        <v>101</v>
      </c>
      <c r="AV371" s="63">
        <v>114</v>
      </c>
      <c r="AW371" s="63">
        <v>99</v>
      </c>
      <c r="AX371" s="63">
        <v>86</v>
      </c>
      <c r="AY371" s="63">
        <v>71</v>
      </c>
      <c r="AZ371" s="63">
        <v>85</v>
      </c>
      <c r="BA371" s="63">
        <v>125</v>
      </c>
      <c r="BB371" s="63">
        <v>117</v>
      </c>
      <c r="BC371" s="63">
        <v>86</v>
      </c>
      <c r="BD371" s="63">
        <v>83</v>
      </c>
      <c r="BE371" s="63">
        <v>114</v>
      </c>
      <c r="BF371" s="63">
        <v>88</v>
      </c>
      <c r="BG371" s="63">
        <v>98</v>
      </c>
      <c r="BH371" s="63">
        <v>85</v>
      </c>
    </row>
    <row r="372" spans="1:64" s="63" customFormat="1">
      <c r="A372" s="63" t="s">
        <v>437</v>
      </c>
      <c r="B372" s="63" t="s">
        <v>521</v>
      </c>
      <c r="C372" s="64" t="s">
        <v>522</v>
      </c>
      <c r="D372" s="65" t="s">
        <v>87</v>
      </c>
      <c r="E372" s="66" t="s">
        <v>88</v>
      </c>
      <c r="F372" s="68">
        <v>337</v>
      </c>
      <c r="G372" s="68" t="s">
        <v>475</v>
      </c>
      <c r="H372" s="69">
        <v>777.85714285714289</v>
      </c>
      <c r="I372" s="74">
        <v>43.1</v>
      </c>
      <c r="J372" s="69">
        <v>33260</v>
      </c>
      <c r="K372" s="72"/>
      <c r="L372" s="69">
        <f t="shared" si="853"/>
        <v>33260</v>
      </c>
      <c r="M372" s="86">
        <f t="shared" si="854"/>
        <v>42.758494031221304</v>
      </c>
      <c r="N372" s="79">
        <v>5.56</v>
      </c>
      <c r="O372" s="79">
        <v>6.43</v>
      </c>
      <c r="P372" s="79">
        <v>7.97</v>
      </c>
      <c r="Q372" s="79">
        <v>7.01</v>
      </c>
      <c r="R372" s="79">
        <v>8.15</v>
      </c>
      <c r="S372" s="84">
        <v>7.04</v>
      </c>
      <c r="T372" s="85">
        <f t="shared" si="855"/>
        <v>7.0266666666666664</v>
      </c>
      <c r="U372" s="63" t="s">
        <v>365</v>
      </c>
      <c r="V372" s="77" t="s">
        <v>103</v>
      </c>
      <c r="W372" s="77"/>
      <c r="X372" s="78">
        <v>0.24</v>
      </c>
      <c r="Y372" s="78"/>
      <c r="Z372" s="79">
        <v>0.33</v>
      </c>
      <c r="AA372" s="80">
        <v>45798</v>
      </c>
      <c r="AB372" s="81">
        <f t="shared" si="856"/>
        <v>94.222222222222229</v>
      </c>
      <c r="AC372" s="81">
        <f t="shared" si="857"/>
        <v>22.613333333333333</v>
      </c>
      <c r="AD372" s="81">
        <f t="shared" si="858"/>
        <v>376.05973333333333</v>
      </c>
      <c r="AE372" s="81">
        <f t="shared" si="859"/>
        <v>8.7252838360402158</v>
      </c>
      <c r="AF372" s="167">
        <f t="shared" si="860"/>
        <v>0.19314945710752326</v>
      </c>
      <c r="AG372" s="264">
        <v>6.84</v>
      </c>
      <c r="AH372" s="264">
        <f t="shared" si="765"/>
        <v>0.18665211289568062</v>
      </c>
      <c r="AI372" s="77"/>
      <c r="AJ372" s="79">
        <f t="shared" si="861"/>
        <v>376.05973333333333</v>
      </c>
      <c r="AK372" s="82">
        <f t="shared" si="862"/>
        <v>8.7252838360402158</v>
      </c>
      <c r="AL372" s="82"/>
      <c r="AM372" s="82">
        <f t="shared" si="863"/>
        <v>68.525252525252526</v>
      </c>
      <c r="AN372" s="82"/>
      <c r="AO372" s="82"/>
      <c r="AP372" s="82"/>
      <c r="AR372" s="77" t="s">
        <v>91</v>
      </c>
      <c r="AS372" s="63">
        <v>116</v>
      </c>
      <c r="AT372" s="63">
        <v>85</v>
      </c>
      <c r="AU372" s="63">
        <v>82</v>
      </c>
      <c r="AV372" s="63">
        <v>108</v>
      </c>
      <c r="AW372" s="63">
        <v>88</v>
      </c>
      <c r="AX372" s="63">
        <v>102</v>
      </c>
      <c r="AY372" s="63">
        <v>110</v>
      </c>
      <c r="AZ372" s="63">
        <v>77</v>
      </c>
      <c r="BA372" s="63">
        <v>80</v>
      </c>
    </row>
    <row r="373" spans="1:64" s="113" customFormat="1">
      <c r="A373" s="113" t="s">
        <v>437</v>
      </c>
      <c r="B373" s="126" t="s">
        <v>523</v>
      </c>
      <c r="C373" s="114" t="s">
        <v>524</v>
      </c>
      <c r="D373" s="128" t="s">
        <v>87</v>
      </c>
      <c r="E373" s="127" t="s">
        <v>88</v>
      </c>
      <c r="F373" s="126">
        <v>8</v>
      </c>
      <c r="G373" s="126" t="s">
        <v>90</v>
      </c>
      <c r="H373" s="123">
        <v>622.28571428571433</v>
      </c>
      <c r="I373" s="125">
        <v>49.01</v>
      </c>
      <c r="J373" s="123">
        <v>30330</v>
      </c>
      <c r="K373" s="124">
        <v>0.03</v>
      </c>
      <c r="L373" s="123">
        <f t="shared" si="853"/>
        <v>29420.1</v>
      </c>
      <c r="M373" s="122">
        <f t="shared" si="854"/>
        <v>47.277479338842966</v>
      </c>
      <c r="N373" s="118">
        <v>6.24</v>
      </c>
      <c r="O373" s="118">
        <v>8.1</v>
      </c>
      <c r="P373" s="118">
        <v>9.23</v>
      </c>
      <c r="Q373" s="118">
        <v>8.9</v>
      </c>
      <c r="R373" s="118">
        <v>12.08</v>
      </c>
      <c r="S373" s="153">
        <v>9.0299999999999994</v>
      </c>
      <c r="T373" s="121">
        <f t="shared" si="855"/>
        <v>8.93</v>
      </c>
      <c r="V373" s="115" t="s">
        <v>103</v>
      </c>
      <c r="W373" s="115"/>
      <c r="X373" s="120">
        <v>0.28999999999999998</v>
      </c>
      <c r="Y373" s="120"/>
      <c r="Z373" s="118">
        <v>0.33</v>
      </c>
      <c r="AA373" s="119">
        <v>45796</v>
      </c>
      <c r="AB373" s="117">
        <f t="shared" si="856"/>
        <v>156.91666666666666</v>
      </c>
      <c r="AC373" s="117">
        <f t="shared" si="857"/>
        <v>45.505833333333328</v>
      </c>
      <c r="AD373" s="117">
        <f t="shared" si="858"/>
        <v>669.3930836249998</v>
      </c>
      <c r="AE373" s="117">
        <f t="shared" si="859"/>
        <v>13.65829593195266</v>
      </c>
      <c r="AF373" s="170">
        <f t="shared" si="860"/>
        <v>0.33886335125636535</v>
      </c>
      <c r="AG373" s="265">
        <v>10.67</v>
      </c>
      <c r="AH373" s="265">
        <f t="shared" si="765"/>
        <v>0.21854230032668692</v>
      </c>
      <c r="AI373" s="115"/>
      <c r="AJ373" s="118">
        <f t="shared" si="861"/>
        <v>669.3930836249998</v>
      </c>
      <c r="AK373" s="116">
        <f t="shared" si="862"/>
        <v>13.65829593195266</v>
      </c>
      <c r="AL373" s="116"/>
      <c r="AM373" s="116">
        <f t="shared" si="863"/>
        <v>133.75957070707068</v>
      </c>
      <c r="AN373" s="116"/>
      <c r="AO373" s="116"/>
      <c r="AP373" s="116"/>
      <c r="AR373" s="115" t="s">
        <v>91</v>
      </c>
      <c r="AS373" s="113">
        <v>167</v>
      </c>
      <c r="AT373" s="113">
        <v>207</v>
      </c>
      <c r="AU373" s="113">
        <v>119</v>
      </c>
      <c r="AV373" s="113">
        <v>117</v>
      </c>
      <c r="AW373" s="113">
        <v>151</v>
      </c>
      <c r="AX373" s="113">
        <v>144</v>
      </c>
      <c r="AY373" s="113">
        <v>167</v>
      </c>
      <c r="AZ373" s="113">
        <v>168</v>
      </c>
      <c r="BA373" s="113">
        <v>147</v>
      </c>
      <c r="BB373" s="113">
        <v>185</v>
      </c>
      <c r="BC373" s="113">
        <v>165</v>
      </c>
      <c r="BD373" s="113">
        <v>146</v>
      </c>
    </row>
    <row r="374" spans="1:64" s="63" customFormat="1">
      <c r="A374" s="63" t="s">
        <v>437</v>
      </c>
      <c r="B374" s="68" t="s">
        <v>525</v>
      </c>
      <c r="C374" s="64" t="s">
        <v>526</v>
      </c>
      <c r="D374" s="65" t="s">
        <v>87</v>
      </c>
      <c r="E374" s="66" t="s">
        <v>119</v>
      </c>
      <c r="F374" s="68">
        <v>3</v>
      </c>
      <c r="G374" s="68" t="s">
        <v>527</v>
      </c>
      <c r="H374" s="69">
        <v>806.66666666666663</v>
      </c>
      <c r="I374" s="74">
        <v>49.52</v>
      </c>
      <c r="J374" s="69">
        <v>39630</v>
      </c>
      <c r="K374" s="72"/>
      <c r="L374" s="69">
        <f t="shared" si="853"/>
        <v>39630</v>
      </c>
      <c r="M374" s="86">
        <f t="shared" si="854"/>
        <v>49.128099173553721</v>
      </c>
      <c r="N374" s="79">
        <v>4.5</v>
      </c>
      <c r="O374" s="79">
        <v>5.55</v>
      </c>
      <c r="P374" s="79">
        <v>7.61</v>
      </c>
      <c r="Q374" s="79">
        <v>8.7200000000000006</v>
      </c>
      <c r="R374" s="79">
        <v>7.39</v>
      </c>
      <c r="S374" s="84">
        <v>5.81</v>
      </c>
      <c r="T374" s="85">
        <f t="shared" si="855"/>
        <v>6.5966666666666676</v>
      </c>
      <c r="U374" s="63" t="s">
        <v>365</v>
      </c>
      <c r="V374" s="77" t="s">
        <v>103</v>
      </c>
      <c r="W374" s="77"/>
      <c r="X374" s="78">
        <v>0.4</v>
      </c>
      <c r="Y374" s="78"/>
      <c r="Z374" s="79">
        <v>0.52</v>
      </c>
      <c r="AA374" s="80">
        <v>45786</v>
      </c>
      <c r="AB374" s="81">
        <f t="shared" si="856"/>
        <v>39.5</v>
      </c>
      <c r="AC374" s="81">
        <f t="shared" si="857"/>
        <v>15.8</v>
      </c>
      <c r="AD374" s="81">
        <f t="shared" si="858"/>
        <v>313.077</v>
      </c>
      <c r="AE374" s="81">
        <f t="shared" si="859"/>
        <v>6.3222334410339256</v>
      </c>
      <c r="AF374" s="167">
        <f t="shared" si="860"/>
        <v>8.1020962894112356E-2</v>
      </c>
      <c r="AG374" s="264">
        <v>4.6900000000000004</v>
      </c>
      <c r="AH374" s="264">
        <f t="shared" si="765"/>
        <v>0.29438225755832204</v>
      </c>
      <c r="AI374" s="77">
        <v>8</v>
      </c>
      <c r="AJ374" s="79">
        <f t="shared" si="861"/>
        <v>-83.083000000000027</v>
      </c>
      <c r="AK374" s="82">
        <f t="shared" si="862"/>
        <v>-1.6777665589660749</v>
      </c>
      <c r="AL374" s="82"/>
      <c r="AM374" s="82">
        <f t="shared" si="863"/>
        <v>-8.0633358566742395</v>
      </c>
      <c r="AN374" s="82" t="s">
        <v>814</v>
      </c>
      <c r="AO374" s="82"/>
      <c r="AP374" s="82"/>
      <c r="AR374" s="77" t="s">
        <v>165</v>
      </c>
      <c r="AS374" s="63">
        <v>44</v>
      </c>
      <c r="AT374" s="63">
        <v>39</v>
      </c>
      <c r="AU374" s="63">
        <v>33</v>
      </c>
      <c r="AV374" s="63">
        <v>46</v>
      </c>
      <c r="AW374" s="63">
        <v>53</v>
      </c>
      <c r="AX374" s="63">
        <v>30</v>
      </c>
      <c r="AY374" s="63">
        <v>59</v>
      </c>
      <c r="AZ374" s="63">
        <v>42</v>
      </c>
      <c r="BA374" s="63">
        <v>35</v>
      </c>
      <c r="BB374" s="63">
        <v>39</v>
      </c>
      <c r="BC374" s="63">
        <v>52</v>
      </c>
      <c r="BD374" s="63">
        <v>31</v>
      </c>
      <c r="BE374" s="63">
        <v>43</v>
      </c>
      <c r="BF374" s="63">
        <v>30</v>
      </c>
      <c r="BG374" s="63">
        <v>32</v>
      </c>
      <c r="BH374" s="63">
        <v>36</v>
      </c>
      <c r="BI374" s="63">
        <v>41</v>
      </c>
      <c r="BJ374" s="63">
        <v>30</v>
      </c>
      <c r="BK374" s="63">
        <v>36</v>
      </c>
      <c r="BL374" s="63">
        <v>39</v>
      </c>
    </row>
    <row r="375" spans="1:64" s="63" customFormat="1">
      <c r="A375" s="63" t="s">
        <v>437</v>
      </c>
      <c r="B375" s="68" t="s">
        <v>525</v>
      </c>
      <c r="C375" s="64" t="s">
        <v>526</v>
      </c>
      <c r="D375" s="65" t="s">
        <v>87</v>
      </c>
      <c r="E375" s="66" t="s">
        <v>119</v>
      </c>
      <c r="F375" s="68">
        <v>3</v>
      </c>
      <c r="G375" s="68" t="s">
        <v>527</v>
      </c>
      <c r="H375" s="69">
        <v>806.66666666666663</v>
      </c>
      <c r="I375" s="74">
        <v>49.52</v>
      </c>
      <c r="J375" s="69">
        <v>39630</v>
      </c>
      <c r="K375" s="72"/>
      <c r="L375" s="69">
        <f t="shared" si="853"/>
        <v>39630</v>
      </c>
      <c r="M375" s="86">
        <f t="shared" si="854"/>
        <v>49.128099173553721</v>
      </c>
      <c r="N375" s="79">
        <v>4.5</v>
      </c>
      <c r="O375" s="79">
        <v>5.55</v>
      </c>
      <c r="P375" s="79">
        <v>7.61</v>
      </c>
      <c r="Q375" s="79">
        <v>8.7200000000000006</v>
      </c>
      <c r="R375" s="79">
        <v>7.39</v>
      </c>
      <c r="S375" s="84">
        <v>5.81</v>
      </c>
      <c r="T375" s="85">
        <f t="shared" si="855"/>
        <v>6.5966666666666676</v>
      </c>
      <c r="U375" s="63" t="s">
        <v>365</v>
      </c>
      <c r="V375" s="77" t="s">
        <v>103</v>
      </c>
      <c r="W375" s="77"/>
      <c r="X375" s="78">
        <v>0.4</v>
      </c>
      <c r="Y375" s="78"/>
      <c r="Z375" s="79">
        <v>0.52</v>
      </c>
      <c r="AA375" s="80">
        <v>45796</v>
      </c>
      <c r="AB375" s="81">
        <f t="shared" si="856"/>
        <v>68.294117647058826</v>
      </c>
      <c r="AC375" s="81">
        <f t="shared" si="857"/>
        <v>27.317647058823532</v>
      </c>
      <c r="AD375" s="81">
        <f t="shared" si="858"/>
        <v>541.29917647058835</v>
      </c>
      <c r="AE375" s="81">
        <f t="shared" si="859"/>
        <v>10.93092036491495</v>
      </c>
      <c r="AF375" s="167">
        <f t="shared" si="860"/>
        <v>0.46848025545512195</v>
      </c>
      <c r="AG375" s="264">
        <v>4.6900000000000004</v>
      </c>
      <c r="AH375" s="264">
        <f t="shared" si="765"/>
        <v>0.17026501804514493</v>
      </c>
      <c r="AI375" s="77">
        <v>8</v>
      </c>
      <c r="AJ375" s="79">
        <f t="shared" si="861"/>
        <v>145.13917647058832</v>
      </c>
      <c r="AK375" s="82">
        <f t="shared" si="862"/>
        <v>2.9309203649149498</v>
      </c>
      <c r="AL375" s="82"/>
      <c r="AM375" s="82">
        <f t="shared" si="863"/>
        <v>14.085985410294095</v>
      </c>
      <c r="AN375" s="82" t="s">
        <v>814</v>
      </c>
      <c r="AO375" s="82"/>
      <c r="AP375" s="82"/>
      <c r="AQ375" s="176"/>
      <c r="AR375" s="77" t="s">
        <v>91</v>
      </c>
      <c r="AS375" s="63">
        <v>67</v>
      </c>
      <c r="AT375" s="63">
        <v>71</v>
      </c>
      <c r="AU375" s="63">
        <v>45</v>
      </c>
      <c r="AV375" s="63">
        <v>71</v>
      </c>
      <c r="AW375" s="63">
        <v>69</v>
      </c>
      <c r="AX375" s="63">
        <v>74</v>
      </c>
      <c r="AY375" s="63">
        <v>73</v>
      </c>
      <c r="AZ375" s="63">
        <v>71</v>
      </c>
      <c r="BA375" s="63">
        <v>63</v>
      </c>
      <c r="BB375" s="63">
        <v>41</v>
      </c>
      <c r="BC375" s="63">
        <v>87</v>
      </c>
      <c r="BD375" s="63">
        <v>76</v>
      </c>
      <c r="BE375" s="63">
        <v>82</v>
      </c>
      <c r="BF375" s="63">
        <v>53</v>
      </c>
      <c r="BG375" s="63">
        <v>79</v>
      </c>
      <c r="BH375" s="63">
        <v>57</v>
      </c>
      <c r="BI375" s="63">
        <v>82</v>
      </c>
    </row>
    <row r="376" spans="1:64" s="63" customFormat="1">
      <c r="A376" s="63" t="s">
        <v>437</v>
      </c>
      <c r="B376" s="68" t="s">
        <v>525</v>
      </c>
      <c r="C376" s="64" t="s">
        <v>526</v>
      </c>
      <c r="D376" s="65" t="s">
        <v>87</v>
      </c>
      <c r="E376" s="66" t="s">
        <v>119</v>
      </c>
      <c r="F376" s="68">
        <v>3</v>
      </c>
      <c r="G376" s="68" t="s">
        <v>527</v>
      </c>
      <c r="H376" s="69">
        <v>806.66666666666663</v>
      </c>
      <c r="I376" s="74">
        <v>49.52</v>
      </c>
      <c r="J376" s="69">
        <v>39630</v>
      </c>
      <c r="K376" s="72"/>
      <c r="L376" s="69">
        <f t="shared" si="853"/>
        <v>39630</v>
      </c>
      <c r="M376" s="86">
        <f t="shared" si="854"/>
        <v>49.128099173553721</v>
      </c>
      <c r="N376" s="79">
        <v>4.5</v>
      </c>
      <c r="O376" s="79">
        <v>5.55</v>
      </c>
      <c r="P376" s="79">
        <v>7.61</v>
      </c>
      <c r="Q376" s="79">
        <v>8.7200000000000006</v>
      </c>
      <c r="R376" s="79">
        <v>7.39</v>
      </c>
      <c r="S376" s="84">
        <v>5.81</v>
      </c>
      <c r="T376" s="85">
        <f t="shared" si="855"/>
        <v>6.5966666666666676</v>
      </c>
      <c r="U376" s="63" t="s">
        <v>365</v>
      </c>
      <c r="V376" s="77" t="s">
        <v>103</v>
      </c>
      <c r="W376" s="77"/>
      <c r="X376" s="78">
        <v>0.4</v>
      </c>
      <c r="Y376" s="78"/>
      <c r="Z376" s="79">
        <v>0.52</v>
      </c>
      <c r="AA376" s="80">
        <v>45819</v>
      </c>
      <c r="AB376" s="81">
        <f t="shared" si="856"/>
        <v>61.714285714285715</v>
      </c>
      <c r="AC376" s="81">
        <f t="shared" si="857"/>
        <v>24.685714285714287</v>
      </c>
      <c r="AD376" s="81">
        <f t="shared" si="858"/>
        <v>489.14742857142858</v>
      </c>
      <c r="AE376" s="81">
        <f t="shared" si="859"/>
        <v>9.8777752134779586</v>
      </c>
      <c r="AF376" s="167">
        <f t="shared" si="860"/>
        <v>0.41181087092643992</v>
      </c>
      <c r="AG376" s="264">
        <v>4.6900000000000004</v>
      </c>
      <c r="AH376" s="264">
        <f t="shared" si="765"/>
        <v>0.18841827364554642</v>
      </c>
      <c r="AI376" s="77">
        <v>8</v>
      </c>
      <c r="AJ376" s="79">
        <f t="shared" si="861"/>
        <v>92.987428571428552</v>
      </c>
      <c r="AK376" s="82">
        <f t="shared" si="862"/>
        <v>1.8777752134779593</v>
      </c>
      <c r="AL376" s="82"/>
      <c r="AM376" s="82">
        <f t="shared" si="863"/>
        <v>9.0245762312378481</v>
      </c>
      <c r="AN376" s="82" t="s">
        <v>814</v>
      </c>
      <c r="AO376" s="82"/>
      <c r="AP376" s="82"/>
      <c r="AQ376" s="176" t="s">
        <v>815</v>
      </c>
      <c r="AR376" s="77" t="s">
        <v>91</v>
      </c>
      <c r="AS376" s="63">
        <v>66</v>
      </c>
      <c r="AT376" s="63">
        <v>62</v>
      </c>
      <c r="AU376" s="63">
        <v>57</v>
      </c>
      <c r="AV376" s="63">
        <v>61</v>
      </c>
      <c r="AW376" s="63">
        <v>56</v>
      </c>
      <c r="AX376" s="63">
        <v>63</v>
      </c>
      <c r="AY376" s="63">
        <v>66</v>
      </c>
      <c r="AZ376" s="63">
        <v>52</v>
      </c>
      <c r="BA376" s="63">
        <v>62</v>
      </c>
      <c r="BB376" s="63">
        <v>69</v>
      </c>
      <c r="BC376" s="63">
        <v>62</v>
      </c>
      <c r="BD376" s="63">
        <v>62</v>
      </c>
      <c r="BE376" s="63">
        <v>69</v>
      </c>
      <c r="BF376" s="63">
        <v>57</v>
      </c>
    </row>
    <row r="377" spans="1:64" s="63" customFormat="1">
      <c r="A377" s="63" t="s">
        <v>437</v>
      </c>
      <c r="B377" s="68" t="s">
        <v>525</v>
      </c>
      <c r="C377" s="64" t="s">
        <v>526</v>
      </c>
      <c r="D377" s="65" t="s">
        <v>87</v>
      </c>
      <c r="E377" s="66" t="s">
        <v>119</v>
      </c>
      <c r="F377" s="68">
        <v>3</v>
      </c>
      <c r="G377" s="68" t="s">
        <v>527</v>
      </c>
      <c r="H377" s="69">
        <v>806.66666666666663</v>
      </c>
      <c r="I377" s="74">
        <v>49.52</v>
      </c>
      <c r="J377" s="69">
        <v>39630</v>
      </c>
      <c r="K377" s="72"/>
      <c r="L377" s="69">
        <f t="shared" si="853"/>
        <v>39630</v>
      </c>
      <c r="M377" s="86">
        <f t="shared" si="854"/>
        <v>49.128099173553721</v>
      </c>
      <c r="N377" s="79">
        <v>4.5</v>
      </c>
      <c r="O377" s="79">
        <v>5.55</v>
      </c>
      <c r="P377" s="79">
        <v>7.61</v>
      </c>
      <c r="Q377" s="79">
        <v>8.7200000000000006</v>
      </c>
      <c r="R377" s="79">
        <v>7.39</v>
      </c>
      <c r="S377" s="84">
        <v>5.81</v>
      </c>
      <c r="T377" s="85">
        <f t="shared" si="855"/>
        <v>6.5966666666666676</v>
      </c>
      <c r="U377" s="63" t="s">
        <v>816</v>
      </c>
      <c r="V377" s="77" t="s">
        <v>103</v>
      </c>
      <c r="W377" s="77"/>
      <c r="X377" s="78">
        <v>0.38</v>
      </c>
      <c r="Y377" s="78"/>
      <c r="Z377" s="79">
        <v>0.52</v>
      </c>
      <c r="AA377" s="80">
        <v>45834</v>
      </c>
      <c r="AB377" s="81">
        <f t="shared" si="856"/>
        <v>50.333333333333336</v>
      </c>
      <c r="AC377" s="81">
        <f t="shared" si="857"/>
        <v>19.126666666666669</v>
      </c>
      <c r="AD377" s="81">
        <f t="shared" si="858"/>
        <v>378.99490000000003</v>
      </c>
      <c r="AE377" s="81">
        <f t="shared" si="859"/>
        <v>7.6533703554119548</v>
      </c>
      <c r="AF377" s="167">
        <f t="shared" si="860"/>
        <v>0.24085733079785512</v>
      </c>
      <c r="AG377" s="264">
        <v>4.6900000000000004</v>
      </c>
      <c r="AH377" s="264">
        <f t="shared" si="765"/>
        <v>0.23102183788517325</v>
      </c>
      <c r="AI377" s="77">
        <v>8</v>
      </c>
      <c r="AJ377" s="79">
        <f t="shared" si="861"/>
        <v>-17.165099999999995</v>
      </c>
      <c r="AK377" s="82">
        <f t="shared" si="862"/>
        <v>-0.34662964458804513</v>
      </c>
      <c r="AL377" s="82"/>
      <c r="AM377" s="82">
        <f t="shared" si="863"/>
        <v>-1.6658999592383386</v>
      </c>
      <c r="AN377" s="82" t="s">
        <v>814</v>
      </c>
      <c r="AO377" s="82"/>
      <c r="AP377" s="82"/>
      <c r="AQ377" s="176" t="s">
        <v>817</v>
      </c>
      <c r="AR377" s="77" t="s">
        <v>91</v>
      </c>
      <c r="AS377" s="63">
        <v>47</v>
      </c>
      <c r="AT377" s="63">
        <v>60</v>
      </c>
      <c r="AU377" s="63">
        <v>47</v>
      </c>
      <c r="AV377" s="63">
        <v>51</v>
      </c>
      <c r="AW377" s="63">
        <v>60</v>
      </c>
      <c r="AX377" s="63">
        <v>51</v>
      </c>
      <c r="AY377" s="63">
        <v>46</v>
      </c>
      <c r="AZ377" s="63">
        <v>56</v>
      </c>
      <c r="BA377" s="63">
        <v>50</v>
      </c>
      <c r="BB377" s="63">
        <v>42</v>
      </c>
      <c r="BC377" s="63">
        <v>50</v>
      </c>
      <c r="BD377" s="63">
        <v>44</v>
      </c>
    </row>
    <row r="378" spans="1:64" s="63" customFormat="1">
      <c r="A378" s="63" t="s">
        <v>437</v>
      </c>
      <c r="B378" s="68" t="s">
        <v>525</v>
      </c>
      <c r="C378" s="64" t="s">
        <v>526</v>
      </c>
      <c r="D378" s="65" t="s">
        <v>87</v>
      </c>
      <c r="E378" s="66" t="s">
        <v>119</v>
      </c>
      <c r="F378" s="68">
        <v>3</v>
      </c>
      <c r="G378" s="68" t="s">
        <v>527</v>
      </c>
      <c r="H378" s="69">
        <v>806.66666666666663</v>
      </c>
      <c r="I378" s="74">
        <v>49.52</v>
      </c>
      <c r="J378" s="69">
        <v>39630</v>
      </c>
      <c r="K378" s="72"/>
      <c r="L378" s="69">
        <f t="shared" si="853"/>
        <v>39630</v>
      </c>
      <c r="M378" s="86">
        <f t="shared" si="854"/>
        <v>49.128099173553721</v>
      </c>
      <c r="N378" s="79">
        <v>4.5</v>
      </c>
      <c r="O378" s="79">
        <v>5.55</v>
      </c>
      <c r="P378" s="79">
        <v>7.61</v>
      </c>
      <c r="Q378" s="79">
        <v>8.7200000000000006</v>
      </c>
      <c r="R378" s="79">
        <v>7.39</v>
      </c>
      <c r="S378" s="84">
        <v>5.81</v>
      </c>
      <c r="T378" s="85">
        <f t="shared" si="855"/>
        <v>6.5966666666666676</v>
      </c>
      <c r="U378" s="63" t="s">
        <v>816</v>
      </c>
      <c r="V378" s="77" t="s">
        <v>103</v>
      </c>
      <c r="W378" s="77"/>
      <c r="X378" s="78">
        <v>0.4</v>
      </c>
      <c r="Y378" s="78"/>
      <c r="Z378" s="79">
        <v>0.52</v>
      </c>
      <c r="AA378" s="80">
        <v>45834</v>
      </c>
      <c r="AB378" s="81">
        <f t="shared" si="856"/>
        <v>54.333333333333336</v>
      </c>
      <c r="AC378" s="81">
        <f t="shared" si="857"/>
        <v>21.733333333333334</v>
      </c>
      <c r="AD378" s="81">
        <f t="shared" si="858"/>
        <v>430.64600000000002</v>
      </c>
      <c r="AE378" s="81">
        <f t="shared" si="859"/>
        <v>8.696405492730209</v>
      </c>
      <c r="AF378" s="167">
        <f t="shared" si="860"/>
        <v>0.33190787793222271</v>
      </c>
      <c r="AG378" s="264">
        <v>4.6900000000000004</v>
      </c>
      <c r="AH378" s="264">
        <f t="shared" si="765"/>
        <v>0.21401409521878015</v>
      </c>
      <c r="AI378" s="77">
        <v>8</v>
      </c>
      <c r="AJ378" s="79">
        <f t="shared" si="861"/>
        <v>34.48599999999999</v>
      </c>
      <c r="AK378" s="82">
        <f t="shared" si="862"/>
        <v>0.6964054927302098</v>
      </c>
      <c r="AL378" s="82"/>
      <c r="AM378" s="82">
        <f t="shared" si="863"/>
        <v>3.3469205535821724</v>
      </c>
      <c r="AN378" s="82" t="s">
        <v>814</v>
      </c>
      <c r="AO378" s="82"/>
      <c r="AP378" s="82"/>
      <c r="AQ378" s="176" t="s">
        <v>818</v>
      </c>
      <c r="AR378" s="77" t="s">
        <v>91</v>
      </c>
      <c r="AS378" s="63">
        <v>55</v>
      </c>
      <c r="AT378" s="63">
        <v>60</v>
      </c>
      <c r="AU378" s="63">
        <v>51</v>
      </c>
      <c r="AV378" s="63">
        <v>62</v>
      </c>
      <c r="AW378" s="63">
        <v>64</v>
      </c>
      <c r="AX378" s="63">
        <v>42</v>
      </c>
      <c r="AY378" s="63">
        <v>64</v>
      </c>
      <c r="AZ378" s="63">
        <v>53</v>
      </c>
      <c r="BA378" s="63">
        <v>44</v>
      </c>
      <c r="BB378" s="63">
        <v>58</v>
      </c>
      <c r="BC378" s="63">
        <v>66</v>
      </c>
      <c r="BD378" s="63">
        <v>33</v>
      </c>
    </row>
    <row r="379" spans="1:64" s="63" customFormat="1">
      <c r="A379" s="63" t="s">
        <v>437</v>
      </c>
      <c r="B379" s="68" t="s">
        <v>525</v>
      </c>
      <c r="C379" s="64" t="s">
        <v>526</v>
      </c>
      <c r="D379" s="65" t="s">
        <v>87</v>
      </c>
      <c r="E379" s="66" t="s">
        <v>119</v>
      </c>
      <c r="F379" s="68">
        <v>3</v>
      </c>
      <c r="G379" s="68" t="s">
        <v>527</v>
      </c>
      <c r="H379" s="69">
        <v>806.66666666666663</v>
      </c>
      <c r="I379" s="74">
        <v>49.52</v>
      </c>
      <c r="J379" s="69">
        <v>39630</v>
      </c>
      <c r="K379" s="72"/>
      <c r="L379" s="69">
        <f t="shared" si="853"/>
        <v>39630</v>
      </c>
      <c r="M379" s="86">
        <f t="shared" si="854"/>
        <v>49.128099173553721</v>
      </c>
      <c r="N379" s="79">
        <v>4.5</v>
      </c>
      <c r="O379" s="79">
        <v>5.55</v>
      </c>
      <c r="P379" s="79">
        <v>7.61</v>
      </c>
      <c r="Q379" s="79">
        <v>8.7200000000000006</v>
      </c>
      <c r="R379" s="79">
        <v>7.39</v>
      </c>
      <c r="S379" s="84">
        <v>5.81</v>
      </c>
      <c r="T379" s="85">
        <f t="shared" si="855"/>
        <v>6.5966666666666676</v>
      </c>
      <c r="U379" s="63" t="s">
        <v>806</v>
      </c>
      <c r="V379" s="77" t="s">
        <v>103</v>
      </c>
      <c r="W379" s="77"/>
      <c r="X379" s="78">
        <v>0.4</v>
      </c>
      <c r="Y379" s="78"/>
      <c r="Z379" s="79">
        <v>0.52</v>
      </c>
      <c r="AA379" s="80">
        <v>45834</v>
      </c>
      <c r="AB379" s="81">
        <f t="shared" si="856"/>
        <v>46.444444444444443</v>
      </c>
      <c r="AC379" s="81">
        <f t="shared" si="857"/>
        <v>18.577777777777779</v>
      </c>
      <c r="AD379" s="81">
        <f t="shared" si="858"/>
        <v>368.11866666666668</v>
      </c>
      <c r="AE379" s="81">
        <f t="shared" si="859"/>
        <v>7.433737210554658</v>
      </c>
      <c r="AF379" s="167">
        <f t="shared" si="860"/>
        <v>0.21842811557142811</v>
      </c>
      <c r="AG379" s="264">
        <v>4.6900000000000004</v>
      </c>
      <c r="AH379" s="264">
        <f t="shared" si="765"/>
        <v>0.25036577167938634</v>
      </c>
      <c r="AI379" s="77">
        <v>8</v>
      </c>
      <c r="AJ379" s="79">
        <f t="shared" si="861"/>
        <v>-28.041333333333341</v>
      </c>
      <c r="AK379" s="82">
        <f t="shared" si="862"/>
        <v>-0.56626278944534203</v>
      </c>
      <c r="AL379" s="82"/>
      <c r="AM379" s="82">
        <f t="shared" si="863"/>
        <v>-2.7214555147938957</v>
      </c>
      <c r="AN379" s="82" t="s">
        <v>814</v>
      </c>
      <c r="AO379" s="82"/>
      <c r="AP379" s="82"/>
      <c r="AQ379" s="176" t="s">
        <v>806</v>
      </c>
      <c r="AR379" s="77" t="s">
        <v>137</v>
      </c>
      <c r="AS379" s="63">
        <v>45</v>
      </c>
      <c r="AT379" s="63">
        <v>42</v>
      </c>
      <c r="AU379" s="63">
        <v>48</v>
      </c>
      <c r="AV379" s="63">
        <v>38</v>
      </c>
      <c r="AW379" s="63">
        <v>57</v>
      </c>
      <c r="AX379" s="63">
        <v>55</v>
      </c>
      <c r="AY379" s="63">
        <v>47</v>
      </c>
      <c r="AZ379" s="63">
        <v>40</v>
      </c>
      <c r="BA379" s="63">
        <v>46</v>
      </c>
    </row>
    <row r="380" spans="1:64" s="63" customFormat="1">
      <c r="A380" s="63" t="s">
        <v>437</v>
      </c>
      <c r="B380" s="68" t="s">
        <v>525</v>
      </c>
      <c r="C380" s="64" t="s">
        <v>526</v>
      </c>
      <c r="D380" s="65" t="s">
        <v>87</v>
      </c>
      <c r="E380" s="66" t="s">
        <v>119</v>
      </c>
      <c r="F380" s="68">
        <v>3</v>
      </c>
      <c r="G380" s="68" t="s">
        <v>527</v>
      </c>
      <c r="H380" s="69">
        <v>806.66666666666663</v>
      </c>
      <c r="I380" s="74">
        <v>49.52</v>
      </c>
      <c r="J380" s="69">
        <v>39630</v>
      </c>
      <c r="K380" s="72"/>
      <c r="L380" s="69">
        <f t="shared" ref="L380" si="864">J380-(J380*K380)</f>
        <v>39630</v>
      </c>
      <c r="M380" s="86">
        <f t="shared" ref="M380" si="865">L380/H380</f>
        <v>49.128099173553721</v>
      </c>
      <c r="N380" s="79">
        <v>4.5</v>
      </c>
      <c r="O380" s="79">
        <v>5.55</v>
      </c>
      <c r="P380" s="79">
        <v>7.61</v>
      </c>
      <c r="Q380" s="79">
        <v>8.7200000000000006</v>
      </c>
      <c r="R380" s="79">
        <v>7.39</v>
      </c>
      <c r="S380" s="84">
        <v>5.81</v>
      </c>
      <c r="T380" s="85">
        <f t="shared" ref="T380" si="866">AVERAGE(N380:S380)</f>
        <v>6.5966666666666676</v>
      </c>
      <c r="U380" s="63" t="s">
        <v>806</v>
      </c>
      <c r="V380" s="77" t="s">
        <v>103</v>
      </c>
      <c r="W380" s="77"/>
      <c r="X380" s="78">
        <v>0.4</v>
      </c>
      <c r="Y380" s="78"/>
      <c r="Z380" s="79">
        <v>0.52</v>
      </c>
      <c r="AA380" s="80">
        <v>45853</v>
      </c>
      <c r="AB380" s="81">
        <f t="shared" ref="AB380" si="867">IFERROR(AVERAGE(AS380:CP380),0)</f>
        <v>42.5</v>
      </c>
      <c r="AC380" s="81">
        <f t="shared" ref="AC380" si="868">AB380*X380</f>
        <v>17</v>
      </c>
      <c r="AD380" s="81">
        <f t="shared" ref="AD380" si="869">(AC380*L380)/2000</f>
        <v>336.85500000000002</v>
      </c>
      <c r="AE380" s="81">
        <f t="shared" ref="AE380" si="870">IFERROR((AD380/I380),"")</f>
        <v>6.802403069466882</v>
      </c>
      <c r="AF380" s="167">
        <f t="shared" ref="AF380" si="871">IFERROR(((AE380-S380)/AE380),"")</f>
        <v>0.14589007139570442</v>
      </c>
      <c r="AG380" s="264">
        <v>4.6900000000000004</v>
      </c>
      <c r="AH380" s="264">
        <f t="shared" si="765"/>
        <v>0.27360233349538166</v>
      </c>
      <c r="AI380" s="77">
        <v>8</v>
      </c>
      <c r="AJ380" s="79">
        <f t="shared" ref="AJ380" si="872">AD380-(AI380*I380)</f>
        <v>-59.305000000000007</v>
      </c>
      <c r="AK380" s="82">
        <f t="shared" ref="AK380" si="873">AJ380/I380</f>
        <v>-1.197596930533118</v>
      </c>
      <c r="AL380" s="82"/>
      <c r="AM380" s="82">
        <f t="shared" ref="AM380" si="874">((AJ380*2000)/Z380)/J380</f>
        <v>-5.7556435489819293</v>
      </c>
      <c r="AN380" s="82" t="s">
        <v>814</v>
      </c>
      <c r="AO380" s="82"/>
      <c r="AP380" s="82"/>
      <c r="AQ380" s="254" t="s">
        <v>819</v>
      </c>
      <c r="AR380" s="77" t="s">
        <v>116</v>
      </c>
      <c r="AS380" s="63">
        <v>45</v>
      </c>
      <c r="AT380" s="63">
        <v>50</v>
      </c>
      <c r="AU380" s="63">
        <v>48</v>
      </c>
      <c r="AV380" s="63">
        <v>35</v>
      </c>
      <c r="AW380" s="63">
        <v>46</v>
      </c>
      <c r="AX380" s="63">
        <v>40</v>
      </c>
      <c r="AY380" s="63">
        <v>43</v>
      </c>
      <c r="AZ380" s="63">
        <v>38</v>
      </c>
      <c r="BA380" s="63">
        <v>38</v>
      </c>
      <c r="BB380" s="63">
        <v>42</v>
      </c>
    </row>
    <row r="381" spans="1:64" s="113" customFormat="1">
      <c r="A381" s="113" t="s">
        <v>437</v>
      </c>
      <c r="B381" s="126" t="s">
        <v>529</v>
      </c>
      <c r="C381" s="114" t="s">
        <v>530</v>
      </c>
      <c r="D381" s="128" t="s">
        <v>87</v>
      </c>
      <c r="E381" s="127" t="s">
        <v>88</v>
      </c>
      <c r="F381" s="126" t="s">
        <v>232</v>
      </c>
      <c r="G381" s="126" t="s">
        <v>145</v>
      </c>
      <c r="H381" s="123">
        <v>622.28571428571433</v>
      </c>
      <c r="I381" s="125">
        <v>19.63</v>
      </c>
      <c r="J381" s="123">
        <v>11789</v>
      </c>
      <c r="K381" s="124">
        <v>0.1</v>
      </c>
      <c r="L381" s="123">
        <f t="shared" si="853"/>
        <v>10610.1</v>
      </c>
      <c r="M381" s="122">
        <f t="shared" si="854"/>
        <v>17.050206611570246</v>
      </c>
      <c r="N381" s="118">
        <v>7.33</v>
      </c>
      <c r="O381" s="118">
        <v>5.58</v>
      </c>
      <c r="P381" s="118">
        <v>5.59</v>
      </c>
      <c r="Q381" s="118">
        <v>8.14</v>
      </c>
      <c r="R381" s="118">
        <v>8.89</v>
      </c>
      <c r="S381" s="153">
        <v>6.69</v>
      </c>
      <c r="T381" s="121">
        <f>AVERAGE(N381:R381)</f>
        <v>7.1059999999999999</v>
      </c>
      <c r="U381" s="113" t="s">
        <v>297</v>
      </c>
      <c r="V381" s="115" t="s">
        <v>366</v>
      </c>
      <c r="W381" s="115"/>
      <c r="X381" s="120">
        <v>0.28000000000000003</v>
      </c>
      <c r="Y381" s="120">
        <v>0.3</v>
      </c>
      <c r="Z381" s="118">
        <v>0.33</v>
      </c>
      <c r="AA381" s="119">
        <v>45799</v>
      </c>
      <c r="AB381" s="117">
        <f t="shared" si="856"/>
        <v>84.875</v>
      </c>
      <c r="AC381" s="117">
        <f>AB381*Y381</f>
        <v>25.462499999999999</v>
      </c>
      <c r="AD381" s="117">
        <f t="shared" si="858"/>
        <v>135.07983562500002</v>
      </c>
      <c r="AE381" s="117">
        <f t="shared" si="859"/>
        <v>6.8812957526744789</v>
      </c>
      <c r="AF381" s="170">
        <f t="shared" si="860"/>
        <v>2.7799379586341665E-2</v>
      </c>
      <c r="AG381" s="265">
        <v>6.67</v>
      </c>
      <c r="AH381" s="265">
        <f t="shared" si="765"/>
        <v>0.2525725862183219</v>
      </c>
      <c r="AI381" s="115"/>
      <c r="AJ381" s="118">
        <f t="shared" si="861"/>
        <v>135.07983562500002</v>
      </c>
      <c r="AK381" s="116">
        <f t="shared" si="862"/>
        <v>6.8812957526744789</v>
      </c>
      <c r="AL381" s="116"/>
      <c r="AM381" s="116">
        <f t="shared" si="863"/>
        <v>69.443181818181813</v>
      </c>
      <c r="AN381" s="116" t="s">
        <v>701</v>
      </c>
      <c r="AO381" s="116"/>
      <c r="AP381" s="116"/>
      <c r="AR381" s="115" t="s">
        <v>91</v>
      </c>
      <c r="AS381" s="113">
        <v>86</v>
      </c>
      <c r="AT381" s="113">
        <v>73</v>
      </c>
      <c r="AU381" s="113">
        <v>103</v>
      </c>
      <c r="AV381" s="113">
        <v>71</v>
      </c>
      <c r="AW381" s="113">
        <v>96</v>
      </c>
      <c r="AX381" s="113">
        <v>114</v>
      </c>
      <c r="AY381" s="113">
        <v>57</v>
      </c>
      <c r="AZ381" s="113">
        <v>72</v>
      </c>
      <c r="BA381" s="113">
        <v>80</v>
      </c>
      <c r="BB381" s="113">
        <v>119</v>
      </c>
      <c r="BC381" s="113">
        <v>81</v>
      </c>
      <c r="BD381" s="113">
        <v>87</v>
      </c>
      <c r="BE381" s="113">
        <v>85</v>
      </c>
      <c r="BF381" s="113">
        <v>86</v>
      </c>
      <c r="BG381" s="113">
        <v>103</v>
      </c>
      <c r="BH381" s="113">
        <v>45</v>
      </c>
    </row>
    <row r="382" spans="1:64" s="113" customFormat="1">
      <c r="A382" s="113" t="s">
        <v>437</v>
      </c>
      <c r="B382" s="126" t="s">
        <v>529</v>
      </c>
      <c r="C382" s="114" t="s">
        <v>530</v>
      </c>
      <c r="D382" s="128" t="s">
        <v>87</v>
      </c>
      <c r="E382" s="127" t="s">
        <v>88</v>
      </c>
      <c r="F382" s="126" t="s">
        <v>232</v>
      </c>
      <c r="G382" s="126" t="s">
        <v>145</v>
      </c>
      <c r="H382" s="123">
        <v>622.28571428571433</v>
      </c>
      <c r="I382" s="125">
        <v>19.63</v>
      </c>
      <c r="J382" s="123">
        <v>11789</v>
      </c>
      <c r="K382" s="124">
        <v>0.1</v>
      </c>
      <c r="L382" s="123">
        <f t="shared" si="853"/>
        <v>10610.1</v>
      </c>
      <c r="M382" s="122">
        <f t="shared" si="854"/>
        <v>17.050206611570246</v>
      </c>
      <c r="N382" s="118">
        <v>7.33</v>
      </c>
      <c r="O382" s="118">
        <v>5.58</v>
      </c>
      <c r="P382" s="118">
        <v>5.59</v>
      </c>
      <c r="Q382" s="118">
        <v>8.14</v>
      </c>
      <c r="R382" s="118">
        <v>8.89</v>
      </c>
      <c r="S382" s="153">
        <v>6.69</v>
      </c>
      <c r="T382" s="121">
        <f>AVERAGE(N382:R382)</f>
        <v>7.1059999999999999</v>
      </c>
      <c r="U382" s="113" t="s">
        <v>106</v>
      </c>
      <c r="V382" s="115" t="s">
        <v>103</v>
      </c>
      <c r="W382" s="115"/>
      <c r="X382" s="120">
        <v>0.28000000000000003</v>
      </c>
      <c r="Y382" s="120">
        <v>0.3</v>
      </c>
      <c r="Z382" s="118">
        <v>0.33</v>
      </c>
      <c r="AA382" s="119">
        <v>45820</v>
      </c>
      <c r="AB382" s="117">
        <f t="shared" si="856"/>
        <v>59.125</v>
      </c>
      <c r="AC382" s="117">
        <f>AB382*Y382</f>
        <v>17.737500000000001</v>
      </c>
      <c r="AD382" s="117">
        <f t="shared" si="858"/>
        <v>94.098324375000004</v>
      </c>
      <c r="AE382" s="117">
        <f t="shared" si="859"/>
        <v>4.793597777636271</v>
      </c>
      <c r="AF382" s="170">
        <f t="shared" si="860"/>
        <v>-0.39561146143948012</v>
      </c>
      <c r="AG382" s="265">
        <v>6.67</v>
      </c>
      <c r="AH382" s="265">
        <f t="shared" si="765"/>
        <v>0.3625724863472316</v>
      </c>
      <c r="AI382" s="115"/>
      <c r="AJ382" s="118">
        <f t="shared" si="861"/>
        <v>94.098324375000004</v>
      </c>
      <c r="AK382" s="116">
        <f t="shared" si="862"/>
        <v>4.793597777636271</v>
      </c>
      <c r="AL382" s="116"/>
      <c r="AM382" s="116">
        <f t="shared" si="863"/>
        <v>48.375</v>
      </c>
      <c r="AN382" s="116" t="s">
        <v>701</v>
      </c>
      <c r="AO382" s="116"/>
      <c r="AP382" s="116"/>
      <c r="AR382" s="115" t="s">
        <v>116</v>
      </c>
      <c r="AS382" s="113">
        <v>56</v>
      </c>
      <c r="AT382" s="113">
        <v>59</v>
      </c>
      <c r="AU382" s="113">
        <v>49</v>
      </c>
      <c r="AV382" s="113">
        <v>53</v>
      </c>
      <c r="AW382" s="113">
        <v>48</v>
      </c>
      <c r="AX382" s="113">
        <v>57</v>
      </c>
      <c r="AY382" s="113">
        <v>60</v>
      </c>
      <c r="AZ382" s="113">
        <v>66</v>
      </c>
      <c r="BA382" s="113">
        <v>58</v>
      </c>
      <c r="BB382" s="113">
        <v>63</v>
      </c>
      <c r="BC382" s="113">
        <v>67</v>
      </c>
      <c r="BD382" s="113">
        <v>54</v>
      </c>
      <c r="BE382" s="113">
        <v>69</v>
      </c>
      <c r="BF382" s="113">
        <v>63</v>
      </c>
      <c r="BG382" s="113">
        <v>65</v>
      </c>
      <c r="BH382" s="113">
        <v>59</v>
      </c>
    </row>
    <row r="383" spans="1:64" s="113" customFormat="1">
      <c r="A383" s="113" t="s">
        <v>437</v>
      </c>
      <c r="B383" s="126" t="s">
        <v>529</v>
      </c>
      <c r="C383" s="114" t="s">
        <v>530</v>
      </c>
      <c r="D383" s="128" t="s">
        <v>87</v>
      </c>
      <c r="E383" s="127" t="s">
        <v>88</v>
      </c>
      <c r="F383" s="126" t="s">
        <v>232</v>
      </c>
      <c r="G383" s="126" t="s">
        <v>145</v>
      </c>
      <c r="H383" s="123">
        <v>622.28571428571433</v>
      </c>
      <c r="I383" s="125">
        <v>19.63</v>
      </c>
      <c r="J383" s="123">
        <v>11789</v>
      </c>
      <c r="K383" s="124">
        <v>0.1</v>
      </c>
      <c r="L383" s="123">
        <f t="shared" ref="L383" si="875">J383-(J383*K383)</f>
        <v>10610.1</v>
      </c>
      <c r="M383" s="122">
        <f t="shared" ref="M383" si="876">L383/H383</f>
        <v>17.050206611570246</v>
      </c>
      <c r="N383" s="118">
        <v>7.33</v>
      </c>
      <c r="O383" s="118">
        <v>5.58</v>
      </c>
      <c r="P383" s="118">
        <v>5.59</v>
      </c>
      <c r="Q383" s="118">
        <v>8.14</v>
      </c>
      <c r="R383" s="118">
        <v>8.89</v>
      </c>
      <c r="S383" s="153">
        <v>6.69</v>
      </c>
      <c r="T383" s="121">
        <f>AVERAGE(N383:R383)</f>
        <v>7.1059999999999999</v>
      </c>
      <c r="U383" s="113" t="s">
        <v>106</v>
      </c>
      <c r="V383" s="115" t="s">
        <v>103</v>
      </c>
      <c r="W383" s="115"/>
      <c r="X383" s="120">
        <v>0.28000000000000003</v>
      </c>
      <c r="Y383" s="120">
        <v>0.3</v>
      </c>
      <c r="Z383" s="118">
        <v>0.33</v>
      </c>
      <c r="AA383" s="119">
        <v>45841</v>
      </c>
      <c r="AB383" s="117">
        <f t="shared" ref="AB383" si="877">IFERROR(AVERAGE(AS383:CP383),0)</f>
        <v>73.1875</v>
      </c>
      <c r="AC383" s="117">
        <f>AB383*Y383</f>
        <v>21.956250000000001</v>
      </c>
      <c r="AD383" s="117">
        <f t="shared" ref="AD383" si="878">(AC383*L383)/2000</f>
        <v>116.47900406250001</v>
      </c>
      <c r="AE383" s="117">
        <f t="shared" ref="AE383" si="879">IFERROR((AD383/I383),"")</f>
        <v>5.9337240989556808</v>
      </c>
      <c r="AF383" s="170">
        <f t="shared" ref="AF383" si="880">IFERROR(((AE383-S383)/AE383),"")</f>
        <v>-0.12745383648313244</v>
      </c>
      <c r="AG383" s="265">
        <v>6.67</v>
      </c>
      <c r="AH383" s="265">
        <f t="shared" si="765"/>
        <v>0.29290655173738778</v>
      </c>
      <c r="AI383" s="115"/>
      <c r="AJ383" s="118">
        <f t="shared" ref="AJ383" si="881">AD383-(AI383*I383)</f>
        <v>116.47900406250001</v>
      </c>
      <c r="AK383" s="116">
        <f t="shared" ref="AK383" si="882">AJ383/I383</f>
        <v>5.9337240989556808</v>
      </c>
      <c r="AL383" s="116"/>
      <c r="AM383" s="116">
        <f t="shared" ref="AM383" si="883">((AJ383*2000)/Z383)/J383</f>
        <v>59.880681818181827</v>
      </c>
      <c r="AN383" s="116" t="s">
        <v>701</v>
      </c>
      <c r="AO383" s="116"/>
      <c r="AP383" s="116"/>
      <c r="AR383" s="115" t="s">
        <v>91</v>
      </c>
      <c r="AS383" s="113">
        <v>68</v>
      </c>
      <c r="AT383" s="113">
        <v>36</v>
      </c>
      <c r="AU383" s="113">
        <v>84</v>
      </c>
      <c r="AV383" s="113">
        <v>74</v>
      </c>
      <c r="AW383" s="113">
        <v>53</v>
      </c>
      <c r="AX383" s="113">
        <v>102</v>
      </c>
      <c r="AY383" s="113">
        <v>68</v>
      </c>
      <c r="AZ383" s="113">
        <v>88</v>
      </c>
      <c r="BA383" s="113">
        <v>96</v>
      </c>
      <c r="BB383" s="113">
        <v>74</v>
      </c>
      <c r="BC383" s="113">
        <v>86</v>
      </c>
      <c r="BD383" s="113">
        <v>86</v>
      </c>
      <c r="BE383" s="113">
        <v>69</v>
      </c>
      <c r="BF383" s="113">
        <v>63</v>
      </c>
      <c r="BG383" s="113">
        <v>65</v>
      </c>
      <c r="BH383" s="113">
        <v>59</v>
      </c>
    </row>
    <row r="384" spans="1:64" s="113" customFormat="1">
      <c r="A384" s="113" t="s">
        <v>437</v>
      </c>
      <c r="B384" s="126" t="s">
        <v>529</v>
      </c>
      <c r="C384" s="114" t="s">
        <v>532</v>
      </c>
      <c r="D384" s="128" t="s">
        <v>87</v>
      </c>
      <c r="E384" s="127" t="s">
        <v>88</v>
      </c>
      <c r="F384" s="126" t="s">
        <v>232</v>
      </c>
      <c r="G384" s="126" t="s">
        <v>145</v>
      </c>
      <c r="H384" s="123">
        <v>622.28571428571433</v>
      </c>
      <c r="I384" s="125">
        <v>28.89</v>
      </c>
      <c r="J384" s="123">
        <v>17345</v>
      </c>
      <c r="K384" s="124">
        <v>0.1</v>
      </c>
      <c r="L384" s="123">
        <f t="shared" si="853"/>
        <v>15610.5</v>
      </c>
      <c r="M384" s="122">
        <f t="shared" si="854"/>
        <v>25.085743801652889</v>
      </c>
      <c r="N384" s="118">
        <v>7.33</v>
      </c>
      <c r="O384" s="118">
        <v>5.58</v>
      </c>
      <c r="P384" s="118">
        <v>5.59</v>
      </c>
      <c r="Q384" s="118">
        <v>8.14</v>
      </c>
      <c r="R384" s="118">
        <v>8.89</v>
      </c>
      <c r="S384" s="153">
        <v>6.69</v>
      </c>
      <c r="T384" s="121">
        <f>AVERAGE(N384:R384)</f>
        <v>7.1059999999999999</v>
      </c>
      <c r="U384" s="113" t="s">
        <v>365</v>
      </c>
      <c r="V384" s="115" t="s">
        <v>103</v>
      </c>
      <c r="W384" s="115"/>
      <c r="X384" s="120">
        <v>0.28000000000000003</v>
      </c>
      <c r="Y384" s="120">
        <v>0.3</v>
      </c>
      <c r="Z384" s="118">
        <v>0.33</v>
      </c>
      <c r="AA384" s="119">
        <v>45841</v>
      </c>
      <c r="AB384" s="117">
        <f t="shared" ref="AB384" si="884">IFERROR(AVERAGE(AS384:CP384),0)</f>
        <v>89.9375</v>
      </c>
      <c r="AC384" s="117">
        <f>AB384*Y384</f>
        <v>26.981249999999999</v>
      </c>
      <c r="AD384" s="117">
        <f t="shared" ref="AD384" si="885">(AC384*L384)/2000</f>
        <v>210.5954015625</v>
      </c>
      <c r="AE384" s="117">
        <f t="shared" ref="AE384" si="886">IFERROR((AD384/I384),"")</f>
        <v>7.2895604556074769</v>
      </c>
      <c r="AF384" s="170">
        <f t="shared" ref="AF384" si="887">IFERROR(((AE384-S384)/AE384),"")</f>
        <v>8.224919173916255E-2</v>
      </c>
      <c r="AG384" s="265">
        <v>6.67</v>
      </c>
      <c r="AH384" s="265">
        <f t="shared" si="765"/>
        <v>0.23835550527066096</v>
      </c>
      <c r="AI384" s="115"/>
      <c r="AJ384" s="118">
        <f t="shared" si="861"/>
        <v>210.5954015625</v>
      </c>
      <c r="AK384" s="116">
        <f t="shared" si="862"/>
        <v>7.2895604556074769</v>
      </c>
      <c r="AL384" s="116"/>
      <c r="AM384" s="116">
        <f t="shared" si="863"/>
        <v>73.585227272727266</v>
      </c>
      <c r="AN384" s="116" t="s">
        <v>701</v>
      </c>
      <c r="AO384" s="116"/>
      <c r="AP384" s="116"/>
      <c r="AR384" s="115" t="s">
        <v>91</v>
      </c>
      <c r="AS384" s="113">
        <v>72</v>
      </c>
      <c r="AT384" s="113">
        <v>80</v>
      </c>
      <c r="AU384" s="113">
        <v>86</v>
      </c>
      <c r="AV384" s="113">
        <v>98</v>
      </c>
      <c r="AW384" s="113">
        <v>100</v>
      </c>
      <c r="AX384" s="113">
        <v>105</v>
      </c>
      <c r="AY384" s="113">
        <v>103</v>
      </c>
      <c r="AZ384" s="113">
        <v>92</v>
      </c>
      <c r="BA384" s="113">
        <v>88</v>
      </c>
      <c r="BB384" s="113">
        <v>91</v>
      </c>
      <c r="BC384" s="113">
        <v>85</v>
      </c>
      <c r="BD384" s="113">
        <v>90</v>
      </c>
      <c r="BE384" s="113">
        <v>101</v>
      </c>
      <c r="BF384" s="113">
        <v>77</v>
      </c>
      <c r="BG384" s="113">
        <v>93</v>
      </c>
      <c r="BH384" s="113">
        <v>78</v>
      </c>
    </row>
    <row r="385" spans="1:67" s="63" customFormat="1">
      <c r="A385" s="63" t="s">
        <v>437</v>
      </c>
      <c r="B385" s="68" t="s">
        <v>533</v>
      </c>
      <c r="C385" s="64" t="s">
        <v>534</v>
      </c>
      <c r="D385" s="65" t="s">
        <v>87</v>
      </c>
      <c r="E385" s="66" t="s">
        <v>221</v>
      </c>
      <c r="F385" s="68" t="s">
        <v>222</v>
      </c>
      <c r="G385" s="68" t="s">
        <v>273</v>
      </c>
      <c r="H385" s="69">
        <v>622.28571428571433</v>
      </c>
      <c r="I385" s="74">
        <v>24.87</v>
      </c>
      <c r="J385" s="69">
        <v>15349</v>
      </c>
      <c r="K385" s="72"/>
      <c r="L385" s="69">
        <f t="shared" si="853"/>
        <v>15349</v>
      </c>
      <c r="M385" s="86">
        <f t="shared" si="854"/>
        <v>24.66551882460973</v>
      </c>
      <c r="N385" s="79">
        <v>8.51</v>
      </c>
      <c r="O385" s="79">
        <v>6.99</v>
      </c>
      <c r="P385" s="79">
        <v>9</v>
      </c>
      <c r="Q385" s="79">
        <v>11.16</v>
      </c>
      <c r="R385" s="79">
        <v>8.6999999999999993</v>
      </c>
      <c r="S385" s="84">
        <v>8.64</v>
      </c>
      <c r="T385" s="85">
        <f>AVERAGE(N385:S385)</f>
        <v>8.8333333333333339</v>
      </c>
      <c r="V385" s="77" t="s">
        <v>366</v>
      </c>
      <c r="W385" s="77"/>
      <c r="X385" s="78">
        <v>0.52</v>
      </c>
      <c r="Y385" s="78"/>
      <c r="Z385" s="79">
        <v>0.55000000000000004</v>
      </c>
      <c r="AA385" s="80">
        <v>45786</v>
      </c>
      <c r="AB385" s="81">
        <f t="shared" ref="AB385:AB422" si="888">IFERROR(AVERAGE(AS385:CP385),0)</f>
        <v>40.043478260869563</v>
      </c>
      <c r="AC385" s="81">
        <f t="shared" ref="AC385:AC390" si="889">AB385*X385</f>
        <v>20.822608695652175</v>
      </c>
      <c r="AD385" s="81">
        <f t="shared" si="858"/>
        <v>159.80311043478261</v>
      </c>
      <c r="AE385" s="81">
        <f t="shared" ref="AE385:AE397" si="890">IFERROR((AD385/I385),"")</f>
        <v>6.4255372108879216</v>
      </c>
      <c r="AF385" s="167">
        <f t="shared" ref="AF385:AF397" si="891">IFERROR(((AE385-S385)/AE385),"")</f>
        <v>-0.34463465332668586</v>
      </c>
      <c r="AG385" s="264">
        <v>6.73</v>
      </c>
      <c r="AH385" s="264">
        <f t="shared" si="765"/>
        <v>0.54016126121545138</v>
      </c>
      <c r="AI385" s="77"/>
      <c r="AJ385" s="79">
        <f t="shared" si="861"/>
        <v>159.80311043478261</v>
      </c>
      <c r="AK385" s="82">
        <f t="shared" si="862"/>
        <v>6.4255372108879216</v>
      </c>
      <c r="AL385" s="82"/>
      <c r="AM385" s="82">
        <f t="shared" si="863"/>
        <v>37.859288537549403</v>
      </c>
      <c r="AN385" s="82" t="s">
        <v>701</v>
      </c>
      <c r="AO385" s="82"/>
      <c r="AP385" s="82"/>
      <c r="AQ385" s="176"/>
      <c r="AR385" s="77" t="s">
        <v>116</v>
      </c>
      <c r="AS385" s="63">
        <v>28</v>
      </c>
      <c r="AT385" s="63">
        <v>31</v>
      </c>
      <c r="AU385" s="63">
        <v>49</v>
      </c>
      <c r="AV385" s="63">
        <v>40</v>
      </c>
      <c r="AW385" s="63">
        <v>35</v>
      </c>
      <c r="AX385" s="63">
        <v>39</v>
      </c>
      <c r="AY385" s="63">
        <v>42</v>
      </c>
      <c r="AZ385" s="63">
        <v>47</v>
      </c>
      <c r="BA385" s="63">
        <v>59</v>
      </c>
      <c r="BB385" s="63">
        <v>42</v>
      </c>
      <c r="BC385" s="63">
        <v>47</v>
      </c>
      <c r="BD385" s="63">
        <v>39</v>
      </c>
      <c r="BE385" s="63">
        <v>50</v>
      </c>
      <c r="BF385" s="63">
        <v>44</v>
      </c>
      <c r="BG385" s="63">
        <v>29</v>
      </c>
      <c r="BH385" s="63">
        <v>43</v>
      </c>
      <c r="BI385" s="63">
        <v>39</v>
      </c>
      <c r="BJ385" s="63">
        <v>33</v>
      </c>
      <c r="BK385" s="63">
        <v>40</v>
      </c>
      <c r="BL385" s="63">
        <v>29</v>
      </c>
      <c r="BM385" s="63">
        <v>38</v>
      </c>
      <c r="BN385" s="63">
        <v>35</v>
      </c>
      <c r="BO385" s="63">
        <v>43</v>
      </c>
    </row>
    <row r="386" spans="1:67" s="63" customFormat="1">
      <c r="A386" s="63" t="s">
        <v>437</v>
      </c>
      <c r="B386" s="68" t="s">
        <v>533</v>
      </c>
      <c r="C386" s="64" t="s">
        <v>534</v>
      </c>
      <c r="D386" s="65" t="s">
        <v>87</v>
      </c>
      <c r="E386" s="66" t="s">
        <v>221</v>
      </c>
      <c r="F386" s="68" t="s">
        <v>222</v>
      </c>
      <c r="G386" s="68" t="s">
        <v>273</v>
      </c>
      <c r="H386" s="69">
        <v>622.28571428571433</v>
      </c>
      <c r="I386" s="74">
        <v>24.87</v>
      </c>
      <c r="J386" s="69">
        <v>15349</v>
      </c>
      <c r="K386" s="72"/>
      <c r="L386" s="69">
        <f t="shared" si="853"/>
        <v>15349</v>
      </c>
      <c r="M386" s="86">
        <f t="shared" si="854"/>
        <v>24.66551882460973</v>
      </c>
      <c r="N386" s="79">
        <v>8.51</v>
      </c>
      <c r="O386" s="79">
        <v>6.99</v>
      </c>
      <c r="P386" s="79">
        <v>9</v>
      </c>
      <c r="Q386" s="79">
        <v>11.16</v>
      </c>
      <c r="R386" s="79">
        <v>8.6999999999999993</v>
      </c>
      <c r="S386" s="84">
        <v>8.64</v>
      </c>
      <c r="T386" s="85">
        <f>AVERAGE(N386:S386)</f>
        <v>8.8333333333333339</v>
      </c>
      <c r="V386" s="77" t="s">
        <v>103</v>
      </c>
      <c r="W386" s="77"/>
      <c r="X386" s="78">
        <v>0.52</v>
      </c>
      <c r="Y386" s="78"/>
      <c r="Z386" s="79">
        <v>0.55000000000000004</v>
      </c>
      <c r="AA386" s="80">
        <v>45831</v>
      </c>
      <c r="AB386" s="81">
        <f t="shared" si="888"/>
        <v>47.75</v>
      </c>
      <c r="AC386" s="81">
        <f t="shared" si="889"/>
        <v>24.830000000000002</v>
      </c>
      <c r="AD386" s="81">
        <f t="shared" si="858"/>
        <v>190.55783500000001</v>
      </c>
      <c r="AE386" s="81">
        <f t="shared" si="890"/>
        <v>7.6621566143948536</v>
      </c>
      <c r="AF386" s="167">
        <f t="shared" si="891"/>
        <v>-0.12761986406908959</v>
      </c>
      <c r="AG386" s="264">
        <v>6.73</v>
      </c>
      <c r="AH386" s="264">
        <f t="shared" si="765"/>
        <v>0.4529829470333992</v>
      </c>
      <c r="AI386" s="77"/>
      <c r="AJ386" s="79">
        <f t="shared" si="861"/>
        <v>190.55783500000001</v>
      </c>
      <c r="AK386" s="82">
        <f t="shared" si="862"/>
        <v>7.6621566143948536</v>
      </c>
      <c r="AL386" s="82"/>
      <c r="AM386" s="82">
        <f t="shared" si="863"/>
        <v>45.145454545454541</v>
      </c>
      <c r="AN386" s="82" t="s">
        <v>701</v>
      </c>
      <c r="AO386" s="82"/>
      <c r="AP386" s="82"/>
      <c r="AQ386" s="176"/>
      <c r="AR386" s="77" t="s">
        <v>91</v>
      </c>
      <c r="AS386" s="63">
        <v>56</v>
      </c>
      <c r="AT386" s="63">
        <v>49</v>
      </c>
      <c r="AU386" s="63">
        <v>45</v>
      </c>
      <c r="AV386" s="63">
        <v>41</v>
      </c>
      <c r="AW386" s="63">
        <v>55</v>
      </c>
      <c r="AX386" s="63">
        <v>51</v>
      </c>
      <c r="AY386" s="63">
        <v>53</v>
      </c>
      <c r="AZ386" s="63">
        <v>29</v>
      </c>
      <c r="BA386" s="63">
        <v>44</v>
      </c>
      <c r="BB386" s="63">
        <v>36</v>
      </c>
      <c r="BC386" s="63">
        <v>59</v>
      </c>
      <c r="BD386" s="63">
        <v>55</v>
      </c>
    </row>
    <row r="387" spans="1:67" s="113" customFormat="1">
      <c r="A387" s="113" t="s">
        <v>437</v>
      </c>
      <c r="B387" s="126" t="s">
        <v>820</v>
      </c>
      <c r="C387" s="114" t="s">
        <v>821</v>
      </c>
      <c r="D387" s="128" t="s">
        <v>87</v>
      </c>
      <c r="E387" s="127" t="s">
        <v>237</v>
      </c>
      <c r="F387" s="126">
        <v>2</v>
      </c>
      <c r="G387" s="126" t="s">
        <v>90</v>
      </c>
      <c r="H387" s="123">
        <v>622.28571428571433</v>
      </c>
      <c r="I387" s="125">
        <v>26.02</v>
      </c>
      <c r="J387" s="123">
        <v>16062</v>
      </c>
      <c r="K387" s="124">
        <v>0.15</v>
      </c>
      <c r="L387" s="123">
        <f t="shared" si="853"/>
        <v>13652.7</v>
      </c>
      <c r="M387" s="122">
        <f t="shared" si="854"/>
        <v>21.939600550964187</v>
      </c>
      <c r="N387" s="118">
        <v>10.16</v>
      </c>
      <c r="O387" s="118">
        <v>10.39</v>
      </c>
      <c r="P387" s="118">
        <v>10.41</v>
      </c>
      <c r="Q387" s="118">
        <v>12.96</v>
      </c>
      <c r="R387" s="118">
        <v>11.61</v>
      </c>
      <c r="S387" s="153">
        <v>8.85</v>
      </c>
      <c r="T387" s="121">
        <f>AVERAGE(N387:S387)</f>
        <v>10.729999999999999</v>
      </c>
      <c r="V387" s="115" t="s">
        <v>103</v>
      </c>
      <c r="W387" s="115"/>
      <c r="X387" s="120">
        <v>0.21</v>
      </c>
      <c r="Y387" s="120">
        <v>0.24</v>
      </c>
      <c r="Z387" s="118">
        <v>0.27</v>
      </c>
      <c r="AA387" s="119">
        <v>45785</v>
      </c>
      <c r="AB387" s="117">
        <f t="shared" si="888"/>
        <v>145.69999999999999</v>
      </c>
      <c r="AC387" s="117">
        <f>AB387*Y387</f>
        <v>34.967999999999996</v>
      </c>
      <c r="AD387" s="117">
        <f t="shared" si="858"/>
        <v>238.7038068</v>
      </c>
      <c r="AE387" s="117">
        <f t="shared" si="890"/>
        <v>9.1738588316679479</v>
      </c>
      <c r="AF387" s="170">
        <f t="shared" si="891"/>
        <v>3.5302356141561179E-2</v>
      </c>
      <c r="AG387" s="265"/>
      <c r="AH387" s="265">
        <f t="shared" si="765"/>
        <v>0</v>
      </c>
      <c r="AI387" s="115"/>
      <c r="AJ387" s="118">
        <f t="shared" si="861"/>
        <v>238.7038068</v>
      </c>
      <c r="AK387" s="116">
        <f t="shared" si="862"/>
        <v>9.1738588316679479</v>
      </c>
      <c r="AL387" s="116"/>
      <c r="AM387" s="116">
        <f t="shared" si="863"/>
        <v>110.08444444444443</v>
      </c>
      <c r="AN387" s="116" t="s">
        <v>701</v>
      </c>
      <c r="AO387" s="116"/>
      <c r="AP387" s="116"/>
      <c r="AR387" s="115" t="s">
        <v>91</v>
      </c>
      <c r="AS387" s="113">
        <v>183</v>
      </c>
      <c r="AT387" s="113">
        <v>144</v>
      </c>
      <c r="AU387" s="113">
        <v>166</v>
      </c>
      <c r="AV387" s="113">
        <v>143</v>
      </c>
      <c r="AW387" s="113">
        <v>167</v>
      </c>
      <c r="AX387" s="113">
        <v>102</v>
      </c>
      <c r="AY387" s="113">
        <v>146</v>
      </c>
      <c r="AZ387" s="113">
        <v>151</v>
      </c>
      <c r="BA387" s="113">
        <v>122</v>
      </c>
      <c r="BB387" s="113">
        <v>133</v>
      </c>
    </row>
    <row r="388" spans="1:67" s="113" customFormat="1">
      <c r="A388" s="113" t="s">
        <v>437</v>
      </c>
      <c r="B388" s="126" t="s">
        <v>820</v>
      </c>
      <c r="C388" s="114" t="s">
        <v>821</v>
      </c>
      <c r="D388" s="128" t="s">
        <v>87</v>
      </c>
      <c r="E388" s="127" t="s">
        <v>237</v>
      </c>
      <c r="F388" s="126">
        <v>2</v>
      </c>
      <c r="G388" s="126" t="s">
        <v>90</v>
      </c>
      <c r="H388" s="123">
        <v>622.28571428571433</v>
      </c>
      <c r="I388" s="125">
        <v>26.02</v>
      </c>
      <c r="J388" s="123">
        <v>16062</v>
      </c>
      <c r="K388" s="124">
        <v>0.15</v>
      </c>
      <c r="L388" s="123">
        <f t="shared" ref="L388" si="892">J388-(J388*K388)</f>
        <v>13652.7</v>
      </c>
      <c r="M388" s="122">
        <f t="shared" ref="M388" si="893">L388/H388</f>
        <v>21.939600550964187</v>
      </c>
      <c r="N388" s="118">
        <v>10.16</v>
      </c>
      <c r="O388" s="118">
        <v>10.39</v>
      </c>
      <c r="P388" s="118">
        <v>10.41</v>
      </c>
      <c r="Q388" s="118">
        <v>12.96</v>
      </c>
      <c r="R388" s="118">
        <v>11.61</v>
      </c>
      <c r="S388" s="153">
        <v>8.85</v>
      </c>
      <c r="T388" s="121">
        <f>AVERAGE(N388:S388)</f>
        <v>10.729999999999999</v>
      </c>
      <c r="V388" s="115" t="s">
        <v>103</v>
      </c>
      <c r="W388" s="115"/>
      <c r="X388" s="120">
        <v>0.21</v>
      </c>
      <c r="Y388" s="120">
        <v>0.24</v>
      </c>
      <c r="Z388" s="118">
        <v>0.27</v>
      </c>
      <c r="AA388" s="119">
        <v>45834</v>
      </c>
      <c r="AB388" s="117">
        <f t="shared" ref="AB388" si="894">IFERROR(AVERAGE(AS388:CP388),0)</f>
        <v>154.4</v>
      </c>
      <c r="AC388" s="117">
        <f>AB388*Y388</f>
        <v>37.055999999999997</v>
      </c>
      <c r="AD388" s="117">
        <f t="shared" ref="AD388" si="895">(AC388*L388)/2000</f>
        <v>252.95722560000002</v>
      </c>
      <c r="AE388" s="117">
        <f t="shared" ref="AE388" si="896">IFERROR((AD388/I388),"")</f>
        <v>9.7216458724058423</v>
      </c>
      <c r="AF388" s="170">
        <f t="shared" ref="AF388" si="897">IFERROR(((AE388-S388)/AE388),"")</f>
        <v>8.9660319234620922E-2</v>
      </c>
      <c r="AG388" s="265"/>
      <c r="AH388" s="265">
        <f t="shared" si="765"/>
        <v>0</v>
      </c>
      <c r="AI388" s="115"/>
      <c r="AJ388" s="118">
        <f t="shared" ref="AJ388" si="898">AD388-(AI388*I388)</f>
        <v>252.95722560000002</v>
      </c>
      <c r="AK388" s="116">
        <f t="shared" ref="AK388" si="899">AJ388/I388</f>
        <v>9.7216458724058423</v>
      </c>
      <c r="AL388" s="116"/>
      <c r="AM388" s="116">
        <f t="shared" ref="AM388" si="900">((AJ388*2000)/Z388)/J388</f>
        <v>116.65777777777777</v>
      </c>
      <c r="AN388" s="116" t="s">
        <v>701</v>
      </c>
      <c r="AO388" s="116"/>
      <c r="AP388" s="116"/>
      <c r="AR388" s="115" t="s">
        <v>91</v>
      </c>
      <c r="AS388" s="113">
        <v>139</v>
      </c>
      <c r="AT388" s="113">
        <v>95</v>
      </c>
      <c r="AU388" s="113">
        <v>178</v>
      </c>
      <c r="AV388" s="113">
        <v>177</v>
      </c>
      <c r="AW388" s="113">
        <v>189</v>
      </c>
      <c r="AX388" s="113">
        <v>171</v>
      </c>
      <c r="AY388" s="113">
        <v>183</v>
      </c>
      <c r="AZ388" s="113">
        <v>125</v>
      </c>
      <c r="BA388" s="113">
        <v>155</v>
      </c>
      <c r="BB388" s="113">
        <v>132</v>
      </c>
    </row>
    <row r="389" spans="1:67" s="63" customFormat="1">
      <c r="A389" s="63" t="s">
        <v>437</v>
      </c>
      <c r="B389" s="68" t="s">
        <v>535</v>
      </c>
      <c r="C389" s="64" t="s">
        <v>536</v>
      </c>
      <c r="D389" s="65" t="s">
        <v>87</v>
      </c>
      <c r="E389" s="66" t="s">
        <v>160</v>
      </c>
      <c r="F389" s="68" t="s">
        <v>537</v>
      </c>
      <c r="G389" s="68" t="s">
        <v>273</v>
      </c>
      <c r="H389" s="69">
        <v>622.28571428571433</v>
      </c>
      <c r="I389" s="74">
        <f>J389/622</f>
        <v>9.4019292604501601</v>
      </c>
      <c r="J389" s="69">
        <v>5848</v>
      </c>
      <c r="K389" s="72"/>
      <c r="L389" s="69">
        <f t="shared" si="853"/>
        <v>5848</v>
      </c>
      <c r="M389" s="86">
        <f t="shared" si="854"/>
        <v>9.3976124885215793</v>
      </c>
      <c r="N389" s="79"/>
      <c r="O389" s="79"/>
      <c r="P389" s="79"/>
      <c r="Q389" s="79"/>
      <c r="R389" s="79"/>
      <c r="S389" s="84">
        <v>6.95</v>
      </c>
      <c r="T389" s="85"/>
      <c r="U389" s="63" t="s">
        <v>365</v>
      </c>
      <c r="V389" s="77" t="s">
        <v>103</v>
      </c>
      <c r="W389" s="77"/>
      <c r="X389" s="78">
        <v>0.4</v>
      </c>
      <c r="Y389" s="78"/>
      <c r="Z389" s="79">
        <v>0.4</v>
      </c>
      <c r="AA389" s="80">
        <v>45771</v>
      </c>
      <c r="AB389" s="81">
        <f t="shared" si="888"/>
        <v>74.099999999999994</v>
      </c>
      <c r="AC389" s="81">
        <f t="shared" si="889"/>
        <v>29.64</v>
      </c>
      <c r="AD389" s="81">
        <f t="shared" si="858"/>
        <v>86.667360000000002</v>
      </c>
      <c r="AE389" s="81">
        <f t="shared" si="890"/>
        <v>9.2180400000000002</v>
      </c>
      <c r="AF389" s="167">
        <f t="shared" si="891"/>
        <v>0.24604362749564984</v>
      </c>
      <c r="AG389" s="264"/>
      <c r="AH389" s="264">
        <f t="shared" ref="AH389:AH452" si="901">(((AG389*M389)*2000)/L389)/AB389</f>
        <v>0</v>
      </c>
      <c r="AI389" s="77"/>
      <c r="AJ389" s="79">
        <f t="shared" si="861"/>
        <v>86.667360000000002</v>
      </c>
      <c r="AK389" s="82">
        <f t="shared" si="862"/>
        <v>9.2180400000000002</v>
      </c>
      <c r="AL389" s="82"/>
      <c r="AM389" s="82">
        <f t="shared" si="863"/>
        <v>74.099999999999994</v>
      </c>
      <c r="AN389" s="82" t="s">
        <v>701</v>
      </c>
      <c r="AO389" s="82">
        <f>8*I389</f>
        <v>75.215434083601281</v>
      </c>
      <c r="AP389" s="82">
        <f t="shared" ref="AP389:AP397" si="902">AD389-AO389</f>
        <v>11.451925916398721</v>
      </c>
      <c r="AR389" s="77" t="s">
        <v>116</v>
      </c>
      <c r="AS389" s="63">
        <v>70</v>
      </c>
      <c r="AT389" s="63">
        <v>78</v>
      </c>
      <c r="AU389" s="63">
        <v>86</v>
      </c>
      <c r="AV389" s="63">
        <v>73</v>
      </c>
      <c r="AW389" s="63">
        <v>80</v>
      </c>
      <c r="AX389" s="63">
        <v>82</v>
      </c>
      <c r="AY389" s="63">
        <v>79</v>
      </c>
      <c r="AZ389" s="63">
        <v>84</v>
      </c>
      <c r="BA389" s="63">
        <v>75</v>
      </c>
      <c r="BB389" s="63">
        <v>87</v>
      </c>
      <c r="BC389" s="63">
        <v>73</v>
      </c>
      <c r="BD389" s="63">
        <v>77</v>
      </c>
      <c r="BE389" s="63">
        <v>63</v>
      </c>
      <c r="BF389" s="63">
        <v>79</v>
      </c>
      <c r="BG389" s="63">
        <v>68</v>
      </c>
      <c r="BH389" s="63">
        <v>70</v>
      </c>
      <c r="BI389" s="63">
        <v>75</v>
      </c>
      <c r="BJ389" s="63">
        <v>65</v>
      </c>
      <c r="BK389" s="63">
        <v>60</v>
      </c>
      <c r="BL389" s="63">
        <v>58</v>
      </c>
    </row>
    <row r="390" spans="1:67" s="63" customFormat="1">
      <c r="A390" s="63" t="s">
        <v>437</v>
      </c>
      <c r="B390" s="68" t="s">
        <v>535</v>
      </c>
      <c r="C390" s="64" t="s">
        <v>538</v>
      </c>
      <c r="D390" s="65" t="s">
        <v>87</v>
      </c>
      <c r="E390" s="66" t="s">
        <v>160</v>
      </c>
      <c r="F390" s="68" t="s">
        <v>537</v>
      </c>
      <c r="G390" s="68" t="s">
        <v>273</v>
      </c>
      <c r="H390" s="69">
        <v>622.28571428571433</v>
      </c>
      <c r="I390" s="74">
        <f>J390/622</f>
        <v>8.979099678456592</v>
      </c>
      <c r="J390" s="69">
        <v>5585</v>
      </c>
      <c r="K390" s="72"/>
      <c r="L390" s="69">
        <f t="shared" si="853"/>
        <v>5585</v>
      </c>
      <c r="M390" s="86">
        <f t="shared" si="854"/>
        <v>8.9749770431588605</v>
      </c>
      <c r="N390" s="79"/>
      <c r="O390" s="79"/>
      <c r="P390" s="79"/>
      <c r="Q390" s="79"/>
      <c r="R390" s="79"/>
      <c r="S390" s="84">
        <v>6.95</v>
      </c>
      <c r="T390" s="85"/>
      <c r="U390" s="63" t="s">
        <v>365</v>
      </c>
      <c r="V390" s="77" t="s">
        <v>366</v>
      </c>
      <c r="W390" s="77"/>
      <c r="X390" s="78">
        <v>0.38</v>
      </c>
      <c r="Y390" s="78"/>
      <c r="Z390" s="79">
        <v>0.4</v>
      </c>
      <c r="AA390" s="80">
        <v>45777</v>
      </c>
      <c r="AB390" s="81">
        <f t="shared" si="888"/>
        <v>93.1875</v>
      </c>
      <c r="AC390" s="81">
        <f t="shared" si="889"/>
        <v>35.411250000000003</v>
      </c>
      <c r="AD390" s="81">
        <f t="shared" si="858"/>
        <v>98.88591562500001</v>
      </c>
      <c r="AE390" s="81">
        <f t="shared" si="890"/>
        <v>11.012898750000002</v>
      </c>
      <c r="AF390" s="167">
        <f t="shared" si="891"/>
        <v>0.36892182905068482</v>
      </c>
      <c r="AG390" s="264"/>
      <c r="AH390" s="264">
        <f t="shared" si="901"/>
        <v>0</v>
      </c>
      <c r="AI390" s="77"/>
      <c r="AJ390" s="79">
        <f t="shared" si="861"/>
        <v>98.88591562500001</v>
      </c>
      <c r="AK390" s="82">
        <f t="shared" si="862"/>
        <v>11.012898750000002</v>
      </c>
      <c r="AL390" s="82">
        <f>(((AI390*M390)*2000)/L390)/Z390</f>
        <v>0</v>
      </c>
      <c r="AM390" s="82">
        <f t="shared" si="863"/>
        <v>88.528125000000003</v>
      </c>
      <c r="AN390" s="82" t="s">
        <v>701</v>
      </c>
      <c r="AO390" s="82">
        <f>8*I390</f>
        <v>71.832797427652736</v>
      </c>
      <c r="AP390" s="82">
        <f t="shared" si="902"/>
        <v>27.053118197347274</v>
      </c>
      <c r="AR390" s="77" t="s">
        <v>91</v>
      </c>
      <c r="AS390" s="63">
        <v>71</v>
      </c>
      <c r="AT390" s="63">
        <v>98</v>
      </c>
      <c r="AU390" s="63">
        <v>87</v>
      </c>
      <c r="AV390" s="63">
        <v>95</v>
      </c>
      <c r="AW390" s="63">
        <v>98</v>
      </c>
      <c r="AX390" s="63">
        <v>96</v>
      </c>
      <c r="AY390" s="63">
        <v>97</v>
      </c>
      <c r="AZ390" s="63">
        <v>101</v>
      </c>
      <c r="BA390" s="63">
        <v>104</v>
      </c>
      <c r="BB390" s="63">
        <v>116</v>
      </c>
      <c r="BC390" s="63">
        <v>93</v>
      </c>
      <c r="BD390" s="63">
        <v>84</v>
      </c>
      <c r="BE390" s="63">
        <v>97</v>
      </c>
      <c r="BF390" s="63">
        <v>93</v>
      </c>
      <c r="BG390" s="63">
        <v>65</v>
      </c>
      <c r="BH390" s="63">
        <v>96</v>
      </c>
    </row>
    <row r="391" spans="1:67" s="63" customFormat="1">
      <c r="A391" s="63" t="s">
        <v>437</v>
      </c>
      <c r="B391" s="68" t="s">
        <v>535</v>
      </c>
      <c r="C391" s="64" t="s">
        <v>536</v>
      </c>
      <c r="D391" s="65" t="s">
        <v>87</v>
      </c>
      <c r="E391" s="66" t="s">
        <v>160</v>
      </c>
      <c r="F391" s="68" t="s">
        <v>537</v>
      </c>
      <c r="G391" s="68" t="s">
        <v>273</v>
      </c>
      <c r="H391" s="69">
        <v>622.28571428571433</v>
      </c>
      <c r="I391" s="74">
        <f>J391/622</f>
        <v>9.4019292604501601</v>
      </c>
      <c r="J391" s="69">
        <v>5848</v>
      </c>
      <c r="K391" s="72"/>
      <c r="L391" s="69">
        <f t="shared" si="853"/>
        <v>5848</v>
      </c>
      <c r="M391" s="86">
        <f t="shared" si="854"/>
        <v>9.3976124885215793</v>
      </c>
      <c r="N391" s="79"/>
      <c r="O391" s="79"/>
      <c r="P391" s="79"/>
      <c r="Q391" s="79"/>
      <c r="R391" s="79"/>
      <c r="S391" s="84">
        <v>6.95</v>
      </c>
      <c r="T391" s="85"/>
      <c r="U391" s="63" t="s">
        <v>365</v>
      </c>
      <c r="V391" s="77" t="s">
        <v>103</v>
      </c>
      <c r="W391" s="77"/>
      <c r="X391" s="78">
        <v>0.4</v>
      </c>
      <c r="Y391" s="78">
        <v>0.42</v>
      </c>
      <c r="Z391" s="79">
        <v>0.4</v>
      </c>
      <c r="AA391" s="80">
        <v>45798</v>
      </c>
      <c r="AB391" s="81">
        <f t="shared" si="888"/>
        <v>74.099999999999994</v>
      </c>
      <c r="AC391" s="81">
        <f>AB391*Y391</f>
        <v>31.121999999999996</v>
      </c>
      <c r="AD391" s="81">
        <f t="shared" si="858"/>
        <v>91.000727999999995</v>
      </c>
      <c r="AE391" s="81">
        <f t="shared" si="890"/>
        <v>9.678942000000001</v>
      </c>
      <c r="AF391" s="167">
        <f t="shared" si="891"/>
        <v>0.28194631190061897</v>
      </c>
      <c r="AG391" s="264"/>
      <c r="AH391" s="264">
        <f t="shared" si="901"/>
        <v>0</v>
      </c>
      <c r="AI391" s="77"/>
      <c r="AJ391" s="79">
        <f t="shared" si="861"/>
        <v>91.000727999999995</v>
      </c>
      <c r="AK391" s="82">
        <f t="shared" si="862"/>
        <v>9.678942000000001</v>
      </c>
      <c r="AL391" s="82"/>
      <c r="AM391" s="82">
        <f t="shared" si="863"/>
        <v>77.804999999999978</v>
      </c>
      <c r="AN391" s="82" t="s">
        <v>701</v>
      </c>
      <c r="AO391" s="82">
        <f>8*I391</f>
        <v>75.215434083601281</v>
      </c>
      <c r="AP391" s="82">
        <f t="shared" si="902"/>
        <v>15.785293916398714</v>
      </c>
      <c r="AR391" s="77" t="s">
        <v>91</v>
      </c>
      <c r="AS391" s="63">
        <v>70</v>
      </c>
      <c r="AT391" s="63">
        <v>78</v>
      </c>
      <c r="AU391" s="63">
        <v>86</v>
      </c>
      <c r="AV391" s="63">
        <v>73</v>
      </c>
      <c r="AW391" s="63">
        <v>80</v>
      </c>
      <c r="AX391" s="63">
        <v>82</v>
      </c>
      <c r="AY391" s="63">
        <v>79</v>
      </c>
      <c r="AZ391" s="63">
        <v>84</v>
      </c>
      <c r="BA391" s="63">
        <v>75</v>
      </c>
      <c r="BB391" s="63">
        <v>87</v>
      </c>
      <c r="BC391" s="63">
        <v>73</v>
      </c>
      <c r="BD391" s="63">
        <v>77</v>
      </c>
      <c r="BE391" s="63">
        <v>63</v>
      </c>
      <c r="BF391" s="63">
        <v>79</v>
      </c>
      <c r="BG391" s="63">
        <v>68</v>
      </c>
      <c r="BH391" s="63">
        <v>70</v>
      </c>
      <c r="BI391" s="63">
        <v>75</v>
      </c>
      <c r="BJ391" s="63">
        <v>65</v>
      </c>
      <c r="BK391" s="63">
        <v>60</v>
      </c>
      <c r="BL391" s="63">
        <v>58</v>
      </c>
    </row>
    <row r="392" spans="1:67" s="63" customFormat="1">
      <c r="A392" s="63" t="s">
        <v>437</v>
      </c>
      <c r="B392" s="68" t="s">
        <v>535</v>
      </c>
      <c r="C392" s="64" t="s">
        <v>538</v>
      </c>
      <c r="D392" s="65" t="s">
        <v>87</v>
      </c>
      <c r="E392" s="66" t="s">
        <v>160</v>
      </c>
      <c r="F392" s="68" t="s">
        <v>537</v>
      </c>
      <c r="G392" s="68" t="s">
        <v>273</v>
      </c>
      <c r="H392" s="69">
        <v>622.28571428571433</v>
      </c>
      <c r="I392" s="74">
        <f>J392/622</f>
        <v>8.979099678456592</v>
      </c>
      <c r="J392" s="69">
        <v>5585</v>
      </c>
      <c r="K392" s="72"/>
      <c r="L392" s="69">
        <f t="shared" si="853"/>
        <v>5585</v>
      </c>
      <c r="M392" s="86">
        <f t="shared" si="854"/>
        <v>8.9749770431588605</v>
      </c>
      <c r="N392" s="79"/>
      <c r="O392" s="79"/>
      <c r="P392" s="79"/>
      <c r="Q392" s="79"/>
      <c r="R392" s="79"/>
      <c r="S392" s="84">
        <v>6.95</v>
      </c>
      <c r="T392" s="85"/>
      <c r="U392" s="63" t="s">
        <v>106</v>
      </c>
      <c r="V392" s="77" t="s">
        <v>103</v>
      </c>
      <c r="W392" s="77"/>
      <c r="X392" s="78">
        <v>0.38</v>
      </c>
      <c r="Y392" s="78">
        <v>0.39</v>
      </c>
      <c r="Z392" s="79">
        <v>0.4</v>
      </c>
      <c r="AA392" s="80">
        <v>45821</v>
      </c>
      <c r="AB392" s="81">
        <f t="shared" si="888"/>
        <v>42</v>
      </c>
      <c r="AC392" s="81">
        <f>AB392*Y392</f>
        <v>16.38</v>
      </c>
      <c r="AD392" s="81">
        <f t="shared" si="858"/>
        <v>45.741149999999998</v>
      </c>
      <c r="AE392" s="81">
        <f t="shared" si="890"/>
        <v>5.0941799999999997</v>
      </c>
      <c r="AF392" s="167">
        <f t="shared" si="891"/>
        <v>-0.36430200738882423</v>
      </c>
      <c r="AG392" s="264"/>
      <c r="AH392" s="264">
        <f t="shared" si="901"/>
        <v>0</v>
      </c>
      <c r="AI392" s="77"/>
      <c r="AJ392" s="79">
        <f t="shared" si="861"/>
        <v>45.741149999999998</v>
      </c>
      <c r="AK392" s="82">
        <f t="shared" si="862"/>
        <v>5.0941799999999997</v>
      </c>
      <c r="AL392" s="82">
        <f>(((AI392*M392)*2000)/L392)/Z392</f>
        <v>0</v>
      </c>
      <c r="AM392" s="82">
        <f t="shared" si="863"/>
        <v>40.949999999999996</v>
      </c>
      <c r="AN392" s="82" t="s">
        <v>701</v>
      </c>
      <c r="AO392" s="82">
        <f>8*I392</f>
        <v>71.832797427652736</v>
      </c>
      <c r="AP392" s="82">
        <f t="shared" si="902"/>
        <v>-26.091647427652738</v>
      </c>
      <c r="AQ392" s="63" t="s">
        <v>822</v>
      </c>
      <c r="AR392" s="77" t="s">
        <v>116</v>
      </c>
      <c r="AS392" s="63">
        <v>47</v>
      </c>
      <c r="AT392" s="63">
        <v>45</v>
      </c>
      <c r="AU392" s="63">
        <v>41</v>
      </c>
      <c r="AV392" s="63">
        <v>49</v>
      </c>
      <c r="AW392" s="63">
        <v>44</v>
      </c>
      <c r="AX392" s="63">
        <v>41</v>
      </c>
      <c r="AY392" s="63">
        <v>39</v>
      </c>
      <c r="AZ392" s="63">
        <v>46</v>
      </c>
      <c r="BA392" s="63">
        <v>38</v>
      </c>
      <c r="BB392" s="63">
        <v>41</v>
      </c>
      <c r="BC392" s="63">
        <v>36</v>
      </c>
      <c r="BD392" s="63">
        <v>47</v>
      </c>
      <c r="BE392" s="63">
        <v>41</v>
      </c>
      <c r="BF392" s="63">
        <v>35</v>
      </c>
      <c r="BG392" s="63">
        <v>39</v>
      </c>
      <c r="BH392" s="63">
        <v>43</v>
      </c>
    </row>
    <row r="393" spans="1:67" s="63" customFormat="1">
      <c r="A393" s="63" t="s">
        <v>437</v>
      </c>
      <c r="B393" s="68" t="s">
        <v>535</v>
      </c>
      <c r="C393" s="64" t="s">
        <v>536</v>
      </c>
      <c r="D393" s="65" t="s">
        <v>87</v>
      </c>
      <c r="E393" s="66" t="s">
        <v>160</v>
      </c>
      <c r="F393" s="68" t="s">
        <v>537</v>
      </c>
      <c r="G393" s="68" t="s">
        <v>273</v>
      </c>
      <c r="H393" s="69">
        <v>622.28571428571433</v>
      </c>
      <c r="I393" s="74">
        <f>J393/622</f>
        <v>9.4019292604501601</v>
      </c>
      <c r="J393" s="69">
        <v>5848</v>
      </c>
      <c r="K393" s="72"/>
      <c r="L393" s="69">
        <f t="shared" si="853"/>
        <v>5848</v>
      </c>
      <c r="M393" s="86">
        <f t="shared" si="854"/>
        <v>9.3976124885215793</v>
      </c>
      <c r="N393" s="79"/>
      <c r="O393" s="79"/>
      <c r="P393" s="79"/>
      <c r="Q393" s="79"/>
      <c r="R393" s="79"/>
      <c r="S393" s="84">
        <v>6.95</v>
      </c>
      <c r="T393" s="85"/>
      <c r="U393" s="63" t="s">
        <v>365</v>
      </c>
      <c r="V393" s="77" t="s">
        <v>103</v>
      </c>
      <c r="W393" s="77"/>
      <c r="X393" s="78">
        <v>0.4</v>
      </c>
      <c r="Y393" s="78">
        <v>0.42</v>
      </c>
      <c r="Z393" s="79">
        <v>0.4</v>
      </c>
      <c r="AA393" s="80">
        <v>45823</v>
      </c>
      <c r="AB393" s="81">
        <f t="shared" si="888"/>
        <v>59</v>
      </c>
      <c r="AC393" s="81">
        <f>AB393*Y393</f>
        <v>24.779999999999998</v>
      </c>
      <c r="AD393" s="81">
        <f t="shared" si="858"/>
        <v>72.45671999999999</v>
      </c>
      <c r="AE393" s="81">
        <f t="shared" si="890"/>
        <v>7.7065799999999998</v>
      </c>
      <c r="AF393" s="167">
        <f t="shared" si="891"/>
        <v>9.817324935315011E-2</v>
      </c>
      <c r="AG393" s="264"/>
      <c r="AH393" s="264">
        <f t="shared" si="901"/>
        <v>0</v>
      </c>
      <c r="AI393" s="77"/>
      <c r="AJ393" s="79">
        <f t="shared" si="861"/>
        <v>72.45671999999999</v>
      </c>
      <c r="AK393" s="82">
        <f t="shared" si="862"/>
        <v>7.7065799999999998</v>
      </c>
      <c r="AL393" s="82"/>
      <c r="AM393" s="82">
        <f t="shared" si="863"/>
        <v>61.949999999999989</v>
      </c>
      <c r="AN393" s="82" t="s">
        <v>701</v>
      </c>
      <c r="AO393" s="82">
        <f>8*I393</f>
        <v>75.215434083601281</v>
      </c>
      <c r="AP393" s="82">
        <f t="shared" si="902"/>
        <v>-2.7587140836012907</v>
      </c>
      <c r="AR393" s="77" t="s">
        <v>116</v>
      </c>
      <c r="AS393" s="63">
        <v>55</v>
      </c>
      <c r="AT393" s="63">
        <v>57</v>
      </c>
      <c r="AU393" s="63">
        <v>60</v>
      </c>
      <c r="AV393" s="63">
        <v>59</v>
      </c>
      <c r="AW393" s="63">
        <v>62</v>
      </c>
      <c r="AX393" s="63">
        <v>58</v>
      </c>
      <c r="AY393" s="63">
        <v>55</v>
      </c>
      <c r="AZ393" s="63">
        <v>63</v>
      </c>
      <c r="BA393" s="63">
        <v>60</v>
      </c>
      <c r="BB393" s="63">
        <v>67</v>
      </c>
      <c r="BC393" s="63">
        <v>49</v>
      </c>
      <c r="BD393" s="63">
        <v>56</v>
      </c>
      <c r="BE393" s="63">
        <v>68</v>
      </c>
      <c r="BF393" s="63">
        <v>53</v>
      </c>
      <c r="BG393" s="63">
        <v>59</v>
      </c>
      <c r="BH393" s="63">
        <v>63</v>
      </c>
    </row>
    <row r="394" spans="1:67" s="113" customFormat="1">
      <c r="A394" s="113" t="s">
        <v>437</v>
      </c>
      <c r="B394" s="126" t="s">
        <v>540</v>
      </c>
      <c r="C394" s="114" t="s">
        <v>543</v>
      </c>
      <c r="D394" s="128" t="s">
        <v>193</v>
      </c>
      <c r="E394" s="127" t="s">
        <v>88</v>
      </c>
      <c r="F394" s="126" t="s">
        <v>542</v>
      </c>
      <c r="G394" s="126" t="s">
        <v>513</v>
      </c>
      <c r="H394" s="123">
        <v>726</v>
      </c>
      <c r="I394" s="125">
        <v>29.35</v>
      </c>
      <c r="J394" s="123">
        <v>21179</v>
      </c>
      <c r="K394" s="124">
        <v>0.01</v>
      </c>
      <c r="L394" s="123">
        <f t="shared" si="853"/>
        <v>20967.21</v>
      </c>
      <c r="M394" s="122">
        <f t="shared" si="854"/>
        <v>28.880454545454544</v>
      </c>
      <c r="N394" s="125"/>
      <c r="O394" s="125"/>
      <c r="P394" s="125"/>
      <c r="Q394" s="125"/>
      <c r="R394" s="125"/>
      <c r="S394" s="154">
        <v>5.55</v>
      </c>
      <c r="T394" s="129"/>
      <c r="V394" s="115" t="s">
        <v>103</v>
      </c>
      <c r="W394" s="115"/>
      <c r="X394" s="120">
        <v>0.3</v>
      </c>
      <c r="Y394" s="120"/>
      <c r="Z394" s="118">
        <v>0.33</v>
      </c>
      <c r="AA394" s="119">
        <v>45790</v>
      </c>
      <c r="AB394" s="117">
        <f t="shared" si="888"/>
        <v>99.55</v>
      </c>
      <c r="AC394" s="117">
        <f>AB394*X394</f>
        <v>29.864999999999998</v>
      </c>
      <c r="AD394" s="117">
        <f t="shared" si="858"/>
        <v>313.092863325</v>
      </c>
      <c r="AE394" s="117">
        <f t="shared" si="890"/>
        <v>10.667559227427597</v>
      </c>
      <c r="AF394" s="170">
        <f t="shared" si="891"/>
        <v>0.47973103484344648</v>
      </c>
      <c r="AG394" s="265">
        <v>8.1999999999999993</v>
      </c>
      <c r="AH394" s="265">
        <f t="shared" si="901"/>
        <v>0.22691644078795348</v>
      </c>
      <c r="AI394" s="115"/>
      <c r="AJ394" s="118">
        <f t="shared" si="861"/>
        <v>313.092863325</v>
      </c>
      <c r="AK394" s="116">
        <f t="shared" si="862"/>
        <v>10.667559227427597</v>
      </c>
      <c r="AL394" s="116"/>
      <c r="AM394" s="116">
        <f t="shared" si="863"/>
        <v>89.594999999999999</v>
      </c>
      <c r="AN394" s="116" t="s">
        <v>701</v>
      </c>
      <c r="AO394" s="116">
        <f t="shared" ref="AO394:AO399" si="903">8.5*I394</f>
        <v>249.47500000000002</v>
      </c>
      <c r="AP394" s="116">
        <f t="shared" si="902"/>
        <v>63.617863324999973</v>
      </c>
      <c r="AR394" s="115" t="s">
        <v>116</v>
      </c>
      <c r="AS394" s="113">
        <v>102</v>
      </c>
      <c r="AT394" s="113">
        <v>95</v>
      </c>
      <c r="AU394" s="113">
        <v>110</v>
      </c>
      <c r="AV394" s="113">
        <v>99</v>
      </c>
      <c r="AW394" s="113">
        <v>98</v>
      </c>
      <c r="AX394" s="113">
        <v>107</v>
      </c>
      <c r="AY394" s="113">
        <v>96</v>
      </c>
      <c r="AZ394" s="113">
        <v>109</v>
      </c>
      <c r="BA394" s="113">
        <v>97</v>
      </c>
      <c r="BB394" s="113">
        <v>103</v>
      </c>
      <c r="BC394" s="113">
        <v>111</v>
      </c>
      <c r="BD394" s="113">
        <v>76</v>
      </c>
      <c r="BE394" s="113">
        <v>89</v>
      </c>
      <c r="BF394" s="113">
        <v>103</v>
      </c>
      <c r="BG394" s="113">
        <v>109</v>
      </c>
      <c r="BH394" s="113">
        <v>99</v>
      </c>
      <c r="BI394" s="113">
        <v>92</v>
      </c>
      <c r="BJ394" s="113">
        <v>103</v>
      </c>
      <c r="BK394" s="113">
        <v>94</v>
      </c>
      <c r="BL394" s="113">
        <v>99</v>
      </c>
    </row>
    <row r="395" spans="1:67" s="113" customFormat="1">
      <c r="A395" s="113" t="s">
        <v>437</v>
      </c>
      <c r="B395" s="126" t="s">
        <v>540</v>
      </c>
      <c r="C395" s="114" t="s">
        <v>541</v>
      </c>
      <c r="D395" s="128" t="s">
        <v>193</v>
      </c>
      <c r="E395" s="127" t="s">
        <v>88</v>
      </c>
      <c r="F395" s="126" t="s">
        <v>542</v>
      </c>
      <c r="G395" s="126" t="s">
        <v>513</v>
      </c>
      <c r="H395" s="123">
        <v>726</v>
      </c>
      <c r="I395" s="125">
        <v>28.73</v>
      </c>
      <c r="J395" s="123">
        <v>20726</v>
      </c>
      <c r="K395" s="124">
        <v>0.01</v>
      </c>
      <c r="L395" s="123">
        <f t="shared" si="853"/>
        <v>20518.740000000002</v>
      </c>
      <c r="M395" s="122">
        <f t="shared" si="854"/>
        <v>28.262727272727275</v>
      </c>
      <c r="N395" s="125"/>
      <c r="O395" s="125"/>
      <c r="P395" s="125"/>
      <c r="Q395" s="125"/>
      <c r="R395" s="125"/>
      <c r="S395" s="154">
        <v>5.55</v>
      </c>
      <c r="T395" s="129"/>
      <c r="V395" s="115" t="s">
        <v>103</v>
      </c>
      <c r="W395" s="115"/>
      <c r="X395" s="120">
        <v>0.3</v>
      </c>
      <c r="Y395" s="120"/>
      <c r="Z395" s="118">
        <v>0.33</v>
      </c>
      <c r="AA395" s="119">
        <v>45790</v>
      </c>
      <c r="AB395" s="117">
        <f t="shared" si="888"/>
        <v>113.3</v>
      </c>
      <c r="AC395" s="117">
        <f>AB395*X395</f>
        <v>33.989999999999995</v>
      </c>
      <c r="AD395" s="117">
        <f t="shared" si="858"/>
        <v>348.7159863</v>
      </c>
      <c r="AE395" s="117">
        <f>IFERROR((AD395/I395),"")</f>
        <v>12.137695311521059</v>
      </c>
      <c r="AF395" s="170">
        <f t="shared" si="891"/>
        <v>0.54274680179754065</v>
      </c>
      <c r="AG395" s="265">
        <v>8.1999999999999993</v>
      </c>
      <c r="AH395" s="265">
        <f t="shared" si="901"/>
        <v>0.19937803777970672</v>
      </c>
      <c r="AI395" s="115"/>
      <c r="AJ395" s="118">
        <f t="shared" si="861"/>
        <v>348.7159863</v>
      </c>
      <c r="AK395" s="116">
        <f t="shared" si="862"/>
        <v>12.137695311521059</v>
      </c>
      <c r="AL395" s="116"/>
      <c r="AM395" s="116">
        <f t="shared" si="863"/>
        <v>101.96999999999998</v>
      </c>
      <c r="AN395" s="116" t="s">
        <v>701</v>
      </c>
      <c r="AO395" s="116">
        <f t="shared" si="903"/>
        <v>244.20500000000001</v>
      </c>
      <c r="AP395" s="116">
        <f t="shared" si="902"/>
        <v>104.51098629999998</v>
      </c>
      <c r="AR395" s="115" t="s">
        <v>116</v>
      </c>
      <c r="AS395" s="113">
        <v>104</v>
      </c>
      <c r="AT395" s="113">
        <v>105</v>
      </c>
      <c r="AU395" s="113">
        <v>110</v>
      </c>
      <c r="AV395" s="113">
        <v>120</v>
      </c>
      <c r="AW395" s="113">
        <v>115</v>
      </c>
      <c r="AX395" s="113">
        <v>109</v>
      </c>
      <c r="AY395" s="113">
        <v>132</v>
      </c>
      <c r="AZ395" s="113">
        <v>128</v>
      </c>
      <c r="BA395" s="113">
        <v>115</v>
      </c>
      <c r="BB395" s="113">
        <v>69</v>
      </c>
      <c r="BC395" s="113">
        <v>130</v>
      </c>
      <c r="BD395" s="113">
        <v>119</v>
      </c>
      <c r="BE395" s="113">
        <v>118</v>
      </c>
      <c r="BF395" s="113">
        <v>87</v>
      </c>
      <c r="BG395" s="113">
        <v>108</v>
      </c>
      <c r="BH395" s="113">
        <v>119</v>
      </c>
      <c r="BI395" s="113">
        <v>128</v>
      </c>
      <c r="BJ395" s="113">
        <v>130</v>
      </c>
      <c r="BK395" s="113">
        <v>103</v>
      </c>
      <c r="BL395" s="113">
        <v>117</v>
      </c>
    </row>
    <row r="396" spans="1:67" s="113" customFormat="1" hidden="1">
      <c r="A396" s="113" t="s">
        <v>437</v>
      </c>
      <c r="B396" s="126" t="s">
        <v>540</v>
      </c>
      <c r="C396" s="114" t="s">
        <v>541</v>
      </c>
      <c r="D396" s="128" t="s">
        <v>193</v>
      </c>
      <c r="E396" s="127" t="s">
        <v>88</v>
      </c>
      <c r="F396" s="126" t="s">
        <v>542</v>
      </c>
      <c r="G396" s="126" t="s">
        <v>513</v>
      </c>
      <c r="H396" s="123">
        <v>726</v>
      </c>
      <c r="I396" s="125">
        <v>28.73</v>
      </c>
      <c r="J396" s="123">
        <v>20726</v>
      </c>
      <c r="K396" s="124">
        <v>0.01</v>
      </c>
      <c r="L396" s="123">
        <f t="shared" si="853"/>
        <v>20518.740000000002</v>
      </c>
      <c r="M396" s="122">
        <f t="shared" si="854"/>
        <v>28.262727272727275</v>
      </c>
      <c r="N396" s="125"/>
      <c r="O396" s="125"/>
      <c r="P396" s="125"/>
      <c r="Q396" s="125"/>
      <c r="R396" s="125"/>
      <c r="S396" s="154">
        <v>5.55</v>
      </c>
      <c r="T396" s="129"/>
      <c r="V396" s="115" t="s">
        <v>103</v>
      </c>
      <c r="W396" s="115"/>
      <c r="X396" s="120">
        <v>0.3</v>
      </c>
      <c r="Y396" s="120"/>
      <c r="Z396" s="118">
        <v>0.33</v>
      </c>
      <c r="AA396" s="119">
        <v>45820</v>
      </c>
      <c r="AB396" s="117">
        <f t="shared" si="888"/>
        <v>58.75</v>
      </c>
      <c r="AC396" s="117">
        <f>AB396*X396</f>
        <v>17.625</v>
      </c>
      <c r="AD396" s="117">
        <f t="shared" si="858"/>
        <v>180.82139625000002</v>
      </c>
      <c r="AE396" s="117">
        <f t="shared" si="890"/>
        <v>6.2938181778628621</v>
      </c>
      <c r="AF396" s="170">
        <f t="shared" si="891"/>
        <v>0.11818234287083175</v>
      </c>
      <c r="AG396" s="265">
        <v>8.1999999999999993</v>
      </c>
      <c r="AH396" s="265">
        <f t="shared" si="901"/>
        <v>0.38450266690111951</v>
      </c>
      <c r="AI396" s="115"/>
      <c r="AJ396" s="118">
        <f t="shared" si="861"/>
        <v>180.82139625000002</v>
      </c>
      <c r="AK396" s="116">
        <f t="shared" si="862"/>
        <v>6.2938181778628621</v>
      </c>
      <c r="AL396" s="116"/>
      <c r="AM396" s="116">
        <f t="shared" si="863"/>
        <v>52.875</v>
      </c>
      <c r="AN396" s="116" t="s">
        <v>701</v>
      </c>
      <c r="AO396" s="116">
        <f t="shared" si="903"/>
        <v>244.20500000000001</v>
      </c>
      <c r="AP396" s="116">
        <f t="shared" si="902"/>
        <v>-63.383603749999992</v>
      </c>
      <c r="AR396" s="115" t="s">
        <v>116</v>
      </c>
      <c r="AS396" s="113">
        <v>62</v>
      </c>
      <c r="AT396" s="113">
        <v>67</v>
      </c>
      <c r="AU396" s="113">
        <v>59</v>
      </c>
      <c r="AV396" s="113">
        <v>51</v>
      </c>
      <c r="AW396" s="113">
        <v>49</v>
      </c>
      <c r="AX396" s="113">
        <v>56</v>
      </c>
      <c r="AY396" s="113">
        <v>60</v>
      </c>
      <c r="AZ396" s="113">
        <v>58</v>
      </c>
      <c r="BA396" s="113">
        <v>62</v>
      </c>
      <c r="BB396" s="113">
        <v>57</v>
      </c>
      <c r="BC396" s="113">
        <v>65</v>
      </c>
      <c r="BD396" s="113">
        <v>63</v>
      </c>
      <c r="BE396" s="113">
        <v>54</v>
      </c>
      <c r="BF396" s="113">
        <v>58</v>
      </c>
      <c r="BG396" s="113">
        <v>60</v>
      </c>
      <c r="BH396" s="113">
        <v>59</v>
      </c>
    </row>
    <row r="397" spans="1:67" s="113" customFormat="1" hidden="1">
      <c r="A397" s="113" t="s">
        <v>437</v>
      </c>
      <c r="B397" s="126" t="s">
        <v>540</v>
      </c>
      <c r="C397" s="114" t="s">
        <v>543</v>
      </c>
      <c r="D397" s="128" t="s">
        <v>193</v>
      </c>
      <c r="E397" s="127" t="s">
        <v>88</v>
      </c>
      <c r="F397" s="126" t="s">
        <v>542</v>
      </c>
      <c r="G397" s="126" t="s">
        <v>513</v>
      </c>
      <c r="H397" s="123">
        <v>726</v>
      </c>
      <c r="I397" s="125">
        <v>29.35</v>
      </c>
      <c r="J397" s="123">
        <v>21179</v>
      </c>
      <c r="K397" s="124">
        <v>0.01</v>
      </c>
      <c r="L397" s="123">
        <f t="shared" si="853"/>
        <v>20967.21</v>
      </c>
      <c r="M397" s="122">
        <f t="shared" si="854"/>
        <v>28.880454545454544</v>
      </c>
      <c r="N397" s="125"/>
      <c r="O397" s="125"/>
      <c r="P397" s="125"/>
      <c r="Q397" s="125"/>
      <c r="R397" s="125"/>
      <c r="S397" s="154">
        <v>5.55</v>
      </c>
      <c r="T397" s="129"/>
      <c r="V397" s="115" t="s">
        <v>103</v>
      </c>
      <c r="W397" s="115"/>
      <c r="X397" s="120">
        <v>0.3</v>
      </c>
      <c r="Y397" s="120"/>
      <c r="Z397" s="118">
        <v>0.33</v>
      </c>
      <c r="AA397" s="119">
        <v>45820</v>
      </c>
      <c r="AB397" s="117">
        <f t="shared" si="888"/>
        <v>58.5625</v>
      </c>
      <c r="AC397" s="117">
        <f t="shared" ref="AC397:AC399" si="904">AB397*X397</f>
        <v>17.568749999999998</v>
      </c>
      <c r="AD397" s="117">
        <f t="shared" si="858"/>
        <v>184.18383534374996</v>
      </c>
      <c r="AE397" s="117">
        <f t="shared" si="890"/>
        <v>6.2754288021720601</v>
      </c>
      <c r="AF397" s="170">
        <f t="shared" si="891"/>
        <v>0.11559828420345936</v>
      </c>
      <c r="AG397" s="265">
        <v>8.1999999999999993</v>
      </c>
      <c r="AH397" s="265">
        <f t="shared" si="901"/>
        <v>0.3857337320032575</v>
      </c>
      <c r="AI397" s="115"/>
      <c r="AJ397" s="118">
        <f t="shared" si="861"/>
        <v>184.18383534374996</v>
      </c>
      <c r="AK397" s="116">
        <f t="shared" si="862"/>
        <v>6.2754288021720601</v>
      </c>
      <c r="AL397" s="116"/>
      <c r="AM397" s="116">
        <f t="shared" si="863"/>
        <v>52.70624999999999</v>
      </c>
      <c r="AN397" s="116" t="s">
        <v>701</v>
      </c>
      <c r="AO397" s="116">
        <f t="shared" si="903"/>
        <v>249.47500000000002</v>
      </c>
      <c r="AP397" s="116">
        <f t="shared" si="902"/>
        <v>-65.291164656250061</v>
      </c>
      <c r="AR397" s="115" t="s">
        <v>116</v>
      </c>
      <c r="AS397" s="113">
        <v>56</v>
      </c>
      <c r="AT397" s="113">
        <v>59</v>
      </c>
      <c r="AU397" s="113">
        <v>63</v>
      </c>
      <c r="AV397" s="113">
        <v>60</v>
      </c>
      <c r="AW397" s="113">
        <v>53</v>
      </c>
      <c r="AX397" s="113">
        <v>58</v>
      </c>
      <c r="AY397" s="113">
        <v>60</v>
      </c>
      <c r="AZ397" s="113">
        <v>62</v>
      </c>
      <c r="BA397" s="113">
        <v>59</v>
      </c>
      <c r="BB397" s="113">
        <v>49</v>
      </c>
      <c r="BC397" s="113">
        <v>57</v>
      </c>
      <c r="BD397" s="113">
        <v>59</v>
      </c>
      <c r="BE397" s="113">
        <v>63</v>
      </c>
      <c r="BF397" s="113">
        <v>66</v>
      </c>
      <c r="BG397" s="113">
        <v>58</v>
      </c>
      <c r="BH397" s="113">
        <v>55</v>
      </c>
    </row>
    <row r="398" spans="1:67" s="113" customFormat="1">
      <c r="A398" s="113" t="s">
        <v>437</v>
      </c>
      <c r="B398" s="126" t="s">
        <v>540</v>
      </c>
      <c r="C398" s="114" t="s">
        <v>541</v>
      </c>
      <c r="D398" s="128" t="s">
        <v>193</v>
      </c>
      <c r="E398" s="127" t="s">
        <v>88</v>
      </c>
      <c r="F398" s="126" t="s">
        <v>542</v>
      </c>
      <c r="G398" s="126" t="s">
        <v>513</v>
      </c>
      <c r="H398" s="123">
        <v>726</v>
      </c>
      <c r="I398" s="125">
        <v>28.73</v>
      </c>
      <c r="J398" s="123">
        <v>20726</v>
      </c>
      <c r="K398" s="124">
        <v>0.01</v>
      </c>
      <c r="L398" s="123">
        <f t="shared" ref="L398:L399" si="905">J398-(J398*K398)</f>
        <v>20518.740000000002</v>
      </c>
      <c r="M398" s="122">
        <f t="shared" ref="M398:M399" si="906">L398/H398</f>
        <v>28.262727272727275</v>
      </c>
      <c r="N398" s="125"/>
      <c r="O398" s="125"/>
      <c r="P398" s="125"/>
      <c r="Q398" s="125"/>
      <c r="R398" s="125"/>
      <c r="S398" s="154">
        <v>5.55</v>
      </c>
      <c r="T398" s="129"/>
      <c r="V398" s="115" t="s">
        <v>103</v>
      </c>
      <c r="W398" s="115"/>
      <c r="X398" s="120">
        <v>0.3</v>
      </c>
      <c r="Y398" s="120"/>
      <c r="Z398" s="118">
        <v>0.33</v>
      </c>
      <c r="AA398" s="119">
        <v>45849</v>
      </c>
      <c r="AB398" s="117">
        <f t="shared" ref="AB398:AB399" si="907">IFERROR(AVERAGE(AS398:CP398),0)</f>
        <v>93.916666666666671</v>
      </c>
      <c r="AC398" s="117">
        <f t="shared" si="904"/>
        <v>28.175000000000001</v>
      </c>
      <c r="AD398" s="117">
        <f t="shared" ref="AD398:AD399" si="908">(AC398*L398)/2000</f>
        <v>289.05774975000003</v>
      </c>
      <c r="AE398" s="117">
        <f t="shared" ref="AE398:AE399" si="909">IFERROR((AD398/I398),"")</f>
        <v>10.061181682909851</v>
      </c>
      <c r="AF398" s="170">
        <f t="shared" ref="AF398:AF399" si="910">IFERROR(((AE398-S398)/AE398),"")</f>
        <v>0.44837493498130992</v>
      </c>
      <c r="AG398" s="265">
        <v>8.1999999999999993</v>
      </c>
      <c r="AH398" s="265">
        <f t="shared" si="901"/>
        <v>0.24052740032412531</v>
      </c>
      <c r="AI398" s="115"/>
      <c r="AJ398" s="118">
        <f t="shared" ref="AJ398:AJ399" si="911">AD398-(AI398*I398)</f>
        <v>289.05774975000003</v>
      </c>
      <c r="AK398" s="116">
        <f t="shared" ref="AK398:AK399" si="912">AJ398/I398</f>
        <v>10.061181682909851</v>
      </c>
      <c r="AL398" s="116"/>
      <c r="AM398" s="116">
        <f t="shared" ref="AM398:AM399" si="913">((AJ398*2000)/Z398)/J398</f>
        <v>84.524999999999991</v>
      </c>
      <c r="AN398" s="116" t="s">
        <v>701</v>
      </c>
      <c r="AO398" s="116">
        <f t="shared" si="903"/>
        <v>244.20500000000001</v>
      </c>
      <c r="AP398" s="116">
        <f t="shared" ref="AP398:AP399" si="914">AD398-AO398</f>
        <v>44.852749750000015</v>
      </c>
      <c r="AR398" s="115" t="s">
        <v>91</v>
      </c>
      <c r="AS398" s="113">
        <v>79</v>
      </c>
      <c r="AT398" s="113">
        <v>99</v>
      </c>
      <c r="AU398" s="113">
        <v>83</v>
      </c>
      <c r="AV398" s="113">
        <v>87</v>
      </c>
      <c r="AW398" s="113">
        <v>107</v>
      </c>
      <c r="AX398" s="113">
        <v>106</v>
      </c>
      <c r="AY398" s="113">
        <v>97</v>
      </c>
      <c r="AZ398" s="113">
        <v>90</v>
      </c>
      <c r="BA398" s="113">
        <v>98</v>
      </c>
      <c r="BB398" s="113">
        <v>102</v>
      </c>
      <c r="BC398" s="113">
        <v>106</v>
      </c>
      <c r="BD398" s="113">
        <v>73</v>
      </c>
    </row>
    <row r="399" spans="1:67" s="113" customFormat="1">
      <c r="A399" s="113" t="s">
        <v>437</v>
      </c>
      <c r="B399" s="126" t="s">
        <v>540</v>
      </c>
      <c r="C399" s="114" t="s">
        <v>543</v>
      </c>
      <c r="D399" s="128" t="s">
        <v>193</v>
      </c>
      <c r="E399" s="127" t="s">
        <v>88</v>
      </c>
      <c r="F399" s="126" t="s">
        <v>542</v>
      </c>
      <c r="G399" s="126" t="s">
        <v>513</v>
      </c>
      <c r="H399" s="123">
        <v>726</v>
      </c>
      <c r="I399" s="125">
        <v>29.35</v>
      </c>
      <c r="J399" s="123">
        <v>21179</v>
      </c>
      <c r="K399" s="124">
        <v>0.01</v>
      </c>
      <c r="L399" s="123">
        <f t="shared" si="905"/>
        <v>20967.21</v>
      </c>
      <c r="M399" s="122">
        <f t="shared" si="906"/>
        <v>28.880454545454544</v>
      </c>
      <c r="N399" s="125"/>
      <c r="O399" s="125"/>
      <c r="P399" s="125"/>
      <c r="Q399" s="125"/>
      <c r="R399" s="125"/>
      <c r="S399" s="154">
        <v>5.55</v>
      </c>
      <c r="T399" s="129"/>
      <c r="V399" s="115" t="s">
        <v>103</v>
      </c>
      <c r="W399" s="115"/>
      <c r="X399" s="120">
        <v>0.3</v>
      </c>
      <c r="Y399" s="120"/>
      <c r="Z399" s="118">
        <v>0.33</v>
      </c>
      <c r="AA399" s="119">
        <v>45849</v>
      </c>
      <c r="AB399" s="117">
        <f t="shared" si="907"/>
        <v>85.166666666666671</v>
      </c>
      <c r="AC399" s="117">
        <f t="shared" si="904"/>
        <v>25.55</v>
      </c>
      <c r="AD399" s="117">
        <f t="shared" si="908"/>
        <v>267.85610775000004</v>
      </c>
      <c r="AE399" s="117">
        <f t="shared" si="909"/>
        <v>9.1262728364565593</v>
      </c>
      <c r="AF399" s="170">
        <f t="shared" si="910"/>
        <v>0.39186564992561762</v>
      </c>
      <c r="AG399" s="265">
        <v>8.1999999999999993</v>
      </c>
      <c r="AH399" s="265">
        <f t="shared" si="901"/>
        <v>0.26523911953550799</v>
      </c>
      <c r="AI399" s="115"/>
      <c r="AJ399" s="118">
        <f t="shared" si="911"/>
        <v>267.85610775000004</v>
      </c>
      <c r="AK399" s="116">
        <f t="shared" si="912"/>
        <v>9.1262728364565593</v>
      </c>
      <c r="AL399" s="116"/>
      <c r="AM399" s="116">
        <f t="shared" si="913"/>
        <v>76.650000000000006</v>
      </c>
      <c r="AN399" s="116" t="s">
        <v>701</v>
      </c>
      <c r="AO399" s="116">
        <f t="shared" si="903"/>
        <v>249.47500000000002</v>
      </c>
      <c r="AP399" s="116">
        <f t="shared" si="914"/>
        <v>18.381107750000012</v>
      </c>
      <c r="AR399" s="115" t="s">
        <v>91</v>
      </c>
      <c r="AS399" s="113">
        <v>73</v>
      </c>
      <c r="AT399" s="113">
        <v>109</v>
      </c>
      <c r="AU399" s="113">
        <v>82</v>
      </c>
      <c r="AV399" s="113">
        <v>93</v>
      </c>
      <c r="AW399" s="113">
        <v>94</v>
      </c>
      <c r="AX399" s="113">
        <v>91</v>
      </c>
      <c r="AY399" s="113">
        <v>78</v>
      </c>
      <c r="AZ399" s="113">
        <v>68</v>
      </c>
      <c r="BA399" s="113">
        <v>72</v>
      </c>
      <c r="BB399" s="113">
        <v>86</v>
      </c>
      <c r="BC399" s="113">
        <v>95</v>
      </c>
      <c r="BD399" s="113">
        <v>81</v>
      </c>
    </row>
    <row r="400" spans="1:67" s="113" customFormat="1">
      <c r="A400" s="113" t="s">
        <v>437</v>
      </c>
      <c r="B400" s="126" t="s">
        <v>540</v>
      </c>
      <c r="C400" s="114" t="s">
        <v>541</v>
      </c>
      <c r="D400" s="128" t="s">
        <v>193</v>
      </c>
      <c r="E400" s="127" t="s">
        <v>88</v>
      </c>
      <c r="F400" s="126" t="s">
        <v>542</v>
      </c>
      <c r="G400" s="126" t="s">
        <v>513</v>
      </c>
      <c r="H400" s="123">
        <v>726</v>
      </c>
      <c r="I400" s="125">
        <v>28.73</v>
      </c>
      <c r="J400" s="123">
        <v>20726</v>
      </c>
      <c r="K400" s="124">
        <v>0.01</v>
      </c>
      <c r="L400" s="123">
        <f t="shared" ref="L400:L401" si="915">J400-(J400*K400)</f>
        <v>20518.740000000002</v>
      </c>
      <c r="M400" s="122">
        <f t="shared" ref="M400:M401" si="916">L400/H400</f>
        <v>28.262727272727275</v>
      </c>
      <c r="N400" s="125"/>
      <c r="O400" s="125"/>
      <c r="P400" s="125"/>
      <c r="Q400" s="125"/>
      <c r="R400" s="125"/>
      <c r="S400" s="154">
        <v>5.55</v>
      </c>
      <c r="T400" s="129"/>
      <c r="V400" s="115" t="s">
        <v>103</v>
      </c>
      <c r="W400" s="115"/>
      <c r="X400" s="120">
        <v>0.3</v>
      </c>
      <c r="Y400" s="120"/>
      <c r="Z400" s="118">
        <v>0.33</v>
      </c>
      <c r="AA400" s="119">
        <v>45911</v>
      </c>
      <c r="AB400" s="117">
        <f t="shared" ref="AB400:AB401" si="917">IFERROR(AVERAGE(AS400:CP400),0)</f>
        <v>0</v>
      </c>
      <c r="AC400" s="117">
        <v>27.12</v>
      </c>
      <c r="AD400" s="117">
        <f t="shared" ref="AD400:AD401" si="918">(AC400*L400)/2000</f>
        <v>278.23411440000001</v>
      </c>
      <c r="AE400" s="117">
        <f t="shared" ref="AE400:AE401" si="919">IFERROR((AD400/I400),"")</f>
        <v>9.6844453324051525</v>
      </c>
      <c r="AF400" s="170">
        <f t="shared" ref="AF400:AF401" si="920">IFERROR(((AE400-S400)/AE400),"")</f>
        <v>0.42691606906705049</v>
      </c>
      <c r="AG400" s="265">
        <v>8.1999999999999993</v>
      </c>
      <c r="AH400" s="265" t="e">
        <f t="shared" si="901"/>
        <v>#DIV/0!</v>
      </c>
      <c r="AI400" s="115"/>
      <c r="AJ400" s="118">
        <f t="shared" ref="AJ400:AJ401" si="921">AD400-(AI400*I400)</f>
        <v>278.23411440000001</v>
      </c>
      <c r="AK400" s="116">
        <f t="shared" ref="AK400:AK401" si="922">AJ400/I400</f>
        <v>9.6844453324051525</v>
      </c>
      <c r="AL400" s="116"/>
      <c r="AM400" s="116">
        <f t="shared" ref="AM400:AM401" si="923">((AJ400*2000)/Z400)/J400</f>
        <v>81.36</v>
      </c>
      <c r="AN400" s="116" t="s">
        <v>701</v>
      </c>
      <c r="AO400" s="116">
        <f t="shared" ref="AO400:AO401" si="924">8.5*I400</f>
        <v>244.20500000000001</v>
      </c>
      <c r="AP400" s="116">
        <f t="shared" ref="AP400:AP401" si="925">AD400-AO400</f>
        <v>34.029114399999997</v>
      </c>
      <c r="AR400" s="115"/>
    </row>
    <row r="401" spans="1:65" s="113" customFormat="1">
      <c r="A401" s="113" t="s">
        <v>437</v>
      </c>
      <c r="B401" s="126" t="s">
        <v>540</v>
      </c>
      <c r="C401" s="114" t="s">
        <v>543</v>
      </c>
      <c r="D401" s="128" t="s">
        <v>193</v>
      </c>
      <c r="E401" s="127" t="s">
        <v>88</v>
      </c>
      <c r="F401" s="126" t="s">
        <v>542</v>
      </c>
      <c r="G401" s="126" t="s">
        <v>513</v>
      </c>
      <c r="H401" s="123">
        <v>726</v>
      </c>
      <c r="I401" s="125">
        <v>29.35</v>
      </c>
      <c r="J401" s="123">
        <v>21179</v>
      </c>
      <c r="K401" s="124">
        <v>0.01</v>
      </c>
      <c r="L401" s="123">
        <f t="shared" si="915"/>
        <v>20967.21</v>
      </c>
      <c r="M401" s="122">
        <f t="shared" si="916"/>
        <v>28.880454545454544</v>
      </c>
      <c r="N401" s="125"/>
      <c r="O401" s="125"/>
      <c r="P401" s="125"/>
      <c r="Q401" s="125"/>
      <c r="R401" s="125"/>
      <c r="S401" s="154">
        <v>5.55</v>
      </c>
      <c r="T401" s="129"/>
      <c r="V401" s="115" t="s">
        <v>103</v>
      </c>
      <c r="W401" s="115"/>
      <c r="X401" s="120">
        <v>0.3</v>
      </c>
      <c r="Y401" s="120"/>
      <c r="Z401" s="118">
        <v>0.33</v>
      </c>
      <c r="AA401" s="119">
        <v>45911</v>
      </c>
      <c r="AB401" s="117">
        <f t="shared" si="917"/>
        <v>0</v>
      </c>
      <c r="AC401" s="117">
        <f>21.84+3.5</f>
        <v>25.34</v>
      </c>
      <c r="AD401" s="117">
        <f t="shared" si="918"/>
        <v>265.65455069999996</v>
      </c>
      <c r="AE401" s="117">
        <f t="shared" si="919"/>
        <v>9.0512623747870506</v>
      </c>
      <c r="AF401" s="170">
        <f t="shared" si="920"/>
        <v>0.38682586249406181</v>
      </c>
      <c r="AG401" s="265">
        <v>8.1999999999999993</v>
      </c>
      <c r="AH401" s="265" t="e">
        <f t="shared" si="901"/>
        <v>#DIV/0!</v>
      </c>
      <c r="AI401" s="115"/>
      <c r="AJ401" s="118">
        <f t="shared" si="921"/>
        <v>265.65455069999996</v>
      </c>
      <c r="AK401" s="116">
        <f t="shared" si="922"/>
        <v>9.0512623747870506</v>
      </c>
      <c r="AL401" s="116"/>
      <c r="AM401" s="116">
        <f t="shared" si="923"/>
        <v>76.019999999999982</v>
      </c>
      <c r="AN401" s="116" t="s">
        <v>701</v>
      </c>
      <c r="AO401" s="116">
        <f t="shared" si="924"/>
        <v>249.47500000000002</v>
      </c>
      <c r="AP401" s="116">
        <f t="shared" si="925"/>
        <v>16.179550699999936</v>
      </c>
      <c r="AR401" s="115"/>
    </row>
    <row r="402" spans="1:65" s="63" customFormat="1">
      <c r="A402" s="63" t="s">
        <v>437</v>
      </c>
      <c r="B402" s="68" t="s">
        <v>544</v>
      </c>
      <c r="C402" s="64" t="s">
        <v>545</v>
      </c>
      <c r="D402" s="65" t="s">
        <v>87</v>
      </c>
      <c r="E402" s="66" t="s">
        <v>546</v>
      </c>
      <c r="F402" s="68" t="s">
        <v>170</v>
      </c>
      <c r="G402" s="68" t="s">
        <v>475</v>
      </c>
      <c r="H402" s="69">
        <v>777.85714285714289</v>
      </c>
      <c r="I402" s="74">
        <v>38.380000000000003</v>
      </c>
      <c r="J402" s="69">
        <v>29280</v>
      </c>
      <c r="K402" s="72"/>
      <c r="L402" s="69">
        <f t="shared" si="853"/>
        <v>29280</v>
      </c>
      <c r="M402" s="86">
        <f t="shared" si="854"/>
        <v>37.641873278236915</v>
      </c>
      <c r="N402" s="79">
        <v>8.7100000000000009</v>
      </c>
      <c r="O402" s="79">
        <v>5.8</v>
      </c>
      <c r="P402" s="79">
        <v>8.69</v>
      </c>
      <c r="Q402" s="79">
        <v>7.18</v>
      </c>
      <c r="R402" s="79">
        <v>7.79</v>
      </c>
      <c r="S402" s="84">
        <v>5.96</v>
      </c>
      <c r="T402" s="85">
        <f>AVERAGE(N402:S402)</f>
        <v>7.3550000000000004</v>
      </c>
      <c r="U402" s="63" t="s">
        <v>106</v>
      </c>
      <c r="V402" s="77" t="s">
        <v>214</v>
      </c>
      <c r="W402" s="77"/>
      <c r="X402" s="78">
        <v>0.28000000000000003</v>
      </c>
      <c r="Y402" s="78"/>
      <c r="Z402" s="79">
        <v>0.3</v>
      </c>
      <c r="AA402" s="80">
        <v>45772</v>
      </c>
      <c r="AB402" s="81">
        <f t="shared" si="888"/>
        <v>61.25</v>
      </c>
      <c r="AC402" s="81">
        <f t="shared" ref="AC402:AC413" si="926">AB402*X402</f>
        <v>17.150000000000002</v>
      </c>
      <c r="AD402" s="81">
        <f t="shared" si="858"/>
        <v>251.07600000000002</v>
      </c>
      <c r="AE402" s="81">
        <f>IFERROR((AD402/I402),"")</f>
        <v>6.5418447107868687</v>
      </c>
      <c r="AF402" s="167">
        <f>IFERROR(((AE402-S402)/AE402),"")</f>
        <v>8.8941993659290494E-2</v>
      </c>
      <c r="AG402" s="264"/>
      <c r="AH402" s="264">
        <f t="shared" si="901"/>
        <v>0</v>
      </c>
      <c r="AI402" s="77"/>
      <c r="AJ402" s="79">
        <f t="shared" si="861"/>
        <v>251.07600000000002</v>
      </c>
      <c r="AK402" s="82">
        <f t="shared" si="862"/>
        <v>6.5418447107868687</v>
      </c>
      <c r="AL402" s="82"/>
      <c r="AM402" s="82">
        <f t="shared" si="863"/>
        <v>57.166666666666671</v>
      </c>
      <c r="AN402" s="82"/>
      <c r="AO402" s="82"/>
      <c r="AP402" s="82"/>
      <c r="AQ402" s="63" t="s">
        <v>823</v>
      </c>
      <c r="AR402" s="77" t="s">
        <v>116</v>
      </c>
      <c r="AS402" s="63">
        <v>77</v>
      </c>
      <c r="AT402" s="63">
        <v>60</v>
      </c>
      <c r="AU402" s="63">
        <v>63</v>
      </c>
      <c r="AV402" s="63">
        <v>72</v>
      </c>
      <c r="AW402" s="63">
        <v>68</v>
      </c>
      <c r="AX402" s="63">
        <v>60</v>
      </c>
      <c r="AY402" s="63">
        <v>73</v>
      </c>
      <c r="AZ402" s="63">
        <v>70</v>
      </c>
      <c r="BA402" s="63">
        <v>59</v>
      </c>
      <c r="BB402" s="63">
        <v>40</v>
      </c>
      <c r="BC402" s="63">
        <v>39</v>
      </c>
      <c r="BD402" s="63">
        <v>56</v>
      </c>
      <c r="BE402" s="63">
        <v>53</v>
      </c>
      <c r="BF402" s="63">
        <v>49</v>
      </c>
      <c r="BG402" s="63">
        <v>50</v>
      </c>
      <c r="BH402" s="63">
        <v>76</v>
      </c>
      <c r="BI402" s="63">
        <v>70</v>
      </c>
      <c r="BJ402" s="63">
        <v>58</v>
      </c>
      <c r="BK402" s="63">
        <v>70</v>
      </c>
      <c r="BL402" s="63">
        <v>62</v>
      </c>
    </row>
    <row r="403" spans="1:65" s="63" customFormat="1">
      <c r="A403" s="63" t="s">
        <v>437</v>
      </c>
      <c r="B403" s="68" t="s">
        <v>544</v>
      </c>
      <c r="C403" s="64" t="s">
        <v>545</v>
      </c>
      <c r="D403" s="65" t="s">
        <v>87</v>
      </c>
      <c r="E403" s="66" t="s">
        <v>546</v>
      </c>
      <c r="F403" s="68" t="s">
        <v>170</v>
      </c>
      <c r="G403" s="68" t="s">
        <v>475</v>
      </c>
      <c r="H403" s="69">
        <v>777.85714285714289</v>
      </c>
      <c r="I403" s="74">
        <v>38.380000000000003</v>
      </c>
      <c r="J403" s="69">
        <v>29280</v>
      </c>
      <c r="K403" s="72"/>
      <c r="L403" s="69">
        <f t="shared" si="853"/>
        <v>29280</v>
      </c>
      <c r="M403" s="86">
        <f t="shared" si="854"/>
        <v>37.641873278236915</v>
      </c>
      <c r="N403" s="79">
        <v>8.7100000000000009</v>
      </c>
      <c r="O403" s="79">
        <v>5.8</v>
      </c>
      <c r="P403" s="79">
        <v>8.69</v>
      </c>
      <c r="Q403" s="79">
        <v>7.18</v>
      </c>
      <c r="R403" s="79">
        <v>7.79</v>
      </c>
      <c r="S403" s="84">
        <v>5.96</v>
      </c>
      <c r="T403" s="85">
        <f>AVERAGE(N403:S403)</f>
        <v>7.3550000000000004</v>
      </c>
      <c r="U403" s="63" t="s">
        <v>106</v>
      </c>
      <c r="V403" s="77" t="s">
        <v>103</v>
      </c>
      <c r="W403" s="77"/>
      <c r="X403" s="78">
        <v>0.28000000000000003</v>
      </c>
      <c r="Y403" s="78"/>
      <c r="Z403" s="79">
        <v>0.3</v>
      </c>
      <c r="AA403" s="80">
        <v>45776</v>
      </c>
      <c r="AB403" s="81">
        <f t="shared" si="888"/>
        <v>81.625</v>
      </c>
      <c r="AC403" s="81">
        <f t="shared" si="926"/>
        <v>22.855</v>
      </c>
      <c r="AD403" s="81">
        <f t="shared" si="858"/>
        <v>334.59719999999999</v>
      </c>
      <c r="AE403" s="81">
        <f>IFERROR((AD403/I403),"")</f>
        <v>8.7180093798853555</v>
      </c>
      <c r="AF403" s="167">
        <f>IFERROR(((AE403-S403)/AE403),"")</f>
        <v>0.31635769815168796</v>
      </c>
      <c r="AG403" s="264"/>
      <c r="AH403" s="264">
        <f t="shared" si="901"/>
        <v>0</v>
      </c>
      <c r="AI403" s="77"/>
      <c r="AJ403" s="79">
        <f t="shared" si="861"/>
        <v>334.59719999999999</v>
      </c>
      <c r="AK403" s="82">
        <f t="shared" si="862"/>
        <v>8.7180093798853555</v>
      </c>
      <c r="AL403" s="82"/>
      <c r="AM403" s="82">
        <f t="shared" si="863"/>
        <v>76.183333333333337</v>
      </c>
      <c r="AN403" s="82"/>
      <c r="AO403" s="82"/>
      <c r="AP403" s="82"/>
      <c r="AQ403" s="63" t="s">
        <v>824</v>
      </c>
      <c r="AR403" s="77" t="s">
        <v>91</v>
      </c>
      <c r="AS403" s="63">
        <v>58</v>
      </c>
      <c r="AT403" s="63">
        <v>31</v>
      </c>
      <c r="AU403" s="63">
        <v>83</v>
      </c>
      <c r="AV403" s="63">
        <v>45</v>
      </c>
      <c r="AW403" s="63">
        <v>73</v>
      </c>
      <c r="AX403" s="63">
        <v>81</v>
      </c>
      <c r="AY403" s="63">
        <v>91</v>
      </c>
      <c r="AZ403" s="63">
        <v>124</v>
      </c>
      <c r="BA403" s="63">
        <v>72</v>
      </c>
      <c r="BB403" s="63">
        <v>83</v>
      </c>
      <c r="BC403" s="63">
        <v>104</v>
      </c>
      <c r="BD403" s="63">
        <v>72</v>
      </c>
      <c r="BE403" s="63">
        <v>45</v>
      </c>
      <c r="BF403" s="63">
        <v>85</v>
      </c>
      <c r="BG403" s="63">
        <v>141</v>
      </c>
      <c r="BH403" s="63">
        <v>118</v>
      </c>
    </row>
    <row r="404" spans="1:65" s="63" customFormat="1">
      <c r="A404" s="63" t="s">
        <v>437</v>
      </c>
      <c r="B404" s="68" t="s">
        <v>544</v>
      </c>
      <c r="C404" s="64" t="s">
        <v>545</v>
      </c>
      <c r="D404" s="65" t="s">
        <v>87</v>
      </c>
      <c r="E404" s="66" t="s">
        <v>546</v>
      </c>
      <c r="F404" s="68" t="s">
        <v>170</v>
      </c>
      <c r="G404" s="68" t="s">
        <v>475</v>
      </c>
      <c r="H404" s="69">
        <v>777.85714285714289</v>
      </c>
      <c r="I404" s="74">
        <v>38.380000000000003</v>
      </c>
      <c r="J404" s="69">
        <v>29280</v>
      </c>
      <c r="K404" s="72"/>
      <c r="L404" s="69">
        <f t="shared" si="853"/>
        <v>29280</v>
      </c>
      <c r="M404" s="86">
        <f t="shared" si="854"/>
        <v>37.641873278236915</v>
      </c>
      <c r="N404" s="79">
        <v>8.7100000000000009</v>
      </c>
      <c r="O404" s="79">
        <v>5.8</v>
      </c>
      <c r="P404" s="79">
        <v>8.69</v>
      </c>
      <c r="Q404" s="79">
        <v>7.18</v>
      </c>
      <c r="R404" s="79">
        <v>7.79</v>
      </c>
      <c r="S404" s="84">
        <v>5.96</v>
      </c>
      <c r="T404" s="85">
        <f>AVERAGE(N404:S404)</f>
        <v>7.3550000000000004</v>
      </c>
      <c r="U404" s="63" t="s">
        <v>106</v>
      </c>
      <c r="V404" s="77" t="s">
        <v>103</v>
      </c>
      <c r="W404" s="77"/>
      <c r="X404" s="78">
        <v>0.28000000000000003</v>
      </c>
      <c r="Y404" s="78"/>
      <c r="Z404" s="79">
        <v>0.3</v>
      </c>
      <c r="AA404" s="80">
        <v>45776</v>
      </c>
      <c r="AB404" s="81">
        <f t="shared" si="888"/>
        <v>94.9375</v>
      </c>
      <c r="AC404" s="81">
        <f t="shared" si="926"/>
        <v>26.582500000000003</v>
      </c>
      <c r="AD404" s="81">
        <f t="shared" si="858"/>
        <v>389.16780000000006</v>
      </c>
      <c r="AE404" s="81">
        <f>IFERROR((AD404/I404),"")</f>
        <v>10.139859301719646</v>
      </c>
      <c r="AF404" s="167">
        <f>IFERROR(((AE404-S404)/AE404),"")</f>
        <v>0.41222064107050999</v>
      </c>
      <c r="AG404" s="264"/>
      <c r="AH404" s="264">
        <f t="shared" si="901"/>
        <v>0</v>
      </c>
      <c r="AI404" s="77"/>
      <c r="AJ404" s="79">
        <f t="shared" si="861"/>
        <v>389.16780000000006</v>
      </c>
      <c r="AK404" s="82">
        <f t="shared" si="862"/>
        <v>10.139859301719646</v>
      </c>
      <c r="AL404" s="82"/>
      <c r="AM404" s="82">
        <f t="shared" si="863"/>
        <v>88.608333333333348</v>
      </c>
      <c r="AN404" s="82"/>
      <c r="AO404" s="82"/>
      <c r="AP404" s="82"/>
      <c r="AQ404" s="63" t="s">
        <v>825</v>
      </c>
      <c r="AR404" s="77" t="s">
        <v>91</v>
      </c>
      <c r="AS404" s="63">
        <v>92</v>
      </c>
      <c r="AT404" s="63">
        <v>75</v>
      </c>
      <c r="AU404" s="63">
        <v>106</v>
      </c>
      <c r="AV404" s="63">
        <v>75</v>
      </c>
      <c r="AW404" s="63">
        <v>80</v>
      </c>
      <c r="AX404" s="63">
        <v>119</v>
      </c>
      <c r="AY404" s="63">
        <v>94</v>
      </c>
      <c r="AZ404" s="63">
        <v>115</v>
      </c>
      <c r="BA404" s="63">
        <v>112</v>
      </c>
      <c r="BB404" s="63">
        <v>84</v>
      </c>
      <c r="BC404" s="63">
        <v>77</v>
      </c>
      <c r="BD404" s="63">
        <v>96</v>
      </c>
      <c r="BE404" s="63">
        <v>147</v>
      </c>
      <c r="BF404" s="63">
        <v>100</v>
      </c>
      <c r="BG404" s="63">
        <v>74</v>
      </c>
      <c r="BH404" s="63">
        <v>73</v>
      </c>
    </row>
    <row r="405" spans="1:65" s="113" customFormat="1">
      <c r="A405" s="113" t="s">
        <v>437</v>
      </c>
      <c r="B405" s="126" t="s">
        <v>547</v>
      </c>
      <c r="C405" s="114" t="s">
        <v>548</v>
      </c>
      <c r="D405" s="128" t="s">
        <v>111</v>
      </c>
      <c r="E405" s="127" t="s">
        <v>160</v>
      </c>
      <c r="F405" s="126" t="s">
        <v>549</v>
      </c>
      <c r="G405" s="126" t="s">
        <v>265</v>
      </c>
      <c r="H405" s="123">
        <v>806.66666666666663</v>
      </c>
      <c r="I405" s="125">
        <v>37.340000000000003</v>
      </c>
      <c r="J405" s="123">
        <v>30338</v>
      </c>
      <c r="K405" s="124">
        <v>0.01</v>
      </c>
      <c r="L405" s="123">
        <f t="shared" si="853"/>
        <v>30034.62</v>
      </c>
      <c r="M405" s="122">
        <f t="shared" si="854"/>
        <v>37.232999999999997</v>
      </c>
      <c r="N405" s="118"/>
      <c r="O405" s="118"/>
      <c r="P405" s="118"/>
      <c r="Q405" s="118"/>
      <c r="R405" s="118">
        <v>4.04</v>
      </c>
      <c r="S405" s="153">
        <v>7.32</v>
      </c>
      <c r="T405" s="121">
        <f t="shared" ref="T405:T411" si="927">AVERAGE(N405:R405)</f>
        <v>4.04</v>
      </c>
      <c r="U405" s="113" t="s">
        <v>365</v>
      </c>
      <c r="V405" s="115" t="s">
        <v>103</v>
      </c>
      <c r="W405" s="115"/>
      <c r="X405" s="120">
        <v>0.3</v>
      </c>
      <c r="Y405" s="255">
        <v>0.37</v>
      </c>
      <c r="Z405" s="118">
        <v>0.4</v>
      </c>
      <c r="AA405" s="119">
        <v>45762</v>
      </c>
      <c r="AB405" s="117">
        <f t="shared" si="888"/>
        <v>66.7</v>
      </c>
      <c r="AC405" s="117">
        <f>AB405*Y405</f>
        <v>24.679000000000002</v>
      </c>
      <c r="AD405" s="117">
        <f t="shared" si="858"/>
        <v>370.61219349000004</v>
      </c>
      <c r="AE405" s="117">
        <f>IFERROR((AD405/I405),"")</f>
        <v>9.9253399434922329</v>
      </c>
      <c r="AF405" s="170">
        <f>IFERROR(((AE405-S405)/AE405),"")</f>
        <v>0.26249377435182769</v>
      </c>
      <c r="AG405" s="264">
        <v>9.57</v>
      </c>
      <c r="AH405" s="265">
        <f t="shared" si="901"/>
        <v>0.35573122529644263</v>
      </c>
      <c r="AI405" s="115">
        <v>8</v>
      </c>
      <c r="AJ405" s="118">
        <f t="shared" si="861"/>
        <v>71.892193490000011</v>
      </c>
      <c r="AK405" s="116">
        <f t="shared" si="862"/>
        <v>1.9253399434922336</v>
      </c>
      <c r="AL405" s="117">
        <f>(((AI405*M405)*2000)/L405)/Z405</f>
        <v>49.586776859504134</v>
      </c>
      <c r="AM405" s="116">
        <f t="shared" si="863"/>
        <v>11.848538712176149</v>
      </c>
      <c r="AN405" s="116" t="s">
        <v>701</v>
      </c>
      <c r="AO405" s="29">
        <f>9*I405</f>
        <v>336.06000000000006</v>
      </c>
      <c r="AP405" s="29">
        <f>AD405-AO405</f>
        <v>34.552193489999979</v>
      </c>
      <c r="AQ405" s="113" t="s">
        <v>826</v>
      </c>
      <c r="AR405" s="115" t="s">
        <v>91</v>
      </c>
      <c r="AS405" s="113">
        <v>60</v>
      </c>
      <c r="AT405" s="113">
        <v>76</v>
      </c>
      <c r="AU405" s="113">
        <v>56</v>
      </c>
      <c r="AV405" s="113">
        <v>65</v>
      </c>
      <c r="AW405" s="113">
        <v>49</v>
      </c>
      <c r="AX405" s="113">
        <v>69</v>
      </c>
      <c r="AY405" s="113">
        <v>68</v>
      </c>
      <c r="AZ405" s="113">
        <v>38</v>
      </c>
      <c r="BA405" s="113">
        <v>69</v>
      </c>
      <c r="BB405" s="113">
        <v>80</v>
      </c>
      <c r="BC405" s="113">
        <v>73</v>
      </c>
      <c r="BD405" s="113">
        <v>68</v>
      </c>
      <c r="BE405" s="113">
        <v>69</v>
      </c>
      <c r="BF405" s="113">
        <v>59</v>
      </c>
      <c r="BG405" s="113">
        <v>68</v>
      </c>
      <c r="BH405" s="113">
        <v>87</v>
      </c>
      <c r="BI405" s="113">
        <v>69</v>
      </c>
      <c r="BJ405" s="113">
        <v>65</v>
      </c>
      <c r="BK405" s="113">
        <v>74</v>
      </c>
      <c r="BL405" s="113">
        <v>72</v>
      </c>
    </row>
    <row r="406" spans="1:65" s="113" customFormat="1">
      <c r="A406" s="113" t="s">
        <v>437</v>
      </c>
      <c r="B406" s="126" t="s">
        <v>547</v>
      </c>
      <c r="C406" s="114" t="s">
        <v>548</v>
      </c>
      <c r="D406" s="128" t="s">
        <v>111</v>
      </c>
      <c r="E406" s="127" t="s">
        <v>160</v>
      </c>
      <c r="F406" s="126" t="s">
        <v>549</v>
      </c>
      <c r="G406" s="126" t="s">
        <v>265</v>
      </c>
      <c r="H406" s="123">
        <v>806.66666666666663</v>
      </c>
      <c r="I406" s="125">
        <v>37.340000000000003</v>
      </c>
      <c r="J406" s="123">
        <v>30338</v>
      </c>
      <c r="K406" s="124">
        <v>0.01</v>
      </c>
      <c r="L406" s="123">
        <f t="shared" ref="L406:L449" si="928">J406-(J406*K406)</f>
        <v>30034.62</v>
      </c>
      <c r="M406" s="122">
        <f t="shared" ref="M406:M449" si="929">L406/H406</f>
        <v>37.232999999999997</v>
      </c>
      <c r="N406" s="118"/>
      <c r="O406" s="118"/>
      <c r="P406" s="118"/>
      <c r="Q406" s="118"/>
      <c r="R406" s="118">
        <v>4.04</v>
      </c>
      <c r="S406" s="153">
        <v>7.32</v>
      </c>
      <c r="T406" s="121">
        <f t="shared" si="927"/>
        <v>4.04</v>
      </c>
      <c r="U406" s="113" t="s">
        <v>365</v>
      </c>
      <c r="V406" s="115" t="s">
        <v>103</v>
      </c>
      <c r="W406" s="115"/>
      <c r="X406" s="120">
        <v>0.3</v>
      </c>
      <c r="Y406" s="255">
        <v>0.37</v>
      </c>
      <c r="Z406" s="118">
        <v>0.4</v>
      </c>
      <c r="AA406" s="119">
        <v>45812</v>
      </c>
      <c r="AB406" s="117">
        <f t="shared" si="888"/>
        <v>73.466666666666669</v>
      </c>
      <c r="AC406" s="117">
        <f t="shared" ref="AC406:AC408" si="930">AB406*Y406</f>
        <v>27.182666666666666</v>
      </c>
      <c r="AD406" s="117">
        <f t="shared" ref="AD406:AD449" si="931">(AC406*L406)/2000</f>
        <v>408.21053195999997</v>
      </c>
      <c r="AE406" s="117">
        <f t="shared" ref="AE406:AE408" si="932">IFERROR((AD406/I406),"")</f>
        <v>10.932258488484198</v>
      </c>
      <c r="AF406" s="170">
        <f t="shared" ref="AF406:AF415" si="933">IFERROR(((AE406-S406)/AE406),"")</f>
        <v>0.3304219793457383</v>
      </c>
      <c r="AG406" s="264">
        <v>9.57</v>
      </c>
      <c r="AH406" s="265">
        <f t="shared" si="901"/>
        <v>0.3229665071770334</v>
      </c>
      <c r="AI406" s="115">
        <v>8</v>
      </c>
      <c r="AJ406" s="118">
        <f t="shared" ref="AJ406:AJ422" si="934">AD406-(AI406*I406)</f>
        <v>109.49053195999994</v>
      </c>
      <c r="AK406" s="116">
        <f t="shared" ref="AK406:AK422" si="935">AJ406/I406</f>
        <v>2.9322584884841976</v>
      </c>
      <c r="AL406" s="117">
        <f>(((AI406*M406)*2000)/L406)/Z406</f>
        <v>49.586776859504134</v>
      </c>
      <c r="AM406" s="116">
        <f t="shared" ref="AM406:AM422" si="936">((AJ406*2000)/Z406)/J406</f>
        <v>18.045113712176139</v>
      </c>
      <c r="AN406" s="116" t="s">
        <v>701</v>
      </c>
      <c r="AO406" s="29">
        <f>9*I406</f>
        <v>336.06000000000006</v>
      </c>
      <c r="AP406" s="29">
        <f>AD406-AO406</f>
        <v>72.15053195999991</v>
      </c>
      <c r="AQ406" s="175"/>
      <c r="AR406" s="115" t="s">
        <v>91</v>
      </c>
      <c r="AS406" s="113">
        <v>78</v>
      </c>
      <c r="AT406" s="113">
        <v>64</v>
      </c>
      <c r="AU406" s="113">
        <v>60</v>
      </c>
      <c r="AV406" s="113">
        <v>76</v>
      </c>
      <c r="AW406" s="113">
        <v>60</v>
      </c>
      <c r="AX406" s="113">
        <v>77</v>
      </c>
      <c r="AY406" s="113">
        <v>60</v>
      </c>
      <c r="AZ406" s="113">
        <v>78</v>
      </c>
      <c r="BA406" s="113">
        <v>89</v>
      </c>
      <c r="BB406" s="113">
        <v>83</v>
      </c>
      <c r="BC406" s="113">
        <v>79</v>
      </c>
      <c r="BD406" s="113">
        <v>79</v>
      </c>
      <c r="BE406" s="113">
        <v>76</v>
      </c>
      <c r="BF406" s="113">
        <v>74</v>
      </c>
      <c r="BG406" s="113">
        <v>69</v>
      </c>
    </row>
    <row r="407" spans="1:65" s="113" customFormat="1">
      <c r="A407" s="113" t="s">
        <v>437</v>
      </c>
      <c r="B407" s="126" t="s">
        <v>547</v>
      </c>
      <c r="C407" s="114" t="s">
        <v>548</v>
      </c>
      <c r="D407" s="128" t="s">
        <v>111</v>
      </c>
      <c r="E407" s="127" t="s">
        <v>160</v>
      </c>
      <c r="F407" s="126" t="s">
        <v>549</v>
      </c>
      <c r="G407" s="126" t="s">
        <v>265</v>
      </c>
      <c r="H407" s="123">
        <v>806.66666666666663</v>
      </c>
      <c r="I407" s="125">
        <v>37.340000000000003</v>
      </c>
      <c r="J407" s="123">
        <v>30338</v>
      </c>
      <c r="K407" s="124">
        <v>0.01</v>
      </c>
      <c r="L407" s="123">
        <f t="shared" ref="L407" si="937">J407-(J407*K407)</f>
        <v>30034.62</v>
      </c>
      <c r="M407" s="122">
        <f t="shared" ref="M407" si="938">L407/H407</f>
        <v>37.232999999999997</v>
      </c>
      <c r="N407" s="118"/>
      <c r="O407" s="118"/>
      <c r="P407" s="118"/>
      <c r="Q407" s="118"/>
      <c r="R407" s="118">
        <v>4.04</v>
      </c>
      <c r="S407" s="153">
        <v>7.32</v>
      </c>
      <c r="T407" s="121">
        <f t="shared" ref="T407" si="939">AVERAGE(N407:R407)</f>
        <v>4.04</v>
      </c>
      <c r="U407" s="113" t="s">
        <v>365</v>
      </c>
      <c r="V407" s="115" t="s">
        <v>103</v>
      </c>
      <c r="W407" s="115"/>
      <c r="X407" s="120">
        <v>0.3</v>
      </c>
      <c r="Y407" s="255">
        <v>0.37</v>
      </c>
      <c r="Z407" s="118">
        <v>0.4</v>
      </c>
      <c r="AA407" s="119">
        <v>45834</v>
      </c>
      <c r="AB407" s="117">
        <f t="shared" ref="AB407" si="940">IFERROR(AVERAGE(AS407:CP407),0)</f>
        <v>71.75</v>
      </c>
      <c r="AC407" s="117">
        <f t="shared" si="930"/>
        <v>26.547499999999999</v>
      </c>
      <c r="AD407" s="117">
        <f t="shared" ref="AD407" si="941">(AC407*L407)/2000</f>
        <v>398.672037225</v>
      </c>
      <c r="AE407" s="117">
        <f t="shared" si="932"/>
        <v>10.676808709828601</v>
      </c>
      <c r="AF407" s="170">
        <f t="shared" ref="AF407" si="942">IFERROR(((AE407-S407)/AE407),"")</f>
        <v>0.31440187803856312</v>
      </c>
      <c r="AG407" s="264">
        <v>9.57</v>
      </c>
      <c r="AH407" s="265">
        <f t="shared" si="901"/>
        <v>0.33069369654735503</v>
      </c>
      <c r="AI407" s="115">
        <v>8</v>
      </c>
      <c r="AJ407" s="118">
        <f t="shared" ref="AJ407" si="943">AD407-(AI407*I407)</f>
        <v>99.95203722499997</v>
      </c>
      <c r="AK407" s="116">
        <f t="shared" ref="AK407" si="944">AJ407/I407</f>
        <v>2.6768087098286011</v>
      </c>
      <c r="AL407" s="117">
        <f>(((AI407*M407)*2000)/L407)/Z407</f>
        <v>49.586776859504134</v>
      </c>
      <c r="AM407" s="116">
        <f t="shared" ref="AM407" si="945">((AJ407*2000)/Z407)/J407</f>
        <v>16.473076212176142</v>
      </c>
      <c r="AN407" s="116" t="s">
        <v>701</v>
      </c>
      <c r="AO407" s="29">
        <f>9*I407</f>
        <v>336.06000000000006</v>
      </c>
      <c r="AP407" s="29">
        <f>AD407-AO407</f>
        <v>62.612037224999938</v>
      </c>
      <c r="AQ407" s="175"/>
      <c r="AR407" s="115" t="s">
        <v>91</v>
      </c>
      <c r="AS407" s="113">
        <v>52</v>
      </c>
      <c r="AT407" s="113">
        <v>64</v>
      </c>
      <c r="AU407" s="113">
        <v>65</v>
      </c>
      <c r="AV407" s="113">
        <v>68</v>
      </c>
      <c r="AW407" s="113">
        <v>80</v>
      </c>
      <c r="AX407" s="113">
        <v>71</v>
      </c>
      <c r="AY407" s="113">
        <v>83</v>
      </c>
      <c r="AZ407" s="113">
        <v>78</v>
      </c>
      <c r="BA407" s="113">
        <v>78</v>
      </c>
      <c r="BB407" s="113">
        <v>67</v>
      </c>
      <c r="BC407" s="113">
        <v>84</v>
      </c>
      <c r="BD407" s="113">
        <v>71</v>
      </c>
    </row>
    <row r="408" spans="1:65" s="113" customFormat="1">
      <c r="A408" s="113" t="s">
        <v>437</v>
      </c>
      <c r="B408" s="126" t="s">
        <v>547</v>
      </c>
      <c r="C408" s="114" t="s">
        <v>548</v>
      </c>
      <c r="D408" s="128" t="s">
        <v>111</v>
      </c>
      <c r="E408" s="127" t="s">
        <v>160</v>
      </c>
      <c r="F408" s="126" t="s">
        <v>549</v>
      </c>
      <c r="G408" s="126" t="s">
        <v>265</v>
      </c>
      <c r="H408" s="123">
        <v>806.66666666666663</v>
      </c>
      <c r="I408" s="125">
        <v>37.340000000000003</v>
      </c>
      <c r="J408" s="123">
        <v>30338</v>
      </c>
      <c r="K408" s="124">
        <v>0.01</v>
      </c>
      <c r="L408" s="123">
        <f t="shared" ref="L408" si="946">J408-(J408*K408)</f>
        <v>30034.62</v>
      </c>
      <c r="M408" s="122">
        <f t="shared" ref="M408" si="947">L408/H408</f>
        <v>37.232999999999997</v>
      </c>
      <c r="N408" s="118"/>
      <c r="O408" s="118"/>
      <c r="P408" s="118"/>
      <c r="Q408" s="118"/>
      <c r="R408" s="118">
        <v>4.04</v>
      </c>
      <c r="S408" s="153">
        <v>7.32</v>
      </c>
      <c r="T408" s="121">
        <f t="shared" ref="T408" si="948">AVERAGE(N408:R408)</f>
        <v>4.04</v>
      </c>
      <c r="U408" s="113" t="s">
        <v>365</v>
      </c>
      <c r="V408" s="115" t="s">
        <v>103</v>
      </c>
      <c r="W408" s="115"/>
      <c r="X408" s="120">
        <v>0.3</v>
      </c>
      <c r="Y408" s="255">
        <v>0.37</v>
      </c>
      <c r="Z408" s="118">
        <v>0.4</v>
      </c>
      <c r="AA408" s="119">
        <v>45853</v>
      </c>
      <c r="AB408" s="117">
        <f t="shared" ref="AB408" si="949">IFERROR(AVERAGE(AS408:CP408),0)</f>
        <v>63.875</v>
      </c>
      <c r="AC408" s="117">
        <f t="shared" si="930"/>
        <v>23.633749999999999</v>
      </c>
      <c r="AD408" s="117">
        <f t="shared" ref="AD408" si="950">(AC408*L408)/2000</f>
        <v>354.91535021249996</v>
      </c>
      <c r="AE408" s="117">
        <f t="shared" si="932"/>
        <v>9.5049638514327786</v>
      </c>
      <c r="AF408" s="170">
        <f t="shared" ref="AF408" si="951">IFERROR(((AE408-S408)/AE408),"")</f>
        <v>0.22987608218030378</v>
      </c>
      <c r="AG408" s="264">
        <v>9.57</v>
      </c>
      <c r="AH408" s="265">
        <f t="shared" si="901"/>
        <v>0.37146415228607005</v>
      </c>
      <c r="AI408" s="115">
        <v>8</v>
      </c>
      <c r="AJ408" s="118">
        <f t="shared" ref="AJ408" si="952">AD408-(AI408*I408)</f>
        <v>56.195350212499932</v>
      </c>
      <c r="AK408" s="116">
        <f t="shared" ref="AK408" si="953">AJ408/I408</f>
        <v>1.5049638514327779</v>
      </c>
      <c r="AL408" s="117">
        <f>(((AI408*M408)*2000)/L408)/Z408</f>
        <v>49.586776859504134</v>
      </c>
      <c r="AM408" s="116">
        <f t="shared" ref="AM408" si="954">((AJ408*2000)/Z408)/J408</f>
        <v>9.2615449621761368</v>
      </c>
      <c r="AN408" s="116" t="s">
        <v>701</v>
      </c>
      <c r="AO408" s="29">
        <f>9*I408</f>
        <v>336.06000000000006</v>
      </c>
      <c r="AP408" s="29">
        <f>AD408-AO408</f>
        <v>18.8553502124999</v>
      </c>
      <c r="AQ408" s="175"/>
      <c r="AR408" s="115" t="s">
        <v>116</v>
      </c>
      <c r="AS408" s="113">
        <v>59</v>
      </c>
      <c r="AT408" s="113">
        <v>63</v>
      </c>
      <c r="AU408" s="113">
        <v>58</v>
      </c>
      <c r="AV408" s="113">
        <v>69</v>
      </c>
      <c r="AW408" s="113">
        <v>67</v>
      </c>
      <c r="AX408" s="113">
        <v>59</v>
      </c>
      <c r="AY408" s="113">
        <v>68</v>
      </c>
      <c r="AZ408" s="113">
        <v>70</v>
      </c>
      <c r="BA408" s="113">
        <v>58</v>
      </c>
      <c r="BB408" s="113">
        <v>67</v>
      </c>
      <c r="BC408" s="113">
        <v>59</v>
      </c>
      <c r="BD408" s="113">
        <v>63</v>
      </c>
      <c r="BE408" s="113">
        <v>71</v>
      </c>
      <c r="BF408" s="113">
        <v>66</v>
      </c>
      <c r="BG408" s="113">
        <v>65</v>
      </c>
      <c r="BH408" s="113">
        <v>60</v>
      </c>
    </row>
    <row r="409" spans="1:65" s="63" customFormat="1">
      <c r="A409" s="63" t="s">
        <v>437</v>
      </c>
      <c r="B409" s="68" t="s">
        <v>550</v>
      </c>
      <c r="C409" s="64" t="s">
        <v>551</v>
      </c>
      <c r="D409" s="65" t="s">
        <v>111</v>
      </c>
      <c r="E409" s="66" t="s">
        <v>148</v>
      </c>
      <c r="F409" s="68">
        <v>30</v>
      </c>
      <c r="G409" s="68" t="s">
        <v>273</v>
      </c>
      <c r="H409" s="69">
        <v>726</v>
      </c>
      <c r="I409" s="74">
        <v>37.450000000000003</v>
      </c>
      <c r="J409" s="69">
        <v>27203</v>
      </c>
      <c r="K409" s="72">
        <v>5.0000000000000001E-3</v>
      </c>
      <c r="L409" s="69">
        <f t="shared" si="928"/>
        <v>27066.985000000001</v>
      </c>
      <c r="M409" s="86">
        <f t="shared" si="929"/>
        <v>37.282348484848484</v>
      </c>
      <c r="N409" s="79"/>
      <c r="O409" s="79"/>
      <c r="P409" s="79"/>
      <c r="Q409" s="79"/>
      <c r="R409" s="79">
        <v>5.04</v>
      </c>
      <c r="S409" s="84">
        <v>9.2799999999999994</v>
      </c>
      <c r="T409" s="85">
        <f t="shared" si="927"/>
        <v>5.04</v>
      </c>
      <c r="V409" s="77" t="s">
        <v>103</v>
      </c>
      <c r="W409" s="77"/>
      <c r="X409" s="78">
        <v>0.3</v>
      </c>
      <c r="Y409" s="78">
        <v>0.3</v>
      </c>
      <c r="Z409" s="79">
        <v>0.35</v>
      </c>
      <c r="AA409" s="80">
        <v>45785</v>
      </c>
      <c r="AB409" s="81">
        <f t="shared" si="888"/>
        <v>90.89473684210526</v>
      </c>
      <c r="AC409" s="81">
        <f t="shared" si="926"/>
        <v>27.268421052631577</v>
      </c>
      <c r="AD409" s="81">
        <f t="shared" si="931"/>
        <v>369.03697180263157</v>
      </c>
      <c r="AE409" s="81">
        <f t="shared" ref="AE409:AE415" si="955">IFERROR((AD409/I409),"")</f>
        <v>9.8541247477338203</v>
      </c>
      <c r="AF409" s="167">
        <f t="shared" si="933"/>
        <v>5.8262378692319067E-2</v>
      </c>
      <c r="AG409" s="264">
        <v>11.66</v>
      </c>
      <c r="AH409" s="264">
        <f t="shared" si="901"/>
        <v>0.35338913161727287</v>
      </c>
      <c r="AI409" s="77"/>
      <c r="AJ409" s="79">
        <f t="shared" si="934"/>
        <v>369.03697180263157</v>
      </c>
      <c r="AK409" s="82">
        <f t="shared" si="935"/>
        <v>9.8541247477338203</v>
      </c>
      <c r="AL409" s="82"/>
      <c r="AM409" s="82">
        <f t="shared" si="936"/>
        <v>77.520225563909776</v>
      </c>
      <c r="AN409" s="82" t="s">
        <v>701</v>
      </c>
      <c r="AO409" s="82"/>
      <c r="AP409" s="82"/>
      <c r="AR409" s="77" t="s">
        <v>116</v>
      </c>
      <c r="AS409" s="63">
        <v>94</v>
      </c>
      <c r="AT409" s="63">
        <v>89</v>
      </c>
      <c r="AU409" s="63">
        <v>97</v>
      </c>
      <c r="AV409" s="63">
        <v>100</v>
      </c>
      <c r="AW409" s="63">
        <v>95</v>
      </c>
      <c r="AX409" s="63">
        <v>68</v>
      </c>
      <c r="AY409" s="63">
        <v>79</v>
      </c>
      <c r="AZ409" s="63">
        <v>92</v>
      </c>
      <c r="BA409" s="63">
        <v>90</v>
      </c>
      <c r="BB409" s="63">
        <v>87</v>
      </c>
      <c r="BC409" s="63">
        <v>99</v>
      </c>
      <c r="BD409" s="63">
        <v>87</v>
      </c>
      <c r="BE409" s="63">
        <v>85</v>
      </c>
      <c r="BF409" s="63">
        <v>78</v>
      </c>
      <c r="BG409" s="63">
        <v>90</v>
      </c>
      <c r="BH409" s="63">
        <v>105</v>
      </c>
      <c r="BI409" s="63">
        <v>95</v>
      </c>
      <c r="BJ409" s="63">
        <v>89</v>
      </c>
      <c r="BK409" s="63">
        <v>108</v>
      </c>
    </row>
    <row r="410" spans="1:65" s="63" customFormat="1">
      <c r="A410" s="63" t="s">
        <v>437</v>
      </c>
      <c r="B410" s="68" t="s">
        <v>550</v>
      </c>
      <c r="C410" s="64" t="s">
        <v>551</v>
      </c>
      <c r="D410" s="65" t="s">
        <v>111</v>
      </c>
      <c r="E410" s="66" t="s">
        <v>148</v>
      </c>
      <c r="F410" s="68">
        <v>30</v>
      </c>
      <c r="G410" s="68" t="s">
        <v>273</v>
      </c>
      <c r="H410" s="69">
        <v>726</v>
      </c>
      <c r="I410" s="74">
        <v>37.450000000000003</v>
      </c>
      <c r="J410" s="69">
        <v>27203</v>
      </c>
      <c r="K410" s="72">
        <v>5.0000000000000001E-3</v>
      </c>
      <c r="L410" s="69">
        <f t="shared" si="928"/>
        <v>27066.985000000001</v>
      </c>
      <c r="M410" s="86">
        <f t="shared" si="929"/>
        <v>37.282348484848484</v>
      </c>
      <c r="N410" s="79"/>
      <c r="O410" s="79"/>
      <c r="P410" s="79"/>
      <c r="Q410" s="79"/>
      <c r="R410" s="79">
        <v>5.04</v>
      </c>
      <c r="S410" s="84">
        <v>9.2799999999999994</v>
      </c>
      <c r="T410" s="85">
        <f t="shared" si="927"/>
        <v>5.04</v>
      </c>
      <c r="V410" s="77" t="s">
        <v>103</v>
      </c>
      <c r="W410" s="77"/>
      <c r="X410" s="78">
        <v>0.3</v>
      </c>
      <c r="Y410" s="78">
        <v>0.3</v>
      </c>
      <c r="Z410" s="79">
        <v>0.35</v>
      </c>
      <c r="AA410" s="80">
        <v>45812</v>
      </c>
      <c r="AB410" s="81">
        <f t="shared" si="888"/>
        <v>96.909090909090907</v>
      </c>
      <c r="AC410" s="81">
        <f t="shared" si="926"/>
        <v>29.072727272727271</v>
      </c>
      <c r="AD410" s="81">
        <f t="shared" si="931"/>
        <v>393.45553649999999</v>
      </c>
      <c r="AE410" s="81">
        <f t="shared" si="955"/>
        <v>10.506155847797062</v>
      </c>
      <c r="AF410" s="167">
        <f t="shared" si="933"/>
        <v>0.11670832467749508</v>
      </c>
      <c r="AG410" s="264">
        <v>11.66</v>
      </c>
      <c r="AH410" s="264">
        <f t="shared" si="901"/>
        <v>0.33145716072545339</v>
      </c>
      <c r="AI410" s="77"/>
      <c r="AJ410" s="79">
        <f t="shared" si="934"/>
        <v>393.45553649999999</v>
      </c>
      <c r="AK410" s="82">
        <f t="shared" si="935"/>
        <v>10.506155847797062</v>
      </c>
      <c r="AL410" s="82"/>
      <c r="AM410" s="82">
        <f t="shared" si="936"/>
        <v>82.649610389610402</v>
      </c>
      <c r="AN410" s="82" t="s">
        <v>701</v>
      </c>
      <c r="AO410" s="82"/>
      <c r="AP410" s="82"/>
      <c r="AR410" s="77" t="s">
        <v>91</v>
      </c>
      <c r="AS410" s="63">
        <v>102</v>
      </c>
      <c r="AT410" s="63">
        <v>106</v>
      </c>
      <c r="AU410" s="63">
        <v>102</v>
      </c>
      <c r="AV410" s="63">
        <v>92</v>
      </c>
      <c r="AW410" s="63">
        <v>104</v>
      </c>
      <c r="AX410" s="63">
        <v>74</v>
      </c>
      <c r="AY410" s="63">
        <v>121</v>
      </c>
      <c r="AZ410" s="63">
        <v>87</v>
      </c>
      <c r="BA410" s="63">
        <v>111</v>
      </c>
      <c r="BB410" s="63">
        <v>85</v>
      </c>
      <c r="BC410" s="63">
        <v>82</v>
      </c>
    </row>
    <row r="411" spans="1:65" s="63" customFormat="1">
      <c r="A411" s="63" t="s">
        <v>437</v>
      </c>
      <c r="B411" s="68" t="s">
        <v>550</v>
      </c>
      <c r="C411" s="64" t="s">
        <v>551</v>
      </c>
      <c r="D411" s="65" t="s">
        <v>111</v>
      </c>
      <c r="E411" s="66" t="s">
        <v>148</v>
      </c>
      <c r="F411" s="68">
        <v>30</v>
      </c>
      <c r="G411" s="68" t="s">
        <v>273</v>
      </c>
      <c r="H411" s="69">
        <v>726</v>
      </c>
      <c r="I411" s="74">
        <v>37.450000000000003</v>
      </c>
      <c r="J411" s="69">
        <v>27203</v>
      </c>
      <c r="K411" s="72">
        <v>5.0000000000000001E-3</v>
      </c>
      <c r="L411" s="69">
        <f t="shared" si="928"/>
        <v>27066.985000000001</v>
      </c>
      <c r="M411" s="86">
        <f t="shared" si="929"/>
        <v>37.282348484848484</v>
      </c>
      <c r="N411" s="79"/>
      <c r="O411" s="79"/>
      <c r="P411" s="79"/>
      <c r="Q411" s="79"/>
      <c r="R411" s="79">
        <v>5.04</v>
      </c>
      <c r="S411" s="84">
        <v>9.2799999999999994</v>
      </c>
      <c r="T411" s="85">
        <f t="shared" si="927"/>
        <v>5.04</v>
      </c>
      <c r="V411" s="77" t="s">
        <v>103</v>
      </c>
      <c r="W411" s="77"/>
      <c r="X411" s="78">
        <v>0.3</v>
      </c>
      <c r="Y411" s="78">
        <v>0.3</v>
      </c>
      <c r="Z411" s="79">
        <v>0.35</v>
      </c>
      <c r="AA411" s="80">
        <v>45834</v>
      </c>
      <c r="AB411" s="81">
        <f t="shared" si="888"/>
        <v>101.83333333333333</v>
      </c>
      <c r="AC411" s="81">
        <f t="shared" si="926"/>
        <v>30.549999999999997</v>
      </c>
      <c r="AD411" s="81">
        <f t="shared" si="931"/>
        <v>413.44819587499995</v>
      </c>
      <c r="AE411" s="81">
        <f t="shared" si="955"/>
        <v>11.040005230307074</v>
      </c>
      <c r="AF411" s="167">
        <f t="shared" si="933"/>
        <v>0.15942068808767407</v>
      </c>
      <c r="AG411" s="264">
        <v>11.66</v>
      </c>
      <c r="AH411" s="264">
        <f t="shared" si="901"/>
        <v>0.31542925159946433</v>
      </c>
      <c r="AI411" s="77"/>
      <c r="AJ411" s="79">
        <f t="shared" si="934"/>
        <v>413.44819587499995</v>
      </c>
      <c r="AK411" s="82">
        <f t="shared" si="935"/>
        <v>11.040005230307074</v>
      </c>
      <c r="AL411" s="82"/>
      <c r="AM411" s="82">
        <f t="shared" si="936"/>
        <v>86.849285714285713</v>
      </c>
      <c r="AN411" s="82" t="s">
        <v>701</v>
      </c>
      <c r="AO411" s="82"/>
      <c r="AP411" s="82"/>
      <c r="AR411" s="77" t="s">
        <v>91</v>
      </c>
      <c r="AS411" s="63">
        <v>93</v>
      </c>
      <c r="AT411" s="63">
        <v>103</v>
      </c>
      <c r="AU411" s="63">
        <v>110</v>
      </c>
      <c r="AV411" s="63">
        <v>101</v>
      </c>
      <c r="AW411" s="63">
        <v>113</v>
      </c>
      <c r="AX411" s="63">
        <v>130</v>
      </c>
      <c r="AY411" s="63">
        <v>95</v>
      </c>
      <c r="AZ411" s="63">
        <v>99</v>
      </c>
      <c r="BA411" s="63">
        <v>84</v>
      </c>
      <c r="BB411" s="63">
        <v>90</v>
      </c>
      <c r="BC411" s="63">
        <v>93</v>
      </c>
      <c r="BD411" s="63">
        <v>111</v>
      </c>
    </row>
    <row r="412" spans="1:65" s="113" customFormat="1">
      <c r="A412" s="113" t="s">
        <v>437</v>
      </c>
      <c r="B412" s="126" t="s">
        <v>553</v>
      </c>
      <c r="C412" s="114" t="s">
        <v>554</v>
      </c>
      <c r="D412" s="128" t="s">
        <v>87</v>
      </c>
      <c r="E412" s="127" t="s">
        <v>156</v>
      </c>
      <c r="F412" s="126" t="s">
        <v>181</v>
      </c>
      <c r="G412" s="126" t="s">
        <v>475</v>
      </c>
      <c r="H412" s="123">
        <v>907.5</v>
      </c>
      <c r="I412" s="125">
        <v>9.75</v>
      </c>
      <c r="J412" s="123">
        <v>8809</v>
      </c>
      <c r="K412" s="124">
        <v>0.02</v>
      </c>
      <c r="L412" s="123">
        <f t="shared" si="928"/>
        <v>8632.82</v>
      </c>
      <c r="M412" s="122">
        <f t="shared" si="929"/>
        <v>9.5127493112947654</v>
      </c>
      <c r="N412" s="118">
        <v>9.32</v>
      </c>
      <c r="O412" s="118">
        <v>9.35</v>
      </c>
      <c r="P412" s="118">
        <v>6.75</v>
      </c>
      <c r="Q412" s="118">
        <v>6.54</v>
      </c>
      <c r="R412" s="118">
        <v>7.84</v>
      </c>
      <c r="S412" s="153">
        <v>10.01</v>
      </c>
      <c r="T412" s="121">
        <f t="shared" ref="T412:T424" si="956">AVERAGE(N412:S412)</f>
        <v>8.3016666666666659</v>
      </c>
      <c r="U412" s="113" t="s">
        <v>365</v>
      </c>
      <c r="V412" s="115" t="s">
        <v>103</v>
      </c>
      <c r="W412" s="115"/>
      <c r="X412" s="120">
        <v>0.34</v>
      </c>
      <c r="Y412" s="120"/>
      <c r="Z412" s="118">
        <v>0.32</v>
      </c>
      <c r="AA412" s="119">
        <v>45784</v>
      </c>
      <c r="AB412" s="117">
        <f t="shared" si="888"/>
        <v>74.349999999999994</v>
      </c>
      <c r="AC412" s="117">
        <f t="shared" si="926"/>
        <v>25.279</v>
      </c>
      <c r="AD412" s="117">
        <f t="shared" si="931"/>
        <v>109.11452838999999</v>
      </c>
      <c r="AE412" s="117">
        <f t="shared" si="955"/>
        <v>11.19123368102564</v>
      </c>
      <c r="AF412" s="170">
        <f t="shared" si="933"/>
        <v>0.10554990760566299</v>
      </c>
      <c r="AG412" s="265">
        <v>7.7</v>
      </c>
      <c r="AH412" s="265">
        <f t="shared" si="901"/>
        <v>0.22824071243708097</v>
      </c>
      <c r="AI412" s="115"/>
      <c r="AJ412" s="118">
        <f t="shared" si="934"/>
        <v>109.11452838999999</v>
      </c>
      <c r="AK412" s="116">
        <f t="shared" si="935"/>
        <v>11.19123368102564</v>
      </c>
      <c r="AL412" s="116"/>
      <c r="AM412" s="116">
        <f t="shared" si="936"/>
        <v>77.416937500000003</v>
      </c>
      <c r="AN412" s="116" t="s">
        <v>701</v>
      </c>
      <c r="AO412" s="116"/>
      <c r="AP412" s="116"/>
      <c r="AR412" s="115" t="s">
        <v>116</v>
      </c>
      <c r="AS412" s="113">
        <v>80</v>
      </c>
      <c r="AT412" s="113">
        <v>85</v>
      </c>
      <c r="AU412" s="113">
        <v>79</v>
      </c>
      <c r="AV412" s="113">
        <v>68</v>
      </c>
      <c r="AW412" s="113">
        <v>75</v>
      </c>
      <c r="AX412" s="113">
        <v>69</v>
      </c>
      <c r="AY412" s="113">
        <v>83</v>
      </c>
      <c r="AZ412" s="113">
        <v>85</v>
      </c>
      <c r="BA412" s="113">
        <v>71</v>
      </c>
      <c r="BB412" s="113">
        <v>68</v>
      </c>
      <c r="BC412" s="113">
        <v>87</v>
      </c>
      <c r="BD412" s="113">
        <v>65</v>
      </c>
      <c r="BE412" s="113">
        <v>79</v>
      </c>
      <c r="BF412" s="113">
        <v>55</v>
      </c>
      <c r="BG412" s="113">
        <v>70</v>
      </c>
      <c r="BH412" s="113">
        <v>82</v>
      </c>
      <c r="BI412" s="113">
        <v>59</v>
      </c>
      <c r="BJ412" s="113">
        <v>77</v>
      </c>
      <c r="BK412" s="113">
        <v>69</v>
      </c>
      <c r="BL412" s="113">
        <v>81</v>
      </c>
    </row>
    <row r="413" spans="1:65" s="113" customFormat="1">
      <c r="A413" s="113" t="s">
        <v>437</v>
      </c>
      <c r="B413" s="126" t="s">
        <v>553</v>
      </c>
      <c r="C413" s="114" t="s">
        <v>554</v>
      </c>
      <c r="D413" s="128" t="s">
        <v>87</v>
      </c>
      <c r="E413" s="127" t="s">
        <v>156</v>
      </c>
      <c r="F413" s="126" t="s">
        <v>181</v>
      </c>
      <c r="G413" s="126" t="s">
        <v>475</v>
      </c>
      <c r="H413" s="123">
        <v>907.5</v>
      </c>
      <c r="I413" s="125">
        <v>9.75</v>
      </c>
      <c r="J413" s="123">
        <v>8809</v>
      </c>
      <c r="K413" s="124">
        <v>0.02</v>
      </c>
      <c r="L413" s="123">
        <f t="shared" si="928"/>
        <v>8632.82</v>
      </c>
      <c r="M413" s="122">
        <f t="shared" si="929"/>
        <v>9.5127493112947654</v>
      </c>
      <c r="N413" s="118">
        <v>9.32</v>
      </c>
      <c r="O413" s="118">
        <v>9.35</v>
      </c>
      <c r="P413" s="118">
        <v>6.75</v>
      </c>
      <c r="Q413" s="118">
        <v>6.54</v>
      </c>
      <c r="R413" s="118">
        <v>7.84</v>
      </c>
      <c r="S413" s="153">
        <v>10.01</v>
      </c>
      <c r="T413" s="121">
        <f t="shared" si="956"/>
        <v>8.3016666666666659</v>
      </c>
      <c r="U413" s="113" t="s">
        <v>365</v>
      </c>
      <c r="V413" s="115" t="s">
        <v>103</v>
      </c>
      <c r="W413" s="115"/>
      <c r="X413" s="120">
        <v>0.34</v>
      </c>
      <c r="Y413" s="120"/>
      <c r="Z413" s="118">
        <v>0.32</v>
      </c>
      <c r="AA413" s="119">
        <v>45823</v>
      </c>
      <c r="AB413" s="117">
        <f t="shared" si="888"/>
        <v>49.125</v>
      </c>
      <c r="AC413" s="117">
        <f t="shared" si="926"/>
        <v>16.702500000000001</v>
      </c>
      <c r="AD413" s="117">
        <f t="shared" si="931"/>
        <v>72.094838025000001</v>
      </c>
      <c r="AE413" s="117">
        <f t="shared" si="955"/>
        <v>7.3943423615384614</v>
      </c>
      <c r="AF413" s="170">
        <f t="shared" si="933"/>
        <v>-0.3537376970894443</v>
      </c>
      <c r="AG413" s="265">
        <v>7.7</v>
      </c>
      <c r="AH413" s="265">
        <f t="shared" si="901"/>
        <v>0.34543912406507826</v>
      </c>
      <c r="AI413" s="115"/>
      <c r="AJ413" s="118">
        <f t="shared" si="934"/>
        <v>72.094838025000001</v>
      </c>
      <c r="AK413" s="116">
        <f t="shared" si="935"/>
        <v>7.3943423615384614</v>
      </c>
      <c r="AL413" s="116"/>
      <c r="AM413" s="116">
        <f t="shared" si="936"/>
        <v>51.151406250000001</v>
      </c>
      <c r="AN413" s="116" t="s">
        <v>701</v>
      </c>
      <c r="AO413" s="116"/>
      <c r="AP413" s="116"/>
      <c r="AR413" s="115" t="s">
        <v>116</v>
      </c>
      <c r="AS413" s="113">
        <v>43</v>
      </c>
      <c r="AT413" s="113">
        <v>41</v>
      </c>
      <c r="AU413" s="113">
        <v>50</v>
      </c>
      <c r="AV413" s="113">
        <v>47</v>
      </c>
      <c r="AW413" s="113">
        <v>55</v>
      </c>
      <c r="AX413" s="113">
        <v>39</v>
      </c>
      <c r="AY413" s="113">
        <v>42</v>
      </c>
      <c r="AZ413" s="113">
        <v>55</v>
      </c>
      <c r="BA413" s="113">
        <v>53</v>
      </c>
      <c r="BB413" s="113">
        <v>50</v>
      </c>
      <c r="BC413" s="113">
        <v>51</v>
      </c>
      <c r="BD413" s="113">
        <v>53</v>
      </c>
      <c r="BE413" s="113">
        <v>48</v>
      </c>
      <c r="BF413" s="113">
        <v>50</v>
      </c>
      <c r="BG413" s="113">
        <v>54</v>
      </c>
      <c r="BH413" s="113">
        <v>55</v>
      </c>
    </row>
    <row r="414" spans="1:65" s="215" customFormat="1">
      <c r="A414" s="215" t="s">
        <v>437</v>
      </c>
      <c r="B414" s="216" t="s">
        <v>555</v>
      </c>
      <c r="C414" s="217" t="s">
        <v>556</v>
      </c>
      <c r="D414" s="218" t="s">
        <v>87</v>
      </c>
      <c r="E414" s="219" t="s">
        <v>453</v>
      </c>
      <c r="F414" s="216" t="s">
        <v>557</v>
      </c>
      <c r="G414" s="216" t="s">
        <v>90</v>
      </c>
      <c r="H414" s="220">
        <v>605</v>
      </c>
      <c r="I414" s="221">
        <v>16.87</v>
      </c>
      <c r="J414" s="220">
        <v>10120</v>
      </c>
      <c r="K414" s="222"/>
      <c r="L414" s="220">
        <f t="shared" si="928"/>
        <v>10120</v>
      </c>
      <c r="M414" s="223">
        <f t="shared" si="929"/>
        <v>16.727272727272727</v>
      </c>
      <c r="N414" s="224">
        <v>13.26</v>
      </c>
      <c r="O414" s="224">
        <v>10.32</v>
      </c>
      <c r="P414" s="224">
        <v>14.85</v>
      </c>
      <c r="Q414" s="224">
        <v>13.89</v>
      </c>
      <c r="R414" s="224">
        <v>11.55</v>
      </c>
      <c r="S414" s="225">
        <v>5.53</v>
      </c>
      <c r="T414" s="226">
        <f t="shared" si="956"/>
        <v>11.566666666666668</v>
      </c>
      <c r="V414" s="227" t="s">
        <v>103</v>
      </c>
      <c r="W414" s="227"/>
      <c r="X414" s="228">
        <v>0.35</v>
      </c>
      <c r="Y414" s="228">
        <v>0.38</v>
      </c>
      <c r="Z414" s="224">
        <v>0.5</v>
      </c>
      <c r="AA414" s="229">
        <v>45761</v>
      </c>
      <c r="AB414" s="230">
        <f t="shared" si="888"/>
        <v>66.764705882352942</v>
      </c>
      <c r="AC414" s="230">
        <f>AB414*Y414</f>
        <v>25.370588235294118</v>
      </c>
      <c r="AD414" s="230">
        <f t="shared" si="931"/>
        <v>128.37517647058823</v>
      </c>
      <c r="AE414" s="230">
        <f t="shared" si="955"/>
        <v>7.6096725827260361</v>
      </c>
      <c r="AF414" s="231">
        <f t="shared" si="933"/>
        <v>0.27329330665906632</v>
      </c>
      <c r="AG414" s="271"/>
      <c r="AH414" s="271">
        <f t="shared" si="901"/>
        <v>0</v>
      </c>
      <c r="AI414" s="227">
        <v>8</v>
      </c>
      <c r="AJ414" s="224">
        <f t="shared" si="934"/>
        <v>-6.5848235294117785</v>
      </c>
      <c r="AK414" s="230">
        <f t="shared" si="935"/>
        <v>-0.39032741727396431</v>
      </c>
      <c r="AL414" s="230">
        <f>(((AI414*M414)*2000)/L414)/Z414</f>
        <v>52.892561983471076</v>
      </c>
      <c r="AM414" s="230">
        <f t="shared" si="936"/>
        <v>-2.6026970471983315</v>
      </c>
      <c r="AN414" s="230" t="s">
        <v>701</v>
      </c>
      <c r="AO414" s="230"/>
      <c r="AP414" s="230"/>
      <c r="AR414" s="227" t="s">
        <v>91</v>
      </c>
      <c r="AS414" s="215">
        <v>35</v>
      </c>
      <c r="AT414" s="215">
        <v>60</v>
      </c>
      <c r="AU414" s="215">
        <v>62</v>
      </c>
      <c r="AV414" s="215">
        <v>56</v>
      </c>
      <c r="AW414" s="215">
        <v>70</v>
      </c>
      <c r="AX414" s="215">
        <v>74</v>
      </c>
      <c r="AY414" s="215">
        <v>74</v>
      </c>
      <c r="AZ414" s="215">
        <v>60</v>
      </c>
      <c r="BA414" s="215">
        <v>72</v>
      </c>
      <c r="BB414" s="215">
        <v>78</v>
      </c>
      <c r="BC414" s="215">
        <v>79</v>
      </c>
      <c r="BD414" s="215">
        <v>75</v>
      </c>
      <c r="BE414" s="215">
        <v>71</v>
      </c>
      <c r="BF414" s="215">
        <v>52</v>
      </c>
      <c r="BG414" s="215">
        <v>92</v>
      </c>
      <c r="BH414" s="215">
        <v>60</v>
      </c>
      <c r="BI414" s="215">
        <v>65</v>
      </c>
    </row>
    <row r="415" spans="1:65" s="215" customFormat="1">
      <c r="A415" s="215" t="s">
        <v>437</v>
      </c>
      <c r="B415" s="216" t="s">
        <v>555</v>
      </c>
      <c r="C415" s="217" t="s">
        <v>556</v>
      </c>
      <c r="D415" s="218" t="s">
        <v>87</v>
      </c>
      <c r="E415" s="219" t="s">
        <v>453</v>
      </c>
      <c r="F415" s="216" t="s">
        <v>557</v>
      </c>
      <c r="G415" s="216" t="s">
        <v>90</v>
      </c>
      <c r="H415" s="220">
        <v>605</v>
      </c>
      <c r="I415" s="221">
        <v>16.87</v>
      </c>
      <c r="J415" s="220">
        <v>10120</v>
      </c>
      <c r="K415" s="222"/>
      <c r="L415" s="220">
        <f t="shared" si="928"/>
        <v>10120</v>
      </c>
      <c r="M415" s="223">
        <f t="shared" si="929"/>
        <v>16.727272727272727</v>
      </c>
      <c r="N415" s="224">
        <v>13.26</v>
      </c>
      <c r="O415" s="224">
        <v>10.32</v>
      </c>
      <c r="P415" s="224">
        <v>14.85</v>
      </c>
      <c r="Q415" s="224">
        <v>13.89</v>
      </c>
      <c r="R415" s="224">
        <v>11.55</v>
      </c>
      <c r="S415" s="225">
        <v>5.53</v>
      </c>
      <c r="T415" s="226">
        <f t="shared" si="956"/>
        <v>11.566666666666668</v>
      </c>
      <c r="V415" s="227" t="s">
        <v>103</v>
      </c>
      <c r="W415" s="227"/>
      <c r="X415" s="228">
        <v>0.35</v>
      </c>
      <c r="Y415" s="228">
        <v>0.38</v>
      </c>
      <c r="Z415" s="224">
        <v>0.5</v>
      </c>
      <c r="AA415" s="229">
        <v>45789</v>
      </c>
      <c r="AB415" s="230">
        <f t="shared" si="888"/>
        <v>60.666666666666664</v>
      </c>
      <c r="AC415" s="230">
        <f t="shared" ref="AC415:AC416" si="957">AB415*Y415</f>
        <v>23.053333333333331</v>
      </c>
      <c r="AD415" s="230">
        <f t="shared" si="931"/>
        <v>116.64986666666665</v>
      </c>
      <c r="AE415" s="230">
        <f t="shared" si="955"/>
        <v>6.914633471645919</v>
      </c>
      <c r="AF415" s="231">
        <f t="shared" si="933"/>
        <v>0.20024683554431827</v>
      </c>
      <c r="AG415" s="271"/>
      <c r="AH415" s="271">
        <f t="shared" si="901"/>
        <v>0</v>
      </c>
      <c r="AI415" s="227">
        <v>8</v>
      </c>
      <c r="AJ415" s="224">
        <f t="shared" si="934"/>
        <v>-18.310133333333354</v>
      </c>
      <c r="AK415" s="230">
        <f t="shared" si="935"/>
        <v>-1.0853665283540814</v>
      </c>
      <c r="AL415" s="230">
        <f>(((AI415*M415)*2000)/L415)/Z415</f>
        <v>52.892561983471076</v>
      </c>
      <c r="AM415" s="230">
        <f t="shared" si="936"/>
        <v>-7.2372068511199021</v>
      </c>
      <c r="AN415" s="230" t="s">
        <v>701</v>
      </c>
      <c r="AO415" s="230"/>
      <c r="AP415" s="230"/>
      <c r="AQ415" s="232"/>
      <c r="AR415" s="227" t="s">
        <v>116</v>
      </c>
      <c r="AS415" s="215">
        <v>53</v>
      </c>
      <c r="AT415" s="215">
        <v>68</v>
      </c>
      <c r="AU415" s="215">
        <v>59</v>
      </c>
      <c r="AV415" s="215">
        <v>70</v>
      </c>
      <c r="AW415" s="215">
        <v>69</v>
      </c>
      <c r="AX415" s="215">
        <v>65</v>
      </c>
      <c r="AY415" s="215">
        <v>58</v>
      </c>
      <c r="AZ415" s="215">
        <v>70</v>
      </c>
      <c r="BA415" s="215">
        <v>62</v>
      </c>
      <c r="BB415" s="215">
        <v>59</v>
      </c>
      <c r="BC415" s="215">
        <v>67</v>
      </c>
      <c r="BD415" s="215">
        <v>55</v>
      </c>
      <c r="BE415" s="215">
        <v>59</v>
      </c>
      <c r="BF415" s="215">
        <v>60</v>
      </c>
      <c r="BG415" s="215">
        <v>52</v>
      </c>
      <c r="BH415" s="215">
        <v>49</v>
      </c>
      <c r="BI415" s="215">
        <v>59</v>
      </c>
      <c r="BJ415" s="215">
        <v>59</v>
      </c>
      <c r="BK415" s="215">
        <v>52</v>
      </c>
      <c r="BL415" s="215">
        <v>61</v>
      </c>
      <c r="BM415" s="215">
        <v>68</v>
      </c>
    </row>
    <row r="416" spans="1:65" s="215" customFormat="1">
      <c r="A416" s="215" t="s">
        <v>437</v>
      </c>
      <c r="B416" s="216" t="s">
        <v>555</v>
      </c>
      <c r="C416" s="217" t="s">
        <v>556</v>
      </c>
      <c r="D416" s="218" t="s">
        <v>87</v>
      </c>
      <c r="E416" s="219" t="s">
        <v>453</v>
      </c>
      <c r="F416" s="216" t="s">
        <v>557</v>
      </c>
      <c r="G416" s="216" t="s">
        <v>90</v>
      </c>
      <c r="H416" s="220">
        <v>605</v>
      </c>
      <c r="I416" s="221">
        <v>16.87</v>
      </c>
      <c r="J416" s="220">
        <v>10120</v>
      </c>
      <c r="K416" s="222"/>
      <c r="L416" s="220">
        <f t="shared" ref="L416" si="958">J416-(J416*K416)</f>
        <v>10120</v>
      </c>
      <c r="M416" s="223">
        <f t="shared" ref="M416" si="959">L416/H416</f>
        <v>16.727272727272727</v>
      </c>
      <c r="N416" s="224">
        <v>13.26</v>
      </c>
      <c r="O416" s="224">
        <v>10.32</v>
      </c>
      <c r="P416" s="224">
        <v>14.85</v>
      </c>
      <c r="Q416" s="224">
        <v>13.89</v>
      </c>
      <c r="R416" s="224">
        <v>11.55</v>
      </c>
      <c r="S416" s="225">
        <v>5.53</v>
      </c>
      <c r="T416" s="226">
        <f t="shared" ref="T416" si="960">AVERAGE(N416:S416)</f>
        <v>11.566666666666668</v>
      </c>
      <c r="V416" s="227" t="s">
        <v>103</v>
      </c>
      <c r="W416" s="227"/>
      <c r="X416" s="228">
        <v>0.35</v>
      </c>
      <c r="Y416" s="228">
        <v>0.38</v>
      </c>
      <c r="Z416" s="224">
        <v>0.5</v>
      </c>
      <c r="AA416" s="229">
        <v>45840</v>
      </c>
      <c r="AB416" s="230">
        <f t="shared" ref="AB416" si="961">IFERROR(AVERAGE(AS416:CP416),0)</f>
        <v>71.13333333333334</v>
      </c>
      <c r="AC416" s="230">
        <f t="shared" si="957"/>
        <v>27.030666666666669</v>
      </c>
      <c r="AD416" s="230">
        <f t="shared" ref="AD416" si="962">(AC416*L416)/2000</f>
        <v>136.77517333333333</v>
      </c>
      <c r="AE416" s="230">
        <f t="shared" ref="AE416" si="963">IFERROR((AD416/I416),"")</f>
        <v>8.107597707962853</v>
      </c>
      <c r="AF416" s="231">
        <f t="shared" ref="AF416" si="964">IFERROR(((AE416-S416)/AE416),"")</f>
        <v>0.31792373040799404</v>
      </c>
      <c r="AG416" s="271"/>
      <c r="AH416" s="271">
        <f t="shared" si="901"/>
        <v>0</v>
      </c>
      <c r="AI416" s="227">
        <v>8</v>
      </c>
      <c r="AJ416" s="224">
        <f t="shared" ref="AJ416" si="965">AD416-(AI416*I416)</f>
        <v>1.8151733333333198</v>
      </c>
      <c r="AK416" s="230">
        <f t="shared" ref="AK416" si="966">AJ416/I416</f>
        <v>0.10759770796285238</v>
      </c>
      <c r="AL416" s="230">
        <f>(((AI416*M416)*2000)/L416)/Z416</f>
        <v>52.892561983471076</v>
      </c>
      <c r="AM416" s="230">
        <f t="shared" ref="AM416" si="967">((AJ416*2000)/Z416)/J416</f>
        <v>0.71745981554676674</v>
      </c>
      <c r="AN416" s="230" t="s">
        <v>701</v>
      </c>
      <c r="AO416" s="230"/>
      <c r="AP416" s="230"/>
      <c r="AQ416" s="232"/>
      <c r="AR416" s="227" t="s">
        <v>91</v>
      </c>
      <c r="AS416" s="215">
        <v>36</v>
      </c>
      <c r="AT416" s="215">
        <v>83</v>
      </c>
      <c r="AU416" s="215">
        <v>70</v>
      </c>
      <c r="AV416" s="215">
        <v>60</v>
      </c>
      <c r="AW416" s="215">
        <v>79</v>
      </c>
      <c r="AX416" s="215">
        <v>68</v>
      </c>
      <c r="AY416" s="215">
        <v>87</v>
      </c>
      <c r="AZ416" s="215">
        <v>76</v>
      </c>
      <c r="BA416" s="215">
        <v>73</v>
      </c>
      <c r="BB416" s="215">
        <v>78</v>
      </c>
      <c r="BC416" s="215">
        <v>81</v>
      </c>
      <c r="BD416" s="215">
        <v>89</v>
      </c>
      <c r="BE416" s="215">
        <v>62</v>
      </c>
      <c r="BF416" s="215">
        <v>64</v>
      </c>
      <c r="BG416" s="215">
        <v>61</v>
      </c>
    </row>
    <row r="417" spans="1:94" s="113" customFormat="1">
      <c r="A417" s="63" t="s">
        <v>437</v>
      </c>
      <c r="B417" s="68" t="s">
        <v>558</v>
      </c>
      <c r="C417" s="64" t="s">
        <v>559</v>
      </c>
      <c r="D417" s="65" t="s">
        <v>87</v>
      </c>
      <c r="E417" s="66" t="s">
        <v>169</v>
      </c>
      <c r="F417" s="68" t="s">
        <v>181</v>
      </c>
      <c r="G417" s="68" t="s">
        <v>90</v>
      </c>
      <c r="H417" s="69">
        <v>605</v>
      </c>
      <c r="I417" s="74">
        <v>19.71</v>
      </c>
      <c r="J417" s="69">
        <v>11744</v>
      </c>
      <c r="K417" s="72"/>
      <c r="L417" s="69">
        <f t="shared" si="928"/>
        <v>11744</v>
      </c>
      <c r="M417" s="86">
        <f t="shared" si="929"/>
        <v>19.411570247933884</v>
      </c>
      <c r="N417" s="79">
        <v>6.77</v>
      </c>
      <c r="O417" s="79">
        <v>7.11</v>
      </c>
      <c r="P417" s="79">
        <v>8.7200000000000006</v>
      </c>
      <c r="Q417" s="79">
        <v>6.5</v>
      </c>
      <c r="R417" s="79">
        <v>7.32</v>
      </c>
      <c r="S417" s="84">
        <v>6.2</v>
      </c>
      <c r="T417" s="85">
        <f t="shared" si="956"/>
        <v>7.1033333333333344</v>
      </c>
      <c r="U417" s="63"/>
      <c r="V417" s="77"/>
      <c r="W417" s="77"/>
      <c r="X417" s="78">
        <v>0.34</v>
      </c>
      <c r="Y417" s="78"/>
      <c r="Z417" s="79">
        <v>0.34</v>
      </c>
      <c r="AA417" s="80"/>
      <c r="AB417" s="81">
        <f t="shared" si="888"/>
        <v>0</v>
      </c>
      <c r="AC417" s="81"/>
      <c r="AD417" s="81">
        <f t="shared" si="931"/>
        <v>0</v>
      </c>
      <c r="AE417" s="81"/>
      <c r="AF417" s="167"/>
      <c r="AG417" s="264"/>
      <c r="AH417" s="264" t="e">
        <f t="shared" si="901"/>
        <v>#DIV/0!</v>
      </c>
      <c r="AI417" s="77"/>
      <c r="AJ417" s="79">
        <f t="shared" si="934"/>
        <v>0</v>
      </c>
      <c r="AK417" s="82">
        <f t="shared" si="935"/>
        <v>0</v>
      </c>
      <c r="AL417" s="82"/>
      <c r="AM417" s="82">
        <f t="shared" si="936"/>
        <v>0</v>
      </c>
      <c r="AN417" s="82"/>
      <c r="AO417" s="82"/>
      <c r="AP417" s="82"/>
      <c r="AQ417" s="63"/>
      <c r="AR417" s="77"/>
      <c r="AS417" s="63"/>
      <c r="AT417" s="63"/>
      <c r="AU417" s="63"/>
      <c r="AV417" s="63"/>
      <c r="AW417" s="63"/>
      <c r="AX417" s="63"/>
      <c r="AY417" s="63"/>
      <c r="AZ417" s="63"/>
      <c r="BA417" s="63"/>
      <c r="BB417" s="63"/>
      <c r="BC417" s="63"/>
      <c r="BD417" s="63"/>
      <c r="BE417" s="63"/>
      <c r="BF417" s="63"/>
      <c r="BG417" s="63"/>
      <c r="BH417" s="63"/>
      <c r="BI417" s="63"/>
      <c r="BJ417" s="63"/>
      <c r="BK417" s="63"/>
      <c r="BL417" s="63"/>
      <c r="BM417" s="63"/>
      <c r="BN417" s="63"/>
      <c r="BO417" s="63"/>
      <c r="BP417" s="63"/>
      <c r="BQ417" s="63"/>
      <c r="BR417" s="63"/>
      <c r="BS417" s="63"/>
      <c r="BT417" s="63"/>
      <c r="BU417" s="63"/>
      <c r="BV417" s="63"/>
      <c r="BW417" s="63"/>
      <c r="BX417" s="63"/>
      <c r="BY417" s="63"/>
      <c r="BZ417" s="63"/>
      <c r="CA417" s="63"/>
      <c r="CB417" s="63"/>
      <c r="CC417" s="63"/>
      <c r="CD417" s="63"/>
      <c r="CE417" s="63"/>
      <c r="CF417" s="63"/>
      <c r="CG417" s="63"/>
      <c r="CH417" s="63"/>
      <c r="CI417" s="63"/>
      <c r="CJ417" s="63"/>
      <c r="CK417" s="63"/>
      <c r="CL417" s="63"/>
      <c r="CM417" s="63"/>
      <c r="CN417" s="63"/>
      <c r="CO417" s="63"/>
      <c r="CP417" s="63"/>
    </row>
    <row r="418" spans="1:94" s="63" customFormat="1">
      <c r="A418" s="113" t="s">
        <v>437</v>
      </c>
      <c r="B418" s="126" t="s">
        <v>560</v>
      </c>
      <c r="C418" s="114" t="s">
        <v>561</v>
      </c>
      <c r="D418" s="128" t="s">
        <v>87</v>
      </c>
      <c r="E418" s="127" t="s">
        <v>546</v>
      </c>
      <c r="F418" s="126" t="s">
        <v>181</v>
      </c>
      <c r="G418" s="126" t="s">
        <v>90</v>
      </c>
      <c r="H418" s="123">
        <v>605</v>
      </c>
      <c r="I418" s="125">
        <v>16.13</v>
      </c>
      <c r="J418" s="123">
        <v>9777</v>
      </c>
      <c r="K418" s="124">
        <v>0.02</v>
      </c>
      <c r="L418" s="123">
        <f t="shared" si="928"/>
        <v>9581.4599999999991</v>
      </c>
      <c r="M418" s="122">
        <f t="shared" si="929"/>
        <v>15.837123966942148</v>
      </c>
      <c r="N418" s="118">
        <v>8.5500000000000007</v>
      </c>
      <c r="O418" s="118">
        <v>7.57</v>
      </c>
      <c r="P418" s="118">
        <v>11</v>
      </c>
      <c r="Q418" s="118">
        <v>9.99</v>
      </c>
      <c r="R418" s="118">
        <v>11.7</v>
      </c>
      <c r="S418" s="153">
        <v>7.92</v>
      </c>
      <c r="T418" s="121">
        <f t="shared" si="956"/>
        <v>9.4550000000000001</v>
      </c>
      <c r="U418" s="113" t="s">
        <v>365</v>
      </c>
      <c r="V418" s="115" t="s">
        <v>103</v>
      </c>
      <c r="W418" s="115"/>
      <c r="X418" s="120">
        <v>0.28000000000000003</v>
      </c>
      <c r="Y418" s="120"/>
      <c r="Z418" s="118">
        <v>0.3</v>
      </c>
      <c r="AA418" s="119">
        <v>45770</v>
      </c>
      <c r="AB418" s="117">
        <f t="shared" si="888"/>
        <v>115.1</v>
      </c>
      <c r="AC418" s="117">
        <f>AB418*X418</f>
        <v>32.228000000000002</v>
      </c>
      <c r="AD418" s="117">
        <f t="shared" si="931"/>
        <v>154.39564643999998</v>
      </c>
      <c r="AE418" s="117">
        <f>IFERROR((AD418/I418),"")</f>
        <v>9.5719557619342837</v>
      </c>
      <c r="AF418" s="170">
        <f>IFERROR(((AE418-S418)/AE418),"")</f>
        <v>0.17258288724063842</v>
      </c>
      <c r="AG418" s="265">
        <v>6.39</v>
      </c>
      <c r="AH418" s="265">
        <f t="shared" si="901"/>
        <v>0.18352708029668774</v>
      </c>
      <c r="AI418" s="115">
        <v>8.5</v>
      </c>
      <c r="AJ418" s="118">
        <f t="shared" si="934"/>
        <v>17.290646439999989</v>
      </c>
      <c r="AK418" s="116">
        <f t="shared" si="935"/>
        <v>1.0719557619342834</v>
      </c>
      <c r="AL418" s="116"/>
      <c r="AM418" s="116">
        <f t="shared" si="936"/>
        <v>11.790014960280926</v>
      </c>
      <c r="AN418" s="116"/>
      <c r="AO418" s="116"/>
      <c r="AP418" s="116"/>
      <c r="AQ418" s="113"/>
      <c r="AR418" s="115" t="s">
        <v>91</v>
      </c>
      <c r="AS418" s="113">
        <v>128</v>
      </c>
      <c r="AT418" s="113">
        <v>117</v>
      </c>
      <c r="AU418" s="113">
        <v>132</v>
      </c>
      <c r="AV418" s="113">
        <v>156</v>
      </c>
      <c r="AW418" s="113">
        <v>103</v>
      </c>
      <c r="AX418" s="113">
        <v>100</v>
      </c>
      <c r="AY418" s="113">
        <v>90</v>
      </c>
      <c r="AZ418" s="113">
        <v>89</v>
      </c>
      <c r="BA418" s="113">
        <v>114</v>
      </c>
      <c r="BB418" s="113">
        <v>122</v>
      </c>
      <c r="BC418" s="113"/>
      <c r="BD418" s="113"/>
      <c r="BE418" s="113"/>
      <c r="BF418" s="113"/>
      <c r="BG418" s="113"/>
      <c r="BH418" s="113"/>
      <c r="BI418" s="113"/>
      <c r="BJ418" s="113"/>
      <c r="BK418" s="113"/>
      <c r="BL418" s="113"/>
      <c r="BM418" s="113"/>
      <c r="BN418" s="113"/>
      <c r="BO418" s="113"/>
      <c r="BP418" s="113"/>
      <c r="BQ418" s="113"/>
      <c r="BR418" s="113"/>
      <c r="BS418" s="113"/>
      <c r="BT418" s="113"/>
      <c r="BU418" s="113"/>
      <c r="BV418" s="113"/>
      <c r="BW418" s="113"/>
      <c r="BX418" s="113"/>
      <c r="BY418" s="113"/>
      <c r="BZ418" s="113"/>
      <c r="CA418" s="113"/>
      <c r="CB418" s="113"/>
      <c r="CC418" s="113"/>
      <c r="CD418" s="113"/>
      <c r="CE418" s="113"/>
      <c r="CF418" s="113"/>
      <c r="CG418" s="113"/>
      <c r="CH418" s="113"/>
      <c r="CI418" s="113"/>
      <c r="CJ418" s="113"/>
      <c r="CK418" s="113"/>
      <c r="CL418" s="113"/>
      <c r="CM418" s="113"/>
      <c r="CN418" s="113"/>
      <c r="CO418" s="113"/>
      <c r="CP418" s="113"/>
    </row>
    <row r="419" spans="1:94" s="63" customFormat="1">
      <c r="A419" s="113" t="s">
        <v>437</v>
      </c>
      <c r="B419" s="126" t="s">
        <v>560</v>
      </c>
      <c r="C419" s="114" t="s">
        <v>561</v>
      </c>
      <c r="D419" s="128" t="s">
        <v>87</v>
      </c>
      <c r="E419" s="127" t="s">
        <v>546</v>
      </c>
      <c r="F419" s="126" t="s">
        <v>181</v>
      </c>
      <c r="G419" s="126" t="s">
        <v>90</v>
      </c>
      <c r="H419" s="123">
        <v>605</v>
      </c>
      <c r="I419" s="125">
        <v>16.13</v>
      </c>
      <c r="J419" s="123">
        <v>9777</v>
      </c>
      <c r="K419" s="124">
        <v>0.02</v>
      </c>
      <c r="L419" s="123">
        <f t="shared" si="928"/>
        <v>9581.4599999999991</v>
      </c>
      <c r="M419" s="122">
        <f t="shared" si="929"/>
        <v>15.837123966942148</v>
      </c>
      <c r="N419" s="118">
        <v>8.5500000000000007</v>
      </c>
      <c r="O419" s="118">
        <v>7.57</v>
      </c>
      <c r="P419" s="118">
        <v>11</v>
      </c>
      <c r="Q419" s="118">
        <v>9.99</v>
      </c>
      <c r="R419" s="118">
        <v>11.7</v>
      </c>
      <c r="S419" s="153">
        <v>7.92</v>
      </c>
      <c r="T419" s="121">
        <f t="shared" si="956"/>
        <v>9.4550000000000001</v>
      </c>
      <c r="U419" s="113" t="s">
        <v>365</v>
      </c>
      <c r="V419" s="115" t="s">
        <v>103</v>
      </c>
      <c r="W419" s="115"/>
      <c r="X419" s="120">
        <v>0.28000000000000003</v>
      </c>
      <c r="Y419" s="120"/>
      <c r="Z419" s="118">
        <v>0.3</v>
      </c>
      <c r="AA419" s="119">
        <v>45791</v>
      </c>
      <c r="AB419" s="117">
        <f t="shared" si="888"/>
        <v>92.25</v>
      </c>
      <c r="AC419" s="117">
        <f>AB419*X419</f>
        <v>25.830000000000002</v>
      </c>
      <c r="AD419" s="117">
        <f t="shared" si="931"/>
        <v>123.74455589999999</v>
      </c>
      <c r="AE419" s="117">
        <f>IFERROR((AD419/I419),"")</f>
        <v>7.6717021636701803</v>
      </c>
      <c r="AF419" s="170">
        <f>IFERROR(((AE419-S419)/AE419),"")</f>
        <v>-3.2365416570216889E-2</v>
      </c>
      <c r="AG419" s="265">
        <v>6.39</v>
      </c>
      <c r="AH419" s="265">
        <f t="shared" si="901"/>
        <v>0.22898609151380767</v>
      </c>
      <c r="AI419" s="115">
        <v>8.5</v>
      </c>
      <c r="AJ419" s="118">
        <f t="shared" si="934"/>
        <v>-13.360444099999995</v>
      </c>
      <c r="AK419" s="116">
        <f t="shared" si="935"/>
        <v>-0.82829783632982001</v>
      </c>
      <c r="AL419" s="116"/>
      <c r="AM419" s="116">
        <f t="shared" si="936"/>
        <v>-9.1101183730523996</v>
      </c>
      <c r="AN419" s="116"/>
      <c r="AO419" s="116"/>
      <c r="AP419" s="116"/>
      <c r="AQ419" s="113"/>
      <c r="AR419" s="115" t="s">
        <v>91</v>
      </c>
      <c r="AS419" s="113">
        <v>102</v>
      </c>
      <c r="AT419" s="113">
        <v>94</v>
      </c>
      <c r="AU419" s="113">
        <v>80</v>
      </c>
      <c r="AV419" s="113">
        <v>77</v>
      </c>
      <c r="AW419" s="113">
        <v>90</v>
      </c>
      <c r="AX419" s="113">
        <v>102</v>
      </c>
      <c r="AY419" s="113">
        <v>89</v>
      </c>
      <c r="AZ419" s="113">
        <v>92</v>
      </c>
      <c r="BA419" s="113">
        <v>82</v>
      </c>
      <c r="BB419" s="113">
        <v>120</v>
      </c>
      <c r="BC419" s="113">
        <v>92</v>
      </c>
      <c r="BD419" s="113">
        <v>87</v>
      </c>
      <c r="BE419" s="113"/>
      <c r="BF419" s="113"/>
      <c r="BG419" s="113"/>
      <c r="BH419" s="113"/>
      <c r="BI419" s="113"/>
      <c r="BJ419" s="113"/>
      <c r="BK419" s="113"/>
      <c r="BL419" s="113"/>
      <c r="BM419" s="113"/>
      <c r="BN419" s="113"/>
      <c r="BO419" s="113"/>
      <c r="BP419" s="113"/>
      <c r="BQ419" s="113"/>
      <c r="BR419" s="113"/>
      <c r="BS419" s="113"/>
      <c r="BT419" s="113"/>
      <c r="BU419" s="113"/>
      <c r="BV419" s="113"/>
      <c r="BW419" s="113"/>
      <c r="BX419" s="113"/>
      <c r="BY419" s="113"/>
      <c r="BZ419" s="113"/>
      <c r="CA419" s="113"/>
      <c r="CB419" s="113"/>
      <c r="CC419" s="113"/>
      <c r="CD419" s="113"/>
      <c r="CE419" s="113"/>
      <c r="CF419" s="113"/>
      <c r="CG419" s="113"/>
      <c r="CH419" s="113"/>
      <c r="CI419" s="113"/>
      <c r="CJ419" s="113"/>
      <c r="CK419" s="113"/>
      <c r="CL419" s="113"/>
      <c r="CM419" s="113"/>
      <c r="CN419" s="113"/>
      <c r="CO419" s="113"/>
      <c r="CP419" s="113"/>
    </row>
    <row r="420" spans="1:94" s="113" customFormat="1">
      <c r="A420" s="63" t="s">
        <v>437</v>
      </c>
      <c r="B420" s="68" t="s">
        <v>563</v>
      </c>
      <c r="C420" s="64" t="s">
        <v>564</v>
      </c>
      <c r="D420" s="65" t="s">
        <v>87</v>
      </c>
      <c r="E420" s="66" t="s">
        <v>546</v>
      </c>
      <c r="F420" s="68" t="s">
        <v>181</v>
      </c>
      <c r="G420" s="68" t="s">
        <v>565</v>
      </c>
      <c r="H420" s="69">
        <v>777.85714285714289</v>
      </c>
      <c r="I420" s="74">
        <v>11.78</v>
      </c>
      <c r="J420" s="69">
        <v>9125</v>
      </c>
      <c r="K420" s="72">
        <v>0.05</v>
      </c>
      <c r="L420" s="69">
        <f t="shared" si="928"/>
        <v>8668.75</v>
      </c>
      <c r="M420" s="86">
        <f t="shared" si="929"/>
        <v>11.144398530762167</v>
      </c>
      <c r="N420" s="79">
        <v>8.5500000000000007</v>
      </c>
      <c r="O420" s="79">
        <v>7.57</v>
      </c>
      <c r="P420" s="79">
        <v>11</v>
      </c>
      <c r="Q420" s="79">
        <v>9.99</v>
      </c>
      <c r="R420" s="79">
        <v>10.75</v>
      </c>
      <c r="S420" s="84">
        <v>7.92</v>
      </c>
      <c r="T420" s="85">
        <f t="shared" si="956"/>
        <v>9.2966666666666669</v>
      </c>
      <c r="U420" s="63" t="s">
        <v>365</v>
      </c>
      <c r="V420" s="77" t="s">
        <v>103</v>
      </c>
      <c r="W420" s="77"/>
      <c r="X420" s="78">
        <v>0.28999999999999998</v>
      </c>
      <c r="Y420" s="78"/>
      <c r="Z420" s="79">
        <v>0.3</v>
      </c>
      <c r="AA420" s="80">
        <v>45770</v>
      </c>
      <c r="AB420" s="81">
        <f t="shared" si="888"/>
        <v>94.9</v>
      </c>
      <c r="AC420" s="81">
        <f>AB420*X420</f>
        <v>27.521000000000001</v>
      </c>
      <c r="AD420" s="81">
        <f t="shared" si="931"/>
        <v>119.28633437500001</v>
      </c>
      <c r="AE420" s="81">
        <f>IFERROR((AD420/I420),"")</f>
        <v>10.126174395161291</v>
      </c>
      <c r="AF420" s="167">
        <f>IFERROR(((AE420-S420)/AE420),"")</f>
        <v>0.21786849693359947</v>
      </c>
      <c r="AG420" s="264">
        <v>7.95</v>
      </c>
      <c r="AH420" s="264">
        <f t="shared" si="901"/>
        <v>0.21539274341266865</v>
      </c>
      <c r="AI420" s="77">
        <v>8.5</v>
      </c>
      <c r="AJ420" s="79">
        <f t="shared" si="934"/>
        <v>19.156334375000014</v>
      </c>
      <c r="AK420" s="82">
        <f t="shared" si="935"/>
        <v>1.6261743951612917</v>
      </c>
      <c r="AL420" s="82"/>
      <c r="AM420" s="82">
        <f t="shared" si="936"/>
        <v>13.995495433789966</v>
      </c>
      <c r="AN420" s="82"/>
      <c r="AO420" s="82"/>
      <c r="AP420" s="82"/>
      <c r="AQ420" s="63"/>
      <c r="AR420" s="77" t="s">
        <v>91</v>
      </c>
      <c r="AS420" s="63">
        <v>86</v>
      </c>
      <c r="AT420" s="63">
        <v>120</v>
      </c>
      <c r="AU420" s="63">
        <v>81</v>
      </c>
      <c r="AV420" s="63">
        <v>76</v>
      </c>
      <c r="AW420" s="63">
        <v>93</v>
      </c>
      <c r="AX420" s="63">
        <v>108</v>
      </c>
      <c r="AY420" s="63">
        <v>104</v>
      </c>
      <c r="AZ420" s="63">
        <v>89</v>
      </c>
      <c r="BA420" s="63">
        <v>89</v>
      </c>
      <c r="BB420" s="63">
        <v>103</v>
      </c>
      <c r="BC420" s="63"/>
      <c r="BD420" s="63"/>
      <c r="BE420" s="63"/>
      <c r="BF420" s="63"/>
      <c r="BG420" s="63"/>
      <c r="BH420" s="63"/>
      <c r="BI420" s="63"/>
      <c r="BJ420" s="63"/>
      <c r="BK420" s="63"/>
      <c r="BL420" s="63"/>
      <c r="BM420" s="63"/>
      <c r="BN420" s="63"/>
      <c r="BO420" s="63"/>
      <c r="BP420" s="63"/>
      <c r="BQ420" s="63"/>
      <c r="BR420" s="63"/>
      <c r="BS420" s="63"/>
      <c r="BT420" s="63"/>
      <c r="BU420" s="63"/>
      <c r="BV420" s="63"/>
      <c r="BW420" s="63"/>
      <c r="BX420" s="63"/>
      <c r="BY420" s="63"/>
      <c r="BZ420" s="63"/>
      <c r="CA420" s="63"/>
      <c r="CB420" s="63"/>
      <c r="CC420" s="63"/>
      <c r="CD420" s="63"/>
      <c r="CE420" s="63"/>
      <c r="CF420" s="63"/>
      <c r="CG420" s="63"/>
      <c r="CH420" s="63"/>
      <c r="CI420" s="63"/>
      <c r="CJ420" s="63"/>
      <c r="CK420" s="63"/>
      <c r="CL420" s="63"/>
      <c r="CM420" s="63"/>
      <c r="CN420" s="63"/>
      <c r="CO420" s="63"/>
      <c r="CP420" s="63"/>
    </row>
    <row r="421" spans="1:94" s="113" customFormat="1">
      <c r="A421" s="63" t="s">
        <v>437</v>
      </c>
      <c r="B421" s="68" t="s">
        <v>563</v>
      </c>
      <c r="C421" s="64" t="s">
        <v>564</v>
      </c>
      <c r="D421" s="65" t="s">
        <v>87</v>
      </c>
      <c r="E421" s="66" t="s">
        <v>546</v>
      </c>
      <c r="F421" s="68" t="s">
        <v>181</v>
      </c>
      <c r="G421" s="68" t="s">
        <v>565</v>
      </c>
      <c r="H421" s="69">
        <v>777.85714285714289</v>
      </c>
      <c r="I421" s="74">
        <v>11.78</v>
      </c>
      <c r="J421" s="69">
        <v>9125</v>
      </c>
      <c r="K421" s="72">
        <v>0.05</v>
      </c>
      <c r="L421" s="69">
        <f t="shared" si="928"/>
        <v>8668.75</v>
      </c>
      <c r="M421" s="86">
        <f t="shared" si="929"/>
        <v>11.144398530762167</v>
      </c>
      <c r="N421" s="79">
        <v>8.5500000000000007</v>
      </c>
      <c r="O421" s="79">
        <v>7.57</v>
      </c>
      <c r="P421" s="79">
        <v>11</v>
      </c>
      <c r="Q421" s="79">
        <v>9.99</v>
      </c>
      <c r="R421" s="79">
        <v>10.75</v>
      </c>
      <c r="S421" s="84">
        <v>7.92</v>
      </c>
      <c r="T421" s="85">
        <f t="shared" si="956"/>
        <v>9.2966666666666669</v>
      </c>
      <c r="U421" s="63" t="s">
        <v>365</v>
      </c>
      <c r="V421" s="77" t="s">
        <v>103</v>
      </c>
      <c r="W421" s="77"/>
      <c r="X421" s="78">
        <v>0.28999999999999998</v>
      </c>
      <c r="Y421" s="78"/>
      <c r="Z421" s="79">
        <v>0.3</v>
      </c>
      <c r="AA421" s="80">
        <v>45782</v>
      </c>
      <c r="AB421" s="81">
        <f t="shared" si="888"/>
        <v>95.1875</v>
      </c>
      <c r="AC421" s="81">
        <f>AB421*X421</f>
        <v>27.604374999999997</v>
      </c>
      <c r="AD421" s="81">
        <f t="shared" si="931"/>
        <v>119.64771289062499</v>
      </c>
      <c r="AE421" s="81">
        <f>IFERROR((AD421/I421),"")</f>
        <v>10.156851688508064</v>
      </c>
      <c r="AF421" s="167">
        <f>IFERROR(((AE421-S421)/AE421),"")</f>
        <v>0.22023081138803502</v>
      </c>
      <c r="AG421" s="264">
        <v>7.95</v>
      </c>
      <c r="AH421" s="264">
        <f t="shared" si="901"/>
        <v>0.2147421809571872</v>
      </c>
      <c r="AI421" s="77">
        <v>8.5</v>
      </c>
      <c r="AJ421" s="79">
        <f t="shared" si="934"/>
        <v>19.517712890624992</v>
      </c>
      <c r="AK421" s="82">
        <f t="shared" si="935"/>
        <v>1.656851688508064</v>
      </c>
      <c r="AL421" s="82"/>
      <c r="AM421" s="82">
        <f t="shared" si="936"/>
        <v>14.259516267123283</v>
      </c>
      <c r="AN421" s="82"/>
      <c r="AO421" s="82"/>
      <c r="AP421" s="82"/>
      <c r="AQ421" s="63"/>
      <c r="AR421" s="77" t="s">
        <v>91</v>
      </c>
      <c r="AS421" s="63">
        <v>95</v>
      </c>
      <c r="AT421" s="63">
        <v>84</v>
      </c>
      <c r="AU421" s="63">
        <v>65</v>
      </c>
      <c r="AV421" s="63">
        <v>113</v>
      </c>
      <c r="AW421" s="63">
        <v>123</v>
      </c>
      <c r="AX421" s="63">
        <v>125</v>
      </c>
      <c r="AY421" s="63">
        <v>126</v>
      </c>
      <c r="AZ421" s="63">
        <v>78</v>
      </c>
      <c r="BA421" s="63">
        <v>80</v>
      </c>
      <c r="BB421" s="63">
        <v>102</v>
      </c>
      <c r="BC421" s="63">
        <v>125</v>
      </c>
      <c r="BD421" s="63">
        <v>84</v>
      </c>
      <c r="BE421" s="63">
        <v>62</v>
      </c>
      <c r="BF421" s="63">
        <v>77</v>
      </c>
      <c r="BG421" s="63">
        <v>106</v>
      </c>
      <c r="BH421" s="63">
        <v>78</v>
      </c>
      <c r="BI421" s="63"/>
      <c r="BJ421" s="63"/>
      <c r="BK421" s="63"/>
      <c r="BL421" s="63"/>
      <c r="BM421" s="63"/>
      <c r="BN421" s="63"/>
      <c r="BO421" s="63"/>
      <c r="BP421" s="63"/>
      <c r="BQ421" s="63"/>
      <c r="BR421" s="63"/>
      <c r="BS421" s="63"/>
      <c r="BT421" s="63"/>
      <c r="BU421" s="63"/>
      <c r="BV421" s="63"/>
      <c r="BW421" s="63"/>
      <c r="BX421" s="63"/>
      <c r="BY421" s="63"/>
      <c r="BZ421" s="63"/>
      <c r="CA421" s="63"/>
      <c r="CB421" s="63"/>
      <c r="CC421" s="63"/>
      <c r="CD421" s="63"/>
      <c r="CE421" s="63"/>
      <c r="CF421" s="63"/>
      <c r="CG421" s="63"/>
      <c r="CH421" s="63"/>
      <c r="CI421" s="63"/>
      <c r="CJ421" s="63"/>
      <c r="CK421" s="63"/>
      <c r="CL421" s="63"/>
      <c r="CM421" s="63"/>
      <c r="CN421" s="63"/>
      <c r="CO421" s="63"/>
      <c r="CP421" s="63"/>
    </row>
    <row r="422" spans="1:94" s="63" customFormat="1">
      <c r="A422" s="113" t="s">
        <v>437</v>
      </c>
      <c r="B422" s="126" t="s">
        <v>567</v>
      </c>
      <c r="C422" s="114" t="s">
        <v>568</v>
      </c>
      <c r="D422" s="128" t="s">
        <v>87</v>
      </c>
      <c r="E422" s="127" t="s">
        <v>88</v>
      </c>
      <c r="F422" s="126" t="s">
        <v>170</v>
      </c>
      <c r="G422" s="126" t="s">
        <v>170</v>
      </c>
      <c r="H422" s="123">
        <v>726</v>
      </c>
      <c r="I422" s="125">
        <v>83.49</v>
      </c>
      <c r="J422" s="123">
        <v>59411</v>
      </c>
      <c r="K422" s="124"/>
      <c r="L422" s="123">
        <f t="shared" si="928"/>
        <v>59411</v>
      </c>
      <c r="M422" s="122">
        <f t="shared" si="929"/>
        <v>81.833333333333329</v>
      </c>
      <c r="N422" s="118"/>
      <c r="O422" s="118">
        <v>4.16</v>
      </c>
      <c r="P422" s="118">
        <v>8.18</v>
      </c>
      <c r="Q422" s="118">
        <v>7.22</v>
      </c>
      <c r="R422" s="118">
        <v>11.51</v>
      </c>
      <c r="S422" s="153">
        <v>7.6</v>
      </c>
      <c r="T422" s="121">
        <f t="shared" si="956"/>
        <v>7.734</v>
      </c>
      <c r="U422" s="113"/>
      <c r="V422" s="115"/>
      <c r="W422" s="115"/>
      <c r="X422" s="120">
        <v>0.28000000000000003</v>
      </c>
      <c r="Y422" s="120"/>
      <c r="Z422" s="118">
        <v>0.33</v>
      </c>
      <c r="AA422" s="119"/>
      <c r="AB422" s="117">
        <f t="shared" si="888"/>
        <v>0</v>
      </c>
      <c r="AC422" s="117">
        <f>AB422*X422</f>
        <v>0</v>
      </c>
      <c r="AD422" s="117">
        <f t="shared" si="931"/>
        <v>0</v>
      </c>
      <c r="AE422" s="117"/>
      <c r="AF422" s="170"/>
      <c r="AG422" s="265"/>
      <c r="AH422" s="265" t="e">
        <f t="shared" si="901"/>
        <v>#DIV/0!</v>
      </c>
      <c r="AI422" s="115"/>
      <c r="AJ422" s="118">
        <f t="shared" si="934"/>
        <v>0</v>
      </c>
      <c r="AK422" s="116">
        <f t="shared" si="935"/>
        <v>0</v>
      </c>
      <c r="AL422" s="116"/>
      <c r="AM422" s="116">
        <f t="shared" si="936"/>
        <v>0</v>
      </c>
      <c r="AN422" s="116"/>
      <c r="AO422" s="116"/>
      <c r="AP422" s="116"/>
      <c r="AQ422" s="113"/>
      <c r="AR422" s="115"/>
      <c r="AS422" s="113"/>
      <c r="AT422" s="113"/>
      <c r="AU422" s="113"/>
      <c r="AV422" s="113"/>
      <c r="AW422" s="113"/>
      <c r="AX422" s="113"/>
      <c r="AY422" s="113"/>
      <c r="AZ422" s="113"/>
      <c r="BA422" s="113"/>
      <c r="BB422" s="113"/>
      <c r="BC422" s="113"/>
      <c r="BD422" s="113"/>
      <c r="BE422" s="113"/>
      <c r="BF422" s="113"/>
      <c r="BG422" s="113"/>
      <c r="BH422" s="113"/>
      <c r="BI422" s="113"/>
      <c r="BJ422" s="113"/>
      <c r="BK422" s="113"/>
      <c r="BL422" s="113"/>
      <c r="BM422" s="113"/>
      <c r="BN422" s="113"/>
      <c r="BO422" s="113"/>
      <c r="BP422" s="113"/>
      <c r="BQ422" s="113"/>
      <c r="BR422" s="113"/>
      <c r="BS422" s="113"/>
      <c r="BT422" s="113"/>
      <c r="BU422" s="113"/>
      <c r="BV422" s="113"/>
      <c r="BW422" s="113"/>
      <c r="BX422" s="113"/>
      <c r="BY422" s="113"/>
      <c r="BZ422" s="113"/>
      <c r="CA422" s="113"/>
      <c r="CB422" s="113"/>
      <c r="CC422" s="113"/>
      <c r="CD422" s="113"/>
      <c r="CE422" s="113"/>
      <c r="CF422" s="113"/>
      <c r="CG422" s="113"/>
      <c r="CH422" s="113"/>
      <c r="CI422" s="113"/>
      <c r="CJ422" s="113"/>
      <c r="CK422" s="113"/>
      <c r="CL422" s="113"/>
      <c r="CM422" s="113"/>
      <c r="CN422" s="113"/>
      <c r="CO422" s="113"/>
      <c r="CP422" s="113"/>
    </row>
    <row r="423" spans="1:94" s="113" customFormat="1">
      <c r="A423" s="113" t="s">
        <v>437</v>
      </c>
      <c r="B423" s="126" t="s">
        <v>567</v>
      </c>
      <c r="C423" s="114" t="s">
        <v>569</v>
      </c>
      <c r="D423" s="128" t="s">
        <v>87</v>
      </c>
      <c r="E423" s="127" t="s">
        <v>88</v>
      </c>
      <c r="F423" s="126" t="s">
        <v>170</v>
      </c>
      <c r="G423" s="126" t="s">
        <v>170</v>
      </c>
      <c r="H423" s="123">
        <v>726</v>
      </c>
      <c r="I423" s="125">
        <v>64.14</v>
      </c>
      <c r="J423" s="123">
        <v>45642</v>
      </c>
      <c r="K423" s="124"/>
      <c r="L423" s="123">
        <f t="shared" si="928"/>
        <v>45642</v>
      </c>
      <c r="M423" s="122">
        <f t="shared" si="929"/>
        <v>62.867768595041319</v>
      </c>
      <c r="N423" s="118"/>
      <c r="O423" s="118">
        <v>4.16</v>
      </c>
      <c r="P423" s="118">
        <v>8.18</v>
      </c>
      <c r="Q423" s="118">
        <v>7.22</v>
      </c>
      <c r="R423" s="118">
        <v>11.51</v>
      </c>
      <c r="S423" s="153">
        <v>7.6</v>
      </c>
      <c r="T423" s="121">
        <f t="shared" si="956"/>
        <v>7.734</v>
      </c>
      <c r="V423" s="115"/>
      <c r="W423" s="115"/>
      <c r="X423" s="120">
        <v>0.28000000000000003</v>
      </c>
      <c r="Y423" s="120"/>
      <c r="Z423" s="118">
        <v>0.33</v>
      </c>
      <c r="AA423" s="119"/>
      <c r="AB423" s="117"/>
      <c r="AC423" s="117"/>
      <c r="AD423" s="117">
        <f t="shared" si="931"/>
        <v>0</v>
      </c>
      <c r="AE423" s="117"/>
      <c r="AF423" s="170"/>
      <c r="AG423" s="265"/>
      <c r="AH423" s="265" t="e">
        <f t="shared" si="901"/>
        <v>#DIV/0!</v>
      </c>
      <c r="AI423" s="115" t="s">
        <v>703</v>
      </c>
      <c r="AJ423" s="118"/>
      <c r="AK423" s="116"/>
      <c r="AL423" s="116"/>
      <c r="AM423" s="116"/>
      <c r="AN423" s="116"/>
      <c r="AO423" s="116"/>
      <c r="AP423" s="116"/>
      <c r="AR423" s="115"/>
    </row>
    <row r="424" spans="1:94" s="113" customFormat="1">
      <c r="A424" s="113" t="s">
        <v>437</v>
      </c>
      <c r="B424" s="126" t="s">
        <v>567</v>
      </c>
      <c r="C424" s="114" t="s">
        <v>570</v>
      </c>
      <c r="D424" s="128" t="s">
        <v>87</v>
      </c>
      <c r="E424" s="127" t="s">
        <v>88</v>
      </c>
      <c r="F424" s="126" t="s">
        <v>170</v>
      </c>
      <c r="G424" s="126" t="s">
        <v>170</v>
      </c>
      <c r="H424" s="123">
        <v>726</v>
      </c>
      <c r="I424" s="125">
        <v>19.350000000000001</v>
      </c>
      <c r="J424" s="123">
        <v>13769</v>
      </c>
      <c r="K424" s="124"/>
      <c r="L424" s="123">
        <f t="shared" si="928"/>
        <v>13769</v>
      </c>
      <c r="M424" s="122">
        <f t="shared" si="929"/>
        <v>18.965564738292009</v>
      </c>
      <c r="N424" s="118"/>
      <c r="O424" s="118">
        <v>4.16</v>
      </c>
      <c r="P424" s="118">
        <v>8.18</v>
      </c>
      <c r="Q424" s="118">
        <v>7.22</v>
      </c>
      <c r="R424" s="118">
        <v>11.51</v>
      </c>
      <c r="S424" s="153">
        <v>7.6</v>
      </c>
      <c r="T424" s="121">
        <f t="shared" si="956"/>
        <v>7.734</v>
      </c>
      <c r="V424" s="115"/>
      <c r="W424" s="115"/>
      <c r="X424" s="120">
        <v>0.28000000000000003</v>
      </c>
      <c r="Y424" s="120"/>
      <c r="Z424" s="118">
        <v>0.33</v>
      </c>
      <c r="AA424" s="119"/>
      <c r="AB424" s="117"/>
      <c r="AC424" s="117"/>
      <c r="AD424" s="117">
        <f t="shared" si="931"/>
        <v>0</v>
      </c>
      <c r="AE424" s="117"/>
      <c r="AF424" s="170"/>
      <c r="AG424" s="265"/>
      <c r="AH424" s="265" t="e">
        <f t="shared" si="901"/>
        <v>#DIV/0!</v>
      </c>
      <c r="AI424" s="115"/>
      <c r="AJ424" s="118">
        <f t="shared" ref="AJ424:AJ478" si="968">AD424-(AI424*I424)</f>
        <v>0</v>
      </c>
      <c r="AK424" s="116">
        <f t="shared" ref="AK424:AK478" si="969">AJ424/I424</f>
        <v>0</v>
      </c>
      <c r="AL424" s="116"/>
      <c r="AM424" s="116">
        <f t="shared" ref="AM424:AM454" si="970">((AJ424*2000)/Z424)/J424</f>
        <v>0</v>
      </c>
      <c r="AN424" s="116"/>
      <c r="AO424" s="116"/>
      <c r="AP424" s="116"/>
      <c r="AR424" s="115"/>
    </row>
    <row r="425" spans="1:94" s="113" customFormat="1">
      <c r="A425" s="63" t="s">
        <v>437</v>
      </c>
      <c r="B425" s="68" t="s">
        <v>571</v>
      </c>
      <c r="C425" s="64" t="s">
        <v>572</v>
      </c>
      <c r="D425" s="65" t="s">
        <v>87</v>
      </c>
      <c r="E425" s="66" t="s">
        <v>134</v>
      </c>
      <c r="F425" s="68" t="s">
        <v>573</v>
      </c>
      <c r="G425" s="68" t="s">
        <v>273</v>
      </c>
      <c r="H425" s="69">
        <v>726</v>
      </c>
      <c r="I425" s="74">
        <v>14.91</v>
      </c>
      <c r="J425" s="69">
        <v>10726</v>
      </c>
      <c r="K425" s="72"/>
      <c r="L425" s="69">
        <f t="shared" si="928"/>
        <v>10726</v>
      </c>
      <c r="M425" s="86">
        <f t="shared" si="929"/>
        <v>14.774104683195592</v>
      </c>
      <c r="N425" s="74"/>
      <c r="O425" s="74"/>
      <c r="P425" s="74"/>
      <c r="Q425" s="74">
        <v>3.66</v>
      </c>
      <c r="R425" s="74">
        <v>7.1</v>
      </c>
      <c r="S425" s="75">
        <v>6.45</v>
      </c>
      <c r="T425" s="76">
        <f>AVERAGE(N425:R425)</f>
        <v>5.38</v>
      </c>
      <c r="U425" s="63" t="s">
        <v>365</v>
      </c>
      <c r="V425" s="77" t="s">
        <v>103</v>
      </c>
      <c r="W425" s="77"/>
      <c r="X425" s="78">
        <v>0.27</v>
      </c>
      <c r="Y425" s="78"/>
      <c r="Z425" s="79">
        <v>0.31</v>
      </c>
      <c r="AA425" s="80">
        <v>45778</v>
      </c>
      <c r="AB425" s="81">
        <f t="shared" ref="AB425:AB454" si="971">IFERROR(AVERAGE(AS425:CP425),0)</f>
        <v>106.29411764705883</v>
      </c>
      <c r="AC425" s="81">
        <f>AB425*X425</f>
        <v>28.699411764705886</v>
      </c>
      <c r="AD425" s="81">
        <f t="shared" si="931"/>
        <v>153.91494529411767</v>
      </c>
      <c r="AE425" s="81">
        <f t="shared" ref="AE425:AE454" si="972">IFERROR((AD425/I425),"")</f>
        <v>10.322933956681265</v>
      </c>
      <c r="AF425" s="167">
        <f t="shared" ref="AF425:AF454" si="973">IFERROR(((AE425-S425)/AE425),"")</f>
        <v>0.37517763582848496</v>
      </c>
      <c r="AG425" s="264">
        <v>9.11</v>
      </c>
      <c r="AH425" s="264">
        <f t="shared" si="901"/>
        <v>0.23610355199629229</v>
      </c>
      <c r="AI425" s="77"/>
      <c r="AJ425" s="79">
        <f t="shared" si="968"/>
        <v>153.91494529411767</v>
      </c>
      <c r="AK425" s="82">
        <f t="shared" si="969"/>
        <v>10.322933956681265</v>
      </c>
      <c r="AL425" s="82"/>
      <c r="AM425" s="82">
        <f t="shared" si="970"/>
        <v>92.578747628083505</v>
      </c>
      <c r="AN425" s="82" t="s">
        <v>701</v>
      </c>
      <c r="AO425" s="82">
        <f>7*I425</f>
        <v>104.37</v>
      </c>
      <c r="AP425" s="82">
        <f t="shared" ref="AP425:AP434" si="974">AD425-AO425</f>
        <v>49.544945294117667</v>
      </c>
      <c r="AQ425" s="63"/>
      <c r="AR425" s="77"/>
      <c r="AS425" s="63">
        <v>114</v>
      </c>
      <c r="AT425" s="63">
        <v>91</v>
      </c>
      <c r="AU425" s="63">
        <v>122</v>
      </c>
      <c r="AV425" s="63">
        <v>123</v>
      </c>
      <c r="AW425" s="63">
        <v>101</v>
      </c>
      <c r="AX425" s="63">
        <v>93</v>
      </c>
      <c r="AY425" s="63">
        <v>111</v>
      </c>
      <c r="AZ425" s="63">
        <v>93</v>
      </c>
      <c r="BA425" s="63">
        <v>111</v>
      </c>
      <c r="BB425" s="63">
        <v>107</v>
      </c>
      <c r="BC425" s="63">
        <v>108</v>
      </c>
      <c r="BD425" s="63">
        <v>119</v>
      </c>
      <c r="BE425" s="63">
        <v>103</v>
      </c>
      <c r="BF425" s="63">
        <v>89</v>
      </c>
      <c r="BG425" s="63">
        <v>108</v>
      </c>
      <c r="BH425" s="63">
        <v>120</v>
      </c>
      <c r="BI425" s="63">
        <v>94</v>
      </c>
      <c r="BJ425" s="63"/>
      <c r="BK425" s="63"/>
      <c r="BL425" s="63"/>
      <c r="BM425" s="63"/>
      <c r="BN425" s="63"/>
      <c r="BO425" s="63"/>
      <c r="BP425" s="63"/>
      <c r="BQ425" s="63"/>
      <c r="BR425" s="63"/>
      <c r="BS425" s="63"/>
      <c r="BT425" s="63"/>
      <c r="BU425" s="63"/>
      <c r="BV425" s="63"/>
      <c r="BW425" s="63"/>
      <c r="BX425" s="63"/>
      <c r="BY425" s="63"/>
      <c r="BZ425" s="63"/>
      <c r="CA425" s="63"/>
      <c r="CB425" s="63"/>
      <c r="CC425" s="63"/>
      <c r="CD425" s="63"/>
      <c r="CE425" s="63"/>
      <c r="CF425" s="63"/>
      <c r="CG425" s="63"/>
      <c r="CH425" s="63"/>
      <c r="CI425" s="63"/>
      <c r="CJ425" s="63"/>
      <c r="CK425" s="63"/>
      <c r="CL425" s="63"/>
      <c r="CM425" s="63"/>
      <c r="CN425" s="63"/>
      <c r="CO425" s="63"/>
      <c r="CP425" s="63"/>
    </row>
    <row r="426" spans="1:94" s="113" customFormat="1">
      <c r="A426" s="63" t="s">
        <v>437</v>
      </c>
      <c r="B426" s="68" t="s">
        <v>571</v>
      </c>
      <c r="C426" s="64" t="s">
        <v>572</v>
      </c>
      <c r="D426" s="65" t="s">
        <v>87</v>
      </c>
      <c r="E426" s="66" t="s">
        <v>134</v>
      </c>
      <c r="F426" s="68" t="s">
        <v>573</v>
      </c>
      <c r="G426" s="68" t="s">
        <v>273</v>
      </c>
      <c r="H426" s="69">
        <v>726</v>
      </c>
      <c r="I426" s="74">
        <v>14.91</v>
      </c>
      <c r="J426" s="69">
        <v>10726</v>
      </c>
      <c r="K426" s="72"/>
      <c r="L426" s="69">
        <f t="shared" si="928"/>
        <v>10726</v>
      </c>
      <c r="M426" s="86">
        <f t="shared" si="929"/>
        <v>14.774104683195592</v>
      </c>
      <c r="N426" s="74"/>
      <c r="O426" s="74"/>
      <c r="P426" s="74"/>
      <c r="Q426" s="74">
        <v>3.66</v>
      </c>
      <c r="R426" s="74">
        <v>7.1</v>
      </c>
      <c r="S426" s="75">
        <v>6.45</v>
      </c>
      <c r="T426" s="76">
        <f>AVERAGE(N426:R426)</f>
        <v>5.38</v>
      </c>
      <c r="U426" s="63" t="s">
        <v>365</v>
      </c>
      <c r="V426" s="77" t="s">
        <v>103</v>
      </c>
      <c r="W426" s="77"/>
      <c r="X426" s="78">
        <v>0.27</v>
      </c>
      <c r="Y426" s="78"/>
      <c r="Z426" s="79">
        <v>0.31</v>
      </c>
      <c r="AA426" s="80">
        <v>45812</v>
      </c>
      <c r="AB426" s="81">
        <f t="shared" si="971"/>
        <v>100.66666666666667</v>
      </c>
      <c r="AC426" s="81">
        <f>AB426*X426</f>
        <v>27.180000000000003</v>
      </c>
      <c r="AD426" s="81">
        <f t="shared" si="931"/>
        <v>145.76634000000001</v>
      </c>
      <c r="AE426" s="81">
        <f t="shared" si="972"/>
        <v>9.7764144869215297</v>
      </c>
      <c r="AF426" s="167">
        <f t="shared" si="973"/>
        <v>0.34024892166463122</v>
      </c>
      <c r="AG426" s="264">
        <v>9.11</v>
      </c>
      <c r="AH426" s="264">
        <f t="shared" si="901"/>
        <v>0.2493021728422089</v>
      </c>
      <c r="AI426" s="77"/>
      <c r="AJ426" s="79">
        <f t="shared" si="968"/>
        <v>145.76634000000001</v>
      </c>
      <c r="AK426" s="82">
        <f t="shared" si="969"/>
        <v>9.7764144869215297</v>
      </c>
      <c r="AL426" s="82"/>
      <c r="AM426" s="82">
        <f t="shared" si="970"/>
        <v>87.677419354838719</v>
      </c>
      <c r="AN426" s="82" t="s">
        <v>701</v>
      </c>
      <c r="AO426" s="82">
        <f>7*I426</f>
        <v>104.37</v>
      </c>
      <c r="AP426" s="82">
        <f t="shared" si="974"/>
        <v>41.396340000000009</v>
      </c>
      <c r="AQ426" s="63"/>
      <c r="AR426" s="77" t="s">
        <v>116</v>
      </c>
      <c r="AS426" s="63">
        <v>117</v>
      </c>
      <c r="AT426" s="63">
        <v>89</v>
      </c>
      <c r="AU426" s="63">
        <v>102</v>
      </c>
      <c r="AV426" s="63">
        <v>98</v>
      </c>
      <c r="AW426" s="63">
        <v>102</v>
      </c>
      <c r="AX426" s="63">
        <v>96</v>
      </c>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c r="BV426" s="63"/>
      <c r="BW426" s="63"/>
      <c r="BX426" s="63"/>
      <c r="BY426" s="63"/>
      <c r="BZ426" s="63"/>
      <c r="CA426" s="63"/>
      <c r="CB426" s="63"/>
      <c r="CC426" s="63"/>
      <c r="CD426" s="63"/>
      <c r="CE426" s="63"/>
      <c r="CF426" s="63"/>
      <c r="CG426" s="63"/>
      <c r="CH426" s="63"/>
      <c r="CI426" s="63"/>
      <c r="CJ426" s="63"/>
      <c r="CK426" s="63"/>
      <c r="CL426" s="63"/>
      <c r="CM426" s="63"/>
      <c r="CN426" s="63"/>
      <c r="CO426" s="63"/>
      <c r="CP426" s="63"/>
    </row>
    <row r="427" spans="1:94" s="113" customFormat="1">
      <c r="A427" s="63" t="s">
        <v>437</v>
      </c>
      <c r="B427" s="68" t="s">
        <v>571</v>
      </c>
      <c r="C427" s="64" t="s">
        <v>572</v>
      </c>
      <c r="D427" s="65" t="s">
        <v>87</v>
      </c>
      <c r="E427" s="66" t="s">
        <v>134</v>
      </c>
      <c r="F427" s="68" t="s">
        <v>573</v>
      </c>
      <c r="G427" s="68" t="s">
        <v>273</v>
      </c>
      <c r="H427" s="69">
        <v>726</v>
      </c>
      <c r="I427" s="74">
        <v>14.91</v>
      </c>
      <c r="J427" s="69">
        <v>10726</v>
      </c>
      <c r="K427" s="72"/>
      <c r="L427" s="69">
        <f t="shared" ref="L427" si="975">J427-(J427*K427)</f>
        <v>10726</v>
      </c>
      <c r="M427" s="86">
        <f t="shared" ref="M427" si="976">L427/H427</f>
        <v>14.774104683195592</v>
      </c>
      <c r="N427" s="74"/>
      <c r="O427" s="74"/>
      <c r="P427" s="74"/>
      <c r="Q427" s="74">
        <v>3.66</v>
      </c>
      <c r="R427" s="74">
        <v>7.1</v>
      </c>
      <c r="S427" s="75">
        <v>6.45</v>
      </c>
      <c r="T427" s="76">
        <f>AVERAGE(N427:R427)</f>
        <v>5.38</v>
      </c>
      <c r="U427" s="63" t="s">
        <v>365</v>
      </c>
      <c r="V427" s="77" t="s">
        <v>103</v>
      </c>
      <c r="W427" s="77"/>
      <c r="X427" s="78">
        <v>0.27</v>
      </c>
      <c r="Y427" s="78"/>
      <c r="Z427" s="79">
        <v>0.31</v>
      </c>
      <c r="AA427" s="80">
        <v>45832</v>
      </c>
      <c r="AB427" s="81">
        <f t="shared" ref="AB427" si="977">IFERROR(AVERAGE(AS427:CP427),0)</f>
        <v>84.333333333333329</v>
      </c>
      <c r="AC427" s="81">
        <f>AB427*X427</f>
        <v>22.77</v>
      </c>
      <c r="AD427" s="81">
        <f t="shared" ref="AD427" si="978">(AC427*L427)/2000</f>
        <v>122.11551</v>
      </c>
      <c r="AE427" s="81">
        <f t="shared" ref="AE427" si="979">IFERROR((AD427/I427),"")</f>
        <v>8.1901750503018107</v>
      </c>
      <c r="AF427" s="167">
        <f t="shared" ref="AF427" si="980">IFERROR(((AE427-S427)/AE427),"")</f>
        <v>0.2124710448328799</v>
      </c>
      <c r="AG427" s="264">
        <v>9.11</v>
      </c>
      <c r="AH427" s="264">
        <f t="shared" si="901"/>
        <v>0.2975859928788423</v>
      </c>
      <c r="AI427" s="77"/>
      <c r="AJ427" s="79">
        <f t="shared" ref="AJ427" si="981">AD427-(AI427*I427)</f>
        <v>122.11551</v>
      </c>
      <c r="AK427" s="82">
        <f t="shared" ref="AK427" si="982">AJ427/I427</f>
        <v>8.1901750503018107</v>
      </c>
      <c r="AL427" s="82"/>
      <c r="AM427" s="82">
        <f t="shared" ref="AM427" si="983">((AJ427*2000)/Z427)/J427</f>
        <v>73.451612903225808</v>
      </c>
      <c r="AN427" s="82" t="s">
        <v>701</v>
      </c>
      <c r="AO427" s="82">
        <f>7*I427</f>
        <v>104.37</v>
      </c>
      <c r="AP427" s="82">
        <f t="shared" ref="AP427" si="984">AD427-AO427</f>
        <v>17.745509999999996</v>
      </c>
      <c r="AQ427" s="63"/>
      <c r="AR427" s="77" t="s">
        <v>91</v>
      </c>
      <c r="AS427" s="63">
        <v>61</v>
      </c>
      <c r="AT427" s="63">
        <v>72</v>
      </c>
      <c r="AU427" s="63">
        <v>75</v>
      </c>
      <c r="AV427" s="63">
        <v>94</v>
      </c>
      <c r="AW427" s="63">
        <v>90</v>
      </c>
      <c r="AX427" s="63">
        <v>82</v>
      </c>
      <c r="AY427" s="63">
        <v>103</v>
      </c>
      <c r="AZ427" s="63">
        <v>83</v>
      </c>
      <c r="BA427" s="63">
        <v>99</v>
      </c>
      <c r="BB427" s="63">
        <v>87</v>
      </c>
      <c r="BC427" s="63">
        <v>90</v>
      </c>
      <c r="BD427" s="63">
        <v>76</v>
      </c>
      <c r="BE427" s="63"/>
      <c r="BF427" s="63"/>
      <c r="BG427" s="63"/>
      <c r="BH427" s="63"/>
      <c r="BI427" s="63"/>
      <c r="BJ427" s="63"/>
      <c r="BK427" s="63"/>
      <c r="BL427" s="63"/>
      <c r="BM427" s="63"/>
      <c r="BN427" s="63"/>
      <c r="BO427" s="63"/>
      <c r="BP427" s="63"/>
      <c r="BQ427" s="63"/>
      <c r="BR427" s="63"/>
      <c r="BS427" s="63"/>
      <c r="BT427" s="63"/>
      <c r="BU427" s="63"/>
      <c r="BV427" s="63"/>
      <c r="BW427" s="63"/>
      <c r="BX427" s="63"/>
      <c r="BY427" s="63"/>
      <c r="BZ427" s="63"/>
      <c r="CA427" s="63"/>
      <c r="CB427" s="63"/>
      <c r="CC427" s="63"/>
      <c r="CD427" s="63"/>
      <c r="CE427" s="63"/>
      <c r="CF427" s="63"/>
      <c r="CG427" s="63"/>
      <c r="CH427" s="63"/>
      <c r="CI427" s="63"/>
      <c r="CJ427" s="63"/>
      <c r="CK427" s="63"/>
      <c r="CL427" s="63"/>
      <c r="CM427" s="63"/>
      <c r="CN427" s="63"/>
      <c r="CO427" s="63"/>
      <c r="CP427" s="63"/>
    </row>
    <row r="428" spans="1:94" s="113" customFormat="1">
      <c r="A428" s="63" t="s">
        <v>437</v>
      </c>
      <c r="B428" s="68" t="s">
        <v>571</v>
      </c>
      <c r="C428" s="64" t="s">
        <v>572</v>
      </c>
      <c r="D428" s="65" t="s">
        <v>87</v>
      </c>
      <c r="E428" s="66" t="s">
        <v>134</v>
      </c>
      <c r="F428" s="68" t="s">
        <v>573</v>
      </c>
      <c r="G428" s="68" t="s">
        <v>273</v>
      </c>
      <c r="H428" s="69">
        <v>726</v>
      </c>
      <c r="I428" s="74">
        <v>14.91</v>
      </c>
      <c r="J428" s="69">
        <v>10726</v>
      </c>
      <c r="K428" s="72"/>
      <c r="L428" s="69">
        <f t="shared" ref="L428" si="985">J428-(J428*K428)</f>
        <v>10726</v>
      </c>
      <c r="M428" s="86">
        <f t="shared" ref="M428" si="986">L428/H428</f>
        <v>14.774104683195592</v>
      </c>
      <c r="N428" s="74"/>
      <c r="O428" s="74"/>
      <c r="P428" s="74"/>
      <c r="Q428" s="74">
        <v>3.66</v>
      </c>
      <c r="R428" s="74">
        <v>7.1</v>
      </c>
      <c r="S428" s="75">
        <v>6.45</v>
      </c>
      <c r="T428" s="76">
        <f>AVERAGE(N428:R428)</f>
        <v>5.38</v>
      </c>
      <c r="U428" s="63" t="s">
        <v>365</v>
      </c>
      <c r="V428" s="77" t="s">
        <v>103</v>
      </c>
      <c r="W428" s="77"/>
      <c r="X428" s="78">
        <v>0.27</v>
      </c>
      <c r="Y428" s="78"/>
      <c r="Z428" s="79">
        <v>0.31</v>
      </c>
      <c r="AA428" s="80">
        <v>45862</v>
      </c>
      <c r="AB428" s="81">
        <f t="shared" ref="AB428" si="987">IFERROR(AVERAGE(AS428:CP428),0)</f>
        <v>78.25</v>
      </c>
      <c r="AC428" s="81">
        <f>AB428*X428</f>
        <v>21.127500000000001</v>
      </c>
      <c r="AD428" s="81">
        <f t="shared" ref="AD428" si="988">(AC428*L428)/2000</f>
        <v>113.3067825</v>
      </c>
      <c r="AE428" s="81">
        <f t="shared" ref="AE428" si="989">IFERROR((AD428/I428),"")</f>
        <v>7.5993817907444665</v>
      </c>
      <c r="AF428" s="167">
        <f t="shared" ref="AF428" si="990">IFERROR(((AE428-S428)/AE428),"")</f>
        <v>0.15124674906376406</v>
      </c>
      <c r="AG428" s="264">
        <v>9.11</v>
      </c>
      <c r="AH428" s="264">
        <f t="shared" si="901"/>
        <v>0.3207210061697427</v>
      </c>
      <c r="AI428" s="77"/>
      <c r="AJ428" s="79">
        <f t="shared" ref="AJ428" si="991">AD428-(AI428*I428)</f>
        <v>113.3067825</v>
      </c>
      <c r="AK428" s="82">
        <f t="shared" ref="AK428" si="992">AJ428/I428</f>
        <v>7.5993817907444665</v>
      </c>
      <c r="AL428" s="82"/>
      <c r="AM428" s="82">
        <f t="shared" ref="AM428" si="993">((AJ428*2000)/Z428)/J428</f>
        <v>68.153225806451616</v>
      </c>
      <c r="AN428" s="82" t="s">
        <v>701</v>
      </c>
      <c r="AO428" s="82">
        <f>7*I428</f>
        <v>104.37</v>
      </c>
      <c r="AP428" s="82">
        <f t="shared" ref="AP428" si="994">AD428-AO428</f>
        <v>8.9367824999999925</v>
      </c>
      <c r="AQ428" s="63"/>
      <c r="AR428" s="77" t="s">
        <v>116</v>
      </c>
      <c r="AS428" s="63">
        <v>77</v>
      </c>
      <c r="AT428" s="63">
        <v>89</v>
      </c>
      <c r="AU428" s="63">
        <v>86</v>
      </c>
      <c r="AV428" s="63">
        <v>79</v>
      </c>
      <c r="AW428" s="63">
        <v>69</v>
      </c>
      <c r="AX428" s="63">
        <v>67</v>
      </c>
      <c r="AY428" s="63">
        <v>89</v>
      </c>
      <c r="AZ428" s="63">
        <v>80</v>
      </c>
      <c r="BA428" s="63">
        <v>77</v>
      </c>
      <c r="BB428" s="63">
        <v>79</v>
      </c>
      <c r="BC428" s="63">
        <v>68</v>
      </c>
      <c r="BD428" s="63">
        <v>79</v>
      </c>
      <c r="BE428" s="63">
        <v>80</v>
      </c>
      <c r="BF428" s="63">
        <v>85</v>
      </c>
      <c r="BG428" s="63">
        <v>79</v>
      </c>
      <c r="BH428" s="63">
        <v>69</v>
      </c>
      <c r="BI428" s="63"/>
      <c r="BJ428" s="63"/>
      <c r="BK428" s="63"/>
      <c r="BL428" s="63"/>
      <c r="BM428" s="63"/>
      <c r="BN428" s="63"/>
      <c r="BO428" s="63"/>
      <c r="BP428" s="63"/>
      <c r="BQ428" s="63"/>
      <c r="BR428" s="63"/>
      <c r="BS428" s="63"/>
      <c r="BT428" s="63"/>
      <c r="BU428" s="63"/>
      <c r="BV428" s="63"/>
      <c r="BW428" s="63"/>
      <c r="BX428" s="63"/>
      <c r="BY428" s="63"/>
      <c r="BZ428" s="63"/>
      <c r="CA428" s="63"/>
      <c r="CB428" s="63"/>
      <c r="CC428" s="63"/>
      <c r="CD428" s="63"/>
      <c r="CE428" s="63"/>
      <c r="CF428" s="63"/>
      <c r="CG428" s="63"/>
      <c r="CH428" s="63"/>
      <c r="CI428" s="63"/>
      <c r="CJ428" s="63"/>
      <c r="CK428" s="63"/>
      <c r="CL428" s="63"/>
      <c r="CM428" s="63"/>
      <c r="CN428" s="63"/>
      <c r="CO428" s="63"/>
      <c r="CP428" s="63"/>
    </row>
    <row r="429" spans="1:94" s="63" customFormat="1">
      <c r="A429" s="113" t="s">
        <v>437</v>
      </c>
      <c r="B429" s="126" t="s">
        <v>574</v>
      </c>
      <c r="C429" s="114" t="s">
        <v>575</v>
      </c>
      <c r="D429" s="128" t="s">
        <v>87</v>
      </c>
      <c r="E429" s="127" t="s">
        <v>88</v>
      </c>
      <c r="F429" s="126">
        <v>7</v>
      </c>
      <c r="G429" s="126" t="s">
        <v>140</v>
      </c>
      <c r="H429" s="123">
        <v>726</v>
      </c>
      <c r="I429" s="125">
        <v>11.29</v>
      </c>
      <c r="J429" s="123">
        <v>8094</v>
      </c>
      <c r="K429" s="124"/>
      <c r="L429" s="123">
        <f t="shared" si="928"/>
        <v>8094</v>
      </c>
      <c r="M429" s="122">
        <f t="shared" si="929"/>
        <v>11.148760330578513</v>
      </c>
      <c r="N429" s="118"/>
      <c r="O429" s="118">
        <v>4.72</v>
      </c>
      <c r="P429" s="118">
        <v>9.6999999999999993</v>
      </c>
      <c r="Q429" s="118">
        <v>7.18</v>
      </c>
      <c r="R429" s="118">
        <v>10.57</v>
      </c>
      <c r="S429" s="153">
        <v>6.45</v>
      </c>
      <c r="T429" s="121">
        <f>AVERAGE(N429:S429)</f>
        <v>7.7240000000000011</v>
      </c>
      <c r="U429" s="113"/>
      <c r="V429" s="115" t="s">
        <v>103</v>
      </c>
      <c r="W429" s="115"/>
      <c r="X429" s="120">
        <v>0.27</v>
      </c>
      <c r="Y429" s="120">
        <v>0.28000000000000003</v>
      </c>
      <c r="Z429" s="118">
        <v>0.33</v>
      </c>
      <c r="AA429" s="119">
        <v>45785</v>
      </c>
      <c r="AB429" s="117">
        <f t="shared" si="971"/>
        <v>89.32</v>
      </c>
      <c r="AC429" s="117">
        <f>AB429*Y429</f>
        <v>25.009599999999999</v>
      </c>
      <c r="AD429" s="117">
        <f t="shared" si="931"/>
        <v>101.21385119999999</v>
      </c>
      <c r="AE429" s="117">
        <f t="shared" si="972"/>
        <v>8.964911532329495</v>
      </c>
      <c r="AF429" s="170">
        <f t="shared" si="973"/>
        <v>0.28052831567385311</v>
      </c>
      <c r="AG429" s="265"/>
      <c r="AH429" s="265">
        <f t="shared" si="901"/>
        <v>0</v>
      </c>
      <c r="AI429" s="115"/>
      <c r="AJ429" s="118">
        <f t="shared" si="968"/>
        <v>101.21385119999999</v>
      </c>
      <c r="AK429" s="116">
        <f t="shared" si="969"/>
        <v>8.964911532329495</v>
      </c>
      <c r="AL429" s="116"/>
      <c r="AM429" s="116">
        <f t="shared" si="970"/>
        <v>75.786666666666662</v>
      </c>
      <c r="AN429" s="116" t="s">
        <v>701</v>
      </c>
      <c r="AO429" s="116">
        <f>10.5*I429</f>
        <v>118.54499999999999</v>
      </c>
      <c r="AP429" s="116">
        <f t="shared" si="974"/>
        <v>-17.331148799999994</v>
      </c>
      <c r="AQ429" s="113"/>
      <c r="AR429" s="115" t="s">
        <v>116</v>
      </c>
      <c r="AS429" s="113">
        <v>105</v>
      </c>
      <c r="AT429" s="113">
        <v>77</v>
      </c>
      <c r="AU429" s="113">
        <v>80</v>
      </c>
      <c r="AV429" s="113">
        <v>79</v>
      </c>
      <c r="AW429" s="113">
        <v>95</v>
      </c>
      <c r="AX429" s="113">
        <v>74</v>
      </c>
      <c r="AY429" s="113">
        <v>89</v>
      </c>
      <c r="AZ429" s="113">
        <v>69</v>
      </c>
      <c r="BA429" s="113">
        <v>78</v>
      </c>
      <c r="BB429" s="113">
        <v>82</v>
      </c>
      <c r="BC429" s="113">
        <v>111</v>
      </c>
      <c r="BD429" s="113">
        <v>80</v>
      </c>
      <c r="BE429" s="113">
        <v>105</v>
      </c>
      <c r="BF429" s="113">
        <v>89</v>
      </c>
      <c r="BG429" s="113">
        <v>72</v>
      </c>
      <c r="BH429" s="113">
        <v>109</v>
      </c>
      <c r="BI429" s="113">
        <v>81</v>
      </c>
      <c r="BJ429" s="113">
        <v>76</v>
      </c>
      <c r="BK429" s="113">
        <v>86</v>
      </c>
      <c r="BL429" s="113">
        <v>83</v>
      </c>
      <c r="BM429" s="113">
        <v>103</v>
      </c>
      <c r="BN429" s="113">
        <v>112</v>
      </c>
      <c r="BO429" s="113">
        <v>101</v>
      </c>
      <c r="BP429" s="113">
        <v>97</v>
      </c>
      <c r="BQ429" s="113">
        <v>100</v>
      </c>
      <c r="BR429" s="113"/>
      <c r="BS429" s="113"/>
      <c r="BT429" s="113"/>
      <c r="BU429" s="113"/>
      <c r="BV429" s="113"/>
      <c r="BW429" s="113"/>
      <c r="BX429" s="113"/>
      <c r="BY429" s="113"/>
      <c r="BZ429" s="113"/>
      <c r="CA429" s="113"/>
      <c r="CB429" s="113"/>
      <c r="CC429" s="113"/>
      <c r="CD429" s="113"/>
      <c r="CE429" s="113"/>
      <c r="CF429" s="113"/>
      <c r="CG429" s="113"/>
      <c r="CH429" s="113"/>
      <c r="CI429" s="113"/>
      <c r="CJ429" s="113"/>
      <c r="CK429" s="113"/>
      <c r="CL429" s="113"/>
      <c r="CM429" s="113"/>
      <c r="CN429" s="113"/>
      <c r="CO429" s="113"/>
      <c r="CP429" s="113"/>
    </row>
    <row r="430" spans="1:94" s="63" customFormat="1">
      <c r="A430" s="113" t="s">
        <v>437</v>
      </c>
      <c r="B430" s="126" t="s">
        <v>574</v>
      </c>
      <c r="C430" s="114" t="s">
        <v>575</v>
      </c>
      <c r="D430" s="128" t="s">
        <v>87</v>
      </c>
      <c r="E430" s="127" t="s">
        <v>88</v>
      </c>
      <c r="F430" s="126">
        <v>7</v>
      </c>
      <c r="G430" s="126" t="s">
        <v>140</v>
      </c>
      <c r="H430" s="123">
        <v>726</v>
      </c>
      <c r="I430" s="125">
        <v>11.29</v>
      </c>
      <c r="J430" s="123">
        <v>8094</v>
      </c>
      <c r="K430" s="124"/>
      <c r="L430" s="123">
        <f t="shared" si="928"/>
        <v>8094</v>
      </c>
      <c r="M430" s="122">
        <f t="shared" si="929"/>
        <v>11.148760330578513</v>
      </c>
      <c r="N430" s="118"/>
      <c r="O430" s="118">
        <v>4.72</v>
      </c>
      <c r="P430" s="118">
        <v>9.6999999999999993</v>
      </c>
      <c r="Q430" s="118">
        <v>7.18</v>
      </c>
      <c r="R430" s="118">
        <v>10.57</v>
      </c>
      <c r="S430" s="153">
        <v>6.45</v>
      </c>
      <c r="T430" s="121">
        <f>AVERAGE(N430:S430)</f>
        <v>7.7240000000000011</v>
      </c>
      <c r="U430" s="113"/>
      <c r="V430" s="115" t="s">
        <v>103</v>
      </c>
      <c r="W430" s="115"/>
      <c r="X430" s="120">
        <v>0.27</v>
      </c>
      <c r="Y430" s="120">
        <v>0.28000000000000003</v>
      </c>
      <c r="Z430" s="118">
        <v>0.33</v>
      </c>
      <c r="AA430" s="119">
        <v>45820</v>
      </c>
      <c r="AB430" s="117">
        <f t="shared" si="971"/>
        <v>109.5</v>
      </c>
      <c r="AC430" s="117">
        <f>AB430*Y430</f>
        <v>30.660000000000004</v>
      </c>
      <c r="AD430" s="117">
        <f t="shared" si="931"/>
        <v>124.08102000000002</v>
      </c>
      <c r="AE430" s="117">
        <f t="shared" si="972"/>
        <v>10.990347209920287</v>
      </c>
      <c r="AF430" s="170">
        <f t="shared" si="973"/>
        <v>0.41312136215514689</v>
      </c>
      <c r="AG430" s="265"/>
      <c r="AH430" s="265">
        <f t="shared" si="901"/>
        <v>0</v>
      </c>
      <c r="AI430" s="115"/>
      <c r="AJ430" s="118">
        <f t="shared" si="968"/>
        <v>124.08102000000002</v>
      </c>
      <c r="AK430" s="116">
        <f t="shared" si="969"/>
        <v>10.990347209920287</v>
      </c>
      <c r="AL430" s="116"/>
      <c r="AM430" s="116">
        <f t="shared" si="970"/>
        <v>92.909090909090921</v>
      </c>
      <c r="AN430" s="116" t="s">
        <v>701</v>
      </c>
      <c r="AO430" s="116">
        <f>10.5*I430</f>
        <v>118.54499999999999</v>
      </c>
      <c r="AP430" s="116">
        <f t="shared" si="974"/>
        <v>5.5360200000000361</v>
      </c>
      <c r="AQ430" s="113"/>
      <c r="AR430" s="115" t="s">
        <v>91</v>
      </c>
      <c r="AS430" s="113">
        <v>95</v>
      </c>
      <c r="AT430" s="113">
        <v>101</v>
      </c>
      <c r="AU430" s="113">
        <v>108</v>
      </c>
      <c r="AV430" s="113">
        <v>104</v>
      </c>
      <c r="AW430" s="113">
        <v>127</v>
      </c>
      <c r="AX430" s="113">
        <v>128</v>
      </c>
      <c r="AY430" s="113">
        <v>122</v>
      </c>
      <c r="AZ430" s="113">
        <v>93</v>
      </c>
      <c r="BA430" s="113">
        <v>121</v>
      </c>
      <c r="BB430" s="113">
        <v>114</v>
      </c>
      <c r="BC430" s="113">
        <v>115</v>
      </c>
      <c r="BD430" s="113">
        <v>86</v>
      </c>
      <c r="BE430" s="113"/>
      <c r="BF430" s="113"/>
      <c r="BG430" s="113"/>
      <c r="BH430" s="113"/>
      <c r="BI430" s="113"/>
      <c r="BJ430" s="113"/>
      <c r="BK430" s="113"/>
      <c r="BL430" s="113"/>
      <c r="BM430" s="113"/>
      <c r="BN430" s="113"/>
      <c r="BO430" s="113"/>
      <c r="BP430" s="113"/>
      <c r="BQ430" s="113"/>
      <c r="BR430" s="113"/>
      <c r="BS430" s="113"/>
      <c r="BT430" s="113"/>
      <c r="BU430" s="113"/>
      <c r="BV430" s="113"/>
      <c r="BW430" s="113"/>
      <c r="BX430" s="113"/>
      <c r="BY430" s="113"/>
      <c r="BZ430" s="113"/>
      <c r="CA430" s="113"/>
      <c r="CB430" s="113"/>
      <c r="CC430" s="113"/>
      <c r="CD430" s="113"/>
      <c r="CE430" s="113"/>
      <c r="CF430" s="113"/>
      <c r="CG430" s="113"/>
      <c r="CH430" s="113"/>
      <c r="CI430" s="113"/>
      <c r="CJ430" s="113"/>
      <c r="CK430" s="113"/>
      <c r="CL430" s="113"/>
      <c r="CM430" s="113"/>
      <c r="CN430" s="113"/>
      <c r="CO430" s="113"/>
      <c r="CP430" s="113"/>
    </row>
    <row r="431" spans="1:94" s="63" customFormat="1">
      <c r="A431" s="113" t="s">
        <v>437</v>
      </c>
      <c r="B431" s="126" t="s">
        <v>574</v>
      </c>
      <c r="C431" s="114" t="s">
        <v>575</v>
      </c>
      <c r="D431" s="128" t="s">
        <v>87</v>
      </c>
      <c r="E431" s="127" t="s">
        <v>88</v>
      </c>
      <c r="F431" s="126">
        <v>7</v>
      </c>
      <c r="G431" s="126" t="s">
        <v>140</v>
      </c>
      <c r="H431" s="123">
        <v>726</v>
      </c>
      <c r="I431" s="125">
        <v>11.29</v>
      </c>
      <c r="J431" s="123">
        <v>8094</v>
      </c>
      <c r="K431" s="124"/>
      <c r="L431" s="123">
        <f t="shared" ref="L431" si="995">J431-(J431*K431)</f>
        <v>8094</v>
      </c>
      <c r="M431" s="122">
        <f t="shared" ref="M431" si="996">L431/H431</f>
        <v>11.148760330578513</v>
      </c>
      <c r="N431" s="118"/>
      <c r="O431" s="118">
        <v>4.72</v>
      </c>
      <c r="P431" s="118">
        <v>9.6999999999999993</v>
      </c>
      <c r="Q431" s="118">
        <v>7.18</v>
      </c>
      <c r="R431" s="118">
        <v>10.57</v>
      </c>
      <c r="S431" s="153">
        <v>6.45</v>
      </c>
      <c r="T431" s="121">
        <f>AVERAGE(N431:S431)</f>
        <v>7.7240000000000011</v>
      </c>
      <c r="U431" s="113"/>
      <c r="V431" s="115" t="s">
        <v>103</v>
      </c>
      <c r="W431" s="115"/>
      <c r="X431" s="120">
        <v>0.27</v>
      </c>
      <c r="Y431" s="120">
        <v>0.28000000000000003</v>
      </c>
      <c r="Z431" s="118">
        <v>0.33</v>
      </c>
      <c r="AA431" s="119">
        <v>45860</v>
      </c>
      <c r="AB431" s="117">
        <f t="shared" ref="AB431" si="997">IFERROR(AVERAGE(AS431:CP431),0)</f>
        <v>116.5</v>
      </c>
      <c r="AC431" s="117">
        <f>AB431*Y431</f>
        <v>32.620000000000005</v>
      </c>
      <c r="AD431" s="117">
        <f t="shared" ref="AD431" si="998">(AC431*L431)/2000</f>
        <v>132.01314000000002</v>
      </c>
      <c r="AE431" s="117">
        <f t="shared" ref="AE431" si="999">IFERROR((AD431/I431),"")</f>
        <v>11.692926483613821</v>
      </c>
      <c r="AF431" s="170">
        <f t="shared" ref="AF431" si="1000">IFERROR(((AE431-S431)/AE431),"")</f>
        <v>0.44838445627458007</v>
      </c>
      <c r="AG431" s="265"/>
      <c r="AH431" s="265">
        <f t="shared" si="901"/>
        <v>0</v>
      </c>
      <c r="AI431" s="115"/>
      <c r="AJ431" s="118">
        <f t="shared" ref="AJ431" si="1001">AD431-(AI431*I431)</f>
        <v>132.01314000000002</v>
      </c>
      <c r="AK431" s="116">
        <f t="shared" ref="AK431" si="1002">AJ431/I431</f>
        <v>11.692926483613821</v>
      </c>
      <c r="AL431" s="116"/>
      <c r="AM431" s="116">
        <f t="shared" ref="AM431" si="1003">((AJ431*2000)/Z431)/J431</f>
        <v>98.848484848484844</v>
      </c>
      <c r="AN431" s="116" t="s">
        <v>701</v>
      </c>
      <c r="AO431" s="116">
        <f>10.5*I431</f>
        <v>118.54499999999999</v>
      </c>
      <c r="AP431" s="116">
        <f t="shared" ref="AP431" si="1004">AD431-AO431</f>
        <v>13.468140000000034</v>
      </c>
      <c r="AQ431" s="113"/>
      <c r="AR431" s="115" t="s">
        <v>91</v>
      </c>
      <c r="AS431" s="113">
        <v>127</v>
      </c>
      <c r="AT431" s="113">
        <v>117</v>
      </c>
      <c r="AU431" s="113">
        <v>114</v>
      </c>
      <c r="AV431" s="113">
        <v>133</v>
      </c>
      <c r="AW431" s="113">
        <v>101</v>
      </c>
      <c r="AX431" s="113">
        <v>141</v>
      </c>
      <c r="AY431" s="113">
        <v>122</v>
      </c>
      <c r="AZ431" s="113">
        <v>104</v>
      </c>
      <c r="BA431" s="113">
        <v>106</v>
      </c>
      <c r="BB431" s="113">
        <v>102</v>
      </c>
      <c r="BC431" s="113">
        <v>125</v>
      </c>
      <c r="BD431" s="113">
        <v>106</v>
      </c>
      <c r="BE431" s="113"/>
      <c r="BF431" s="113"/>
      <c r="BG431" s="113"/>
      <c r="BH431" s="113"/>
      <c r="BI431" s="113"/>
      <c r="BJ431" s="113"/>
      <c r="BK431" s="113"/>
      <c r="BL431" s="113"/>
      <c r="BM431" s="113"/>
      <c r="BN431" s="113"/>
      <c r="BO431" s="113"/>
      <c r="BP431" s="113"/>
      <c r="BQ431" s="113"/>
      <c r="BR431" s="113"/>
      <c r="BS431" s="113"/>
      <c r="BT431" s="113"/>
      <c r="BU431" s="113"/>
      <c r="BV431" s="113"/>
      <c r="BW431" s="113"/>
      <c r="BX431" s="113"/>
      <c r="BY431" s="113"/>
      <c r="BZ431" s="113"/>
      <c r="CA431" s="113"/>
      <c r="CB431" s="113"/>
      <c r="CC431" s="113"/>
      <c r="CD431" s="113"/>
      <c r="CE431" s="113"/>
      <c r="CF431" s="113"/>
      <c r="CG431" s="113"/>
      <c r="CH431" s="113"/>
      <c r="CI431" s="113"/>
      <c r="CJ431" s="113"/>
      <c r="CK431" s="113"/>
      <c r="CL431" s="113"/>
      <c r="CM431" s="113"/>
      <c r="CN431" s="113"/>
      <c r="CO431" s="113"/>
      <c r="CP431" s="113"/>
    </row>
    <row r="432" spans="1:94" s="113" customFormat="1">
      <c r="A432" s="63" t="s">
        <v>437</v>
      </c>
      <c r="B432" s="68" t="s">
        <v>578</v>
      </c>
      <c r="C432" s="64" t="s">
        <v>579</v>
      </c>
      <c r="D432" s="65" t="s">
        <v>193</v>
      </c>
      <c r="E432" s="66" t="s">
        <v>88</v>
      </c>
      <c r="F432" s="68">
        <v>30</v>
      </c>
      <c r="G432" s="68" t="s">
        <v>265</v>
      </c>
      <c r="H432" s="69">
        <v>806.66666666666663</v>
      </c>
      <c r="I432" s="74">
        <v>29.38</v>
      </c>
      <c r="J432" s="69">
        <v>23285</v>
      </c>
      <c r="K432" s="72"/>
      <c r="L432" s="69">
        <f t="shared" si="928"/>
        <v>23285</v>
      </c>
      <c r="M432" s="86">
        <f t="shared" si="929"/>
        <v>28.865702479338843</v>
      </c>
      <c r="N432" s="74"/>
      <c r="O432" s="74"/>
      <c r="P432" s="74"/>
      <c r="Q432" s="74"/>
      <c r="R432" s="74"/>
      <c r="S432" s="75">
        <v>6.18</v>
      </c>
      <c r="T432" s="76"/>
      <c r="U432" s="63" t="s">
        <v>106</v>
      </c>
      <c r="V432" s="77" t="s">
        <v>103</v>
      </c>
      <c r="W432" s="77"/>
      <c r="X432" s="78">
        <v>0.32</v>
      </c>
      <c r="Y432" s="78"/>
      <c r="Z432" s="79">
        <v>0.33</v>
      </c>
      <c r="AA432" s="80">
        <v>45782</v>
      </c>
      <c r="AB432" s="81">
        <f t="shared" si="971"/>
        <v>63.5</v>
      </c>
      <c r="AC432" s="81">
        <f t="shared" ref="AC432:AC454" si="1005">AB432*X432</f>
        <v>20.32</v>
      </c>
      <c r="AD432" s="81">
        <f t="shared" si="931"/>
        <v>236.57560000000001</v>
      </c>
      <c r="AE432" s="81">
        <f t="shared" si="972"/>
        <v>8.0522668481960515</v>
      </c>
      <c r="AF432" s="167">
        <f t="shared" si="973"/>
        <v>0.23251425759883945</v>
      </c>
      <c r="AG432" s="264">
        <v>7.93</v>
      </c>
      <c r="AH432" s="264">
        <f t="shared" si="901"/>
        <v>0.30962452007548641</v>
      </c>
      <c r="AI432" s="77"/>
      <c r="AJ432" s="79">
        <f t="shared" si="968"/>
        <v>236.57560000000001</v>
      </c>
      <c r="AK432" s="82">
        <f t="shared" si="969"/>
        <v>8.0522668481960515</v>
      </c>
      <c r="AL432" s="82"/>
      <c r="AM432" s="82">
        <f t="shared" si="970"/>
        <v>61.575757575757578</v>
      </c>
      <c r="AN432" s="82" t="s">
        <v>701</v>
      </c>
      <c r="AO432" s="82">
        <f>7*I432</f>
        <v>205.66</v>
      </c>
      <c r="AP432" s="82">
        <f t="shared" si="974"/>
        <v>30.915600000000012</v>
      </c>
      <c r="AQ432" s="63"/>
      <c r="AR432" s="77" t="s">
        <v>116</v>
      </c>
      <c r="AS432" s="63">
        <v>63</v>
      </c>
      <c r="AT432" s="63">
        <v>62</v>
      </c>
      <c r="AU432" s="63">
        <v>71</v>
      </c>
      <c r="AV432" s="63">
        <v>69</v>
      </c>
      <c r="AW432" s="63">
        <v>61</v>
      </c>
      <c r="AX432" s="63">
        <v>66</v>
      </c>
      <c r="AY432" s="63">
        <v>67</v>
      </c>
      <c r="AZ432" s="63">
        <v>73</v>
      </c>
      <c r="BA432" s="63">
        <v>72</v>
      </c>
      <c r="BB432" s="63">
        <v>67</v>
      </c>
      <c r="BC432" s="63">
        <v>71</v>
      </c>
      <c r="BD432" s="63">
        <v>54</v>
      </c>
      <c r="BE432" s="63">
        <v>51</v>
      </c>
      <c r="BF432" s="63">
        <v>71</v>
      </c>
      <c r="BG432" s="63">
        <v>53</v>
      </c>
      <c r="BH432" s="63">
        <v>56</v>
      </c>
      <c r="BI432" s="63">
        <v>55</v>
      </c>
      <c r="BJ432" s="63">
        <v>64</v>
      </c>
      <c r="BK432" s="63">
        <v>70</v>
      </c>
      <c r="BL432" s="63">
        <v>54</v>
      </c>
      <c r="BM432" s="63"/>
      <c r="BN432" s="63"/>
      <c r="BO432" s="63"/>
      <c r="BP432" s="63"/>
      <c r="BQ432" s="63"/>
      <c r="BR432" s="63"/>
      <c r="BS432" s="63"/>
      <c r="BT432" s="63"/>
      <c r="BU432" s="63"/>
      <c r="BV432" s="63"/>
      <c r="BW432" s="63"/>
      <c r="BX432" s="63"/>
      <c r="BY432" s="63"/>
      <c r="BZ432" s="63"/>
      <c r="CA432" s="63"/>
      <c r="CB432" s="63"/>
      <c r="CC432" s="63"/>
      <c r="CD432" s="63"/>
      <c r="CE432" s="63"/>
      <c r="CF432" s="63"/>
      <c r="CG432" s="63"/>
      <c r="CH432" s="63"/>
      <c r="CI432" s="63"/>
      <c r="CJ432" s="63"/>
      <c r="CK432" s="63"/>
      <c r="CL432" s="63"/>
      <c r="CM432" s="63"/>
      <c r="CN432" s="63"/>
      <c r="CO432" s="63"/>
      <c r="CP432" s="63"/>
    </row>
    <row r="433" spans="1:94" s="113" customFormat="1">
      <c r="A433" s="63" t="s">
        <v>437</v>
      </c>
      <c r="B433" s="68" t="s">
        <v>578</v>
      </c>
      <c r="C433" s="64" t="s">
        <v>579</v>
      </c>
      <c r="D433" s="65" t="s">
        <v>193</v>
      </c>
      <c r="E433" s="66" t="s">
        <v>88</v>
      </c>
      <c r="F433" s="68">
        <v>30</v>
      </c>
      <c r="G433" s="68" t="s">
        <v>265</v>
      </c>
      <c r="H433" s="69">
        <v>806.66666666666663</v>
      </c>
      <c r="I433" s="74">
        <v>29.38</v>
      </c>
      <c r="J433" s="69">
        <v>23285</v>
      </c>
      <c r="K433" s="72"/>
      <c r="L433" s="69">
        <f t="shared" ref="L433" si="1006">J433-(J433*K433)</f>
        <v>23285</v>
      </c>
      <c r="M433" s="86">
        <f t="shared" ref="M433" si="1007">L433/H433</f>
        <v>28.865702479338843</v>
      </c>
      <c r="N433" s="74"/>
      <c r="O433" s="74"/>
      <c r="P433" s="74"/>
      <c r="Q433" s="74"/>
      <c r="R433" s="74"/>
      <c r="S433" s="75">
        <v>6.18</v>
      </c>
      <c r="T433" s="76"/>
      <c r="U433" s="63" t="s">
        <v>106</v>
      </c>
      <c r="V433" s="77" t="s">
        <v>103</v>
      </c>
      <c r="W433" s="77"/>
      <c r="X433" s="78">
        <v>0.32</v>
      </c>
      <c r="Y433" s="78"/>
      <c r="Z433" s="79">
        <v>0.33</v>
      </c>
      <c r="AA433" s="80">
        <v>45860</v>
      </c>
      <c r="AB433" s="81">
        <f t="shared" ref="AB433" si="1008">IFERROR(AVERAGE(AS433:CP433),0)</f>
        <v>67.333333333333329</v>
      </c>
      <c r="AC433" s="81">
        <f t="shared" ref="AC433" si="1009">AB433*X433</f>
        <v>21.546666666666667</v>
      </c>
      <c r="AD433" s="81">
        <f t="shared" ref="AD433" si="1010">(AC433*L433)/2000</f>
        <v>250.85706666666667</v>
      </c>
      <c r="AE433" s="81">
        <f t="shared" ref="AE433" si="1011">IFERROR((AD433/I433),"")</f>
        <v>8.5383616972997505</v>
      </c>
      <c r="AF433" s="167">
        <f t="shared" ref="AF433" si="1012">IFERROR(((AE433-S433)/AE433),"")</f>
        <v>0.27620775283454913</v>
      </c>
      <c r="AG433" s="264">
        <v>7.93</v>
      </c>
      <c r="AH433" s="264">
        <f t="shared" si="901"/>
        <v>0.29199738155633742</v>
      </c>
      <c r="AI433" s="77"/>
      <c r="AJ433" s="79">
        <f t="shared" ref="AJ433" si="1013">AD433-(AI433*I433)</f>
        <v>250.85706666666667</v>
      </c>
      <c r="AK433" s="82">
        <f t="shared" ref="AK433" si="1014">AJ433/I433</f>
        <v>8.5383616972997505</v>
      </c>
      <c r="AL433" s="82"/>
      <c r="AM433" s="82">
        <f t="shared" ref="AM433" si="1015">((AJ433*2000)/Z433)/J433</f>
        <v>65.292929292929287</v>
      </c>
      <c r="AN433" s="82" t="s">
        <v>701</v>
      </c>
      <c r="AO433" s="82">
        <f>7*I433</f>
        <v>205.66</v>
      </c>
      <c r="AP433" s="82">
        <f t="shared" ref="AP433" si="1016">AD433-AO433</f>
        <v>45.197066666666672</v>
      </c>
      <c r="AQ433" s="63"/>
      <c r="AR433" s="77" t="s">
        <v>116</v>
      </c>
      <c r="AS433" s="63">
        <v>69</v>
      </c>
      <c r="AT433" s="63">
        <v>52</v>
      </c>
      <c r="AU433" s="63">
        <v>66</v>
      </c>
      <c r="AV433" s="63">
        <v>71</v>
      </c>
      <c r="AW433" s="63">
        <v>61</v>
      </c>
      <c r="AX433" s="63">
        <v>69</v>
      </c>
      <c r="AY433" s="63">
        <v>76</v>
      </c>
      <c r="AZ433" s="63">
        <v>66</v>
      </c>
      <c r="BA433" s="63">
        <v>67</v>
      </c>
      <c r="BB433" s="63">
        <v>75</v>
      </c>
      <c r="BC433" s="63">
        <v>63</v>
      </c>
      <c r="BD433" s="63">
        <v>73</v>
      </c>
      <c r="BE433" s="63"/>
      <c r="BF433" s="63"/>
      <c r="BG433" s="63"/>
      <c r="BH433" s="63"/>
      <c r="BI433" s="63"/>
      <c r="BJ433" s="63"/>
      <c r="BK433" s="63"/>
      <c r="BL433" s="63"/>
      <c r="BM433" s="63"/>
      <c r="BN433" s="63"/>
      <c r="BO433" s="63"/>
      <c r="BP433" s="63"/>
      <c r="BQ433" s="63"/>
      <c r="BR433" s="63"/>
      <c r="BS433" s="63"/>
      <c r="BT433" s="63"/>
      <c r="BU433" s="63"/>
      <c r="BV433" s="63"/>
      <c r="BW433" s="63"/>
      <c r="BX433" s="63"/>
      <c r="BY433" s="63"/>
      <c r="BZ433" s="63"/>
      <c r="CA433" s="63"/>
      <c r="CB433" s="63"/>
      <c r="CC433" s="63"/>
      <c r="CD433" s="63"/>
      <c r="CE433" s="63"/>
      <c r="CF433" s="63"/>
      <c r="CG433" s="63"/>
      <c r="CH433" s="63"/>
      <c r="CI433" s="63"/>
      <c r="CJ433" s="63"/>
      <c r="CK433" s="63"/>
      <c r="CL433" s="63"/>
      <c r="CM433" s="63"/>
      <c r="CN433" s="63"/>
      <c r="CO433" s="63"/>
      <c r="CP433" s="63"/>
    </row>
    <row r="434" spans="1:94" s="63" customFormat="1">
      <c r="A434" s="113" t="s">
        <v>437</v>
      </c>
      <c r="B434" s="126" t="s">
        <v>581</v>
      </c>
      <c r="C434" s="114" t="s">
        <v>582</v>
      </c>
      <c r="D434" s="128" t="s">
        <v>87</v>
      </c>
      <c r="E434" s="127" t="s">
        <v>88</v>
      </c>
      <c r="F434" s="126">
        <v>7</v>
      </c>
      <c r="G434" s="126" t="s">
        <v>140</v>
      </c>
      <c r="H434" s="123">
        <v>622.28571428571433</v>
      </c>
      <c r="I434" s="125">
        <v>8.48</v>
      </c>
      <c r="J434" s="123">
        <v>5198</v>
      </c>
      <c r="K434" s="124"/>
      <c r="L434" s="123">
        <f t="shared" si="928"/>
        <v>5198</v>
      </c>
      <c r="M434" s="122">
        <f t="shared" si="929"/>
        <v>8.35307621671258</v>
      </c>
      <c r="N434" s="118">
        <v>7.95</v>
      </c>
      <c r="O434" s="118">
        <v>5.53</v>
      </c>
      <c r="P434" s="118">
        <v>7.83</v>
      </c>
      <c r="Q434" s="118">
        <v>7.53</v>
      </c>
      <c r="R434" s="118">
        <v>8.17</v>
      </c>
      <c r="S434" s="153">
        <v>8.1199999999999992</v>
      </c>
      <c r="T434" s="121">
        <f t="shared" ref="T434:T440" si="1017">AVERAGE(N434:S434)</f>
        <v>7.5216666666666674</v>
      </c>
      <c r="U434" s="113"/>
      <c r="V434" s="115"/>
      <c r="W434" s="115"/>
      <c r="X434" s="120">
        <v>0.3</v>
      </c>
      <c r="Y434" s="120"/>
      <c r="Z434" s="118">
        <v>0.33</v>
      </c>
      <c r="AA434" s="119">
        <v>45824</v>
      </c>
      <c r="AB434" s="117">
        <f t="shared" si="971"/>
        <v>92.571428571428569</v>
      </c>
      <c r="AC434" s="117">
        <f t="shared" si="1005"/>
        <v>27.771428571428569</v>
      </c>
      <c r="AD434" s="117">
        <f t="shared" si="931"/>
        <v>72.177942857142838</v>
      </c>
      <c r="AE434" s="117">
        <f t="shared" si="972"/>
        <v>8.5115498652291084</v>
      </c>
      <c r="AF434" s="170">
        <f t="shared" si="973"/>
        <v>4.6002181909154533E-2</v>
      </c>
      <c r="AG434" s="265"/>
      <c r="AH434" s="265">
        <f t="shared" si="901"/>
        <v>0</v>
      </c>
      <c r="AI434" s="115"/>
      <c r="AJ434" s="118">
        <f t="shared" si="968"/>
        <v>72.177942857142838</v>
      </c>
      <c r="AK434" s="116">
        <f t="shared" si="969"/>
        <v>8.5115498652291084</v>
      </c>
      <c r="AL434" s="116"/>
      <c r="AM434" s="116">
        <f t="shared" si="970"/>
        <v>84.155844155844136</v>
      </c>
      <c r="AN434" s="116" t="s">
        <v>701</v>
      </c>
      <c r="AO434" s="29">
        <f>7.5*I434</f>
        <v>63.6</v>
      </c>
      <c r="AP434" s="29">
        <f t="shared" si="974"/>
        <v>8.5779428571428369</v>
      </c>
      <c r="AQ434" s="113"/>
      <c r="AR434" s="115" t="s">
        <v>91</v>
      </c>
      <c r="AS434" s="113">
        <v>93</v>
      </c>
      <c r="AT434" s="113">
        <v>84</v>
      </c>
      <c r="AU434" s="113">
        <v>73</v>
      </c>
      <c r="AV434" s="113">
        <v>107</v>
      </c>
      <c r="AW434" s="113">
        <v>102</v>
      </c>
      <c r="AX434" s="113">
        <v>99</v>
      </c>
      <c r="AY434" s="113">
        <v>109</v>
      </c>
      <c r="AZ434" s="113">
        <v>123</v>
      </c>
      <c r="BA434" s="113">
        <v>88</v>
      </c>
      <c r="BB434" s="113">
        <v>107</v>
      </c>
      <c r="BC434" s="113">
        <v>67</v>
      </c>
      <c r="BD434" s="113">
        <v>69</v>
      </c>
      <c r="BE434" s="113">
        <v>85</v>
      </c>
      <c r="BF434" s="113">
        <v>90</v>
      </c>
      <c r="BG434" s="113"/>
      <c r="BH434" s="113"/>
      <c r="BI434" s="113"/>
      <c r="BJ434" s="113"/>
      <c r="BK434" s="113"/>
      <c r="BL434" s="113"/>
      <c r="BM434" s="113"/>
      <c r="BN434" s="113"/>
      <c r="BO434" s="113"/>
      <c r="BP434" s="113"/>
      <c r="BQ434" s="113"/>
      <c r="BR434" s="113"/>
      <c r="BS434" s="113"/>
      <c r="BT434" s="113"/>
      <c r="BU434" s="113"/>
      <c r="BV434" s="113"/>
      <c r="BW434" s="113"/>
      <c r="BX434" s="113"/>
      <c r="BY434" s="113"/>
      <c r="BZ434" s="113"/>
      <c r="CA434" s="113"/>
      <c r="CB434" s="113"/>
      <c r="CC434" s="113"/>
      <c r="CD434" s="113"/>
      <c r="CE434" s="113"/>
      <c r="CF434" s="113"/>
      <c r="CG434" s="113"/>
      <c r="CH434" s="113"/>
      <c r="CI434" s="113"/>
      <c r="CJ434" s="113"/>
      <c r="CK434" s="113"/>
      <c r="CL434" s="113"/>
      <c r="CM434" s="113"/>
      <c r="CN434" s="113"/>
      <c r="CO434" s="113"/>
      <c r="CP434" s="113"/>
    </row>
    <row r="435" spans="1:94" s="113" customFormat="1">
      <c r="A435" s="63" t="s">
        <v>437</v>
      </c>
      <c r="B435" s="68" t="s">
        <v>583</v>
      </c>
      <c r="C435" s="64" t="s">
        <v>584</v>
      </c>
      <c r="D435" s="65" t="s">
        <v>87</v>
      </c>
      <c r="E435" s="66" t="s">
        <v>585</v>
      </c>
      <c r="F435" s="68">
        <v>3</v>
      </c>
      <c r="G435" s="68" t="s">
        <v>140</v>
      </c>
      <c r="H435" s="69">
        <v>691.42857142857144</v>
      </c>
      <c r="I435" s="74">
        <v>4.6900000000000004</v>
      </c>
      <c r="J435" s="69">
        <v>3134</v>
      </c>
      <c r="K435" s="72"/>
      <c r="L435" s="69">
        <f t="shared" si="928"/>
        <v>3134</v>
      </c>
      <c r="M435" s="86">
        <f t="shared" si="929"/>
        <v>4.532644628099173</v>
      </c>
      <c r="N435" s="79">
        <v>5.23</v>
      </c>
      <c r="O435" s="79">
        <v>4.4400000000000004</v>
      </c>
      <c r="P435" s="79">
        <v>5.92</v>
      </c>
      <c r="Q435" s="79">
        <v>12.51</v>
      </c>
      <c r="R435" s="79">
        <v>4.7699999999999996</v>
      </c>
      <c r="S435" s="84">
        <v>6.94</v>
      </c>
      <c r="T435" s="85">
        <f t="shared" si="1017"/>
        <v>6.6350000000000007</v>
      </c>
      <c r="U435" s="63" t="s">
        <v>365</v>
      </c>
      <c r="V435" s="77" t="s">
        <v>103</v>
      </c>
      <c r="W435" s="77"/>
      <c r="X435" s="78">
        <v>0.26</v>
      </c>
      <c r="Y435" s="78"/>
      <c r="Z435" s="79">
        <v>0.38</v>
      </c>
      <c r="AA435" s="80">
        <v>45799</v>
      </c>
      <c r="AB435" s="81">
        <f t="shared" si="971"/>
        <v>103.3030303030303</v>
      </c>
      <c r="AC435" s="81">
        <f t="shared" si="1005"/>
        <v>26.858787878787879</v>
      </c>
      <c r="AD435" s="81">
        <f t="shared" si="931"/>
        <v>42.087720606060607</v>
      </c>
      <c r="AE435" s="81">
        <f t="shared" si="972"/>
        <v>8.9739276345544994</v>
      </c>
      <c r="AF435" s="167">
        <f t="shared" si="973"/>
        <v>0.22664854424753461</v>
      </c>
      <c r="AG435" s="264"/>
      <c r="AH435" s="264">
        <f t="shared" si="901"/>
        <v>0</v>
      </c>
      <c r="AI435" s="77"/>
      <c r="AJ435" s="79">
        <f t="shared" si="968"/>
        <v>42.087720606060607</v>
      </c>
      <c r="AK435" s="82">
        <f t="shared" si="969"/>
        <v>8.9739276345544994</v>
      </c>
      <c r="AL435" s="82"/>
      <c r="AM435" s="82">
        <f t="shared" si="970"/>
        <v>70.681020733652304</v>
      </c>
      <c r="AN435" s="82" t="s">
        <v>701</v>
      </c>
      <c r="AO435" s="82"/>
      <c r="AP435" s="82"/>
      <c r="AQ435" s="63"/>
      <c r="AR435" s="77"/>
      <c r="AS435" s="63">
        <v>84</v>
      </c>
      <c r="AT435" s="63">
        <v>79</v>
      </c>
      <c r="AU435" s="63">
        <v>92</v>
      </c>
      <c r="AV435" s="63">
        <v>86</v>
      </c>
      <c r="AW435" s="63">
        <v>77</v>
      </c>
      <c r="AX435" s="63">
        <v>82</v>
      </c>
      <c r="AY435" s="63">
        <v>98</v>
      </c>
      <c r="AZ435" s="63">
        <v>115</v>
      </c>
      <c r="BA435" s="63">
        <v>110</v>
      </c>
      <c r="BB435" s="63">
        <v>98</v>
      </c>
      <c r="BC435" s="63">
        <v>94</v>
      </c>
      <c r="BD435" s="63">
        <v>103</v>
      </c>
      <c r="BE435" s="63">
        <v>99</v>
      </c>
      <c r="BF435" s="63">
        <v>120</v>
      </c>
      <c r="BG435" s="63">
        <v>114</v>
      </c>
      <c r="BH435" s="63">
        <v>97</v>
      </c>
      <c r="BI435" s="63">
        <v>109</v>
      </c>
      <c r="BJ435" s="63">
        <v>80</v>
      </c>
      <c r="BK435" s="63">
        <v>113</v>
      </c>
      <c r="BL435" s="63">
        <v>100</v>
      </c>
      <c r="BM435" s="63">
        <v>95</v>
      </c>
      <c r="BN435" s="63">
        <v>95</v>
      </c>
      <c r="BO435" s="63">
        <v>87</v>
      </c>
      <c r="BP435" s="63">
        <v>97</v>
      </c>
      <c r="BQ435" s="63">
        <v>101</v>
      </c>
      <c r="BR435" s="63">
        <v>150</v>
      </c>
      <c r="BS435" s="63">
        <v>143</v>
      </c>
      <c r="BT435" s="63">
        <v>106</v>
      </c>
      <c r="BU435" s="63">
        <v>105</v>
      </c>
      <c r="BV435" s="63">
        <v>130</v>
      </c>
      <c r="BW435" s="63">
        <v>99</v>
      </c>
      <c r="BX435" s="63">
        <v>86</v>
      </c>
      <c r="BY435" s="63">
        <v>165</v>
      </c>
      <c r="BZ435" s="63"/>
      <c r="CA435" s="63"/>
      <c r="CB435" s="63"/>
      <c r="CC435" s="63"/>
      <c r="CD435" s="63"/>
      <c r="CE435" s="63"/>
      <c r="CF435" s="63"/>
      <c r="CG435" s="63"/>
      <c r="CH435" s="63"/>
      <c r="CI435" s="63"/>
      <c r="CJ435" s="63"/>
      <c r="CK435" s="63"/>
      <c r="CL435" s="63"/>
      <c r="CM435" s="63"/>
      <c r="CN435" s="63"/>
      <c r="CO435" s="63"/>
      <c r="CP435" s="63"/>
    </row>
    <row r="436" spans="1:94" s="63" customFormat="1">
      <c r="A436" s="113" t="s">
        <v>437</v>
      </c>
      <c r="B436" s="126" t="s">
        <v>588</v>
      </c>
      <c r="C436" s="114" t="s">
        <v>589</v>
      </c>
      <c r="D436" s="128" t="s">
        <v>87</v>
      </c>
      <c r="E436" s="127" t="s">
        <v>590</v>
      </c>
      <c r="F436" s="126" t="s">
        <v>591</v>
      </c>
      <c r="G436" s="126" t="s">
        <v>527</v>
      </c>
      <c r="H436" s="123">
        <v>806.66666666666663</v>
      </c>
      <c r="I436" s="125">
        <v>6.75</v>
      </c>
      <c r="J436" s="123">
        <v>5324</v>
      </c>
      <c r="K436" s="124"/>
      <c r="L436" s="123">
        <f t="shared" si="928"/>
        <v>5324</v>
      </c>
      <c r="M436" s="122">
        <f t="shared" si="929"/>
        <v>6.6000000000000005</v>
      </c>
      <c r="N436" s="125">
        <v>7.72</v>
      </c>
      <c r="O436" s="125">
        <v>7.31</v>
      </c>
      <c r="P436" s="125">
        <v>9.0399999999999991</v>
      </c>
      <c r="Q436" s="125">
        <v>9.7200000000000006</v>
      </c>
      <c r="R436" s="125">
        <v>10.42</v>
      </c>
      <c r="S436" s="154">
        <v>9.8000000000000007</v>
      </c>
      <c r="T436" s="129">
        <f t="shared" si="1017"/>
        <v>9.0016666666666669</v>
      </c>
      <c r="U436" s="113" t="s">
        <v>297</v>
      </c>
      <c r="V436" s="115" t="s">
        <v>366</v>
      </c>
      <c r="W436" s="115"/>
      <c r="X436" s="120">
        <v>0.47</v>
      </c>
      <c r="Y436" s="120"/>
      <c r="Z436" s="118">
        <v>0.45</v>
      </c>
      <c r="AA436" s="119">
        <v>45779</v>
      </c>
      <c r="AB436" s="117">
        <f t="shared" si="971"/>
        <v>68.8</v>
      </c>
      <c r="AC436" s="117">
        <f t="shared" si="1005"/>
        <v>32.335999999999999</v>
      </c>
      <c r="AD436" s="117">
        <f t="shared" si="931"/>
        <v>86.078432000000006</v>
      </c>
      <c r="AE436" s="117">
        <f t="shared" si="972"/>
        <v>12.752360296296297</v>
      </c>
      <c r="AF436" s="170">
        <f t="shared" si="973"/>
        <v>0.23151481197984647</v>
      </c>
      <c r="AG436" s="265">
        <v>8.86</v>
      </c>
      <c r="AH436" s="265">
        <f t="shared" si="901"/>
        <v>0.31928694983663275</v>
      </c>
      <c r="AI436" s="115"/>
      <c r="AJ436" s="118">
        <f t="shared" si="968"/>
        <v>86.078432000000006</v>
      </c>
      <c r="AK436" s="116">
        <f t="shared" si="969"/>
        <v>12.752360296296297</v>
      </c>
      <c r="AL436" s="117">
        <f>(((AI436*M436)*2000)/L436)/Z436</f>
        <v>0</v>
      </c>
      <c r="AM436" s="116">
        <f t="shared" si="970"/>
        <v>71.85777777777777</v>
      </c>
      <c r="AN436" s="116" t="s">
        <v>701</v>
      </c>
      <c r="AO436" s="29">
        <f>8*I436</f>
        <v>54</v>
      </c>
      <c r="AP436" s="29">
        <f>AD436-AO436</f>
        <v>32.078432000000006</v>
      </c>
      <c r="AQ436" s="113"/>
      <c r="AR436" s="115"/>
      <c r="AS436" s="113">
        <v>58</v>
      </c>
      <c r="AT436" s="113">
        <v>78</v>
      </c>
      <c r="AU436" s="113">
        <v>84</v>
      </c>
      <c r="AV436" s="113">
        <v>64</v>
      </c>
      <c r="AW436" s="113">
        <v>85</v>
      </c>
      <c r="AX436" s="113">
        <v>68</v>
      </c>
      <c r="AY436" s="113">
        <v>85</v>
      </c>
      <c r="AZ436" s="113">
        <v>69</v>
      </c>
      <c r="BA436" s="113">
        <v>73</v>
      </c>
      <c r="BB436" s="113">
        <v>79</v>
      </c>
      <c r="BC436" s="113">
        <v>80</v>
      </c>
      <c r="BD436" s="113">
        <v>87</v>
      </c>
      <c r="BE436" s="113">
        <v>43</v>
      </c>
      <c r="BF436" s="113">
        <v>49</v>
      </c>
      <c r="BG436" s="113">
        <v>72</v>
      </c>
      <c r="BH436" s="113">
        <v>59</v>
      </c>
      <c r="BI436" s="113">
        <v>62</v>
      </c>
      <c r="BJ436" s="113">
        <v>70</v>
      </c>
      <c r="BK436" s="113">
        <v>71</v>
      </c>
      <c r="BL436" s="113">
        <v>40</v>
      </c>
      <c r="BM436" s="113"/>
      <c r="BN436" s="113"/>
      <c r="BO436" s="113"/>
      <c r="BP436" s="113"/>
      <c r="BQ436" s="113"/>
      <c r="BR436" s="113"/>
      <c r="BS436" s="113"/>
      <c r="BT436" s="113"/>
      <c r="BU436" s="113"/>
      <c r="BV436" s="113"/>
      <c r="BW436" s="113"/>
      <c r="BX436" s="113"/>
      <c r="BY436" s="113"/>
      <c r="BZ436" s="113"/>
      <c r="CA436" s="113"/>
      <c r="CB436" s="113"/>
      <c r="CC436" s="113"/>
      <c r="CD436" s="113"/>
      <c r="CE436" s="113"/>
      <c r="CF436" s="113"/>
      <c r="CG436" s="113"/>
      <c r="CH436" s="113"/>
      <c r="CI436" s="113"/>
      <c r="CJ436" s="113"/>
      <c r="CK436" s="113"/>
      <c r="CL436" s="113"/>
      <c r="CM436" s="113"/>
      <c r="CN436" s="113"/>
      <c r="CO436" s="113"/>
      <c r="CP436" s="113"/>
    </row>
    <row r="437" spans="1:94" s="113" customFormat="1">
      <c r="A437" s="113" t="s">
        <v>437</v>
      </c>
      <c r="B437" s="126" t="s">
        <v>588</v>
      </c>
      <c r="C437" s="114" t="s">
        <v>589</v>
      </c>
      <c r="D437" s="128" t="s">
        <v>87</v>
      </c>
      <c r="E437" s="127" t="s">
        <v>590</v>
      </c>
      <c r="F437" s="126" t="s">
        <v>591</v>
      </c>
      <c r="G437" s="126" t="s">
        <v>527</v>
      </c>
      <c r="H437" s="123">
        <v>806.66666666666663</v>
      </c>
      <c r="I437" s="125">
        <v>6.75</v>
      </c>
      <c r="J437" s="123">
        <v>5324</v>
      </c>
      <c r="K437" s="124"/>
      <c r="L437" s="123">
        <f t="shared" si="928"/>
        <v>5324</v>
      </c>
      <c r="M437" s="122">
        <f t="shared" si="929"/>
        <v>6.6000000000000005</v>
      </c>
      <c r="N437" s="125">
        <v>7.72</v>
      </c>
      <c r="O437" s="125">
        <v>7.31</v>
      </c>
      <c r="P437" s="125">
        <v>9.0399999999999991</v>
      </c>
      <c r="Q437" s="125">
        <v>9.7200000000000006</v>
      </c>
      <c r="R437" s="125">
        <v>10.42</v>
      </c>
      <c r="S437" s="154">
        <v>9.8000000000000007</v>
      </c>
      <c r="T437" s="129">
        <f t="shared" si="1017"/>
        <v>9.0016666666666669</v>
      </c>
      <c r="U437" s="113" t="s">
        <v>106</v>
      </c>
      <c r="V437" s="115" t="s">
        <v>103</v>
      </c>
      <c r="W437" s="115"/>
      <c r="X437" s="120">
        <v>0.47</v>
      </c>
      <c r="Y437" s="120"/>
      <c r="Z437" s="118">
        <v>0.45</v>
      </c>
      <c r="AA437" s="119">
        <v>45782</v>
      </c>
      <c r="AB437" s="117">
        <f t="shared" si="971"/>
        <v>46.25</v>
      </c>
      <c r="AC437" s="117">
        <f t="shared" si="1005"/>
        <v>21.737499999999997</v>
      </c>
      <c r="AD437" s="117">
        <f t="shared" si="931"/>
        <v>57.865224999999988</v>
      </c>
      <c r="AE437" s="117">
        <f t="shared" si="972"/>
        <v>8.5726259259259248</v>
      </c>
      <c r="AF437" s="170">
        <f t="shared" si="973"/>
        <v>-0.14317364185484482</v>
      </c>
      <c r="AG437" s="265">
        <v>8.86</v>
      </c>
      <c r="AH437" s="265">
        <f t="shared" si="901"/>
        <v>0.47496091132454771</v>
      </c>
      <c r="AI437" s="115"/>
      <c r="AJ437" s="118">
        <f t="shared" si="968"/>
        <v>57.865224999999988</v>
      </c>
      <c r="AK437" s="116">
        <f t="shared" si="969"/>
        <v>8.5726259259259248</v>
      </c>
      <c r="AL437" s="117">
        <f t="shared" ref="AL437:AL439" si="1018">(((AI437*M437)*2000)/L437)/Z437</f>
        <v>0</v>
      </c>
      <c r="AM437" s="116">
        <f t="shared" si="970"/>
        <v>48.305555555555543</v>
      </c>
      <c r="AN437" s="116" t="s">
        <v>701</v>
      </c>
      <c r="AO437" s="29">
        <f>8*I437</f>
        <v>54</v>
      </c>
      <c r="AP437" s="29">
        <f>AD437-AO437</f>
        <v>3.8652249999999881</v>
      </c>
      <c r="AR437" s="115"/>
      <c r="AS437" s="113">
        <v>71</v>
      </c>
      <c r="AT437" s="113">
        <v>40</v>
      </c>
      <c r="AU437" s="113">
        <v>28</v>
      </c>
      <c r="AV437" s="113">
        <v>56</v>
      </c>
      <c r="AW437" s="113">
        <v>40</v>
      </c>
      <c r="AX437" s="113">
        <v>36</v>
      </c>
      <c r="AY437" s="113">
        <v>42</v>
      </c>
      <c r="AZ437" s="113">
        <v>53</v>
      </c>
      <c r="BA437" s="113">
        <v>59</v>
      </c>
      <c r="BB437" s="113">
        <v>48</v>
      </c>
      <c r="BC437" s="113">
        <v>56</v>
      </c>
      <c r="BD437" s="113">
        <v>47</v>
      </c>
      <c r="BE437" s="113">
        <v>41</v>
      </c>
      <c r="BF437" s="113">
        <v>37</v>
      </c>
      <c r="BG437" s="113">
        <v>36</v>
      </c>
      <c r="BH437" s="113">
        <v>42</v>
      </c>
      <c r="BI437" s="113">
        <v>43</v>
      </c>
      <c r="BJ437" s="113">
        <v>55</v>
      </c>
      <c r="BK437" s="113">
        <v>46</v>
      </c>
      <c r="BL437" s="113">
        <v>49</v>
      </c>
    </row>
    <row r="438" spans="1:94" s="113" customFormat="1">
      <c r="A438" s="113" t="s">
        <v>437</v>
      </c>
      <c r="B438" s="126" t="s">
        <v>588</v>
      </c>
      <c r="C438" s="114" t="s">
        <v>589</v>
      </c>
      <c r="D438" s="128" t="s">
        <v>87</v>
      </c>
      <c r="E438" s="127" t="s">
        <v>590</v>
      </c>
      <c r="F438" s="126" t="s">
        <v>591</v>
      </c>
      <c r="G438" s="126" t="s">
        <v>527</v>
      </c>
      <c r="H438" s="123">
        <v>806.66666666666663</v>
      </c>
      <c r="I438" s="125">
        <v>6.75</v>
      </c>
      <c r="J438" s="123">
        <v>5324</v>
      </c>
      <c r="K438" s="124"/>
      <c r="L438" s="123">
        <f t="shared" si="928"/>
        <v>5324</v>
      </c>
      <c r="M438" s="122">
        <f t="shared" si="929"/>
        <v>6.6000000000000005</v>
      </c>
      <c r="N438" s="125">
        <v>7.72</v>
      </c>
      <c r="O438" s="125">
        <v>7.31</v>
      </c>
      <c r="P438" s="125">
        <v>9.0399999999999991</v>
      </c>
      <c r="Q438" s="125">
        <v>9.7200000000000006</v>
      </c>
      <c r="R438" s="125">
        <v>10.42</v>
      </c>
      <c r="S438" s="154">
        <v>9.8000000000000007</v>
      </c>
      <c r="T438" s="129">
        <f t="shared" si="1017"/>
        <v>9.0016666666666669</v>
      </c>
      <c r="U438" s="113" t="s">
        <v>106</v>
      </c>
      <c r="V438" s="115" t="s">
        <v>103</v>
      </c>
      <c r="W438" s="115"/>
      <c r="X438" s="120">
        <v>0.47</v>
      </c>
      <c r="Y438" s="120"/>
      <c r="Z438" s="118">
        <v>0.45</v>
      </c>
      <c r="AA438" s="119">
        <v>45831</v>
      </c>
      <c r="AB438" s="117">
        <f t="shared" si="971"/>
        <v>44.928571428571431</v>
      </c>
      <c r="AC438" s="117">
        <f t="shared" si="1005"/>
        <v>21.116428571428571</v>
      </c>
      <c r="AD438" s="117">
        <f t="shared" si="931"/>
        <v>56.211932857142855</v>
      </c>
      <c r="AE438" s="117">
        <f t="shared" si="972"/>
        <v>8.3276937566137565</v>
      </c>
      <c r="AF438" s="170">
        <f t="shared" si="973"/>
        <v>-0.176796396027046</v>
      </c>
      <c r="AG438" s="265">
        <v>8.86</v>
      </c>
      <c r="AH438" s="265">
        <f t="shared" si="901"/>
        <v>0.48893034989291673</v>
      </c>
      <c r="AI438" s="115"/>
      <c r="AJ438" s="118">
        <f t="shared" si="968"/>
        <v>56.211932857142855</v>
      </c>
      <c r="AK438" s="116">
        <f t="shared" si="969"/>
        <v>8.3276937566137565</v>
      </c>
      <c r="AL438" s="117">
        <f t="shared" si="1018"/>
        <v>0</v>
      </c>
      <c r="AM438" s="116">
        <f t="shared" si="970"/>
        <v>46.925396825396824</v>
      </c>
      <c r="AN438" s="116" t="s">
        <v>701</v>
      </c>
      <c r="AO438" s="29">
        <f>8*I438</f>
        <v>54</v>
      </c>
      <c r="AP438" s="29">
        <f>AD438-AO438</f>
        <v>2.2119328571428554</v>
      </c>
      <c r="AR438" s="115" t="s">
        <v>827</v>
      </c>
      <c r="AS438" s="113">
        <v>38</v>
      </c>
      <c r="AT438" s="113">
        <v>40</v>
      </c>
      <c r="AU438" s="113">
        <v>42</v>
      </c>
      <c r="AV438" s="113">
        <v>39</v>
      </c>
      <c r="AW438" s="113">
        <v>33</v>
      </c>
      <c r="AX438" s="113">
        <v>41</v>
      </c>
      <c r="AY438" s="113">
        <v>39</v>
      </c>
      <c r="AZ438" s="113">
        <v>40</v>
      </c>
      <c r="BA438" s="113">
        <v>38</v>
      </c>
      <c r="BB438" s="113">
        <v>37</v>
      </c>
      <c r="BC438" s="113">
        <v>43</v>
      </c>
      <c r="BD438" s="113">
        <v>36</v>
      </c>
      <c r="BE438" s="113">
        <v>40</v>
      </c>
      <c r="BF438" s="113">
        <v>42</v>
      </c>
      <c r="BG438" s="113">
        <v>39</v>
      </c>
      <c r="BH438" s="113">
        <v>47</v>
      </c>
      <c r="BI438" s="113">
        <v>58</v>
      </c>
      <c r="BJ438" s="113">
        <v>59</v>
      </c>
      <c r="BK438" s="113">
        <v>60</v>
      </c>
      <c r="BL438" s="113">
        <v>51</v>
      </c>
      <c r="BM438" s="113">
        <v>40</v>
      </c>
      <c r="BN438" s="113">
        <v>41</v>
      </c>
      <c r="BO438" s="113">
        <v>49</v>
      </c>
      <c r="BP438" s="113">
        <v>64</v>
      </c>
      <c r="BQ438" s="113">
        <v>44</v>
      </c>
      <c r="BR438" s="113">
        <v>50</v>
      </c>
      <c r="BS438" s="113">
        <v>59</v>
      </c>
      <c r="BT438" s="113">
        <v>49</v>
      </c>
    </row>
    <row r="439" spans="1:94" s="113" customFormat="1">
      <c r="A439" s="113" t="s">
        <v>437</v>
      </c>
      <c r="B439" s="126" t="s">
        <v>588</v>
      </c>
      <c r="C439" s="114" t="s">
        <v>589</v>
      </c>
      <c r="D439" s="128" t="s">
        <v>87</v>
      </c>
      <c r="E439" s="127" t="s">
        <v>590</v>
      </c>
      <c r="F439" s="126" t="s">
        <v>591</v>
      </c>
      <c r="G439" s="126" t="s">
        <v>527</v>
      </c>
      <c r="H439" s="123">
        <v>806.66666666666663</v>
      </c>
      <c r="I439" s="125">
        <v>6.75</v>
      </c>
      <c r="J439" s="123">
        <v>5324</v>
      </c>
      <c r="K439" s="124"/>
      <c r="L439" s="123">
        <f t="shared" ref="L439" si="1019">J439-(J439*K439)</f>
        <v>5324</v>
      </c>
      <c r="M439" s="122">
        <f t="shared" ref="M439" si="1020">L439/H439</f>
        <v>6.6000000000000005</v>
      </c>
      <c r="N439" s="125">
        <v>7.72</v>
      </c>
      <c r="O439" s="125">
        <v>7.31</v>
      </c>
      <c r="P439" s="125">
        <v>9.0399999999999991</v>
      </c>
      <c r="Q439" s="125">
        <v>9.7200000000000006</v>
      </c>
      <c r="R439" s="125">
        <v>10.42</v>
      </c>
      <c r="S439" s="154">
        <v>9.8000000000000007</v>
      </c>
      <c r="T439" s="129">
        <f t="shared" si="1017"/>
        <v>9.0016666666666669</v>
      </c>
      <c r="U439" s="113" t="s">
        <v>106</v>
      </c>
      <c r="V439" s="115" t="s">
        <v>103</v>
      </c>
      <c r="W439" s="115"/>
      <c r="X439" s="120">
        <v>0.47</v>
      </c>
      <c r="Y439" s="120"/>
      <c r="Z439" s="118">
        <v>0.45</v>
      </c>
      <c r="AA439" s="119">
        <v>45862</v>
      </c>
      <c r="AB439" s="117">
        <f t="shared" ref="AB439" si="1021">IFERROR(AVERAGE(AS439:CP439),0)</f>
        <v>51.06666666666667</v>
      </c>
      <c r="AC439" s="117">
        <f t="shared" ref="AC439:AC440" si="1022">AB439*X439</f>
        <v>24.001333333333335</v>
      </c>
      <c r="AD439" s="117">
        <f t="shared" ref="AD439" si="1023">(AC439*L439)/2000</f>
        <v>63.891549333333337</v>
      </c>
      <c r="AE439" s="117">
        <f t="shared" ref="AE439" si="1024">IFERROR((AD439/I439),"")</f>
        <v>9.4654147160493824</v>
      </c>
      <c r="AF439" s="170">
        <f t="shared" ref="AF439" si="1025">IFERROR(((AE439-S439)/AE439),"")</f>
        <v>-3.5348190648562039E-2</v>
      </c>
      <c r="AG439" s="265">
        <v>8.86</v>
      </c>
      <c r="AH439" s="265">
        <f t="shared" si="901"/>
        <v>0.43016205252141637</v>
      </c>
      <c r="AI439" s="115">
        <v>8</v>
      </c>
      <c r="AJ439" s="118">
        <f t="shared" ref="AJ439" si="1026">AD439-(AI439*I439)</f>
        <v>9.8915493333333373</v>
      </c>
      <c r="AK439" s="116">
        <f t="shared" ref="AK439" si="1027">AJ439/I439</f>
        <v>1.4654147160493833</v>
      </c>
      <c r="AL439" s="117">
        <f t="shared" si="1018"/>
        <v>44.0771349862259</v>
      </c>
      <c r="AM439" s="116">
        <f t="shared" ref="AM439" si="1028">((AJ439*2000)/Z439)/J439</f>
        <v>8.2574082422016346</v>
      </c>
      <c r="AN439" s="116" t="s">
        <v>701</v>
      </c>
      <c r="AO439" s="29">
        <f>8*I439</f>
        <v>54</v>
      </c>
      <c r="AP439" s="29">
        <f>AD439-AO439</f>
        <v>9.8915493333333373</v>
      </c>
      <c r="AR439" s="115"/>
      <c r="AS439" s="113">
        <v>49</v>
      </c>
      <c r="AT439" s="113">
        <v>56</v>
      </c>
      <c r="AU439" s="113">
        <v>48</v>
      </c>
      <c r="AV439" s="113">
        <v>41</v>
      </c>
      <c r="AW439" s="113">
        <v>51</v>
      </c>
      <c r="AX439" s="113">
        <v>58</v>
      </c>
      <c r="AY439" s="113">
        <v>39</v>
      </c>
      <c r="AZ439" s="113">
        <v>41</v>
      </c>
      <c r="BA439" s="113">
        <v>45</v>
      </c>
      <c r="BB439" s="113">
        <v>50</v>
      </c>
      <c r="BC439" s="113">
        <v>53</v>
      </c>
      <c r="BD439" s="113">
        <v>61</v>
      </c>
      <c r="BE439" s="113">
        <v>61</v>
      </c>
      <c r="BF439" s="113">
        <v>43</v>
      </c>
      <c r="BG439" s="113">
        <v>70</v>
      </c>
    </row>
    <row r="440" spans="1:94" s="113" customFormat="1">
      <c r="A440" s="113" t="s">
        <v>437</v>
      </c>
      <c r="B440" s="126" t="s">
        <v>588</v>
      </c>
      <c r="C440" s="114" t="s">
        <v>589</v>
      </c>
      <c r="D440" s="128" t="s">
        <v>87</v>
      </c>
      <c r="E440" s="127" t="s">
        <v>590</v>
      </c>
      <c r="F440" s="126" t="s">
        <v>591</v>
      </c>
      <c r="G440" s="126" t="s">
        <v>527</v>
      </c>
      <c r="H440" s="123">
        <v>806.66666666666663</v>
      </c>
      <c r="I440" s="125">
        <v>6.75</v>
      </c>
      <c r="J440" s="123">
        <v>5324</v>
      </c>
      <c r="K440" s="124"/>
      <c r="L440" s="123">
        <f t="shared" ref="L440" si="1029">J440-(J440*K440)</f>
        <v>5324</v>
      </c>
      <c r="M440" s="122">
        <f t="shared" ref="M440" si="1030">L440/H440</f>
        <v>6.6000000000000005</v>
      </c>
      <c r="N440" s="125">
        <v>7.72</v>
      </c>
      <c r="O440" s="125">
        <v>7.31</v>
      </c>
      <c r="P440" s="125">
        <v>9.0399999999999991</v>
      </c>
      <c r="Q440" s="125">
        <v>9.7200000000000006</v>
      </c>
      <c r="R440" s="125">
        <v>10.42</v>
      </c>
      <c r="S440" s="154">
        <v>9.8000000000000007</v>
      </c>
      <c r="T440" s="129">
        <f t="shared" si="1017"/>
        <v>9.0016666666666669</v>
      </c>
      <c r="U440" s="113" t="s">
        <v>106</v>
      </c>
      <c r="V440" s="115" t="s">
        <v>103</v>
      </c>
      <c r="W440" s="115"/>
      <c r="X440" s="120">
        <v>0.47</v>
      </c>
      <c r="Y440" s="120">
        <f>AC440/AB440</f>
        <v>0.47</v>
      </c>
      <c r="Z440" s="118">
        <v>0.45</v>
      </c>
      <c r="AA440" s="119">
        <v>45862</v>
      </c>
      <c r="AB440" s="117">
        <v>58</v>
      </c>
      <c r="AC440" s="117">
        <f t="shared" si="1022"/>
        <v>27.259999999999998</v>
      </c>
      <c r="AD440" s="117">
        <f t="shared" ref="AD440" si="1031">(AC440*L440)/2000</f>
        <v>72.566119999999998</v>
      </c>
      <c r="AE440" s="117">
        <f t="shared" ref="AE440" si="1032">IFERROR((AD440/I440),"")</f>
        <v>10.750536296296296</v>
      </c>
      <c r="AF440" s="170">
        <f t="shared" ref="AF440" si="1033">IFERROR(((AE440-S440)/AE440),"")</f>
        <v>8.8417570072645404E-2</v>
      </c>
      <c r="AG440" s="265">
        <v>8.86</v>
      </c>
      <c r="AH440" s="265">
        <f t="shared" si="901"/>
        <v>0.37874038187517811</v>
      </c>
      <c r="AI440" s="115">
        <v>8</v>
      </c>
      <c r="AJ440" s="118">
        <f t="shared" ref="AJ440" si="1034">AD440-(AI440*I440)</f>
        <v>18.566119999999998</v>
      </c>
      <c r="AK440" s="116">
        <f t="shared" ref="AK440" si="1035">AJ440/I440</f>
        <v>2.7505362962962958</v>
      </c>
      <c r="AL440" s="117">
        <f>(((AI440*M440)*2000)/L440)/Z440</f>
        <v>44.0771349862259</v>
      </c>
      <c r="AM440" s="116">
        <f t="shared" ref="AM440" si="1036">((AJ440*2000)/Z440)/J440</f>
        <v>15.498889723683112</v>
      </c>
      <c r="AN440" s="116" t="s">
        <v>701</v>
      </c>
      <c r="AO440" s="29">
        <f>8*I440</f>
        <v>54</v>
      </c>
      <c r="AP440" s="29">
        <f>AD440-AO440</f>
        <v>18.566119999999998</v>
      </c>
      <c r="AR440" s="115"/>
    </row>
    <row r="441" spans="1:94" s="113" customFormat="1">
      <c r="A441" s="63" t="s">
        <v>437</v>
      </c>
      <c r="B441" s="68" t="s">
        <v>592</v>
      </c>
      <c r="C441" s="64" t="s">
        <v>593</v>
      </c>
      <c r="D441" s="65" t="s">
        <v>87</v>
      </c>
      <c r="E441" s="66" t="s">
        <v>594</v>
      </c>
      <c r="F441" s="68">
        <v>1</v>
      </c>
      <c r="G441" s="68" t="s">
        <v>265</v>
      </c>
      <c r="H441" s="69">
        <v>691.42857142857144</v>
      </c>
      <c r="I441" s="74">
        <v>5.05</v>
      </c>
      <c r="J441" s="69">
        <v>3444</v>
      </c>
      <c r="K441" s="72"/>
      <c r="L441" s="69">
        <f t="shared" si="928"/>
        <v>3444</v>
      </c>
      <c r="M441" s="86">
        <f t="shared" si="929"/>
        <v>4.9809917355371898</v>
      </c>
      <c r="N441" s="79"/>
      <c r="O441" s="79"/>
      <c r="P441" s="79"/>
      <c r="Q441" s="79"/>
      <c r="R441" s="79">
        <v>1.83</v>
      </c>
      <c r="S441" s="84">
        <v>10.130000000000001</v>
      </c>
      <c r="T441" s="85">
        <f t="shared" ref="T441:T447" si="1037">AVERAGE(N441:R441)</f>
        <v>1.83</v>
      </c>
      <c r="U441" s="63" t="s">
        <v>101</v>
      </c>
      <c r="V441" s="77" t="s">
        <v>828</v>
      </c>
      <c r="W441" s="77"/>
      <c r="X441" s="78">
        <v>0.45</v>
      </c>
      <c r="Y441" s="78"/>
      <c r="Z441" s="79">
        <v>0.4</v>
      </c>
      <c r="AA441" s="80">
        <v>45776</v>
      </c>
      <c r="AB441" s="81">
        <f t="shared" si="971"/>
        <v>68.900000000000006</v>
      </c>
      <c r="AC441" s="81">
        <f t="shared" si="1005"/>
        <v>31.005000000000003</v>
      </c>
      <c r="AD441" s="81">
        <f t="shared" si="931"/>
        <v>53.390610000000009</v>
      </c>
      <c r="AE441" s="81">
        <f t="shared" si="972"/>
        <v>10.572398019801982</v>
      </c>
      <c r="AF441" s="167">
        <f t="shared" si="973"/>
        <v>4.1844623989124773E-2</v>
      </c>
      <c r="AG441" s="264">
        <v>9.84</v>
      </c>
      <c r="AH441" s="264">
        <f t="shared" si="901"/>
        <v>0.41310319183389499</v>
      </c>
      <c r="AI441" s="77"/>
      <c r="AJ441" s="79">
        <f t="shared" si="968"/>
        <v>53.390610000000009</v>
      </c>
      <c r="AK441" s="82">
        <f t="shared" si="969"/>
        <v>10.572398019801982</v>
      </c>
      <c r="AL441" s="82"/>
      <c r="AM441" s="82">
        <f t="shared" si="970"/>
        <v>77.512500000000017</v>
      </c>
      <c r="AN441" s="82" t="s">
        <v>701</v>
      </c>
      <c r="AO441" s="82"/>
      <c r="AP441" s="82"/>
      <c r="AQ441" s="63"/>
      <c r="AR441" s="77" t="s">
        <v>116</v>
      </c>
      <c r="AS441" s="63">
        <v>67</v>
      </c>
      <c r="AT441" s="63">
        <v>66</v>
      </c>
      <c r="AU441" s="63">
        <v>82</v>
      </c>
      <c r="AV441" s="63">
        <v>67</v>
      </c>
      <c r="AW441" s="63">
        <v>70</v>
      </c>
      <c r="AX441" s="63">
        <v>68</v>
      </c>
      <c r="AY441" s="63">
        <v>75</v>
      </c>
      <c r="AZ441" s="63">
        <v>70</v>
      </c>
      <c r="BA441" s="63">
        <v>67</v>
      </c>
      <c r="BB441" s="63">
        <v>70</v>
      </c>
      <c r="BC441" s="63">
        <v>69</v>
      </c>
      <c r="BD441" s="63">
        <v>72</v>
      </c>
      <c r="BE441" s="63">
        <v>77</v>
      </c>
      <c r="BF441" s="63">
        <v>64</v>
      </c>
      <c r="BG441" s="63">
        <v>69</v>
      </c>
      <c r="BH441" s="63">
        <v>59</v>
      </c>
      <c r="BI441" s="63">
        <v>75</v>
      </c>
      <c r="BJ441" s="63">
        <v>64</v>
      </c>
      <c r="BK441" s="63">
        <v>68</v>
      </c>
      <c r="BL441" s="63">
        <v>59</v>
      </c>
      <c r="BM441" s="63"/>
      <c r="BN441" s="63"/>
      <c r="BO441" s="63"/>
      <c r="BP441" s="63"/>
      <c r="BQ441" s="63"/>
      <c r="BR441" s="63"/>
      <c r="BS441" s="63"/>
      <c r="BT441" s="63"/>
      <c r="BU441" s="63"/>
      <c r="BV441" s="63"/>
      <c r="BW441" s="63"/>
      <c r="BX441" s="63"/>
      <c r="BY441" s="63"/>
      <c r="BZ441" s="63"/>
      <c r="CA441" s="63"/>
      <c r="CB441" s="63"/>
      <c r="CC441" s="63"/>
      <c r="CD441" s="63"/>
      <c r="CE441" s="63"/>
      <c r="CF441" s="63"/>
      <c r="CG441" s="63"/>
      <c r="CH441" s="63"/>
      <c r="CI441" s="63"/>
      <c r="CJ441" s="63"/>
      <c r="CK441" s="63"/>
      <c r="CL441" s="63"/>
      <c r="CM441" s="63"/>
      <c r="CN441" s="63"/>
      <c r="CO441" s="63"/>
      <c r="CP441" s="63"/>
    </row>
    <row r="442" spans="1:94" s="63" customFormat="1">
      <c r="A442" s="63" t="s">
        <v>437</v>
      </c>
      <c r="B442" s="68" t="s">
        <v>592</v>
      </c>
      <c r="C442" s="64" t="s">
        <v>593</v>
      </c>
      <c r="D442" s="65" t="s">
        <v>87</v>
      </c>
      <c r="E442" s="66" t="s">
        <v>594</v>
      </c>
      <c r="F442" s="68">
        <v>1</v>
      </c>
      <c r="G442" s="68" t="s">
        <v>265</v>
      </c>
      <c r="H442" s="69">
        <v>691.42857142857144</v>
      </c>
      <c r="I442" s="74">
        <v>5.05</v>
      </c>
      <c r="J442" s="69">
        <v>3444</v>
      </c>
      <c r="K442" s="72"/>
      <c r="L442" s="69">
        <f t="shared" si="928"/>
        <v>3444</v>
      </c>
      <c r="M442" s="86">
        <f t="shared" si="929"/>
        <v>4.9809917355371898</v>
      </c>
      <c r="N442" s="79"/>
      <c r="O442" s="79"/>
      <c r="P442" s="79"/>
      <c r="Q442" s="79"/>
      <c r="R442" s="79">
        <v>1.83</v>
      </c>
      <c r="S442" s="84">
        <v>10.130000000000001</v>
      </c>
      <c r="T442" s="85">
        <f t="shared" si="1037"/>
        <v>1.83</v>
      </c>
      <c r="U442" s="63" t="s">
        <v>101</v>
      </c>
      <c r="V442" s="77" t="s">
        <v>828</v>
      </c>
      <c r="W442" s="77"/>
      <c r="X442" s="78">
        <v>0.45</v>
      </c>
      <c r="Y442" s="78"/>
      <c r="Z442" s="79">
        <v>0.4</v>
      </c>
      <c r="AA442" s="80">
        <v>45776</v>
      </c>
      <c r="AB442" s="81">
        <f t="shared" si="971"/>
        <v>63</v>
      </c>
      <c r="AC442" s="81">
        <f t="shared" si="1005"/>
        <v>28.35</v>
      </c>
      <c r="AD442" s="81">
        <f t="shared" si="931"/>
        <v>48.818700000000007</v>
      </c>
      <c r="AE442" s="81">
        <f t="shared" si="972"/>
        <v>9.6670693069306939</v>
      </c>
      <c r="AF442" s="167">
        <f t="shared" si="973"/>
        <v>-4.78873874150684E-2</v>
      </c>
      <c r="AG442" s="264">
        <v>9.84</v>
      </c>
      <c r="AH442" s="264">
        <f t="shared" si="901"/>
        <v>0.45179063360881538</v>
      </c>
      <c r="AI442" s="77"/>
      <c r="AJ442" s="79">
        <f t="shared" si="968"/>
        <v>48.818700000000007</v>
      </c>
      <c r="AK442" s="82">
        <f t="shared" si="969"/>
        <v>9.6670693069306939</v>
      </c>
      <c r="AL442" s="82"/>
      <c r="AM442" s="82">
        <f t="shared" si="970"/>
        <v>70.875</v>
      </c>
      <c r="AN442" s="82" t="s">
        <v>701</v>
      </c>
      <c r="AO442" s="82"/>
      <c r="AP442" s="82"/>
      <c r="AR442" s="77" t="s">
        <v>165</v>
      </c>
      <c r="AS442" s="63">
        <v>75</v>
      </c>
      <c r="AT442" s="63">
        <v>66</v>
      </c>
      <c r="AU442" s="63">
        <v>68</v>
      </c>
      <c r="AV442" s="63">
        <v>70</v>
      </c>
      <c r="AW442" s="63">
        <v>66</v>
      </c>
      <c r="AX442" s="63">
        <v>52</v>
      </c>
      <c r="AY442" s="63">
        <v>60</v>
      </c>
      <c r="AZ442" s="63">
        <v>63</v>
      </c>
      <c r="BA442" s="63">
        <v>64</v>
      </c>
      <c r="BB442" s="63">
        <v>54</v>
      </c>
      <c r="BC442" s="63">
        <v>62</v>
      </c>
      <c r="BD442" s="63">
        <v>64</v>
      </c>
      <c r="BE442" s="63">
        <v>53</v>
      </c>
      <c r="BF442" s="63">
        <v>65</v>
      </c>
    </row>
    <row r="443" spans="1:94" s="63" customFormat="1">
      <c r="A443" s="63" t="s">
        <v>437</v>
      </c>
      <c r="B443" s="68" t="s">
        <v>592</v>
      </c>
      <c r="C443" s="64" t="s">
        <v>593</v>
      </c>
      <c r="D443" s="65" t="s">
        <v>87</v>
      </c>
      <c r="E443" s="66" t="s">
        <v>594</v>
      </c>
      <c r="F443" s="68">
        <v>1</v>
      </c>
      <c r="G443" s="68" t="s">
        <v>265</v>
      </c>
      <c r="H443" s="69">
        <v>691.42857142857144</v>
      </c>
      <c r="I443" s="74">
        <v>5.05</v>
      </c>
      <c r="J443" s="69">
        <v>3444</v>
      </c>
      <c r="K443" s="72"/>
      <c r="L443" s="69">
        <f t="shared" ref="L443" si="1038">J443-(J443*K443)</f>
        <v>3444</v>
      </c>
      <c r="M443" s="86">
        <f t="shared" ref="M443" si="1039">L443/H443</f>
        <v>4.9809917355371898</v>
      </c>
      <c r="N443" s="79"/>
      <c r="O443" s="79"/>
      <c r="P443" s="79"/>
      <c r="Q443" s="79"/>
      <c r="R443" s="79">
        <v>1.83</v>
      </c>
      <c r="S443" s="84">
        <v>10.130000000000001</v>
      </c>
      <c r="T443" s="85">
        <f t="shared" si="1037"/>
        <v>1.83</v>
      </c>
      <c r="U443" s="63" t="s">
        <v>101</v>
      </c>
      <c r="V443" s="77" t="s">
        <v>103</v>
      </c>
      <c r="W443" s="77"/>
      <c r="X443" s="78">
        <v>0.45</v>
      </c>
      <c r="Y443" s="78">
        <v>0.64</v>
      </c>
      <c r="Z443" s="79">
        <v>0.4</v>
      </c>
      <c r="AA443" s="80">
        <v>45838</v>
      </c>
      <c r="AB443" s="81">
        <f t="shared" ref="AB443" si="1040">IFERROR(AVERAGE(AS443:CP443),0)</f>
        <v>41.416666666666664</v>
      </c>
      <c r="AC443" s="81">
        <f>AB443*Y443</f>
        <v>26.506666666666664</v>
      </c>
      <c r="AD443" s="81">
        <f t="shared" ref="AD443" si="1041">(AC443*L443)/2000</f>
        <v>45.644479999999994</v>
      </c>
      <c r="AE443" s="81">
        <f t="shared" ref="AE443" si="1042">IFERROR((AD443/I443),"")</f>
        <v>9.0385108910891088</v>
      </c>
      <c r="AF443" s="167">
        <f t="shared" ref="AF443" si="1043">IFERROR(((AE443-S443)/AE443),"")</f>
        <v>-0.12075983777227838</v>
      </c>
      <c r="AG443" s="264">
        <v>9.84</v>
      </c>
      <c r="AH443" s="264">
        <f t="shared" si="901"/>
        <v>0.68723082295425442</v>
      </c>
      <c r="AI443" s="77"/>
      <c r="AJ443" s="79">
        <f t="shared" ref="AJ443" si="1044">AD443-(AI443*I443)</f>
        <v>45.644479999999994</v>
      </c>
      <c r="AK443" s="82">
        <f t="shared" ref="AK443" si="1045">AJ443/I443</f>
        <v>9.0385108910891088</v>
      </c>
      <c r="AL443" s="82"/>
      <c r="AM443" s="82">
        <f t="shared" ref="AM443" si="1046">((AJ443*2000)/Z443)/J443</f>
        <v>66.266666666666652</v>
      </c>
      <c r="AN443" s="82" t="s">
        <v>701</v>
      </c>
      <c r="AO443" s="82"/>
      <c r="AP443" s="82"/>
      <c r="AQ443" s="63" t="s">
        <v>333</v>
      </c>
      <c r="AR443" s="77" t="s">
        <v>91</v>
      </c>
      <c r="AS443" s="63">
        <v>33</v>
      </c>
      <c r="AT443" s="63">
        <v>35</v>
      </c>
      <c r="AU443" s="63">
        <v>21</v>
      </c>
      <c r="AV443" s="63">
        <v>44</v>
      </c>
      <c r="AW443" s="63">
        <v>53</v>
      </c>
      <c r="AX443" s="63">
        <v>43</v>
      </c>
      <c r="AY443" s="63">
        <v>49</v>
      </c>
      <c r="AZ443" s="63">
        <v>43</v>
      </c>
      <c r="BA443" s="63">
        <v>44</v>
      </c>
      <c r="BB443" s="63">
        <v>42</v>
      </c>
      <c r="BC443" s="63">
        <v>54</v>
      </c>
      <c r="BD443" s="63">
        <v>36</v>
      </c>
    </row>
    <row r="444" spans="1:94" s="63" customFormat="1">
      <c r="A444" s="63" t="s">
        <v>437</v>
      </c>
      <c r="B444" s="68" t="s">
        <v>592</v>
      </c>
      <c r="C444" s="64" t="s">
        <v>593</v>
      </c>
      <c r="D444" s="65" t="s">
        <v>87</v>
      </c>
      <c r="E444" s="66" t="s">
        <v>594</v>
      </c>
      <c r="F444" s="68">
        <v>1</v>
      </c>
      <c r="G444" s="68" t="s">
        <v>265</v>
      </c>
      <c r="H444" s="69">
        <v>691.42857142857144</v>
      </c>
      <c r="I444" s="74">
        <v>5.05</v>
      </c>
      <c r="J444" s="69">
        <v>3444</v>
      </c>
      <c r="K444" s="72"/>
      <c r="L444" s="69">
        <f t="shared" ref="L444" si="1047">J444-(J444*K444)</f>
        <v>3444</v>
      </c>
      <c r="M444" s="86">
        <f t="shared" ref="M444" si="1048">L444/H444</f>
        <v>4.9809917355371898</v>
      </c>
      <c r="N444" s="79"/>
      <c r="O444" s="79"/>
      <c r="P444" s="79"/>
      <c r="Q444" s="79"/>
      <c r="R444" s="79">
        <v>1.83</v>
      </c>
      <c r="S444" s="84">
        <v>10.130000000000001</v>
      </c>
      <c r="T444" s="85">
        <f t="shared" ref="T444" si="1049">AVERAGE(N444:R444)</f>
        <v>1.83</v>
      </c>
      <c r="U444" s="63" t="s">
        <v>101</v>
      </c>
      <c r="V444" s="77" t="s">
        <v>103</v>
      </c>
      <c r="W444" s="77"/>
      <c r="X444" s="78">
        <v>0.45</v>
      </c>
      <c r="Y444" s="78">
        <v>0.6</v>
      </c>
      <c r="Z444" s="79">
        <v>0.4</v>
      </c>
      <c r="AA444" s="80">
        <v>45869</v>
      </c>
      <c r="AB444" s="81">
        <v>40</v>
      </c>
      <c r="AC444" s="81">
        <v>26.52</v>
      </c>
      <c r="AD444" s="81">
        <f t="shared" ref="AD444" si="1050">(AC444*L444)/2000</f>
        <v>45.667439999999999</v>
      </c>
      <c r="AE444" s="81">
        <f t="shared" ref="AE444" si="1051">IFERROR((AD444/I444),"")</f>
        <v>9.0430574257425747</v>
      </c>
      <c r="AF444" s="167">
        <f t="shared" ref="AF444" si="1052">IFERROR(((AE444-S444)/AE444),"")</f>
        <v>-0.12019635871859692</v>
      </c>
      <c r="AG444" s="264">
        <v>9.84</v>
      </c>
      <c r="AH444" s="264">
        <f t="shared" si="901"/>
        <v>0.71157024793388424</v>
      </c>
      <c r="AI444" s="77"/>
      <c r="AJ444" s="79">
        <f t="shared" ref="AJ444" si="1053">AD444-(AI444*I444)</f>
        <v>45.667439999999999</v>
      </c>
      <c r="AK444" s="82">
        <f t="shared" ref="AK444" si="1054">AJ444/I444</f>
        <v>9.0430574257425747</v>
      </c>
      <c r="AL444" s="82"/>
      <c r="AM444" s="82">
        <f t="shared" ref="AM444" si="1055">((AJ444*2000)/Z444)/J444</f>
        <v>66.3</v>
      </c>
      <c r="AN444" s="82" t="s">
        <v>701</v>
      </c>
      <c r="AO444" s="82"/>
      <c r="AP444" s="82"/>
      <c r="AQ444" s="63" t="s">
        <v>333</v>
      </c>
      <c r="AR444" s="77"/>
    </row>
    <row r="445" spans="1:94" s="63" customFormat="1">
      <c r="A445" s="113" t="s">
        <v>437</v>
      </c>
      <c r="B445" s="126" t="s">
        <v>595</v>
      </c>
      <c r="C445" s="114" t="s">
        <v>596</v>
      </c>
      <c r="D445" s="128" t="s">
        <v>87</v>
      </c>
      <c r="E445" s="127" t="s">
        <v>597</v>
      </c>
      <c r="F445" s="126">
        <v>1</v>
      </c>
      <c r="G445" s="126" t="s">
        <v>265</v>
      </c>
      <c r="H445" s="123">
        <v>691.42857142857144</v>
      </c>
      <c r="I445" s="125">
        <v>4.75</v>
      </c>
      <c r="J445" s="123">
        <v>3193</v>
      </c>
      <c r="K445" s="124"/>
      <c r="L445" s="123">
        <f t="shared" si="928"/>
        <v>3193</v>
      </c>
      <c r="M445" s="122">
        <f t="shared" si="929"/>
        <v>4.61797520661157</v>
      </c>
      <c r="N445" s="118"/>
      <c r="O445" s="118"/>
      <c r="P445" s="118"/>
      <c r="Q445" s="118"/>
      <c r="R445" s="118">
        <v>5</v>
      </c>
      <c r="S445" s="153">
        <v>10.65</v>
      </c>
      <c r="T445" s="121">
        <f t="shared" si="1037"/>
        <v>5</v>
      </c>
      <c r="U445" s="113" t="s">
        <v>365</v>
      </c>
      <c r="V445" s="115" t="s">
        <v>829</v>
      </c>
      <c r="W445" s="115"/>
      <c r="X445" s="120">
        <v>0.5</v>
      </c>
      <c r="Y445" s="120">
        <v>0.75</v>
      </c>
      <c r="Z445" s="118">
        <v>0.42</v>
      </c>
      <c r="AA445" s="119">
        <v>45772</v>
      </c>
      <c r="AB445" s="117">
        <f t="shared" si="971"/>
        <v>72.150000000000006</v>
      </c>
      <c r="AC445" s="117">
        <f t="shared" si="1005"/>
        <v>36.075000000000003</v>
      </c>
      <c r="AD445" s="117">
        <f t="shared" si="931"/>
        <v>57.593737500000003</v>
      </c>
      <c r="AE445" s="117">
        <f t="shared" si="972"/>
        <v>12.124997368421054</v>
      </c>
      <c r="AF445" s="170">
        <f t="shared" si="973"/>
        <v>0.1216492939010948</v>
      </c>
      <c r="AG445" s="265">
        <v>10.039999999999999</v>
      </c>
      <c r="AH445" s="265">
        <f t="shared" si="901"/>
        <v>0.40251312978585696</v>
      </c>
      <c r="AI445" s="115">
        <v>9</v>
      </c>
      <c r="AJ445" s="118">
        <f t="shared" si="968"/>
        <v>14.843737500000003</v>
      </c>
      <c r="AK445" s="116">
        <f t="shared" si="969"/>
        <v>3.1249973684210532</v>
      </c>
      <c r="AL445" s="117">
        <f>(((AI445*M445)*2000)/L445)/Y445</f>
        <v>34.710743801652889</v>
      </c>
      <c r="AM445" s="116">
        <f t="shared" si="970"/>
        <v>22.137320477830976</v>
      </c>
      <c r="AN445" s="116" t="s">
        <v>701</v>
      </c>
      <c r="AO445" s="116"/>
      <c r="AP445" s="116"/>
      <c r="AQ445" s="113"/>
      <c r="AR445" s="115" t="s">
        <v>116</v>
      </c>
      <c r="AS445" s="113">
        <v>92</v>
      </c>
      <c r="AT445" s="113">
        <v>73</v>
      </c>
      <c r="AU445" s="113">
        <v>71</v>
      </c>
      <c r="AV445" s="113">
        <v>76</v>
      </c>
      <c r="AW445" s="113">
        <v>79</v>
      </c>
      <c r="AX445" s="113">
        <v>74</v>
      </c>
      <c r="AY445" s="113">
        <v>68</v>
      </c>
      <c r="AZ445" s="113">
        <v>62</v>
      </c>
      <c r="BA445" s="113">
        <v>77</v>
      </c>
      <c r="BB445" s="113">
        <v>70</v>
      </c>
      <c r="BC445" s="113">
        <v>67</v>
      </c>
      <c r="BD445" s="113">
        <v>52</v>
      </c>
      <c r="BE445" s="113">
        <v>79</v>
      </c>
      <c r="BF445" s="113">
        <v>60</v>
      </c>
      <c r="BG445" s="113">
        <v>69</v>
      </c>
      <c r="BH445" s="113">
        <v>61</v>
      </c>
      <c r="BI445" s="113">
        <v>77</v>
      </c>
      <c r="BJ445" s="113">
        <v>72</v>
      </c>
      <c r="BK445" s="113">
        <v>84</v>
      </c>
      <c r="BL445" s="113">
        <v>80</v>
      </c>
      <c r="BM445" s="113"/>
      <c r="BN445" s="113"/>
      <c r="BO445" s="113"/>
      <c r="BP445" s="113"/>
      <c r="BQ445" s="113"/>
      <c r="BR445" s="113"/>
      <c r="BS445" s="113"/>
      <c r="BT445" s="113"/>
      <c r="BU445" s="113"/>
      <c r="BV445" s="113"/>
      <c r="BW445" s="113"/>
      <c r="BX445" s="113"/>
      <c r="BY445" s="113"/>
      <c r="BZ445" s="113"/>
      <c r="CA445" s="113"/>
      <c r="CB445" s="113"/>
      <c r="CC445" s="113"/>
      <c r="CD445" s="113"/>
      <c r="CE445" s="113"/>
      <c r="CF445" s="113"/>
      <c r="CG445" s="113"/>
      <c r="CH445" s="113"/>
      <c r="CI445" s="113"/>
      <c r="CJ445" s="113"/>
      <c r="CK445" s="113"/>
      <c r="CL445" s="113"/>
      <c r="CM445" s="113"/>
      <c r="CN445" s="113"/>
      <c r="CO445" s="113"/>
      <c r="CP445" s="113"/>
    </row>
    <row r="446" spans="1:94" s="113" customFormat="1">
      <c r="A446" s="113" t="s">
        <v>437</v>
      </c>
      <c r="B446" s="126" t="s">
        <v>595</v>
      </c>
      <c r="C446" s="114" t="s">
        <v>596</v>
      </c>
      <c r="D446" s="128" t="s">
        <v>87</v>
      </c>
      <c r="E446" s="127" t="s">
        <v>597</v>
      </c>
      <c r="F446" s="126">
        <v>1</v>
      </c>
      <c r="G446" s="126" t="s">
        <v>265</v>
      </c>
      <c r="H446" s="123">
        <v>691.42857142857144</v>
      </c>
      <c r="I446" s="125">
        <v>4.75</v>
      </c>
      <c r="J446" s="123">
        <v>3193</v>
      </c>
      <c r="K446" s="124"/>
      <c r="L446" s="123">
        <f t="shared" si="928"/>
        <v>3193</v>
      </c>
      <c r="M446" s="122">
        <f t="shared" si="929"/>
        <v>4.61797520661157</v>
      </c>
      <c r="N446" s="118"/>
      <c r="O446" s="118"/>
      <c r="P446" s="118"/>
      <c r="Q446" s="118"/>
      <c r="R446" s="118">
        <v>5</v>
      </c>
      <c r="S446" s="153">
        <v>10.65</v>
      </c>
      <c r="T446" s="121">
        <f t="shared" si="1037"/>
        <v>5</v>
      </c>
      <c r="U446" s="113" t="s">
        <v>106</v>
      </c>
      <c r="V446" s="115" t="s">
        <v>828</v>
      </c>
      <c r="W446" s="115"/>
      <c r="X446" s="120">
        <v>0.5</v>
      </c>
      <c r="Y446" s="120">
        <v>0.75</v>
      </c>
      <c r="Z446" s="118">
        <v>0.42</v>
      </c>
      <c r="AA446" s="119">
        <v>45776</v>
      </c>
      <c r="AB446" s="117">
        <f t="shared" si="971"/>
        <v>61.15</v>
      </c>
      <c r="AC446" s="117">
        <f t="shared" si="1005"/>
        <v>30.574999999999999</v>
      </c>
      <c r="AD446" s="117">
        <f t="shared" si="931"/>
        <v>48.812987499999998</v>
      </c>
      <c r="AE446" s="117">
        <f t="shared" si="972"/>
        <v>10.276418421052631</v>
      </c>
      <c r="AF446" s="170">
        <f t="shared" si="973"/>
        <v>-3.6353286100343815E-2</v>
      </c>
      <c r="AG446" s="265">
        <v>10.039999999999999</v>
      </c>
      <c r="AH446" s="265">
        <f t="shared" si="901"/>
        <v>0.47491941641945357</v>
      </c>
      <c r="AI446" s="115">
        <v>9</v>
      </c>
      <c r="AJ446" s="118">
        <f t="shared" si="968"/>
        <v>6.0629874999999984</v>
      </c>
      <c r="AK446" s="116">
        <f t="shared" si="969"/>
        <v>1.2764184210526313</v>
      </c>
      <c r="AL446" s="117">
        <f>(((AI446*M446)*2000)/L446)/Y446</f>
        <v>34.710743801652889</v>
      </c>
      <c r="AM446" s="116">
        <f t="shared" si="970"/>
        <v>9.0420823825928718</v>
      </c>
      <c r="AN446" s="116" t="s">
        <v>701</v>
      </c>
      <c r="AO446" s="116"/>
      <c r="AP446" s="116"/>
      <c r="AR446" s="115" t="s">
        <v>116</v>
      </c>
      <c r="AS446" s="113">
        <v>65</v>
      </c>
      <c r="AT446" s="113">
        <v>67</v>
      </c>
      <c r="AU446" s="113">
        <v>51</v>
      </c>
      <c r="AV446" s="113">
        <v>57</v>
      </c>
      <c r="AW446" s="113">
        <v>54</v>
      </c>
      <c r="AX446" s="113">
        <v>69</v>
      </c>
      <c r="AY446" s="113">
        <v>50</v>
      </c>
      <c r="AZ446" s="113">
        <v>69</v>
      </c>
      <c r="BA446" s="113">
        <v>63</v>
      </c>
      <c r="BB446" s="113">
        <v>59</v>
      </c>
      <c r="BC446" s="113">
        <v>63</v>
      </c>
      <c r="BD446" s="113">
        <v>72</v>
      </c>
      <c r="BE446" s="113">
        <v>71</v>
      </c>
      <c r="BF446" s="113">
        <v>62</v>
      </c>
      <c r="BG446" s="113">
        <v>69</v>
      </c>
      <c r="BH446" s="113">
        <v>57</v>
      </c>
      <c r="BI446" s="113">
        <v>49</v>
      </c>
      <c r="BJ446" s="113">
        <v>60</v>
      </c>
      <c r="BK446" s="113">
        <v>62</v>
      </c>
      <c r="BL446" s="113">
        <v>54</v>
      </c>
    </row>
    <row r="447" spans="1:94" s="113" customFormat="1">
      <c r="A447" s="113" t="s">
        <v>437</v>
      </c>
      <c r="B447" s="126" t="s">
        <v>595</v>
      </c>
      <c r="C447" s="114" t="s">
        <v>596</v>
      </c>
      <c r="D447" s="128" t="s">
        <v>87</v>
      </c>
      <c r="E447" s="127" t="s">
        <v>597</v>
      </c>
      <c r="F447" s="126">
        <v>1</v>
      </c>
      <c r="G447" s="126" t="s">
        <v>265</v>
      </c>
      <c r="H447" s="123">
        <v>691.42857142857144</v>
      </c>
      <c r="I447" s="125">
        <v>4.75</v>
      </c>
      <c r="J447" s="123">
        <v>3193</v>
      </c>
      <c r="K447" s="124"/>
      <c r="L447" s="123">
        <f t="shared" ref="L447" si="1056">J447-(J447*K447)</f>
        <v>3193</v>
      </c>
      <c r="M447" s="122">
        <f t="shared" ref="M447" si="1057">L447/H447</f>
        <v>4.61797520661157</v>
      </c>
      <c r="N447" s="118"/>
      <c r="O447" s="118"/>
      <c r="P447" s="118"/>
      <c r="Q447" s="118"/>
      <c r="R447" s="118">
        <v>5</v>
      </c>
      <c r="S447" s="153">
        <v>10.65</v>
      </c>
      <c r="T447" s="121">
        <f t="shared" si="1037"/>
        <v>5</v>
      </c>
      <c r="U447" s="113" t="s">
        <v>106</v>
      </c>
      <c r="V447" s="115" t="s">
        <v>103</v>
      </c>
      <c r="W447" s="115"/>
      <c r="X447" s="120">
        <v>0.5</v>
      </c>
      <c r="Y447" s="120">
        <v>0.75</v>
      </c>
      <c r="Z447" s="118">
        <v>0.42</v>
      </c>
      <c r="AA447" s="119">
        <v>45838</v>
      </c>
      <c r="AB447" s="117">
        <f t="shared" ref="AB447" si="1058">IFERROR(AVERAGE(AS447:CP447),0)</f>
        <v>45.5</v>
      </c>
      <c r="AC447" s="117">
        <f>AB447*Y447</f>
        <v>34.125</v>
      </c>
      <c r="AD447" s="117">
        <f t="shared" ref="AD447" si="1059">(AC447*L447)/2000</f>
        <v>54.480562499999998</v>
      </c>
      <c r="AE447" s="117">
        <f t="shared" ref="AE447" si="1060">IFERROR((AD447/I447),"")</f>
        <v>11.469592105263157</v>
      </c>
      <c r="AF447" s="170">
        <f t="shared" ref="AF447" si="1061">IFERROR(((AE447-S447)/AE447),"")</f>
        <v>7.1457824981157159E-2</v>
      </c>
      <c r="AG447" s="265">
        <v>10.039999999999999</v>
      </c>
      <c r="AH447" s="265">
        <f t="shared" si="901"/>
        <v>0.63827082008900182</v>
      </c>
      <c r="AI447" s="115">
        <v>9</v>
      </c>
      <c r="AJ447" s="118">
        <f t="shared" ref="AJ447" si="1062">AD447-(AI447*I447)</f>
        <v>11.730562499999998</v>
      </c>
      <c r="AK447" s="116">
        <f t="shared" ref="AK447" si="1063">AJ447/I447</f>
        <v>2.4695921052631573</v>
      </c>
      <c r="AL447" s="117">
        <f>(((AI447*M447)*2000)/L447)/Y447</f>
        <v>34.710743801652889</v>
      </c>
      <c r="AM447" s="116">
        <f t="shared" ref="AM447" si="1064">((AJ447*2000)/Z447)/J447</f>
        <v>17.494463334973823</v>
      </c>
      <c r="AN447" s="116" t="s">
        <v>701</v>
      </c>
      <c r="AO447" s="116"/>
      <c r="AP447" s="116"/>
      <c r="AR447" s="115" t="s">
        <v>91</v>
      </c>
      <c r="AS447" s="113">
        <v>44</v>
      </c>
      <c r="AT447" s="113">
        <v>49</v>
      </c>
      <c r="AU447" s="113">
        <v>38</v>
      </c>
      <c r="AV447" s="113">
        <v>55</v>
      </c>
      <c r="AW447" s="113">
        <v>36</v>
      </c>
      <c r="AX447" s="113">
        <v>40</v>
      </c>
      <c r="AY447" s="113">
        <v>32</v>
      </c>
      <c r="AZ447" s="113">
        <v>38</v>
      </c>
      <c r="BA447" s="113">
        <v>61</v>
      </c>
      <c r="BB447" s="113">
        <v>55</v>
      </c>
      <c r="BC447" s="113">
        <v>48</v>
      </c>
      <c r="BD447" s="113">
        <v>50</v>
      </c>
    </row>
    <row r="448" spans="1:94" s="113" customFormat="1">
      <c r="A448" s="113" t="s">
        <v>437</v>
      </c>
      <c r="B448" s="126" t="s">
        <v>595</v>
      </c>
      <c r="C448" s="114" t="s">
        <v>596</v>
      </c>
      <c r="D448" s="128" t="s">
        <v>87</v>
      </c>
      <c r="E448" s="127" t="s">
        <v>597</v>
      </c>
      <c r="F448" s="126">
        <v>1</v>
      </c>
      <c r="G448" s="126" t="s">
        <v>265</v>
      </c>
      <c r="H448" s="123">
        <v>691.42857142857144</v>
      </c>
      <c r="I448" s="125">
        <v>4.75</v>
      </c>
      <c r="J448" s="123">
        <v>3193</v>
      </c>
      <c r="K448" s="124"/>
      <c r="L448" s="123">
        <f t="shared" ref="L448" si="1065">J448-(J448*K448)</f>
        <v>3193</v>
      </c>
      <c r="M448" s="122">
        <f t="shared" ref="M448" si="1066">L448/H448</f>
        <v>4.61797520661157</v>
      </c>
      <c r="N448" s="118"/>
      <c r="O448" s="118"/>
      <c r="P448" s="118"/>
      <c r="Q448" s="118"/>
      <c r="R448" s="118">
        <v>5</v>
      </c>
      <c r="S448" s="153">
        <v>10.65</v>
      </c>
      <c r="T448" s="121">
        <f t="shared" ref="T448" si="1067">AVERAGE(N448:R448)</f>
        <v>5</v>
      </c>
      <c r="U448" s="113" t="s">
        <v>106</v>
      </c>
      <c r="V448" s="115" t="s">
        <v>103</v>
      </c>
      <c r="W448" s="115"/>
      <c r="X448" s="120">
        <v>0.5</v>
      </c>
      <c r="Y448" s="120">
        <v>0.75</v>
      </c>
      <c r="Z448" s="118">
        <v>0.42</v>
      </c>
      <c r="AA448" s="119">
        <v>45869</v>
      </c>
      <c r="AB448" s="117">
        <v>38</v>
      </c>
      <c r="AC448" s="117">
        <v>31.6</v>
      </c>
      <c r="AD448" s="117">
        <f t="shared" ref="AD448" si="1068">(AC448*L448)/2000</f>
        <v>50.449400000000004</v>
      </c>
      <c r="AE448" s="117">
        <f t="shared" ref="AE448" si="1069">IFERROR((AD448/I448),"")</f>
        <v>10.620926315789475</v>
      </c>
      <c r="AF448" s="170">
        <f t="shared" ref="AF448" si="1070">IFERROR(((AE448-S448)/AE448),"")</f>
        <v>-2.7373962822153262E-3</v>
      </c>
      <c r="AG448" s="265">
        <v>10.039999999999999</v>
      </c>
      <c r="AH448" s="265">
        <f t="shared" si="901"/>
        <v>0.76424532405393641</v>
      </c>
      <c r="AI448" s="115">
        <v>9</v>
      </c>
      <c r="AJ448" s="118">
        <f t="shared" ref="AJ448" si="1071">AD448-(AI448*I448)</f>
        <v>7.6994000000000042</v>
      </c>
      <c r="AK448" s="116">
        <f t="shared" ref="AK448" si="1072">AJ448/I448</f>
        <v>1.6209263157894747</v>
      </c>
      <c r="AL448" s="117">
        <f>(((AI448*M448)*2000)/L448)/Y448</f>
        <v>34.710743801652889</v>
      </c>
      <c r="AM448" s="116">
        <f t="shared" ref="AM448" si="1073">((AJ448*2000)/Z448)/J448</f>
        <v>11.482558573069072</v>
      </c>
      <c r="AN448" s="116" t="s">
        <v>701</v>
      </c>
      <c r="AO448" s="116"/>
      <c r="AP448" s="116"/>
      <c r="AQ448" s="113" t="s">
        <v>387</v>
      </c>
      <c r="AR448" s="115"/>
    </row>
    <row r="449" spans="1:94" s="113" customFormat="1">
      <c r="A449" s="63" t="s">
        <v>437</v>
      </c>
      <c r="B449" s="68" t="s">
        <v>830</v>
      </c>
      <c r="C449" s="64" t="s">
        <v>831</v>
      </c>
      <c r="D449" s="65" t="s">
        <v>87</v>
      </c>
      <c r="E449" s="66" t="s">
        <v>465</v>
      </c>
      <c r="F449" s="68" t="s">
        <v>181</v>
      </c>
      <c r="G449" s="68" t="s">
        <v>273</v>
      </c>
      <c r="H449" s="69">
        <v>691.42857142857144</v>
      </c>
      <c r="I449" s="74">
        <v>3.62</v>
      </c>
      <c r="J449" s="69">
        <v>2220</v>
      </c>
      <c r="K449" s="72"/>
      <c r="L449" s="69">
        <f t="shared" si="928"/>
        <v>2220</v>
      </c>
      <c r="M449" s="86">
        <f t="shared" si="929"/>
        <v>3.2107438016528924</v>
      </c>
      <c r="N449" s="79">
        <v>10.32</v>
      </c>
      <c r="O449" s="79">
        <v>8.85</v>
      </c>
      <c r="P449" s="79">
        <v>8.27</v>
      </c>
      <c r="Q449" s="79">
        <v>6.78</v>
      </c>
      <c r="R449" s="79">
        <v>12.6</v>
      </c>
      <c r="S449" s="84">
        <v>8.5399999999999991</v>
      </c>
      <c r="T449" s="85">
        <f>AVERAGE(N449:S449)</f>
        <v>9.2266666666666666</v>
      </c>
      <c r="U449" s="63" t="s">
        <v>245</v>
      </c>
      <c r="V449" s="77" t="s">
        <v>103</v>
      </c>
      <c r="W449" s="77"/>
      <c r="X449" s="78">
        <v>0.57999999999999996</v>
      </c>
      <c r="Y449" s="78"/>
      <c r="Z449" s="79">
        <v>0.4</v>
      </c>
      <c r="AA449" s="80">
        <v>45831</v>
      </c>
      <c r="AB449" s="81">
        <f t="shared" si="971"/>
        <v>40</v>
      </c>
      <c r="AC449" s="81">
        <f t="shared" si="1005"/>
        <v>23.2</v>
      </c>
      <c r="AD449" s="81">
        <f t="shared" si="931"/>
        <v>25.751999999999999</v>
      </c>
      <c r="AE449" s="81">
        <f t="shared" si="972"/>
        <v>7.1138121546961317</v>
      </c>
      <c r="AF449" s="167">
        <f t="shared" si="973"/>
        <v>-0.20048151599875741</v>
      </c>
      <c r="AG449" s="264"/>
      <c r="AH449" s="264">
        <f t="shared" si="901"/>
        <v>0</v>
      </c>
      <c r="AI449" s="77"/>
      <c r="AJ449" s="79">
        <f t="shared" si="968"/>
        <v>25.751999999999999</v>
      </c>
      <c r="AK449" s="82">
        <f t="shared" si="969"/>
        <v>7.1138121546961317</v>
      </c>
      <c r="AL449" s="82"/>
      <c r="AM449" s="82">
        <f t="shared" si="970"/>
        <v>58</v>
      </c>
      <c r="AN449" s="82" t="s">
        <v>701</v>
      </c>
      <c r="AO449" s="82"/>
      <c r="AP449" s="82"/>
      <c r="AQ449" s="176"/>
      <c r="AR449" s="77" t="s">
        <v>116</v>
      </c>
      <c r="AS449" s="63">
        <v>35</v>
      </c>
      <c r="AT449" s="63">
        <v>37</v>
      </c>
      <c r="AU449" s="63">
        <v>44</v>
      </c>
      <c r="AV449" s="63">
        <v>39</v>
      </c>
      <c r="AW449" s="63">
        <v>36</v>
      </c>
      <c r="AX449" s="63">
        <v>42</v>
      </c>
      <c r="AY449" s="63">
        <v>38</v>
      </c>
      <c r="AZ449" s="63">
        <v>36</v>
      </c>
      <c r="BA449" s="63">
        <v>45</v>
      </c>
      <c r="BB449" s="63">
        <v>46</v>
      </c>
      <c r="BC449" s="63">
        <v>36</v>
      </c>
      <c r="BD449" s="63">
        <v>39</v>
      </c>
      <c r="BE449" s="63">
        <v>40</v>
      </c>
      <c r="BF449" s="63">
        <v>42</v>
      </c>
      <c r="BG449" s="63">
        <v>46</v>
      </c>
      <c r="BH449" s="63">
        <v>39</v>
      </c>
      <c r="BI449" s="63"/>
      <c r="BJ449" s="63"/>
      <c r="BK449" s="63"/>
      <c r="BL449" s="63"/>
      <c r="BM449" s="63"/>
      <c r="BN449" s="63"/>
      <c r="BO449" s="63"/>
      <c r="BP449" s="63"/>
      <c r="BQ449" s="63"/>
      <c r="BR449" s="63"/>
      <c r="BS449" s="63"/>
      <c r="BT449" s="63"/>
      <c r="BU449" s="63"/>
      <c r="BV449" s="63"/>
      <c r="BW449" s="63"/>
      <c r="BX449" s="63"/>
      <c r="BY449" s="63"/>
      <c r="BZ449" s="63"/>
      <c r="CA449" s="63"/>
      <c r="CB449" s="63"/>
      <c r="CC449" s="63"/>
      <c r="CD449" s="63"/>
      <c r="CE449" s="63"/>
      <c r="CF449" s="63"/>
      <c r="CG449" s="63"/>
      <c r="CH449" s="63"/>
      <c r="CI449" s="63"/>
      <c r="CJ449" s="63"/>
      <c r="CK449" s="63"/>
      <c r="CL449" s="63"/>
      <c r="CM449" s="63"/>
      <c r="CN449" s="63"/>
      <c r="CO449" s="63"/>
      <c r="CP449" s="63"/>
    </row>
    <row r="450" spans="1:94" s="63" customFormat="1">
      <c r="A450" s="113" t="s">
        <v>437</v>
      </c>
      <c r="B450" s="126" t="s">
        <v>598</v>
      </c>
      <c r="C450" s="114" t="s">
        <v>599</v>
      </c>
      <c r="D450" s="128" t="s">
        <v>87</v>
      </c>
      <c r="E450" s="127" t="s">
        <v>194</v>
      </c>
      <c r="F450" s="126">
        <v>3</v>
      </c>
      <c r="G450" s="126" t="s">
        <v>273</v>
      </c>
      <c r="H450" s="123">
        <v>691.42857142857144</v>
      </c>
      <c r="I450" s="125">
        <v>27.8</v>
      </c>
      <c r="J450" s="123">
        <v>18780</v>
      </c>
      <c r="K450" s="124"/>
      <c r="L450" s="123">
        <f t="shared" ref="L450:L483" si="1074">J450-(J450*K450)</f>
        <v>18780</v>
      </c>
      <c r="M450" s="122">
        <f t="shared" ref="M450:M483" si="1075">L450/H450</f>
        <v>27.161157024793386</v>
      </c>
      <c r="N450" s="118">
        <v>10.35</v>
      </c>
      <c r="O450" s="118">
        <v>8.8800000000000008</v>
      </c>
      <c r="P450" s="118">
        <v>8.11</v>
      </c>
      <c r="Q450" s="118">
        <v>8.1999999999999993</v>
      </c>
      <c r="R450" s="118">
        <v>9.2200000000000006</v>
      </c>
      <c r="S450" s="153">
        <v>8.43</v>
      </c>
      <c r="T450" s="121">
        <f>AVERAGE(N450:S450)</f>
        <v>8.8650000000000002</v>
      </c>
      <c r="U450" s="113" t="s">
        <v>365</v>
      </c>
      <c r="V450" s="115" t="s">
        <v>366</v>
      </c>
      <c r="W450" s="115"/>
      <c r="X450" s="120">
        <v>0.45</v>
      </c>
      <c r="Y450" s="120"/>
      <c r="Z450" s="118">
        <v>0.45</v>
      </c>
      <c r="AA450" s="119">
        <v>45771</v>
      </c>
      <c r="AB450" s="117">
        <f t="shared" si="971"/>
        <v>59.25</v>
      </c>
      <c r="AC450" s="117">
        <f t="shared" si="1005"/>
        <v>26.662500000000001</v>
      </c>
      <c r="AD450" s="117">
        <f t="shared" ref="AD450:AD483" si="1076">(AC450*L450)/2000</f>
        <v>250.36087499999999</v>
      </c>
      <c r="AE450" s="117">
        <f t="shared" si="972"/>
        <v>9.0057868705035968</v>
      </c>
      <c r="AF450" s="170">
        <f t="shared" si="973"/>
        <v>6.3935209525050593E-2</v>
      </c>
      <c r="AG450" s="265"/>
      <c r="AH450" s="265">
        <f t="shared" si="901"/>
        <v>0</v>
      </c>
      <c r="AI450" s="115"/>
      <c r="AJ450" s="118">
        <f t="shared" si="968"/>
        <v>250.36087499999999</v>
      </c>
      <c r="AK450" s="116">
        <f t="shared" si="969"/>
        <v>9.0057868705035968</v>
      </c>
      <c r="AL450" s="116"/>
      <c r="AM450" s="116">
        <f t="shared" si="970"/>
        <v>59.25</v>
      </c>
      <c r="AN450" s="116" t="s">
        <v>701</v>
      </c>
      <c r="AO450" s="116"/>
      <c r="AP450" s="116"/>
      <c r="AQ450" s="113"/>
      <c r="AR450" s="115" t="s">
        <v>116</v>
      </c>
      <c r="AS450" s="113">
        <v>79</v>
      </c>
      <c r="AT450" s="113">
        <v>70</v>
      </c>
      <c r="AU450" s="113">
        <v>69</v>
      </c>
      <c r="AV450" s="113">
        <v>45</v>
      </c>
      <c r="AW450" s="113">
        <v>49</v>
      </c>
      <c r="AX450" s="113">
        <v>46</v>
      </c>
      <c r="AY450" s="113">
        <v>59</v>
      </c>
      <c r="AZ450" s="113">
        <v>64</v>
      </c>
      <c r="BA450" s="113">
        <v>74</v>
      </c>
      <c r="BB450" s="113">
        <v>43</v>
      </c>
      <c r="BC450" s="113">
        <v>72</v>
      </c>
      <c r="BD450" s="113">
        <v>61</v>
      </c>
      <c r="BE450" s="113">
        <v>68</v>
      </c>
      <c r="BF450" s="113">
        <v>58</v>
      </c>
      <c r="BG450" s="113">
        <v>73</v>
      </c>
      <c r="BH450" s="113">
        <v>52</v>
      </c>
      <c r="BI450" s="113">
        <v>40</v>
      </c>
      <c r="BJ450" s="113">
        <v>58</v>
      </c>
      <c r="BK450" s="113">
        <v>65</v>
      </c>
      <c r="BL450" s="113">
        <v>40</v>
      </c>
      <c r="BM450" s="113"/>
      <c r="BN450" s="113"/>
      <c r="BO450" s="113"/>
      <c r="BP450" s="113"/>
      <c r="BQ450" s="113"/>
      <c r="BR450" s="113"/>
      <c r="BS450" s="113"/>
      <c r="BT450" s="113"/>
      <c r="BU450" s="113"/>
      <c r="BV450" s="113"/>
      <c r="BW450" s="113"/>
      <c r="BX450" s="113"/>
      <c r="BY450" s="113"/>
      <c r="BZ450" s="113"/>
      <c r="CA450" s="113"/>
      <c r="CB450" s="113"/>
      <c r="CC450" s="113"/>
      <c r="CD450" s="113"/>
      <c r="CE450" s="113"/>
      <c r="CF450" s="113"/>
      <c r="CG450" s="113"/>
      <c r="CH450" s="113"/>
      <c r="CI450" s="113"/>
      <c r="CJ450" s="113"/>
      <c r="CK450" s="113"/>
      <c r="CL450" s="113"/>
      <c r="CM450" s="113"/>
      <c r="CN450" s="113"/>
      <c r="CO450" s="113"/>
      <c r="CP450" s="113"/>
    </row>
    <row r="451" spans="1:94" s="113" customFormat="1">
      <c r="A451" s="113" t="s">
        <v>437</v>
      </c>
      <c r="B451" s="126" t="s">
        <v>598</v>
      </c>
      <c r="C451" s="114" t="s">
        <v>599</v>
      </c>
      <c r="D451" s="128" t="s">
        <v>87</v>
      </c>
      <c r="E451" s="127" t="s">
        <v>194</v>
      </c>
      <c r="F451" s="126">
        <v>3</v>
      </c>
      <c r="G451" s="126" t="s">
        <v>273</v>
      </c>
      <c r="H451" s="123">
        <v>691.42857142857144</v>
      </c>
      <c r="I451" s="125">
        <v>27.8</v>
      </c>
      <c r="J451" s="123">
        <v>18780</v>
      </c>
      <c r="K451" s="124"/>
      <c r="L451" s="123">
        <f t="shared" si="1074"/>
        <v>18780</v>
      </c>
      <c r="M451" s="122">
        <f t="shared" si="1075"/>
        <v>27.161157024793386</v>
      </c>
      <c r="N451" s="118">
        <v>10.35</v>
      </c>
      <c r="O451" s="118">
        <v>8.8800000000000008</v>
      </c>
      <c r="P451" s="118">
        <v>8.11</v>
      </c>
      <c r="Q451" s="118">
        <v>8.1999999999999993</v>
      </c>
      <c r="R451" s="118">
        <v>9.2200000000000006</v>
      </c>
      <c r="S451" s="153">
        <v>8.43</v>
      </c>
      <c r="T451" s="121">
        <f>AVERAGE(N451:S451)</f>
        <v>8.8650000000000002</v>
      </c>
      <c r="U451" s="113" t="s">
        <v>106</v>
      </c>
      <c r="V451" s="115" t="s">
        <v>214</v>
      </c>
      <c r="W451" s="115"/>
      <c r="X451" s="120">
        <v>0.45</v>
      </c>
      <c r="Y451" s="120"/>
      <c r="Z451" s="118">
        <v>0.45</v>
      </c>
      <c r="AA451" s="119">
        <v>45771</v>
      </c>
      <c r="AB451" s="117">
        <f t="shared" si="971"/>
        <v>53.1</v>
      </c>
      <c r="AC451" s="117">
        <f t="shared" si="1005"/>
        <v>23.895</v>
      </c>
      <c r="AD451" s="117">
        <f t="shared" si="1076"/>
        <v>224.37404999999998</v>
      </c>
      <c r="AE451" s="117">
        <f t="shared" si="972"/>
        <v>8.0710089928057549</v>
      </c>
      <c r="AF451" s="170">
        <f t="shared" si="973"/>
        <v>-4.4479074117528328E-2</v>
      </c>
      <c r="AG451" s="265"/>
      <c r="AH451" s="265">
        <f t="shared" si="901"/>
        <v>0</v>
      </c>
      <c r="AI451" s="115"/>
      <c r="AJ451" s="118">
        <f t="shared" si="968"/>
        <v>224.37404999999998</v>
      </c>
      <c r="AK451" s="116">
        <f t="shared" si="969"/>
        <v>8.0710089928057549</v>
      </c>
      <c r="AL451" s="116"/>
      <c r="AM451" s="116">
        <f t="shared" si="970"/>
        <v>53.099999999999994</v>
      </c>
      <c r="AN451" s="116" t="s">
        <v>701</v>
      </c>
      <c r="AO451" s="116"/>
      <c r="AP451" s="116"/>
      <c r="AR451" s="115" t="s">
        <v>165</v>
      </c>
      <c r="AS451" s="113">
        <v>55</v>
      </c>
      <c r="AT451" s="113">
        <v>57</v>
      </c>
      <c r="AU451" s="113">
        <v>63</v>
      </c>
      <c r="AV451" s="113">
        <v>51</v>
      </c>
      <c r="AW451" s="113">
        <v>46</v>
      </c>
      <c r="AX451" s="113">
        <v>53</v>
      </c>
      <c r="AY451" s="113">
        <v>43</v>
      </c>
      <c r="AZ451" s="113">
        <v>51</v>
      </c>
      <c r="BA451" s="113">
        <v>54</v>
      </c>
      <c r="BB451" s="113">
        <v>58</v>
      </c>
    </row>
    <row r="452" spans="1:94" s="113" customFormat="1">
      <c r="A452" s="113" t="s">
        <v>437</v>
      </c>
      <c r="B452" s="126" t="s">
        <v>598</v>
      </c>
      <c r="C452" s="114" t="s">
        <v>599</v>
      </c>
      <c r="D452" s="128" t="s">
        <v>87</v>
      </c>
      <c r="E452" s="127" t="s">
        <v>194</v>
      </c>
      <c r="F452" s="126">
        <v>3</v>
      </c>
      <c r="G452" s="126" t="s">
        <v>273</v>
      </c>
      <c r="H452" s="123">
        <v>691.42857142857144</v>
      </c>
      <c r="I452" s="125">
        <v>27.8</v>
      </c>
      <c r="J452" s="123">
        <v>18780</v>
      </c>
      <c r="K452" s="124"/>
      <c r="L452" s="123">
        <f t="shared" si="1074"/>
        <v>18780</v>
      </c>
      <c r="M452" s="122">
        <f t="shared" si="1075"/>
        <v>27.161157024793386</v>
      </c>
      <c r="N452" s="118">
        <v>10.35</v>
      </c>
      <c r="O452" s="118">
        <v>8.8800000000000008</v>
      </c>
      <c r="P452" s="118">
        <v>8.11</v>
      </c>
      <c r="Q452" s="118">
        <v>8.1999999999999993</v>
      </c>
      <c r="R452" s="118">
        <v>9.2200000000000006</v>
      </c>
      <c r="S452" s="153">
        <v>8.43</v>
      </c>
      <c r="T452" s="121">
        <f>AVERAGE(N452:R452)</f>
        <v>8.952</v>
      </c>
      <c r="U452" s="113" t="s">
        <v>106</v>
      </c>
      <c r="V452" s="115" t="s">
        <v>103</v>
      </c>
      <c r="W452" s="115"/>
      <c r="X452" s="120">
        <v>0.45</v>
      </c>
      <c r="Y452" s="120"/>
      <c r="Z452" s="118">
        <v>0.45</v>
      </c>
      <c r="AA452" s="119">
        <v>45772</v>
      </c>
      <c r="AB452" s="117">
        <f t="shared" si="971"/>
        <v>52.5</v>
      </c>
      <c r="AC452" s="117">
        <f t="shared" si="1005"/>
        <v>23.625</v>
      </c>
      <c r="AD452" s="117">
        <f t="shared" si="1076"/>
        <v>221.83875</v>
      </c>
      <c r="AE452" s="117">
        <f t="shared" si="972"/>
        <v>7.9798111510791365</v>
      </c>
      <c r="AF452" s="170">
        <f t="shared" si="973"/>
        <v>-5.6415977821728608E-2</v>
      </c>
      <c r="AG452" s="265"/>
      <c r="AH452" s="265">
        <f t="shared" si="901"/>
        <v>0</v>
      </c>
      <c r="AI452" s="115"/>
      <c r="AJ452" s="118">
        <f t="shared" si="968"/>
        <v>221.83875</v>
      </c>
      <c r="AK452" s="116">
        <f t="shared" si="969"/>
        <v>7.9798111510791365</v>
      </c>
      <c r="AL452" s="116"/>
      <c r="AM452" s="116">
        <f t="shared" si="970"/>
        <v>52.5</v>
      </c>
      <c r="AN452" s="116" t="s">
        <v>701</v>
      </c>
      <c r="AO452" s="116"/>
      <c r="AP452" s="116"/>
      <c r="AR452" s="115" t="s">
        <v>165</v>
      </c>
      <c r="AS452" s="113">
        <v>39</v>
      </c>
      <c r="AT452" s="113">
        <v>61</v>
      </c>
      <c r="AU452" s="113">
        <v>59</v>
      </c>
      <c r="AV452" s="113">
        <v>61</v>
      </c>
      <c r="AW452" s="113">
        <v>65</v>
      </c>
      <c r="AX452" s="113">
        <v>60</v>
      </c>
      <c r="AY452" s="113">
        <v>55</v>
      </c>
      <c r="AZ452" s="113">
        <v>56</v>
      </c>
      <c r="BA452" s="113">
        <v>54</v>
      </c>
      <c r="BB452" s="113">
        <v>42</v>
      </c>
      <c r="BC452" s="113">
        <v>44</v>
      </c>
      <c r="BD452" s="113">
        <v>43</v>
      </c>
      <c r="BE452" s="113">
        <v>46</v>
      </c>
      <c r="BF452" s="113">
        <v>50</v>
      </c>
    </row>
    <row r="453" spans="1:94" s="113" customFormat="1">
      <c r="A453" s="113" t="s">
        <v>437</v>
      </c>
      <c r="B453" s="126" t="s">
        <v>598</v>
      </c>
      <c r="C453" s="114" t="s">
        <v>599</v>
      </c>
      <c r="D453" s="128" t="s">
        <v>87</v>
      </c>
      <c r="E453" s="127" t="s">
        <v>194</v>
      </c>
      <c r="F453" s="126">
        <v>3</v>
      </c>
      <c r="G453" s="126" t="s">
        <v>273</v>
      </c>
      <c r="H453" s="123">
        <v>691.42857142857144</v>
      </c>
      <c r="I453" s="125">
        <v>27.8</v>
      </c>
      <c r="J453" s="123">
        <v>18780</v>
      </c>
      <c r="K453" s="124"/>
      <c r="L453" s="123">
        <f t="shared" si="1074"/>
        <v>18780</v>
      </c>
      <c r="M453" s="122">
        <f t="shared" si="1075"/>
        <v>27.161157024793386</v>
      </c>
      <c r="N453" s="118">
        <v>10.35</v>
      </c>
      <c r="O453" s="118">
        <v>8.8800000000000008</v>
      </c>
      <c r="P453" s="118">
        <v>8.11</v>
      </c>
      <c r="Q453" s="118">
        <v>8.1999999999999993</v>
      </c>
      <c r="R453" s="118">
        <v>9.2200000000000006</v>
      </c>
      <c r="S453" s="153">
        <v>8.43</v>
      </c>
      <c r="T453" s="121">
        <f>AVERAGE(N453:R453)</f>
        <v>8.952</v>
      </c>
      <c r="U453" s="113" t="s">
        <v>106</v>
      </c>
      <c r="V453" s="115" t="s">
        <v>103</v>
      </c>
      <c r="W453" s="115"/>
      <c r="X453" s="120">
        <v>0.45</v>
      </c>
      <c r="Y453" s="120"/>
      <c r="Z453" s="118">
        <v>0.45</v>
      </c>
      <c r="AA453" s="119">
        <v>45775</v>
      </c>
      <c r="AB453" s="117">
        <f t="shared" si="971"/>
        <v>54.454545454545453</v>
      </c>
      <c r="AC453" s="117">
        <f t="shared" si="1005"/>
        <v>24.504545454545454</v>
      </c>
      <c r="AD453" s="117">
        <f t="shared" si="1076"/>
        <v>230.09768181818183</v>
      </c>
      <c r="AE453" s="117">
        <f t="shared" si="972"/>
        <v>8.2768950294310013</v>
      </c>
      <c r="AF453" s="170">
        <f t="shared" si="973"/>
        <v>-1.8497875111933574E-2</v>
      </c>
      <c r="AG453" s="265"/>
      <c r="AH453" s="265">
        <f t="shared" ref="AH453:AH505" si="1077">(((AG453*M453)*2000)/L453)/AB453</f>
        <v>0</v>
      </c>
      <c r="AI453" s="115"/>
      <c r="AJ453" s="118">
        <f t="shared" si="968"/>
        <v>230.09768181818183</v>
      </c>
      <c r="AK453" s="116">
        <f t="shared" si="969"/>
        <v>8.2768950294310013</v>
      </c>
      <c r="AL453" s="116"/>
      <c r="AM453" s="116">
        <f t="shared" si="970"/>
        <v>54.454545454545453</v>
      </c>
      <c r="AN453" s="116" t="s">
        <v>701</v>
      </c>
      <c r="AO453" s="116"/>
      <c r="AP453" s="116"/>
      <c r="AR453" s="115" t="s">
        <v>165</v>
      </c>
      <c r="AS453" s="113">
        <v>56</v>
      </c>
      <c r="AT453" s="113">
        <v>59</v>
      </c>
      <c r="AU453" s="113">
        <v>57</v>
      </c>
      <c r="AV453" s="113">
        <v>61</v>
      </c>
      <c r="AW453" s="113">
        <v>52</v>
      </c>
      <c r="AX453" s="113">
        <v>51</v>
      </c>
      <c r="AY453" s="113">
        <v>50</v>
      </c>
      <c r="AZ453" s="113">
        <v>65</v>
      </c>
      <c r="BA453" s="113">
        <v>56</v>
      </c>
      <c r="BB453" s="113">
        <v>58</v>
      </c>
      <c r="BC453" s="113">
        <v>60</v>
      </c>
      <c r="BD453" s="113">
        <v>52</v>
      </c>
      <c r="BE453" s="113">
        <v>45</v>
      </c>
      <c r="BF453" s="113">
        <v>50</v>
      </c>
      <c r="BG453" s="113">
        <v>62</v>
      </c>
      <c r="BH453" s="113">
        <v>47</v>
      </c>
      <c r="BI453" s="113">
        <v>48</v>
      </c>
      <c r="BJ453" s="113">
        <v>49</v>
      </c>
      <c r="BK453" s="113">
        <v>54</v>
      </c>
      <c r="BL453" s="113">
        <v>55</v>
      </c>
      <c r="BM453" s="113">
        <v>48</v>
      </c>
      <c r="BN453" s="113">
        <v>63</v>
      </c>
    </row>
    <row r="454" spans="1:94" s="113" customFormat="1">
      <c r="A454" s="113" t="s">
        <v>437</v>
      </c>
      <c r="B454" s="126" t="s">
        <v>598</v>
      </c>
      <c r="C454" s="114" t="s">
        <v>599</v>
      </c>
      <c r="D454" s="128" t="s">
        <v>87</v>
      </c>
      <c r="E454" s="127" t="s">
        <v>194</v>
      </c>
      <c r="F454" s="126">
        <v>3</v>
      </c>
      <c r="G454" s="126" t="s">
        <v>273</v>
      </c>
      <c r="H454" s="123">
        <v>691.42857142857144</v>
      </c>
      <c r="I454" s="125">
        <v>27.8</v>
      </c>
      <c r="J454" s="123">
        <v>18780</v>
      </c>
      <c r="K454" s="124"/>
      <c r="L454" s="123">
        <f t="shared" si="1074"/>
        <v>18780</v>
      </c>
      <c r="M454" s="122">
        <f t="shared" si="1075"/>
        <v>27.161157024793386</v>
      </c>
      <c r="N454" s="118">
        <v>10.35</v>
      </c>
      <c r="O454" s="118">
        <v>8.8800000000000008</v>
      </c>
      <c r="P454" s="118">
        <v>8.11</v>
      </c>
      <c r="Q454" s="118">
        <v>8.1999999999999993</v>
      </c>
      <c r="R454" s="118">
        <v>9.2200000000000006</v>
      </c>
      <c r="S454" s="153">
        <v>8.43</v>
      </c>
      <c r="T454" s="121">
        <f>AVERAGE(N454:R454)</f>
        <v>8.952</v>
      </c>
      <c r="U454" s="113" t="s">
        <v>106</v>
      </c>
      <c r="V454" s="115" t="s">
        <v>103</v>
      </c>
      <c r="W454" s="115"/>
      <c r="X454" s="120">
        <v>0.45</v>
      </c>
      <c r="Y454" s="120"/>
      <c r="Z454" s="118">
        <v>0.45</v>
      </c>
      <c r="AA454" s="119">
        <v>45824</v>
      </c>
      <c r="AB454" s="117">
        <f t="shared" si="971"/>
        <v>50.8</v>
      </c>
      <c r="AC454" s="117">
        <f t="shared" si="1005"/>
        <v>22.86</v>
      </c>
      <c r="AD454" s="117">
        <f t="shared" si="1076"/>
        <v>214.65539999999999</v>
      </c>
      <c r="AE454" s="117">
        <f t="shared" si="972"/>
        <v>7.7214172661870499</v>
      </c>
      <c r="AF454" s="170">
        <f t="shared" si="973"/>
        <v>-9.1768481016550274E-2</v>
      </c>
      <c r="AG454" s="265"/>
      <c r="AH454" s="265">
        <f t="shared" si="1077"/>
        <v>0</v>
      </c>
      <c r="AI454" s="115"/>
      <c r="AJ454" s="118">
        <f t="shared" si="968"/>
        <v>214.65539999999999</v>
      </c>
      <c r="AK454" s="116">
        <f t="shared" si="969"/>
        <v>7.7214172661870499</v>
      </c>
      <c r="AL454" s="116"/>
      <c r="AM454" s="116">
        <f t="shared" si="970"/>
        <v>50.8</v>
      </c>
      <c r="AN454" s="116" t="s">
        <v>701</v>
      </c>
      <c r="AO454" s="116"/>
      <c r="AP454" s="116"/>
      <c r="AR454" s="115" t="s">
        <v>91</v>
      </c>
      <c r="AS454" s="113">
        <v>58</v>
      </c>
      <c r="AT454" s="113">
        <v>71</v>
      </c>
      <c r="AU454" s="113">
        <v>65</v>
      </c>
      <c r="AV454" s="113">
        <v>50</v>
      </c>
      <c r="AW454" s="113">
        <v>35</v>
      </c>
      <c r="AX454" s="113">
        <v>34</v>
      </c>
      <c r="AY454" s="113">
        <v>43</v>
      </c>
      <c r="AZ454" s="113">
        <v>34</v>
      </c>
      <c r="BA454" s="113">
        <v>58</v>
      </c>
      <c r="BB454" s="113">
        <v>60</v>
      </c>
    </row>
    <row r="455" spans="1:94" s="113" customFormat="1">
      <c r="A455" s="63" t="s">
        <v>437</v>
      </c>
      <c r="B455" s="68" t="s">
        <v>600</v>
      </c>
      <c r="C455" s="64" t="s">
        <v>601</v>
      </c>
      <c r="D455" s="65" t="s">
        <v>87</v>
      </c>
      <c r="E455" s="66" t="s">
        <v>602</v>
      </c>
      <c r="F455" s="68" t="s">
        <v>603</v>
      </c>
      <c r="G455" s="68" t="s">
        <v>90</v>
      </c>
      <c r="H455" s="69">
        <v>691.42857142857144</v>
      </c>
      <c r="I455" s="74">
        <v>0.33</v>
      </c>
      <c r="J455" s="69"/>
      <c r="K455" s="72"/>
      <c r="L455" s="69">
        <f t="shared" si="1074"/>
        <v>0</v>
      </c>
      <c r="M455" s="86">
        <f t="shared" si="1075"/>
        <v>0</v>
      </c>
      <c r="N455" s="79"/>
      <c r="O455" s="79"/>
      <c r="P455" s="79">
        <v>4.55</v>
      </c>
      <c r="Q455" s="79">
        <v>6.24</v>
      </c>
      <c r="R455" s="79">
        <v>7.21</v>
      </c>
      <c r="S455" s="84">
        <v>6.55</v>
      </c>
      <c r="T455" s="85">
        <f>AVERAGE(N455:S455)</f>
        <v>6.1375000000000002</v>
      </c>
      <c r="U455" s="63"/>
      <c r="V455" s="77"/>
      <c r="W455" s="77"/>
      <c r="X455" s="78">
        <v>0.45</v>
      </c>
      <c r="Y455" s="78"/>
      <c r="Z455" s="79">
        <v>0.45</v>
      </c>
      <c r="AA455" s="80"/>
      <c r="AB455" s="81"/>
      <c r="AC455" s="81"/>
      <c r="AD455" s="81">
        <f t="shared" si="1076"/>
        <v>0</v>
      </c>
      <c r="AE455" s="81"/>
      <c r="AF455" s="167"/>
      <c r="AG455" s="264"/>
      <c r="AH455" s="264" t="e">
        <f t="shared" si="1077"/>
        <v>#DIV/0!</v>
      </c>
      <c r="AI455" s="77"/>
      <c r="AJ455" s="79">
        <f t="shared" si="968"/>
        <v>0</v>
      </c>
      <c r="AK455" s="82">
        <f t="shared" si="969"/>
        <v>0</v>
      </c>
      <c r="AL455" s="82"/>
      <c r="AM455" s="82"/>
      <c r="AN455" s="82"/>
      <c r="AO455" s="82"/>
      <c r="AP455" s="82"/>
      <c r="AQ455" s="63"/>
      <c r="AR455" s="77"/>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c r="BV455" s="63"/>
      <c r="BW455" s="63"/>
      <c r="BX455" s="63"/>
      <c r="BY455" s="63"/>
      <c r="BZ455" s="63"/>
      <c r="CA455" s="63"/>
      <c r="CB455" s="63"/>
      <c r="CC455" s="63"/>
      <c r="CD455" s="63"/>
      <c r="CE455" s="63"/>
      <c r="CF455" s="63"/>
      <c r="CG455" s="63"/>
      <c r="CH455" s="63"/>
      <c r="CI455" s="63"/>
      <c r="CJ455" s="63"/>
      <c r="CK455" s="63"/>
      <c r="CL455" s="63"/>
      <c r="CM455" s="63"/>
      <c r="CN455" s="63"/>
      <c r="CO455" s="63"/>
      <c r="CP455" s="63"/>
    </row>
    <row r="456" spans="1:94" s="63" customFormat="1">
      <c r="A456" s="113" t="s">
        <v>437</v>
      </c>
      <c r="B456" s="126" t="s">
        <v>604</v>
      </c>
      <c r="C456" s="114" t="s">
        <v>605</v>
      </c>
      <c r="D456" s="128" t="s">
        <v>87</v>
      </c>
      <c r="E456" s="127" t="s">
        <v>88</v>
      </c>
      <c r="F456" s="126">
        <v>8</v>
      </c>
      <c r="G456" s="126" t="s">
        <v>606</v>
      </c>
      <c r="H456" s="123">
        <v>726</v>
      </c>
      <c r="I456" s="125">
        <v>57.29</v>
      </c>
      <c r="J456" s="123">
        <v>41547</v>
      </c>
      <c r="K456" s="124">
        <v>0.02</v>
      </c>
      <c r="L456" s="123">
        <f t="shared" si="1074"/>
        <v>40716.06</v>
      </c>
      <c r="M456" s="122">
        <f t="shared" si="1075"/>
        <v>56.082727272727269</v>
      </c>
      <c r="N456" s="118"/>
      <c r="O456" s="118"/>
      <c r="P456" s="118">
        <v>7.03</v>
      </c>
      <c r="Q456" s="118">
        <v>7.33</v>
      </c>
      <c r="R456" s="118">
        <v>9.8800000000000008</v>
      </c>
      <c r="S456" s="153">
        <v>7.26</v>
      </c>
      <c r="T456" s="121">
        <f>AVERAGE(N456:S456)</f>
        <v>7.875</v>
      </c>
      <c r="U456" s="113"/>
      <c r="V456" s="115"/>
      <c r="W456" s="115"/>
      <c r="X456" s="120">
        <v>0.28000000000000003</v>
      </c>
      <c r="Y456" s="120"/>
      <c r="Z456" s="118">
        <v>0.33</v>
      </c>
      <c r="AA456" s="119">
        <v>45831</v>
      </c>
      <c r="AB456" s="117">
        <f t="shared" ref="AB456:AB504" si="1078">IFERROR(AVERAGE(AS456:CP456),0)</f>
        <v>118.91666666666667</v>
      </c>
      <c r="AC456" s="117">
        <f>AB456*X456</f>
        <v>33.296666666666674</v>
      </c>
      <c r="AD456" s="117">
        <f t="shared" si="1076"/>
        <v>677.85453890000019</v>
      </c>
      <c r="AE456" s="117">
        <f t="shared" ref="AE456:AE470" si="1079">IFERROR((AD456/I456),"")</f>
        <v>11.83198706406005</v>
      </c>
      <c r="AF456" s="170">
        <f t="shared" ref="AF456:AF470" si="1080">IFERROR(((AE456-S456)/AE456),"")</f>
        <v>0.38640906546860354</v>
      </c>
      <c r="AG456" s="265"/>
      <c r="AH456" s="265">
        <f t="shared" si="1077"/>
        <v>0</v>
      </c>
      <c r="AI456" s="115"/>
      <c r="AJ456" s="118">
        <f t="shared" si="968"/>
        <v>677.85453890000019</v>
      </c>
      <c r="AK456" s="116">
        <f t="shared" si="969"/>
        <v>11.83198706406005</v>
      </c>
      <c r="AL456" s="116"/>
      <c r="AM456" s="116">
        <f t="shared" ref="AM456:AM478" si="1081">((AJ456*2000)/Z456)/J456</f>
        <v>98.881010101010119</v>
      </c>
      <c r="AN456" s="116"/>
      <c r="AO456" s="116"/>
      <c r="AP456" s="116"/>
      <c r="AQ456" s="113"/>
      <c r="AR456" s="115" t="s">
        <v>91</v>
      </c>
      <c r="AS456" s="113">
        <v>101</v>
      </c>
      <c r="AT456" s="113">
        <v>116</v>
      </c>
      <c r="AU456" s="113">
        <v>109</v>
      </c>
      <c r="AV456" s="113">
        <v>118</v>
      </c>
      <c r="AW456" s="113">
        <v>135</v>
      </c>
      <c r="AX456" s="113">
        <v>83</v>
      </c>
      <c r="AY456" s="113">
        <v>142</v>
      </c>
      <c r="AZ456" s="113">
        <v>135</v>
      </c>
      <c r="BA456" s="113">
        <v>126</v>
      </c>
      <c r="BB456" s="113">
        <v>121</v>
      </c>
      <c r="BC456" s="113">
        <v>123</v>
      </c>
      <c r="BD456" s="113">
        <v>118</v>
      </c>
      <c r="BE456" s="113"/>
      <c r="BF456" s="113"/>
      <c r="BG456" s="113"/>
      <c r="BH456" s="113"/>
      <c r="BI456" s="113"/>
      <c r="BJ456" s="113"/>
      <c r="BK456" s="113"/>
      <c r="BL456" s="113"/>
      <c r="BM456" s="113"/>
      <c r="BN456" s="113"/>
      <c r="BO456" s="113"/>
      <c r="BP456" s="113"/>
      <c r="BQ456" s="113"/>
      <c r="BR456" s="113"/>
      <c r="BS456" s="113"/>
      <c r="BT456" s="113"/>
      <c r="BU456" s="113"/>
      <c r="BV456" s="113"/>
      <c r="BW456" s="113"/>
      <c r="BX456" s="113"/>
      <c r="BY456" s="113"/>
      <c r="BZ456" s="113"/>
      <c r="CA456" s="113"/>
      <c r="CB456" s="113"/>
      <c r="CC456" s="113"/>
      <c r="CD456" s="113"/>
      <c r="CE456" s="113"/>
      <c r="CF456" s="113"/>
      <c r="CG456" s="113"/>
      <c r="CH456" s="113"/>
      <c r="CI456" s="113"/>
      <c r="CJ456" s="113"/>
      <c r="CK456" s="113"/>
      <c r="CL456" s="113"/>
      <c r="CM456" s="113"/>
      <c r="CN456" s="113"/>
      <c r="CO456" s="113"/>
      <c r="CP456" s="113"/>
    </row>
    <row r="457" spans="1:94" s="113" customFormat="1">
      <c r="A457" s="63" t="s">
        <v>437</v>
      </c>
      <c r="B457" s="68" t="s">
        <v>607</v>
      </c>
      <c r="C457" s="64" t="s">
        <v>608</v>
      </c>
      <c r="D457" s="65" t="s">
        <v>87</v>
      </c>
      <c r="E457" s="66" t="s">
        <v>148</v>
      </c>
      <c r="F457" s="68">
        <v>30</v>
      </c>
      <c r="G457" s="68" t="s">
        <v>140</v>
      </c>
      <c r="H457" s="69">
        <v>622.28571428571433</v>
      </c>
      <c r="I457" s="74">
        <v>56.02</v>
      </c>
      <c r="J457" s="69">
        <v>34846</v>
      </c>
      <c r="K457" s="72"/>
      <c r="L457" s="69">
        <f t="shared" si="1074"/>
        <v>34846</v>
      </c>
      <c r="M457" s="86">
        <f t="shared" si="1075"/>
        <v>55.996786042240586</v>
      </c>
      <c r="N457" s="79"/>
      <c r="O457" s="79"/>
      <c r="P457" s="79">
        <v>7.92</v>
      </c>
      <c r="Q457" s="79">
        <v>7.62</v>
      </c>
      <c r="R457" s="79">
        <v>8.9700000000000006</v>
      </c>
      <c r="S457" s="84">
        <v>9.26</v>
      </c>
      <c r="T457" s="85">
        <f>AVERAGE(N457:S457)</f>
        <v>8.442499999999999</v>
      </c>
      <c r="U457" s="63"/>
      <c r="V457" s="77" t="s">
        <v>103</v>
      </c>
      <c r="W457" s="77"/>
      <c r="X457" s="78">
        <v>0.24</v>
      </c>
      <c r="Y457" s="78">
        <v>0.3</v>
      </c>
      <c r="Z457" s="79">
        <v>0.35</v>
      </c>
      <c r="AA457" s="80">
        <v>45776</v>
      </c>
      <c r="AB457" s="81">
        <f t="shared" si="1078"/>
        <v>124.875</v>
      </c>
      <c r="AC457" s="81">
        <f>AB457*X457</f>
        <v>29.97</v>
      </c>
      <c r="AD457" s="81">
        <f t="shared" si="1076"/>
        <v>522.16731000000004</v>
      </c>
      <c r="AE457" s="81">
        <f t="shared" si="1079"/>
        <v>9.3210872902534803</v>
      </c>
      <c r="AF457" s="167">
        <f t="shared" si="1080"/>
        <v>6.5536657206671485E-3</v>
      </c>
      <c r="AG457" s="264">
        <v>9.64</v>
      </c>
      <c r="AH457" s="264">
        <f t="shared" si="1077"/>
        <v>0.24810853093681381</v>
      </c>
      <c r="AI457" s="77"/>
      <c r="AJ457" s="79">
        <f t="shared" si="968"/>
        <v>522.16731000000004</v>
      </c>
      <c r="AK457" s="82">
        <f t="shared" si="969"/>
        <v>9.3210872902534803</v>
      </c>
      <c r="AL457" s="82"/>
      <c r="AM457" s="82">
        <f t="shared" si="1081"/>
        <v>85.628571428571448</v>
      </c>
      <c r="AN457" s="82" t="s">
        <v>701</v>
      </c>
      <c r="AO457" s="82"/>
      <c r="AP457" s="82"/>
      <c r="AQ457" s="63"/>
      <c r="AR457" s="77" t="s">
        <v>91</v>
      </c>
      <c r="AS457" s="63">
        <v>114</v>
      </c>
      <c r="AT457" s="63">
        <v>100</v>
      </c>
      <c r="AU457" s="63">
        <v>116</v>
      </c>
      <c r="AV457" s="63">
        <v>142</v>
      </c>
      <c r="AW457" s="63">
        <v>97</v>
      </c>
      <c r="AX457" s="63">
        <v>149</v>
      </c>
      <c r="AY457" s="63">
        <v>137</v>
      </c>
      <c r="AZ457" s="63">
        <v>151</v>
      </c>
      <c r="BA457" s="63">
        <v>118</v>
      </c>
      <c r="BB457" s="63">
        <v>109</v>
      </c>
      <c r="BC457" s="63">
        <v>99</v>
      </c>
      <c r="BD457" s="63">
        <v>144</v>
      </c>
      <c r="BE457" s="63">
        <v>129</v>
      </c>
      <c r="BF457" s="63">
        <v>137</v>
      </c>
      <c r="BG457" s="63">
        <v>143</v>
      </c>
      <c r="BH457" s="63">
        <v>113</v>
      </c>
      <c r="BI457" s="63"/>
      <c r="BJ457" s="63"/>
      <c r="BK457" s="63"/>
      <c r="BL457" s="63"/>
      <c r="BM457" s="63"/>
      <c r="BN457" s="63"/>
      <c r="BO457" s="63"/>
      <c r="BP457" s="63"/>
      <c r="BQ457" s="63"/>
      <c r="BR457" s="63"/>
      <c r="BS457" s="63"/>
      <c r="BT457" s="63"/>
      <c r="BU457" s="63"/>
      <c r="BV457" s="63"/>
      <c r="BW457" s="63"/>
      <c r="BX457" s="63"/>
      <c r="BY457" s="63"/>
      <c r="BZ457" s="63"/>
      <c r="CA457" s="63"/>
      <c r="CB457" s="63"/>
      <c r="CC457" s="63"/>
      <c r="CD457" s="63"/>
      <c r="CE457" s="63"/>
      <c r="CF457" s="63"/>
      <c r="CG457" s="63"/>
      <c r="CH457" s="63"/>
      <c r="CI457" s="63"/>
      <c r="CJ457" s="63"/>
      <c r="CK457" s="63"/>
      <c r="CL457" s="63"/>
      <c r="CM457" s="63"/>
      <c r="CN457" s="63"/>
      <c r="CO457" s="63"/>
      <c r="CP457" s="63"/>
    </row>
    <row r="458" spans="1:94" s="113" customFormat="1">
      <c r="A458" s="63" t="s">
        <v>437</v>
      </c>
      <c r="B458" s="68" t="s">
        <v>607</v>
      </c>
      <c r="C458" s="64" t="s">
        <v>608</v>
      </c>
      <c r="D458" s="65" t="s">
        <v>87</v>
      </c>
      <c r="E458" s="66" t="s">
        <v>148</v>
      </c>
      <c r="F458" s="68">
        <v>30</v>
      </c>
      <c r="G458" s="68" t="s">
        <v>140</v>
      </c>
      <c r="H458" s="69">
        <v>622.28571428571433</v>
      </c>
      <c r="I458" s="74">
        <v>56.02</v>
      </c>
      <c r="J458" s="69">
        <v>34846</v>
      </c>
      <c r="K458" s="72"/>
      <c r="L458" s="69">
        <f t="shared" si="1074"/>
        <v>34846</v>
      </c>
      <c r="M458" s="86">
        <f t="shared" si="1075"/>
        <v>55.996786042240586</v>
      </c>
      <c r="N458" s="79"/>
      <c r="O458" s="79"/>
      <c r="P458" s="79">
        <v>7.92</v>
      </c>
      <c r="Q458" s="79">
        <v>7.62</v>
      </c>
      <c r="R458" s="79">
        <v>8.9700000000000006</v>
      </c>
      <c r="S458" s="84">
        <v>9.26</v>
      </c>
      <c r="T458" s="85">
        <f>AVERAGE(N458:S458)</f>
        <v>8.442499999999999</v>
      </c>
      <c r="U458" s="63"/>
      <c r="V458" s="77" t="s">
        <v>103</v>
      </c>
      <c r="W458" s="77"/>
      <c r="X458" s="78">
        <v>0.24</v>
      </c>
      <c r="Y458" s="78">
        <v>0.3</v>
      </c>
      <c r="Z458" s="79">
        <v>0.35</v>
      </c>
      <c r="AA458" s="80">
        <v>45821</v>
      </c>
      <c r="AB458" s="81">
        <f t="shared" si="1078"/>
        <v>95.583333333333329</v>
      </c>
      <c r="AC458" s="81">
        <f>AB458*Y458</f>
        <v>28.674999999999997</v>
      </c>
      <c r="AD458" s="81">
        <f t="shared" si="1076"/>
        <v>499.60452499999997</v>
      </c>
      <c r="AE458" s="81">
        <f t="shared" si="1079"/>
        <v>8.9183242591931435</v>
      </c>
      <c r="AF458" s="167">
        <f t="shared" si="1080"/>
        <v>-3.8311652601625439E-2</v>
      </c>
      <c r="AG458" s="264">
        <v>9.64</v>
      </c>
      <c r="AH458" s="264">
        <f t="shared" si="1077"/>
        <v>0.32414179041745028</v>
      </c>
      <c r="AI458" s="77"/>
      <c r="AJ458" s="79">
        <f t="shared" si="968"/>
        <v>499.60452499999997</v>
      </c>
      <c r="AK458" s="82">
        <f t="shared" si="969"/>
        <v>8.9183242591931435</v>
      </c>
      <c r="AL458" s="82"/>
      <c r="AM458" s="82">
        <f t="shared" si="1081"/>
        <v>81.928571428571431</v>
      </c>
      <c r="AN458" s="82" t="s">
        <v>701</v>
      </c>
      <c r="AO458" s="82"/>
      <c r="AP458" s="82"/>
      <c r="AQ458" s="63"/>
      <c r="AR458" s="77" t="s">
        <v>91</v>
      </c>
      <c r="AS458" s="63">
        <v>92</v>
      </c>
      <c r="AT458" s="63">
        <v>110</v>
      </c>
      <c r="AU458" s="63">
        <v>113</v>
      </c>
      <c r="AV458" s="63">
        <v>81</v>
      </c>
      <c r="AW458" s="63">
        <v>130</v>
      </c>
      <c r="AX458" s="63">
        <v>75</v>
      </c>
      <c r="AY458" s="63">
        <v>71</v>
      </c>
      <c r="AZ458" s="63">
        <v>68</v>
      </c>
      <c r="BA458" s="63">
        <v>98</v>
      </c>
      <c r="BB458" s="63">
        <v>117</v>
      </c>
      <c r="BC458" s="63">
        <v>110</v>
      </c>
      <c r="BD458" s="63">
        <v>82</v>
      </c>
      <c r="BE458" s="63"/>
      <c r="BF458" s="63"/>
      <c r="BG458" s="63"/>
      <c r="BH458" s="63"/>
      <c r="BI458" s="63"/>
      <c r="BJ458" s="63"/>
      <c r="BK458" s="63"/>
      <c r="BL458" s="63"/>
      <c r="BM458" s="63"/>
      <c r="BN458" s="63"/>
      <c r="BO458" s="63"/>
      <c r="BP458" s="63"/>
      <c r="BQ458" s="63"/>
      <c r="BR458" s="63"/>
      <c r="BS458" s="63"/>
      <c r="BT458" s="63"/>
      <c r="BU458" s="63"/>
      <c r="BV458" s="63"/>
      <c r="BW458" s="63"/>
      <c r="BX458" s="63"/>
      <c r="BY458" s="63"/>
      <c r="BZ458" s="63"/>
      <c r="CA458" s="63"/>
      <c r="CB458" s="63"/>
      <c r="CC458" s="63"/>
      <c r="CD458" s="63"/>
      <c r="CE458" s="63"/>
      <c r="CF458" s="63"/>
      <c r="CG458" s="63"/>
      <c r="CH458" s="63"/>
      <c r="CI458" s="63"/>
      <c r="CJ458" s="63"/>
      <c r="CK458" s="63"/>
      <c r="CL458" s="63"/>
      <c r="CM458" s="63"/>
      <c r="CN458" s="63"/>
      <c r="CO458" s="63"/>
      <c r="CP458" s="63"/>
    </row>
    <row r="459" spans="1:94" s="63" customFormat="1">
      <c r="A459" s="113" t="s">
        <v>437</v>
      </c>
      <c r="B459" s="126" t="s">
        <v>609</v>
      </c>
      <c r="C459" s="114" t="s">
        <v>610</v>
      </c>
      <c r="D459" s="128" t="s">
        <v>87</v>
      </c>
      <c r="E459" s="127" t="s">
        <v>88</v>
      </c>
      <c r="F459" s="126">
        <v>8</v>
      </c>
      <c r="G459" s="126" t="s">
        <v>96</v>
      </c>
      <c r="H459" s="123">
        <v>726</v>
      </c>
      <c r="I459" s="125">
        <v>54.49</v>
      </c>
      <c r="J459" s="123">
        <v>39384</v>
      </c>
      <c r="K459" s="124"/>
      <c r="L459" s="123">
        <f t="shared" si="1074"/>
        <v>39384</v>
      </c>
      <c r="M459" s="122">
        <f t="shared" si="1075"/>
        <v>54.247933884297524</v>
      </c>
      <c r="N459" s="118"/>
      <c r="O459" s="118"/>
      <c r="P459" s="118"/>
      <c r="Q459" s="118">
        <v>4.1900000000000004</v>
      </c>
      <c r="R459" s="118">
        <v>9.2899999999999991</v>
      </c>
      <c r="S459" s="153">
        <v>5.39</v>
      </c>
      <c r="T459" s="121">
        <f>AVERAGE(N459:R459)</f>
        <v>6.74</v>
      </c>
      <c r="U459" s="113"/>
      <c r="V459" s="115" t="s">
        <v>103</v>
      </c>
      <c r="W459" s="115"/>
      <c r="X459" s="120">
        <v>0.28000000000000003</v>
      </c>
      <c r="Y459" s="120"/>
      <c r="Z459" s="118">
        <v>0.33</v>
      </c>
      <c r="AA459" s="119">
        <v>45782</v>
      </c>
      <c r="AB459" s="117">
        <f t="shared" si="1078"/>
        <v>87.15</v>
      </c>
      <c r="AC459" s="117">
        <f t="shared" ref="AC459:AC469" si="1082">AB459*X459</f>
        <v>24.402000000000005</v>
      </c>
      <c r="AD459" s="117">
        <f t="shared" si="1076"/>
        <v>480.52418400000005</v>
      </c>
      <c r="AE459" s="117">
        <f t="shared" si="1079"/>
        <v>8.818575591851717</v>
      </c>
      <c r="AF459" s="170">
        <f t="shared" si="1080"/>
        <v>0.38879018001724563</v>
      </c>
      <c r="AG459" s="265">
        <v>7.68</v>
      </c>
      <c r="AH459" s="265">
        <f t="shared" si="1077"/>
        <v>0.24276563159367101</v>
      </c>
      <c r="AI459" s="115"/>
      <c r="AJ459" s="118">
        <f t="shared" si="968"/>
        <v>480.52418400000005</v>
      </c>
      <c r="AK459" s="116">
        <f t="shared" si="969"/>
        <v>8.818575591851717</v>
      </c>
      <c r="AL459" s="116"/>
      <c r="AM459" s="116">
        <f t="shared" si="1081"/>
        <v>73.945454545454552</v>
      </c>
      <c r="AN459" s="116" t="s">
        <v>701</v>
      </c>
      <c r="AO459" s="116">
        <f>8*I459</f>
        <v>435.92</v>
      </c>
      <c r="AP459" s="116">
        <f>AD459-AO459</f>
        <v>44.604184000000032</v>
      </c>
      <c r="AQ459" s="113"/>
      <c r="AR459" s="115" t="s">
        <v>116</v>
      </c>
      <c r="AS459" s="113">
        <v>78</v>
      </c>
      <c r="AT459" s="113">
        <v>75</v>
      </c>
      <c r="AU459" s="113">
        <v>102</v>
      </c>
      <c r="AV459" s="113">
        <v>98</v>
      </c>
      <c r="AW459" s="113">
        <v>85</v>
      </c>
      <c r="AX459" s="113">
        <v>87</v>
      </c>
      <c r="AY459" s="113">
        <v>99</v>
      </c>
      <c r="AZ459" s="113">
        <v>80</v>
      </c>
      <c r="BA459" s="113">
        <v>72</v>
      </c>
      <c r="BB459" s="113">
        <v>82</v>
      </c>
      <c r="BC459" s="113">
        <v>79</v>
      </c>
      <c r="BD459" s="113">
        <v>92</v>
      </c>
      <c r="BE459" s="113">
        <v>78</v>
      </c>
      <c r="BF459" s="113">
        <v>89</v>
      </c>
      <c r="BG459" s="113">
        <v>92</v>
      </c>
      <c r="BH459" s="113">
        <v>98</v>
      </c>
      <c r="BI459" s="113">
        <v>79</v>
      </c>
      <c r="BJ459" s="113">
        <v>94</v>
      </c>
      <c r="BK459" s="113">
        <v>85</v>
      </c>
      <c r="BL459" s="113">
        <v>99</v>
      </c>
      <c r="BM459" s="113"/>
      <c r="BN459" s="113"/>
      <c r="BO459" s="113"/>
      <c r="BP459" s="113"/>
      <c r="BQ459" s="113"/>
      <c r="BR459" s="113"/>
      <c r="BS459" s="113"/>
      <c r="BT459" s="113"/>
      <c r="BU459" s="113"/>
      <c r="BV459" s="113"/>
      <c r="BW459" s="113"/>
      <c r="BX459" s="113"/>
      <c r="BY459" s="113"/>
      <c r="BZ459" s="113"/>
      <c r="CA459" s="113"/>
      <c r="CB459" s="113"/>
      <c r="CC459" s="113"/>
      <c r="CD459" s="113"/>
      <c r="CE459" s="113"/>
      <c r="CF459" s="113"/>
      <c r="CG459" s="113"/>
      <c r="CH459" s="113"/>
      <c r="CI459" s="113"/>
      <c r="CJ459" s="113"/>
      <c r="CK459" s="113"/>
      <c r="CL459" s="113"/>
      <c r="CM459" s="113"/>
      <c r="CN459" s="113"/>
      <c r="CO459" s="113"/>
      <c r="CP459" s="113"/>
    </row>
    <row r="460" spans="1:94" s="63" customFormat="1">
      <c r="A460" s="113" t="s">
        <v>437</v>
      </c>
      <c r="B460" s="126" t="s">
        <v>609</v>
      </c>
      <c r="C460" s="114" t="s">
        <v>610</v>
      </c>
      <c r="D460" s="128" t="s">
        <v>87</v>
      </c>
      <c r="E460" s="127" t="s">
        <v>88</v>
      </c>
      <c r="F460" s="126">
        <v>8</v>
      </c>
      <c r="G460" s="126" t="s">
        <v>96</v>
      </c>
      <c r="H460" s="123">
        <v>726</v>
      </c>
      <c r="I460" s="125">
        <v>54.49</v>
      </c>
      <c r="J460" s="123">
        <v>39384</v>
      </c>
      <c r="K460" s="124"/>
      <c r="L460" s="123">
        <f t="shared" si="1074"/>
        <v>39384</v>
      </c>
      <c r="M460" s="122">
        <f t="shared" si="1075"/>
        <v>54.247933884297524</v>
      </c>
      <c r="N460" s="118"/>
      <c r="O460" s="118"/>
      <c r="P460" s="118"/>
      <c r="Q460" s="118">
        <v>4.1900000000000004</v>
      </c>
      <c r="R460" s="118">
        <v>9.2899999999999991</v>
      </c>
      <c r="S460" s="153">
        <v>5.39</v>
      </c>
      <c r="T460" s="121">
        <f>AVERAGE(N460:R460)</f>
        <v>6.74</v>
      </c>
      <c r="U460" s="113"/>
      <c r="V460" s="115" t="s">
        <v>103</v>
      </c>
      <c r="W460" s="115"/>
      <c r="X460" s="120">
        <v>0.28000000000000003</v>
      </c>
      <c r="Y460" s="120"/>
      <c r="Z460" s="118">
        <v>0.33</v>
      </c>
      <c r="AA460" s="119">
        <v>45824</v>
      </c>
      <c r="AB460" s="117">
        <f t="shared" si="1078"/>
        <v>83</v>
      </c>
      <c r="AC460" s="117">
        <f t="shared" si="1082"/>
        <v>23.240000000000002</v>
      </c>
      <c r="AD460" s="117">
        <f t="shared" si="1076"/>
        <v>457.64208000000002</v>
      </c>
      <c r="AE460" s="117">
        <f t="shared" si="1079"/>
        <v>8.3986434208111582</v>
      </c>
      <c r="AF460" s="170">
        <f t="shared" si="1080"/>
        <v>0.35822968901810781</v>
      </c>
      <c r="AG460" s="265">
        <v>7.68</v>
      </c>
      <c r="AH460" s="265">
        <f t="shared" si="1077"/>
        <v>0.25490391317335459</v>
      </c>
      <c r="AI460" s="115"/>
      <c r="AJ460" s="118">
        <f t="shared" si="968"/>
        <v>457.64208000000002</v>
      </c>
      <c r="AK460" s="116">
        <f t="shared" si="969"/>
        <v>8.3986434208111582</v>
      </c>
      <c r="AL460" s="116"/>
      <c r="AM460" s="116">
        <f t="shared" si="1081"/>
        <v>70.424242424242422</v>
      </c>
      <c r="AN460" s="116" t="s">
        <v>701</v>
      </c>
      <c r="AO460" s="116">
        <f>8*I460</f>
        <v>435.92</v>
      </c>
      <c r="AP460" s="116">
        <f>AD460-AO460</f>
        <v>21.722080000000005</v>
      </c>
      <c r="AQ460" s="113"/>
      <c r="AR460" s="115" t="s">
        <v>91</v>
      </c>
      <c r="AS460" s="113">
        <v>82</v>
      </c>
      <c r="AT460" s="113">
        <v>71</v>
      </c>
      <c r="AU460" s="113">
        <v>91</v>
      </c>
      <c r="AV460" s="113">
        <v>97</v>
      </c>
      <c r="AW460" s="113">
        <v>73</v>
      </c>
      <c r="AX460" s="113">
        <v>88</v>
      </c>
      <c r="AY460" s="113">
        <v>87</v>
      </c>
      <c r="AZ460" s="113">
        <v>90</v>
      </c>
      <c r="BA460" s="113">
        <v>77</v>
      </c>
      <c r="BB460" s="113">
        <v>68</v>
      </c>
      <c r="BC460" s="113">
        <v>85</v>
      </c>
      <c r="BD460" s="113">
        <v>87</v>
      </c>
      <c r="BE460" s="113"/>
      <c r="BF460" s="113"/>
      <c r="BG460" s="113"/>
      <c r="BH460" s="113"/>
      <c r="BI460" s="113"/>
      <c r="BJ460" s="113"/>
      <c r="BK460" s="113"/>
      <c r="BL460" s="113"/>
      <c r="BM460" s="113"/>
      <c r="BN460" s="113"/>
      <c r="BO460" s="113"/>
      <c r="BP460" s="113"/>
      <c r="BQ460" s="113"/>
      <c r="BR460" s="113"/>
      <c r="BS460" s="113"/>
      <c r="BT460" s="113"/>
      <c r="BU460" s="113"/>
      <c r="BV460" s="113"/>
      <c r="BW460" s="113"/>
      <c r="BX460" s="113"/>
      <c r="BY460" s="113"/>
      <c r="BZ460" s="113"/>
      <c r="CA460" s="113"/>
      <c r="CB460" s="113"/>
      <c r="CC460" s="113"/>
      <c r="CD460" s="113"/>
      <c r="CE460" s="113"/>
      <c r="CF460" s="113"/>
      <c r="CG460" s="113"/>
      <c r="CH460" s="113"/>
      <c r="CI460" s="113"/>
      <c r="CJ460" s="113"/>
      <c r="CK460" s="113"/>
      <c r="CL460" s="113"/>
      <c r="CM460" s="113"/>
      <c r="CN460" s="113"/>
      <c r="CO460" s="113"/>
      <c r="CP460" s="113"/>
    </row>
    <row r="461" spans="1:94" s="113" customFormat="1">
      <c r="A461" s="63" t="s">
        <v>437</v>
      </c>
      <c r="B461" s="68" t="s">
        <v>832</v>
      </c>
      <c r="C461" s="64" t="s">
        <v>833</v>
      </c>
      <c r="D461" s="65" t="s">
        <v>87</v>
      </c>
      <c r="E461" s="66" t="s">
        <v>221</v>
      </c>
      <c r="F461" s="68" t="s">
        <v>222</v>
      </c>
      <c r="G461" s="68" t="s">
        <v>273</v>
      </c>
      <c r="H461" s="69">
        <v>605</v>
      </c>
      <c r="I461" s="74">
        <v>32.51</v>
      </c>
      <c r="J461" s="69">
        <v>19356</v>
      </c>
      <c r="K461" s="72"/>
      <c r="L461" s="69">
        <f t="shared" si="1074"/>
        <v>19356</v>
      </c>
      <c r="M461" s="86">
        <f t="shared" si="1075"/>
        <v>31.993388429752066</v>
      </c>
      <c r="N461" s="79">
        <v>8.34</v>
      </c>
      <c r="O461" s="79">
        <v>7</v>
      </c>
      <c r="P461" s="79">
        <v>9.8699999999999992</v>
      </c>
      <c r="Q461" s="79">
        <v>8.33</v>
      </c>
      <c r="R461" s="79">
        <v>9.15</v>
      </c>
      <c r="S461" s="84">
        <v>7.4</v>
      </c>
      <c r="T461" s="85">
        <f t="shared" ref="T461:T466" si="1083">AVERAGE(N461:S461)</f>
        <v>8.3483333333333327</v>
      </c>
      <c r="U461" s="63"/>
      <c r="V461" s="77" t="s">
        <v>103</v>
      </c>
      <c r="W461" s="77"/>
      <c r="X461" s="78">
        <v>0.41</v>
      </c>
      <c r="Y461" s="78"/>
      <c r="Z461" s="79">
        <v>0.55000000000000004</v>
      </c>
      <c r="AA461" s="80">
        <v>45784</v>
      </c>
      <c r="AB461" s="81">
        <f t="shared" si="1078"/>
        <v>55.8</v>
      </c>
      <c r="AC461" s="81">
        <f t="shared" si="1082"/>
        <v>22.877999999999997</v>
      </c>
      <c r="AD461" s="81">
        <f t="shared" si="1076"/>
        <v>221.41328399999995</v>
      </c>
      <c r="AE461" s="81">
        <f t="shared" si="1079"/>
        <v>6.8106208551215</v>
      </c>
      <c r="AF461" s="167">
        <f t="shared" si="1080"/>
        <v>-8.6538240406569517E-2</v>
      </c>
      <c r="AG461" s="264"/>
      <c r="AH461" s="264">
        <f t="shared" si="1077"/>
        <v>0</v>
      </c>
      <c r="AI461" s="77"/>
      <c r="AJ461" s="79">
        <f t="shared" si="968"/>
        <v>221.41328399999995</v>
      </c>
      <c r="AK461" s="82">
        <f t="shared" si="969"/>
        <v>6.8106208551215</v>
      </c>
      <c r="AL461" s="82"/>
      <c r="AM461" s="82">
        <f t="shared" si="1081"/>
        <v>41.596363636363627</v>
      </c>
      <c r="AN461" s="82" t="s">
        <v>701</v>
      </c>
      <c r="AO461" s="82"/>
      <c r="AP461" s="82"/>
      <c r="AQ461" s="63"/>
      <c r="AR461" s="77" t="s">
        <v>116</v>
      </c>
      <c r="AS461" s="63">
        <v>43</v>
      </c>
      <c r="AT461" s="63">
        <v>49</v>
      </c>
      <c r="AU461" s="63">
        <v>57</v>
      </c>
      <c r="AV461" s="63">
        <v>60</v>
      </c>
      <c r="AW461" s="63">
        <v>53</v>
      </c>
      <c r="AX461" s="63">
        <v>48</v>
      </c>
      <c r="AY461" s="63">
        <v>50</v>
      </c>
      <c r="AZ461" s="63">
        <v>61</v>
      </c>
      <c r="BA461" s="63">
        <v>59</v>
      </c>
      <c r="BB461" s="63">
        <v>57</v>
      </c>
      <c r="BC461" s="63">
        <v>63</v>
      </c>
      <c r="BD461" s="63">
        <v>60</v>
      </c>
      <c r="BE461" s="63">
        <v>49</v>
      </c>
      <c r="BF461" s="63">
        <v>56</v>
      </c>
      <c r="BG461" s="63">
        <v>63</v>
      </c>
      <c r="BH461" s="63">
        <v>65</v>
      </c>
      <c r="BI461" s="63">
        <v>57</v>
      </c>
      <c r="BJ461" s="63">
        <v>61</v>
      </c>
      <c r="BK461" s="63">
        <v>49</v>
      </c>
      <c r="BL461" s="63">
        <v>56</v>
      </c>
      <c r="BM461" s="63"/>
      <c r="BN461" s="63"/>
      <c r="BO461" s="63"/>
      <c r="BP461" s="63"/>
      <c r="BQ461" s="63"/>
      <c r="BR461" s="63"/>
      <c r="BS461" s="63"/>
      <c r="BT461" s="63"/>
      <c r="BU461" s="63"/>
      <c r="BV461" s="63"/>
      <c r="BW461" s="63"/>
      <c r="BX461" s="63"/>
      <c r="BY461" s="63"/>
      <c r="BZ461" s="63"/>
      <c r="CA461" s="63"/>
      <c r="CB461" s="63"/>
      <c r="CC461" s="63"/>
      <c r="CD461" s="63"/>
      <c r="CE461" s="63"/>
      <c r="CF461" s="63"/>
      <c r="CG461" s="63"/>
      <c r="CH461" s="63"/>
      <c r="CI461" s="63"/>
      <c r="CJ461" s="63"/>
      <c r="CK461" s="63"/>
      <c r="CL461" s="63"/>
      <c r="CM461" s="63"/>
      <c r="CN461" s="63"/>
      <c r="CO461" s="63"/>
      <c r="CP461" s="63"/>
    </row>
    <row r="462" spans="1:94" s="113" customFormat="1">
      <c r="A462" s="63" t="s">
        <v>437</v>
      </c>
      <c r="B462" s="68" t="s">
        <v>832</v>
      </c>
      <c r="C462" s="64" t="s">
        <v>833</v>
      </c>
      <c r="D462" s="65" t="s">
        <v>87</v>
      </c>
      <c r="E462" s="66" t="s">
        <v>221</v>
      </c>
      <c r="F462" s="68" t="s">
        <v>222</v>
      </c>
      <c r="G462" s="68" t="s">
        <v>273</v>
      </c>
      <c r="H462" s="69">
        <v>605</v>
      </c>
      <c r="I462" s="74">
        <v>32.51</v>
      </c>
      <c r="J462" s="69">
        <v>19356</v>
      </c>
      <c r="K462" s="72"/>
      <c r="L462" s="69">
        <f t="shared" ref="L462" si="1084">J462-(J462*K462)</f>
        <v>19356</v>
      </c>
      <c r="M462" s="86">
        <f t="shared" ref="M462" si="1085">L462/H462</f>
        <v>31.993388429752066</v>
      </c>
      <c r="N462" s="79">
        <v>8.34</v>
      </c>
      <c r="O462" s="79">
        <v>7</v>
      </c>
      <c r="P462" s="79">
        <v>9.8699999999999992</v>
      </c>
      <c r="Q462" s="79">
        <v>8.33</v>
      </c>
      <c r="R462" s="79">
        <v>9.15</v>
      </c>
      <c r="S462" s="84">
        <v>7.4</v>
      </c>
      <c r="T462" s="85">
        <f t="shared" si="1083"/>
        <v>8.3483333333333327</v>
      </c>
      <c r="U462" s="63"/>
      <c r="V462" s="77" t="s">
        <v>103</v>
      </c>
      <c r="W462" s="77"/>
      <c r="X462" s="78">
        <v>0.41</v>
      </c>
      <c r="Y462" s="78"/>
      <c r="Z462" s="79">
        <v>0.55000000000000004</v>
      </c>
      <c r="AA462" s="80">
        <v>45832</v>
      </c>
      <c r="AB462" s="81">
        <f t="shared" ref="AB462" si="1086">IFERROR(AVERAGE(AS462:CP462),0)</f>
        <v>69.5</v>
      </c>
      <c r="AC462" s="81">
        <f t="shared" ref="AC462" si="1087">AB462*X462</f>
        <v>28.494999999999997</v>
      </c>
      <c r="AD462" s="81">
        <f t="shared" ref="AD462" si="1088">(AC462*L462)/2000</f>
        <v>275.77461</v>
      </c>
      <c r="AE462" s="81">
        <f t="shared" ref="AE462" si="1089">IFERROR((AD462/I462),"")</f>
        <v>8.4827625346047366</v>
      </c>
      <c r="AF462" s="167">
        <f t="shared" ref="AF462" si="1090">IFERROR(((AE462-S462)/AE462),"")</f>
        <v>0.12764267892537307</v>
      </c>
      <c r="AG462" s="264"/>
      <c r="AH462" s="264">
        <f t="shared" si="1077"/>
        <v>0</v>
      </c>
      <c r="AI462" s="77"/>
      <c r="AJ462" s="79">
        <f t="shared" ref="AJ462" si="1091">AD462-(AI462*I462)</f>
        <v>275.77461</v>
      </c>
      <c r="AK462" s="82">
        <f t="shared" ref="AK462" si="1092">AJ462/I462</f>
        <v>8.4827625346047366</v>
      </c>
      <c r="AL462" s="82"/>
      <c r="AM462" s="82">
        <f t="shared" ref="AM462" si="1093">((AJ462*2000)/Z462)/J462</f>
        <v>51.809090909090905</v>
      </c>
      <c r="AN462" s="82" t="s">
        <v>701</v>
      </c>
      <c r="AO462" s="82"/>
      <c r="AP462" s="82"/>
      <c r="AQ462" s="63"/>
      <c r="AR462" s="77" t="s">
        <v>91</v>
      </c>
      <c r="AS462" s="63">
        <v>56</v>
      </c>
      <c r="AT462" s="63">
        <v>69</v>
      </c>
      <c r="AU462" s="63">
        <v>61</v>
      </c>
      <c r="AV462" s="63">
        <v>70</v>
      </c>
      <c r="AW462" s="63">
        <v>61</v>
      </c>
      <c r="AX462" s="63">
        <v>76</v>
      </c>
      <c r="AY462" s="63">
        <v>72</v>
      </c>
      <c r="AZ462" s="63">
        <v>88</v>
      </c>
      <c r="BA462" s="63">
        <v>68</v>
      </c>
      <c r="BB462" s="63">
        <v>89</v>
      </c>
      <c r="BC462" s="63">
        <v>59</v>
      </c>
      <c r="BD462" s="63">
        <v>65</v>
      </c>
      <c r="BE462" s="63"/>
      <c r="BF462" s="63"/>
      <c r="BG462" s="63"/>
      <c r="BH462" s="63"/>
      <c r="BI462" s="63"/>
      <c r="BJ462" s="63"/>
      <c r="BK462" s="63"/>
      <c r="BL462" s="63"/>
      <c r="BM462" s="63"/>
      <c r="BN462" s="63"/>
      <c r="BO462" s="63"/>
      <c r="BP462" s="63"/>
      <c r="BQ462" s="63"/>
      <c r="BR462" s="63"/>
      <c r="BS462" s="63"/>
      <c r="BT462" s="63"/>
      <c r="BU462" s="63"/>
      <c r="BV462" s="63"/>
      <c r="BW462" s="63"/>
      <c r="BX462" s="63"/>
      <c r="BY462" s="63"/>
      <c r="BZ462" s="63"/>
      <c r="CA462" s="63"/>
      <c r="CB462" s="63"/>
      <c r="CC462" s="63"/>
      <c r="CD462" s="63"/>
      <c r="CE462" s="63"/>
      <c r="CF462" s="63"/>
      <c r="CG462" s="63"/>
      <c r="CH462" s="63"/>
      <c r="CI462" s="63"/>
      <c r="CJ462" s="63"/>
      <c r="CK462" s="63"/>
      <c r="CL462" s="63"/>
      <c r="CM462" s="63"/>
      <c r="CN462" s="63"/>
      <c r="CO462" s="63"/>
      <c r="CP462" s="63"/>
    </row>
    <row r="463" spans="1:94" s="63" customFormat="1">
      <c r="A463" s="113" t="s">
        <v>437</v>
      </c>
      <c r="B463" s="126" t="s">
        <v>619</v>
      </c>
      <c r="C463" s="114" t="s">
        <v>620</v>
      </c>
      <c r="D463" s="128" t="s">
        <v>87</v>
      </c>
      <c r="E463" s="127" t="s">
        <v>88</v>
      </c>
      <c r="F463" s="161" t="s">
        <v>621</v>
      </c>
      <c r="G463" s="126" t="s">
        <v>622</v>
      </c>
      <c r="H463" s="123">
        <v>680.625</v>
      </c>
      <c r="I463" s="125">
        <v>40.39</v>
      </c>
      <c r="J463" s="123">
        <v>27160</v>
      </c>
      <c r="K463" s="124">
        <v>0.05</v>
      </c>
      <c r="L463" s="123">
        <f t="shared" si="1074"/>
        <v>25802</v>
      </c>
      <c r="M463" s="122">
        <f t="shared" si="1075"/>
        <v>37.90927456382002</v>
      </c>
      <c r="N463" s="118">
        <v>6.99</v>
      </c>
      <c r="O463" s="118">
        <v>6.34</v>
      </c>
      <c r="P463" s="118">
        <v>5.94</v>
      </c>
      <c r="Q463" s="118">
        <v>7.6</v>
      </c>
      <c r="R463" s="118">
        <v>9.27</v>
      </c>
      <c r="S463" s="153">
        <v>7.33</v>
      </c>
      <c r="T463" s="121">
        <f t="shared" si="1083"/>
        <v>7.2450000000000001</v>
      </c>
      <c r="U463" s="113"/>
      <c r="V463" s="115" t="s">
        <v>103</v>
      </c>
      <c r="W463" s="115"/>
      <c r="X463" s="120">
        <v>0.26</v>
      </c>
      <c r="Y463" s="120"/>
      <c r="Z463" s="118">
        <v>0.33</v>
      </c>
      <c r="AA463" s="119">
        <v>45784</v>
      </c>
      <c r="AB463" s="117">
        <f t="shared" si="1078"/>
        <v>99.25</v>
      </c>
      <c r="AC463" s="117">
        <f t="shared" si="1082"/>
        <v>25.805</v>
      </c>
      <c r="AD463" s="117">
        <f t="shared" si="1076"/>
        <v>332.91030499999999</v>
      </c>
      <c r="AE463" s="117">
        <f t="shared" si="1079"/>
        <v>8.2423942807625643</v>
      </c>
      <c r="AF463" s="170">
        <f t="shared" si="1080"/>
        <v>0.11069529674066404</v>
      </c>
      <c r="AG463" s="265">
        <v>6.67</v>
      </c>
      <c r="AH463" s="265">
        <f t="shared" si="1077"/>
        <v>0.19747740746137815</v>
      </c>
      <c r="AI463" s="115"/>
      <c r="AJ463" s="118">
        <f t="shared" si="968"/>
        <v>332.91030499999999</v>
      </c>
      <c r="AK463" s="116">
        <f t="shared" si="969"/>
        <v>8.2423942807625643</v>
      </c>
      <c r="AL463" s="116"/>
      <c r="AM463" s="116">
        <f t="shared" si="1081"/>
        <v>74.287121212121207</v>
      </c>
      <c r="AN463" s="116" t="s">
        <v>701</v>
      </c>
      <c r="AO463" s="116">
        <f>8*I463</f>
        <v>323.12</v>
      </c>
      <c r="AP463" s="116">
        <f>AD463-AO463</f>
        <v>9.7903049999999894</v>
      </c>
      <c r="AQ463" s="113"/>
      <c r="AR463" s="115" t="s">
        <v>116</v>
      </c>
      <c r="AS463" s="113">
        <v>89</v>
      </c>
      <c r="AT463" s="113">
        <v>84</v>
      </c>
      <c r="AU463" s="113">
        <v>114</v>
      </c>
      <c r="AV463" s="113">
        <v>81</v>
      </c>
      <c r="AW463" s="113">
        <v>98</v>
      </c>
      <c r="AX463" s="113">
        <v>91</v>
      </c>
      <c r="AY463" s="113">
        <v>103</v>
      </c>
      <c r="AZ463" s="113">
        <v>115</v>
      </c>
      <c r="BA463" s="113">
        <v>99</v>
      </c>
      <c r="BB463" s="113">
        <v>90</v>
      </c>
      <c r="BC463" s="113">
        <v>99</v>
      </c>
      <c r="BD463" s="113">
        <v>115</v>
      </c>
      <c r="BE463" s="113">
        <v>86</v>
      </c>
      <c r="BF463" s="113">
        <v>95</v>
      </c>
      <c r="BG463" s="113">
        <v>109</v>
      </c>
      <c r="BH463" s="113">
        <v>98</v>
      </c>
      <c r="BI463" s="113">
        <v>107</v>
      </c>
      <c r="BJ463" s="113">
        <v>112</v>
      </c>
      <c r="BK463" s="113">
        <v>101</v>
      </c>
      <c r="BL463" s="113">
        <v>99</v>
      </c>
      <c r="BM463" s="113"/>
      <c r="BN463" s="113"/>
      <c r="BO463" s="113"/>
      <c r="BP463" s="113"/>
      <c r="BQ463" s="113"/>
      <c r="BR463" s="113"/>
      <c r="BS463" s="113"/>
      <c r="BT463" s="113"/>
      <c r="BU463" s="113"/>
      <c r="BV463" s="113"/>
      <c r="BW463" s="113"/>
      <c r="BX463" s="113"/>
      <c r="BY463" s="113"/>
      <c r="BZ463" s="113"/>
      <c r="CA463" s="113"/>
      <c r="CB463" s="113"/>
      <c r="CC463" s="113"/>
      <c r="CD463" s="113"/>
      <c r="CE463" s="113"/>
      <c r="CF463" s="113"/>
      <c r="CG463" s="113"/>
      <c r="CH463" s="113"/>
      <c r="CI463" s="113"/>
      <c r="CJ463" s="113"/>
      <c r="CK463" s="113"/>
      <c r="CL463" s="113"/>
      <c r="CM463" s="113"/>
      <c r="CN463" s="113"/>
      <c r="CO463" s="113"/>
      <c r="CP463" s="113"/>
    </row>
    <row r="464" spans="1:94" s="63" customFormat="1">
      <c r="A464" s="113" t="s">
        <v>437</v>
      </c>
      <c r="B464" s="126" t="s">
        <v>619</v>
      </c>
      <c r="C464" s="114" t="s">
        <v>620</v>
      </c>
      <c r="D464" s="128" t="s">
        <v>87</v>
      </c>
      <c r="E464" s="127" t="s">
        <v>88</v>
      </c>
      <c r="F464" s="161" t="s">
        <v>621</v>
      </c>
      <c r="G464" s="126" t="s">
        <v>622</v>
      </c>
      <c r="H464" s="123">
        <v>680.625</v>
      </c>
      <c r="I464" s="125">
        <v>40.39</v>
      </c>
      <c r="J464" s="123">
        <v>27160</v>
      </c>
      <c r="K464" s="124">
        <v>0.05</v>
      </c>
      <c r="L464" s="123">
        <f t="shared" ref="L464" si="1094">J464-(J464*K464)</f>
        <v>25802</v>
      </c>
      <c r="M464" s="122">
        <f t="shared" ref="M464" si="1095">L464/H464</f>
        <v>37.90927456382002</v>
      </c>
      <c r="N464" s="118">
        <v>6.99</v>
      </c>
      <c r="O464" s="118">
        <v>6.34</v>
      </c>
      <c r="P464" s="118">
        <v>5.94</v>
      </c>
      <c r="Q464" s="118">
        <v>7.6</v>
      </c>
      <c r="R464" s="118">
        <v>9.27</v>
      </c>
      <c r="S464" s="153">
        <v>7.33</v>
      </c>
      <c r="T464" s="121">
        <f t="shared" si="1083"/>
        <v>7.2450000000000001</v>
      </c>
      <c r="U464" s="113"/>
      <c r="V464" s="115" t="s">
        <v>103</v>
      </c>
      <c r="W464" s="115"/>
      <c r="X464" s="120">
        <v>0.26</v>
      </c>
      <c r="Y464" s="120"/>
      <c r="Z464" s="118">
        <v>0.33</v>
      </c>
      <c r="AA464" s="119">
        <v>45834</v>
      </c>
      <c r="AB464" s="117">
        <f t="shared" ref="AB464" si="1096">IFERROR(AVERAGE(AS464:CP464),0)</f>
        <v>114.75</v>
      </c>
      <c r="AC464" s="117">
        <f t="shared" ref="AC464" si="1097">AB464*X464</f>
        <v>29.835000000000001</v>
      </c>
      <c r="AD464" s="117">
        <f t="shared" ref="AD464" si="1098">(AC464*L464)/2000</f>
        <v>384.90133500000002</v>
      </c>
      <c r="AE464" s="117">
        <f t="shared" ref="AE464" si="1099">IFERROR((AD464/I464),"")</f>
        <v>9.5296195840554603</v>
      </c>
      <c r="AF464" s="170">
        <f t="shared" ref="AF464" si="1100">IFERROR(((AE464-S464)/AE464),"")</f>
        <v>0.23081924358615183</v>
      </c>
      <c r="AG464" s="265">
        <v>6.67</v>
      </c>
      <c r="AH464" s="265">
        <f t="shared" si="1077"/>
        <v>0.17080289926398068</v>
      </c>
      <c r="AI464" s="115"/>
      <c r="AJ464" s="118">
        <f t="shared" ref="AJ464" si="1101">AD464-(AI464*I464)</f>
        <v>384.90133500000002</v>
      </c>
      <c r="AK464" s="116">
        <f t="shared" ref="AK464" si="1102">AJ464/I464</f>
        <v>9.5296195840554603</v>
      </c>
      <c r="AL464" s="116"/>
      <c r="AM464" s="116">
        <f t="shared" ref="AM464" si="1103">((AJ464*2000)/Z464)/J464</f>
        <v>85.888636363636365</v>
      </c>
      <c r="AN464" s="116" t="s">
        <v>701</v>
      </c>
      <c r="AO464" s="116">
        <f>8*I464</f>
        <v>323.12</v>
      </c>
      <c r="AP464" s="116">
        <f>AD464-AO464</f>
        <v>61.781335000000013</v>
      </c>
      <c r="AQ464" s="113"/>
      <c r="AR464" s="115" t="s">
        <v>91</v>
      </c>
      <c r="AS464" s="113">
        <v>107</v>
      </c>
      <c r="AT464" s="113">
        <v>125</v>
      </c>
      <c r="AU464" s="113">
        <v>127</v>
      </c>
      <c r="AV464" s="113">
        <v>106</v>
      </c>
      <c r="AW464" s="113">
        <v>77</v>
      </c>
      <c r="AX464" s="113">
        <v>115</v>
      </c>
      <c r="AY464" s="113">
        <v>131</v>
      </c>
      <c r="AZ464" s="113">
        <v>80</v>
      </c>
      <c r="BA464" s="113">
        <v>107</v>
      </c>
      <c r="BB464" s="113">
        <v>157</v>
      </c>
      <c r="BC464" s="113">
        <v>134</v>
      </c>
      <c r="BD464" s="113">
        <v>111</v>
      </c>
      <c r="BE464" s="113"/>
      <c r="BF464" s="113"/>
      <c r="BG464" s="113"/>
      <c r="BH464" s="113"/>
      <c r="BI464" s="113"/>
      <c r="BJ464" s="113"/>
      <c r="BK464" s="113"/>
      <c r="BL464" s="113"/>
      <c r="BM464" s="113"/>
      <c r="BN464" s="113"/>
      <c r="BO464" s="113"/>
      <c r="BP464" s="113"/>
      <c r="BQ464" s="113"/>
      <c r="BR464" s="113"/>
      <c r="BS464" s="113"/>
      <c r="BT464" s="113"/>
      <c r="BU464" s="113"/>
      <c r="BV464" s="113"/>
      <c r="BW464" s="113"/>
      <c r="BX464" s="113"/>
      <c r="BY464" s="113"/>
      <c r="BZ464" s="113"/>
      <c r="CA464" s="113"/>
      <c r="CB464" s="113"/>
      <c r="CC464" s="113"/>
      <c r="CD464" s="113"/>
      <c r="CE464" s="113"/>
      <c r="CF464" s="113"/>
      <c r="CG464" s="113"/>
      <c r="CH464" s="113"/>
      <c r="CI464" s="113"/>
      <c r="CJ464" s="113"/>
      <c r="CK464" s="113"/>
      <c r="CL464" s="113"/>
      <c r="CM464" s="113"/>
      <c r="CN464" s="113"/>
      <c r="CO464" s="113"/>
      <c r="CP464" s="113"/>
    </row>
    <row r="465" spans="1:94" s="113" customFormat="1">
      <c r="A465" s="63" t="s">
        <v>437</v>
      </c>
      <c r="B465" s="68" t="s">
        <v>623</v>
      </c>
      <c r="C465" s="64" t="s">
        <v>624</v>
      </c>
      <c r="D465" s="65" t="s">
        <v>87</v>
      </c>
      <c r="E465" s="66" t="s">
        <v>148</v>
      </c>
      <c r="F465" s="68" t="s">
        <v>625</v>
      </c>
      <c r="G465" s="68" t="s">
        <v>145</v>
      </c>
      <c r="H465" s="69">
        <v>622.28571428571433</v>
      </c>
      <c r="I465" s="74">
        <v>49.45</v>
      </c>
      <c r="J465" s="69">
        <v>30523</v>
      </c>
      <c r="K465" s="72">
        <v>0.15</v>
      </c>
      <c r="L465" s="69">
        <f t="shared" si="1074"/>
        <v>25944.55</v>
      </c>
      <c r="M465" s="86">
        <f t="shared" si="1075"/>
        <v>41.692343893480256</v>
      </c>
      <c r="N465" s="79">
        <v>6.84</v>
      </c>
      <c r="O465" s="79">
        <v>7.67</v>
      </c>
      <c r="P465" s="79">
        <v>8.56</v>
      </c>
      <c r="Q465" s="79">
        <v>7.27</v>
      </c>
      <c r="R465" s="79">
        <v>8.35</v>
      </c>
      <c r="S465" s="84">
        <v>5.19</v>
      </c>
      <c r="T465" s="85">
        <f t="shared" si="1083"/>
        <v>7.3133333333333326</v>
      </c>
      <c r="U465" s="63"/>
      <c r="V465" s="77" t="s">
        <v>103</v>
      </c>
      <c r="W465" s="77"/>
      <c r="X465" s="78">
        <v>0.26</v>
      </c>
      <c r="Y465" s="78"/>
      <c r="Z465" s="79">
        <v>0.35</v>
      </c>
      <c r="AA465" s="80">
        <v>45784</v>
      </c>
      <c r="AB465" s="81">
        <f t="shared" si="1078"/>
        <v>83.8</v>
      </c>
      <c r="AC465" s="81">
        <f t="shared" si="1082"/>
        <v>21.788</v>
      </c>
      <c r="AD465" s="81">
        <f t="shared" si="1076"/>
        <v>282.63992769999999</v>
      </c>
      <c r="AE465" s="81">
        <f t="shared" si="1079"/>
        <v>5.7156709342770471</v>
      </c>
      <c r="AF465" s="167">
        <f t="shared" si="1080"/>
        <v>9.1970118700253123E-2</v>
      </c>
      <c r="AG465" s="264"/>
      <c r="AH465" s="264">
        <f t="shared" si="1077"/>
        <v>0</v>
      </c>
      <c r="AI465" s="77"/>
      <c r="AJ465" s="79">
        <f t="shared" si="968"/>
        <v>282.63992769999999</v>
      </c>
      <c r="AK465" s="82">
        <f t="shared" si="969"/>
        <v>5.7156709342770471</v>
      </c>
      <c r="AL465" s="82"/>
      <c r="AM465" s="82">
        <f t="shared" si="1081"/>
        <v>52.913714285714285</v>
      </c>
      <c r="AN465" s="82" t="s">
        <v>701</v>
      </c>
      <c r="AO465" s="82"/>
      <c r="AP465" s="82"/>
      <c r="AQ465" s="63" t="s">
        <v>834</v>
      </c>
      <c r="AR465" s="77" t="s">
        <v>116</v>
      </c>
      <c r="AS465" s="63">
        <v>45</v>
      </c>
      <c r="AT465" s="63">
        <v>31</v>
      </c>
      <c r="AU465" s="63">
        <v>82</v>
      </c>
      <c r="AV465" s="63">
        <v>40</v>
      </c>
      <c r="AW465" s="63">
        <v>32</v>
      </c>
      <c r="AX465" s="63">
        <v>121</v>
      </c>
      <c r="AY465" s="63">
        <v>115</v>
      </c>
      <c r="AZ465" s="63">
        <v>59</v>
      </c>
      <c r="BA465" s="63">
        <v>142</v>
      </c>
      <c r="BB465" s="63">
        <v>125</v>
      </c>
      <c r="BC465" s="63">
        <v>59</v>
      </c>
      <c r="BD465" s="63">
        <v>73</v>
      </c>
      <c r="BE465" s="63">
        <v>99</v>
      </c>
      <c r="BF465" s="63">
        <v>139</v>
      </c>
      <c r="BG465" s="63">
        <v>127</v>
      </c>
      <c r="BH465" s="63">
        <v>73</v>
      </c>
      <c r="BI465" s="63">
        <v>96</v>
      </c>
      <c r="BJ465" s="63">
        <v>39</v>
      </c>
      <c r="BK465" s="63">
        <v>69</v>
      </c>
      <c r="BL465" s="63">
        <v>110</v>
      </c>
      <c r="BM465" s="63"/>
      <c r="BN465" s="63"/>
      <c r="BO465" s="63"/>
      <c r="BP465" s="63"/>
      <c r="BQ465" s="63"/>
      <c r="BR465" s="63"/>
      <c r="BS465" s="63"/>
      <c r="BT465" s="63"/>
      <c r="BU465" s="63"/>
      <c r="BV465" s="63"/>
      <c r="BW465" s="63"/>
      <c r="BX465" s="63"/>
      <c r="BY465" s="63"/>
      <c r="BZ465" s="63"/>
      <c r="CA465" s="63"/>
      <c r="CB465" s="63"/>
      <c r="CC465" s="63"/>
      <c r="CD465" s="63"/>
      <c r="CE465" s="63"/>
      <c r="CF465" s="63"/>
      <c r="CG465" s="63"/>
      <c r="CH465" s="63"/>
      <c r="CI465" s="63"/>
      <c r="CJ465" s="63"/>
      <c r="CK465" s="63"/>
      <c r="CL465" s="63"/>
      <c r="CM465" s="63"/>
      <c r="CN465" s="63"/>
      <c r="CO465" s="63"/>
      <c r="CP465" s="63"/>
    </row>
    <row r="466" spans="1:94" s="113" customFormat="1">
      <c r="A466" s="63" t="s">
        <v>437</v>
      </c>
      <c r="B466" s="68" t="s">
        <v>623</v>
      </c>
      <c r="C466" s="64" t="s">
        <v>624</v>
      </c>
      <c r="D466" s="65" t="s">
        <v>87</v>
      </c>
      <c r="E466" s="66" t="s">
        <v>148</v>
      </c>
      <c r="F466" s="68" t="s">
        <v>625</v>
      </c>
      <c r="G466" s="68" t="s">
        <v>145</v>
      </c>
      <c r="H466" s="69">
        <v>622.28571428571433</v>
      </c>
      <c r="I466" s="74">
        <v>49.45</v>
      </c>
      <c r="J466" s="69">
        <v>30523</v>
      </c>
      <c r="K466" s="72">
        <v>0.15</v>
      </c>
      <c r="L466" s="69">
        <f t="shared" si="1074"/>
        <v>25944.55</v>
      </c>
      <c r="M466" s="86">
        <f t="shared" si="1075"/>
        <v>41.692343893480256</v>
      </c>
      <c r="N466" s="79">
        <v>6.84</v>
      </c>
      <c r="O466" s="79">
        <v>7.67</v>
      </c>
      <c r="P466" s="79">
        <v>8.56</v>
      </c>
      <c r="Q466" s="79">
        <v>7.27</v>
      </c>
      <c r="R466" s="79">
        <v>8.35</v>
      </c>
      <c r="S466" s="84">
        <v>5.19</v>
      </c>
      <c r="T466" s="85">
        <f t="shared" si="1083"/>
        <v>7.3133333333333326</v>
      </c>
      <c r="U466" s="63"/>
      <c r="V466" s="77" t="s">
        <v>103</v>
      </c>
      <c r="W466" s="77"/>
      <c r="X466" s="78">
        <v>0.26</v>
      </c>
      <c r="Y466" s="78"/>
      <c r="Z466" s="79">
        <v>0.35</v>
      </c>
      <c r="AA466" s="80">
        <v>45812</v>
      </c>
      <c r="AB466" s="81">
        <f t="shared" si="1078"/>
        <v>97.833333333333329</v>
      </c>
      <c r="AC466" s="81">
        <f t="shared" si="1082"/>
        <v>25.436666666666667</v>
      </c>
      <c r="AD466" s="81">
        <f t="shared" si="1076"/>
        <v>329.97143508333335</v>
      </c>
      <c r="AE466" s="81">
        <f t="shared" si="1079"/>
        <v>6.6728298297944049</v>
      </c>
      <c r="AF466" s="167">
        <f t="shared" si="1080"/>
        <v>0.22221903864137527</v>
      </c>
      <c r="AG466" s="264"/>
      <c r="AH466" s="264">
        <f t="shared" si="1077"/>
        <v>0</v>
      </c>
      <c r="AI466" s="77"/>
      <c r="AJ466" s="79">
        <f t="shared" si="968"/>
        <v>329.97143508333335</v>
      </c>
      <c r="AK466" s="82">
        <f t="shared" si="969"/>
        <v>6.6728298297944049</v>
      </c>
      <c r="AL466" s="82"/>
      <c r="AM466" s="82">
        <f t="shared" si="1081"/>
        <v>61.77476190476191</v>
      </c>
      <c r="AN466" s="82" t="s">
        <v>701</v>
      </c>
      <c r="AO466" s="82"/>
      <c r="AP466" s="82"/>
      <c r="AQ466" s="63"/>
      <c r="AR466" s="77" t="s">
        <v>91</v>
      </c>
      <c r="AS466" s="63">
        <v>77</v>
      </c>
      <c r="AT466" s="63">
        <v>99</v>
      </c>
      <c r="AU466" s="63">
        <v>76</v>
      </c>
      <c r="AV466" s="63">
        <v>67</v>
      </c>
      <c r="AW466" s="63">
        <v>100</v>
      </c>
      <c r="AX466" s="63">
        <v>72</v>
      </c>
      <c r="AY466" s="63">
        <v>101</v>
      </c>
      <c r="AZ466" s="63">
        <v>96</v>
      </c>
      <c r="BA466" s="63">
        <v>169</v>
      </c>
      <c r="BB466" s="63">
        <v>80</v>
      </c>
      <c r="BC466" s="63">
        <v>121</v>
      </c>
      <c r="BD466" s="63">
        <v>116</v>
      </c>
      <c r="BE466" s="63"/>
      <c r="BF466" s="63"/>
      <c r="BG466" s="63"/>
      <c r="BH466" s="63"/>
      <c r="BI466" s="63"/>
      <c r="BJ466" s="63"/>
      <c r="BK466" s="63"/>
      <c r="BL466" s="63"/>
      <c r="BM466" s="63"/>
      <c r="BN466" s="63"/>
      <c r="BO466" s="63"/>
      <c r="BP466" s="63"/>
      <c r="BQ466" s="63"/>
      <c r="BR466" s="63"/>
      <c r="BS466" s="63"/>
      <c r="BT466" s="63"/>
      <c r="BU466" s="63"/>
      <c r="BV466" s="63"/>
      <c r="BW466" s="63"/>
      <c r="BX466" s="63"/>
      <c r="BY466" s="63"/>
      <c r="BZ466" s="63"/>
      <c r="CA466" s="63"/>
      <c r="CB466" s="63"/>
      <c r="CC466" s="63"/>
      <c r="CD466" s="63"/>
      <c r="CE466" s="63"/>
      <c r="CF466" s="63"/>
      <c r="CG466" s="63"/>
      <c r="CH466" s="63"/>
      <c r="CI466" s="63"/>
      <c r="CJ466" s="63"/>
      <c r="CK466" s="63"/>
      <c r="CL466" s="63"/>
      <c r="CM466" s="63"/>
      <c r="CN466" s="63"/>
      <c r="CO466" s="63"/>
      <c r="CP466" s="63"/>
    </row>
    <row r="467" spans="1:94" s="63" customFormat="1">
      <c r="A467" s="113" t="s">
        <v>437</v>
      </c>
      <c r="B467" s="113" t="s">
        <v>626</v>
      </c>
      <c r="C467" s="114" t="s">
        <v>627</v>
      </c>
      <c r="D467" s="128" t="s">
        <v>87</v>
      </c>
      <c r="E467" s="127" t="s">
        <v>88</v>
      </c>
      <c r="F467" s="126">
        <v>8</v>
      </c>
      <c r="G467" s="126" t="s">
        <v>96</v>
      </c>
      <c r="H467" s="123">
        <v>726</v>
      </c>
      <c r="I467" s="125">
        <v>31.12</v>
      </c>
      <c r="J467" s="123">
        <v>22202</v>
      </c>
      <c r="K467" s="124"/>
      <c r="L467" s="123">
        <f t="shared" si="1074"/>
        <v>22202</v>
      </c>
      <c r="M467" s="122">
        <f t="shared" si="1075"/>
        <v>30.581267217630852</v>
      </c>
      <c r="N467" s="118"/>
      <c r="O467" s="118"/>
      <c r="P467" s="118"/>
      <c r="Q467" s="118"/>
      <c r="R467" s="118">
        <v>4.28</v>
      </c>
      <c r="S467" s="153">
        <v>5.28</v>
      </c>
      <c r="T467" s="121">
        <f>AVERAGE(N467:R467)</f>
        <v>4.28</v>
      </c>
      <c r="U467" s="113"/>
      <c r="V467" s="115" t="s">
        <v>103</v>
      </c>
      <c r="W467" s="115"/>
      <c r="X467" s="120">
        <v>0.32</v>
      </c>
      <c r="Y467" s="120"/>
      <c r="Z467" s="118">
        <v>0.33</v>
      </c>
      <c r="AA467" s="119">
        <v>45798</v>
      </c>
      <c r="AB467" s="117">
        <f t="shared" si="1078"/>
        <v>88.05</v>
      </c>
      <c r="AC467" s="117">
        <f t="shared" si="1082"/>
        <v>28.175999999999998</v>
      </c>
      <c r="AD467" s="117">
        <f t="shared" si="1076"/>
        <v>312.78177599999998</v>
      </c>
      <c r="AE467" s="117">
        <f t="shared" si="1079"/>
        <v>10.050828277634961</v>
      </c>
      <c r="AF467" s="170">
        <f t="shared" si="1080"/>
        <v>0.47467016109020366</v>
      </c>
      <c r="AG467" s="265"/>
      <c r="AH467" s="265">
        <f t="shared" si="1077"/>
        <v>0</v>
      </c>
      <c r="AI467" s="115"/>
      <c r="AJ467" s="118">
        <f t="shared" si="968"/>
        <v>312.78177599999998</v>
      </c>
      <c r="AK467" s="116">
        <f t="shared" si="969"/>
        <v>10.050828277634961</v>
      </c>
      <c r="AL467" s="116"/>
      <c r="AM467" s="116">
        <f t="shared" si="1081"/>
        <v>85.381818181818161</v>
      </c>
      <c r="AN467" s="116"/>
      <c r="AO467" s="116"/>
      <c r="AP467" s="116"/>
      <c r="AQ467" s="113"/>
      <c r="AR467" s="115" t="s">
        <v>116</v>
      </c>
      <c r="AS467" s="113">
        <v>90</v>
      </c>
      <c r="AT467" s="113">
        <v>70</v>
      </c>
      <c r="AU467" s="113">
        <v>93</v>
      </c>
      <c r="AV467" s="113">
        <v>91</v>
      </c>
      <c r="AW467" s="113">
        <v>101</v>
      </c>
      <c r="AX467" s="113">
        <v>99</v>
      </c>
      <c r="AY467" s="113">
        <v>87</v>
      </c>
      <c r="AZ467" s="113">
        <v>84</v>
      </c>
      <c r="BA467" s="113">
        <v>103</v>
      </c>
      <c r="BB467" s="113">
        <v>99</v>
      </c>
      <c r="BC467" s="113">
        <v>91</v>
      </c>
      <c r="BD467" s="113">
        <v>86</v>
      </c>
      <c r="BE467" s="113">
        <v>80</v>
      </c>
      <c r="BF467" s="113">
        <v>95</v>
      </c>
      <c r="BG467" s="113">
        <v>70</v>
      </c>
      <c r="BH467" s="113">
        <v>75</v>
      </c>
      <c r="BI467" s="113">
        <v>81</v>
      </c>
      <c r="BJ467" s="113">
        <v>93</v>
      </c>
      <c r="BK467" s="113">
        <v>97</v>
      </c>
      <c r="BL467" s="113">
        <v>76</v>
      </c>
      <c r="BM467" s="113"/>
      <c r="BN467" s="113"/>
      <c r="BO467" s="113"/>
      <c r="BP467" s="113"/>
      <c r="BQ467" s="113"/>
      <c r="BR467" s="113"/>
      <c r="BS467" s="113"/>
      <c r="BT467" s="113"/>
      <c r="BU467" s="113"/>
      <c r="BV467" s="113"/>
      <c r="BW467" s="113"/>
      <c r="BX467" s="113"/>
      <c r="BY467" s="113"/>
      <c r="BZ467" s="113"/>
      <c r="CA467" s="113"/>
      <c r="CB467" s="113"/>
      <c r="CC467" s="113"/>
      <c r="CD467" s="113"/>
      <c r="CE467" s="113"/>
      <c r="CF467" s="113"/>
      <c r="CG467" s="113"/>
      <c r="CH467" s="113"/>
      <c r="CI467" s="113"/>
      <c r="CJ467" s="113"/>
      <c r="CK467" s="113"/>
      <c r="CL467" s="113"/>
      <c r="CM467" s="113"/>
      <c r="CN467" s="113"/>
      <c r="CO467" s="113"/>
      <c r="CP467" s="113"/>
    </row>
    <row r="468" spans="1:94" s="113" customFormat="1">
      <c r="A468" s="63" t="s">
        <v>437</v>
      </c>
      <c r="B468" s="63" t="s">
        <v>628</v>
      </c>
      <c r="C468" s="64" t="s">
        <v>629</v>
      </c>
      <c r="D468" s="65" t="s">
        <v>87</v>
      </c>
      <c r="E468" s="66" t="s">
        <v>88</v>
      </c>
      <c r="F468" s="68" t="s">
        <v>630</v>
      </c>
      <c r="G468" s="68" t="s">
        <v>96</v>
      </c>
      <c r="H468" s="69">
        <v>726</v>
      </c>
      <c r="I468" s="74">
        <v>36.409999999999997</v>
      </c>
      <c r="J468" s="69">
        <v>25885</v>
      </c>
      <c r="K468" s="72"/>
      <c r="L468" s="69">
        <f t="shared" si="1074"/>
        <v>25885</v>
      </c>
      <c r="M468" s="86">
        <f t="shared" si="1075"/>
        <v>35.654269972451793</v>
      </c>
      <c r="N468" s="79"/>
      <c r="O468" s="79"/>
      <c r="P468" s="79"/>
      <c r="Q468" s="79"/>
      <c r="R468" s="79">
        <v>3.98</v>
      </c>
      <c r="S468" s="84">
        <v>5.56</v>
      </c>
      <c r="T468" s="85">
        <f>AVERAGE(N468:R468)</f>
        <v>3.98</v>
      </c>
      <c r="U468" s="63"/>
      <c r="V468" s="77" t="s">
        <v>835</v>
      </c>
      <c r="W468" s="77"/>
      <c r="X468" s="78">
        <v>0.32</v>
      </c>
      <c r="Y468" s="78"/>
      <c r="Z468" s="79">
        <v>0.33</v>
      </c>
      <c r="AA468" s="80">
        <v>45798</v>
      </c>
      <c r="AB468" s="81">
        <f t="shared" si="1078"/>
        <v>72.7</v>
      </c>
      <c r="AC468" s="81">
        <f t="shared" si="1082"/>
        <v>23.264000000000003</v>
      </c>
      <c r="AD468" s="81">
        <f t="shared" si="1076"/>
        <v>301.09432000000004</v>
      </c>
      <c r="AE468" s="81">
        <f t="shared" si="1079"/>
        <v>8.2695501235924223</v>
      </c>
      <c r="AF468" s="167">
        <f t="shared" si="1080"/>
        <v>0.32765387271337459</v>
      </c>
      <c r="AG468" s="264"/>
      <c r="AH468" s="264">
        <f t="shared" si="1077"/>
        <v>0</v>
      </c>
      <c r="AI468" s="77"/>
      <c r="AJ468" s="79">
        <f t="shared" si="968"/>
        <v>301.09432000000004</v>
      </c>
      <c r="AK468" s="82">
        <f t="shared" si="969"/>
        <v>8.2695501235924223</v>
      </c>
      <c r="AL468" s="82"/>
      <c r="AM468" s="82">
        <f t="shared" si="1081"/>
        <v>70.496969696969714</v>
      </c>
      <c r="AN468" s="82"/>
      <c r="AO468" s="82"/>
      <c r="AP468" s="82"/>
      <c r="AQ468" s="63"/>
      <c r="AR468" s="77" t="s">
        <v>116</v>
      </c>
      <c r="AS468" s="63">
        <v>84</v>
      </c>
      <c r="AT468" s="63">
        <v>89</v>
      </c>
      <c r="AU468" s="63">
        <v>78</v>
      </c>
      <c r="AV468" s="63">
        <v>58</v>
      </c>
      <c r="AW468" s="63">
        <v>70</v>
      </c>
      <c r="AX468" s="63">
        <v>88</v>
      </c>
      <c r="AY468" s="63">
        <v>69</v>
      </c>
      <c r="AZ468" s="63">
        <v>90</v>
      </c>
      <c r="BA468" s="63">
        <v>73</v>
      </c>
      <c r="BB468" s="63">
        <v>73</v>
      </c>
      <c r="BC468" s="63">
        <v>70</v>
      </c>
      <c r="BD468" s="63">
        <v>69</v>
      </c>
      <c r="BE468" s="63">
        <v>73</v>
      </c>
      <c r="BF468" s="63">
        <v>69</v>
      </c>
      <c r="BG468" s="63">
        <v>57</v>
      </c>
      <c r="BH468" s="63">
        <v>73</v>
      </c>
      <c r="BI468" s="63">
        <v>65</v>
      </c>
      <c r="BJ468" s="63">
        <v>50</v>
      </c>
      <c r="BK468" s="63">
        <v>99</v>
      </c>
      <c r="BL468" s="63">
        <v>57</v>
      </c>
      <c r="BM468" s="63"/>
      <c r="BN468" s="63"/>
      <c r="BO468" s="63"/>
      <c r="BP468" s="63"/>
      <c r="BQ468" s="63"/>
      <c r="BR468" s="63"/>
      <c r="BS468" s="63"/>
      <c r="BT468" s="63"/>
      <c r="BU468" s="63"/>
      <c r="BV468" s="63"/>
      <c r="BW468" s="63"/>
      <c r="BX468" s="63"/>
      <c r="BY468" s="63"/>
      <c r="BZ468" s="63"/>
      <c r="CA468" s="63"/>
      <c r="CB468" s="63"/>
      <c r="CC468" s="63"/>
      <c r="CD468" s="63"/>
      <c r="CE468" s="63"/>
      <c r="CF468" s="63"/>
      <c r="CG468" s="63"/>
      <c r="CH468" s="63"/>
      <c r="CI468" s="63"/>
      <c r="CJ468" s="63"/>
      <c r="CK468" s="63"/>
      <c r="CL468" s="63"/>
      <c r="CM468" s="63"/>
      <c r="CN468" s="63"/>
      <c r="CO468" s="63"/>
      <c r="CP468" s="63"/>
    </row>
    <row r="469" spans="1:94" s="63" customFormat="1">
      <c r="A469" s="113" t="s">
        <v>437</v>
      </c>
      <c r="B469" s="113" t="s">
        <v>631</v>
      </c>
      <c r="C469" s="114" t="s">
        <v>632</v>
      </c>
      <c r="D469" s="128" t="s">
        <v>87</v>
      </c>
      <c r="E469" s="127" t="s">
        <v>148</v>
      </c>
      <c r="F469" s="126" t="s">
        <v>625</v>
      </c>
      <c r="G469" s="126" t="s">
        <v>140</v>
      </c>
      <c r="H469" s="123">
        <v>605</v>
      </c>
      <c r="I469" s="125">
        <v>21.38</v>
      </c>
      <c r="J469" s="123">
        <v>12811</v>
      </c>
      <c r="K469" s="124"/>
      <c r="L469" s="123">
        <f t="shared" si="1074"/>
        <v>12811</v>
      </c>
      <c r="M469" s="122">
        <f t="shared" si="1075"/>
        <v>21.175206611570246</v>
      </c>
      <c r="N469" s="118">
        <v>11.09</v>
      </c>
      <c r="O469" s="118">
        <v>11.56</v>
      </c>
      <c r="P469" s="118">
        <v>9.4600000000000009</v>
      </c>
      <c r="Q469" s="118">
        <v>8.5</v>
      </c>
      <c r="R469" s="118">
        <v>13.88</v>
      </c>
      <c r="S469" s="153">
        <v>8.3800000000000008</v>
      </c>
      <c r="T469" s="121">
        <f>AVERAGE(N469:S469)</f>
        <v>10.478333333333333</v>
      </c>
      <c r="U469" s="113"/>
      <c r="V469" s="115" t="s">
        <v>103</v>
      </c>
      <c r="W469" s="115"/>
      <c r="X469" s="120">
        <v>0.39</v>
      </c>
      <c r="Y469" s="120"/>
      <c r="Z469" s="118">
        <v>0.3</v>
      </c>
      <c r="AA469" s="119">
        <v>45772</v>
      </c>
      <c r="AB469" s="117">
        <f t="shared" si="1078"/>
        <v>69.05</v>
      </c>
      <c r="AC469" s="117">
        <f t="shared" si="1082"/>
        <v>26.929500000000001</v>
      </c>
      <c r="AD469" s="117">
        <f t="shared" si="1076"/>
        <v>172.49691224999998</v>
      </c>
      <c r="AE469" s="117">
        <f t="shared" si="1079"/>
        <v>8.0681436973807283</v>
      </c>
      <c r="AF469" s="170">
        <f t="shared" si="1080"/>
        <v>-3.8652794783577617E-2</v>
      </c>
      <c r="AG469" s="265">
        <v>7.24</v>
      </c>
      <c r="AH469" s="265">
        <f t="shared" si="1077"/>
        <v>0.34661671683592554</v>
      </c>
      <c r="AI469" s="115"/>
      <c r="AJ469" s="118">
        <f t="shared" si="968"/>
        <v>172.49691224999998</v>
      </c>
      <c r="AK469" s="116">
        <f t="shared" si="969"/>
        <v>8.0681436973807283</v>
      </c>
      <c r="AL469" s="116"/>
      <c r="AM469" s="116">
        <f t="shared" si="1081"/>
        <v>89.765000000000001</v>
      </c>
      <c r="AN469" s="116"/>
      <c r="AO469" s="116"/>
      <c r="AP469" s="116"/>
      <c r="AQ469" s="113"/>
      <c r="AR469" s="115" t="s">
        <v>116</v>
      </c>
      <c r="AS469" s="113">
        <v>66</v>
      </c>
      <c r="AT469" s="113">
        <v>61</v>
      </c>
      <c r="AU469" s="113">
        <v>84</v>
      </c>
      <c r="AV469" s="113">
        <v>86</v>
      </c>
      <c r="AW469" s="113">
        <v>73</v>
      </c>
      <c r="AX469" s="113">
        <v>66</v>
      </c>
      <c r="AY469" s="113">
        <v>61</v>
      </c>
      <c r="AZ469" s="113">
        <v>75</v>
      </c>
      <c r="BA469" s="113">
        <v>69</v>
      </c>
      <c r="BB469" s="113">
        <v>56</v>
      </c>
      <c r="BC469" s="113">
        <v>50</v>
      </c>
      <c r="BD469" s="113">
        <v>77</v>
      </c>
      <c r="BE469" s="113">
        <v>80</v>
      </c>
      <c r="BF469" s="113">
        <v>77</v>
      </c>
      <c r="BG469" s="113">
        <v>69</v>
      </c>
      <c r="BH469" s="113">
        <v>52</v>
      </c>
      <c r="BI469" s="113">
        <v>80</v>
      </c>
      <c r="BJ469" s="113">
        <v>65</v>
      </c>
      <c r="BK469" s="113">
        <v>59</v>
      </c>
      <c r="BL469" s="113">
        <v>75</v>
      </c>
      <c r="BM469" s="113"/>
      <c r="BN469" s="113"/>
      <c r="BO469" s="113"/>
      <c r="BP469" s="113"/>
      <c r="BQ469" s="113"/>
      <c r="BR469" s="113"/>
      <c r="BS469" s="113"/>
      <c r="BT469" s="113"/>
      <c r="BU469" s="113"/>
      <c r="BV469" s="113"/>
      <c r="BW469" s="113"/>
      <c r="BX469" s="113"/>
      <c r="BY469" s="113"/>
      <c r="BZ469" s="113"/>
      <c r="CA469" s="113"/>
      <c r="CB469" s="113"/>
      <c r="CC469" s="113"/>
      <c r="CD469" s="113"/>
      <c r="CE469" s="113"/>
      <c r="CF469" s="113"/>
      <c r="CG469" s="113"/>
      <c r="CH469" s="113"/>
      <c r="CI469" s="113"/>
      <c r="CJ469" s="113"/>
      <c r="CK469" s="113"/>
      <c r="CL469" s="113"/>
      <c r="CM469" s="113"/>
      <c r="CN469" s="113"/>
      <c r="CO469" s="113"/>
      <c r="CP469" s="113"/>
    </row>
    <row r="470" spans="1:94" s="113" customFormat="1">
      <c r="A470" s="63" t="s">
        <v>437</v>
      </c>
      <c r="B470" s="63" t="s">
        <v>633</v>
      </c>
      <c r="C470" s="64" t="s">
        <v>634</v>
      </c>
      <c r="D470" s="65" t="s">
        <v>87</v>
      </c>
      <c r="E470" s="66" t="s">
        <v>156</v>
      </c>
      <c r="F470" s="68">
        <v>146</v>
      </c>
      <c r="G470" s="68" t="s">
        <v>140</v>
      </c>
      <c r="H470" s="69">
        <v>680.625</v>
      </c>
      <c r="I470" s="74">
        <v>20.98</v>
      </c>
      <c r="J470" s="69">
        <v>14141</v>
      </c>
      <c r="K470" s="72"/>
      <c r="L470" s="69">
        <f t="shared" si="1074"/>
        <v>14141</v>
      </c>
      <c r="M470" s="86">
        <f t="shared" si="1075"/>
        <v>20.776492194674013</v>
      </c>
      <c r="N470" s="79">
        <v>10.16</v>
      </c>
      <c r="O470" s="79">
        <v>9.1300000000000008</v>
      </c>
      <c r="P470" s="79">
        <v>6.35</v>
      </c>
      <c r="Q470" s="79">
        <v>8.19</v>
      </c>
      <c r="R470" s="79">
        <v>11.17</v>
      </c>
      <c r="S470" s="84">
        <v>9.7799999999999994</v>
      </c>
      <c r="T470" s="85">
        <f>AVERAGE(N470:S470)</f>
        <v>9.1300000000000008</v>
      </c>
      <c r="U470" s="63"/>
      <c r="V470" s="77" t="s">
        <v>103</v>
      </c>
      <c r="W470" s="77"/>
      <c r="X470" s="78">
        <v>0.32</v>
      </c>
      <c r="Y470" s="78">
        <v>0.31</v>
      </c>
      <c r="Z470" s="79">
        <v>0.32</v>
      </c>
      <c r="AA470" s="80">
        <v>45772</v>
      </c>
      <c r="AB470" s="81">
        <f t="shared" si="1078"/>
        <v>64.650000000000006</v>
      </c>
      <c r="AC470" s="81">
        <f>AB470*Y470</f>
        <v>20.041500000000003</v>
      </c>
      <c r="AD470" s="81">
        <f t="shared" si="1076"/>
        <v>141.70342575000004</v>
      </c>
      <c r="AE470" s="81">
        <f t="shared" si="1079"/>
        <v>6.754214764061012</v>
      </c>
      <c r="AF470" s="167">
        <f t="shared" si="1080"/>
        <v>-0.44798475346669553</v>
      </c>
      <c r="AG470" s="264">
        <v>6.43</v>
      </c>
      <c r="AH470" s="264">
        <f t="shared" si="1077"/>
        <v>0.29225674448201339</v>
      </c>
      <c r="AI470" s="77"/>
      <c r="AJ470" s="79">
        <f t="shared" si="968"/>
        <v>141.70342575000004</v>
      </c>
      <c r="AK470" s="82">
        <f t="shared" si="969"/>
        <v>6.754214764061012</v>
      </c>
      <c r="AL470" s="82"/>
      <c r="AM470" s="82">
        <f t="shared" si="1081"/>
        <v>62.62968750000001</v>
      </c>
      <c r="AN470" s="82"/>
      <c r="AO470" s="82"/>
      <c r="AP470" s="82"/>
      <c r="AQ470" s="63"/>
      <c r="AR470" s="77" t="s">
        <v>116</v>
      </c>
      <c r="AS470" s="63">
        <v>54</v>
      </c>
      <c r="AT470" s="63">
        <v>55</v>
      </c>
      <c r="AU470" s="63">
        <v>60</v>
      </c>
      <c r="AV470" s="63">
        <v>49</v>
      </c>
      <c r="AW470" s="63">
        <v>57</v>
      </c>
      <c r="AX470" s="63">
        <v>59</v>
      </c>
      <c r="AY470" s="63">
        <v>69</v>
      </c>
      <c r="AZ470" s="63">
        <v>67</v>
      </c>
      <c r="BA470" s="63">
        <v>59</v>
      </c>
      <c r="BB470" s="63">
        <v>72</v>
      </c>
      <c r="BC470" s="63">
        <v>69</v>
      </c>
      <c r="BD470" s="63">
        <v>49</v>
      </c>
      <c r="BE470" s="63">
        <v>60</v>
      </c>
      <c r="BF470" s="63">
        <v>69</v>
      </c>
      <c r="BG470" s="63">
        <v>73</v>
      </c>
      <c r="BH470" s="63">
        <v>80</v>
      </c>
      <c r="BI470" s="63">
        <v>65</v>
      </c>
      <c r="BJ470" s="63">
        <v>71</v>
      </c>
      <c r="BK470" s="63">
        <v>76</v>
      </c>
      <c r="BL470" s="63">
        <v>80</v>
      </c>
      <c r="BM470" s="63"/>
      <c r="BN470" s="63"/>
      <c r="BO470" s="63"/>
      <c r="BP470" s="63"/>
      <c r="BQ470" s="63"/>
      <c r="BR470" s="63"/>
      <c r="BS470" s="63"/>
      <c r="BT470" s="63"/>
      <c r="BU470" s="63"/>
      <c r="BV470" s="63"/>
      <c r="BW470" s="63"/>
      <c r="BX470" s="63"/>
      <c r="BY470" s="63"/>
      <c r="BZ470" s="63"/>
      <c r="CA470" s="63"/>
      <c r="CB470" s="63"/>
      <c r="CC470" s="63"/>
      <c r="CD470" s="63"/>
      <c r="CE470" s="63"/>
      <c r="CF470" s="63"/>
      <c r="CG470" s="63"/>
      <c r="CH470" s="63"/>
      <c r="CI470" s="63"/>
      <c r="CJ470" s="63"/>
      <c r="CK470" s="63"/>
      <c r="CL470" s="63"/>
      <c r="CM470" s="63"/>
      <c r="CN470" s="63"/>
      <c r="CO470" s="63"/>
      <c r="CP470" s="63"/>
    </row>
    <row r="471" spans="1:94" s="63" customFormat="1">
      <c r="A471" s="113" t="s">
        <v>437</v>
      </c>
      <c r="B471" s="113" t="s">
        <v>635</v>
      </c>
      <c r="C471" s="114" t="s">
        <v>636</v>
      </c>
      <c r="D471" s="128" t="s">
        <v>87</v>
      </c>
      <c r="E471" s="127" t="s">
        <v>88</v>
      </c>
      <c r="F471" s="126">
        <v>7</v>
      </c>
      <c r="G471" s="126" t="s">
        <v>145</v>
      </c>
      <c r="H471" s="123">
        <v>622.28571428571433</v>
      </c>
      <c r="I471" s="125">
        <v>64.31</v>
      </c>
      <c r="J471" s="123">
        <v>38947</v>
      </c>
      <c r="K471" s="124">
        <v>0.08</v>
      </c>
      <c r="L471" s="123">
        <f t="shared" si="1074"/>
        <v>35831.24</v>
      </c>
      <c r="M471" s="122">
        <f t="shared" si="1075"/>
        <v>57.58004591368227</v>
      </c>
      <c r="N471" s="118">
        <v>8.69</v>
      </c>
      <c r="O471" s="118">
        <v>7.52</v>
      </c>
      <c r="P471" s="118">
        <v>8.5299999999999994</v>
      </c>
      <c r="Q471" s="118">
        <v>7.33</v>
      </c>
      <c r="R471" s="118">
        <v>12.19</v>
      </c>
      <c r="S471" s="153">
        <v>7.86</v>
      </c>
      <c r="T471" s="121">
        <f>AVERAGE(N471:S471)</f>
        <v>8.6866666666666656</v>
      </c>
      <c r="U471" s="113"/>
      <c r="V471" s="115"/>
      <c r="W471" s="115"/>
      <c r="X471" s="120"/>
      <c r="Y471" s="120"/>
      <c r="Z471" s="118">
        <v>0.33</v>
      </c>
      <c r="AA471" s="119"/>
      <c r="AB471" s="117">
        <f t="shared" si="1078"/>
        <v>0</v>
      </c>
      <c r="AC471" s="117"/>
      <c r="AD471" s="117">
        <f t="shared" si="1076"/>
        <v>0</v>
      </c>
      <c r="AE471" s="117"/>
      <c r="AF471" s="170"/>
      <c r="AG471" s="265"/>
      <c r="AH471" s="265" t="e">
        <f t="shared" si="1077"/>
        <v>#DIV/0!</v>
      </c>
      <c r="AI471" s="115"/>
      <c r="AJ471" s="118">
        <f t="shared" si="968"/>
        <v>0</v>
      </c>
      <c r="AK471" s="116">
        <f t="shared" si="969"/>
        <v>0</v>
      </c>
      <c r="AL471" s="116"/>
      <c r="AM471" s="116">
        <f t="shared" si="1081"/>
        <v>0</v>
      </c>
      <c r="AN471" s="116"/>
      <c r="AO471" s="116"/>
      <c r="AP471" s="116"/>
      <c r="AQ471" s="113"/>
      <c r="AR471" s="115"/>
      <c r="AS471" s="113"/>
      <c r="AT471" s="113"/>
      <c r="AU471" s="113"/>
      <c r="AV471" s="113"/>
      <c r="AW471" s="113"/>
      <c r="AX471" s="113"/>
      <c r="AY471" s="113"/>
      <c r="AZ471" s="113"/>
      <c r="BA471" s="113"/>
      <c r="BB471" s="113"/>
      <c r="BC471" s="113"/>
      <c r="BD471" s="113"/>
      <c r="BE471" s="113"/>
      <c r="BF471" s="113"/>
      <c r="BG471" s="113"/>
      <c r="BH471" s="113"/>
      <c r="BI471" s="113"/>
      <c r="BJ471" s="113"/>
      <c r="BK471" s="113"/>
      <c r="BL471" s="113"/>
      <c r="BM471" s="113"/>
      <c r="BN471" s="113"/>
      <c r="BO471" s="113"/>
      <c r="BP471" s="113"/>
      <c r="BQ471" s="113"/>
      <c r="BR471" s="113"/>
      <c r="BS471" s="113"/>
      <c r="BT471" s="113"/>
      <c r="BU471" s="113"/>
      <c r="BV471" s="113"/>
      <c r="BW471" s="113"/>
      <c r="BX471" s="113"/>
      <c r="BY471" s="113"/>
      <c r="BZ471" s="113"/>
      <c r="CA471" s="113"/>
      <c r="CB471" s="113"/>
      <c r="CC471" s="113"/>
      <c r="CD471" s="113"/>
      <c r="CE471" s="113"/>
      <c r="CF471" s="113"/>
      <c r="CG471" s="113"/>
      <c r="CH471" s="113"/>
      <c r="CI471" s="113"/>
      <c r="CJ471" s="113"/>
      <c r="CK471" s="113"/>
      <c r="CL471" s="113"/>
      <c r="CM471" s="113"/>
      <c r="CN471" s="113"/>
      <c r="CO471" s="113"/>
      <c r="CP471" s="113"/>
    </row>
    <row r="472" spans="1:94" s="113" customFormat="1">
      <c r="A472" s="63" t="s">
        <v>437</v>
      </c>
      <c r="B472" s="63" t="s">
        <v>637</v>
      </c>
      <c r="C472" s="64" t="s">
        <v>638</v>
      </c>
      <c r="D472" s="65" t="s">
        <v>87</v>
      </c>
      <c r="E472" s="66" t="s">
        <v>88</v>
      </c>
      <c r="F472" s="68" t="s">
        <v>630</v>
      </c>
      <c r="G472" s="68" t="s">
        <v>639</v>
      </c>
      <c r="H472" s="69">
        <v>726</v>
      </c>
      <c r="I472" s="74">
        <v>18.59</v>
      </c>
      <c r="J472" s="69">
        <v>13156</v>
      </c>
      <c r="K472" s="72"/>
      <c r="L472" s="69">
        <f t="shared" si="1074"/>
        <v>13156</v>
      </c>
      <c r="M472" s="86">
        <f t="shared" si="1075"/>
        <v>18.121212121212121</v>
      </c>
      <c r="N472" s="79"/>
      <c r="O472" s="79"/>
      <c r="P472" s="79"/>
      <c r="Q472" s="79">
        <v>4.5599999999999996</v>
      </c>
      <c r="R472" s="79">
        <v>9.57</v>
      </c>
      <c r="S472" s="84">
        <v>8.0500000000000007</v>
      </c>
      <c r="T472" s="85">
        <f t="shared" ref="T472:T477" si="1104">AVERAGE(N472:R472)</f>
        <v>7.0649999999999995</v>
      </c>
      <c r="U472" s="63" t="s">
        <v>365</v>
      </c>
      <c r="V472" s="77" t="s">
        <v>103</v>
      </c>
      <c r="W472" s="77"/>
      <c r="X472" s="78">
        <v>0.2</v>
      </c>
      <c r="Y472" s="78"/>
      <c r="Z472" s="79">
        <v>0.33</v>
      </c>
      <c r="AA472" s="80">
        <v>45784</v>
      </c>
      <c r="AB472" s="81">
        <f t="shared" si="1078"/>
        <v>169.9</v>
      </c>
      <c r="AC472" s="81">
        <f>AB472*X472</f>
        <v>33.980000000000004</v>
      </c>
      <c r="AD472" s="81">
        <f t="shared" si="1076"/>
        <v>223.52044000000004</v>
      </c>
      <c r="AE472" s="81">
        <f>IFERROR((AD472/I472),"")</f>
        <v>12.023692307692309</v>
      </c>
      <c r="AF472" s="167">
        <f>IFERROR(((AE472-S472)/AE472),"")</f>
        <v>0.33048852266038853</v>
      </c>
      <c r="AG472" s="264"/>
      <c r="AH472" s="264">
        <f t="shared" si="1077"/>
        <v>0</v>
      </c>
      <c r="AI472" s="77">
        <v>0.28000000000000003</v>
      </c>
      <c r="AJ472" s="79">
        <f t="shared" si="968"/>
        <v>218.31524000000005</v>
      </c>
      <c r="AK472" s="82">
        <f t="shared" si="969"/>
        <v>11.74369230769231</v>
      </c>
      <c r="AL472" s="82"/>
      <c r="AM472" s="82">
        <f t="shared" si="1081"/>
        <v>100.57180500658764</v>
      </c>
      <c r="AN472" s="82" t="s">
        <v>701</v>
      </c>
      <c r="AO472" s="82">
        <f>9.5*I472</f>
        <v>176.60499999999999</v>
      </c>
      <c r="AP472" s="82">
        <f>AD472-AO472</f>
        <v>46.915440000000046</v>
      </c>
      <c r="AQ472" s="63" t="s">
        <v>836</v>
      </c>
      <c r="AR472" s="77" t="s">
        <v>91</v>
      </c>
      <c r="AS472" s="63">
        <v>196</v>
      </c>
      <c r="AT472" s="63">
        <v>156</v>
      </c>
      <c r="AU472" s="63">
        <v>201</v>
      </c>
      <c r="AV472" s="63">
        <v>168</v>
      </c>
      <c r="AW472" s="63">
        <v>166</v>
      </c>
      <c r="AX472" s="63">
        <v>194</v>
      </c>
      <c r="AY472" s="63">
        <v>142</v>
      </c>
      <c r="AZ472" s="63">
        <v>136</v>
      </c>
      <c r="BA472" s="63">
        <v>174</v>
      </c>
      <c r="BB472" s="63">
        <v>166</v>
      </c>
      <c r="BC472" s="63"/>
      <c r="BD472" s="63"/>
      <c r="BE472" s="63"/>
      <c r="BF472" s="63"/>
      <c r="BG472" s="63"/>
      <c r="BH472" s="63"/>
      <c r="BI472" s="63"/>
      <c r="BJ472" s="63"/>
      <c r="BK472" s="63"/>
      <c r="BL472" s="63"/>
      <c r="BM472" s="63"/>
      <c r="BN472" s="63"/>
      <c r="BO472" s="63"/>
      <c r="BP472" s="63"/>
      <c r="BQ472" s="63"/>
      <c r="BR472" s="63"/>
      <c r="BS472" s="63"/>
      <c r="BT472" s="63"/>
      <c r="BU472" s="63"/>
      <c r="BV472" s="63"/>
      <c r="BW472" s="63"/>
      <c r="BX472" s="63"/>
      <c r="BY472" s="63"/>
      <c r="BZ472" s="63"/>
      <c r="CA472" s="63"/>
      <c r="CB472" s="63"/>
      <c r="CC472" s="63"/>
      <c r="CD472" s="63"/>
      <c r="CE472" s="63"/>
      <c r="CF472" s="63"/>
      <c r="CG472" s="63"/>
      <c r="CH472" s="63"/>
      <c r="CI472" s="63"/>
      <c r="CJ472" s="63"/>
      <c r="CK472" s="63"/>
      <c r="CL472" s="63"/>
      <c r="CM472" s="63"/>
      <c r="CN472" s="63"/>
      <c r="CO472" s="63"/>
      <c r="CP472" s="63"/>
    </row>
    <row r="473" spans="1:94" s="113" customFormat="1">
      <c r="A473" s="63" t="s">
        <v>437</v>
      </c>
      <c r="B473" s="63" t="s">
        <v>637</v>
      </c>
      <c r="C473" s="64" t="s">
        <v>638</v>
      </c>
      <c r="D473" s="65" t="s">
        <v>87</v>
      </c>
      <c r="E473" s="66" t="s">
        <v>88</v>
      </c>
      <c r="F473" s="68" t="s">
        <v>630</v>
      </c>
      <c r="G473" s="68" t="s">
        <v>639</v>
      </c>
      <c r="H473" s="69">
        <v>726</v>
      </c>
      <c r="I473" s="74">
        <v>18.59</v>
      </c>
      <c r="J473" s="69">
        <v>13156</v>
      </c>
      <c r="K473" s="72"/>
      <c r="L473" s="69">
        <f t="shared" si="1074"/>
        <v>13156</v>
      </c>
      <c r="M473" s="86">
        <f t="shared" si="1075"/>
        <v>18.121212121212121</v>
      </c>
      <c r="N473" s="79"/>
      <c r="O473" s="79"/>
      <c r="P473" s="79"/>
      <c r="Q473" s="79">
        <v>4.5599999999999996</v>
      </c>
      <c r="R473" s="79">
        <v>9.57</v>
      </c>
      <c r="S473" s="84">
        <v>8.0500000000000007</v>
      </c>
      <c r="T473" s="85">
        <f t="shared" si="1104"/>
        <v>7.0649999999999995</v>
      </c>
      <c r="U473" s="63" t="s">
        <v>365</v>
      </c>
      <c r="V473" s="77" t="s">
        <v>103</v>
      </c>
      <c r="W473" s="77"/>
      <c r="X473" s="78">
        <v>0.28000000000000003</v>
      </c>
      <c r="Y473" s="78"/>
      <c r="Z473" s="79">
        <v>0.33</v>
      </c>
      <c r="AA473" s="80">
        <v>45798</v>
      </c>
      <c r="AB473" s="81">
        <f t="shared" si="1078"/>
        <v>108.1</v>
      </c>
      <c r="AC473" s="81">
        <f>AB473*X473</f>
        <v>30.268000000000001</v>
      </c>
      <c r="AD473" s="81">
        <f t="shared" si="1076"/>
        <v>199.10290400000002</v>
      </c>
      <c r="AE473" s="81">
        <f>IFERROR((AD473/I473),"")</f>
        <v>10.710215384615386</v>
      </c>
      <c r="AF473" s="167">
        <f>IFERROR(((AE473-S473)/AE473),"")</f>
        <v>0.24838112858464392</v>
      </c>
      <c r="AG473" s="264"/>
      <c r="AH473" s="264">
        <f t="shared" si="1077"/>
        <v>0</v>
      </c>
      <c r="AI473" s="77">
        <v>0.28000000000000003</v>
      </c>
      <c r="AJ473" s="79">
        <f t="shared" si="968"/>
        <v>193.89770400000003</v>
      </c>
      <c r="AK473" s="82">
        <f t="shared" si="969"/>
        <v>10.430215384615387</v>
      </c>
      <c r="AL473" s="82"/>
      <c r="AM473" s="82">
        <f t="shared" si="1081"/>
        <v>89.323320158102774</v>
      </c>
      <c r="AN473" s="82" t="s">
        <v>701</v>
      </c>
      <c r="AO473" s="82">
        <f>9.5*I473</f>
        <v>176.60499999999999</v>
      </c>
      <c r="AP473" s="82">
        <f>AD473-AO473</f>
        <v>22.497904000000034</v>
      </c>
      <c r="AQ473" s="63"/>
      <c r="AR473" s="77" t="s">
        <v>91</v>
      </c>
      <c r="AS473" s="63">
        <v>114</v>
      </c>
      <c r="AT473" s="63">
        <v>94</v>
      </c>
      <c r="AU473" s="63">
        <v>115</v>
      </c>
      <c r="AV473" s="63">
        <v>95</v>
      </c>
      <c r="AW473" s="63">
        <v>109</v>
      </c>
      <c r="AX473" s="63">
        <v>99</v>
      </c>
      <c r="AY473" s="63">
        <v>118</v>
      </c>
      <c r="AZ473" s="63">
        <v>112</v>
      </c>
      <c r="BA473" s="63">
        <v>106</v>
      </c>
      <c r="BB473" s="63">
        <v>119</v>
      </c>
      <c r="BC473" s="63"/>
      <c r="BD473" s="63"/>
      <c r="BE473" s="63"/>
      <c r="BF473" s="63"/>
      <c r="BG473" s="63"/>
      <c r="BH473" s="63"/>
      <c r="BI473" s="63"/>
      <c r="BJ473" s="63"/>
      <c r="BK473" s="63"/>
      <c r="BL473" s="63"/>
      <c r="BM473" s="63"/>
      <c r="BN473" s="63"/>
      <c r="BO473" s="63"/>
      <c r="BP473" s="63"/>
      <c r="BQ473" s="63"/>
      <c r="BR473" s="63"/>
      <c r="BS473" s="63"/>
      <c r="BT473" s="63"/>
      <c r="BU473" s="63"/>
      <c r="BV473" s="63"/>
      <c r="BW473" s="63"/>
      <c r="BX473" s="63"/>
      <c r="BY473" s="63"/>
      <c r="BZ473" s="63"/>
      <c r="CA473" s="63"/>
      <c r="CB473" s="63"/>
      <c r="CC473" s="63"/>
      <c r="CD473" s="63"/>
      <c r="CE473" s="63"/>
      <c r="CF473" s="63"/>
      <c r="CG473" s="63"/>
      <c r="CH473" s="63"/>
      <c r="CI473" s="63"/>
      <c r="CJ473" s="63"/>
      <c r="CK473" s="63"/>
      <c r="CL473" s="63"/>
      <c r="CM473" s="63"/>
      <c r="CN473" s="63"/>
      <c r="CO473" s="63"/>
      <c r="CP473" s="63"/>
    </row>
    <row r="474" spans="1:94" s="113" customFormat="1">
      <c r="A474" s="63" t="s">
        <v>437</v>
      </c>
      <c r="B474" s="63" t="s">
        <v>637</v>
      </c>
      <c r="C474" s="64" t="s">
        <v>638</v>
      </c>
      <c r="D474" s="65" t="s">
        <v>87</v>
      </c>
      <c r="E474" s="66" t="s">
        <v>88</v>
      </c>
      <c r="F474" s="68" t="s">
        <v>630</v>
      </c>
      <c r="G474" s="68" t="s">
        <v>639</v>
      </c>
      <c r="H474" s="69">
        <v>726</v>
      </c>
      <c r="I474" s="74">
        <v>18.59</v>
      </c>
      <c r="J474" s="69">
        <v>13156</v>
      </c>
      <c r="K474" s="72"/>
      <c r="L474" s="69">
        <f t="shared" si="1074"/>
        <v>13156</v>
      </c>
      <c r="M474" s="86">
        <f t="shared" si="1075"/>
        <v>18.121212121212121</v>
      </c>
      <c r="N474" s="79"/>
      <c r="O474" s="79"/>
      <c r="P474" s="79"/>
      <c r="Q474" s="79">
        <v>4.5599999999999996</v>
      </c>
      <c r="R474" s="79">
        <v>9.57</v>
      </c>
      <c r="S474" s="84">
        <v>8.0500000000000007</v>
      </c>
      <c r="T474" s="85">
        <f t="shared" si="1104"/>
        <v>7.0649999999999995</v>
      </c>
      <c r="U474" s="63" t="s">
        <v>365</v>
      </c>
      <c r="V474" s="77" t="s">
        <v>103</v>
      </c>
      <c r="W474" s="77"/>
      <c r="X474" s="78">
        <v>0.28000000000000003</v>
      </c>
      <c r="Y474" s="78"/>
      <c r="Z474" s="79">
        <v>0.33</v>
      </c>
      <c r="AA474" s="80">
        <v>45831</v>
      </c>
      <c r="AB474" s="81">
        <f t="shared" si="1078"/>
        <v>105.4375</v>
      </c>
      <c r="AC474" s="81">
        <f>AB474*X474</f>
        <v>29.522500000000004</v>
      </c>
      <c r="AD474" s="81">
        <f t="shared" si="1076"/>
        <v>194.19900500000003</v>
      </c>
      <c r="AE474" s="81">
        <f>IFERROR((AD474/I474),"")</f>
        <v>10.446423076923079</v>
      </c>
      <c r="AF474" s="167">
        <f>IFERROR(((AE474-S474)/AE474),"")</f>
        <v>0.22940130409010084</v>
      </c>
      <c r="AG474" s="264"/>
      <c r="AH474" s="264">
        <f t="shared" si="1077"/>
        <v>0</v>
      </c>
      <c r="AI474" s="77">
        <v>0.28000000000000003</v>
      </c>
      <c r="AJ474" s="79">
        <f t="shared" si="968"/>
        <v>188.99380500000004</v>
      </c>
      <c r="AK474" s="82">
        <f t="shared" si="969"/>
        <v>10.166423076923079</v>
      </c>
      <c r="AL474" s="82"/>
      <c r="AM474" s="82">
        <f t="shared" si="1081"/>
        <v>87.064229249011873</v>
      </c>
      <c r="AN474" s="82" t="s">
        <v>701</v>
      </c>
      <c r="AO474" s="82">
        <f>9.5*I474</f>
        <v>176.60499999999999</v>
      </c>
      <c r="AP474" s="82">
        <f>AD474-AO474</f>
        <v>17.594005000000038</v>
      </c>
      <c r="AQ474" s="63"/>
      <c r="AR474" s="77" t="s">
        <v>116</v>
      </c>
      <c r="AS474" s="63">
        <v>98</v>
      </c>
      <c r="AT474" s="63">
        <v>109</v>
      </c>
      <c r="AU474" s="63">
        <v>100</v>
      </c>
      <c r="AV474" s="63">
        <v>99</v>
      </c>
      <c r="AW474" s="63">
        <v>103</v>
      </c>
      <c r="AX474" s="63">
        <v>107</v>
      </c>
      <c r="AY474" s="63">
        <v>96</v>
      </c>
      <c r="AZ474" s="63">
        <v>104</v>
      </c>
      <c r="BA474" s="63">
        <v>109</v>
      </c>
      <c r="BB474" s="63">
        <v>110</v>
      </c>
      <c r="BC474" s="63">
        <v>115</v>
      </c>
      <c r="BD474" s="63">
        <v>103</v>
      </c>
      <c r="BE474" s="63">
        <v>107</v>
      </c>
      <c r="BF474" s="63">
        <v>113</v>
      </c>
      <c r="BG474" s="63">
        <v>114</v>
      </c>
      <c r="BH474" s="63">
        <v>100</v>
      </c>
      <c r="BI474" s="63"/>
      <c r="BJ474" s="63"/>
      <c r="BK474" s="63"/>
      <c r="BL474" s="63"/>
      <c r="BM474" s="63"/>
      <c r="BN474" s="63"/>
      <c r="BO474" s="63"/>
      <c r="BP474" s="63"/>
      <c r="BQ474" s="63"/>
      <c r="BR474" s="63"/>
      <c r="BS474" s="63"/>
      <c r="BT474" s="63"/>
      <c r="BU474" s="63"/>
      <c r="BV474" s="63"/>
      <c r="BW474" s="63"/>
      <c r="BX474" s="63"/>
      <c r="BY474" s="63"/>
      <c r="BZ474" s="63"/>
      <c r="CA474" s="63"/>
      <c r="CB474" s="63"/>
      <c r="CC474" s="63"/>
      <c r="CD474" s="63"/>
      <c r="CE474" s="63"/>
      <c r="CF474" s="63"/>
      <c r="CG474" s="63"/>
      <c r="CH474" s="63"/>
      <c r="CI474" s="63"/>
      <c r="CJ474" s="63"/>
      <c r="CK474" s="63"/>
      <c r="CL474" s="63"/>
      <c r="CM474" s="63"/>
      <c r="CN474" s="63"/>
      <c r="CO474" s="63"/>
      <c r="CP474" s="63"/>
    </row>
    <row r="475" spans="1:94" s="113" customFormat="1">
      <c r="A475" s="63" t="s">
        <v>437</v>
      </c>
      <c r="B475" s="63" t="s">
        <v>637</v>
      </c>
      <c r="C475" s="64" t="s">
        <v>638</v>
      </c>
      <c r="D475" s="65" t="s">
        <v>87</v>
      </c>
      <c r="E475" s="66" t="s">
        <v>88</v>
      </c>
      <c r="F475" s="68" t="s">
        <v>630</v>
      </c>
      <c r="G475" s="68" t="s">
        <v>639</v>
      </c>
      <c r="H475" s="69">
        <v>726</v>
      </c>
      <c r="I475" s="74">
        <v>18.59</v>
      </c>
      <c r="J475" s="69">
        <v>13156</v>
      </c>
      <c r="K475" s="72"/>
      <c r="L475" s="69">
        <f t="shared" ref="L475" si="1105">J475-(J475*K475)</f>
        <v>13156</v>
      </c>
      <c r="M475" s="86">
        <f t="shared" ref="M475" si="1106">L475/H475</f>
        <v>18.121212121212121</v>
      </c>
      <c r="N475" s="79"/>
      <c r="O475" s="79"/>
      <c r="P475" s="79"/>
      <c r="Q475" s="79">
        <v>4.5599999999999996</v>
      </c>
      <c r="R475" s="79">
        <v>9.57</v>
      </c>
      <c r="S475" s="84">
        <v>8.0500000000000007</v>
      </c>
      <c r="T475" s="85">
        <f t="shared" si="1104"/>
        <v>7.0649999999999995</v>
      </c>
      <c r="U475" s="63" t="s">
        <v>365</v>
      </c>
      <c r="V475" s="77" t="s">
        <v>103</v>
      </c>
      <c r="W475" s="77"/>
      <c r="X475" s="78">
        <v>0.28000000000000003</v>
      </c>
      <c r="Y475" s="78"/>
      <c r="Z475" s="79">
        <v>0.33</v>
      </c>
      <c r="AA475" s="80">
        <v>45911</v>
      </c>
      <c r="AB475" s="81">
        <f t="shared" ref="AB475" si="1107">IFERROR(AVERAGE(AS475:CP475),0)</f>
        <v>0</v>
      </c>
      <c r="AC475" s="81">
        <v>29.74</v>
      </c>
      <c r="AD475" s="81">
        <f t="shared" ref="AD475" si="1108">(AC475*L475)/2000</f>
        <v>195.62971999999999</v>
      </c>
      <c r="AE475" s="81">
        <f>IFERROR((AD475/I475),"")</f>
        <v>10.523384615384614</v>
      </c>
      <c r="AF475" s="167">
        <f>IFERROR(((AE475-S475)/AE475),"")</f>
        <v>0.23503698722259569</v>
      </c>
      <c r="AG475" s="264"/>
      <c r="AH475" s="264" t="e">
        <f t="shared" si="1077"/>
        <v>#DIV/0!</v>
      </c>
      <c r="AI475" s="77">
        <v>0.28000000000000003</v>
      </c>
      <c r="AJ475" s="79">
        <f t="shared" ref="AJ475" si="1109">AD475-(AI475*I475)</f>
        <v>190.42452</v>
      </c>
      <c r="AK475" s="82">
        <f t="shared" ref="AK475" si="1110">AJ475/I475</f>
        <v>10.243384615384615</v>
      </c>
      <c r="AL475" s="82"/>
      <c r="AM475" s="82">
        <f t="shared" ref="AM475" si="1111">((AJ475*2000)/Z475)/J475</f>
        <v>87.723320158102752</v>
      </c>
      <c r="AN475" s="82" t="s">
        <v>701</v>
      </c>
      <c r="AO475" s="82">
        <f>9.5*I475</f>
        <v>176.60499999999999</v>
      </c>
      <c r="AP475" s="82">
        <f>AD475-AO475</f>
        <v>19.024720000000002</v>
      </c>
      <c r="AQ475" s="63"/>
      <c r="AR475" s="77"/>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63"/>
      <c r="BV475" s="63"/>
      <c r="BW475" s="63"/>
      <c r="BX475" s="63"/>
      <c r="BY475" s="63"/>
      <c r="BZ475" s="63"/>
      <c r="CA475" s="63"/>
      <c r="CB475" s="63"/>
      <c r="CC475" s="63"/>
      <c r="CD475" s="63"/>
      <c r="CE475" s="63"/>
      <c r="CF475" s="63"/>
      <c r="CG475" s="63"/>
      <c r="CH475" s="63"/>
      <c r="CI475" s="63"/>
      <c r="CJ475" s="63"/>
      <c r="CK475" s="63"/>
      <c r="CL475" s="63"/>
      <c r="CM475" s="63"/>
      <c r="CN475" s="63"/>
      <c r="CO475" s="63"/>
      <c r="CP475" s="63"/>
    </row>
    <row r="476" spans="1:94" s="63" customFormat="1">
      <c r="A476" s="113" t="s">
        <v>437</v>
      </c>
      <c r="B476" s="113" t="s">
        <v>837</v>
      </c>
      <c r="C476" s="114" t="s">
        <v>838</v>
      </c>
      <c r="D476" s="128" t="s">
        <v>87</v>
      </c>
      <c r="E476" s="127" t="s">
        <v>261</v>
      </c>
      <c r="F476" s="126">
        <v>23</v>
      </c>
      <c r="G476" s="126" t="s">
        <v>90</v>
      </c>
      <c r="H476" s="123">
        <v>691.42857142857144</v>
      </c>
      <c r="I476" s="125">
        <v>18.41</v>
      </c>
      <c r="J476" s="123">
        <v>12591</v>
      </c>
      <c r="K476" s="124"/>
      <c r="L476" s="123">
        <f t="shared" si="1074"/>
        <v>12591</v>
      </c>
      <c r="M476" s="122">
        <f t="shared" si="1075"/>
        <v>18.210123966942149</v>
      </c>
      <c r="N476" s="118">
        <v>9.61</v>
      </c>
      <c r="O476" s="118">
        <v>7.81</v>
      </c>
      <c r="P476" s="118">
        <v>7.36</v>
      </c>
      <c r="Q476" s="118">
        <v>10.31</v>
      </c>
      <c r="R476" s="118">
        <v>10.9</v>
      </c>
      <c r="S476" s="153"/>
      <c r="T476" s="121">
        <f t="shared" si="1104"/>
        <v>9.1979999999999986</v>
      </c>
      <c r="U476" s="113"/>
      <c r="V476" s="115"/>
      <c r="W476" s="115"/>
      <c r="X476" s="120">
        <v>0.35</v>
      </c>
      <c r="Y476" s="120"/>
      <c r="Z476" s="118">
        <v>0.38</v>
      </c>
      <c r="AA476" s="119"/>
      <c r="AB476" s="117">
        <f t="shared" si="1078"/>
        <v>0</v>
      </c>
      <c r="AC476" s="117"/>
      <c r="AD476" s="117">
        <f t="shared" si="1076"/>
        <v>0</v>
      </c>
      <c r="AE476" s="117"/>
      <c r="AF476" s="170"/>
      <c r="AG476" s="265"/>
      <c r="AH476" s="265" t="e">
        <f t="shared" si="1077"/>
        <v>#DIV/0!</v>
      </c>
      <c r="AI476" s="115"/>
      <c r="AJ476" s="118">
        <f t="shared" si="968"/>
        <v>0</v>
      </c>
      <c r="AK476" s="116">
        <f t="shared" si="969"/>
        <v>0</v>
      </c>
      <c r="AL476" s="116"/>
      <c r="AM476" s="116">
        <f t="shared" si="1081"/>
        <v>0</v>
      </c>
      <c r="AN476" s="116"/>
      <c r="AO476" s="116"/>
      <c r="AP476" s="116"/>
      <c r="AQ476" s="113"/>
      <c r="AR476" s="115"/>
      <c r="AS476" s="113"/>
      <c r="AT476" s="113"/>
      <c r="AU476" s="113"/>
      <c r="AV476" s="113"/>
      <c r="AW476" s="113"/>
      <c r="AX476" s="113"/>
      <c r="AY476" s="113"/>
      <c r="AZ476" s="113"/>
      <c r="BA476" s="113"/>
      <c r="BB476" s="113"/>
      <c r="BC476" s="113"/>
      <c r="BD476" s="113"/>
      <c r="BE476" s="113"/>
      <c r="BF476" s="113"/>
      <c r="BG476" s="113"/>
      <c r="BH476" s="113"/>
      <c r="BI476" s="113"/>
      <c r="BJ476" s="113"/>
      <c r="BK476" s="113"/>
      <c r="BL476" s="113"/>
      <c r="BM476" s="113"/>
      <c r="BN476" s="113"/>
      <c r="BO476" s="113"/>
      <c r="BP476" s="113"/>
      <c r="BQ476" s="113"/>
      <c r="BR476" s="113"/>
      <c r="BS476" s="113"/>
      <c r="BT476" s="113"/>
      <c r="BU476" s="113"/>
      <c r="BV476" s="113"/>
      <c r="BW476" s="113"/>
      <c r="BX476" s="113"/>
      <c r="BY476" s="113"/>
      <c r="BZ476" s="113"/>
      <c r="CA476" s="113"/>
      <c r="CB476" s="113"/>
      <c r="CC476" s="113"/>
      <c r="CD476" s="113"/>
      <c r="CE476" s="113"/>
      <c r="CF476" s="113"/>
      <c r="CG476" s="113"/>
      <c r="CH476" s="113"/>
      <c r="CI476" s="113"/>
      <c r="CJ476" s="113"/>
      <c r="CK476" s="113"/>
      <c r="CL476" s="113"/>
      <c r="CM476" s="113"/>
      <c r="CN476" s="113"/>
      <c r="CO476" s="113"/>
      <c r="CP476" s="113"/>
    </row>
    <row r="477" spans="1:94" s="113" customFormat="1">
      <c r="A477" s="63" t="s">
        <v>437</v>
      </c>
      <c r="B477" s="63" t="s">
        <v>640</v>
      </c>
      <c r="C477" s="64" t="s">
        <v>641</v>
      </c>
      <c r="D477" s="65" t="s">
        <v>87</v>
      </c>
      <c r="E477" s="66" t="s">
        <v>221</v>
      </c>
      <c r="F477" s="68">
        <v>4</v>
      </c>
      <c r="G477" s="68" t="s">
        <v>140</v>
      </c>
      <c r="H477" s="69">
        <v>806.66666666666663</v>
      </c>
      <c r="I477" s="74">
        <v>19.55</v>
      </c>
      <c r="J477" s="69">
        <v>15530</v>
      </c>
      <c r="K477" s="72"/>
      <c r="L477" s="69">
        <f t="shared" si="1074"/>
        <v>15530</v>
      </c>
      <c r="M477" s="86">
        <f t="shared" si="1075"/>
        <v>19.25206611570248</v>
      </c>
      <c r="N477" s="79">
        <v>8.0500000000000007</v>
      </c>
      <c r="O477" s="79">
        <v>6.16</v>
      </c>
      <c r="P477" s="79">
        <v>9.83</v>
      </c>
      <c r="Q477" s="79">
        <v>9.64</v>
      </c>
      <c r="R477" s="79">
        <v>10.9</v>
      </c>
      <c r="S477" s="84">
        <v>8.31</v>
      </c>
      <c r="T477" s="85">
        <f t="shared" si="1104"/>
        <v>8.9160000000000004</v>
      </c>
      <c r="U477" s="63" t="s">
        <v>365</v>
      </c>
      <c r="V477" s="77" t="s">
        <v>366</v>
      </c>
      <c r="W477" s="77"/>
      <c r="X477" s="78">
        <v>0.53</v>
      </c>
      <c r="Y477" s="78"/>
      <c r="Z477" s="79">
        <v>0.55000000000000004</v>
      </c>
      <c r="AA477" s="80">
        <v>45761</v>
      </c>
      <c r="AB477" s="81">
        <f t="shared" si="1078"/>
        <v>52.25</v>
      </c>
      <c r="AC477" s="81">
        <f t="shared" ref="AC477:AC487" si="1112">AB477*X477</f>
        <v>27.692500000000003</v>
      </c>
      <c r="AD477" s="81">
        <f t="shared" si="1076"/>
        <v>215.0322625</v>
      </c>
      <c r="AE477" s="81">
        <f t="shared" ref="AE477:AE504" si="1113">IFERROR((AD477/I477),"")</f>
        <v>10.999092710997441</v>
      </c>
      <c r="AF477" s="167">
        <f t="shared" ref="AF477:AF499" si="1114">IFERROR(((AE477-S477)/AE477),"")</f>
        <v>0.24448313889642478</v>
      </c>
      <c r="AG477" s="264">
        <v>8.74</v>
      </c>
      <c r="AH477" s="264">
        <f t="shared" ref="AH477:AH485" si="1115">(((AG477*M477)*2000)/L477)/AB477</f>
        <v>0.41472577009767092</v>
      </c>
      <c r="AI477" s="77">
        <v>9</v>
      </c>
      <c r="AJ477" s="79">
        <f t="shared" si="968"/>
        <v>39.082262499999985</v>
      </c>
      <c r="AK477" s="81">
        <f t="shared" si="969"/>
        <v>1.9990927109974417</v>
      </c>
      <c r="AL477" s="82">
        <f>(((AI477*M477)*2000)/L477)/Z477</f>
        <v>40.570999248685197</v>
      </c>
      <c r="AM477" s="82">
        <f t="shared" si="1081"/>
        <v>9.1511473394602785</v>
      </c>
      <c r="AN477" s="82"/>
      <c r="AO477" s="82"/>
      <c r="AP477" s="82"/>
      <c r="AQ477" s="63"/>
      <c r="AR477" s="77" t="s">
        <v>165</v>
      </c>
      <c r="AS477" s="63">
        <v>53</v>
      </c>
      <c r="AT477" s="63">
        <v>42</v>
      </c>
      <c r="AU477" s="63">
        <v>55</v>
      </c>
      <c r="AV477" s="63">
        <v>41</v>
      </c>
      <c r="AW477" s="63">
        <v>55</v>
      </c>
      <c r="AX477" s="63">
        <v>52</v>
      </c>
      <c r="AY477" s="63">
        <v>49</v>
      </c>
      <c r="AZ477" s="63">
        <v>43</v>
      </c>
      <c r="BA477" s="63">
        <v>51</v>
      </c>
      <c r="BB477" s="63">
        <v>40</v>
      </c>
      <c r="BC477" s="63">
        <v>56</v>
      </c>
      <c r="BD477" s="63">
        <v>47</v>
      </c>
      <c r="BE477" s="63">
        <v>65</v>
      </c>
      <c r="BF477" s="63">
        <v>52</v>
      </c>
      <c r="BG477" s="63">
        <v>57</v>
      </c>
      <c r="BH477" s="63">
        <v>49</v>
      </c>
      <c r="BI477" s="63">
        <v>58</v>
      </c>
      <c r="BJ477" s="63">
        <v>47</v>
      </c>
      <c r="BK477" s="63">
        <v>66</v>
      </c>
      <c r="BL477" s="63">
        <v>50</v>
      </c>
      <c r="BM477" s="63">
        <v>54</v>
      </c>
      <c r="BN477" s="63">
        <v>59</v>
      </c>
      <c r="BO477" s="63">
        <v>56</v>
      </c>
      <c r="BP477" s="63">
        <v>57</v>
      </c>
      <c r="BQ477" s="63"/>
      <c r="BR477" s="63"/>
      <c r="BS477" s="63"/>
      <c r="BT477" s="63"/>
      <c r="BU477" s="63"/>
      <c r="BV477" s="63"/>
      <c r="BW477" s="63"/>
      <c r="BX477" s="63"/>
      <c r="BY477" s="63"/>
      <c r="BZ477" s="63"/>
      <c r="CA477" s="63"/>
      <c r="CB477" s="63"/>
      <c r="CC477" s="63"/>
      <c r="CD477" s="63"/>
      <c r="CE477" s="63"/>
      <c r="CF477" s="63"/>
      <c r="CG477" s="63"/>
      <c r="CH477" s="63"/>
      <c r="CI477" s="63"/>
      <c r="CJ477" s="63"/>
      <c r="CK477" s="63"/>
      <c r="CL477" s="63"/>
      <c r="CM477" s="63"/>
      <c r="CN477" s="63"/>
      <c r="CO477" s="63"/>
      <c r="CP477" s="63"/>
    </row>
    <row r="478" spans="1:94" s="63" customFormat="1">
      <c r="A478" s="63" t="s">
        <v>437</v>
      </c>
      <c r="B478" s="63" t="s">
        <v>640</v>
      </c>
      <c r="C478" s="64" t="s">
        <v>641</v>
      </c>
      <c r="D478" s="65" t="s">
        <v>87</v>
      </c>
      <c r="E478" s="66" t="s">
        <v>221</v>
      </c>
      <c r="F478" s="68">
        <v>4</v>
      </c>
      <c r="G478" s="68" t="s">
        <v>140</v>
      </c>
      <c r="H478" s="69">
        <v>806.66666666666663</v>
      </c>
      <c r="I478" s="74">
        <v>19.55</v>
      </c>
      <c r="J478" s="69">
        <v>15530</v>
      </c>
      <c r="K478" s="72"/>
      <c r="L478" s="69">
        <f t="shared" si="1074"/>
        <v>15530</v>
      </c>
      <c r="M478" s="86">
        <f t="shared" si="1075"/>
        <v>19.25206611570248</v>
      </c>
      <c r="N478" s="79">
        <v>8.0500000000000007</v>
      </c>
      <c r="O478" s="79">
        <v>6.16</v>
      </c>
      <c r="P478" s="79">
        <v>9.83</v>
      </c>
      <c r="Q478" s="79">
        <v>9.64</v>
      </c>
      <c r="R478" s="79">
        <v>10.9</v>
      </c>
      <c r="S478" s="84">
        <v>8.31</v>
      </c>
      <c r="T478" s="85">
        <f>AVERAGE(N478:S478)</f>
        <v>8.8149999999999995</v>
      </c>
      <c r="U478" s="63" t="s">
        <v>365</v>
      </c>
      <c r="V478" s="77" t="s">
        <v>366</v>
      </c>
      <c r="W478" s="77"/>
      <c r="X478" s="78">
        <v>0.53</v>
      </c>
      <c r="Y478" s="78"/>
      <c r="Z478" s="79">
        <v>0.55000000000000004</v>
      </c>
      <c r="AA478" s="80">
        <v>45761</v>
      </c>
      <c r="AB478" s="81">
        <f t="shared" si="1078"/>
        <v>60.866666666666667</v>
      </c>
      <c r="AC478" s="81">
        <f t="shared" si="1112"/>
        <v>32.259333333333338</v>
      </c>
      <c r="AD478" s="81">
        <f t="shared" si="1076"/>
        <v>250.49372333333335</v>
      </c>
      <c r="AE478" s="81">
        <f t="shared" si="1113"/>
        <v>12.812978175618074</v>
      </c>
      <c r="AF478" s="167">
        <f t="shared" si="1114"/>
        <v>0.35143883911289486</v>
      </c>
      <c r="AG478" s="264">
        <v>8.74</v>
      </c>
      <c r="AH478" s="264">
        <f t="shared" si="1115"/>
        <v>0.35601459180071149</v>
      </c>
      <c r="AI478" s="77">
        <v>9</v>
      </c>
      <c r="AJ478" s="79">
        <f t="shared" si="968"/>
        <v>74.543723333333332</v>
      </c>
      <c r="AK478" s="81">
        <f t="shared" si="969"/>
        <v>3.8129781756180732</v>
      </c>
      <c r="AL478" s="82">
        <f>(((AI478*M478)*2000)/L478)/Z478</f>
        <v>40.570999248685197</v>
      </c>
      <c r="AM478" s="82">
        <f t="shared" si="1081"/>
        <v>17.454480672793611</v>
      </c>
      <c r="AN478" s="82"/>
      <c r="AO478" s="82"/>
      <c r="AP478" s="82"/>
      <c r="AR478" s="77" t="s">
        <v>91</v>
      </c>
      <c r="AS478" s="63">
        <v>60</v>
      </c>
      <c r="AT478" s="63">
        <v>48</v>
      </c>
      <c r="AU478" s="63">
        <v>55</v>
      </c>
      <c r="AV478" s="63">
        <v>77</v>
      </c>
      <c r="AW478" s="63">
        <v>52</v>
      </c>
      <c r="AX478" s="63">
        <v>58</v>
      </c>
      <c r="AY478" s="63">
        <v>55</v>
      </c>
      <c r="AZ478" s="63">
        <v>55</v>
      </c>
      <c r="BA478" s="63">
        <v>62</v>
      </c>
      <c r="BB478" s="63">
        <v>70</v>
      </c>
      <c r="BC478" s="63">
        <v>60</v>
      </c>
      <c r="BD478" s="63">
        <v>68</v>
      </c>
      <c r="BE478" s="63">
        <v>66</v>
      </c>
      <c r="BF478" s="63">
        <v>61</v>
      </c>
      <c r="BG478" s="63">
        <v>66</v>
      </c>
    </row>
    <row r="479" spans="1:94" s="63" customFormat="1">
      <c r="A479" s="63" t="s">
        <v>437</v>
      </c>
      <c r="B479" s="63" t="s">
        <v>640</v>
      </c>
      <c r="C479" s="64" t="s">
        <v>641</v>
      </c>
      <c r="D479" s="65" t="s">
        <v>87</v>
      </c>
      <c r="E479" s="66" t="s">
        <v>221</v>
      </c>
      <c r="F479" s="68">
        <v>4</v>
      </c>
      <c r="G479" s="68" t="s">
        <v>140</v>
      </c>
      <c r="H479" s="69">
        <v>806.66666666666663</v>
      </c>
      <c r="I479" s="74">
        <v>19.55</v>
      </c>
      <c r="J479" s="69">
        <v>15530</v>
      </c>
      <c r="K479" s="72"/>
      <c r="L479" s="69">
        <f t="shared" si="1074"/>
        <v>15530</v>
      </c>
      <c r="M479" s="86">
        <f t="shared" si="1075"/>
        <v>19.25206611570248</v>
      </c>
      <c r="N479" s="79">
        <v>8.0500000000000007</v>
      </c>
      <c r="O479" s="79">
        <v>6.16</v>
      </c>
      <c r="P479" s="79">
        <v>9.83</v>
      </c>
      <c r="Q479" s="79">
        <v>9.64</v>
      </c>
      <c r="R479" s="79">
        <v>10.9</v>
      </c>
      <c r="S479" s="84">
        <v>8.31</v>
      </c>
      <c r="T479" s="85">
        <f>AVERAGE(N479:R479)</f>
        <v>8.9160000000000004</v>
      </c>
      <c r="U479" s="63" t="s">
        <v>106</v>
      </c>
      <c r="V479" s="77" t="s">
        <v>103</v>
      </c>
      <c r="W479" s="77"/>
      <c r="X479" s="78">
        <v>0.53</v>
      </c>
      <c r="Y479" s="78"/>
      <c r="Z479" s="79">
        <v>0.55000000000000004</v>
      </c>
      <c r="AA479" s="80">
        <v>45764</v>
      </c>
      <c r="AB479" s="81">
        <f t="shared" si="1078"/>
        <v>52.25</v>
      </c>
      <c r="AC479" s="81">
        <f t="shared" si="1112"/>
        <v>27.692500000000003</v>
      </c>
      <c r="AD479" s="81">
        <f t="shared" si="1076"/>
        <v>215.0322625</v>
      </c>
      <c r="AE479" s="81">
        <f t="shared" si="1113"/>
        <v>10.999092710997441</v>
      </c>
      <c r="AF479" s="167">
        <f t="shared" si="1114"/>
        <v>0.24448313889642478</v>
      </c>
      <c r="AG479" s="264">
        <v>8.74</v>
      </c>
      <c r="AH479" s="264">
        <f t="shared" si="1115"/>
        <v>0.41472577009767092</v>
      </c>
      <c r="AI479" s="77"/>
      <c r="AJ479" s="79"/>
      <c r="AK479" s="81"/>
      <c r="AL479" s="82"/>
      <c r="AM479" s="82"/>
      <c r="AN479" s="82"/>
      <c r="AO479" s="82"/>
      <c r="AP479" s="82"/>
      <c r="AR479" s="77"/>
      <c r="AS479" s="63">
        <v>47</v>
      </c>
      <c r="AT479" s="63">
        <v>52</v>
      </c>
      <c r="AU479" s="63">
        <v>53</v>
      </c>
      <c r="AV479" s="63">
        <v>65</v>
      </c>
      <c r="AW479" s="63">
        <v>56</v>
      </c>
      <c r="AX479" s="63">
        <v>49</v>
      </c>
      <c r="AY479" s="63">
        <v>53</v>
      </c>
      <c r="AZ479" s="63">
        <v>51</v>
      </c>
      <c r="BA479" s="63">
        <v>57</v>
      </c>
      <c r="BB479" s="63">
        <v>47</v>
      </c>
      <c r="BC479" s="63">
        <v>52</v>
      </c>
      <c r="BD479" s="63">
        <v>45</v>
      </c>
    </row>
    <row r="480" spans="1:94" s="63" customFormat="1">
      <c r="A480" s="63" t="s">
        <v>437</v>
      </c>
      <c r="B480" s="63" t="s">
        <v>640</v>
      </c>
      <c r="C480" s="64" t="s">
        <v>641</v>
      </c>
      <c r="D480" s="65" t="s">
        <v>87</v>
      </c>
      <c r="E480" s="66" t="s">
        <v>221</v>
      </c>
      <c r="F480" s="68">
        <v>4</v>
      </c>
      <c r="G480" s="68" t="s">
        <v>140</v>
      </c>
      <c r="H480" s="69">
        <v>806.66666666666663</v>
      </c>
      <c r="I480" s="74">
        <v>19.55</v>
      </c>
      <c r="J480" s="69">
        <v>15530</v>
      </c>
      <c r="K480" s="72"/>
      <c r="L480" s="69">
        <f t="shared" si="1074"/>
        <v>15530</v>
      </c>
      <c r="M480" s="86">
        <f t="shared" si="1075"/>
        <v>19.25206611570248</v>
      </c>
      <c r="N480" s="79">
        <v>8.0500000000000007</v>
      </c>
      <c r="O480" s="79">
        <v>6.16</v>
      </c>
      <c r="P480" s="79">
        <v>9.83</v>
      </c>
      <c r="Q480" s="79">
        <v>9.64</v>
      </c>
      <c r="R480" s="79">
        <v>10.9</v>
      </c>
      <c r="S480" s="84">
        <v>8.31</v>
      </c>
      <c r="T480" s="85">
        <f>AVERAGE(N480:R480)</f>
        <v>8.9160000000000004</v>
      </c>
      <c r="U480" s="63" t="s">
        <v>106</v>
      </c>
      <c r="V480" s="77" t="s">
        <v>103</v>
      </c>
      <c r="W480" s="77"/>
      <c r="X480" s="78">
        <v>0.53</v>
      </c>
      <c r="Y480" s="78"/>
      <c r="Z480" s="79">
        <v>0.55000000000000004</v>
      </c>
      <c r="AA480" s="80">
        <v>45765</v>
      </c>
      <c r="AB480" s="81">
        <f t="shared" si="1078"/>
        <v>44.384615384615387</v>
      </c>
      <c r="AC480" s="81">
        <f t="shared" si="1112"/>
        <v>23.523846153846158</v>
      </c>
      <c r="AD480" s="81">
        <f t="shared" si="1076"/>
        <v>182.66266538461542</v>
      </c>
      <c r="AE480" s="81">
        <f t="shared" si="1113"/>
        <v>9.3433588432028341</v>
      </c>
      <c r="AF480" s="167">
        <f t="shared" si="1114"/>
        <v>0.11059821853621601</v>
      </c>
      <c r="AG480" s="264">
        <v>8.74</v>
      </c>
      <c r="AH480" s="264">
        <f t="shared" si="1115"/>
        <v>0.48821920162711085</v>
      </c>
      <c r="AI480" s="77"/>
      <c r="AJ480" s="79"/>
      <c r="AK480" s="81"/>
      <c r="AL480" s="82"/>
      <c r="AM480" s="82"/>
      <c r="AN480" s="82"/>
      <c r="AO480" s="82"/>
      <c r="AP480" s="82"/>
      <c r="AQ480" s="63" t="s">
        <v>216</v>
      </c>
      <c r="AR480" s="77" t="s">
        <v>116</v>
      </c>
      <c r="AS480" s="63">
        <v>37</v>
      </c>
      <c r="AT480" s="63">
        <v>42</v>
      </c>
      <c r="AU480" s="63">
        <v>42</v>
      </c>
      <c r="AV480" s="63">
        <v>50</v>
      </c>
      <c r="AW480" s="63">
        <v>56</v>
      </c>
      <c r="AX480" s="63">
        <v>48</v>
      </c>
      <c r="AY480" s="63">
        <v>40</v>
      </c>
      <c r="AZ480" s="63">
        <v>34</v>
      </c>
      <c r="BA480" s="63">
        <v>55</v>
      </c>
      <c r="BB480" s="63">
        <v>42</v>
      </c>
      <c r="BC480" s="63">
        <v>48</v>
      </c>
      <c r="BD480" s="63">
        <v>40</v>
      </c>
      <c r="BE480" s="63">
        <v>43</v>
      </c>
    </row>
    <row r="481" spans="1:94" s="63" customFormat="1">
      <c r="A481" s="63" t="s">
        <v>437</v>
      </c>
      <c r="B481" s="63" t="s">
        <v>640</v>
      </c>
      <c r="C481" s="64" t="s">
        <v>641</v>
      </c>
      <c r="D481" s="65" t="s">
        <v>87</v>
      </c>
      <c r="E481" s="66" t="s">
        <v>221</v>
      </c>
      <c r="F481" s="68">
        <v>4</v>
      </c>
      <c r="G481" s="68" t="s">
        <v>140</v>
      </c>
      <c r="H481" s="69">
        <v>806.66666666666663</v>
      </c>
      <c r="I481" s="74">
        <v>19.55</v>
      </c>
      <c r="J481" s="69">
        <v>15530</v>
      </c>
      <c r="K481" s="72">
        <v>2E-3</v>
      </c>
      <c r="L481" s="69">
        <f t="shared" si="1074"/>
        <v>15498.94</v>
      </c>
      <c r="M481" s="86">
        <f t="shared" si="1075"/>
        <v>19.213561983471077</v>
      </c>
      <c r="N481" s="79">
        <v>8.0500000000000007</v>
      </c>
      <c r="O481" s="79">
        <v>6.16</v>
      </c>
      <c r="P481" s="79">
        <v>9.83</v>
      </c>
      <c r="Q481" s="79">
        <v>9.64</v>
      </c>
      <c r="R481" s="79">
        <v>10.9</v>
      </c>
      <c r="S481" s="84">
        <v>8.31</v>
      </c>
      <c r="T481" s="85">
        <f>AVERAGE(N481:R481)</f>
        <v>8.9160000000000004</v>
      </c>
      <c r="U481" s="63" t="s">
        <v>106</v>
      </c>
      <c r="V481" s="77" t="s">
        <v>103</v>
      </c>
      <c r="W481" s="77"/>
      <c r="X481" s="78">
        <v>0.53</v>
      </c>
      <c r="Y481" s="78"/>
      <c r="Z481" s="79">
        <v>0.55000000000000004</v>
      </c>
      <c r="AA481" s="80">
        <v>45768</v>
      </c>
      <c r="AB481" s="81">
        <f t="shared" si="1078"/>
        <v>45</v>
      </c>
      <c r="AC481" s="81">
        <f t="shared" si="1112"/>
        <v>23.85</v>
      </c>
      <c r="AD481" s="81">
        <f t="shared" si="1076"/>
        <v>184.82485950000003</v>
      </c>
      <c r="AE481" s="81">
        <f t="shared" si="1113"/>
        <v>9.4539570076726349</v>
      </c>
      <c r="AF481" s="167">
        <f t="shared" si="1114"/>
        <v>0.12100298390866625</v>
      </c>
      <c r="AG481" s="264">
        <v>8.74</v>
      </c>
      <c r="AH481" s="264">
        <f t="shared" si="1115"/>
        <v>0.48154269972451796</v>
      </c>
      <c r="AI481" s="77"/>
      <c r="AJ481" s="79"/>
      <c r="AK481" s="81"/>
      <c r="AL481" s="82"/>
      <c r="AM481" s="82"/>
      <c r="AN481" s="82"/>
      <c r="AO481" s="82"/>
      <c r="AP481" s="82"/>
      <c r="AQ481" s="63" t="s">
        <v>839</v>
      </c>
      <c r="AR481" s="77" t="s">
        <v>116</v>
      </c>
      <c r="AS481" s="63">
        <v>45</v>
      </c>
      <c r="AT481" s="63">
        <v>48</v>
      </c>
      <c r="AU481" s="63">
        <v>42</v>
      </c>
      <c r="AV481" s="63">
        <v>46</v>
      </c>
      <c r="AW481" s="63">
        <v>44</v>
      </c>
      <c r="AX481" s="63">
        <v>35</v>
      </c>
      <c r="AY481" s="63">
        <v>53</v>
      </c>
      <c r="AZ481" s="63">
        <v>50</v>
      </c>
      <c r="BA481" s="63">
        <v>45</v>
      </c>
      <c r="BB481" s="63">
        <v>47</v>
      </c>
      <c r="BC481" s="63">
        <v>41</v>
      </c>
      <c r="BD481" s="63">
        <v>40</v>
      </c>
      <c r="BE481" s="63">
        <v>51</v>
      </c>
      <c r="BF481" s="63">
        <v>43</v>
      </c>
      <c r="BG481" s="63">
        <v>45</v>
      </c>
    </row>
    <row r="482" spans="1:94" s="63" customFormat="1">
      <c r="A482" s="63" t="s">
        <v>437</v>
      </c>
      <c r="B482" s="63" t="s">
        <v>640</v>
      </c>
      <c r="C482" s="64" t="s">
        <v>641</v>
      </c>
      <c r="D482" s="65" t="s">
        <v>87</v>
      </c>
      <c r="E482" s="66" t="s">
        <v>221</v>
      </c>
      <c r="F482" s="68">
        <v>4</v>
      </c>
      <c r="G482" s="68" t="s">
        <v>140</v>
      </c>
      <c r="H482" s="69">
        <v>806.66666666666663</v>
      </c>
      <c r="I482" s="74">
        <v>19.55</v>
      </c>
      <c r="J482" s="69">
        <v>15530</v>
      </c>
      <c r="K482" s="72"/>
      <c r="L482" s="69">
        <f t="shared" si="1074"/>
        <v>15530</v>
      </c>
      <c r="M482" s="86">
        <f t="shared" si="1075"/>
        <v>19.25206611570248</v>
      </c>
      <c r="N482" s="79">
        <v>8.0500000000000007</v>
      </c>
      <c r="O482" s="79">
        <v>6.16</v>
      </c>
      <c r="P482" s="79">
        <v>9.83</v>
      </c>
      <c r="Q482" s="79">
        <v>9.64</v>
      </c>
      <c r="R482" s="79">
        <v>10.9</v>
      </c>
      <c r="S482" s="84">
        <v>8.31</v>
      </c>
      <c r="T482" s="85">
        <f>AVERAGE(N482:R482)</f>
        <v>8.9160000000000004</v>
      </c>
      <c r="U482" s="63" t="s">
        <v>106</v>
      </c>
      <c r="V482" s="77" t="s">
        <v>103</v>
      </c>
      <c r="W482" s="77"/>
      <c r="X482" s="78">
        <v>0.53</v>
      </c>
      <c r="Y482" s="78"/>
      <c r="Z482" s="79">
        <v>0.55000000000000004</v>
      </c>
      <c r="AA482" s="80">
        <v>45768</v>
      </c>
      <c r="AB482" s="81">
        <f t="shared" si="1078"/>
        <v>45.090909090909093</v>
      </c>
      <c r="AC482" s="81">
        <f t="shared" si="1112"/>
        <v>23.898181818181822</v>
      </c>
      <c r="AD482" s="81">
        <f t="shared" si="1076"/>
        <v>185.56938181818182</v>
      </c>
      <c r="AE482" s="81">
        <f t="shared" si="1113"/>
        <v>9.4920399906998369</v>
      </c>
      <c r="AF482" s="167">
        <f t="shared" si="1114"/>
        <v>0.12452960500145197</v>
      </c>
      <c r="AG482" s="264">
        <v>8.74</v>
      </c>
      <c r="AH482" s="264">
        <f t="shared" si="1115"/>
        <v>0.48057184750733134</v>
      </c>
      <c r="AI482" s="77"/>
      <c r="AJ482" s="79"/>
      <c r="AK482" s="81"/>
      <c r="AL482" s="82"/>
      <c r="AM482" s="82"/>
      <c r="AN482" s="82"/>
      <c r="AO482" s="82"/>
      <c r="AP482" s="82"/>
      <c r="AR482" s="77"/>
      <c r="AS482" s="63">
        <v>46</v>
      </c>
      <c r="AT482" s="63">
        <v>45</v>
      </c>
      <c r="AU482" s="63">
        <v>53</v>
      </c>
      <c r="AV482" s="63">
        <v>42</v>
      </c>
      <c r="AW482" s="63">
        <v>45</v>
      </c>
      <c r="AX482" s="63">
        <v>40</v>
      </c>
      <c r="AY482" s="63">
        <v>53</v>
      </c>
      <c r="AZ482" s="63">
        <v>43</v>
      </c>
      <c r="BA482" s="63">
        <v>42</v>
      </c>
      <c r="BB482" s="63">
        <v>40</v>
      </c>
      <c r="BC482" s="63">
        <v>47</v>
      </c>
    </row>
    <row r="483" spans="1:94" s="63" customFormat="1">
      <c r="A483" s="63" t="s">
        <v>437</v>
      </c>
      <c r="B483" s="63" t="s">
        <v>640</v>
      </c>
      <c r="C483" s="64" t="s">
        <v>641</v>
      </c>
      <c r="D483" s="65" t="s">
        <v>87</v>
      </c>
      <c r="E483" s="66" t="s">
        <v>221</v>
      </c>
      <c r="F483" s="68">
        <v>4</v>
      </c>
      <c r="G483" s="68" t="s">
        <v>140</v>
      </c>
      <c r="H483" s="69">
        <v>806.66666666666663</v>
      </c>
      <c r="I483" s="74">
        <v>19.55</v>
      </c>
      <c r="J483" s="69">
        <v>15530</v>
      </c>
      <c r="K483" s="72"/>
      <c r="L483" s="69">
        <f t="shared" si="1074"/>
        <v>15530</v>
      </c>
      <c r="M483" s="86">
        <f t="shared" si="1075"/>
        <v>19.25206611570248</v>
      </c>
      <c r="N483" s="79">
        <v>8.0500000000000007</v>
      </c>
      <c r="O483" s="79">
        <v>6.16</v>
      </c>
      <c r="P483" s="79">
        <v>9.83</v>
      </c>
      <c r="Q483" s="79">
        <v>9.64</v>
      </c>
      <c r="R483" s="79">
        <v>10.9</v>
      </c>
      <c r="S483" s="84">
        <v>8.31</v>
      </c>
      <c r="T483" s="85">
        <f>AVERAGE(N483:R483)</f>
        <v>8.9160000000000004</v>
      </c>
      <c r="U483" s="63" t="s">
        <v>106</v>
      </c>
      <c r="V483" s="77" t="s">
        <v>103</v>
      </c>
      <c r="W483" s="77"/>
      <c r="X483" s="78">
        <v>0.53</v>
      </c>
      <c r="Y483" s="78"/>
      <c r="Z483" s="79">
        <v>0.55000000000000004</v>
      </c>
      <c r="AA483" s="80">
        <v>45799</v>
      </c>
      <c r="AB483" s="81">
        <f t="shared" si="1078"/>
        <v>45.75</v>
      </c>
      <c r="AC483" s="81">
        <f t="shared" si="1112"/>
        <v>24.247500000000002</v>
      </c>
      <c r="AD483" s="81">
        <f t="shared" si="1076"/>
        <v>188.28183750000002</v>
      </c>
      <c r="AE483" s="81">
        <f t="shared" si="1113"/>
        <v>9.6307845268542209</v>
      </c>
      <c r="AF483" s="167">
        <f t="shared" si="1114"/>
        <v>0.13714194551558914</v>
      </c>
      <c r="AG483" s="264">
        <v>8.74</v>
      </c>
      <c r="AH483" s="264">
        <f t="shared" si="1115"/>
        <v>0.47364855710608317</v>
      </c>
      <c r="AI483" s="77"/>
      <c r="AJ483" s="79"/>
      <c r="AK483" s="81"/>
      <c r="AL483" s="82"/>
      <c r="AM483" s="82"/>
      <c r="AN483" s="82"/>
      <c r="AO483" s="82"/>
      <c r="AP483" s="82"/>
      <c r="AR483" s="77" t="s">
        <v>91</v>
      </c>
      <c r="AS483" s="63">
        <v>44</v>
      </c>
      <c r="AT483" s="63">
        <v>39</v>
      </c>
      <c r="AU483" s="63">
        <v>32</v>
      </c>
      <c r="AV483" s="63">
        <v>45</v>
      </c>
      <c r="AW483" s="63">
        <v>56</v>
      </c>
      <c r="AX483" s="63">
        <v>46</v>
      </c>
      <c r="AY483" s="63">
        <v>47</v>
      </c>
      <c r="AZ483" s="63">
        <v>51</v>
      </c>
      <c r="BA483" s="63">
        <v>60</v>
      </c>
      <c r="BB483" s="63">
        <v>39</v>
      </c>
      <c r="BC483" s="63">
        <v>48</v>
      </c>
      <c r="BD483" s="63">
        <v>42</v>
      </c>
      <c r="BE483" s="63">
        <v>45</v>
      </c>
      <c r="BF483" s="63">
        <v>48</v>
      </c>
      <c r="BG483" s="63">
        <v>48</v>
      </c>
      <c r="BH483" s="63">
        <v>42</v>
      </c>
    </row>
    <row r="484" spans="1:94" s="63" customFormat="1">
      <c r="A484" s="113" t="s">
        <v>437</v>
      </c>
      <c r="B484" s="113" t="s">
        <v>642</v>
      </c>
      <c r="C484" s="114" t="s">
        <v>643</v>
      </c>
      <c r="D484" s="128" t="s">
        <v>87</v>
      </c>
      <c r="E484" s="127" t="s">
        <v>546</v>
      </c>
      <c r="F484" s="126">
        <v>1</v>
      </c>
      <c r="G484" s="126" t="s">
        <v>140</v>
      </c>
      <c r="H484" s="123">
        <v>605</v>
      </c>
      <c r="I484" s="125">
        <v>19.350000000000001</v>
      </c>
      <c r="J484" s="123">
        <v>11526</v>
      </c>
      <c r="K484" s="124"/>
      <c r="L484" s="123">
        <f t="shared" ref="L484:L504" si="1116">J484-(J484*K484)</f>
        <v>11526</v>
      </c>
      <c r="M484" s="122">
        <f t="shared" ref="M484:M504" si="1117">L484/H484</f>
        <v>19.051239669421488</v>
      </c>
      <c r="N484" s="118">
        <v>8.6199999999999992</v>
      </c>
      <c r="O484" s="118">
        <v>8.3000000000000007</v>
      </c>
      <c r="P484" s="118">
        <v>10.18</v>
      </c>
      <c r="Q484" s="118">
        <v>11.24</v>
      </c>
      <c r="R484" s="118">
        <v>9.9499999999999993</v>
      </c>
      <c r="S484" s="153">
        <v>7.95</v>
      </c>
      <c r="T484" s="121">
        <f>AVERAGE(N484:S484)</f>
        <v>9.3733333333333348</v>
      </c>
      <c r="U484" s="113" t="s">
        <v>106</v>
      </c>
      <c r="V484" s="115" t="s">
        <v>214</v>
      </c>
      <c r="W484" s="115"/>
      <c r="X484" s="120">
        <v>0.28999999999999998</v>
      </c>
      <c r="Y484" s="120"/>
      <c r="Z484" s="118">
        <v>0.3</v>
      </c>
      <c r="AA484" s="119">
        <v>45770</v>
      </c>
      <c r="AB484" s="117">
        <f t="shared" si="1078"/>
        <v>97.818181818181813</v>
      </c>
      <c r="AC484" s="117">
        <f t="shared" si="1112"/>
        <v>28.367272727272724</v>
      </c>
      <c r="AD484" s="117">
        <f t="shared" ref="AD484:AD504" si="1118">(AC484*L484)/2000</f>
        <v>163.48059272727272</v>
      </c>
      <c r="AE484" s="117">
        <f t="shared" si="1113"/>
        <v>8.4486094432699073</v>
      </c>
      <c r="AF484" s="170">
        <f t="shared" si="1114"/>
        <v>5.9016746675051392E-2</v>
      </c>
      <c r="AG484" s="265">
        <v>10.97</v>
      </c>
      <c r="AH484" s="265">
        <f t="shared" si="1115"/>
        <v>0.3707333558634674</v>
      </c>
      <c r="AI484" s="115"/>
      <c r="AJ484" s="118">
        <f>AD484-(AI484*I484)</f>
        <v>163.48059272727272</v>
      </c>
      <c r="AK484" s="116">
        <f>AJ484/I484</f>
        <v>8.4486094432699073</v>
      </c>
      <c r="AL484" s="116"/>
      <c r="AM484" s="116">
        <f>((AJ484*2000)/Z484)/J484</f>
        <v>94.557575757575762</v>
      </c>
      <c r="AN484" s="116"/>
      <c r="AO484" s="116"/>
      <c r="AP484" s="116"/>
      <c r="AQ484" s="113"/>
      <c r="AR484" s="115"/>
      <c r="AS484" s="113">
        <v>106</v>
      </c>
      <c r="AT484" s="113">
        <v>105</v>
      </c>
      <c r="AU484" s="113">
        <v>98</v>
      </c>
      <c r="AV484" s="113">
        <v>93</v>
      </c>
      <c r="AW484" s="113">
        <v>93</v>
      </c>
      <c r="AX484" s="113">
        <v>95</v>
      </c>
      <c r="AY484" s="113">
        <v>102</v>
      </c>
      <c r="AZ484" s="113">
        <v>96</v>
      </c>
      <c r="BA484" s="113">
        <v>101</v>
      </c>
      <c r="BB484" s="113">
        <v>89</v>
      </c>
      <c r="BC484" s="113">
        <v>98</v>
      </c>
      <c r="BD484" s="113"/>
      <c r="BE484" s="113"/>
      <c r="BF484" s="113"/>
      <c r="BG484" s="113"/>
      <c r="BH484" s="113"/>
      <c r="BI484" s="113"/>
      <c r="BJ484" s="113"/>
      <c r="BK484" s="113"/>
      <c r="BL484" s="113"/>
      <c r="BM484" s="113"/>
      <c r="BN484" s="113"/>
      <c r="BO484" s="113"/>
      <c r="BP484" s="113"/>
      <c r="BQ484" s="113"/>
      <c r="BR484" s="113"/>
      <c r="BS484" s="113"/>
      <c r="BT484" s="113"/>
      <c r="BU484" s="113"/>
      <c r="BV484" s="113"/>
      <c r="BW484" s="113"/>
      <c r="BX484" s="113"/>
      <c r="BY484" s="113"/>
      <c r="BZ484" s="113"/>
      <c r="CA484" s="113"/>
      <c r="CB484" s="113"/>
      <c r="CC484" s="113"/>
      <c r="CD484" s="113"/>
      <c r="CE484" s="113"/>
      <c r="CF484" s="113"/>
      <c r="CG484" s="113"/>
      <c r="CH484" s="113"/>
      <c r="CI484" s="113"/>
      <c r="CJ484" s="113"/>
      <c r="CK484" s="113"/>
      <c r="CL484" s="113"/>
      <c r="CM484" s="113"/>
      <c r="CN484" s="113"/>
      <c r="CO484" s="113"/>
      <c r="CP484" s="113"/>
    </row>
    <row r="485" spans="1:94" s="113" customFormat="1">
      <c r="A485" s="113" t="s">
        <v>437</v>
      </c>
      <c r="B485" s="113" t="s">
        <v>642</v>
      </c>
      <c r="C485" s="114" t="s">
        <v>643</v>
      </c>
      <c r="D485" s="128" t="s">
        <v>87</v>
      </c>
      <c r="E485" s="127" t="s">
        <v>546</v>
      </c>
      <c r="F485" s="126">
        <v>1</v>
      </c>
      <c r="G485" s="126" t="s">
        <v>140</v>
      </c>
      <c r="H485" s="123">
        <v>605</v>
      </c>
      <c r="I485" s="125">
        <v>19.350000000000001</v>
      </c>
      <c r="J485" s="123">
        <v>11526</v>
      </c>
      <c r="K485" s="124"/>
      <c r="L485" s="123">
        <f t="shared" si="1116"/>
        <v>11526</v>
      </c>
      <c r="M485" s="122">
        <f t="shared" si="1117"/>
        <v>19.051239669421488</v>
      </c>
      <c r="N485" s="118">
        <v>8.6199999999999992</v>
      </c>
      <c r="O485" s="118">
        <v>8.3000000000000007</v>
      </c>
      <c r="P485" s="118">
        <v>10.18</v>
      </c>
      <c r="Q485" s="118">
        <v>11.24</v>
      </c>
      <c r="R485" s="118">
        <v>9.9499999999999993</v>
      </c>
      <c r="S485" s="153">
        <v>7.95</v>
      </c>
      <c r="T485" s="121">
        <f>AVERAGE(N485:S485)</f>
        <v>9.3733333333333348</v>
      </c>
      <c r="U485" s="113" t="s">
        <v>106</v>
      </c>
      <c r="V485" s="115" t="s">
        <v>214</v>
      </c>
      <c r="W485" s="115"/>
      <c r="X485" s="120">
        <v>0.25</v>
      </c>
      <c r="Y485" s="120"/>
      <c r="Z485" s="118">
        <v>0.3</v>
      </c>
      <c r="AA485" s="119">
        <v>45777</v>
      </c>
      <c r="AB485" s="117">
        <f t="shared" si="1078"/>
        <v>145.45454545454547</v>
      </c>
      <c r="AC485" s="117">
        <f t="shared" si="1112"/>
        <v>36.363636363636367</v>
      </c>
      <c r="AD485" s="117">
        <f t="shared" si="1118"/>
        <v>209.56363636363639</v>
      </c>
      <c r="AE485" s="117">
        <f t="shared" si="1113"/>
        <v>10.83016208597604</v>
      </c>
      <c r="AF485" s="170">
        <f t="shared" si="1114"/>
        <v>0.26593896408120771</v>
      </c>
      <c r="AG485" s="265">
        <v>10.97</v>
      </c>
      <c r="AH485" s="265">
        <f t="shared" si="1115"/>
        <v>0.2493181818181818</v>
      </c>
      <c r="AI485" s="115"/>
      <c r="AJ485" s="118">
        <f>AD485-(AI485*I485)</f>
        <v>209.56363636363639</v>
      </c>
      <c r="AK485" s="116">
        <f>AJ485/I485</f>
        <v>10.83016208597604</v>
      </c>
      <c r="AL485" s="116"/>
      <c r="AM485" s="116">
        <f>((AJ485*2000)/Z485)/J485</f>
        <v>121.21212121212122</v>
      </c>
      <c r="AN485" s="116"/>
      <c r="AO485" s="116"/>
      <c r="AP485" s="116"/>
      <c r="AR485" s="115"/>
      <c r="AS485" s="113">
        <v>150</v>
      </c>
      <c r="AT485" s="113">
        <v>164</v>
      </c>
      <c r="AU485" s="113">
        <v>134</v>
      </c>
      <c r="AV485" s="113">
        <v>152</v>
      </c>
      <c r="AW485" s="113">
        <v>158</v>
      </c>
      <c r="AX485" s="113">
        <v>158</v>
      </c>
      <c r="AY485" s="113">
        <v>143</v>
      </c>
      <c r="AZ485" s="113">
        <v>105</v>
      </c>
      <c r="BA485" s="113">
        <v>153</v>
      </c>
      <c r="BB485" s="113">
        <v>148</v>
      </c>
      <c r="BC485" s="113">
        <v>135</v>
      </c>
    </row>
    <row r="486" spans="1:94" s="113" customFormat="1">
      <c r="A486" s="63" t="s">
        <v>437</v>
      </c>
      <c r="B486" s="63" t="s">
        <v>645</v>
      </c>
      <c r="C486" s="64" t="s">
        <v>646</v>
      </c>
      <c r="D486" s="65" t="s">
        <v>87</v>
      </c>
      <c r="E486" s="66" t="s">
        <v>160</v>
      </c>
      <c r="F486" s="68">
        <v>4</v>
      </c>
      <c r="G486" s="68" t="s">
        <v>140</v>
      </c>
      <c r="H486" s="69">
        <v>605</v>
      </c>
      <c r="I486" s="74">
        <v>19.13</v>
      </c>
      <c r="J486" s="69">
        <v>11455</v>
      </c>
      <c r="K486" s="72">
        <v>0.05</v>
      </c>
      <c r="L486" s="69">
        <f t="shared" si="1116"/>
        <v>10882.25</v>
      </c>
      <c r="M486" s="86">
        <f t="shared" si="1117"/>
        <v>17.987190082644627</v>
      </c>
      <c r="N486" s="79">
        <v>8.41</v>
      </c>
      <c r="O486" s="79">
        <v>8.85</v>
      </c>
      <c r="P486" s="79">
        <v>9.67</v>
      </c>
      <c r="Q486" s="79">
        <v>10.4</v>
      </c>
      <c r="R486" s="79">
        <v>10.99</v>
      </c>
      <c r="S486" s="84">
        <v>8.43</v>
      </c>
      <c r="T486" s="85">
        <f>AVERAGE(N486:S486)</f>
        <v>9.4583333333333339</v>
      </c>
      <c r="U486" s="63" t="s">
        <v>365</v>
      </c>
      <c r="V486" s="77" t="s">
        <v>103</v>
      </c>
      <c r="W486" s="77"/>
      <c r="X486" s="78">
        <v>0.42899999999999999</v>
      </c>
      <c r="Y486" s="78"/>
      <c r="Z486" s="79">
        <v>0.4</v>
      </c>
      <c r="AA486" s="80">
        <v>45762</v>
      </c>
      <c r="AB486" s="81">
        <f t="shared" si="1078"/>
        <v>71.75</v>
      </c>
      <c r="AC486" s="81">
        <f t="shared" si="1112"/>
        <v>30.780750000000001</v>
      </c>
      <c r="AD486" s="81">
        <f t="shared" si="1118"/>
        <v>167.48190834375001</v>
      </c>
      <c r="AE486" s="81">
        <f t="shared" si="1113"/>
        <v>8.7549350937663366</v>
      </c>
      <c r="AF486" s="167">
        <f t="shared" si="1114"/>
        <v>3.711450630829876E-2</v>
      </c>
      <c r="AG486" s="264"/>
      <c r="AH486" s="264">
        <f t="shared" si="1077"/>
        <v>0</v>
      </c>
      <c r="AI486" s="77"/>
      <c r="AJ486" s="79"/>
      <c r="AK486" s="82"/>
      <c r="AL486" s="82"/>
      <c r="AM486" s="82"/>
      <c r="AN486" s="82"/>
      <c r="AO486" s="82"/>
      <c r="AP486" s="82"/>
      <c r="AQ486" s="63"/>
      <c r="AR486" s="77" t="s">
        <v>91</v>
      </c>
      <c r="AS486" s="63">
        <v>59</v>
      </c>
      <c r="AT486" s="63">
        <v>67</v>
      </c>
      <c r="AU486" s="63">
        <v>54</v>
      </c>
      <c r="AV486" s="63">
        <v>66</v>
      </c>
      <c r="AW486" s="63">
        <v>69</v>
      </c>
      <c r="AX486" s="63">
        <v>96</v>
      </c>
      <c r="AY486" s="63">
        <v>79</v>
      </c>
      <c r="AZ486" s="63">
        <v>62</v>
      </c>
      <c r="BA486" s="63">
        <v>89</v>
      </c>
      <c r="BB486" s="63">
        <v>59</v>
      </c>
      <c r="BC486" s="63">
        <v>62</v>
      </c>
      <c r="BD486" s="63">
        <v>90</v>
      </c>
      <c r="BE486" s="63">
        <v>72</v>
      </c>
      <c r="BF486" s="63">
        <v>45</v>
      </c>
      <c r="BG486" s="63">
        <v>50</v>
      </c>
      <c r="BH486" s="63">
        <v>70</v>
      </c>
      <c r="BI486" s="63">
        <v>75</v>
      </c>
      <c r="BJ486" s="63">
        <v>114</v>
      </c>
      <c r="BK486" s="63">
        <v>93</v>
      </c>
      <c r="BL486" s="63">
        <v>64</v>
      </c>
      <c r="BM486" s="63"/>
      <c r="BN486" s="63"/>
      <c r="BO486" s="63"/>
      <c r="BP486" s="63"/>
      <c r="BQ486" s="63"/>
      <c r="BR486" s="63"/>
      <c r="BS486" s="63"/>
      <c r="BT486" s="63"/>
      <c r="BU486" s="63"/>
      <c r="BV486" s="63"/>
      <c r="BW486" s="63"/>
      <c r="BX486" s="63"/>
      <c r="BY486" s="63"/>
      <c r="BZ486" s="63"/>
      <c r="CA486" s="63"/>
      <c r="CB486" s="63"/>
      <c r="CC486" s="63"/>
      <c r="CD486" s="63"/>
      <c r="CE486" s="63"/>
      <c r="CF486" s="63"/>
      <c r="CG486" s="63"/>
      <c r="CH486" s="63"/>
      <c r="CI486" s="63"/>
      <c r="CJ486" s="63"/>
      <c r="CK486" s="63"/>
      <c r="CL486" s="63"/>
      <c r="CM486" s="63"/>
      <c r="CN486" s="63"/>
      <c r="CO486" s="63"/>
      <c r="CP486" s="63"/>
    </row>
    <row r="487" spans="1:94" s="63" customFormat="1">
      <c r="A487" s="63" t="s">
        <v>437</v>
      </c>
      <c r="B487" s="63" t="s">
        <v>645</v>
      </c>
      <c r="C487" s="64" t="s">
        <v>646</v>
      </c>
      <c r="D487" s="65" t="s">
        <v>87</v>
      </c>
      <c r="E487" s="66" t="s">
        <v>160</v>
      </c>
      <c r="F487" s="68">
        <v>4</v>
      </c>
      <c r="G487" s="68" t="s">
        <v>140</v>
      </c>
      <c r="H487" s="69">
        <v>605</v>
      </c>
      <c r="I487" s="74">
        <v>19.13</v>
      </c>
      <c r="J487" s="69">
        <v>11455</v>
      </c>
      <c r="K487" s="72">
        <v>0.05</v>
      </c>
      <c r="L487" s="69">
        <f t="shared" si="1116"/>
        <v>10882.25</v>
      </c>
      <c r="M487" s="86">
        <f t="shared" si="1117"/>
        <v>17.987190082644627</v>
      </c>
      <c r="N487" s="79">
        <v>8.41</v>
      </c>
      <c r="O487" s="79">
        <v>8.85</v>
      </c>
      <c r="P487" s="79">
        <v>9.67</v>
      </c>
      <c r="Q487" s="79">
        <v>10.4</v>
      </c>
      <c r="R487" s="79">
        <v>10.99</v>
      </c>
      <c r="S487" s="84">
        <v>8.43</v>
      </c>
      <c r="T487" s="85">
        <f>AVERAGE(N487:S487)</f>
        <v>9.4583333333333339</v>
      </c>
      <c r="U487" s="63" t="s">
        <v>365</v>
      </c>
      <c r="V487" s="77" t="s">
        <v>103</v>
      </c>
      <c r="W487" s="77"/>
      <c r="X487" s="78">
        <v>0.42899999999999999</v>
      </c>
      <c r="Y487" s="78"/>
      <c r="Z487" s="79">
        <v>0.4</v>
      </c>
      <c r="AA487" s="80">
        <v>45762</v>
      </c>
      <c r="AB487" s="81">
        <f t="shared" si="1078"/>
        <v>76.3</v>
      </c>
      <c r="AC487" s="81">
        <f t="shared" si="1112"/>
        <v>32.732700000000001</v>
      </c>
      <c r="AD487" s="81">
        <f t="shared" si="1118"/>
        <v>178.1027122875</v>
      </c>
      <c r="AE487" s="81">
        <f t="shared" si="1113"/>
        <v>9.3101260997124946</v>
      </c>
      <c r="AF487" s="167">
        <f t="shared" si="1114"/>
        <v>9.453428345505159E-2</v>
      </c>
      <c r="AG487" s="264"/>
      <c r="AH487" s="264">
        <f t="shared" si="1077"/>
        <v>0</v>
      </c>
      <c r="AI487" s="77"/>
      <c r="AJ487" s="79"/>
      <c r="AK487" s="82"/>
      <c r="AL487" s="82"/>
      <c r="AM487" s="82"/>
      <c r="AN487" s="82"/>
      <c r="AO487" s="82"/>
      <c r="AP487" s="82"/>
      <c r="AR487" s="77" t="s">
        <v>116</v>
      </c>
      <c r="AS487" s="63">
        <v>52</v>
      </c>
      <c r="AT487" s="63">
        <v>72</v>
      </c>
      <c r="AU487" s="63">
        <v>77</v>
      </c>
      <c r="AV487" s="63">
        <v>78</v>
      </c>
      <c r="AW487" s="63">
        <v>72</v>
      </c>
      <c r="AX487" s="63">
        <v>71</v>
      </c>
      <c r="AY487" s="63">
        <v>68</v>
      </c>
      <c r="AZ487" s="63">
        <v>107</v>
      </c>
      <c r="BA487" s="63">
        <v>59</v>
      </c>
      <c r="BB487" s="63">
        <v>73</v>
      </c>
      <c r="BC487" s="63">
        <v>64</v>
      </c>
      <c r="BD487" s="63">
        <v>70</v>
      </c>
      <c r="BE487" s="63">
        <v>54</v>
      </c>
      <c r="BF487" s="63">
        <v>77</v>
      </c>
      <c r="BG487" s="63">
        <v>83</v>
      </c>
      <c r="BH487" s="63">
        <v>78</v>
      </c>
      <c r="BI487" s="63">
        <v>110</v>
      </c>
      <c r="BJ487" s="63">
        <v>93</v>
      </c>
      <c r="BK487" s="63">
        <v>80</v>
      </c>
      <c r="BL487" s="63">
        <v>88</v>
      </c>
    </row>
    <row r="488" spans="1:94" s="63" customFormat="1">
      <c r="A488" s="113" t="s">
        <v>437</v>
      </c>
      <c r="B488" s="113" t="s">
        <v>647</v>
      </c>
      <c r="C488" s="114" t="s">
        <v>648</v>
      </c>
      <c r="D488" s="128" t="s">
        <v>193</v>
      </c>
      <c r="E488" s="127" t="s">
        <v>148</v>
      </c>
      <c r="F488" s="126" t="s">
        <v>649</v>
      </c>
      <c r="G488" s="126" t="s">
        <v>650</v>
      </c>
      <c r="H488" s="123">
        <v>622</v>
      </c>
      <c r="I488" s="125">
        <v>35.5</v>
      </c>
      <c r="J488" s="123">
        <v>21904</v>
      </c>
      <c r="K488" s="124">
        <v>0.05</v>
      </c>
      <c r="L488" s="123">
        <f t="shared" si="1116"/>
        <v>20808.8</v>
      </c>
      <c r="M488" s="122">
        <f t="shared" si="1117"/>
        <v>33.454662379421222</v>
      </c>
      <c r="N488" s="125"/>
      <c r="O488" s="125"/>
      <c r="P488" s="125"/>
      <c r="Q488" s="125"/>
      <c r="R488" s="125"/>
      <c r="S488" s="154">
        <v>4.63</v>
      </c>
      <c r="T488" s="129"/>
      <c r="U488" s="113" t="s">
        <v>365</v>
      </c>
      <c r="V488" s="115" t="s">
        <v>103</v>
      </c>
      <c r="W488" s="115"/>
      <c r="X488" s="120">
        <v>0.33</v>
      </c>
      <c r="Y488" s="120">
        <v>0.39</v>
      </c>
      <c r="Z488" s="118">
        <v>0.35</v>
      </c>
      <c r="AA488" s="119">
        <v>45771</v>
      </c>
      <c r="AB488" s="117">
        <f t="shared" si="1078"/>
        <v>71</v>
      </c>
      <c r="AC488" s="117">
        <f>AB488*Y488</f>
        <v>27.69</v>
      </c>
      <c r="AD488" s="117">
        <f t="shared" si="1118"/>
        <v>288.09783600000003</v>
      </c>
      <c r="AE488" s="117">
        <f t="shared" si="1113"/>
        <v>8.1154320000000002</v>
      </c>
      <c r="AF488" s="170">
        <f t="shared" si="1114"/>
        <v>0.42948200416194732</v>
      </c>
      <c r="AG488" s="265"/>
      <c r="AH488" s="265">
        <f t="shared" si="1077"/>
        <v>0</v>
      </c>
      <c r="AI488" s="115"/>
      <c r="AJ488" s="118">
        <f t="shared" ref="AJ488:AJ499" si="1119">AD488-(AI488*I488)</f>
        <v>288.09783600000003</v>
      </c>
      <c r="AK488" s="116">
        <f t="shared" ref="AK488:AK499" si="1120">AJ488/I488</f>
        <v>8.1154320000000002</v>
      </c>
      <c r="AL488" s="116"/>
      <c r="AM488" s="116">
        <f t="shared" ref="AM488:AM499" si="1121">((AJ488*2000)/Z488)/J488</f>
        <v>75.158571428571435</v>
      </c>
      <c r="AN488" s="116" t="s">
        <v>701</v>
      </c>
      <c r="AO488" s="116"/>
      <c r="AP488" s="116"/>
      <c r="AQ488" s="175"/>
      <c r="AR488" s="115" t="s">
        <v>116</v>
      </c>
      <c r="AS488" s="113">
        <v>69</v>
      </c>
      <c r="AT488" s="113">
        <v>85</v>
      </c>
      <c r="AU488" s="113">
        <v>78</v>
      </c>
      <c r="AV488" s="113">
        <v>70</v>
      </c>
      <c r="AW488" s="113">
        <v>65</v>
      </c>
      <c r="AX488" s="113">
        <v>60</v>
      </c>
      <c r="AY488" s="113">
        <v>63</v>
      </c>
      <c r="AZ488" s="113">
        <v>59</v>
      </c>
      <c r="BA488" s="113">
        <v>73</v>
      </c>
      <c r="BB488" s="113">
        <v>81</v>
      </c>
      <c r="BC488" s="113">
        <v>70</v>
      </c>
      <c r="BD488" s="113">
        <v>60</v>
      </c>
      <c r="BE488" s="113">
        <v>67</v>
      </c>
      <c r="BF488" s="113">
        <v>78</v>
      </c>
      <c r="BG488" s="113">
        <v>59</v>
      </c>
      <c r="BH488" s="113">
        <v>73</v>
      </c>
      <c r="BI488" s="113">
        <v>70</v>
      </c>
      <c r="BJ488" s="113">
        <v>85</v>
      </c>
      <c r="BK488" s="113">
        <v>80</v>
      </c>
      <c r="BL488" s="113">
        <v>75</v>
      </c>
      <c r="BM488" s="113"/>
      <c r="BN488" s="113"/>
      <c r="BO488" s="113"/>
      <c r="BP488" s="113"/>
      <c r="BQ488" s="113"/>
      <c r="BR488" s="113"/>
      <c r="BS488" s="113"/>
      <c r="BT488" s="113"/>
      <c r="BU488" s="113"/>
      <c r="BV488" s="113"/>
      <c r="BW488" s="113"/>
      <c r="BX488" s="113"/>
      <c r="BY488" s="113"/>
      <c r="BZ488" s="113"/>
      <c r="CA488" s="113"/>
      <c r="CB488" s="113"/>
      <c r="CC488" s="113"/>
      <c r="CD488" s="113"/>
      <c r="CE488" s="113"/>
      <c r="CF488" s="113"/>
      <c r="CG488" s="113"/>
      <c r="CH488" s="113"/>
      <c r="CI488" s="113"/>
      <c r="CJ488" s="113"/>
      <c r="CK488" s="113"/>
      <c r="CL488" s="113"/>
      <c r="CM488" s="113"/>
      <c r="CN488" s="113"/>
      <c r="CO488" s="113"/>
      <c r="CP488" s="113"/>
    </row>
    <row r="489" spans="1:94" s="63" customFormat="1">
      <c r="A489" s="113" t="s">
        <v>437</v>
      </c>
      <c r="B489" s="113" t="s">
        <v>647</v>
      </c>
      <c r="C489" s="114" t="s">
        <v>648</v>
      </c>
      <c r="D489" s="128" t="s">
        <v>193</v>
      </c>
      <c r="E489" s="127" t="s">
        <v>148</v>
      </c>
      <c r="F489" s="126" t="s">
        <v>649</v>
      </c>
      <c r="G489" s="126" t="s">
        <v>650</v>
      </c>
      <c r="H489" s="123">
        <v>622</v>
      </c>
      <c r="I489" s="125">
        <v>35.5</v>
      </c>
      <c r="J489" s="123">
        <v>21904</v>
      </c>
      <c r="K489" s="124">
        <v>0.05</v>
      </c>
      <c r="L489" s="123">
        <f t="shared" si="1116"/>
        <v>20808.8</v>
      </c>
      <c r="M489" s="122">
        <f t="shared" si="1117"/>
        <v>33.454662379421222</v>
      </c>
      <c r="N489" s="125"/>
      <c r="O489" s="125"/>
      <c r="P489" s="125"/>
      <c r="Q489" s="125"/>
      <c r="R489" s="125"/>
      <c r="S489" s="154">
        <v>4.63</v>
      </c>
      <c r="T489" s="129"/>
      <c r="U489" s="113" t="s">
        <v>365</v>
      </c>
      <c r="V489" s="115" t="s">
        <v>103</v>
      </c>
      <c r="W489" s="115"/>
      <c r="X489" s="120">
        <v>0.33</v>
      </c>
      <c r="Y489" s="120">
        <v>0.39</v>
      </c>
      <c r="Z489" s="118">
        <v>0.35</v>
      </c>
      <c r="AA489" s="119">
        <v>45820</v>
      </c>
      <c r="AB489" s="117">
        <f t="shared" si="1078"/>
        <v>78</v>
      </c>
      <c r="AC489" s="117">
        <f>AB489*Y489</f>
        <v>30.42</v>
      </c>
      <c r="AD489" s="117">
        <f t="shared" si="1118"/>
        <v>316.501848</v>
      </c>
      <c r="AE489" s="117">
        <f t="shared" si="1113"/>
        <v>8.9155450140845076</v>
      </c>
      <c r="AF489" s="170">
        <f t="shared" si="1114"/>
        <v>0.48068233712177255</v>
      </c>
      <c r="AG489" s="265"/>
      <c r="AH489" s="265">
        <f t="shared" si="1077"/>
        <v>0</v>
      </c>
      <c r="AI489" s="115"/>
      <c r="AJ489" s="118">
        <f t="shared" si="1119"/>
        <v>316.501848</v>
      </c>
      <c r="AK489" s="116">
        <f t="shared" si="1120"/>
        <v>8.9155450140845076</v>
      </c>
      <c r="AL489" s="116"/>
      <c r="AM489" s="116">
        <f t="shared" si="1121"/>
        <v>82.568571428571431</v>
      </c>
      <c r="AN489" s="116" t="s">
        <v>701</v>
      </c>
      <c r="AO489" s="116"/>
      <c r="AP489" s="116"/>
      <c r="AQ489" s="175"/>
      <c r="AR489" s="115" t="s">
        <v>91</v>
      </c>
      <c r="AS489" s="113">
        <v>75</v>
      </c>
      <c r="AT489" s="113">
        <v>82</v>
      </c>
      <c r="AU489" s="113">
        <v>77</v>
      </c>
      <c r="AV489" s="113">
        <v>83</v>
      </c>
      <c r="AW489" s="113">
        <v>84</v>
      </c>
      <c r="AX489" s="113">
        <v>73</v>
      </c>
      <c r="AY489" s="113">
        <v>83</v>
      </c>
      <c r="AZ489" s="113">
        <v>78</v>
      </c>
      <c r="BA489" s="113">
        <v>73</v>
      </c>
      <c r="BB489" s="113">
        <v>66</v>
      </c>
      <c r="BC489" s="113">
        <v>82</v>
      </c>
      <c r="BD489" s="113">
        <v>80</v>
      </c>
      <c r="BE489" s="113"/>
      <c r="BF489" s="113"/>
      <c r="BG489" s="113"/>
      <c r="BH489" s="113"/>
      <c r="BI489" s="113"/>
      <c r="BJ489" s="113"/>
      <c r="BK489" s="113"/>
      <c r="BL489" s="113"/>
      <c r="BM489" s="113"/>
      <c r="BN489" s="113"/>
      <c r="BO489" s="113"/>
      <c r="BP489" s="113"/>
      <c r="BQ489" s="113"/>
      <c r="BR489" s="113"/>
      <c r="BS489" s="113"/>
      <c r="BT489" s="113"/>
      <c r="BU489" s="113"/>
      <c r="BV489" s="113"/>
      <c r="BW489" s="113"/>
      <c r="BX489" s="113"/>
      <c r="BY489" s="113"/>
      <c r="BZ489" s="113"/>
      <c r="CA489" s="113"/>
      <c r="CB489" s="113"/>
      <c r="CC489" s="113"/>
      <c r="CD489" s="113"/>
      <c r="CE489" s="113"/>
      <c r="CF489" s="113"/>
      <c r="CG489" s="113"/>
      <c r="CH489" s="113"/>
      <c r="CI489" s="113"/>
      <c r="CJ489" s="113"/>
      <c r="CK489" s="113"/>
      <c r="CL489" s="113"/>
      <c r="CM489" s="113"/>
      <c r="CN489" s="113"/>
      <c r="CO489" s="113"/>
      <c r="CP489" s="113"/>
    </row>
    <row r="490" spans="1:94" s="63" customFormat="1">
      <c r="A490" s="113" t="s">
        <v>437</v>
      </c>
      <c r="B490" s="113" t="s">
        <v>647</v>
      </c>
      <c r="C490" s="114" t="s">
        <v>648</v>
      </c>
      <c r="D490" s="128" t="s">
        <v>193</v>
      </c>
      <c r="E490" s="127" t="s">
        <v>148</v>
      </c>
      <c r="F490" s="126" t="s">
        <v>649</v>
      </c>
      <c r="G490" s="126" t="s">
        <v>650</v>
      </c>
      <c r="H490" s="123">
        <v>622</v>
      </c>
      <c r="I490" s="125">
        <v>35.5</v>
      </c>
      <c r="J490" s="123">
        <v>21904</v>
      </c>
      <c r="K490" s="124">
        <v>0.05</v>
      </c>
      <c r="L490" s="123">
        <f t="shared" si="1116"/>
        <v>20808.8</v>
      </c>
      <c r="M490" s="122">
        <f t="shared" si="1117"/>
        <v>33.454662379421222</v>
      </c>
      <c r="N490" s="125"/>
      <c r="O490" s="125"/>
      <c r="P490" s="125"/>
      <c r="Q490" s="125"/>
      <c r="R490" s="125"/>
      <c r="S490" s="154">
        <v>4.63</v>
      </c>
      <c r="T490" s="129"/>
      <c r="U490" s="113" t="s">
        <v>365</v>
      </c>
      <c r="V490" s="115" t="s">
        <v>103</v>
      </c>
      <c r="W490" s="115"/>
      <c r="X490" s="120">
        <v>0.33</v>
      </c>
      <c r="Y490" s="120">
        <v>0.39</v>
      </c>
      <c r="Z490" s="118">
        <v>0.35</v>
      </c>
      <c r="AA490" s="119">
        <v>45825</v>
      </c>
      <c r="AB490" s="117">
        <f t="shared" si="1078"/>
        <v>68.875</v>
      </c>
      <c r="AC490" s="117">
        <f>AB490*Y490</f>
        <v>26.861250000000002</v>
      </c>
      <c r="AD490" s="117">
        <f t="shared" si="1118"/>
        <v>279.47518950000006</v>
      </c>
      <c r="AE490" s="117">
        <f t="shared" si="1113"/>
        <v>7.8725405492957758</v>
      </c>
      <c r="AF490" s="170">
        <f t="shared" si="1114"/>
        <v>0.41187981554262448</v>
      </c>
      <c r="AG490" s="265"/>
      <c r="AH490" s="265">
        <f t="shared" si="1077"/>
        <v>0</v>
      </c>
      <c r="AI490" s="115"/>
      <c r="AJ490" s="118">
        <f t="shared" si="1119"/>
        <v>279.47518950000006</v>
      </c>
      <c r="AK490" s="116">
        <f t="shared" si="1120"/>
        <v>7.8725405492957758</v>
      </c>
      <c r="AL490" s="116"/>
      <c r="AM490" s="116">
        <f t="shared" si="1121"/>
        <v>72.909107142857152</v>
      </c>
      <c r="AN490" s="116" t="s">
        <v>701</v>
      </c>
      <c r="AO490" s="116"/>
      <c r="AP490" s="116"/>
      <c r="AQ490" s="175"/>
      <c r="AR490" s="115" t="s">
        <v>116</v>
      </c>
      <c r="AS490" s="113">
        <v>66</v>
      </c>
      <c r="AT490" s="113">
        <v>67</v>
      </c>
      <c r="AU490" s="113">
        <v>72</v>
      </c>
      <c r="AV490" s="113">
        <v>78</v>
      </c>
      <c r="AW490" s="113">
        <v>72</v>
      </c>
      <c r="AX490" s="113">
        <v>69</v>
      </c>
      <c r="AY490" s="113">
        <v>70</v>
      </c>
      <c r="AZ490" s="113">
        <v>68</v>
      </c>
      <c r="BA490" s="113">
        <v>59</v>
      </c>
      <c r="BB490" s="113">
        <v>68</v>
      </c>
      <c r="BC490" s="113">
        <v>71</v>
      </c>
      <c r="BD490" s="113">
        <v>63</v>
      </c>
      <c r="BE490" s="113">
        <v>68</v>
      </c>
      <c r="BF490" s="113">
        <v>70</v>
      </c>
      <c r="BG490" s="113">
        <v>69</v>
      </c>
      <c r="BH490" s="113">
        <v>72</v>
      </c>
      <c r="BI490" s="113"/>
      <c r="BJ490" s="113"/>
      <c r="BK490" s="113"/>
      <c r="BL490" s="113"/>
      <c r="BM490" s="113"/>
      <c r="BN490" s="113"/>
      <c r="BO490" s="113"/>
      <c r="BP490" s="113"/>
      <c r="BQ490" s="113"/>
      <c r="BR490" s="113"/>
      <c r="BS490" s="113"/>
      <c r="BT490" s="113"/>
      <c r="BU490" s="113"/>
      <c r="BV490" s="113"/>
      <c r="BW490" s="113"/>
      <c r="BX490" s="113"/>
      <c r="BY490" s="113"/>
      <c r="BZ490" s="113"/>
      <c r="CA490" s="113"/>
      <c r="CB490" s="113"/>
      <c r="CC490" s="113"/>
      <c r="CD490" s="113"/>
      <c r="CE490" s="113"/>
      <c r="CF490" s="113"/>
      <c r="CG490" s="113"/>
      <c r="CH490" s="113"/>
      <c r="CI490" s="113"/>
      <c r="CJ490" s="113"/>
      <c r="CK490" s="113"/>
      <c r="CL490" s="113"/>
      <c r="CM490" s="113"/>
      <c r="CN490" s="113"/>
      <c r="CO490" s="113"/>
      <c r="CP490" s="113"/>
    </row>
    <row r="491" spans="1:94" s="113" customFormat="1">
      <c r="A491" s="63" t="s">
        <v>437</v>
      </c>
      <c r="B491" s="63" t="s">
        <v>651</v>
      </c>
      <c r="C491" s="64" t="s">
        <v>652</v>
      </c>
      <c r="D491" s="65" t="s">
        <v>87</v>
      </c>
      <c r="E491" s="66" t="s">
        <v>261</v>
      </c>
      <c r="F491" s="68">
        <v>23</v>
      </c>
      <c r="G491" s="68" t="s">
        <v>140</v>
      </c>
      <c r="H491" s="69">
        <v>691.42857142857144</v>
      </c>
      <c r="I491" s="74">
        <v>23.24</v>
      </c>
      <c r="J491" s="69">
        <v>15976</v>
      </c>
      <c r="K491" s="72"/>
      <c r="L491" s="69">
        <f t="shared" si="1116"/>
        <v>15976</v>
      </c>
      <c r="M491" s="86">
        <f t="shared" si="1117"/>
        <v>23.105785123966943</v>
      </c>
      <c r="N491" s="79">
        <v>9.5399999999999991</v>
      </c>
      <c r="O491" s="79">
        <v>10.23</v>
      </c>
      <c r="P491" s="79">
        <v>10.74</v>
      </c>
      <c r="Q491" s="79">
        <v>11.39</v>
      </c>
      <c r="R491" s="79">
        <v>11.16</v>
      </c>
      <c r="S491" s="84">
        <v>8.39</v>
      </c>
      <c r="T491" s="85">
        <f t="shared" ref="T491:T499" si="1122">AVERAGE(N491:S491)</f>
        <v>10.241666666666667</v>
      </c>
      <c r="U491" s="63" t="s">
        <v>106</v>
      </c>
      <c r="V491" s="77" t="s">
        <v>214</v>
      </c>
      <c r="W491" s="77"/>
      <c r="X491" s="78">
        <v>0.41</v>
      </c>
      <c r="Y491" s="78"/>
      <c r="Z491" s="79">
        <v>0.38</v>
      </c>
      <c r="AA491" s="80">
        <v>45771</v>
      </c>
      <c r="AB491" s="81">
        <f t="shared" si="1078"/>
        <v>50.84375</v>
      </c>
      <c r="AC491" s="81">
        <f t="shared" ref="AC491:AC493" si="1123">AB491*X491</f>
        <v>20.845937499999998</v>
      </c>
      <c r="AD491" s="81">
        <f t="shared" si="1118"/>
        <v>166.51734874999997</v>
      </c>
      <c r="AE491" s="81">
        <f t="shared" si="1113"/>
        <v>7.1651182766781405</v>
      </c>
      <c r="AF491" s="167">
        <f t="shared" si="1114"/>
        <v>-0.17095066348154328</v>
      </c>
      <c r="AG491" s="264"/>
      <c r="AH491" s="264">
        <f t="shared" si="1077"/>
        <v>0</v>
      </c>
      <c r="AI491" s="77"/>
      <c r="AJ491" s="79">
        <f t="shared" si="1119"/>
        <v>166.51734874999997</v>
      </c>
      <c r="AK491" s="82">
        <f t="shared" si="1120"/>
        <v>7.1651182766781405</v>
      </c>
      <c r="AL491" s="82"/>
      <c r="AM491" s="82">
        <f t="shared" si="1121"/>
        <v>54.857730263157883</v>
      </c>
      <c r="AN491" s="82" t="s">
        <v>701</v>
      </c>
      <c r="AO491" s="82"/>
      <c r="AP491" s="82"/>
      <c r="AQ491" s="63"/>
      <c r="AR491" s="77" t="s">
        <v>165</v>
      </c>
      <c r="AS491" s="63">
        <v>52</v>
      </c>
      <c r="AT491" s="63">
        <v>57</v>
      </c>
      <c r="AU491" s="63">
        <v>60</v>
      </c>
      <c r="AV491" s="63">
        <v>50</v>
      </c>
      <c r="AW491" s="63">
        <v>55</v>
      </c>
      <c r="AX491" s="63">
        <v>58</v>
      </c>
      <c r="AY491" s="63">
        <v>54</v>
      </c>
      <c r="AZ491" s="63">
        <v>50</v>
      </c>
      <c r="BA491" s="63">
        <v>51</v>
      </c>
      <c r="BB491" s="63">
        <v>57</v>
      </c>
      <c r="BC491" s="63">
        <v>50</v>
      </c>
      <c r="BD491" s="63">
        <v>60</v>
      </c>
      <c r="BE491" s="63">
        <v>56</v>
      </c>
      <c r="BF491" s="63">
        <v>53</v>
      </c>
      <c r="BG491" s="63">
        <v>50</v>
      </c>
      <c r="BH491" s="63">
        <v>58</v>
      </c>
      <c r="BI491" s="63">
        <v>52</v>
      </c>
      <c r="BJ491" s="63">
        <v>50</v>
      </c>
      <c r="BK491" s="63">
        <v>55</v>
      </c>
      <c r="BL491" s="63">
        <v>49</v>
      </c>
      <c r="BM491" s="63">
        <v>50</v>
      </c>
      <c r="BN491" s="63">
        <v>56</v>
      </c>
      <c r="BO491" s="63">
        <v>46</v>
      </c>
      <c r="BP491" s="63">
        <v>45</v>
      </c>
      <c r="BQ491" s="63">
        <v>37</v>
      </c>
      <c r="BR491" s="63">
        <v>53</v>
      </c>
      <c r="BS491" s="63">
        <v>47</v>
      </c>
      <c r="BT491" s="63">
        <v>65</v>
      </c>
      <c r="BU491" s="63">
        <v>36</v>
      </c>
      <c r="BV491" s="63">
        <v>38</v>
      </c>
      <c r="BW491" s="63">
        <v>38</v>
      </c>
      <c r="BX491" s="63">
        <v>39</v>
      </c>
      <c r="BY491" s="63"/>
      <c r="BZ491" s="63"/>
      <c r="CA491" s="63"/>
      <c r="CB491" s="63"/>
      <c r="CC491" s="63"/>
      <c r="CD491" s="63"/>
      <c r="CE491" s="63"/>
      <c r="CF491" s="63"/>
      <c r="CG491" s="63"/>
      <c r="CH491" s="63"/>
      <c r="CI491" s="63"/>
      <c r="CJ491" s="63"/>
      <c r="CK491" s="63"/>
      <c r="CL491" s="63"/>
      <c r="CM491" s="63"/>
      <c r="CN491" s="63"/>
      <c r="CO491" s="63"/>
      <c r="CP491" s="63"/>
    </row>
    <row r="492" spans="1:94" s="63" customFormat="1">
      <c r="A492" s="63" t="s">
        <v>437</v>
      </c>
      <c r="B492" s="63" t="s">
        <v>651</v>
      </c>
      <c r="C492" s="64" t="s">
        <v>652</v>
      </c>
      <c r="D492" s="65" t="s">
        <v>87</v>
      </c>
      <c r="E492" s="66" t="s">
        <v>261</v>
      </c>
      <c r="F492" s="68">
        <v>23</v>
      </c>
      <c r="G492" s="68" t="s">
        <v>140</v>
      </c>
      <c r="H492" s="69">
        <v>691.42857142857144</v>
      </c>
      <c r="I492" s="74">
        <v>23.24</v>
      </c>
      <c r="J492" s="69">
        <v>15976</v>
      </c>
      <c r="K492" s="72"/>
      <c r="L492" s="69">
        <f t="shared" si="1116"/>
        <v>15976</v>
      </c>
      <c r="M492" s="86">
        <f t="shared" si="1117"/>
        <v>23.105785123966943</v>
      </c>
      <c r="N492" s="79">
        <v>9.5399999999999991</v>
      </c>
      <c r="O492" s="79">
        <v>10.23</v>
      </c>
      <c r="P492" s="79">
        <v>10.74</v>
      </c>
      <c r="Q492" s="79">
        <v>11.39</v>
      </c>
      <c r="R492" s="79">
        <v>11.16</v>
      </c>
      <c r="S492" s="84">
        <v>8.39</v>
      </c>
      <c r="T492" s="85">
        <f t="shared" si="1122"/>
        <v>10.241666666666667</v>
      </c>
      <c r="U492" s="63" t="s">
        <v>106</v>
      </c>
      <c r="V492" s="77" t="s">
        <v>103</v>
      </c>
      <c r="W492" s="77"/>
      <c r="X492" s="78">
        <v>0.41</v>
      </c>
      <c r="Y492" s="78"/>
      <c r="Z492" s="79">
        <v>0.38</v>
      </c>
      <c r="AA492" s="80">
        <v>45779</v>
      </c>
      <c r="AB492" s="81">
        <f t="shared" si="1078"/>
        <v>43</v>
      </c>
      <c r="AC492" s="81">
        <f t="shared" si="1123"/>
        <v>17.63</v>
      </c>
      <c r="AD492" s="81">
        <f t="shared" si="1118"/>
        <v>140.82844</v>
      </c>
      <c r="AE492" s="81">
        <f t="shared" si="1113"/>
        <v>6.059743545611016</v>
      </c>
      <c r="AF492" s="167">
        <f t="shared" si="1114"/>
        <v>-0.38454704177650478</v>
      </c>
      <c r="AG492" s="264"/>
      <c r="AH492" s="264">
        <f t="shared" si="1077"/>
        <v>0</v>
      </c>
      <c r="AI492" s="77"/>
      <c r="AJ492" s="79">
        <f t="shared" si="1119"/>
        <v>140.82844</v>
      </c>
      <c r="AK492" s="82">
        <f t="shared" si="1120"/>
        <v>6.059743545611016</v>
      </c>
      <c r="AL492" s="82"/>
      <c r="AM492" s="82">
        <f t="shared" si="1121"/>
        <v>46.394736842105267</v>
      </c>
      <c r="AN492" s="82" t="s">
        <v>701</v>
      </c>
      <c r="AO492" s="82"/>
      <c r="AP492" s="82"/>
      <c r="AR492" s="77" t="s">
        <v>116</v>
      </c>
      <c r="AS492" s="63">
        <v>37</v>
      </c>
      <c r="AT492" s="63">
        <v>35</v>
      </c>
      <c r="AU492" s="63">
        <v>45</v>
      </c>
      <c r="AV492" s="63">
        <v>36</v>
      </c>
      <c r="AW492" s="63">
        <v>41</v>
      </c>
      <c r="AX492" s="63">
        <v>40</v>
      </c>
      <c r="AY492" s="63">
        <v>34</v>
      </c>
      <c r="AZ492" s="63">
        <v>40</v>
      </c>
      <c r="BA492" s="63">
        <v>38</v>
      </c>
      <c r="BB492" s="63">
        <v>27</v>
      </c>
      <c r="BC492" s="63">
        <v>66</v>
      </c>
      <c r="BD492" s="63">
        <v>59</v>
      </c>
      <c r="BE492" s="63">
        <v>53</v>
      </c>
      <c r="BF492" s="63">
        <v>50</v>
      </c>
      <c r="BG492" s="63">
        <v>43</v>
      </c>
      <c r="BH492" s="63">
        <v>49</v>
      </c>
      <c r="BI492" s="63">
        <v>38</v>
      </c>
    </row>
    <row r="493" spans="1:94" s="63" customFormat="1">
      <c r="A493" s="63" t="s">
        <v>437</v>
      </c>
      <c r="B493" s="63" t="s">
        <v>651</v>
      </c>
      <c r="C493" s="64" t="s">
        <v>652</v>
      </c>
      <c r="D493" s="65" t="s">
        <v>87</v>
      </c>
      <c r="E493" s="66" t="s">
        <v>261</v>
      </c>
      <c r="F493" s="68">
        <v>23</v>
      </c>
      <c r="G493" s="68" t="s">
        <v>140</v>
      </c>
      <c r="H493" s="69">
        <v>691.42857142857144</v>
      </c>
      <c r="I493" s="74">
        <v>23.24</v>
      </c>
      <c r="J493" s="69">
        <v>15976</v>
      </c>
      <c r="K493" s="72"/>
      <c r="L493" s="69">
        <f t="shared" si="1116"/>
        <v>15976</v>
      </c>
      <c r="M493" s="86">
        <f t="shared" si="1117"/>
        <v>23.105785123966943</v>
      </c>
      <c r="N493" s="79">
        <v>9.5399999999999991</v>
      </c>
      <c r="O493" s="79">
        <v>10.23</v>
      </c>
      <c r="P493" s="79">
        <v>10.74</v>
      </c>
      <c r="Q493" s="79">
        <v>11.39</v>
      </c>
      <c r="R493" s="79">
        <v>11.16</v>
      </c>
      <c r="S493" s="84">
        <v>8.39</v>
      </c>
      <c r="T493" s="85">
        <f t="shared" si="1122"/>
        <v>10.241666666666667</v>
      </c>
      <c r="U493" s="63" t="s">
        <v>106</v>
      </c>
      <c r="V493" s="77" t="s">
        <v>103</v>
      </c>
      <c r="W493" s="77"/>
      <c r="X493" s="78">
        <v>0.41</v>
      </c>
      <c r="Y493" s="78"/>
      <c r="Z493" s="79">
        <v>0.38</v>
      </c>
      <c r="AA493" s="80">
        <v>45831</v>
      </c>
      <c r="AB493" s="81">
        <f t="shared" si="1078"/>
        <v>45.625</v>
      </c>
      <c r="AC493" s="81">
        <f t="shared" si="1123"/>
        <v>18.706249999999997</v>
      </c>
      <c r="AD493" s="81">
        <f t="shared" si="1118"/>
        <v>149.42552499999996</v>
      </c>
      <c r="AE493" s="81">
        <f t="shared" si="1113"/>
        <v>6.4296697504302918</v>
      </c>
      <c r="AF493" s="167">
        <f t="shared" si="1114"/>
        <v>-0.30488817087977466</v>
      </c>
      <c r="AG493" s="264"/>
      <c r="AH493" s="264">
        <f t="shared" si="1077"/>
        <v>0</v>
      </c>
      <c r="AI493" s="77"/>
      <c r="AJ493" s="79">
        <f t="shared" si="1119"/>
        <v>149.42552499999996</v>
      </c>
      <c r="AK493" s="82">
        <f t="shared" si="1120"/>
        <v>6.4296697504302918</v>
      </c>
      <c r="AL493" s="82"/>
      <c r="AM493" s="82">
        <f t="shared" si="1121"/>
        <v>49.226973684210513</v>
      </c>
      <c r="AN493" s="82" t="s">
        <v>701</v>
      </c>
      <c r="AO493" s="82"/>
      <c r="AP493" s="82"/>
      <c r="AR493" s="77" t="s">
        <v>91</v>
      </c>
      <c r="AS493" s="63">
        <v>44</v>
      </c>
      <c r="AT493" s="63">
        <v>41</v>
      </c>
      <c r="AU493" s="63">
        <v>38</v>
      </c>
      <c r="AV493" s="63">
        <v>42</v>
      </c>
      <c r="AW493" s="63">
        <v>46</v>
      </c>
      <c r="AX493" s="63">
        <v>49</v>
      </c>
      <c r="AY493" s="63">
        <v>43</v>
      </c>
      <c r="AZ493" s="63">
        <v>62</v>
      </c>
    </row>
    <row r="494" spans="1:94" s="63" customFormat="1">
      <c r="A494" s="113" t="s">
        <v>437</v>
      </c>
      <c r="B494" s="113" t="s">
        <v>655</v>
      </c>
      <c r="C494" s="114" t="s">
        <v>656</v>
      </c>
      <c r="D494" s="128" t="s">
        <v>87</v>
      </c>
      <c r="E494" s="127" t="s">
        <v>129</v>
      </c>
      <c r="F494" s="126" t="s">
        <v>657</v>
      </c>
      <c r="G494" s="126" t="s">
        <v>140</v>
      </c>
      <c r="H494" s="123">
        <v>622.28571428571433</v>
      </c>
      <c r="I494" s="125">
        <v>4.72</v>
      </c>
      <c r="J494" s="123">
        <v>2790</v>
      </c>
      <c r="K494" s="124"/>
      <c r="L494" s="123">
        <f t="shared" si="1116"/>
        <v>2790</v>
      </c>
      <c r="M494" s="122">
        <f t="shared" si="1117"/>
        <v>4.4834710743801649</v>
      </c>
      <c r="N494" s="118">
        <v>7.46</v>
      </c>
      <c r="O494" s="118">
        <v>7.57</v>
      </c>
      <c r="P494" s="118">
        <v>6.24</v>
      </c>
      <c r="Q494" s="118">
        <v>7.88</v>
      </c>
      <c r="R494" s="118">
        <v>10.14</v>
      </c>
      <c r="S494" s="153">
        <v>7.58</v>
      </c>
      <c r="T494" s="121">
        <f t="shared" si="1122"/>
        <v>7.8116666666666674</v>
      </c>
      <c r="U494" s="113" t="s">
        <v>365</v>
      </c>
      <c r="V494" s="115" t="s">
        <v>103</v>
      </c>
      <c r="W494" s="115"/>
      <c r="X494" s="120">
        <v>0.48</v>
      </c>
      <c r="Y494" s="120">
        <v>0.42</v>
      </c>
      <c r="Z494" s="118">
        <v>0.45</v>
      </c>
      <c r="AA494" s="119">
        <v>45770</v>
      </c>
      <c r="AB494" s="117">
        <f t="shared" si="1078"/>
        <v>58.1</v>
      </c>
      <c r="AC494" s="117">
        <f>AB494*Y494</f>
        <v>24.402000000000001</v>
      </c>
      <c r="AD494" s="117">
        <f t="shared" si="1118"/>
        <v>34.040790000000001</v>
      </c>
      <c r="AE494" s="117">
        <f t="shared" si="1113"/>
        <v>7.2120317796610172</v>
      </c>
      <c r="AF494" s="170">
        <f t="shared" si="1114"/>
        <v>-5.102143634151849E-2</v>
      </c>
      <c r="AG494" s="265">
        <v>8.26</v>
      </c>
      <c r="AH494" s="265">
        <f t="shared" si="1077"/>
        <v>0.45692411519355652</v>
      </c>
      <c r="AI494" s="115"/>
      <c r="AJ494" s="118">
        <f t="shared" si="1119"/>
        <v>34.040790000000001</v>
      </c>
      <c r="AK494" s="116">
        <f t="shared" si="1120"/>
        <v>7.2120317796610172</v>
      </c>
      <c r="AL494" s="116"/>
      <c r="AM494" s="116">
        <f t="shared" si="1121"/>
        <v>54.226666666666667</v>
      </c>
      <c r="AN494" s="116" t="s">
        <v>701</v>
      </c>
      <c r="AO494" s="116"/>
      <c r="AP494" s="116"/>
      <c r="AQ494" s="113"/>
      <c r="AR494" s="115" t="s">
        <v>91</v>
      </c>
      <c r="AS494" s="113">
        <v>62</v>
      </c>
      <c r="AT494" s="113">
        <v>60</v>
      </c>
      <c r="AU494" s="113">
        <v>76</v>
      </c>
      <c r="AV494" s="113">
        <v>67</v>
      </c>
      <c r="AW494" s="113">
        <v>72</v>
      </c>
      <c r="AX494" s="113">
        <v>57</v>
      </c>
      <c r="AY494" s="113">
        <v>59</v>
      </c>
      <c r="AZ494" s="113">
        <v>72</v>
      </c>
      <c r="BA494" s="113">
        <v>49</v>
      </c>
      <c r="BB494" s="113">
        <v>57</v>
      </c>
      <c r="BC494" s="113">
        <v>60</v>
      </c>
      <c r="BD494" s="113">
        <v>60</v>
      </c>
      <c r="BE494" s="113">
        <v>52</v>
      </c>
      <c r="BF494" s="113">
        <v>59</v>
      </c>
      <c r="BG494" s="113">
        <v>63</v>
      </c>
      <c r="BH494" s="113">
        <v>50</v>
      </c>
      <c r="BI494" s="113">
        <v>46</v>
      </c>
      <c r="BJ494" s="113">
        <v>47</v>
      </c>
      <c r="BK494" s="113">
        <v>43</v>
      </c>
      <c r="BL494" s="113">
        <v>51</v>
      </c>
      <c r="BM494" s="113"/>
      <c r="BN494" s="113"/>
      <c r="BO494" s="113"/>
      <c r="BP494" s="113"/>
      <c r="BQ494" s="113"/>
      <c r="BR494" s="113"/>
      <c r="BS494" s="113"/>
      <c r="BT494" s="113"/>
      <c r="BU494" s="113"/>
      <c r="BV494" s="113"/>
      <c r="BW494" s="113"/>
      <c r="BX494" s="113"/>
      <c r="BY494" s="113"/>
      <c r="BZ494" s="113"/>
      <c r="CA494" s="113"/>
      <c r="CB494" s="113"/>
      <c r="CC494" s="113"/>
      <c r="CD494" s="113"/>
      <c r="CE494" s="113"/>
      <c r="CF494" s="113"/>
      <c r="CG494" s="113"/>
      <c r="CH494" s="113"/>
      <c r="CI494" s="113"/>
      <c r="CJ494" s="113"/>
      <c r="CK494" s="113"/>
      <c r="CL494" s="113"/>
      <c r="CM494" s="113"/>
      <c r="CN494" s="113"/>
      <c r="CO494" s="113"/>
      <c r="CP494" s="113"/>
    </row>
    <row r="495" spans="1:94" s="63" customFormat="1">
      <c r="A495" s="113" t="s">
        <v>437</v>
      </c>
      <c r="B495" s="113" t="s">
        <v>655</v>
      </c>
      <c r="C495" s="114" t="s">
        <v>656</v>
      </c>
      <c r="D495" s="128" t="s">
        <v>87</v>
      </c>
      <c r="E495" s="127" t="s">
        <v>129</v>
      </c>
      <c r="F495" s="126" t="s">
        <v>657</v>
      </c>
      <c r="G495" s="126" t="s">
        <v>140</v>
      </c>
      <c r="H495" s="123">
        <v>622.28571428571433</v>
      </c>
      <c r="I495" s="125">
        <v>4.72</v>
      </c>
      <c r="J495" s="123">
        <v>2790</v>
      </c>
      <c r="K495" s="124"/>
      <c r="L495" s="123">
        <f t="shared" si="1116"/>
        <v>2790</v>
      </c>
      <c r="M495" s="122">
        <f t="shared" si="1117"/>
        <v>4.4834710743801649</v>
      </c>
      <c r="N495" s="118">
        <v>7.46</v>
      </c>
      <c r="O495" s="118">
        <v>7.57</v>
      </c>
      <c r="P495" s="118">
        <v>6.24</v>
      </c>
      <c r="Q495" s="118">
        <v>7.88</v>
      </c>
      <c r="R495" s="118">
        <v>10.14</v>
      </c>
      <c r="S495" s="153">
        <v>7.58</v>
      </c>
      <c r="T495" s="121">
        <f t="shared" si="1122"/>
        <v>7.8116666666666674</v>
      </c>
      <c r="U495" s="113" t="s">
        <v>365</v>
      </c>
      <c r="V495" s="115" t="s">
        <v>103</v>
      </c>
      <c r="W495" s="115"/>
      <c r="X495" s="120">
        <v>0.48</v>
      </c>
      <c r="Y495" s="120">
        <v>0.42</v>
      </c>
      <c r="Z495" s="118">
        <v>0.45</v>
      </c>
      <c r="AA495" s="119">
        <v>45825</v>
      </c>
      <c r="AB495" s="117">
        <f t="shared" si="1078"/>
        <v>48.875</v>
      </c>
      <c r="AC495" s="117">
        <f t="shared" ref="AC495:AC496" si="1124">AB495*Y495</f>
        <v>20.5275</v>
      </c>
      <c r="AD495" s="117">
        <f t="shared" si="1118"/>
        <v>28.635862499999998</v>
      </c>
      <c r="AE495" s="117">
        <f t="shared" si="1113"/>
        <v>6.0669200211864407</v>
      </c>
      <c r="AF495" s="170">
        <f t="shared" si="1114"/>
        <v>-0.24939837240802509</v>
      </c>
      <c r="AG495" s="265">
        <v>8.26</v>
      </c>
      <c r="AH495" s="265">
        <f t="shared" si="1077"/>
        <v>0.54316708118149637</v>
      </c>
      <c r="AI495" s="115"/>
      <c r="AJ495" s="118">
        <f t="shared" si="1119"/>
        <v>28.635862499999998</v>
      </c>
      <c r="AK495" s="116">
        <f t="shared" si="1120"/>
        <v>6.0669200211864407</v>
      </c>
      <c r="AL495" s="116"/>
      <c r="AM495" s="116">
        <f t="shared" si="1121"/>
        <v>45.616666666666667</v>
      </c>
      <c r="AN495" s="116" t="s">
        <v>701</v>
      </c>
      <c r="AO495" s="116"/>
      <c r="AP495" s="116"/>
      <c r="AQ495" s="113" t="s">
        <v>705</v>
      </c>
      <c r="AR495" s="115" t="s">
        <v>116</v>
      </c>
      <c r="AS495" s="113">
        <v>62</v>
      </c>
      <c r="AT495" s="113">
        <v>41</v>
      </c>
      <c r="AU495" s="113">
        <v>45</v>
      </c>
      <c r="AV495" s="113">
        <v>59</v>
      </c>
      <c r="AW495" s="113">
        <v>36</v>
      </c>
      <c r="AX495" s="113">
        <v>46</v>
      </c>
      <c r="AY495" s="113">
        <v>40</v>
      </c>
      <c r="AZ495" s="113">
        <v>58</v>
      </c>
      <c r="BA495" s="113">
        <v>47</v>
      </c>
      <c r="BB495" s="113">
        <v>49</v>
      </c>
      <c r="BC495" s="113">
        <v>50</v>
      </c>
      <c r="BD495" s="113">
        <v>39</v>
      </c>
      <c r="BE495" s="113">
        <v>47</v>
      </c>
      <c r="BF495" s="113">
        <v>49</v>
      </c>
      <c r="BG495" s="113">
        <v>58</v>
      </c>
      <c r="BH495" s="113">
        <v>56</v>
      </c>
      <c r="BI495" s="113"/>
      <c r="BJ495" s="113"/>
      <c r="BK495" s="113"/>
      <c r="BL495" s="113"/>
      <c r="BM495" s="113"/>
      <c r="BN495" s="113"/>
      <c r="BO495" s="113"/>
      <c r="BP495" s="113"/>
      <c r="BQ495" s="113"/>
      <c r="BR495" s="113"/>
      <c r="BS495" s="113"/>
      <c r="BT495" s="113"/>
      <c r="BU495" s="113"/>
      <c r="BV495" s="113"/>
      <c r="BW495" s="113"/>
      <c r="BX495" s="113"/>
      <c r="BY495" s="113"/>
      <c r="BZ495" s="113"/>
      <c r="CA495" s="113"/>
      <c r="CB495" s="113"/>
      <c r="CC495" s="113"/>
      <c r="CD495" s="113"/>
      <c r="CE495" s="113"/>
      <c r="CF495" s="113"/>
      <c r="CG495" s="113"/>
      <c r="CH495" s="113"/>
      <c r="CI495" s="113"/>
      <c r="CJ495" s="113"/>
      <c r="CK495" s="113"/>
      <c r="CL495" s="113"/>
      <c r="CM495" s="113"/>
      <c r="CN495" s="113"/>
      <c r="CO495" s="113"/>
      <c r="CP495" s="113"/>
    </row>
    <row r="496" spans="1:94" s="63" customFormat="1">
      <c r="A496" s="113" t="s">
        <v>437</v>
      </c>
      <c r="B496" s="113" t="s">
        <v>655</v>
      </c>
      <c r="C496" s="114" t="s">
        <v>656</v>
      </c>
      <c r="D496" s="128" t="s">
        <v>87</v>
      </c>
      <c r="E496" s="127" t="s">
        <v>129</v>
      </c>
      <c r="F496" s="126" t="s">
        <v>657</v>
      </c>
      <c r="G496" s="126" t="s">
        <v>140</v>
      </c>
      <c r="H496" s="123">
        <v>622.28571428571433</v>
      </c>
      <c r="I496" s="125">
        <v>4.72</v>
      </c>
      <c r="J496" s="123">
        <v>2790</v>
      </c>
      <c r="K496" s="124"/>
      <c r="L496" s="123">
        <f t="shared" ref="L496" si="1125">J496-(J496*K496)</f>
        <v>2790</v>
      </c>
      <c r="M496" s="122">
        <f t="shared" ref="M496" si="1126">L496/H496</f>
        <v>4.4834710743801649</v>
      </c>
      <c r="N496" s="118">
        <v>7.46</v>
      </c>
      <c r="O496" s="118">
        <v>7.57</v>
      </c>
      <c r="P496" s="118">
        <v>6.24</v>
      </c>
      <c r="Q496" s="118">
        <v>7.88</v>
      </c>
      <c r="R496" s="118">
        <v>10.14</v>
      </c>
      <c r="S496" s="153">
        <v>7.58</v>
      </c>
      <c r="T496" s="121">
        <f t="shared" ref="T496" si="1127">AVERAGE(N496:S496)</f>
        <v>7.8116666666666674</v>
      </c>
      <c r="U496" s="113" t="s">
        <v>365</v>
      </c>
      <c r="V496" s="115" t="s">
        <v>103</v>
      </c>
      <c r="W496" s="115"/>
      <c r="X496" s="120">
        <v>0.48</v>
      </c>
      <c r="Y496" s="120">
        <v>0.42</v>
      </c>
      <c r="Z496" s="118">
        <v>0.45</v>
      </c>
      <c r="AA496" s="119">
        <v>45845</v>
      </c>
      <c r="AB496" s="117">
        <f t="shared" ref="AB496" si="1128">IFERROR(AVERAGE(AS496:CP496),0)</f>
        <v>59.333333333333336</v>
      </c>
      <c r="AC496" s="117">
        <f t="shared" si="1124"/>
        <v>24.92</v>
      </c>
      <c r="AD496" s="117">
        <f t="shared" ref="AD496" si="1129">(AC496*L496)/2000</f>
        <v>34.763400000000004</v>
      </c>
      <c r="AE496" s="117">
        <f t="shared" si="1113"/>
        <v>7.365127118644069</v>
      </c>
      <c r="AF496" s="170">
        <f t="shared" ref="AF496" si="1130">IFERROR(((AE496-S496)/AE496),"")</f>
        <v>-2.9174361541160949E-2</v>
      </c>
      <c r="AG496" s="265">
        <v>8.26</v>
      </c>
      <c r="AH496" s="265">
        <f t="shared" si="1077"/>
        <v>0.44742625437211742</v>
      </c>
      <c r="AI496" s="115"/>
      <c r="AJ496" s="118">
        <f t="shared" ref="AJ496" si="1131">AD496-(AI496*I496)</f>
        <v>34.763400000000004</v>
      </c>
      <c r="AK496" s="116">
        <f t="shared" ref="AK496" si="1132">AJ496/I496</f>
        <v>7.365127118644069</v>
      </c>
      <c r="AL496" s="116"/>
      <c r="AM496" s="116">
        <f t="shared" ref="AM496" si="1133">((AJ496*2000)/Z496)/J496</f>
        <v>55.37777777777778</v>
      </c>
      <c r="AN496" s="116" t="s">
        <v>701</v>
      </c>
      <c r="AO496" s="116"/>
      <c r="AP496" s="116"/>
      <c r="AQ496" s="113"/>
      <c r="AR496" s="115" t="s">
        <v>91</v>
      </c>
      <c r="AS496" s="113">
        <v>58</v>
      </c>
      <c r="AT496" s="113">
        <v>59</v>
      </c>
      <c r="AU496" s="113">
        <v>51</v>
      </c>
      <c r="AV496" s="113">
        <v>69</v>
      </c>
      <c r="AW496" s="113">
        <v>42</v>
      </c>
      <c r="AX496" s="113">
        <v>71</v>
      </c>
      <c r="AY496" s="113">
        <v>58</v>
      </c>
      <c r="AZ496" s="113">
        <v>70</v>
      </c>
      <c r="BA496" s="113">
        <v>49</v>
      </c>
      <c r="BB496" s="113">
        <v>56</v>
      </c>
      <c r="BC496" s="113">
        <v>62</v>
      </c>
      <c r="BD496" s="113">
        <v>67</v>
      </c>
      <c r="BE496" s="113"/>
      <c r="BF496" s="113"/>
      <c r="BG496" s="113"/>
      <c r="BH496" s="113"/>
      <c r="BI496" s="113"/>
      <c r="BJ496" s="113"/>
      <c r="BK496" s="113"/>
      <c r="BL496" s="113"/>
      <c r="BM496" s="113"/>
      <c r="BN496" s="113"/>
      <c r="BO496" s="113"/>
      <c r="BP496" s="113"/>
      <c r="BQ496" s="113"/>
      <c r="BR496" s="113"/>
      <c r="BS496" s="113"/>
      <c r="BT496" s="113"/>
      <c r="BU496" s="113"/>
      <c r="BV496" s="113"/>
      <c r="BW496" s="113"/>
      <c r="BX496" s="113"/>
      <c r="BY496" s="113"/>
      <c r="BZ496" s="113"/>
      <c r="CA496" s="113"/>
      <c r="CB496" s="113"/>
      <c r="CC496" s="113"/>
      <c r="CD496" s="113"/>
      <c r="CE496" s="113"/>
      <c r="CF496" s="113"/>
      <c r="CG496" s="113"/>
      <c r="CH496" s="113"/>
      <c r="CI496" s="113"/>
      <c r="CJ496" s="113"/>
      <c r="CK496" s="113"/>
      <c r="CL496" s="113"/>
      <c r="CM496" s="113"/>
      <c r="CN496" s="113"/>
      <c r="CO496" s="113"/>
      <c r="CP496" s="113"/>
    </row>
    <row r="497" spans="1:94" s="113" customFormat="1">
      <c r="A497" s="63" t="s">
        <v>437</v>
      </c>
      <c r="B497" s="63" t="s">
        <v>658</v>
      </c>
      <c r="C497" s="64" t="s">
        <v>659</v>
      </c>
      <c r="D497" s="65" t="s">
        <v>87</v>
      </c>
      <c r="E497" s="66" t="s">
        <v>194</v>
      </c>
      <c r="F497" s="68">
        <v>3</v>
      </c>
      <c r="G497" s="68" t="s">
        <v>140</v>
      </c>
      <c r="H497" s="69">
        <v>691.42857142857144</v>
      </c>
      <c r="I497" s="74">
        <v>7.16</v>
      </c>
      <c r="J497" s="69">
        <v>4940</v>
      </c>
      <c r="K497" s="72"/>
      <c r="L497" s="69">
        <f t="shared" si="1116"/>
        <v>4940</v>
      </c>
      <c r="M497" s="86">
        <f t="shared" si="1117"/>
        <v>7.1446280991735538</v>
      </c>
      <c r="N497" s="79">
        <v>7.63</v>
      </c>
      <c r="O497" s="79">
        <v>6.26</v>
      </c>
      <c r="P497" s="79">
        <v>7.08</v>
      </c>
      <c r="Q497" s="79">
        <v>6.2</v>
      </c>
      <c r="R497" s="79">
        <v>6.97</v>
      </c>
      <c r="S497" s="84">
        <v>8.15</v>
      </c>
      <c r="T497" s="85">
        <f t="shared" si="1122"/>
        <v>7.0483333333333329</v>
      </c>
      <c r="U497" s="63" t="s">
        <v>106</v>
      </c>
      <c r="V497" s="77" t="s">
        <v>214</v>
      </c>
      <c r="W497" s="77"/>
      <c r="X497" s="78">
        <v>0.5</v>
      </c>
      <c r="Y497" s="78">
        <v>0.42</v>
      </c>
      <c r="Z497" s="79">
        <v>0.45</v>
      </c>
      <c r="AA497" s="80">
        <v>45771</v>
      </c>
      <c r="AB497" s="81">
        <f t="shared" si="1078"/>
        <v>54</v>
      </c>
      <c r="AC497" s="81">
        <f>AB497*Y497</f>
        <v>22.68</v>
      </c>
      <c r="AD497" s="81">
        <f t="shared" si="1118"/>
        <v>56.019599999999997</v>
      </c>
      <c r="AE497" s="81">
        <f t="shared" si="1113"/>
        <v>7.8239664804469271</v>
      </c>
      <c r="AF497" s="167">
        <f t="shared" si="1114"/>
        <v>-4.1671129390427719E-2</v>
      </c>
      <c r="AG497" s="264">
        <v>6.78</v>
      </c>
      <c r="AH497" s="264">
        <f t="shared" si="1077"/>
        <v>0.36317722681359049</v>
      </c>
      <c r="AI497" s="77"/>
      <c r="AJ497" s="79">
        <f t="shared" si="1119"/>
        <v>56.019599999999997</v>
      </c>
      <c r="AK497" s="82">
        <f t="shared" si="1120"/>
        <v>7.8239664804469271</v>
      </c>
      <c r="AL497" s="82"/>
      <c r="AM497" s="82">
        <f t="shared" si="1121"/>
        <v>50.4</v>
      </c>
      <c r="AN497" s="82" t="s">
        <v>701</v>
      </c>
      <c r="AO497" s="82"/>
      <c r="AP497" s="82"/>
      <c r="AQ497" s="63"/>
      <c r="AR497" s="152" t="s">
        <v>116</v>
      </c>
      <c r="AS497" s="63">
        <v>46</v>
      </c>
      <c r="AT497" s="63">
        <v>51</v>
      </c>
      <c r="AU497" s="63">
        <v>53</v>
      </c>
      <c r="AV497" s="63">
        <v>49</v>
      </c>
      <c r="AW497" s="63">
        <v>46</v>
      </c>
      <c r="AX497" s="63">
        <v>60</v>
      </c>
      <c r="AY497" s="63">
        <v>59</v>
      </c>
      <c r="AZ497" s="63">
        <v>49</v>
      </c>
      <c r="BA497" s="63">
        <v>61</v>
      </c>
      <c r="BB497" s="63">
        <v>45</v>
      </c>
      <c r="BC497" s="63">
        <v>60</v>
      </c>
      <c r="BD497" s="63">
        <v>63</v>
      </c>
      <c r="BE497" s="63">
        <v>41</v>
      </c>
      <c r="BF497" s="63">
        <v>48</v>
      </c>
      <c r="BG497" s="63">
        <v>55</v>
      </c>
      <c r="BH497" s="63">
        <v>66</v>
      </c>
      <c r="BI497" s="63">
        <v>65</v>
      </c>
      <c r="BJ497" s="63">
        <v>66</v>
      </c>
      <c r="BK497" s="63">
        <v>38</v>
      </c>
      <c r="BL497" s="63">
        <v>59</v>
      </c>
      <c r="BM497" s="63"/>
      <c r="BN497" s="63"/>
      <c r="BO497" s="63"/>
      <c r="BP497" s="63"/>
      <c r="BQ497" s="63"/>
      <c r="BR497" s="63"/>
      <c r="BS497" s="63"/>
      <c r="BT497" s="63"/>
      <c r="BU497" s="63"/>
      <c r="BV497" s="63"/>
      <c r="BW497" s="63"/>
      <c r="BX497" s="63"/>
      <c r="BY497" s="63"/>
      <c r="BZ497" s="63"/>
      <c r="CA497" s="63"/>
      <c r="CB497" s="63"/>
      <c r="CC497" s="63"/>
      <c r="CD497" s="63"/>
      <c r="CE497" s="63"/>
      <c r="CF497" s="63"/>
      <c r="CG497" s="63"/>
      <c r="CH497" s="63"/>
      <c r="CI497" s="63"/>
      <c r="CJ497" s="63"/>
      <c r="CK497" s="63"/>
      <c r="CL497" s="63"/>
      <c r="CM497" s="63"/>
      <c r="CN497" s="63"/>
      <c r="CO497" s="63"/>
      <c r="CP497" s="63"/>
    </row>
    <row r="498" spans="1:94" s="63" customFormat="1">
      <c r="A498" s="63" t="s">
        <v>437</v>
      </c>
      <c r="B498" s="63" t="s">
        <v>658</v>
      </c>
      <c r="C498" s="64" t="s">
        <v>659</v>
      </c>
      <c r="D498" s="65" t="s">
        <v>87</v>
      </c>
      <c r="E498" s="66" t="s">
        <v>194</v>
      </c>
      <c r="F498" s="68">
        <v>3</v>
      </c>
      <c r="G498" s="68" t="s">
        <v>140</v>
      </c>
      <c r="H498" s="69">
        <v>691.42857142857144</v>
      </c>
      <c r="I498" s="74">
        <v>7.16</v>
      </c>
      <c r="J498" s="69">
        <v>4940</v>
      </c>
      <c r="K498" s="72"/>
      <c r="L498" s="69">
        <f t="shared" si="1116"/>
        <v>4940</v>
      </c>
      <c r="M498" s="86">
        <f t="shared" si="1117"/>
        <v>7.1446280991735538</v>
      </c>
      <c r="N498" s="79">
        <v>7.63</v>
      </c>
      <c r="O498" s="79">
        <v>6.26</v>
      </c>
      <c r="P498" s="79">
        <v>7.08</v>
      </c>
      <c r="Q498" s="79">
        <v>6.2</v>
      </c>
      <c r="R498" s="79">
        <v>6.97</v>
      </c>
      <c r="S498" s="84">
        <v>8.15</v>
      </c>
      <c r="T498" s="85">
        <f t="shared" si="1122"/>
        <v>7.0483333333333329</v>
      </c>
      <c r="U498" s="63" t="s">
        <v>101</v>
      </c>
      <c r="V498" s="77" t="s">
        <v>214</v>
      </c>
      <c r="W498" s="77"/>
      <c r="X498" s="78">
        <v>0.5</v>
      </c>
      <c r="Y498" s="78">
        <v>0.42</v>
      </c>
      <c r="Z498" s="79">
        <v>0.45</v>
      </c>
      <c r="AA498" s="80">
        <v>45771</v>
      </c>
      <c r="AB498" s="81">
        <f t="shared" si="1078"/>
        <v>56.2</v>
      </c>
      <c r="AC498" s="81">
        <f t="shared" ref="AC498:AC499" si="1134">AB498*Y498</f>
        <v>23.603999999999999</v>
      </c>
      <c r="AD498" s="81">
        <f t="shared" si="1118"/>
        <v>58.301879999999997</v>
      </c>
      <c r="AE498" s="81">
        <f t="shared" si="1113"/>
        <v>8.1427206703910606</v>
      </c>
      <c r="AF498" s="167">
        <f t="shared" si="1114"/>
        <v>-8.9396774169218029E-4</v>
      </c>
      <c r="AG498" s="264">
        <v>6.78</v>
      </c>
      <c r="AH498" s="264">
        <f t="shared" si="1077"/>
        <v>0.34896032469633248</v>
      </c>
      <c r="AI498" s="77"/>
      <c r="AJ498" s="79">
        <f t="shared" si="1119"/>
        <v>58.301879999999997</v>
      </c>
      <c r="AK498" s="82">
        <f t="shared" si="1120"/>
        <v>8.1427206703910606</v>
      </c>
      <c r="AL498" s="82"/>
      <c r="AM498" s="82">
        <f t="shared" si="1121"/>
        <v>52.453333333333326</v>
      </c>
      <c r="AN498" s="82" t="s">
        <v>701</v>
      </c>
      <c r="AO498" s="82"/>
      <c r="AP498" s="82"/>
      <c r="AR498" s="152" t="s">
        <v>165</v>
      </c>
      <c r="AS498" s="63">
        <v>54</v>
      </c>
      <c r="AT498" s="63">
        <v>58</v>
      </c>
      <c r="AU498" s="63">
        <v>45</v>
      </c>
      <c r="AV498" s="63">
        <v>50</v>
      </c>
      <c r="AW498" s="63">
        <v>57</v>
      </c>
      <c r="AX498" s="63">
        <v>53</v>
      </c>
      <c r="AY498" s="63">
        <v>50</v>
      </c>
      <c r="AZ498" s="63">
        <v>60</v>
      </c>
      <c r="BA498" s="63">
        <v>56</v>
      </c>
      <c r="BB498" s="63">
        <v>59</v>
      </c>
      <c r="BC498" s="63">
        <v>59</v>
      </c>
      <c r="BD498" s="63">
        <v>60</v>
      </c>
      <c r="BE498" s="63">
        <v>62</v>
      </c>
      <c r="BF498" s="63">
        <v>61</v>
      </c>
      <c r="BG498" s="63">
        <v>59</v>
      </c>
      <c r="BH498" s="63">
        <v>61</v>
      </c>
      <c r="BI498" s="63">
        <v>63</v>
      </c>
      <c r="BJ498" s="63">
        <v>60</v>
      </c>
      <c r="BK498" s="63">
        <v>38</v>
      </c>
      <c r="BL498" s="63">
        <v>59</v>
      </c>
    </row>
    <row r="499" spans="1:94" s="63" customFormat="1">
      <c r="A499" s="63" t="s">
        <v>437</v>
      </c>
      <c r="B499" s="63" t="s">
        <v>658</v>
      </c>
      <c r="C499" s="64" t="s">
        <v>659</v>
      </c>
      <c r="D499" s="65" t="s">
        <v>87</v>
      </c>
      <c r="E499" s="66" t="s">
        <v>194</v>
      </c>
      <c r="F499" s="68">
        <v>3</v>
      </c>
      <c r="G499" s="68" t="s">
        <v>140</v>
      </c>
      <c r="H499" s="69">
        <v>691.42857142857144</v>
      </c>
      <c r="I499" s="74">
        <v>7.16</v>
      </c>
      <c r="J499" s="69">
        <v>4940</v>
      </c>
      <c r="K499" s="72"/>
      <c r="L499" s="69">
        <f t="shared" si="1116"/>
        <v>4940</v>
      </c>
      <c r="M499" s="86">
        <f t="shared" si="1117"/>
        <v>7.1446280991735538</v>
      </c>
      <c r="N499" s="79">
        <v>7.63</v>
      </c>
      <c r="O499" s="79">
        <v>6.26</v>
      </c>
      <c r="P499" s="79">
        <v>7.08</v>
      </c>
      <c r="Q499" s="79">
        <v>6.2</v>
      </c>
      <c r="R499" s="79">
        <v>6.97</v>
      </c>
      <c r="S499" s="84">
        <v>8.15</v>
      </c>
      <c r="T499" s="85">
        <f t="shared" si="1122"/>
        <v>7.0483333333333329</v>
      </c>
      <c r="U499" s="63" t="s">
        <v>101</v>
      </c>
      <c r="V499" s="77" t="s">
        <v>103</v>
      </c>
      <c r="W499" s="77"/>
      <c r="X499" s="78">
        <v>0.5</v>
      </c>
      <c r="Y499" s="78">
        <v>0.42</v>
      </c>
      <c r="Z499" s="79">
        <v>0.4</v>
      </c>
      <c r="AA499" s="80">
        <v>45831</v>
      </c>
      <c r="AB499" s="81">
        <f t="shared" si="1078"/>
        <v>51.764705882352942</v>
      </c>
      <c r="AC499" s="81">
        <f t="shared" si="1134"/>
        <v>21.741176470588236</v>
      </c>
      <c r="AD499" s="81">
        <f t="shared" si="1118"/>
        <v>53.700705882352942</v>
      </c>
      <c r="AE499" s="81">
        <f t="shared" si="1113"/>
        <v>7.5000985869208021</v>
      </c>
      <c r="AF499" s="167">
        <f t="shared" si="1114"/>
        <v>-8.6652382705014297E-2</v>
      </c>
      <c r="AG499" s="264">
        <v>6.78</v>
      </c>
      <c r="AH499" s="264">
        <f t="shared" si="1077"/>
        <v>0.37885987978963193</v>
      </c>
      <c r="AI499" s="77"/>
      <c r="AJ499" s="79">
        <f t="shared" si="1119"/>
        <v>53.700705882352942</v>
      </c>
      <c r="AK499" s="82">
        <f t="shared" si="1120"/>
        <v>7.5000985869208021</v>
      </c>
      <c r="AL499" s="82"/>
      <c r="AM499" s="82">
        <f t="shared" si="1121"/>
        <v>54.352941176470587</v>
      </c>
      <c r="AN499" s="82" t="s">
        <v>701</v>
      </c>
      <c r="AO499" s="82"/>
      <c r="AP499" s="82"/>
      <c r="AR499" s="152" t="s">
        <v>116</v>
      </c>
      <c r="AS499" s="63">
        <v>43</v>
      </c>
      <c r="AT499" s="63">
        <v>59</v>
      </c>
      <c r="AU499" s="63">
        <v>55</v>
      </c>
      <c r="AV499" s="63">
        <v>49</v>
      </c>
      <c r="AW499" s="63">
        <v>62</v>
      </c>
      <c r="AX499" s="63">
        <v>60</v>
      </c>
      <c r="AY499" s="63">
        <v>39</v>
      </c>
      <c r="AZ499" s="63">
        <v>40</v>
      </c>
      <c r="BA499" s="63">
        <v>49</v>
      </c>
      <c r="BB499" s="63">
        <v>46</v>
      </c>
      <c r="BC499" s="63">
        <v>53</v>
      </c>
      <c r="BD499" s="63">
        <v>59</v>
      </c>
      <c r="BE499" s="63">
        <v>46</v>
      </c>
      <c r="BF499" s="63">
        <v>41</v>
      </c>
      <c r="BG499" s="63">
        <v>60</v>
      </c>
      <c r="BH499" s="63">
        <v>58</v>
      </c>
      <c r="BI499" s="63">
        <v>61</v>
      </c>
    </row>
    <row r="500" spans="1:94" s="63" customFormat="1">
      <c r="A500" s="15" t="s">
        <v>437</v>
      </c>
      <c r="B500" s="15" t="s">
        <v>660</v>
      </c>
      <c r="C500" s="16" t="s">
        <v>661</v>
      </c>
      <c r="D500" s="49" t="s">
        <v>87</v>
      </c>
      <c r="E500" s="17" t="s">
        <v>160</v>
      </c>
      <c r="F500" s="18"/>
      <c r="G500" s="18"/>
      <c r="H500" s="19">
        <v>691</v>
      </c>
      <c r="I500" s="30">
        <v>22.58</v>
      </c>
      <c r="J500" s="19">
        <v>15475</v>
      </c>
      <c r="K500" s="22"/>
      <c r="L500" s="19">
        <f t="shared" si="1116"/>
        <v>15475</v>
      </c>
      <c r="M500" s="60">
        <f t="shared" si="1117"/>
        <v>22.395079594790158</v>
      </c>
      <c r="N500" s="24"/>
      <c r="O500" s="24"/>
      <c r="P500" s="24"/>
      <c r="Q500" s="24"/>
      <c r="R500" s="24"/>
      <c r="S500" s="57"/>
      <c r="T500" s="32"/>
      <c r="U500" s="15"/>
      <c r="V500" s="25" t="s">
        <v>103</v>
      </c>
      <c r="W500" s="25"/>
      <c r="X500" s="26"/>
      <c r="Y500" s="26"/>
      <c r="Z500" s="24">
        <v>0.41</v>
      </c>
      <c r="AA500" s="27">
        <v>45777</v>
      </c>
      <c r="AB500" s="28">
        <f t="shared" si="1078"/>
        <v>51.75</v>
      </c>
      <c r="AC500" s="28">
        <f>AB500*Z500</f>
        <v>21.217499999999998</v>
      </c>
      <c r="AD500" s="28">
        <f t="shared" si="1118"/>
        <v>164.17040624999998</v>
      </c>
      <c r="AE500" s="28">
        <f t="shared" si="1113"/>
        <v>7.270611437112489</v>
      </c>
      <c r="AF500" s="171"/>
      <c r="AG500" s="263">
        <v>5.21</v>
      </c>
      <c r="AH500" s="263">
        <f t="shared" si="1077"/>
        <v>0.29139313604172346</v>
      </c>
      <c r="AI500" s="25"/>
      <c r="AJ500" s="24"/>
      <c r="AK500" s="29"/>
      <c r="AL500" s="29"/>
      <c r="AM500" s="29"/>
      <c r="AN500" s="29" t="s">
        <v>701</v>
      </c>
      <c r="AO500" s="29">
        <v>150</v>
      </c>
      <c r="AP500" s="29">
        <f>AD500-AO500</f>
        <v>14.170406249999985</v>
      </c>
      <c r="AQ500" s="15"/>
      <c r="AR500" s="62" t="s">
        <v>91</v>
      </c>
      <c r="AS500" s="15">
        <v>37</v>
      </c>
      <c r="AT500" s="15">
        <v>56</v>
      </c>
      <c r="AU500" s="15">
        <v>64</v>
      </c>
      <c r="AV500" s="15">
        <v>34</v>
      </c>
      <c r="AW500" s="15">
        <v>56</v>
      </c>
      <c r="AX500" s="15">
        <v>68</v>
      </c>
      <c r="AY500" s="15">
        <v>48</v>
      </c>
      <c r="AZ500" s="15">
        <v>44</v>
      </c>
      <c r="BA500" s="15">
        <v>63</v>
      </c>
      <c r="BB500" s="15">
        <v>54</v>
      </c>
      <c r="BC500" s="15">
        <v>37</v>
      </c>
      <c r="BD500" s="15">
        <v>32</v>
      </c>
      <c r="BE500" s="15">
        <v>52</v>
      </c>
      <c r="BF500" s="15">
        <v>77</v>
      </c>
      <c r="BG500" s="15">
        <v>40</v>
      </c>
      <c r="BH500" s="15">
        <v>66</v>
      </c>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row>
    <row r="501" spans="1:94" s="15" customFormat="1">
      <c r="A501" s="63" t="s">
        <v>437</v>
      </c>
      <c r="B501" s="63" t="s">
        <v>662</v>
      </c>
      <c r="C501" s="64" t="s">
        <v>663</v>
      </c>
      <c r="D501" s="65" t="s">
        <v>87</v>
      </c>
      <c r="E501" s="66" t="s">
        <v>129</v>
      </c>
      <c r="F501" s="68"/>
      <c r="G501" s="68"/>
      <c r="H501" s="69">
        <v>691</v>
      </c>
      <c r="I501" s="74">
        <v>22.87</v>
      </c>
      <c r="J501" s="69">
        <v>15664</v>
      </c>
      <c r="K501" s="72"/>
      <c r="L501" s="69">
        <f t="shared" si="1116"/>
        <v>15664</v>
      </c>
      <c r="M501" s="86">
        <f t="shared" si="1117"/>
        <v>22.668596237337191</v>
      </c>
      <c r="N501" s="79"/>
      <c r="O501" s="79"/>
      <c r="P501" s="79"/>
      <c r="Q501" s="79"/>
      <c r="R501" s="79"/>
      <c r="S501" s="84"/>
      <c r="T501" s="85"/>
      <c r="U501" s="63"/>
      <c r="V501" s="77" t="s">
        <v>103</v>
      </c>
      <c r="W501" s="77"/>
      <c r="X501" s="78"/>
      <c r="Y501" s="78"/>
      <c r="Z501" s="79">
        <v>0.45</v>
      </c>
      <c r="AA501" s="80">
        <v>45777</v>
      </c>
      <c r="AB501" s="81">
        <f t="shared" si="1078"/>
        <v>77.066666666666663</v>
      </c>
      <c r="AC501" s="81">
        <f>AB501*Z501</f>
        <v>34.68</v>
      </c>
      <c r="AD501" s="81">
        <f t="shared" si="1118"/>
        <v>271.61376000000001</v>
      </c>
      <c r="AE501" s="81">
        <f t="shared" si="1113"/>
        <v>11.876421512898995</v>
      </c>
      <c r="AF501" s="167"/>
      <c r="AG501" s="264"/>
      <c r="AH501" s="264">
        <f t="shared" si="1077"/>
        <v>0</v>
      </c>
      <c r="AI501" s="77"/>
      <c r="AJ501" s="79"/>
      <c r="AK501" s="82"/>
      <c r="AL501" s="82"/>
      <c r="AM501" s="82"/>
      <c r="AN501" s="82"/>
      <c r="AO501" s="82"/>
      <c r="AP501" s="82"/>
      <c r="AQ501" s="63" t="s">
        <v>840</v>
      </c>
      <c r="AR501" s="152" t="s">
        <v>91</v>
      </c>
      <c r="AS501" s="63">
        <v>89</v>
      </c>
      <c r="AT501" s="63">
        <v>94</v>
      </c>
      <c r="AU501" s="63">
        <v>64</v>
      </c>
      <c r="AV501" s="63">
        <v>57</v>
      </c>
      <c r="AW501" s="63">
        <v>86</v>
      </c>
      <c r="AX501" s="63">
        <v>67</v>
      </c>
      <c r="AY501" s="63">
        <v>99</v>
      </c>
      <c r="AZ501" s="63">
        <v>86</v>
      </c>
      <c r="BA501" s="63">
        <v>49</v>
      </c>
      <c r="BB501" s="63">
        <v>77</v>
      </c>
      <c r="BC501" s="63">
        <v>88</v>
      </c>
      <c r="BD501" s="63">
        <v>59</v>
      </c>
      <c r="BE501" s="63"/>
      <c r="BF501" s="63">
        <v>86</v>
      </c>
      <c r="BG501" s="63">
        <v>76</v>
      </c>
      <c r="BH501" s="63">
        <v>79</v>
      </c>
      <c r="BI501" s="63"/>
      <c r="BJ501" s="63"/>
      <c r="BK501" s="63"/>
      <c r="BL501" s="63"/>
      <c r="BM501" s="63"/>
      <c r="BN501" s="63"/>
      <c r="BO501" s="63"/>
      <c r="BP501" s="63"/>
      <c r="BQ501" s="63"/>
      <c r="BR501" s="63"/>
      <c r="BS501" s="63"/>
      <c r="BT501" s="63"/>
      <c r="BU501" s="63"/>
      <c r="BV501" s="63"/>
      <c r="BW501" s="63"/>
      <c r="BX501" s="63"/>
      <c r="BY501" s="63"/>
      <c r="BZ501" s="63"/>
      <c r="CA501" s="63"/>
      <c r="CB501" s="63"/>
      <c r="CC501" s="63"/>
      <c r="CD501" s="63"/>
      <c r="CE501" s="63"/>
      <c r="CF501" s="63"/>
      <c r="CG501" s="63"/>
      <c r="CH501" s="63"/>
      <c r="CI501" s="63"/>
      <c r="CJ501" s="63"/>
      <c r="CK501" s="63"/>
      <c r="CL501" s="63"/>
      <c r="CM501" s="63"/>
      <c r="CN501" s="63"/>
      <c r="CO501" s="63"/>
      <c r="CP501" s="63"/>
    </row>
    <row r="502" spans="1:94" s="63" customFormat="1">
      <c r="A502" s="15" t="s">
        <v>437</v>
      </c>
      <c r="B502" s="15" t="s">
        <v>664</v>
      </c>
      <c r="C502" s="16" t="s">
        <v>665</v>
      </c>
      <c r="D502" s="49" t="s">
        <v>111</v>
      </c>
      <c r="E502" s="17" t="s">
        <v>160</v>
      </c>
      <c r="F502" s="166" t="s">
        <v>666</v>
      </c>
      <c r="G502" s="18" t="s">
        <v>140</v>
      </c>
      <c r="H502" s="19">
        <v>726</v>
      </c>
      <c r="I502" s="30">
        <v>26.2</v>
      </c>
      <c r="J502" s="19">
        <v>18798</v>
      </c>
      <c r="K502" s="22"/>
      <c r="L502" s="19">
        <f t="shared" si="1116"/>
        <v>18798</v>
      </c>
      <c r="M502" s="60">
        <f t="shared" si="1117"/>
        <v>25.892561983471076</v>
      </c>
      <c r="N502" s="30"/>
      <c r="O502" s="30"/>
      <c r="P502" s="30"/>
      <c r="Q502" s="30"/>
      <c r="R502" s="30"/>
      <c r="S502" s="56">
        <v>1.81</v>
      </c>
      <c r="T502" s="31"/>
      <c r="U502" s="15"/>
      <c r="V502" s="25" t="s">
        <v>366</v>
      </c>
      <c r="W502" s="25"/>
      <c r="X502" s="26">
        <v>0.4</v>
      </c>
      <c r="Y502" s="26"/>
      <c r="Z502" s="24">
        <v>0.41</v>
      </c>
      <c r="AA502" s="27">
        <v>45766</v>
      </c>
      <c r="AB502" s="28">
        <f t="shared" si="1078"/>
        <v>64.526315789473685</v>
      </c>
      <c r="AC502" s="28">
        <f>AB502*X502</f>
        <v>25.810526315789474</v>
      </c>
      <c r="AD502" s="28">
        <f t="shared" si="1118"/>
        <v>242.59313684210528</v>
      </c>
      <c r="AE502" s="28">
        <f t="shared" si="1113"/>
        <v>9.2592800321414224</v>
      </c>
      <c r="AF502" s="171">
        <f>IFERROR(((AE502-S502)/AE502),"")</f>
        <v>0.80452043855278066</v>
      </c>
      <c r="AG502" s="263">
        <v>7.2</v>
      </c>
      <c r="AH502" s="263">
        <f t="shared" si="1077"/>
        <v>0.3073894813476602</v>
      </c>
      <c r="AI502" s="25">
        <v>8</v>
      </c>
      <c r="AJ502" s="24">
        <f>AD502-(AI502*I502)</f>
        <v>32.993136842105287</v>
      </c>
      <c r="AK502" s="29">
        <f>AJ502/I502</f>
        <v>1.2592800321414233</v>
      </c>
      <c r="AL502" s="29">
        <f>(((AI502*M502)*2000)/L502)/Z502</f>
        <v>53.752603641738894</v>
      </c>
      <c r="AM502" s="29">
        <f>((AJ502*2000)/Z502)/J502</f>
        <v>8.5616624607457705</v>
      </c>
      <c r="AN502" s="29" t="s">
        <v>701</v>
      </c>
      <c r="AO502" s="29">
        <f>7.5*I502</f>
        <v>196.5</v>
      </c>
      <c r="AP502" s="29">
        <f>AD502-AO502</f>
        <v>46.093136842105281</v>
      </c>
      <c r="AQ502" s="15"/>
      <c r="AR502" s="25" t="s">
        <v>137</v>
      </c>
      <c r="AS502" s="15">
        <v>80</v>
      </c>
      <c r="AT502" s="15">
        <v>62</v>
      </c>
      <c r="AU502" s="15">
        <v>64</v>
      </c>
      <c r="AV502" s="15">
        <v>51</v>
      </c>
      <c r="AW502" s="15">
        <v>52</v>
      </c>
      <c r="AX502" s="15">
        <v>64</v>
      </c>
      <c r="AY502" s="15">
        <v>71</v>
      </c>
      <c r="AZ502" s="15">
        <v>82</v>
      </c>
      <c r="BA502" s="15">
        <v>74</v>
      </c>
      <c r="BB502" s="15">
        <v>60</v>
      </c>
      <c r="BC502" s="15">
        <v>62</v>
      </c>
      <c r="BD502" s="15">
        <v>58</v>
      </c>
      <c r="BE502" s="15">
        <v>64</v>
      </c>
      <c r="BF502" s="15">
        <v>66</v>
      </c>
      <c r="BG502" s="15">
        <v>72</v>
      </c>
      <c r="BH502" s="15">
        <v>55</v>
      </c>
      <c r="BI502" s="15">
        <v>61</v>
      </c>
      <c r="BJ502" s="15">
        <v>66</v>
      </c>
      <c r="BK502" s="15">
        <v>62</v>
      </c>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row>
    <row r="503" spans="1:94" s="15" customFormat="1">
      <c r="A503" s="15" t="s">
        <v>437</v>
      </c>
      <c r="B503" s="15" t="s">
        <v>664</v>
      </c>
      <c r="C503" s="16" t="s">
        <v>665</v>
      </c>
      <c r="D503" s="49" t="s">
        <v>111</v>
      </c>
      <c r="E503" s="17" t="s">
        <v>160</v>
      </c>
      <c r="F503" s="166" t="s">
        <v>666</v>
      </c>
      <c r="G503" s="18" t="s">
        <v>140</v>
      </c>
      <c r="H503" s="19">
        <v>726</v>
      </c>
      <c r="I503" s="30">
        <v>26.2</v>
      </c>
      <c r="J503" s="19">
        <v>18798</v>
      </c>
      <c r="K503" s="22"/>
      <c r="L503" s="19">
        <f t="shared" si="1116"/>
        <v>18798</v>
      </c>
      <c r="M503" s="60">
        <f t="shared" si="1117"/>
        <v>25.892561983471076</v>
      </c>
      <c r="N503" s="30"/>
      <c r="O503" s="30"/>
      <c r="P503" s="30"/>
      <c r="Q503" s="30"/>
      <c r="R503" s="30"/>
      <c r="S503" s="56">
        <v>1.81</v>
      </c>
      <c r="T503" s="31"/>
      <c r="V503" s="25" t="s">
        <v>366</v>
      </c>
      <c r="W503" s="25"/>
      <c r="X503" s="26">
        <v>0.4</v>
      </c>
      <c r="Y503" s="26"/>
      <c r="Z503" s="24">
        <v>0.41</v>
      </c>
      <c r="AA503" s="27">
        <v>45768</v>
      </c>
      <c r="AB503" s="28">
        <f t="shared" si="1078"/>
        <v>74.533333333333331</v>
      </c>
      <c r="AC503" s="28">
        <f>AB503*X503</f>
        <v>29.813333333333333</v>
      </c>
      <c r="AD503" s="28">
        <f t="shared" si="1118"/>
        <v>280.21552000000003</v>
      </c>
      <c r="AE503" s="28">
        <f t="shared" si="1113"/>
        <v>10.695248854961834</v>
      </c>
      <c r="AF503" s="171">
        <f>IFERROR(((AE503-S503)/AE503),"")</f>
        <v>0.83076597613151471</v>
      </c>
      <c r="AG503" s="263">
        <v>7.2</v>
      </c>
      <c r="AH503" s="263">
        <f t="shared" si="1077"/>
        <v>0.26611865935333168</v>
      </c>
      <c r="AI503" s="25">
        <v>8</v>
      </c>
      <c r="AJ503" s="24">
        <f>AD503-(AI503*I503)</f>
        <v>70.615520000000032</v>
      </c>
      <c r="AK503" s="29">
        <f>AJ503/I503</f>
        <v>2.6952488549618332</v>
      </c>
      <c r="AL503" s="29">
        <f>(((AI503*M503)*2000)/L503)/Z503</f>
        <v>53.752603641738894</v>
      </c>
      <c r="AM503" s="29">
        <f>((AJ503*2000)/Z503)/J503</f>
        <v>18.324606405974698</v>
      </c>
      <c r="AN503" s="29" t="s">
        <v>701</v>
      </c>
      <c r="AO503" s="29">
        <f>7.5*I503</f>
        <v>196.5</v>
      </c>
      <c r="AP503" s="29">
        <f>AD503-AO503</f>
        <v>83.715520000000026</v>
      </c>
      <c r="AR503" s="25" t="s">
        <v>116</v>
      </c>
      <c r="AS503" s="15">
        <v>66</v>
      </c>
      <c r="AT503" s="15">
        <v>55</v>
      </c>
      <c r="AU503" s="15">
        <v>56</v>
      </c>
      <c r="AV503" s="15">
        <v>83</v>
      </c>
      <c r="AW503" s="15">
        <v>91</v>
      </c>
      <c r="AX503" s="15">
        <v>81</v>
      </c>
      <c r="AY503" s="15">
        <v>82</v>
      </c>
      <c r="AZ503" s="15">
        <v>78</v>
      </c>
      <c r="BA503" s="15">
        <v>72</v>
      </c>
      <c r="BB503" s="15">
        <v>67</v>
      </c>
      <c r="BC503" s="15">
        <v>62</v>
      </c>
      <c r="BD503" s="15">
        <v>82</v>
      </c>
      <c r="BE503" s="15">
        <v>88</v>
      </c>
      <c r="BF503" s="15">
        <v>70</v>
      </c>
      <c r="BG503" s="15">
        <v>85</v>
      </c>
    </row>
    <row r="504" spans="1:94" s="15" customFormat="1">
      <c r="A504" s="15" t="s">
        <v>437</v>
      </c>
      <c r="B504" s="15" t="s">
        <v>664</v>
      </c>
      <c r="C504" s="16" t="s">
        <v>665</v>
      </c>
      <c r="D504" s="49" t="s">
        <v>111</v>
      </c>
      <c r="E504" s="17" t="s">
        <v>160</v>
      </c>
      <c r="F504" s="166" t="s">
        <v>666</v>
      </c>
      <c r="G504" s="18" t="s">
        <v>140</v>
      </c>
      <c r="H504" s="19">
        <v>726</v>
      </c>
      <c r="I504" s="30">
        <v>26.2</v>
      </c>
      <c r="J504" s="19">
        <v>18798</v>
      </c>
      <c r="K504" s="22"/>
      <c r="L504" s="19">
        <f t="shared" si="1116"/>
        <v>18798</v>
      </c>
      <c r="M504" s="60">
        <f t="shared" si="1117"/>
        <v>25.892561983471076</v>
      </c>
      <c r="N504" s="30"/>
      <c r="O504" s="30"/>
      <c r="P504" s="30"/>
      <c r="Q504" s="30"/>
      <c r="R504" s="30"/>
      <c r="S504" s="56">
        <v>1.81</v>
      </c>
      <c r="T504" s="31"/>
      <c r="U504" s="15" t="s">
        <v>333</v>
      </c>
      <c r="V504" s="25" t="s">
        <v>103</v>
      </c>
      <c r="W504" s="25"/>
      <c r="X504" s="26">
        <v>0.4</v>
      </c>
      <c r="Y504" s="26"/>
      <c r="Z504" s="24">
        <v>0.41</v>
      </c>
      <c r="AA504" s="27">
        <v>45820</v>
      </c>
      <c r="AB504" s="28">
        <f t="shared" si="1078"/>
        <v>61.727272727272727</v>
      </c>
      <c r="AC504" s="28">
        <f>AB504*X504</f>
        <v>24.690909090909091</v>
      </c>
      <c r="AD504" s="28">
        <f t="shared" si="1118"/>
        <v>232.06985454545455</v>
      </c>
      <c r="AE504" s="28">
        <f t="shared" si="1113"/>
        <v>8.8576280360860515</v>
      </c>
      <c r="AF504" s="171">
        <f>IFERROR(((AE504-S504)/AE504),"")</f>
        <v>0.79565635488123398</v>
      </c>
      <c r="AG504" s="263">
        <v>7.2</v>
      </c>
      <c r="AH504" s="263">
        <f t="shared" si="1077"/>
        <v>0.3213281563797028</v>
      </c>
      <c r="AI504" s="25">
        <v>8</v>
      </c>
      <c r="AJ504" s="24">
        <f>AD504-(AI504*I504)</f>
        <v>22.469854545454552</v>
      </c>
      <c r="AK504" s="29">
        <f>AJ504/I504</f>
        <v>0.85762803608605165</v>
      </c>
      <c r="AL504" s="29">
        <f>(((AI504*M504)*2000)/L504)/Z504</f>
        <v>53.752603641738894</v>
      </c>
      <c r="AM504" s="29">
        <f>((AJ504*2000)/Z504)/J504</f>
        <v>5.8308887415253183</v>
      </c>
      <c r="AN504" s="29" t="s">
        <v>701</v>
      </c>
      <c r="AO504" s="29">
        <f>7.5*I504</f>
        <v>196.5</v>
      </c>
      <c r="AP504" s="29">
        <f>AD504-AO504</f>
        <v>35.569854545454547</v>
      </c>
      <c r="AR504" s="25" t="s">
        <v>91</v>
      </c>
      <c r="AS504" s="15">
        <v>53</v>
      </c>
      <c r="AT504" s="15">
        <v>56</v>
      </c>
      <c r="AU504" s="15">
        <v>70</v>
      </c>
      <c r="AV504" s="15">
        <v>51</v>
      </c>
      <c r="AW504" s="15">
        <v>75</v>
      </c>
      <c r="AX504" s="15">
        <v>70</v>
      </c>
      <c r="AY504" s="15">
        <v>64</v>
      </c>
      <c r="AZ504" s="15">
        <v>64</v>
      </c>
      <c r="BA504" s="15">
        <v>62</v>
      </c>
      <c r="BB504" s="15">
        <v>53</v>
      </c>
      <c r="BC504" s="15">
        <v>61</v>
      </c>
    </row>
    <row r="505" spans="1:94" s="15" customFormat="1">
      <c r="A505" s="15" t="s">
        <v>437</v>
      </c>
      <c r="B505" s="15" t="s">
        <v>664</v>
      </c>
      <c r="C505" s="16" t="s">
        <v>665</v>
      </c>
      <c r="D505" s="49" t="s">
        <v>111</v>
      </c>
      <c r="E505" s="17" t="s">
        <v>160</v>
      </c>
      <c r="F505" s="166" t="s">
        <v>666</v>
      </c>
      <c r="G505" s="18" t="s">
        <v>140</v>
      </c>
      <c r="H505" s="19">
        <v>726</v>
      </c>
      <c r="I505" s="30">
        <v>26.2</v>
      </c>
      <c r="J505" s="19">
        <v>18798</v>
      </c>
      <c r="K505" s="22"/>
      <c r="L505" s="19">
        <f t="shared" ref="L505" si="1135">J505-(J505*K505)</f>
        <v>18798</v>
      </c>
      <c r="M505" s="60">
        <f t="shared" ref="M505" si="1136">L505/H505</f>
        <v>25.892561983471076</v>
      </c>
      <c r="N505" s="30"/>
      <c r="O505" s="30"/>
      <c r="P505" s="30"/>
      <c r="Q505" s="30"/>
      <c r="R505" s="30"/>
      <c r="S505" s="56">
        <v>1.81</v>
      </c>
      <c r="T505" s="31"/>
      <c r="U505" s="15" t="s">
        <v>333</v>
      </c>
      <c r="V505" s="25" t="s">
        <v>103</v>
      </c>
      <c r="W505" s="25"/>
      <c r="X505" s="26">
        <v>0.4</v>
      </c>
      <c r="Y505" s="26"/>
      <c r="Z505" s="24">
        <v>0.41</v>
      </c>
      <c r="AA505" s="27">
        <v>45863</v>
      </c>
      <c r="AB505" s="28">
        <v>64</v>
      </c>
      <c r="AC505" s="28">
        <f>AB505*X505</f>
        <v>25.6</v>
      </c>
      <c r="AD505" s="28">
        <f t="shared" ref="AD505" si="1137">(AC505*L505)/2000</f>
        <v>240.61440000000002</v>
      </c>
      <c r="AE505" s="28">
        <f t="shared" ref="AE505" si="1138">IFERROR((AD505/I505),"")</f>
        <v>9.1837557251908404</v>
      </c>
      <c r="AF505" s="171">
        <f>IFERROR(((AE505-S505)/AE505),"")</f>
        <v>0.80291287636982656</v>
      </c>
      <c r="AG505" s="263">
        <v>7.2</v>
      </c>
      <c r="AH505" s="263">
        <f t="shared" si="1077"/>
        <v>0.30991735537190085</v>
      </c>
      <c r="AI505" s="25">
        <v>9.5</v>
      </c>
      <c r="AJ505" s="24">
        <f>AD505-(AI505*I505)</f>
        <v>-8.2855999999999881</v>
      </c>
      <c r="AK505" s="29">
        <f>AJ505/I505</f>
        <v>-0.31624427480915984</v>
      </c>
      <c r="AL505" s="29">
        <f>(((AI505*M505)*2000)/L505)/Z505</f>
        <v>63.831216824564947</v>
      </c>
      <c r="AM505" s="29">
        <f>((AJ505*2000)/Z505)/J505</f>
        <v>-2.150098998596111</v>
      </c>
      <c r="AN505" s="29" t="s">
        <v>701</v>
      </c>
      <c r="AO505" s="29">
        <f>7.5*I505</f>
        <v>196.5</v>
      </c>
      <c r="AP505" s="29">
        <f>AD505-AO505</f>
        <v>44.114400000000018</v>
      </c>
      <c r="AQ505" s="15" t="s">
        <v>841</v>
      </c>
      <c r="AR505" s="25"/>
    </row>
    <row r="507" spans="1:94">
      <c r="C507" s="6"/>
      <c r="D507" s="11"/>
    </row>
    <row r="508" spans="1:94">
      <c r="C508" s="6"/>
      <c r="D508" s="11"/>
    </row>
    <row r="509" spans="1:94">
      <c r="C509" s="6"/>
      <c r="D509" s="11"/>
    </row>
    <row r="510" spans="1:94">
      <c r="C510" s="6"/>
      <c r="D510" s="11"/>
    </row>
    <row r="511" spans="1:94">
      <c r="C511" s="6"/>
      <c r="D511" s="11"/>
    </row>
    <row r="512" spans="1:94" s="7" customFormat="1">
      <c r="A512" s="5"/>
      <c r="B512" s="5"/>
      <c r="C512" s="6"/>
      <c r="D512" s="11"/>
      <c r="F512" s="5"/>
      <c r="G512" s="5"/>
      <c r="I512" s="8"/>
      <c r="J512" s="9"/>
      <c r="K512" s="9"/>
      <c r="L512" s="9"/>
      <c r="M512" s="9"/>
      <c r="N512" s="10"/>
      <c r="O512" s="10"/>
      <c r="P512" s="10"/>
      <c r="Q512" s="10"/>
      <c r="R512" s="10"/>
      <c r="S512" s="10"/>
      <c r="T512" s="33"/>
      <c r="U512" s="6"/>
      <c r="V512" s="11"/>
      <c r="W512" s="11"/>
      <c r="X512" s="34"/>
      <c r="Y512" s="34"/>
      <c r="Z512" s="34"/>
      <c r="AA512" s="35"/>
      <c r="AB512" s="36"/>
      <c r="AC512" s="36"/>
      <c r="AD512" s="36"/>
      <c r="AE512" s="36"/>
      <c r="AF512" s="168"/>
      <c r="AG512" s="272"/>
      <c r="AH512" s="272"/>
      <c r="AI512" s="11"/>
      <c r="AJ512" s="12"/>
      <c r="AK512" s="13"/>
      <c r="AL512" s="13"/>
      <c r="AM512" s="13"/>
      <c r="AN512" s="13"/>
      <c r="AO512" s="13"/>
      <c r="AP512" s="13"/>
      <c r="AQ512" s="6"/>
      <c r="AR512" s="11"/>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row>
    <row r="513" spans="1:94" s="7" customFormat="1">
      <c r="A513" s="5"/>
      <c r="B513" s="5"/>
      <c r="C513" s="6"/>
      <c r="D513" s="11"/>
      <c r="F513" s="5"/>
      <c r="G513" s="5"/>
      <c r="I513" s="8"/>
      <c r="J513" s="9"/>
      <c r="K513" s="9"/>
      <c r="L513" s="9"/>
      <c r="M513" s="9"/>
      <c r="N513" s="10"/>
      <c r="O513" s="10"/>
      <c r="P513" s="10"/>
      <c r="Q513" s="10"/>
      <c r="R513" s="10"/>
      <c r="S513" s="10"/>
      <c r="T513" s="33"/>
      <c r="U513" s="6"/>
      <c r="V513" s="11"/>
      <c r="W513" s="11"/>
      <c r="X513" s="34"/>
      <c r="Y513" s="34"/>
      <c r="Z513" s="34"/>
      <c r="AA513" s="35"/>
      <c r="AB513" s="36"/>
      <c r="AC513" s="36"/>
      <c r="AD513" s="36"/>
      <c r="AE513" s="36"/>
      <c r="AF513" s="168"/>
      <c r="AG513" s="272"/>
      <c r="AH513" s="272"/>
      <c r="AI513" s="11"/>
      <c r="AJ513" s="12"/>
      <c r="AK513" s="13"/>
      <c r="AL513" s="13"/>
      <c r="AM513" s="13"/>
      <c r="AN513" s="13"/>
      <c r="AO513" s="13"/>
      <c r="AP513" s="13"/>
      <c r="AQ513" s="6"/>
      <c r="AR513" s="11"/>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row>
    <row r="514" spans="1:94" s="7" customFormat="1">
      <c r="A514" s="5"/>
      <c r="B514" s="5"/>
      <c r="C514" s="6"/>
      <c r="D514" s="11"/>
      <c r="F514" s="5"/>
      <c r="G514" s="5"/>
      <c r="I514" s="8"/>
      <c r="J514" s="9"/>
      <c r="K514" s="9"/>
      <c r="L514" s="9"/>
      <c r="M514" s="9"/>
      <c r="N514" s="10"/>
      <c r="O514" s="10"/>
      <c r="P514" s="10"/>
      <c r="Q514" s="10"/>
      <c r="R514" s="10"/>
      <c r="S514" s="10"/>
      <c r="T514" s="33"/>
      <c r="U514" s="6"/>
      <c r="V514" s="11"/>
      <c r="W514" s="11"/>
      <c r="X514" s="34"/>
      <c r="Y514" s="34"/>
      <c r="Z514" s="34"/>
      <c r="AA514" s="35"/>
      <c r="AB514" s="36"/>
      <c r="AC514" s="36"/>
      <c r="AD514" s="36"/>
      <c r="AE514" s="36"/>
      <c r="AF514" s="168"/>
      <c r="AG514" s="272"/>
      <c r="AH514" s="272"/>
      <c r="AI514" s="11"/>
      <c r="AJ514" s="12"/>
      <c r="AK514" s="13"/>
      <c r="AL514" s="13"/>
      <c r="AM514" s="13"/>
      <c r="AN514" s="13"/>
      <c r="AO514" s="13"/>
      <c r="AP514" s="13"/>
      <c r="AQ514" s="6"/>
      <c r="AR514" s="11"/>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row>
    <row r="515" spans="1:94" s="7" customFormat="1">
      <c r="A515" s="5"/>
      <c r="B515" s="5"/>
      <c r="C515" s="6"/>
      <c r="D515" s="11"/>
      <c r="F515" s="5"/>
      <c r="G515" s="5"/>
      <c r="I515" s="8"/>
      <c r="J515" s="9"/>
      <c r="K515" s="9"/>
      <c r="L515" s="9"/>
      <c r="M515" s="9"/>
      <c r="N515" s="10"/>
      <c r="O515" s="10"/>
      <c r="P515" s="10"/>
      <c r="Q515" s="10"/>
      <c r="R515" s="10"/>
      <c r="S515" s="10"/>
      <c r="T515" s="33"/>
      <c r="U515" s="6"/>
      <c r="V515" s="11"/>
      <c r="W515" s="11"/>
      <c r="X515" s="34"/>
      <c r="Y515" s="34"/>
      <c r="Z515" s="34"/>
      <c r="AA515" s="35"/>
      <c r="AB515" s="36"/>
      <c r="AC515" s="36"/>
      <c r="AD515" s="36"/>
      <c r="AE515" s="36"/>
      <c r="AF515" s="168"/>
      <c r="AG515" s="272"/>
      <c r="AH515" s="272"/>
      <c r="AI515" s="11"/>
      <c r="AJ515" s="12"/>
      <c r="AK515" s="13"/>
      <c r="AL515" s="13"/>
      <c r="AM515" s="13"/>
      <c r="AN515" s="13"/>
      <c r="AO515" s="13"/>
      <c r="AP515" s="13"/>
      <c r="AQ515" s="6"/>
      <c r="AR515" s="11"/>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row>
    <row r="516" spans="1:94" s="7" customFormat="1">
      <c r="A516" s="5"/>
      <c r="B516" s="5"/>
      <c r="C516" s="6"/>
      <c r="D516" s="11"/>
      <c r="F516" s="5"/>
      <c r="G516" s="5"/>
      <c r="I516" s="8"/>
      <c r="J516" s="9"/>
      <c r="K516" s="9"/>
      <c r="L516" s="9"/>
      <c r="M516" s="9"/>
      <c r="N516" s="10"/>
      <c r="O516" s="10"/>
      <c r="P516" s="10"/>
      <c r="Q516" s="10"/>
      <c r="R516" s="10"/>
      <c r="S516" s="10"/>
      <c r="T516" s="33"/>
      <c r="U516" s="6"/>
      <c r="V516" s="11"/>
      <c r="W516" s="11"/>
      <c r="X516" s="34"/>
      <c r="Y516" s="34"/>
      <c r="Z516" s="34"/>
      <c r="AA516" s="35"/>
      <c r="AB516" s="36"/>
      <c r="AC516" s="36"/>
      <c r="AD516" s="36"/>
      <c r="AE516" s="36"/>
      <c r="AF516" s="168"/>
      <c r="AG516" s="272"/>
      <c r="AH516" s="272"/>
      <c r="AI516" s="11"/>
      <c r="AJ516" s="12"/>
      <c r="AK516" s="13"/>
      <c r="AL516" s="13"/>
      <c r="AM516" s="13"/>
      <c r="AN516" s="13"/>
      <c r="AO516" s="13"/>
      <c r="AP516" s="13"/>
      <c r="AQ516" s="6"/>
      <c r="AR516" s="11"/>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row>
    <row r="517" spans="1:94" s="7" customFormat="1">
      <c r="A517" s="5"/>
      <c r="B517" s="5"/>
      <c r="C517" s="6"/>
      <c r="D517" s="11"/>
      <c r="F517" s="5"/>
      <c r="G517" s="5"/>
      <c r="I517" s="8"/>
      <c r="J517" s="9"/>
      <c r="K517" s="9"/>
      <c r="L517" s="9"/>
      <c r="M517" s="9"/>
      <c r="N517" s="10"/>
      <c r="O517" s="10"/>
      <c r="P517" s="10"/>
      <c r="Q517" s="10"/>
      <c r="R517" s="10"/>
      <c r="S517" s="10"/>
      <c r="T517" s="33"/>
      <c r="U517" s="6"/>
      <c r="V517" s="11"/>
      <c r="W517" s="11"/>
      <c r="X517" s="34"/>
      <c r="Y517" s="34"/>
      <c r="Z517" s="34"/>
      <c r="AA517" s="35"/>
      <c r="AB517" s="36"/>
      <c r="AC517" s="36"/>
      <c r="AD517" s="36"/>
      <c r="AE517" s="36"/>
      <c r="AF517" s="168"/>
      <c r="AG517" s="272"/>
      <c r="AH517" s="272"/>
      <c r="AI517" s="11"/>
      <c r="AJ517" s="12"/>
      <c r="AK517" s="13"/>
      <c r="AL517" s="13"/>
      <c r="AM517" s="13"/>
      <c r="AN517" s="13"/>
      <c r="AO517" s="13"/>
      <c r="AP517" s="13"/>
      <c r="AQ517" s="6"/>
      <c r="AR517" s="11"/>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row>
    <row r="518" spans="1:94" s="7" customFormat="1">
      <c r="A518" s="5"/>
      <c r="B518" s="5"/>
      <c r="C518" s="6"/>
      <c r="D518" s="11"/>
      <c r="F518" s="5"/>
      <c r="G518" s="5"/>
      <c r="I518" s="8"/>
      <c r="J518" s="9"/>
      <c r="K518" s="9"/>
      <c r="L518" s="9"/>
      <c r="M518" s="9"/>
      <c r="N518" s="10"/>
      <c r="O518" s="10"/>
      <c r="P518" s="10"/>
      <c r="Q518" s="10"/>
      <c r="R518" s="10"/>
      <c r="S518" s="10"/>
      <c r="T518" s="33"/>
      <c r="U518" s="6"/>
      <c r="V518" s="11"/>
      <c r="W518" s="11"/>
      <c r="X518" s="34"/>
      <c r="Y518" s="34"/>
      <c r="Z518" s="34"/>
      <c r="AA518" s="35"/>
      <c r="AB518" s="36"/>
      <c r="AC518" s="36"/>
      <c r="AD518" s="36"/>
      <c r="AE518" s="36"/>
      <c r="AF518" s="168"/>
      <c r="AG518" s="272"/>
      <c r="AH518" s="272"/>
      <c r="AI518" s="11"/>
      <c r="AJ518" s="12"/>
      <c r="AK518" s="13"/>
      <c r="AL518" s="13"/>
      <c r="AM518" s="13"/>
      <c r="AN518" s="13"/>
      <c r="AO518" s="13"/>
      <c r="AP518" s="13"/>
      <c r="AQ518" s="6"/>
      <c r="AR518" s="11"/>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row>
    <row r="519" spans="1:94" s="7" customFormat="1">
      <c r="A519" s="5"/>
      <c r="B519" s="5"/>
      <c r="C519" s="6"/>
      <c r="D519" s="11"/>
      <c r="F519" s="5"/>
      <c r="G519" s="5"/>
      <c r="I519" s="8"/>
      <c r="J519" s="9"/>
      <c r="K519" s="9"/>
      <c r="L519" s="9"/>
      <c r="M519" s="9"/>
      <c r="N519" s="10"/>
      <c r="O519" s="10"/>
      <c r="P519" s="10"/>
      <c r="Q519" s="10"/>
      <c r="R519" s="10"/>
      <c r="S519" s="10"/>
      <c r="T519" s="33"/>
      <c r="U519" s="6"/>
      <c r="V519" s="11"/>
      <c r="W519" s="11"/>
      <c r="X519" s="34"/>
      <c r="Y519" s="34"/>
      <c r="Z519" s="34"/>
      <c r="AA519" s="35"/>
      <c r="AB519" s="36"/>
      <c r="AC519" s="36"/>
      <c r="AD519" s="36"/>
      <c r="AE519" s="36"/>
      <c r="AF519" s="168"/>
      <c r="AG519" s="272"/>
      <c r="AH519" s="272"/>
      <c r="AI519" s="11"/>
      <c r="AJ519" s="12"/>
      <c r="AK519" s="13"/>
      <c r="AL519" s="13"/>
      <c r="AM519" s="13"/>
      <c r="AN519" s="13"/>
      <c r="AO519" s="13"/>
      <c r="AP519" s="13"/>
      <c r="AQ519" s="6"/>
      <c r="AR519" s="11"/>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row>
    <row r="520" spans="1:94" s="7" customFormat="1">
      <c r="A520" s="5"/>
      <c r="B520" s="5"/>
      <c r="C520" s="6"/>
      <c r="D520" s="11"/>
      <c r="F520" s="5"/>
      <c r="G520" s="5"/>
      <c r="I520" s="8"/>
      <c r="J520" s="9"/>
      <c r="K520" s="9"/>
      <c r="L520" s="9"/>
      <c r="M520" s="9"/>
      <c r="N520" s="10"/>
      <c r="O520" s="10"/>
      <c r="P520" s="10"/>
      <c r="Q520" s="10"/>
      <c r="R520" s="10"/>
      <c r="S520" s="10"/>
      <c r="T520" s="33"/>
      <c r="U520" s="6"/>
      <c r="V520" s="11"/>
      <c r="W520" s="11"/>
      <c r="X520" s="34"/>
      <c r="Y520" s="34"/>
      <c r="Z520" s="34"/>
      <c r="AA520" s="35"/>
      <c r="AB520" s="36"/>
      <c r="AC520" s="36"/>
      <c r="AD520" s="36"/>
      <c r="AE520" s="36"/>
      <c r="AF520" s="168"/>
      <c r="AG520" s="272"/>
      <c r="AH520" s="272"/>
      <c r="AI520" s="11"/>
      <c r="AJ520" s="12"/>
      <c r="AK520" s="13"/>
      <c r="AL520" s="13"/>
      <c r="AM520" s="13"/>
      <c r="AN520" s="13"/>
      <c r="AO520" s="13"/>
      <c r="AP520" s="13"/>
      <c r="AQ520" s="6"/>
      <c r="AR520" s="11"/>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row>
    <row r="521" spans="1:94" s="7" customFormat="1">
      <c r="A521" s="5"/>
      <c r="B521" s="5"/>
      <c r="C521" s="6"/>
      <c r="D521" s="11"/>
      <c r="F521" s="5"/>
      <c r="G521" s="5"/>
      <c r="I521" s="8"/>
      <c r="J521" s="9"/>
      <c r="K521" s="9"/>
      <c r="L521" s="9"/>
      <c r="M521" s="9"/>
      <c r="N521" s="10"/>
      <c r="O521" s="10"/>
      <c r="P521" s="10"/>
      <c r="Q521" s="10"/>
      <c r="R521" s="10"/>
      <c r="S521" s="10"/>
      <c r="T521" s="33"/>
      <c r="U521" s="6"/>
      <c r="V521" s="11"/>
      <c r="W521" s="11"/>
      <c r="X521" s="34"/>
      <c r="Y521" s="34"/>
      <c r="Z521" s="34"/>
      <c r="AA521" s="35"/>
      <c r="AB521" s="36"/>
      <c r="AC521" s="36"/>
      <c r="AD521" s="36"/>
      <c r="AE521" s="36"/>
      <c r="AF521" s="168"/>
      <c r="AG521" s="272"/>
      <c r="AH521" s="272"/>
      <c r="AI521" s="11"/>
      <c r="AJ521" s="12"/>
      <c r="AK521" s="13"/>
      <c r="AL521" s="13"/>
      <c r="AM521" s="13"/>
      <c r="AN521" s="13"/>
      <c r="AO521" s="13"/>
      <c r="AP521" s="13"/>
      <c r="AQ521" s="6"/>
      <c r="AR521" s="11"/>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row>
    <row r="522" spans="1:94" s="7" customFormat="1">
      <c r="A522" s="5"/>
      <c r="B522" s="5"/>
      <c r="C522" s="6"/>
      <c r="D522" s="11"/>
      <c r="F522" s="5"/>
      <c r="G522" s="5"/>
      <c r="I522" s="8"/>
      <c r="J522" s="9"/>
      <c r="K522" s="9"/>
      <c r="L522" s="9"/>
      <c r="M522" s="9"/>
      <c r="N522" s="10"/>
      <c r="O522" s="10"/>
      <c r="P522" s="10"/>
      <c r="Q522" s="10"/>
      <c r="R522" s="10"/>
      <c r="S522" s="10"/>
      <c r="T522" s="33"/>
      <c r="U522" s="6"/>
      <c r="V522" s="11"/>
      <c r="W522" s="11"/>
      <c r="X522" s="34"/>
      <c r="Y522" s="34"/>
      <c r="Z522" s="34"/>
      <c r="AA522" s="35"/>
      <c r="AB522" s="36"/>
      <c r="AC522" s="36"/>
      <c r="AD522" s="36"/>
      <c r="AE522" s="36"/>
      <c r="AF522" s="168"/>
      <c r="AG522" s="272"/>
      <c r="AH522" s="272"/>
      <c r="AI522" s="11"/>
      <c r="AJ522" s="12"/>
      <c r="AK522" s="13"/>
      <c r="AL522" s="13"/>
      <c r="AM522" s="13"/>
      <c r="AN522" s="13"/>
      <c r="AO522" s="13"/>
      <c r="AP522" s="13"/>
      <c r="AQ522" s="6"/>
      <c r="AR522" s="11"/>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row>
    <row r="523" spans="1:94" s="7" customFormat="1">
      <c r="A523" s="5"/>
      <c r="B523" s="5"/>
      <c r="C523" s="6"/>
      <c r="D523" s="11"/>
      <c r="F523" s="5"/>
      <c r="G523" s="5"/>
      <c r="I523" s="8"/>
      <c r="J523" s="9"/>
      <c r="K523" s="9"/>
      <c r="L523" s="9"/>
      <c r="M523" s="9"/>
      <c r="N523" s="10"/>
      <c r="O523" s="10"/>
      <c r="P523" s="10"/>
      <c r="Q523" s="10"/>
      <c r="R523" s="10"/>
      <c r="S523" s="10"/>
      <c r="T523" s="33"/>
      <c r="U523" s="6"/>
      <c r="V523" s="11"/>
      <c r="W523" s="11"/>
      <c r="X523" s="34"/>
      <c r="Y523" s="34"/>
      <c r="Z523" s="34"/>
      <c r="AA523" s="35"/>
      <c r="AB523" s="36"/>
      <c r="AC523" s="36"/>
      <c r="AD523" s="36"/>
      <c r="AE523" s="36"/>
      <c r="AF523" s="168"/>
      <c r="AG523" s="272"/>
      <c r="AH523" s="272"/>
      <c r="AI523" s="11"/>
      <c r="AJ523" s="12"/>
      <c r="AK523" s="13"/>
      <c r="AL523" s="13"/>
      <c r="AM523" s="13"/>
      <c r="AN523" s="13"/>
      <c r="AO523" s="13"/>
      <c r="AP523" s="13"/>
      <c r="AQ523" s="6"/>
      <c r="AR523" s="11"/>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row>
    <row r="524" spans="1:94" s="7" customFormat="1">
      <c r="A524" s="5"/>
      <c r="B524" s="5"/>
      <c r="C524" s="6"/>
      <c r="D524" s="11"/>
      <c r="F524" s="5"/>
      <c r="G524" s="5"/>
      <c r="I524" s="8"/>
      <c r="J524" s="9"/>
      <c r="K524" s="9"/>
      <c r="L524" s="9"/>
      <c r="M524" s="9"/>
      <c r="N524" s="10"/>
      <c r="O524" s="10"/>
      <c r="P524" s="10"/>
      <c r="Q524" s="10"/>
      <c r="R524" s="10"/>
      <c r="S524" s="10"/>
      <c r="T524" s="33"/>
      <c r="U524" s="6"/>
      <c r="V524" s="11"/>
      <c r="W524" s="11"/>
      <c r="X524" s="34"/>
      <c r="Y524" s="34"/>
      <c r="Z524" s="34"/>
      <c r="AA524" s="35"/>
      <c r="AB524" s="36"/>
      <c r="AC524" s="36"/>
      <c r="AD524" s="36"/>
      <c r="AE524" s="36"/>
      <c r="AF524" s="168"/>
      <c r="AG524" s="272"/>
      <c r="AH524" s="272"/>
      <c r="AI524" s="11"/>
      <c r="AJ524" s="12"/>
      <c r="AK524" s="13"/>
      <c r="AL524" s="13"/>
      <c r="AM524" s="13"/>
      <c r="AN524" s="13"/>
      <c r="AO524" s="13"/>
      <c r="AP524" s="13"/>
      <c r="AQ524" s="6"/>
      <c r="AR524" s="11"/>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row>
    <row r="525" spans="1:94" s="7" customFormat="1">
      <c r="A525" s="5"/>
      <c r="B525" s="5"/>
      <c r="C525" s="6"/>
      <c r="D525" s="11"/>
      <c r="F525" s="5"/>
      <c r="G525" s="5"/>
      <c r="I525" s="8"/>
      <c r="J525" s="9"/>
      <c r="K525" s="9"/>
      <c r="L525" s="9"/>
      <c r="M525" s="9"/>
      <c r="N525" s="10"/>
      <c r="O525" s="10"/>
      <c r="P525" s="10"/>
      <c r="Q525" s="10"/>
      <c r="R525" s="10"/>
      <c r="S525" s="10"/>
      <c r="T525" s="33"/>
      <c r="U525" s="6"/>
      <c r="V525" s="11"/>
      <c r="W525" s="11"/>
      <c r="X525" s="34"/>
      <c r="Y525" s="34"/>
      <c r="Z525" s="34"/>
      <c r="AA525" s="35"/>
      <c r="AB525" s="36"/>
      <c r="AC525" s="36"/>
      <c r="AD525" s="36"/>
      <c r="AE525" s="36"/>
      <c r="AF525" s="168"/>
      <c r="AG525" s="272"/>
      <c r="AH525" s="272"/>
      <c r="AI525" s="11"/>
      <c r="AJ525" s="12"/>
      <c r="AK525" s="13"/>
      <c r="AL525" s="13"/>
      <c r="AM525" s="13"/>
      <c r="AN525" s="13"/>
      <c r="AO525" s="13"/>
      <c r="AP525" s="13"/>
      <c r="AQ525" s="6"/>
      <c r="AR525" s="11"/>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row>
    <row r="526" spans="1:94" s="7" customFormat="1">
      <c r="A526" s="5"/>
      <c r="B526" s="5"/>
      <c r="C526" s="6"/>
      <c r="D526" s="11"/>
      <c r="F526" s="5"/>
      <c r="G526" s="5"/>
      <c r="I526" s="8"/>
      <c r="J526" s="9"/>
      <c r="K526" s="9"/>
      <c r="L526" s="9"/>
      <c r="M526" s="9"/>
      <c r="N526" s="10"/>
      <c r="O526" s="10"/>
      <c r="P526" s="10"/>
      <c r="Q526" s="10"/>
      <c r="R526" s="10"/>
      <c r="S526" s="10"/>
      <c r="T526" s="33"/>
      <c r="U526" s="6"/>
      <c r="V526" s="11"/>
      <c r="W526" s="11"/>
      <c r="X526" s="34"/>
      <c r="Y526" s="34"/>
      <c r="Z526" s="34"/>
      <c r="AA526" s="35"/>
      <c r="AB526" s="36"/>
      <c r="AC526" s="36"/>
      <c r="AD526" s="36"/>
      <c r="AE526" s="36"/>
      <c r="AF526" s="168"/>
      <c r="AG526" s="272"/>
      <c r="AH526" s="272"/>
      <c r="AI526" s="11"/>
      <c r="AJ526" s="12"/>
      <c r="AK526" s="13"/>
      <c r="AL526" s="13"/>
      <c r="AM526" s="13"/>
      <c r="AN526" s="13"/>
      <c r="AO526" s="13"/>
      <c r="AP526" s="13"/>
      <c r="AQ526" s="6"/>
      <c r="AR526" s="11"/>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row>
    <row r="527" spans="1:94" s="7" customFormat="1">
      <c r="A527" s="5"/>
      <c r="B527" s="5"/>
      <c r="C527" s="6"/>
      <c r="D527" s="11"/>
      <c r="F527" s="5"/>
      <c r="G527" s="5"/>
      <c r="I527" s="8"/>
      <c r="J527" s="9"/>
      <c r="K527" s="9"/>
      <c r="L527" s="9"/>
      <c r="M527" s="9"/>
      <c r="N527" s="10"/>
      <c r="O527" s="10"/>
      <c r="P527" s="10"/>
      <c r="Q527" s="10"/>
      <c r="R527" s="10"/>
      <c r="S527" s="10"/>
      <c r="T527" s="33"/>
      <c r="U527" s="6"/>
      <c r="V527" s="11"/>
      <c r="W527" s="11"/>
      <c r="X527" s="34"/>
      <c r="Y527" s="34"/>
      <c r="Z527" s="34"/>
      <c r="AA527" s="35"/>
      <c r="AB527" s="36"/>
      <c r="AC527" s="36"/>
      <c r="AD527" s="36"/>
      <c r="AE527" s="36"/>
      <c r="AF527" s="168"/>
      <c r="AG527" s="272"/>
      <c r="AH527" s="272"/>
      <c r="AI527" s="11"/>
      <c r="AJ527" s="12"/>
      <c r="AK527" s="13"/>
      <c r="AL527" s="13"/>
      <c r="AM527" s="13"/>
      <c r="AN527" s="13"/>
      <c r="AO527" s="13"/>
      <c r="AP527" s="13"/>
      <c r="AQ527" s="6"/>
      <c r="AR527" s="11"/>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row>
    <row r="528" spans="1:94" s="7" customFormat="1">
      <c r="A528" s="5"/>
      <c r="B528" s="5"/>
      <c r="C528" s="6"/>
      <c r="D528" s="11"/>
      <c r="F528" s="5"/>
      <c r="G528" s="5"/>
      <c r="I528" s="8"/>
      <c r="J528" s="9"/>
      <c r="K528" s="9"/>
      <c r="L528" s="9"/>
      <c r="M528" s="9"/>
      <c r="N528" s="10"/>
      <c r="O528" s="10"/>
      <c r="P528" s="10"/>
      <c r="Q528" s="10"/>
      <c r="R528" s="10"/>
      <c r="S528" s="10"/>
      <c r="T528" s="33"/>
      <c r="U528" s="6"/>
      <c r="V528" s="11"/>
      <c r="W528" s="11"/>
      <c r="X528" s="34"/>
      <c r="Y528" s="34"/>
      <c r="Z528" s="34"/>
      <c r="AA528" s="35"/>
      <c r="AB528" s="36"/>
      <c r="AC528" s="36"/>
      <c r="AD528" s="36"/>
      <c r="AE528" s="36"/>
      <c r="AF528" s="168"/>
      <c r="AG528" s="272"/>
      <c r="AH528" s="272"/>
      <c r="AI528" s="11"/>
      <c r="AJ528" s="12"/>
      <c r="AK528" s="13"/>
      <c r="AL528" s="13"/>
      <c r="AM528" s="13"/>
      <c r="AN528" s="13"/>
      <c r="AO528" s="13"/>
      <c r="AP528" s="13"/>
      <c r="AQ528" s="6"/>
      <c r="AR528" s="11"/>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row>
    <row r="529" spans="1:94" s="7" customFormat="1">
      <c r="A529" s="5"/>
      <c r="B529" s="5"/>
      <c r="C529" s="6"/>
      <c r="D529" s="11"/>
      <c r="F529" s="5"/>
      <c r="G529" s="5"/>
      <c r="I529" s="8"/>
      <c r="J529" s="9"/>
      <c r="K529" s="9"/>
      <c r="L529" s="9"/>
      <c r="M529" s="9"/>
      <c r="N529" s="10"/>
      <c r="O529" s="10"/>
      <c r="P529" s="10"/>
      <c r="Q529" s="10"/>
      <c r="R529" s="10"/>
      <c r="S529" s="10"/>
      <c r="T529" s="33"/>
      <c r="U529" s="6"/>
      <c r="V529" s="11"/>
      <c r="W529" s="11"/>
      <c r="X529" s="34"/>
      <c r="Y529" s="34"/>
      <c r="Z529" s="34"/>
      <c r="AA529" s="35"/>
      <c r="AB529" s="36"/>
      <c r="AC529" s="36"/>
      <c r="AD529" s="36"/>
      <c r="AE529" s="36"/>
      <c r="AF529" s="168"/>
      <c r="AG529" s="272"/>
      <c r="AH529" s="272"/>
      <c r="AI529" s="11"/>
      <c r="AJ529" s="12"/>
      <c r="AK529" s="13"/>
      <c r="AL529" s="13"/>
      <c r="AM529" s="13"/>
      <c r="AN529" s="13"/>
      <c r="AO529" s="13"/>
      <c r="AP529" s="13"/>
      <c r="AQ529" s="6"/>
      <c r="AR529" s="11"/>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row>
    <row r="530" spans="1:94" s="7" customFormat="1">
      <c r="A530" s="5"/>
      <c r="B530" s="5"/>
      <c r="C530" s="6"/>
      <c r="D530" s="11"/>
      <c r="F530" s="5"/>
      <c r="G530" s="5"/>
      <c r="I530" s="8"/>
      <c r="J530" s="9"/>
      <c r="K530" s="9"/>
      <c r="L530" s="9"/>
      <c r="M530" s="9"/>
      <c r="N530" s="10"/>
      <c r="O530" s="10"/>
      <c r="P530" s="10"/>
      <c r="Q530" s="10"/>
      <c r="R530" s="10"/>
      <c r="S530" s="10"/>
      <c r="T530" s="33"/>
      <c r="U530" s="6"/>
      <c r="V530" s="11"/>
      <c r="W530" s="11"/>
      <c r="X530" s="34"/>
      <c r="Y530" s="34"/>
      <c r="Z530" s="34"/>
      <c r="AA530" s="35"/>
      <c r="AB530" s="36"/>
      <c r="AC530" s="36"/>
      <c r="AD530" s="36"/>
      <c r="AE530" s="36"/>
      <c r="AF530" s="168"/>
      <c r="AG530" s="272"/>
      <c r="AH530" s="272"/>
      <c r="AI530" s="11"/>
      <c r="AJ530" s="12"/>
      <c r="AK530" s="13"/>
      <c r="AL530" s="13"/>
      <c r="AM530" s="13"/>
      <c r="AN530" s="13"/>
      <c r="AO530" s="13"/>
      <c r="AP530" s="13"/>
      <c r="AQ530" s="6"/>
      <c r="AR530" s="11"/>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row>
    <row r="531" spans="1:94" s="7" customFormat="1">
      <c r="A531" s="5"/>
      <c r="B531" s="5"/>
      <c r="C531" s="6"/>
      <c r="D531" s="11"/>
      <c r="F531" s="5"/>
      <c r="G531" s="5"/>
      <c r="I531" s="8"/>
      <c r="J531" s="9"/>
      <c r="K531" s="9"/>
      <c r="L531" s="9"/>
      <c r="M531" s="9"/>
      <c r="N531" s="10"/>
      <c r="O531" s="10"/>
      <c r="P531" s="10"/>
      <c r="Q531" s="10"/>
      <c r="R531" s="10"/>
      <c r="S531" s="10"/>
      <c r="T531" s="33"/>
      <c r="U531" s="6"/>
      <c r="V531" s="11"/>
      <c r="W531" s="11"/>
      <c r="X531" s="34"/>
      <c r="Y531" s="34"/>
      <c r="Z531" s="34"/>
      <c r="AA531" s="35"/>
      <c r="AB531" s="36"/>
      <c r="AC531" s="36"/>
      <c r="AD531" s="36"/>
      <c r="AE531" s="36"/>
      <c r="AF531" s="168"/>
      <c r="AG531" s="272"/>
      <c r="AH531" s="272"/>
      <c r="AI531" s="11"/>
      <c r="AJ531" s="12"/>
      <c r="AK531" s="13"/>
      <c r="AL531" s="13"/>
      <c r="AM531" s="13"/>
      <c r="AN531" s="13"/>
      <c r="AO531" s="13"/>
      <c r="AP531" s="13"/>
      <c r="AQ531" s="6"/>
      <c r="AR531" s="11"/>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row>
    <row r="532" spans="1:94" s="7" customFormat="1">
      <c r="A532" s="5"/>
      <c r="B532" s="5"/>
      <c r="C532" s="6"/>
      <c r="D532" s="11"/>
      <c r="F532" s="5"/>
      <c r="G532" s="5"/>
      <c r="I532" s="8"/>
      <c r="J532" s="9"/>
      <c r="K532" s="9"/>
      <c r="L532" s="9"/>
      <c r="M532" s="9"/>
      <c r="N532" s="10"/>
      <c r="O532" s="10"/>
      <c r="P532" s="10"/>
      <c r="Q532" s="10"/>
      <c r="R532" s="10"/>
      <c r="S532" s="10"/>
      <c r="T532" s="33"/>
      <c r="U532" s="6"/>
      <c r="V532" s="11"/>
      <c r="W532" s="11"/>
      <c r="X532" s="34"/>
      <c r="Y532" s="34"/>
      <c r="Z532" s="34"/>
      <c r="AA532" s="35"/>
      <c r="AB532" s="36"/>
      <c r="AC532" s="36"/>
      <c r="AD532" s="36"/>
      <c r="AE532" s="36"/>
      <c r="AF532" s="168"/>
      <c r="AG532" s="272"/>
      <c r="AH532" s="272"/>
      <c r="AI532" s="11"/>
      <c r="AJ532" s="12"/>
      <c r="AK532" s="13"/>
      <c r="AL532" s="13"/>
      <c r="AM532" s="13"/>
      <c r="AN532" s="13"/>
      <c r="AO532" s="13"/>
      <c r="AP532" s="13"/>
      <c r="AQ532" s="6"/>
      <c r="AR532" s="11"/>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row>
    <row r="533" spans="1:94" s="7" customFormat="1">
      <c r="A533" s="5"/>
      <c r="B533" s="5"/>
      <c r="C533" s="6"/>
      <c r="D533" s="11"/>
      <c r="F533" s="5"/>
      <c r="G533" s="5"/>
      <c r="I533" s="8"/>
      <c r="J533" s="9"/>
      <c r="K533" s="9"/>
      <c r="L533" s="9"/>
      <c r="M533" s="9"/>
      <c r="N533" s="10"/>
      <c r="O533" s="10"/>
      <c r="P533" s="10"/>
      <c r="Q533" s="10"/>
      <c r="R533" s="10"/>
      <c r="S533" s="10"/>
      <c r="T533" s="33"/>
      <c r="U533" s="6"/>
      <c r="V533" s="11"/>
      <c r="W533" s="11"/>
      <c r="X533" s="34"/>
      <c r="Y533" s="34"/>
      <c r="Z533" s="34"/>
      <c r="AA533" s="35"/>
      <c r="AB533" s="36"/>
      <c r="AC533" s="36"/>
      <c r="AD533" s="36"/>
      <c r="AE533" s="36"/>
      <c r="AF533" s="168"/>
      <c r="AG533" s="272"/>
      <c r="AH533" s="272"/>
      <c r="AI533" s="11"/>
      <c r="AJ533" s="12"/>
      <c r="AK533" s="13"/>
      <c r="AL533" s="13"/>
      <c r="AM533" s="13"/>
      <c r="AN533" s="13"/>
      <c r="AO533" s="13"/>
      <c r="AP533" s="13"/>
      <c r="AQ533" s="6"/>
      <c r="AR533" s="11"/>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row>
    <row r="534" spans="1:94" s="7" customFormat="1">
      <c r="A534" s="5"/>
      <c r="B534" s="5"/>
      <c r="C534" s="6"/>
      <c r="D534" s="11"/>
      <c r="F534" s="5"/>
      <c r="G534" s="5"/>
      <c r="I534" s="8"/>
      <c r="J534" s="9"/>
      <c r="K534" s="9"/>
      <c r="L534" s="9"/>
      <c r="M534" s="9"/>
      <c r="N534" s="10"/>
      <c r="O534" s="10"/>
      <c r="P534" s="10"/>
      <c r="Q534" s="10"/>
      <c r="R534" s="10"/>
      <c r="S534" s="10"/>
      <c r="T534" s="33"/>
      <c r="U534" s="6"/>
      <c r="V534" s="11"/>
      <c r="W534" s="11"/>
      <c r="X534" s="34"/>
      <c r="Y534" s="34"/>
      <c r="Z534" s="34"/>
      <c r="AA534" s="35"/>
      <c r="AB534" s="36"/>
      <c r="AC534" s="36"/>
      <c r="AD534" s="36"/>
      <c r="AE534" s="36"/>
      <c r="AF534" s="168"/>
      <c r="AG534" s="272"/>
      <c r="AH534" s="272"/>
      <c r="AI534" s="11"/>
      <c r="AJ534" s="12"/>
      <c r="AK534" s="13"/>
      <c r="AL534" s="13"/>
      <c r="AM534" s="13"/>
      <c r="AN534" s="13"/>
      <c r="AO534" s="13"/>
      <c r="AP534" s="13"/>
      <c r="AQ534" s="6"/>
      <c r="AR534" s="11"/>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row>
    <row r="535" spans="1:94" s="7" customFormat="1">
      <c r="A535" s="5"/>
      <c r="B535" s="5"/>
      <c r="C535" s="6"/>
      <c r="D535" s="11"/>
      <c r="F535" s="5"/>
      <c r="G535" s="5"/>
      <c r="I535" s="8"/>
      <c r="J535" s="9"/>
      <c r="K535" s="9"/>
      <c r="L535" s="9"/>
      <c r="M535" s="9"/>
      <c r="N535" s="10"/>
      <c r="O535" s="10"/>
      <c r="P535" s="10"/>
      <c r="Q535" s="10"/>
      <c r="R535" s="10"/>
      <c r="S535" s="10"/>
      <c r="T535" s="33"/>
      <c r="U535" s="6"/>
      <c r="V535" s="11"/>
      <c r="W535" s="11"/>
      <c r="X535" s="34"/>
      <c r="Y535" s="34"/>
      <c r="Z535" s="34"/>
      <c r="AA535" s="35"/>
      <c r="AB535" s="36"/>
      <c r="AC535" s="36"/>
      <c r="AD535" s="36"/>
      <c r="AE535" s="36"/>
      <c r="AF535" s="168"/>
      <c r="AG535" s="272"/>
      <c r="AH535" s="272"/>
      <c r="AI535" s="11"/>
      <c r="AJ535" s="12"/>
      <c r="AK535" s="13"/>
      <c r="AL535" s="13"/>
      <c r="AM535" s="13"/>
      <c r="AN535" s="13"/>
      <c r="AO535" s="13"/>
      <c r="AP535" s="13"/>
      <c r="AQ535" s="6"/>
      <c r="AR535" s="11"/>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row>
    <row r="536" spans="1:94" s="7" customFormat="1">
      <c r="A536" s="5"/>
      <c r="B536" s="5"/>
      <c r="C536" s="6"/>
      <c r="D536" s="11"/>
      <c r="F536" s="5"/>
      <c r="G536" s="5"/>
      <c r="I536" s="8"/>
      <c r="J536" s="9"/>
      <c r="K536" s="9"/>
      <c r="L536" s="9"/>
      <c r="M536" s="9"/>
      <c r="N536" s="10"/>
      <c r="O536" s="10"/>
      <c r="P536" s="10"/>
      <c r="Q536" s="10"/>
      <c r="R536" s="10"/>
      <c r="S536" s="10"/>
      <c r="T536" s="33"/>
      <c r="U536" s="6"/>
      <c r="V536" s="11"/>
      <c r="W536" s="11"/>
      <c r="X536" s="34"/>
      <c r="Y536" s="34"/>
      <c r="Z536" s="34"/>
      <c r="AA536" s="35"/>
      <c r="AB536" s="36"/>
      <c r="AC536" s="36"/>
      <c r="AD536" s="36"/>
      <c r="AE536" s="36"/>
      <c r="AF536" s="168"/>
      <c r="AG536" s="272"/>
      <c r="AH536" s="272"/>
      <c r="AI536" s="11"/>
      <c r="AJ536" s="12"/>
      <c r="AK536" s="13"/>
      <c r="AL536" s="13"/>
      <c r="AM536" s="13"/>
      <c r="AN536" s="13"/>
      <c r="AO536" s="13"/>
      <c r="AP536" s="13"/>
      <c r="AQ536" s="6"/>
      <c r="AR536" s="11"/>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row>
    <row r="537" spans="1:94" s="7" customFormat="1">
      <c r="A537" s="5"/>
      <c r="B537" s="5"/>
      <c r="C537" s="6"/>
      <c r="D537" s="11"/>
      <c r="F537" s="5"/>
      <c r="G537" s="5"/>
      <c r="I537" s="8"/>
      <c r="J537" s="9"/>
      <c r="K537" s="9"/>
      <c r="L537" s="9"/>
      <c r="M537" s="9"/>
      <c r="N537" s="10"/>
      <c r="O537" s="10"/>
      <c r="P537" s="10"/>
      <c r="Q537" s="10"/>
      <c r="R537" s="10"/>
      <c r="S537" s="10"/>
      <c r="T537" s="33"/>
      <c r="U537" s="6"/>
      <c r="V537" s="11"/>
      <c r="W537" s="11"/>
      <c r="X537" s="34"/>
      <c r="Y537" s="34"/>
      <c r="Z537" s="34"/>
      <c r="AA537" s="35"/>
      <c r="AB537" s="36"/>
      <c r="AC537" s="36"/>
      <c r="AD537" s="36"/>
      <c r="AE537" s="36"/>
      <c r="AF537" s="168"/>
      <c r="AG537" s="272"/>
      <c r="AH537" s="272"/>
      <c r="AI537" s="11"/>
      <c r="AJ537" s="12"/>
      <c r="AK537" s="13"/>
      <c r="AL537" s="13"/>
      <c r="AM537" s="13"/>
      <c r="AN537" s="13"/>
      <c r="AO537" s="13"/>
      <c r="AP537" s="13"/>
      <c r="AQ537" s="6"/>
      <c r="AR537" s="11"/>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row>
    <row r="538" spans="1:94" s="7" customFormat="1">
      <c r="A538" s="5"/>
      <c r="B538" s="5"/>
      <c r="C538" s="6"/>
      <c r="D538" s="11"/>
      <c r="F538" s="5"/>
      <c r="G538" s="5"/>
      <c r="I538" s="8"/>
      <c r="J538" s="9"/>
      <c r="K538" s="9"/>
      <c r="L538" s="9"/>
      <c r="M538" s="9"/>
      <c r="N538" s="10"/>
      <c r="O538" s="10"/>
      <c r="P538" s="10"/>
      <c r="Q538" s="10"/>
      <c r="R538" s="10"/>
      <c r="S538" s="10"/>
      <c r="T538" s="33"/>
      <c r="U538" s="6"/>
      <c r="V538" s="11"/>
      <c r="W538" s="11"/>
      <c r="X538" s="34"/>
      <c r="Y538" s="34"/>
      <c r="Z538" s="34"/>
      <c r="AA538" s="35"/>
      <c r="AB538" s="36"/>
      <c r="AC538" s="36"/>
      <c r="AD538" s="36"/>
      <c r="AE538" s="36"/>
      <c r="AF538" s="168"/>
      <c r="AG538" s="272"/>
      <c r="AH538" s="272"/>
      <c r="AI538" s="11"/>
      <c r="AJ538" s="12"/>
      <c r="AK538" s="13"/>
      <c r="AL538" s="13"/>
      <c r="AM538" s="13"/>
      <c r="AN538" s="13"/>
      <c r="AO538" s="13"/>
      <c r="AP538" s="13"/>
      <c r="AQ538" s="6"/>
      <c r="AR538" s="11"/>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row>
    <row r="539" spans="1:94" s="7" customFormat="1">
      <c r="A539" s="5"/>
      <c r="B539" s="5"/>
      <c r="C539" s="6"/>
      <c r="D539" s="11"/>
      <c r="F539" s="5"/>
      <c r="G539" s="5"/>
      <c r="I539" s="8"/>
      <c r="J539" s="9"/>
      <c r="K539" s="9"/>
      <c r="L539" s="9"/>
      <c r="M539" s="9"/>
      <c r="N539" s="10"/>
      <c r="O539" s="10"/>
      <c r="P539" s="10"/>
      <c r="Q539" s="10"/>
      <c r="R539" s="10"/>
      <c r="S539" s="10"/>
      <c r="T539" s="33"/>
      <c r="U539" s="6"/>
      <c r="V539" s="11"/>
      <c r="W539" s="11"/>
      <c r="X539" s="34"/>
      <c r="Y539" s="34"/>
      <c r="Z539" s="34"/>
      <c r="AA539" s="35"/>
      <c r="AB539" s="36"/>
      <c r="AC539" s="36"/>
      <c r="AD539" s="36"/>
      <c r="AE539" s="36"/>
      <c r="AF539" s="168"/>
      <c r="AG539" s="272"/>
      <c r="AH539" s="272"/>
      <c r="AI539" s="11"/>
      <c r="AJ539" s="12"/>
      <c r="AK539" s="13"/>
      <c r="AL539" s="13"/>
      <c r="AM539" s="13"/>
      <c r="AN539" s="13"/>
      <c r="AO539" s="13"/>
      <c r="AP539" s="13"/>
      <c r="AQ539" s="6"/>
      <c r="AR539" s="11"/>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row>
    <row r="540" spans="1:94" s="7" customFormat="1">
      <c r="A540" s="5"/>
      <c r="B540" s="5"/>
      <c r="C540" s="6"/>
      <c r="D540" s="11"/>
      <c r="F540" s="5"/>
      <c r="G540" s="5"/>
      <c r="I540" s="8"/>
      <c r="J540" s="9"/>
      <c r="K540" s="9"/>
      <c r="L540" s="9"/>
      <c r="M540" s="9"/>
      <c r="N540" s="10"/>
      <c r="O540" s="10"/>
      <c r="P540" s="10"/>
      <c r="Q540" s="10"/>
      <c r="R540" s="10"/>
      <c r="S540" s="10"/>
      <c r="T540" s="33"/>
      <c r="U540" s="6"/>
      <c r="V540" s="11"/>
      <c r="W540" s="11"/>
      <c r="X540" s="34"/>
      <c r="Y540" s="34"/>
      <c r="Z540" s="34"/>
      <c r="AA540" s="35"/>
      <c r="AB540" s="36"/>
      <c r="AC540" s="36"/>
      <c r="AD540" s="36"/>
      <c r="AE540" s="36"/>
      <c r="AF540" s="168"/>
      <c r="AG540" s="272"/>
      <c r="AH540" s="272"/>
      <c r="AI540" s="11"/>
      <c r="AJ540" s="12"/>
      <c r="AK540" s="13"/>
      <c r="AL540" s="13"/>
      <c r="AM540" s="13"/>
      <c r="AN540" s="13"/>
      <c r="AO540" s="13"/>
      <c r="AP540" s="13"/>
      <c r="AQ540" s="6"/>
      <c r="AR540" s="11"/>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row>
    <row r="541" spans="1:94" s="7" customFormat="1">
      <c r="A541" s="5"/>
      <c r="B541" s="5"/>
      <c r="C541" s="6"/>
      <c r="D541" s="11"/>
      <c r="F541" s="5"/>
      <c r="G541" s="5"/>
      <c r="I541" s="8"/>
      <c r="J541" s="9"/>
      <c r="K541" s="9"/>
      <c r="L541" s="9"/>
      <c r="M541" s="9"/>
      <c r="N541" s="10"/>
      <c r="O541" s="10"/>
      <c r="P541" s="10"/>
      <c r="Q541" s="10"/>
      <c r="R541" s="10"/>
      <c r="S541" s="10"/>
      <c r="T541" s="33"/>
      <c r="U541" s="6"/>
      <c r="V541" s="11"/>
      <c r="W541" s="11"/>
      <c r="X541" s="34"/>
      <c r="Y541" s="34"/>
      <c r="Z541" s="34"/>
      <c r="AA541" s="35"/>
      <c r="AB541" s="36"/>
      <c r="AC541" s="36"/>
      <c r="AD541" s="36"/>
      <c r="AE541" s="36"/>
      <c r="AF541" s="168"/>
      <c r="AG541" s="272"/>
      <c r="AH541" s="272"/>
      <c r="AI541" s="11"/>
      <c r="AJ541" s="12"/>
      <c r="AK541" s="13"/>
      <c r="AL541" s="13"/>
      <c r="AM541" s="13"/>
      <c r="AN541" s="13"/>
      <c r="AO541" s="13"/>
      <c r="AP541" s="13"/>
      <c r="AQ541" s="6"/>
      <c r="AR541" s="11"/>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row>
    <row r="542" spans="1:94" s="7" customFormat="1">
      <c r="A542" s="5"/>
      <c r="B542" s="5"/>
      <c r="C542" s="6"/>
      <c r="D542" s="11"/>
      <c r="F542" s="5"/>
      <c r="G542" s="5"/>
      <c r="I542" s="8"/>
      <c r="J542" s="9"/>
      <c r="K542" s="9"/>
      <c r="L542" s="9"/>
      <c r="M542" s="9"/>
      <c r="N542" s="10"/>
      <c r="O542" s="10"/>
      <c r="P542" s="10"/>
      <c r="Q542" s="10"/>
      <c r="R542" s="10"/>
      <c r="S542" s="10"/>
      <c r="T542" s="33"/>
      <c r="U542" s="6"/>
      <c r="V542" s="11"/>
      <c r="W542" s="11"/>
      <c r="X542" s="34"/>
      <c r="Y542" s="34"/>
      <c r="Z542" s="34"/>
      <c r="AA542" s="35"/>
      <c r="AB542" s="36"/>
      <c r="AC542" s="36"/>
      <c r="AD542" s="36"/>
      <c r="AE542" s="36"/>
      <c r="AF542" s="168"/>
      <c r="AG542" s="272"/>
      <c r="AH542" s="272"/>
      <c r="AI542" s="11"/>
      <c r="AJ542" s="12"/>
      <c r="AK542" s="13"/>
      <c r="AL542" s="13"/>
      <c r="AM542" s="13"/>
      <c r="AN542" s="13"/>
      <c r="AO542" s="13"/>
      <c r="AP542" s="13"/>
      <c r="AQ542" s="6"/>
      <c r="AR542" s="11"/>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row>
    <row r="543" spans="1:94" s="7" customFormat="1">
      <c r="A543" s="5"/>
      <c r="B543" s="5"/>
      <c r="C543" s="6"/>
      <c r="D543" s="11"/>
      <c r="F543" s="5"/>
      <c r="G543" s="5"/>
      <c r="I543" s="8"/>
      <c r="J543" s="9"/>
      <c r="K543" s="9"/>
      <c r="L543" s="9"/>
      <c r="M543" s="9"/>
      <c r="N543" s="10"/>
      <c r="O543" s="10"/>
      <c r="P543" s="10"/>
      <c r="Q543" s="10"/>
      <c r="R543" s="10"/>
      <c r="S543" s="10"/>
      <c r="T543" s="33"/>
      <c r="U543" s="6"/>
      <c r="V543" s="11"/>
      <c r="W543" s="11"/>
      <c r="X543" s="34"/>
      <c r="Y543" s="34"/>
      <c r="Z543" s="34"/>
      <c r="AA543" s="35"/>
      <c r="AB543" s="36"/>
      <c r="AC543" s="36"/>
      <c r="AD543" s="36"/>
      <c r="AE543" s="36"/>
      <c r="AF543" s="168"/>
      <c r="AG543" s="272"/>
      <c r="AH543" s="272"/>
      <c r="AI543" s="11"/>
      <c r="AJ543" s="12"/>
      <c r="AK543" s="13"/>
      <c r="AL543" s="13"/>
      <c r="AM543" s="13"/>
      <c r="AN543" s="13"/>
      <c r="AO543" s="13"/>
      <c r="AP543" s="13"/>
      <c r="AQ543" s="6"/>
      <c r="AR543" s="11"/>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row>
    <row r="544" spans="1:94" s="7" customFormat="1">
      <c r="A544" s="5"/>
      <c r="B544" s="5"/>
      <c r="C544" s="6"/>
      <c r="D544" s="11"/>
      <c r="F544" s="5"/>
      <c r="G544" s="5"/>
      <c r="I544" s="8"/>
      <c r="J544" s="9"/>
      <c r="K544" s="9"/>
      <c r="L544" s="9"/>
      <c r="M544" s="9"/>
      <c r="N544" s="10"/>
      <c r="O544" s="10"/>
      <c r="P544" s="10"/>
      <c r="Q544" s="10"/>
      <c r="R544" s="10"/>
      <c r="S544" s="10"/>
      <c r="T544" s="33"/>
      <c r="U544" s="6"/>
      <c r="V544" s="11"/>
      <c r="W544" s="11"/>
      <c r="X544" s="34"/>
      <c r="Y544" s="34"/>
      <c r="Z544" s="34"/>
      <c r="AA544" s="35"/>
      <c r="AB544" s="36"/>
      <c r="AC544" s="36"/>
      <c r="AD544" s="36"/>
      <c r="AE544" s="36"/>
      <c r="AF544" s="168"/>
      <c r="AG544" s="272"/>
      <c r="AH544" s="272"/>
      <c r="AI544" s="11"/>
      <c r="AJ544" s="12"/>
      <c r="AK544" s="13"/>
      <c r="AL544" s="13"/>
      <c r="AM544" s="13"/>
      <c r="AN544" s="13"/>
      <c r="AO544" s="13"/>
      <c r="AP544" s="13"/>
      <c r="AQ544" s="6"/>
      <c r="AR544" s="11"/>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row>
    <row r="545" spans="1:94" s="7" customFormat="1">
      <c r="A545" s="5"/>
      <c r="B545" s="5"/>
      <c r="C545" s="6"/>
      <c r="D545" s="11"/>
      <c r="F545" s="5"/>
      <c r="G545" s="5"/>
      <c r="I545" s="8"/>
      <c r="J545" s="9"/>
      <c r="K545" s="9"/>
      <c r="L545" s="9"/>
      <c r="M545" s="9"/>
      <c r="N545" s="10"/>
      <c r="O545" s="10"/>
      <c r="P545" s="10"/>
      <c r="Q545" s="10"/>
      <c r="R545" s="10"/>
      <c r="S545" s="10"/>
      <c r="T545" s="33"/>
      <c r="U545" s="6"/>
      <c r="V545" s="11"/>
      <c r="W545" s="11"/>
      <c r="X545" s="34"/>
      <c r="Y545" s="34"/>
      <c r="Z545" s="34"/>
      <c r="AA545" s="35"/>
      <c r="AB545" s="36"/>
      <c r="AC545" s="36"/>
      <c r="AD545" s="36"/>
      <c r="AE545" s="36"/>
      <c r="AF545" s="168"/>
      <c r="AG545" s="272"/>
      <c r="AH545" s="272"/>
      <c r="AI545" s="11"/>
      <c r="AJ545" s="12"/>
      <c r="AK545" s="13"/>
      <c r="AL545" s="13"/>
      <c r="AM545" s="13"/>
      <c r="AN545" s="13"/>
      <c r="AO545" s="13"/>
      <c r="AP545" s="13"/>
      <c r="AQ545" s="6"/>
      <c r="AR545" s="11"/>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row>
    <row r="546" spans="1:94" s="7" customFormat="1">
      <c r="A546" s="5"/>
      <c r="B546" s="5"/>
      <c r="C546" s="6"/>
      <c r="D546" s="11"/>
      <c r="F546" s="5"/>
      <c r="G546" s="5"/>
      <c r="I546" s="8"/>
      <c r="J546" s="9"/>
      <c r="K546" s="9"/>
      <c r="L546" s="9"/>
      <c r="M546" s="9"/>
      <c r="N546" s="10"/>
      <c r="O546" s="10"/>
      <c r="P546" s="10"/>
      <c r="Q546" s="10"/>
      <c r="R546" s="10"/>
      <c r="S546" s="10"/>
      <c r="T546" s="33"/>
      <c r="U546" s="6"/>
      <c r="V546" s="11"/>
      <c r="W546" s="11"/>
      <c r="X546" s="34"/>
      <c r="Y546" s="34"/>
      <c r="Z546" s="34"/>
      <c r="AA546" s="35"/>
      <c r="AB546" s="36"/>
      <c r="AC546" s="36"/>
      <c r="AD546" s="36"/>
      <c r="AE546" s="36"/>
      <c r="AF546" s="168"/>
      <c r="AG546" s="272"/>
      <c r="AH546" s="272"/>
      <c r="AI546" s="11"/>
      <c r="AJ546" s="12"/>
      <c r="AK546" s="13"/>
      <c r="AL546" s="13"/>
      <c r="AM546" s="13"/>
      <c r="AN546" s="13"/>
      <c r="AO546" s="13"/>
      <c r="AP546" s="13"/>
      <c r="AQ546" s="6"/>
      <c r="AR546" s="11"/>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row>
    <row r="547" spans="1:94" s="7" customFormat="1">
      <c r="A547" s="5"/>
      <c r="B547" s="5"/>
      <c r="C547" s="6"/>
      <c r="D547" s="11"/>
      <c r="F547" s="5"/>
      <c r="G547" s="5"/>
      <c r="I547" s="8"/>
      <c r="J547" s="9"/>
      <c r="K547" s="9"/>
      <c r="L547" s="9"/>
      <c r="M547" s="9"/>
      <c r="N547" s="10"/>
      <c r="O547" s="10"/>
      <c r="P547" s="10"/>
      <c r="Q547" s="10"/>
      <c r="R547" s="10"/>
      <c r="S547" s="10"/>
      <c r="T547" s="33"/>
      <c r="U547" s="6"/>
      <c r="V547" s="11"/>
      <c r="W547" s="11"/>
      <c r="X547" s="34"/>
      <c r="Y547" s="34"/>
      <c r="Z547" s="34"/>
      <c r="AA547" s="35"/>
      <c r="AB547" s="36"/>
      <c r="AC547" s="36"/>
      <c r="AD547" s="36"/>
      <c r="AE547" s="36"/>
      <c r="AF547" s="168"/>
      <c r="AG547" s="272"/>
      <c r="AH547" s="272"/>
      <c r="AI547" s="11"/>
      <c r="AJ547" s="12"/>
      <c r="AK547" s="13"/>
      <c r="AL547" s="13"/>
      <c r="AM547" s="13"/>
      <c r="AN547" s="13"/>
      <c r="AO547" s="13"/>
      <c r="AP547" s="13"/>
      <c r="AQ547" s="6"/>
      <c r="AR547" s="11"/>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row>
    <row r="548" spans="1:94" s="7" customFormat="1">
      <c r="A548" s="5"/>
      <c r="B548" s="5"/>
      <c r="C548" s="6"/>
      <c r="D548" s="11"/>
      <c r="F548" s="5"/>
      <c r="G548" s="5"/>
      <c r="I548" s="8"/>
      <c r="J548" s="9"/>
      <c r="K548" s="9"/>
      <c r="L548" s="9"/>
      <c r="M548" s="9"/>
      <c r="N548" s="10"/>
      <c r="O548" s="10"/>
      <c r="P548" s="10"/>
      <c r="Q548" s="10"/>
      <c r="R548" s="10"/>
      <c r="S548" s="10"/>
      <c r="T548" s="33"/>
      <c r="U548" s="6"/>
      <c r="V548" s="11"/>
      <c r="W548" s="11"/>
      <c r="X548" s="34"/>
      <c r="Y548" s="34"/>
      <c r="Z548" s="34"/>
      <c r="AA548" s="35"/>
      <c r="AB548" s="36"/>
      <c r="AC548" s="36"/>
      <c r="AD548" s="36"/>
      <c r="AE548" s="36"/>
      <c r="AF548" s="168"/>
      <c r="AG548" s="272"/>
      <c r="AH548" s="272"/>
      <c r="AI548" s="11"/>
      <c r="AJ548" s="12"/>
      <c r="AK548" s="13"/>
      <c r="AL548" s="13"/>
      <c r="AM548" s="13"/>
      <c r="AN548" s="13"/>
      <c r="AO548" s="13"/>
      <c r="AP548" s="13"/>
      <c r="AQ548" s="6"/>
      <c r="AR548" s="11"/>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row>
    <row r="549" spans="1:94" s="7" customFormat="1">
      <c r="A549" s="5"/>
      <c r="B549" s="5"/>
      <c r="C549" s="6"/>
      <c r="D549" s="11"/>
      <c r="F549" s="5"/>
      <c r="G549" s="5"/>
      <c r="I549" s="8"/>
      <c r="J549" s="9"/>
      <c r="K549" s="9"/>
      <c r="L549" s="9"/>
      <c r="M549" s="9"/>
      <c r="N549" s="10"/>
      <c r="O549" s="10"/>
      <c r="P549" s="10"/>
      <c r="Q549" s="10"/>
      <c r="R549" s="10"/>
      <c r="S549" s="10"/>
      <c r="T549" s="33"/>
      <c r="U549" s="6"/>
      <c r="V549" s="11"/>
      <c r="W549" s="11"/>
      <c r="X549" s="34"/>
      <c r="Y549" s="34"/>
      <c r="Z549" s="34"/>
      <c r="AA549" s="35"/>
      <c r="AB549" s="36"/>
      <c r="AC549" s="36"/>
      <c r="AD549" s="36"/>
      <c r="AE549" s="36"/>
      <c r="AF549" s="168"/>
      <c r="AG549" s="272"/>
      <c r="AH549" s="272"/>
      <c r="AI549" s="11"/>
      <c r="AJ549" s="12"/>
      <c r="AK549" s="13"/>
      <c r="AL549" s="13"/>
      <c r="AM549" s="13"/>
      <c r="AN549" s="13"/>
      <c r="AO549" s="13"/>
      <c r="AP549" s="13"/>
      <c r="AQ549" s="6"/>
      <c r="AR549" s="11"/>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row>
    <row r="550" spans="1:94" s="7" customFormat="1">
      <c r="A550" s="5"/>
      <c r="B550" s="5"/>
      <c r="C550" s="6"/>
      <c r="D550" s="11"/>
      <c r="F550" s="5"/>
      <c r="G550" s="5"/>
      <c r="I550" s="8"/>
      <c r="J550" s="9"/>
      <c r="K550" s="9"/>
      <c r="L550" s="9"/>
      <c r="M550" s="9"/>
      <c r="N550" s="10"/>
      <c r="O550" s="10"/>
      <c r="P550" s="10"/>
      <c r="Q550" s="10"/>
      <c r="R550" s="10"/>
      <c r="S550" s="10"/>
      <c r="T550" s="33"/>
      <c r="U550" s="6"/>
      <c r="V550" s="11"/>
      <c r="W550" s="11"/>
      <c r="X550" s="34"/>
      <c r="Y550" s="34"/>
      <c r="Z550" s="34"/>
      <c r="AA550" s="35"/>
      <c r="AB550" s="36"/>
      <c r="AC550" s="36"/>
      <c r="AD550" s="36"/>
      <c r="AE550" s="36"/>
      <c r="AF550" s="168"/>
      <c r="AG550" s="272"/>
      <c r="AH550" s="272"/>
      <c r="AI550" s="11"/>
      <c r="AJ550" s="12"/>
      <c r="AK550" s="13"/>
      <c r="AL550" s="13"/>
      <c r="AM550" s="13"/>
      <c r="AN550" s="13"/>
      <c r="AO550" s="13"/>
      <c r="AP550" s="13"/>
      <c r="AQ550" s="6"/>
      <c r="AR550" s="11"/>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row>
    <row r="551" spans="1:94" s="7" customFormat="1">
      <c r="A551" s="5"/>
      <c r="B551" s="5"/>
      <c r="C551" s="6"/>
      <c r="D551" s="11"/>
      <c r="F551" s="5"/>
      <c r="G551" s="5"/>
      <c r="I551" s="8"/>
      <c r="J551" s="9"/>
      <c r="K551" s="9"/>
      <c r="L551" s="9"/>
      <c r="M551" s="9"/>
      <c r="N551" s="10"/>
      <c r="O551" s="10"/>
      <c r="P551" s="10"/>
      <c r="Q551" s="10"/>
      <c r="R551" s="10"/>
      <c r="S551" s="10"/>
      <c r="T551" s="33"/>
      <c r="U551" s="6"/>
      <c r="V551" s="11"/>
      <c r="W551" s="11"/>
      <c r="X551" s="34"/>
      <c r="Y551" s="34"/>
      <c r="Z551" s="34"/>
      <c r="AA551" s="35"/>
      <c r="AB551" s="36"/>
      <c r="AC551" s="36"/>
      <c r="AD551" s="36"/>
      <c r="AE551" s="36"/>
      <c r="AF551" s="168"/>
      <c r="AG551" s="272"/>
      <c r="AH551" s="272"/>
      <c r="AI551" s="11"/>
      <c r="AJ551" s="12"/>
      <c r="AK551" s="13"/>
      <c r="AL551" s="13"/>
      <c r="AM551" s="13"/>
      <c r="AN551" s="13"/>
      <c r="AO551" s="13"/>
      <c r="AP551" s="13"/>
      <c r="AQ551" s="6"/>
      <c r="AR551" s="11"/>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row>
    <row r="552" spans="1:94" s="7" customFormat="1">
      <c r="A552" s="5"/>
      <c r="B552" s="5"/>
      <c r="C552" s="6"/>
      <c r="D552" s="11"/>
      <c r="F552" s="5"/>
      <c r="G552" s="5"/>
      <c r="I552" s="8"/>
      <c r="J552" s="9"/>
      <c r="K552" s="9"/>
      <c r="L552" s="9"/>
      <c r="M552" s="9"/>
      <c r="N552" s="10"/>
      <c r="O552" s="10"/>
      <c r="P552" s="10"/>
      <c r="Q552" s="10"/>
      <c r="R552" s="10"/>
      <c r="S552" s="10"/>
      <c r="T552" s="33"/>
      <c r="U552" s="6"/>
      <c r="V552" s="11"/>
      <c r="W552" s="11"/>
      <c r="X552" s="34"/>
      <c r="Y552" s="34"/>
      <c r="Z552" s="34"/>
      <c r="AA552" s="35"/>
      <c r="AB552" s="36"/>
      <c r="AC552" s="36"/>
      <c r="AD552" s="36"/>
      <c r="AE552" s="36"/>
      <c r="AF552" s="168"/>
      <c r="AG552" s="272"/>
      <c r="AH552" s="272"/>
      <c r="AI552" s="11"/>
      <c r="AJ552" s="12"/>
      <c r="AK552" s="13"/>
      <c r="AL552" s="13"/>
      <c r="AM552" s="13"/>
      <c r="AN552" s="13"/>
      <c r="AO552" s="13"/>
      <c r="AP552" s="13"/>
      <c r="AQ552" s="6"/>
      <c r="AR552" s="11"/>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row>
    <row r="553" spans="1:94" s="7" customFormat="1">
      <c r="A553" s="5"/>
      <c r="B553" s="5"/>
      <c r="C553" s="6"/>
      <c r="D553" s="11"/>
      <c r="F553" s="5"/>
      <c r="G553" s="5"/>
      <c r="I553" s="8"/>
      <c r="J553" s="9"/>
      <c r="K553" s="9"/>
      <c r="L553" s="9"/>
      <c r="M553" s="9"/>
      <c r="N553" s="10"/>
      <c r="O553" s="10"/>
      <c r="P553" s="10"/>
      <c r="Q553" s="10"/>
      <c r="R553" s="10"/>
      <c r="S553" s="10"/>
      <c r="T553" s="33"/>
      <c r="U553" s="6"/>
      <c r="V553" s="11"/>
      <c r="W553" s="11"/>
      <c r="X553" s="34"/>
      <c r="Y553" s="34"/>
      <c r="Z553" s="34"/>
      <c r="AA553" s="35"/>
      <c r="AB553" s="36"/>
      <c r="AC553" s="36"/>
      <c r="AD553" s="36"/>
      <c r="AE553" s="36"/>
      <c r="AF553" s="168"/>
      <c r="AG553" s="272"/>
      <c r="AH553" s="272"/>
      <c r="AI553" s="11"/>
      <c r="AJ553" s="12"/>
      <c r="AK553" s="13"/>
      <c r="AL553" s="13"/>
      <c r="AM553" s="13"/>
      <c r="AN553" s="13"/>
      <c r="AO553" s="13"/>
      <c r="AP553" s="13"/>
      <c r="AQ553" s="6"/>
      <c r="AR553" s="11"/>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row>
    <row r="554" spans="1:94" s="7" customFormat="1">
      <c r="A554" s="5"/>
      <c r="B554" s="5"/>
      <c r="C554" s="6"/>
      <c r="D554" s="11"/>
      <c r="F554" s="5"/>
      <c r="G554" s="5"/>
      <c r="I554" s="8"/>
      <c r="J554" s="9"/>
      <c r="K554" s="9"/>
      <c r="L554" s="9"/>
      <c r="M554" s="9"/>
      <c r="N554" s="10"/>
      <c r="O554" s="10"/>
      <c r="P554" s="10"/>
      <c r="Q554" s="10"/>
      <c r="R554" s="10"/>
      <c r="S554" s="10"/>
      <c r="T554" s="33"/>
      <c r="U554" s="6"/>
      <c r="V554" s="11"/>
      <c r="W554" s="11"/>
      <c r="X554" s="34"/>
      <c r="Y554" s="34"/>
      <c r="Z554" s="34"/>
      <c r="AA554" s="35"/>
      <c r="AB554" s="36"/>
      <c r="AC554" s="36"/>
      <c r="AD554" s="36"/>
      <c r="AE554" s="36"/>
      <c r="AF554" s="168"/>
      <c r="AG554" s="272"/>
      <c r="AH554" s="272"/>
      <c r="AI554" s="11"/>
      <c r="AJ554" s="12"/>
      <c r="AK554" s="13"/>
      <c r="AL554" s="13"/>
      <c r="AM554" s="13"/>
      <c r="AN554" s="13"/>
      <c r="AO554" s="13"/>
      <c r="AP554" s="13"/>
      <c r="AQ554" s="6"/>
      <c r="AR554" s="11"/>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row>
    <row r="555" spans="1:94" s="7" customFormat="1">
      <c r="A555" s="5"/>
      <c r="B555" s="5"/>
      <c r="C555" s="6"/>
      <c r="D555" s="11"/>
      <c r="F555" s="5"/>
      <c r="G555" s="5"/>
      <c r="I555" s="8"/>
      <c r="J555" s="9"/>
      <c r="K555" s="9"/>
      <c r="L555" s="9"/>
      <c r="M555" s="9"/>
      <c r="N555" s="10"/>
      <c r="O555" s="10"/>
      <c r="P555" s="10"/>
      <c r="Q555" s="10"/>
      <c r="R555" s="10"/>
      <c r="S555" s="10"/>
      <c r="T555" s="33"/>
      <c r="U555" s="6"/>
      <c r="V555" s="11"/>
      <c r="W555" s="11"/>
      <c r="X555" s="34"/>
      <c r="Y555" s="34"/>
      <c r="Z555" s="34"/>
      <c r="AA555" s="35"/>
      <c r="AB555" s="36"/>
      <c r="AC555" s="36"/>
      <c r="AD555" s="36"/>
      <c r="AE555" s="36"/>
      <c r="AF555" s="168"/>
      <c r="AG555" s="272"/>
      <c r="AH555" s="272"/>
      <c r="AI555" s="11"/>
      <c r="AJ555" s="12"/>
      <c r="AK555" s="13"/>
      <c r="AL555" s="13"/>
      <c r="AM555" s="13"/>
      <c r="AN555" s="13"/>
      <c r="AO555" s="13"/>
      <c r="AP555" s="13"/>
      <c r="AQ555" s="6"/>
      <c r="AR555" s="11"/>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row>
    <row r="556" spans="1:94" s="7" customFormat="1">
      <c r="A556" s="5"/>
      <c r="B556" s="5"/>
      <c r="C556" s="6"/>
      <c r="D556" s="11"/>
      <c r="F556" s="5"/>
      <c r="G556" s="5"/>
      <c r="I556" s="8"/>
      <c r="J556" s="9"/>
      <c r="K556" s="9"/>
      <c r="L556" s="9"/>
      <c r="M556" s="9"/>
      <c r="N556" s="10"/>
      <c r="O556" s="10"/>
      <c r="P556" s="10"/>
      <c r="Q556" s="10"/>
      <c r="R556" s="10"/>
      <c r="S556" s="10"/>
      <c r="T556" s="33"/>
      <c r="U556" s="6"/>
      <c r="V556" s="11"/>
      <c r="W556" s="11"/>
      <c r="X556" s="34"/>
      <c r="Y556" s="34"/>
      <c r="Z556" s="34"/>
      <c r="AA556" s="35"/>
      <c r="AB556" s="36"/>
      <c r="AC556" s="36"/>
      <c r="AD556" s="36"/>
      <c r="AE556" s="36"/>
      <c r="AF556" s="168"/>
      <c r="AG556" s="272"/>
      <c r="AH556" s="272"/>
      <c r="AI556" s="11"/>
      <c r="AJ556" s="12"/>
      <c r="AK556" s="13"/>
      <c r="AL556" s="13"/>
      <c r="AM556" s="13"/>
      <c r="AN556" s="13"/>
      <c r="AO556" s="13"/>
      <c r="AP556" s="13"/>
      <c r="AQ556" s="6"/>
      <c r="AR556" s="11"/>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row>
    <row r="557" spans="1:94" s="7" customFormat="1">
      <c r="A557" s="5"/>
      <c r="B557" s="5"/>
      <c r="C557" s="6"/>
      <c r="D557" s="11"/>
      <c r="F557" s="5"/>
      <c r="G557" s="5"/>
      <c r="I557" s="8"/>
      <c r="J557" s="9"/>
      <c r="K557" s="9"/>
      <c r="L557" s="9"/>
      <c r="M557" s="9"/>
      <c r="N557" s="10"/>
      <c r="O557" s="10"/>
      <c r="P557" s="10"/>
      <c r="Q557" s="10"/>
      <c r="R557" s="10"/>
      <c r="S557" s="10"/>
      <c r="T557" s="33"/>
      <c r="U557" s="6"/>
      <c r="V557" s="11"/>
      <c r="W557" s="11"/>
      <c r="X557" s="34"/>
      <c r="Y557" s="34"/>
      <c r="Z557" s="34"/>
      <c r="AA557" s="35"/>
      <c r="AB557" s="36"/>
      <c r="AC557" s="36"/>
      <c r="AD557" s="36"/>
      <c r="AE557" s="36"/>
      <c r="AF557" s="168"/>
      <c r="AG557" s="272"/>
      <c r="AH557" s="272"/>
      <c r="AI557" s="11"/>
      <c r="AJ557" s="12"/>
      <c r="AK557" s="13"/>
      <c r="AL557" s="13"/>
      <c r="AM557" s="13"/>
      <c r="AN557" s="13"/>
      <c r="AO557" s="13"/>
      <c r="AP557" s="13"/>
      <c r="AQ557" s="6"/>
      <c r="AR557" s="11"/>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row>
    <row r="558" spans="1:94" s="7" customFormat="1">
      <c r="A558" s="5"/>
      <c r="B558" s="5"/>
      <c r="C558" s="6"/>
      <c r="D558" s="11"/>
      <c r="F558" s="5"/>
      <c r="G558" s="5"/>
      <c r="I558" s="8"/>
      <c r="J558" s="9"/>
      <c r="K558" s="9"/>
      <c r="L558" s="9"/>
      <c r="M558" s="9"/>
      <c r="N558" s="10"/>
      <c r="O558" s="10"/>
      <c r="P558" s="10"/>
      <c r="Q558" s="10"/>
      <c r="R558" s="10"/>
      <c r="S558" s="10"/>
      <c r="T558" s="33"/>
      <c r="U558" s="6"/>
      <c r="V558" s="11"/>
      <c r="W558" s="11"/>
      <c r="X558" s="34"/>
      <c r="Y558" s="34"/>
      <c r="Z558" s="34"/>
      <c r="AA558" s="35"/>
      <c r="AB558" s="36"/>
      <c r="AC558" s="36"/>
      <c r="AD558" s="36"/>
      <c r="AE558" s="36"/>
      <c r="AF558" s="168"/>
      <c r="AG558" s="272"/>
      <c r="AH558" s="272"/>
      <c r="AI558" s="11"/>
      <c r="AJ558" s="12"/>
      <c r="AK558" s="13"/>
      <c r="AL558" s="13"/>
      <c r="AM558" s="13"/>
      <c r="AN558" s="13"/>
      <c r="AO558" s="13"/>
      <c r="AP558" s="13"/>
      <c r="AQ558" s="6"/>
      <c r="AR558" s="11"/>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row>
    <row r="559" spans="1:94" s="7" customFormat="1">
      <c r="A559" s="5"/>
      <c r="B559" s="5"/>
      <c r="C559" s="6"/>
      <c r="D559" s="11"/>
      <c r="F559" s="5"/>
      <c r="G559" s="5"/>
      <c r="I559" s="8"/>
      <c r="J559" s="9"/>
      <c r="K559" s="9"/>
      <c r="L559" s="9"/>
      <c r="M559" s="9"/>
      <c r="N559" s="10"/>
      <c r="O559" s="10"/>
      <c r="P559" s="10"/>
      <c r="Q559" s="10"/>
      <c r="R559" s="10"/>
      <c r="S559" s="10"/>
      <c r="T559" s="33"/>
      <c r="U559" s="6"/>
      <c r="V559" s="11"/>
      <c r="W559" s="11"/>
      <c r="X559" s="34"/>
      <c r="Y559" s="34"/>
      <c r="Z559" s="34"/>
      <c r="AA559" s="35"/>
      <c r="AB559" s="36"/>
      <c r="AC559" s="36"/>
      <c r="AD559" s="36"/>
      <c r="AE559" s="36"/>
      <c r="AF559" s="168"/>
      <c r="AG559" s="272"/>
      <c r="AH559" s="272"/>
      <c r="AI559" s="11"/>
      <c r="AJ559" s="12"/>
      <c r="AK559" s="13"/>
      <c r="AL559" s="13"/>
      <c r="AM559" s="13"/>
      <c r="AN559" s="13"/>
      <c r="AO559" s="13"/>
      <c r="AP559" s="13"/>
      <c r="AQ559" s="6"/>
      <c r="AR559" s="11"/>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row>
    <row r="560" spans="1:94" s="7" customFormat="1">
      <c r="A560" s="5"/>
      <c r="B560" s="5"/>
      <c r="C560" s="6"/>
      <c r="D560" s="11"/>
      <c r="F560" s="5"/>
      <c r="G560" s="5"/>
      <c r="I560" s="8"/>
      <c r="J560" s="9"/>
      <c r="K560" s="9"/>
      <c r="L560" s="9"/>
      <c r="M560" s="9"/>
      <c r="N560" s="10"/>
      <c r="O560" s="10"/>
      <c r="P560" s="10"/>
      <c r="Q560" s="10"/>
      <c r="R560" s="10"/>
      <c r="S560" s="10"/>
      <c r="T560" s="33"/>
      <c r="U560" s="6"/>
      <c r="V560" s="11"/>
      <c r="W560" s="11"/>
      <c r="X560" s="34"/>
      <c r="Y560" s="34"/>
      <c r="Z560" s="34"/>
      <c r="AA560" s="35"/>
      <c r="AB560" s="36"/>
      <c r="AC560" s="36"/>
      <c r="AD560" s="36"/>
      <c r="AE560" s="36"/>
      <c r="AF560" s="168"/>
      <c r="AG560" s="272"/>
      <c r="AH560" s="272"/>
      <c r="AI560" s="11"/>
      <c r="AJ560" s="12"/>
      <c r="AK560" s="13"/>
      <c r="AL560" s="13"/>
      <c r="AM560" s="13"/>
      <c r="AN560" s="13"/>
      <c r="AO560" s="13"/>
      <c r="AP560" s="13"/>
      <c r="AQ560" s="6"/>
      <c r="AR560" s="11"/>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row>
    <row r="561" spans="1:94" s="7" customFormat="1">
      <c r="A561" s="5"/>
      <c r="B561" s="5"/>
      <c r="C561" s="6"/>
      <c r="D561" s="11"/>
      <c r="F561" s="5"/>
      <c r="G561" s="5"/>
      <c r="I561" s="8"/>
      <c r="J561" s="9"/>
      <c r="K561" s="9"/>
      <c r="L561" s="9"/>
      <c r="M561" s="9"/>
      <c r="N561" s="10"/>
      <c r="O561" s="10"/>
      <c r="P561" s="10"/>
      <c r="Q561" s="10"/>
      <c r="R561" s="10"/>
      <c r="S561" s="10"/>
      <c r="T561" s="33"/>
      <c r="U561" s="6"/>
      <c r="V561" s="11"/>
      <c r="W561" s="11"/>
      <c r="X561" s="34"/>
      <c r="Y561" s="34"/>
      <c r="Z561" s="34"/>
      <c r="AA561" s="35"/>
      <c r="AB561" s="36"/>
      <c r="AC561" s="36"/>
      <c r="AD561" s="36"/>
      <c r="AE561" s="36"/>
      <c r="AF561" s="168"/>
      <c r="AG561" s="272"/>
      <c r="AH561" s="272"/>
      <c r="AI561" s="11"/>
      <c r="AJ561" s="12"/>
      <c r="AK561" s="13"/>
      <c r="AL561" s="13"/>
      <c r="AM561" s="13"/>
      <c r="AN561" s="13"/>
      <c r="AO561" s="13"/>
      <c r="AP561" s="13"/>
      <c r="AQ561" s="6"/>
      <c r="AR561" s="11"/>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row>
    <row r="562" spans="1:94" s="7" customFormat="1">
      <c r="A562" s="5"/>
      <c r="B562" s="5"/>
      <c r="C562" s="6"/>
      <c r="D562" s="11"/>
      <c r="F562" s="5"/>
      <c r="G562" s="5"/>
      <c r="I562" s="8"/>
      <c r="J562" s="9"/>
      <c r="K562" s="9"/>
      <c r="L562" s="9"/>
      <c r="M562" s="9"/>
      <c r="N562" s="10"/>
      <c r="O562" s="10"/>
      <c r="P562" s="10"/>
      <c r="Q562" s="10"/>
      <c r="R562" s="10"/>
      <c r="S562" s="10"/>
      <c r="T562" s="33"/>
      <c r="U562" s="6"/>
      <c r="V562" s="11"/>
      <c r="W562" s="11"/>
      <c r="X562" s="34"/>
      <c r="Y562" s="34"/>
      <c r="Z562" s="34"/>
      <c r="AA562" s="35"/>
      <c r="AB562" s="36"/>
      <c r="AC562" s="36"/>
      <c r="AD562" s="36"/>
      <c r="AE562" s="36"/>
      <c r="AF562" s="168"/>
      <c r="AG562" s="272"/>
      <c r="AH562" s="272"/>
      <c r="AI562" s="11"/>
      <c r="AJ562" s="12"/>
      <c r="AK562" s="13"/>
      <c r="AL562" s="13"/>
      <c r="AM562" s="13"/>
      <c r="AN562" s="13"/>
      <c r="AO562" s="13"/>
      <c r="AP562" s="13"/>
      <c r="AQ562" s="6"/>
      <c r="AR562" s="11"/>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row>
    <row r="563" spans="1:94" s="7" customFormat="1">
      <c r="A563" s="5"/>
      <c r="B563" s="5"/>
      <c r="C563" s="6"/>
      <c r="D563" s="11"/>
      <c r="F563" s="5"/>
      <c r="G563" s="5"/>
      <c r="I563" s="8"/>
      <c r="J563" s="9"/>
      <c r="K563" s="9"/>
      <c r="L563" s="9"/>
      <c r="M563" s="9"/>
      <c r="N563" s="10"/>
      <c r="O563" s="10"/>
      <c r="P563" s="10"/>
      <c r="Q563" s="10"/>
      <c r="R563" s="10"/>
      <c r="S563" s="10"/>
      <c r="T563" s="33"/>
      <c r="U563" s="6"/>
      <c r="V563" s="11"/>
      <c r="W563" s="11"/>
      <c r="X563" s="34"/>
      <c r="Y563" s="34"/>
      <c r="Z563" s="34"/>
      <c r="AA563" s="35"/>
      <c r="AB563" s="36"/>
      <c r="AC563" s="36"/>
      <c r="AD563" s="36"/>
      <c r="AE563" s="36"/>
      <c r="AF563" s="168"/>
      <c r="AG563" s="272"/>
      <c r="AH563" s="272"/>
      <c r="AI563" s="11"/>
      <c r="AJ563" s="12"/>
      <c r="AK563" s="13"/>
      <c r="AL563" s="13"/>
      <c r="AM563" s="13"/>
      <c r="AN563" s="13"/>
      <c r="AO563" s="13"/>
      <c r="AP563" s="13"/>
      <c r="AQ563" s="6"/>
      <c r="AR563" s="11"/>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row>
    <row r="564" spans="1:94" s="7" customFormat="1">
      <c r="A564" s="5"/>
      <c r="B564" s="5"/>
      <c r="C564" s="6"/>
      <c r="D564" s="11"/>
      <c r="F564" s="5"/>
      <c r="G564" s="5"/>
      <c r="I564" s="8"/>
      <c r="J564" s="9"/>
      <c r="K564" s="9"/>
      <c r="L564" s="9"/>
      <c r="M564" s="9"/>
      <c r="N564" s="10"/>
      <c r="O564" s="10"/>
      <c r="P564" s="10"/>
      <c r="Q564" s="10"/>
      <c r="R564" s="10"/>
      <c r="S564" s="10"/>
      <c r="T564" s="33"/>
      <c r="U564" s="6"/>
      <c r="V564" s="11"/>
      <c r="W564" s="11"/>
      <c r="X564" s="34"/>
      <c r="Y564" s="34"/>
      <c r="Z564" s="34"/>
      <c r="AA564" s="35"/>
      <c r="AB564" s="36"/>
      <c r="AC564" s="36"/>
      <c r="AD564" s="36"/>
      <c r="AE564" s="36"/>
      <c r="AF564" s="168"/>
      <c r="AG564" s="272"/>
      <c r="AH564" s="272"/>
      <c r="AI564" s="11"/>
      <c r="AJ564" s="12"/>
      <c r="AK564" s="13"/>
      <c r="AL564" s="13"/>
      <c r="AM564" s="13"/>
      <c r="AN564" s="13"/>
      <c r="AO564" s="13"/>
      <c r="AP564" s="13"/>
      <c r="AQ564" s="6"/>
      <c r="AR564" s="11"/>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row>
    <row r="565" spans="1:94" s="7" customFormat="1">
      <c r="A565" s="5"/>
      <c r="B565" s="5"/>
      <c r="C565" s="6"/>
      <c r="D565" s="11"/>
      <c r="F565" s="5"/>
      <c r="G565" s="5"/>
      <c r="I565" s="8"/>
      <c r="J565" s="9"/>
      <c r="K565" s="9"/>
      <c r="L565" s="9"/>
      <c r="M565" s="9"/>
      <c r="N565" s="10"/>
      <c r="O565" s="10"/>
      <c r="P565" s="10"/>
      <c r="Q565" s="10"/>
      <c r="R565" s="10"/>
      <c r="S565" s="10"/>
      <c r="T565" s="33"/>
      <c r="U565" s="6"/>
      <c r="V565" s="11"/>
      <c r="W565" s="11"/>
      <c r="X565" s="34"/>
      <c r="Y565" s="34"/>
      <c r="Z565" s="34"/>
      <c r="AA565" s="35"/>
      <c r="AB565" s="36"/>
      <c r="AC565" s="36"/>
      <c r="AD565" s="36"/>
      <c r="AE565" s="36"/>
      <c r="AF565" s="168"/>
      <c r="AG565" s="272"/>
      <c r="AH565" s="272"/>
      <c r="AI565" s="11"/>
      <c r="AJ565" s="12"/>
      <c r="AK565" s="13"/>
      <c r="AL565" s="13"/>
      <c r="AM565" s="13"/>
      <c r="AN565" s="13"/>
      <c r="AO565" s="13"/>
      <c r="AP565" s="13"/>
      <c r="AQ565" s="6"/>
      <c r="AR565" s="11"/>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row>
    <row r="566" spans="1:94" s="7" customFormat="1">
      <c r="A566" s="5"/>
      <c r="B566" s="5"/>
      <c r="C566" s="6"/>
      <c r="D566" s="11"/>
      <c r="F566" s="5"/>
      <c r="G566" s="5"/>
      <c r="I566" s="8"/>
      <c r="J566" s="9"/>
      <c r="K566" s="9"/>
      <c r="L566" s="9"/>
      <c r="M566" s="9"/>
      <c r="N566" s="10"/>
      <c r="O566" s="10"/>
      <c r="P566" s="10"/>
      <c r="Q566" s="10"/>
      <c r="R566" s="10"/>
      <c r="S566" s="10"/>
      <c r="T566" s="33"/>
      <c r="U566" s="6"/>
      <c r="V566" s="11"/>
      <c r="W566" s="11"/>
      <c r="X566" s="34"/>
      <c r="Y566" s="34"/>
      <c r="Z566" s="34"/>
      <c r="AA566" s="35"/>
      <c r="AB566" s="36"/>
      <c r="AC566" s="36"/>
      <c r="AD566" s="36"/>
      <c r="AE566" s="36"/>
      <c r="AF566" s="168"/>
      <c r="AG566" s="272"/>
      <c r="AH566" s="272"/>
      <c r="AI566" s="11"/>
      <c r="AJ566" s="12"/>
      <c r="AK566" s="13"/>
      <c r="AL566" s="13"/>
      <c r="AM566" s="13"/>
      <c r="AN566" s="13"/>
      <c r="AO566" s="13"/>
      <c r="AP566" s="13"/>
      <c r="AQ566" s="6"/>
      <c r="AR566" s="11"/>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row>
    <row r="567" spans="1:94" s="7" customFormat="1">
      <c r="A567" s="5"/>
      <c r="B567" s="5"/>
      <c r="C567" s="6"/>
      <c r="D567" s="11"/>
      <c r="F567" s="5"/>
      <c r="G567" s="5"/>
      <c r="I567" s="8"/>
      <c r="J567" s="9"/>
      <c r="K567" s="9"/>
      <c r="L567" s="9"/>
      <c r="M567" s="9"/>
      <c r="N567" s="10"/>
      <c r="O567" s="10"/>
      <c r="P567" s="10"/>
      <c r="Q567" s="10"/>
      <c r="R567" s="10"/>
      <c r="S567" s="10"/>
      <c r="T567" s="33"/>
      <c r="U567" s="6"/>
      <c r="V567" s="11"/>
      <c r="W567" s="11"/>
      <c r="X567" s="34"/>
      <c r="Y567" s="34"/>
      <c r="Z567" s="34"/>
      <c r="AA567" s="35"/>
      <c r="AB567" s="36"/>
      <c r="AC567" s="36"/>
      <c r="AD567" s="36"/>
      <c r="AE567" s="36"/>
      <c r="AF567" s="168"/>
      <c r="AG567" s="272"/>
      <c r="AH567" s="272"/>
      <c r="AI567" s="11"/>
      <c r="AJ567" s="12"/>
      <c r="AK567" s="13"/>
      <c r="AL567" s="13"/>
      <c r="AM567" s="13"/>
      <c r="AN567" s="13"/>
      <c r="AO567" s="13"/>
      <c r="AP567" s="13"/>
      <c r="AQ567" s="6"/>
      <c r="AR567" s="11"/>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row>
    <row r="568" spans="1:94" s="7" customFormat="1">
      <c r="A568" s="5"/>
      <c r="B568" s="5"/>
      <c r="C568" s="6"/>
      <c r="D568" s="11"/>
      <c r="F568" s="5"/>
      <c r="G568" s="5"/>
      <c r="I568" s="8"/>
      <c r="J568" s="9"/>
      <c r="K568" s="9"/>
      <c r="L568" s="9"/>
      <c r="M568" s="9"/>
      <c r="N568" s="10"/>
      <c r="O568" s="10"/>
      <c r="P568" s="10"/>
      <c r="Q568" s="10"/>
      <c r="R568" s="10"/>
      <c r="S568" s="10"/>
      <c r="T568" s="33"/>
      <c r="U568" s="6"/>
      <c r="V568" s="11"/>
      <c r="W568" s="11"/>
      <c r="X568" s="34"/>
      <c r="Y568" s="34"/>
      <c r="Z568" s="34"/>
      <c r="AA568" s="35"/>
      <c r="AB568" s="36"/>
      <c r="AC568" s="36"/>
      <c r="AD568" s="36"/>
      <c r="AE568" s="36"/>
      <c r="AF568" s="168"/>
      <c r="AG568" s="272"/>
      <c r="AH568" s="272"/>
      <c r="AI568" s="11"/>
      <c r="AJ568" s="12"/>
      <c r="AK568" s="13"/>
      <c r="AL568" s="13"/>
      <c r="AM568" s="13"/>
      <c r="AN568" s="13"/>
      <c r="AO568" s="13"/>
      <c r="AP568" s="13"/>
      <c r="AQ568" s="6"/>
      <c r="AR568" s="11"/>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row>
    <row r="569" spans="1:94" s="7" customFormat="1">
      <c r="A569" s="5"/>
      <c r="B569" s="5"/>
      <c r="C569" s="6"/>
      <c r="D569" s="11"/>
      <c r="F569" s="5"/>
      <c r="G569" s="5"/>
      <c r="I569" s="8"/>
      <c r="J569" s="9"/>
      <c r="K569" s="9"/>
      <c r="L569" s="9"/>
      <c r="M569" s="9"/>
      <c r="N569" s="10"/>
      <c r="O569" s="10"/>
      <c r="P569" s="10"/>
      <c r="Q569" s="10"/>
      <c r="R569" s="10"/>
      <c r="S569" s="10"/>
      <c r="T569" s="33"/>
      <c r="U569" s="6"/>
      <c r="V569" s="11"/>
      <c r="W569" s="11"/>
      <c r="X569" s="34"/>
      <c r="Y569" s="34"/>
      <c r="Z569" s="34"/>
      <c r="AA569" s="35"/>
      <c r="AB569" s="36"/>
      <c r="AC569" s="36"/>
      <c r="AD569" s="36"/>
      <c r="AE569" s="36"/>
      <c r="AF569" s="168"/>
      <c r="AG569" s="272"/>
      <c r="AH569" s="272"/>
      <c r="AI569" s="11"/>
      <c r="AJ569" s="12"/>
      <c r="AK569" s="13"/>
      <c r="AL569" s="13"/>
      <c r="AM569" s="13"/>
      <c r="AN569" s="13"/>
      <c r="AO569" s="13"/>
      <c r="AP569" s="13"/>
      <c r="AQ569" s="6"/>
      <c r="AR569" s="11"/>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row>
    <row r="570" spans="1:94" s="7" customFormat="1">
      <c r="A570" s="5"/>
      <c r="B570" s="5"/>
      <c r="C570" s="6"/>
      <c r="D570" s="11"/>
      <c r="F570" s="5"/>
      <c r="G570" s="5"/>
      <c r="I570" s="8"/>
      <c r="J570" s="9"/>
      <c r="K570" s="9"/>
      <c r="L570" s="9"/>
      <c r="M570" s="9"/>
      <c r="N570" s="10"/>
      <c r="O570" s="10"/>
      <c r="P570" s="10"/>
      <c r="Q570" s="10"/>
      <c r="R570" s="10"/>
      <c r="S570" s="10"/>
      <c r="T570" s="33"/>
      <c r="U570" s="6"/>
      <c r="V570" s="11"/>
      <c r="W570" s="11"/>
      <c r="X570" s="34"/>
      <c r="Y570" s="34"/>
      <c r="Z570" s="34"/>
      <c r="AA570" s="35"/>
      <c r="AB570" s="36"/>
      <c r="AC570" s="36"/>
      <c r="AD570" s="36"/>
      <c r="AE570" s="36"/>
      <c r="AF570" s="168"/>
      <c r="AG570" s="272"/>
      <c r="AH570" s="272"/>
      <c r="AI570" s="11"/>
      <c r="AJ570" s="12"/>
      <c r="AK570" s="13"/>
      <c r="AL570" s="13"/>
      <c r="AM570" s="13"/>
      <c r="AN570" s="13"/>
      <c r="AO570" s="13"/>
      <c r="AP570" s="13"/>
      <c r="AQ570" s="6"/>
      <c r="AR570" s="11"/>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row>
    <row r="571" spans="1:94" s="7" customFormat="1">
      <c r="A571" s="5"/>
      <c r="B571" s="5"/>
      <c r="C571" s="6"/>
      <c r="D571" s="11"/>
      <c r="F571" s="5"/>
      <c r="G571" s="5"/>
      <c r="I571" s="8"/>
      <c r="J571" s="9"/>
      <c r="K571" s="9"/>
      <c r="L571" s="9"/>
      <c r="M571" s="9"/>
      <c r="N571" s="10"/>
      <c r="O571" s="10"/>
      <c r="P571" s="10"/>
      <c r="Q571" s="10"/>
      <c r="R571" s="10"/>
      <c r="S571" s="10"/>
      <c r="T571" s="33"/>
      <c r="U571" s="6"/>
      <c r="V571" s="11"/>
      <c r="W571" s="11"/>
      <c r="X571" s="34"/>
      <c r="Y571" s="34"/>
      <c r="Z571" s="34"/>
      <c r="AA571" s="35"/>
      <c r="AB571" s="36"/>
      <c r="AC571" s="36"/>
      <c r="AD571" s="36"/>
      <c r="AE571" s="36"/>
      <c r="AF571" s="168"/>
      <c r="AG571" s="272"/>
      <c r="AH571" s="272"/>
      <c r="AI571" s="11"/>
      <c r="AJ571" s="12"/>
      <c r="AK571" s="13"/>
      <c r="AL571" s="13"/>
      <c r="AM571" s="13"/>
      <c r="AN571" s="13"/>
      <c r="AO571" s="13"/>
      <c r="AP571" s="13"/>
      <c r="AQ571" s="6"/>
      <c r="AR571" s="11"/>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row>
    <row r="572" spans="1:94" s="7" customFormat="1">
      <c r="A572" s="5"/>
      <c r="B572" s="5"/>
      <c r="C572" s="6"/>
      <c r="D572" s="11"/>
      <c r="F572" s="5"/>
      <c r="G572" s="5"/>
      <c r="I572" s="8"/>
      <c r="J572" s="9"/>
      <c r="K572" s="9"/>
      <c r="L572" s="9"/>
      <c r="M572" s="9"/>
      <c r="N572" s="10"/>
      <c r="O572" s="10"/>
      <c r="P572" s="10"/>
      <c r="Q572" s="10"/>
      <c r="R572" s="10"/>
      <c r="S572" s="10"/>
      <c r="T572" s="33"/>
      <c r="U572" s="6"/>
      <c r="V572" s="11"/>
      <c r="W572" s="11"/>
      <c r="X572" s="34"/>
      <c r="Y572" s="34"/>
      <c r="Z572" s="34"/>
      <c r="AA572" s="35"/>
      <c r="AB572" s="36"/>
      <c r="AC572" s="36"/>
      <c r="AD572" s="36"/>
      <c r="AE572" s="36"/>
      <c r="AF572" s="168"/>
      <c r="AG572" s="272"/>
      <c r="AH572" s="272"/>
      <c r="AI572" s="11"/>
      <c r="AJ572" s="12"/>
      <c r="AK572" s="13"/>
      <c r="AL572" s="13"/>
      <c r="AM572" s="13"/>
      <c r="AN572" s="13"/>
      <c r="AO572" s="13"/>
      <c r="AP572" s="13"/>
      <c r="AQ572" s="6"/>
      <c r="AR572" s="11"/>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row>
    <row r="573" spans="1:94" s="7" customFormat="1">
      <c r="A573" s="5"/>
      <c r="B573" s="5"/>
      <c r="C573" s="6"/>
      <c r="D573" s="11"/>
      <c r="F573" s="5"/>
      <c r="G573" s="5"/>
      <c r="I573" s="8"/>
      <c r="J573" s="9"/>
      <c r="K573" s="9"/>
      <c r="L573" s="9"/>
      <c r="M573" s="9"/>
      <c r="N573" s="10"/>
      <c r="O573" s="10"/>
      <c r="P573" s="10"/>
      <c r="Q573" s="10"/>
      <c r="R573" s="10"/>
      <c r="S573" s="10"/>
      <c r="T573" s="33"/>
      <c r="U573" s="6"/>
      <c r="V573" s="11"/>
      <c r="W573" s="11"/>
      <c r="X573" s="34"/>
      <c r="Y573" s="34"/>
      <c r="Z573" s="34"/>
      <c r="AA573" s="35"/>
      <c r="AB573" s="36"/>
      <c r="AC573" s="36"/>
      <c r="AD573" s="36"/>
      <c r="AE573" s="36"/>
      <c r="AF573" s="168"/>
      <c r="AG573" s="272"/>
      <c r="AH573" s="272"/>
      <c r="AI573" s="11"/>
      <c r="AJ573" s="12"/>
      <c r="AK573" s="13"/>
      <c r="AL573" s="13"/>
      <c r="AM573" s="13"/>
      <c r="AN573" s="13"/>
      <c r="AO573" s="13"/>
      <c r="AP573" s="13"/>
      <c r="AQ573" s="6"/>
      <c r="AR573" s="11"/>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row>
    <row r="574" spans="1:94" s="7" customFormat="1">
      <c r="A574" s="5"/>
      <c r="B574" s="5"/>
      <c r="C574" s="6"/>
      <c r="D574" s="11"/>
      <c r="F574" s="5"/>
      <c r="G574" s="5"/>
      <c r="I574" s="8"/>
      <c r="J574" s="9"/>
      <c r="K574" s="9"/>
      <c r="L574" s="9"/>
      <c r="M574" s="9"/>
      <c r="N574" s="10"/>
      <c r="O574" s="10"/>
      <c r="P574" s="10"/>
      <c r="Q574" s="10"/>
      <c r="R574" s="10"/>
      <c r="S574" s="10"/>
      <c r="T574" s="33"/>
      <c r="U574" s="6"/>
      <c r="V574" s="11"/>
      <c r="W574" s="11"/>
      <c r="X574" s="34"/>
      <c r="Y574" s="34"/>
      <c r="Z574" s="34"/>
      <c r="AA574" s="35"/>
      <c r="AB574" s="36"/>
      <c r="AC574" s="36"/>
      <c r="AD574" s="36"/>
      <c r="AE574" s="36"/>
      <c r="AF574" s="168"/>
      <c r="AG574" s="272"/>
      <c r="AH574" s="272"/>
      <c r="AI574" s="11"/>
      <c r="AJ574" s="12"/>
      <c r="AK574" s="13"/>
      <c r="AL574" s="13"/>
      <c r="AM574" s="13"/>
      <c r="AN574" s="13"/>
      <c r="AO574" s="13"/>
      <c r="AP574" s="13"/>
      <c r="AQ574" s="6"/>
      <c r="AR574" s="11"/>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row>
    <row r="575" spans="1:94" s="7" customFormat="1">
      <c r="A575" s="5"/>
      <c r="B575" s="5"/>
      <c r="C575" s="6"/>
      <c r="D575" s="11"/>
      <c r="F575" s="5"/>
      <c r="G575" s="5"/>
      <c r="I575" s="8"/>
      <c r="J575" s="9"/>
      <c r="K575" s="9"/>
      <c r="L575" s="9"/>
      <c r="M575" s="9"/>
      <c r="N575" s="10"/>
      <c r="O575" s="10"/>
      <c r="P575" s="10"/>
      <c r="Q575" s="10"/>
      <c r="R575" s="10"/>
      <c r="S575" s="10"/>
      <c r="T575" s="33"/>
      <c r="U575" s="6"/>
      <c r="V575" s="11"/>
      <c r="W575" s="11"/>
      <c r="X575" s="34"/>
      <c r="Y575" s="34"/>
      <c r="Z575" s="34"/>
      <c r="AA575" s="35"/>
      <c r="AB575" s="36"/>
      <c r="AC575" s="36"/>
      <c r="AD575" s="36"/>
      <c r="AE575" s="36"/>
      <c r="AF575" s="168"/>
      <c r="AG575" s="272"/>
      <c r="AH575" s="272"/>
      <c r="AI575" s="11"/>
      <c r="AJ575" s="12"/>
      <c r="AK575" s="13"/>
      <c r="AL575" s="13"/>
      <c r="AM575" s="13"/>
      <c r="AN575" s="13"/>
      <c r="AO575" s="13"/>
      <c r="AP575" s="13"/>
      <c r="AQ575" s="6"/>
      <c r="AR575" s="11"/>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row>
    <row r="576" spans="1:94" s="7" customFormat="1">
      <c r="A576" s="5"/>
      <c r="B576" s="5"/>
      <c r="C576" s="6"/>
      <c r="D576" s="11"/>
      <c r="F576" s="5"/>
      <c r="G576" s="5"/>
      <c r="I576" s="8"/>
      <c r="J576" s="9"/>
      <c r="K576" s="9"/>
      <c r="L576" s="9"/>
      <c r="M576" s="9"/>
      <c r="N576" s="10"/>
      <c r="O576" s="10"/>
      <c r="P576" s="10"/>
      <c r="Q576" s="10"/>
      <c r="R576" s="10"/>
      <c r="S576" s="10"/>
      <c r="T576" s="33"/>
      <c r="U576" s="6"/>
      <c r="V576" s="11"/>
      <c r="W576" s="11"/>
      <c r="X576" s="34"/>
      <c r="Y576" s="34"/>
      <c r="Z576" s="34"/>
      <c r="AA576" s="35"/>
      <c r="AB576" s="36"/>
      <c r="AC576" s="36"/>
      <c r="AD576" s="36"/>
      <c r="AE576" s="36"/>
      <c r="AF576" s="168"/>
      <c r="AG576" s="272"/>
      <c r="AH576" s="272"/>
      <c r="AI576" s="11"/>
      <c r="AJ576" s="12"/>
      <c r="AK576" s="13"/>
      <c r="AL576" s="13"/>
      <c r="AM576" s="13"/>
      <c r="AN576" s="13"/>
      <c r="AO576" s="13"/>
      <c r="AP576" s="13"/>
      <c r="AQ576" s="6"/>
      <c r="AR576" s="11"/>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row>
    <row r="577" spans="1:94" s="7" customFormat="1">
      <c r="A577" s="5"/>
      <c r="B577" s="5"/>
      <c r="C577" s="6"/>
      <c r="D577" s="11"/>
      <c r="F577" s="5"/>
      <c r="G577" s="5"/>
      <c r="I577" s="8"/>
      <c r="J577" s="9"/>
      <c r="K577" s="9"/>
      <c r="L577" s="9"/>
      <c r="M577" s="9"/>
      <c r="N577" s="10"/>
      <c r="O577" s="10"/>
      <c r="P577" s="10"/>
      <c r="Q577" s="10"/>
      <c r="R577" s="10"/>
      <c r="S577" s="10"/>
      <c r="T577" s="33"/>
      <c r="U577" s="6"/>
      <c r="V577" s="11"/>
      <c r="W577" s="11"/>
      <c r="X577" s="34"/>
      <c r="Y577" s="34"/>
      <c r="Z577" s="34"/>
      <c r="AA577" s="35"/>
      <c r="AB577" s="36"/>
      <c r="AC577" s="36"/>
      <c r="AD577" s="36"/>
      <c r="AE577" s="36"/>
      <c r="AF577" s="168"/>
      <c r="AG577" s="272"/>
      <c r="AH577" s="272"/>
      <c r="AI577" s="11"/>
      <c r="AJ577" s="12"/>
      <c r="AK577" s="13"/>
      <c r="AL577" s="13"/>
      <c r="AM577" s="13"/>
      <c r="AN577" s="13"/>
      <c r="AO577" s="13"/>
      <c r="AP577" s="13"/>
      <c r="AQ577" s="6"/>
      <c r="AR577" s="11"/>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row>
    <row r="578" spans="1:94" s="7" customFormat="1">
      <c r="A578" s="5"/>
      <c r="B578" s="5"/>
      <c r="C578" s="6"/>
      <c r="D578" s="11"/>
      <c r="F578" s="5"/>
      <c r="G578" s="5"/>
      <c r="I578" s="8"/>
      <c r="J578" s="9"/>
      <c r="K578" s="9"/>
      <c r="L578" s="9"/>
      <c r="M578" s="9"/>
      <c r="N578" s="10"/>
      <c r="O578" s="10"/>
      <c r="P578" s="10"/>
      <c r="Q578" s="10"/>
      <c r="R578" s="10"/>
      <c r="S578" s="10"/>
      <c r="T578" s="33"/>
      <c r="U578" s="6"/>
      <c r="V578" s="11"/>
      <c r="W578" s="11"/>
      <c r="X578" s="34"/>
      <c r="Y578" s="34"/>
      <c r="Z578" s="34"/>
      <c r="AA578" s="35"/>
      <c r="AB578" s="36"/>
      <c r="AC578" s="36"/>
      <c r="AD578" s="36"/>
      <c r="AE578" s="36"/>
      <c r="AF578" s="168"/>
      <c r="AG578" s="272"/>
      <c r="AH578" s="272"/>
      <c r="AI578" s="11"/>
      <c r="AJ578" s="12"/>
      <c r="AK578" s="13"/>
      <c r="AL578" s="13"/>
      <c r="AM578" s="13"/>
      <c r="AN578" s="13"/>
      <c r="AO578" s="13"/>
      <c r="AP578" s="13"/>
      <c r="AQ578" s="6"/>
      <c r="AR578" s="11"/>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row>
    <row r="579" spans="1:94" s="7" customFormat="1">
      <c r="A579" s="5"/>
      <c r="B579" s="5"/>
      <c r="C579" s="6"/>
      <c r="D579" s="11"/>
      <c r="F579" s="5"/>
      <c r="G579" s="5"/>
      <c r="I579" s="8"/>
      <c r="J579" s="9"/>
      <c r="K579" s="9"/>
      <c r="L579" s="9"/>
      <c r="M579" s="9"/>
      <c r="N579" s="10"/>
      <c r="O579" s="10"/>
      <c r="P579" s="10"/>
      <c r="Q579" s="10"/>
      <c r="R579" s="10"/>
      <c r="S579" s="10"/>
      <c r="T579" s="33"/>
      <c r="U579" s="6"/>
      <c r="V579" s="11"/>
      <c r="W579" s="11"/>
      <c r="X579" s="34"/>
      <c r="Y579" s="34"/>
      <c r="Z579" s="34"/>
      <c r="AA579" s="35"/>
      <c r="AB579" s="36"/>
      <c r="AC579" s="36"/>
      <c r="AD579" s="36"/>
      <c r="AE579" s="36"/>
      <c r="AF579" s="168"/>
      <c r="AG579" s="272"/>
      <c r="AH579" s="272"/>
      <c r="AI579" s="11"/>
      <c r="AJ579" s="12"/>
      <c r="AK579" s="13"/>
      <c r="AL579" s="13"/>
      <c r="AM579" s="13"/>
      <c r="AN579" s="13"/>
      <c r="AO579" s="13"/>
      <c r="AP579" s="13"/>
      <c r="AQ579" s="6"/>
      <c r="AR579" s="11"/>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row>
    <row r="580" spans="1:94" s="7" customFormat="1">
      <c r="A580" s="5"/>
      <c r="B580" s="5"/>
      <c r="C580" s="6"/>
      <c r="D580" s="11"/>
      <c r="F580" s="5"/>
      <c r="G580" s="5"/>
      <c r="I580" s="8"/>
      <c r="J580" s="9"/>
      <c r="K580" s="9"/>
      <c r="L580" s="9"/>
      <c r="M580" s="9"/>
      <c r="N580" s="10"/>
      <c r="O580" s="10"/>
      <c r="P580" s="10"/>
      <c r="Q580" s="10"/>
      <c r="R580" s="10"/>
      <c r="S580" s="10"/>
      <c r="T580" s="33"/>
      <c r="U580" s="6"/>
      <c r="V580" s="11"/>
      <c r="W580" s="11"/>
      <c r="X580" s="34"/>
      <c r="Y580" s="34"/>
      <c r="Z580" s="34"/>
      <c r="AA580" s="35"/>
      <c r="AB580" s="36"/>
      <c r="AC580" s="36"/>
      <c r="AD580" s="36"/>
      <c r="AE580" s="36"/>
      <c r="AF580" s="168"/>
      <c r="AG580" s="272"/>
      <c r="AH580" s="272"/>
      <c r="AI580" s="11"/>
      <c r="AJ580" s="12"/>
      <c r="AK580" s="13"/>
      <c r="AL580" s="13"/>
      <c r="AM580" s="13"/>
      <c r="AN580" s="13"/>
      <c r="AO580" s="13"/>
      <c r="AP580" s="13"/>
      <c r="AQ580" s="6"/>
      <c r="AR580" s="11"/>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row>
    <row r="581" spans="1:94" s="7" customFormat="1">
      <c r="A581" s="5"/>
      <c r="B581" s="5"/>
      <c r="C581" s="6"/>
      <c r="D581" s="11"/>
      <c r="F581" s="5"/>
      <c r="G581" s="5"/>
      <c r="I581" s="8"/>
      <c r="J581" s="9"/>
      <c r="K581" s="9"/>
      <c r="L581" s="9"/>
      <c r="M581" s="9"/>
      <c r="N581" s="10"/>
      <c r="O581" s="10"/>
      <c r="P581" s="10"/>
      <c r="Q581" s="10"/>
      <c r="R581" s="10"/>
      <c r="S581" s="10"/>
      <c r="T581" s="33"/>
      <c r="U581" s="6"/>
      <c r="V581" s="11"/>
      <c r="W581" s="11"/>
      <c r="X581" s="34"/>
      <c r="Y581" s="34"/>
      <c r="Z581" s="34"/>
      <c r="AA581" s="35"/>
      <c r="AB581" s="36"/>
      <c r="AC581" s="36"/>
      <c r="AD581" s="36"/>
      <c r="AE581" s="36"/>
      <c r="AF581" s="168"/>
      <c r="AG581" s="272"/>
      <c r="AH581" s="272"/>
      <c r="AI581" s="11"/>
      <c r="AJ581" s="12"/>
      <c r="AK581" s="13"/>
      <c r="AL581" s="13"/>
      <c r="AM581" s="13"/>
      <c r="AN581" s="13"/>
      <c r="AO581" s="13"/>
      <c r="AP581" s="13"/>
      <c r="AQ581" s="6"/>
      <c r="AR581" s="11"/>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row>
    <row r="582" spans="1:94" s="7" customFormat="1">
      <c r="A582" s="5"/>
      <c r="B582" s="5"/>
      <c r="C582" s="6"/>
      <c r="D582" s="11"/>
      <c r="F582" s="5"/>
      <c r="G582" s="5"/>
      <c r="I582" s="8"/>
      <c r="J582" s="9"/>
      <c r="K582" s="9"/>
      <c r="L582" s="9"/>
      <c r="M582" s="9"/>
      <c r="N582" s="10"/>
      <c r="O582" s="10"/>
      <c r="P582" s="10"/>
      <c r="Q582" s="10"/>
      <c r="R582" s="10"/>
      <c r="S582" s="10"/>
      <c r="T582" s="33"/>
      <c r="U582" s="6"/>
      <c r="V582" s="11"/>
      <c r="W582" s="11"/>
      <c r="X582" s="34"/>
      <c r="Y582" s="34"/>
      <c r="Z582" s="34"/>
      <c r="AA582" s="35"/>
      <c r="AB582" s="36"/>
      <c r="AC582" s="36"/>
      <c r="AD582" s="36"/>
      <c r="AE582" s="36"/>
      <c r="AF582" s="168"/>
      <c r="AG582" s="272"/>
      <c r="AH582" s="272"/>
      <c r="AI582" s="11"/>
      <c r="AJ582" s="12"/>
      <c r="AK582" s="13"/>
      <c r="AL582" s="13"/>
      <c r="AM582" s="13"/>
      <c r="AN582" s="13"/>
      <c r="AO582" s="13"/>
      <c r="AP582" s="13"/>
      <c r="AQ582" s="6"/>
      <c r="AR582" s="11"/>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row>
    <row r="583" spans="1:94" s="7" customFormat="1">
      <c r="A583" s="5"/>
      <c r="B583" s="5"/>
      <c r="C583" s="6"/>
      <c r="D583" s="11"/>
      <c r="F583" s="5"/>
      <c r="G583" s="5"/>
      <c r="I583" s="8"/>
      <c r="J583" s="9"/>
      <c r="K583" s="9"/>
      <c r="L583" s="9"/>
      <c r="M583" s="9"/>
      <c r="N583" s="10"/>
      <c r="O583" s="10"/>
      <c r="P583" s="10"/>
      <c r="Q583" s="10"/>
      <c r="R583" s="10"/>
      <c r="S583" s="10"/>
      <c r="T583" s="33"/>
      <c r="U583" s="6"/>
      <c r="V583" s="11"/>
      <c r="W583" s="11"/>
      <c r="X583" s="34"/>
      <c r="Y583" s="34"/>
      <c r="Z583" s="34"/>
      <c r="AA583" s="35"/>
      <c r="AB583" s="36"/>
      <c r="AC583" s="36"/>
      <c r="AD583" s="36"/>
      <c r="AE583" s="36"/>
      <c r="AF583" s="168"/>
      <c r="AG583" s="272"/>
      <c r="AH583" s="272"/>
      <c r="AI583" s="11"/>
      <c r="AJ583" s="12"/>
      <c r="AK583" s="13"/>
      <c r="AL583" s="13"/>
      <c r="AM583" s="13"/>
      <c r="AN583" s="13"/>
      <c r="AO583" s="13"/>
      <c r="AP583" s="13"/>
      <c r="AQ583" s="6"/>
      <c r="AR583" s="11"/>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row>
    <row r="584" spans="1:94" s="7" customFormat="1">
      <c r="A584" s="5"/>
      <c r="B584" s="5"/>
      <c r="C584" s="6"/>
      <c r="D584" s="11"/>
      <c r="F584" s="5"/>
      <c r="G584" s="5"/>
      <c r="I584" s="8"/>
      <c r="J584" s="9"/>
      <c r="K584" s="9"/>
      <c r="L584" s="9"/>
      <c r="M584" s="9"/>
      <c r="N584" s="10"/>
      <c r="O584" s="10"/>
      <c r="P584" s="10"/>
      <c r="Q584" s="10"/>
      <c r="R584" s="10"/>
      <c r="S584" s="10"/>
      <c r="T584" s="33"/>
      <c r="U584" s="6"/>
      <c r="V584" s="11"/>
      <c r="W584" s="11"/>
      <c r="X584" s="34"/>
      <c r="Y584" s="34"/>
      <c r="Z584" s="34"/>
      <c r="AA584" s="35"/>
      <c r="AB584" s="36"/>
      <c r="AC584" s="36"/>
      <c r="AD584" s="36"/>
      <c r="AE584" s="36"/>
      <c r="AF584" s="168"/>
      <c r="AG584" s="272"/>
      <c r="AH584" s="272"/>
      <c r="AI584" s="11"/>
      <c r="AJ584" s="12"/>
      <c r="AK584" s="13"/>
      <c r="AL584" s="13"/>
      <c r="AM584" s="13"/>
      <c r="AN584" s="13"/>
      <c r="AO584" s="13"/>
      <c r="AP584" s="13"/>
      <c r="AQ584" s="6"/>
      <c r="AR584" s="11"/>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row>
    <row r="585" spans="1:94" s="7" customFormat="1">
      <c r="A585" s="5"/>
      <c r="B585" s="5"/>
      <c r="C585" s="6"/>
      <c r="D585" s="11"/>
      <c r="F585" s="5"/>
      <c r="G585" s="5"/>
      <c r="I585" s="8"/>
      <c r="J585" s="9"/>
      <c r="K585" s="9"/>
      <c r="L585" s="9"/>
      <c r="M585" s="9"/>
      <c r="N585" s="10"/>
      <c r="O585" s="10"/>
      <c r="P585" s="10"/>
      <c r="Q585" s="10"/>
      <c r="R585" s="10"/>
      <c r="S585" s="10"/>
      <c r="T585" s="33"/>
      <c r="U585" s="6"/>
      <c r="V585" s="11"/>
      <c r="W585" s="11"/>
      <c r="X585" s="34"/>
      <c r="Y585" s="34"/>
      <c r="Z585" s="34"/>
      <c r="AA585" s="35"/>
      <c r="AB585" s="36"/>
      <c r="AC585" s="36"/>
      <c r="AD585" s="36"/>
      <c r="AE585" s="36"/>
      <c r="AF585" s="168"/>
      <c r="AG585" s="272"/>
      <c r="AH585" s="272"/>
      <c r="AI585" s="11"/>
      <c r="AJ585" s="12"/>
      <c r="AK585" s="13"/>
      <c r="AL585" s="13"/>
      <c r="AM585" s="13"/>
      <c r="AN585" s="13"/>
      <c r="AO585" s="13"/>
      <c r="AP585" s="13"/>
      <c r="AQ585" s="6"/>
      <c r="AR585" s="11"/>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row>
    <row r="586" spans="1:94" s="7" customFormat="1">
      <c r="A586" s="5"/>
      <c r="B586" s="5"/>
      <c r="C586" s="6"/>
      <c r="D586" s="11"/>
      <c r="F586" s="5"/>
      <c r="G586" s="5"/>
      <c r="I586" s="8"/>
      <c r="J586" s="9"/>
      <c r="K586" s="9"/>
      <c r="L586" s="9"/>
      <c r="M586" s="9"/>
      <c r="N586" s="10"/>
      <c r="O586" s="10"/>
      <c r="P586" s="10"/>
      <c r="Q586" s="10"/>
      <c r="R586" s="10"/>
      <c r="S586" s="10"/>
      <c r="T586" s="33"/>
      <c r="U586" s="6"/>
      <c r="V586" s="11"/>
      <c r="W586" s="11"/>
      <c r="X586" s="34"/>
      <c r="Y586" s="34"/>
      <c r="Z586" s="34"/>
      <c r="AA586" s="35"/>
      <c r="AB586" s="36"/>
      <c r="AC586" s="36"/>
      <c r="AD586" s="36"/>
      <c r="AE586" s="36"/>
      <c r="AF586" s="168"/>
      <c r="AG586" s="272"/>
      <c r="AH586" s="272"/>
      <c r="AI586" s="11"/>
      <c r="AJ586" s="12"/>
      <c r="AK586" s="13"/>
      <c r="AL586" s="13"/>
      <c r="AM586" s="13"/>
      <c r="AN586" s="13"/>
      <c r="AO586" s="13"/>
      <c r="AP586" s="13"/>
      <c r="AQ586" s="6"/>
      <c r="AR586" s="11"/>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row>
    <row r="587" spans="1:94" s="7" customFormat="1">
      <c r="A587" s="5"/>
      <c r="B587" s="5"/>
      <c r="C587" s="6"/>
      <c r="D587" s="11"/>
      <c r="F587" s="5"/>
      <c r="G587" s="5"/>
      <c r="I587" s="8"/>
      <c r="J587" s="9"/>
      <c r="K587" s="9"/>
      <c r="L587" s="9"/>
      <c r="M587" s="9"/>
      <c r="N587" s="10"/>
      <c r="O587" s="10"/>
      <c r="P587" s="10"/>
      <c r="Q587" s="10"/>
      <c r="R587" s="10"/>
      <c r="S587" s="10"/>
      <c r="T587" s="33"/>
      <c r="U587" s="6"/>
      <c r="V587" s="11"/>
      <c r="W587" s="11"/>
      <c r="X587" s="34"/>
      <c r="Y587" s="34"/>
      <c r="Z587" s="34"/>
      <c r="AA587" s="35"/>
      <c r="AB587" s="36"/>
      <c r="AC587" s="36"/>
      <c r="AD587" s="36"/>
      <c r="AE587" s="36"/>
      <c r="AF587" s="168"/>
      <c r="AG587" s="272"/>
      <c r="AH587" s="272"/>
      <c r="AI587" s="11"/>
      <c r="AJ587" s="12"/>
      <c r="AK587" s="13"/>
      <c r="AL587" s="13"/>
      <c r="AM587" s="13"/>
      <c r="AN587" s="13"/>
      <c r="AO587" s="13"/>
      <c r="AP587" s="13"/>
      <c r="AQ587" s="6"/>
      <c r="AR587" s="11"/>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row>
    <row r="588" spans="1:94" s="7" customFormat="1">
      <c r="A588" s="5"/>
      <c r="B588" s="5"/>
      <c r="C588" s="6"/>
      <c r="D588" s="11"/>
      <c r="F588" s="5"/>
      <c r="G588" s="5"/>
      <c r="I588" s="8"/>
      <c r="J588" s="9"/>
      <c r="K588" s="9"/>
      <c r="L588" s="9"/>
      <c r="M588" s="9"/>
      <c r="N588" s="10"/>
      <c r="O588" s="10"/>
      <c r="P588" s="10"/>
      <c r="Q588" s="10"/>
      <c r="R588" s="10"/>
      <c r="S588" s="10"/>
      <c r="T588" s="33"/>
      <c r="U588" s="6"/>
      <c r="V588" s="11"/>
      <c r="W588" s="11"/>
      <c r="X588" s="34"/>
      <c r="Y588" s="34"/>
      <c r="Z588" s="34"/>
      <c r="AA588" s="35"/>
      <c r="AB588" s="36"/>
      <c r="AC588" s="36"/>
      <c r="AD588" s="36"/>
      <c r="AE588" s="36"/>
      <c r="AF588" s="168"/>
      <c r="AG588" s="272"/>
      <c r="AH588" s="272"/>
      <c r="AI588" s="11"/>
      <c r="AJ588" s="12"/>
      <c r="AK588" s="13"/>
      <c r="AL588" s="13"/>
      <c r="AM588" s="13"/>
      <c r="AN588" s="13"/>
      <c r="AO588" s="13"/>
      <c r="AP588" s="13"/>
      <c r="AQ588" s="6"/>
      <c r="AR588" s="11"/>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row>
  </sheetData>
  <autoFilter ref="A1:CP504" xr:uid="{7DC5E056-4F23-43C0-991A-F15C4779412B}">
    <sortState xmlns:xlrd2="http://schemas.microsoft.com/office/spreadsheetml/2017/richdata2" ref="A2:CP504">
      <sortCondition ref="A1:A504"/>
      <sortCondition ref="B1:B504"/>
      <sortCondition ref="AA1:AA504"/>
    </sortState>
  </autoFilter>
  <phoneticPr fontId="1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AE34-2097-48AE-AB5F-800F7F5D9EAF}">
  <dimension ref="A1:O209"/>
  <sheetViews>
    <sheetView topLeftCell="A131" workbookViewId="0">
      <selection activeCell="P140" sqref="P140"/>
    </sheetView>
  </sheetViews>
  <sheetFormatPr defaultRowHeight="15" customHeight="1"/>
  <cols>
    <col min="1" max="1" width="13.5703125" customWidth="1"/>
    <col min="2" max="2" width="16.42578125" customWidth="1"/>
    <col min="3" max="3" width="32.28515625" style="2" customWidth="1"/>
    <col min="6" max="7" width="9.85546875" customWidth="1"/>
    <col min="8" max="8" width="9.140625" hidden="1" customWidth="1"/>
    <col min="9" max="9" width="0" hidden="1" customWidth="1"/>
    <col min="10" max="10" width="9.140625" hidden="1" customWidth="1"/>
    <col min="11" max="11" width="0" hidden="1" customWidth="1"/>
    <col min="12" max="12" width="9.140625" hidden="1" customWidth="1"/>
    <col min="13" max="13" width="0" hidden="1" customWidth="1"/>
    <col min="14" max="14" width="9.140625" hidden="1" customWidth="1"/>
    <col min="15" max="15" width="0" hidden="1" customWidth="1"/>
  </cols>
  <sheetData>
    <row r="1" spans="1:15" ht="25.5">
      <c r="A1" s="391" t="s">
        <v>0</v>
      </c>
      <c r="B1" s="391" t="s">
        <v>1</v>
      </c>
      <c r="C1" s="391" t="s">
        <v>842</v>
      </c>
      <c r="D1" s="391" t="s">
        <v>4</v>
      </c>
      <c r="E1" s="391" t="s">
        <v>843</v>
      </c>
      <c r="F1" s="390" t="s">
        <v>844</v>
      </c>
      <c r="G1" s="390" t="s">
        <v>845</v>
      </c>
      <c r="H1" s="391" t="s">
        <v>846</v>
      </c>
      <c r="I1" s="391" t="s">
        <v>847</v>
      </c>
      <c r="J1" s="389" t="s">
        <v>848</v>
      </c>
      <c r="K1" s="389" t="s">
        <v>849</v>
      </c>
      <c r="L1" s="388" t="s">
        <v>850</v>
      </c>
      <c r="M1" s="388" t="s">
        <v>851</v>
      </c>
      <c r="N1" s="387" t="s">
        <v>852</v>
      </c>
      <c r="O1" s="387" t="s">
        <v>853</v>
      </c>
    </row>
    <row r="2" spans="1:15">
      <c r="A2" s="384" t="s">
        <v>854</v>
      </c>
      <c r="B2" s="384" t="s">
        <v>85</v>
      </c>
      <c r="C2" s="392" t="s">
        <v>86</v>
      </c>
      <c r="D2" s="383" t="s">
        <v>88</v>
      </c>
      <c r="E2" s="383">
        <v>0.33</v>
      </c>
      <c r="F2" s="382">
        <f t="shared" ref="F2:F65" si="0">AVERAGE(J2:O2)</f>
        <v>0.33750000000000002</v>
      </c>
      <c r="G2" s="382"/>
      <c r="H2" s="386"/>
      <c r="I2" s="386"/>
      <c r="J2" s="385">
        <v>0.31</v>
      </c>
      <c r="K2" s="385">
        <v>0.31</v>
      </c>
      <c r="L2" s="380"/>
      <c r="M2" s="380">
        <v>0.33</v>
      </c>
      <c r="N2" s="379">
        <v>0.4</v>
      </c>
      <c r="O2" s="379"/>
    </row>
    <row r="3" spans="1:15">
      <c r="A3" s="384" t="s">
        <v>854</v>
      </c>
      <c r="B3" s="384" t="s">
        <v>93</v>
      </c>
      <c r="C3" s="392" t="s">
        <v>94</v>
      </c>
      <c r="D3" s="383" t="s">
        <v>88</v>
      </c>
      <c r="E3" s="383">
        <v>0.33</v>
      </c>
      <c r="F3" s="382">
        <f t="shared" si="0"/>
        <v>0.31</v>
      </c>
      <c r="G3" s="382"/>
      <c r="H3" s="386"/>
      <c r="I3" s="386"/>
      <c r="J3" s="385">
        <v>0.32</v>
      </c>
      <c r="K3" s="385">
        <v>0.28999999999999998</v>
      </c>
      <c r="L3" s="380"/>
      <c r="M3" s="380">
        <v>0.32</v>
      </c>
      <c r="N3" s="379"/>
      <c r="O3" s="379"/>
    </row>
    <row r="4" spans="1:15">
      <c r="A4" s="384" t="s">
        <v>854</v>
      </c>
      <c r="B4" s="384" t="s">
        <v>97</v>
      </c>
      <c r="C4" s="392" t="s">
        <v>98</v>
      </c>
      <c r="D4" s="383" t="s">
        <v>99</v>
      </c>
      <c r="E4" s="383">
        <v>0.44</v>
      </c>
      <c r="F4" s="382">
        <f t="shared" si="0"/>
        <v>0.4325</v>
      </c>
      <c r="G4" s="382"/>
      <c r="H4" s="386"/>
      <c r="I4" s="386"/>
      <c r="J4" s="385">
        <v>0.46</v>
      </c>
      <c r="K4" s="385">
        <v>0.44</v>
      </c>
      <c r="L4" s="380"/>
      <c r="M4" s="380">
        <v>0.39</v>
      </c>
      <c r="N4" s="379">
        <v>0.44</v>
      </c>
      <c r="O4" s="379"/>
    </row>
    <row r="5" spans="1:15">
      <c r="A5" s="384" t="s">
        <v>854</v>
      </c>
      <c r="B5" s="384" t="s">
        <v>104</v>
      </c>
      <c r="C5" s="392" t="s">
        <v>105</v>
      </c>
      <c r="D5" s="383" t="s">
        <v>88</v>
      </c>
      <c r="E5" s="383">
        <v>0.33</v>
      </c>
      <c r="F5" s="382">
        <f t="shared" si="0"/>
        <v>0.28666666666666668</v>
      </c>
      <c r="G5" s="382"/>
      <c r="H5" s="386"/>
      <c r="I5" s="386"/>
      <c r="J5" s="385">
        <v>0.24</v>
      </c>
      <c r="K5" s="385">
        <v>0.25</v>
      </c>
      <c r="L5" s="380"/>
      <c r="M5" s="380">
        <v>0.37</v>
      </c>
      <c r="N5" s="379"/>
      <c r="O5" s="379"/>
    </row>
    <row r="6" spans="1:15">
      <c r="A6" s="384" t="s">
        <v>854</v>
      </c>
      <c r="B6" s="384" t="s">
        <v>107</v>
      </c>
      <c r="C6" s="392" t="s">
        <v>108</v>
      </c>
      <c r="D6" s="383" t="s">
        <v>88</v>
      </c>
      <c r="E6" s="383">
        <v>0.33</v>
      </c>
      <c r="F6" s="382">
        <f t="shared" si="0"/>
        <v>0.30500000000000005</v>
      </c>
      <c r="G6" s="382"/>
      <c r="H6" s="386"/>
      <c r="I6" s="386"/>
      <c r="J6" s="385">
        <v>0.27</v>
      </c>
      <c r="K6" s="385">
        <v>0.28000000000000003</v>
      </c>
      <c r="L6" s="380">
        <v>0.3</v>
      </c>
      <c r="M6" s="380">
        <v>0.37</v>
      </c>
      <c r="N6" s="379"/>
      <c r="O6" s="379"/>
    </row>
    <row r="7" spans="1:15">
      <c r="A7" s="384" t="s">
        <v>854</v>
      </c>
      <c r="B7" s="384" t="s">
        <v>109</v>
      </c>
      <c r="C7" s="392" t="s">
        <v>855</v>
      </c>
      <c r="D7" s="383" t="s">
        <v>88</v>
      </c>
      <c r="E7" s="383">
        <v>0.33</v>
      </c>
      <c r="F7" s="382">
        <f t="shared" si="0"/>
        <v>0.24500000000000002</v>
      </c>
      <c r="G7" s="382"/>
      <c r="H7" s="386"/>
      <c r="I7" s="386"/>
      <c r="J7" s="385">
        <v>0.26</v>
      </c>
      <c r="K7" s="385">
        <v>0.27</v>
      </c>
      <c r="L7" s="380">
        <v>0.34</v>
      </c>
      <c r="M7" s="380">
        <v>0.11</v>
      </c>
      <c r="N7" s="379"/>
      <c r="O7" s="379"/>
    </row>
    <row r="8" spans="1:15">
      <c r="A8" s="384" t="s">
        <v>854</v>
      </c>
      <c r="B8" s="384" t="s">
        <v>112</v>
      </c>
      <c r="C8" s="392" t="s">
        <v>856</v>
      </c>
      <c r="D8" s="383" t="s">
        <v>114</v>
      </c>
      <c r="E8" s="383">
        <v>0.38</v>
      </c>
      <c r="F8" s="382">
        <f t="shared" si="0"/>
        <v>0.32666666666666666</v>
      </c>
      <c r="G8" s="382"/>
      <c r="H8" s="386"/>
      <c r="I8" s="386"/>
      <c r="J8" s="385">
        <v>0.33</v>
      </c>
      <c r="K8" s="385">
        <v>0.31</v>
      </c>
      <c r="L8" s="380"/>
      <c r="M8" s="380">
        <v>0.34</v>
      </c>
      <c r="N8" s="379"/>
      <c r="O8" s="379"/>
    </row>
    <row r="9" spans="1:15">
      <c r="A9" s="384" t="s">
        <v>854</v>
      </c>
      <c r="B9" s="384" t="s">
        <v>117</v>
      </c>
      <c r="C9" s="392" t="s">
        <v>857</v>
      </c>
      <c r="D9" s="383" t="s">
        <v>119</v>
      </c>
      <c r="E9" s="383">
        <v>0.52</v>
      </c>
      <c r="F9" s="382">
        <f t="shared" si="0"/>
        <v>0.47333333333333333</v>
      </c>
      <c r="G9" s="382"/>
      <c r="H9" s="386"/>
      <c r="I9" s="386"/>
      <c r="J9" s="385">
        <v>0.61</v>
      </c>
      <c r="K9" s="385">
        <v>0.57999999999999996</v>
      </c>
      <c r="L9" s="380"/>
      <c r="M9" s="380">
        <v>0.23</v>
      </c>
      <c r="N9" s="379"/>
      <c r="O9" s="379"/>
    </row>
    <row r="10" spans="1:15">
      <c r="A10" s="384" t="s">
        <v>854</v>
      </c>
      <c r="B10" s="384" t="s">
        <v>123</v>
      </c>
      <c r="C10" s="392" t="s">
        <v>858</v>
      </c>
      <c r="D10" s="383" t="s">
        <v>88</v>
      </c>
      <c r="E10" s="383">
        <v>0.33</v>
      </c>
      <c r="F10" s="382">
        <f t="shared" si="0"/>
        <v>0.23666666666666666</v>
      </c>
      <c r="G10" s="382"/>
      <c r="H10" s="386"/>
      <c r="I10" s="386"/>
      <c r="J10" s="385">
        <v>0.22</v>
      </c>
      <c r="K10" s="385">
        <v>0.23</v>
      </c>
      <c r="L10" s="380"/>
      <c r="M10" s="380">
        <v>0.26</v>
      </c>
      <c r="N10" s="379"/>
      <c r="O10" s="379"/>
    </row>
    <row r="11" spans="1:15">
      <c r="A11" s="384" t="s">
        <v>854</v>
      </c>
      <c r="B11" s="384" t="s">
        <v>127</v>
      </c>
      <c r="C11" s="392" t="s">
        <v>859</v>
      </c>
      <c r="D11" s="383" t="s">
        <v>129</v>
      </c>
      <c r="E11" s="383">
        <v>0.45</v>
      </c>
      <c r="F11" s="382">
        <f t="shared" si="0"/>
        <v>0.42999999999999994</v>
      </c>
      <c r="G11" s="382"/>
      <c r="H11" s="386"/>
      <c r="I11" s="386"/>
      <c r="J11" s="385">
        <v>0.41</v>
      </c>
      <c r="K11" s="385">
        <v>0.41</v>
      </c>
      <c r="L11" s="380">
        <v>0.48</v>
      </c>
      <c r="M11" s="380">
        <v>0.42</v>
      </c>
      <c r="N11" s="379"/>
      <c r="O11" s="379"/>
    </row>
    <row r="12" spans="1:15">
      <c r="A12" s="384" t="s">
        <v>854</v>
      </c>
      <c r="B12" s="384" t="s">
        <v>132</v>
      </c>
      <c r="C12" s="392" t="s">
        <v>860</v>
      </c>
      <c r="D12" s="383" t="s">
        <v>134</v>
      </c>
      <c r="E12" s="383">
        <v>0.35</v>
      </c>
      <c r="F12" s="382">
        <f t="shared" si="0"/>
        <v>0.3175</v>
      </c>
      <c r="G12" s="382"/>
      <c r="H12" s="386"/>
      <c r="I12" s="386"/>
      <c r="J12" s="385">
        <v>0.34</v>
      </c>
      <c r="K12" s="385">
        <v>0.32</v>
      </c>
      <c r="L12" s="380">
        <v>0.32</v>
      </c>
      <c r="M12" s="380">
        <v>0.28999999999999998</v>
      </c>
      <c r="N12" s="379"/>
      <c r="O12" s="379"/>
    </row>
    <row r="13" spans="1:15">
      <c r="A13" s="384" t="s">
        <v>854</v>
      </c>
      <c r="B13" s="384" t="s">
        <v>442</v>
      </c>
      <c r="C13" s="392" t="s">
        <v>443</v>
      </c>
      <c r="D13" s="383" t="s">
        <v>160</v>
      </c>
      <c r="E13" s="383">
        <v>0.41</v>
      </c>
      <c r="F13" s="382">
        <f t="shared" si="0"/>
        <v>0.53</v>
      </c>
      <c r="G13" s="382"/>
      <c r="H13" s="383"/>
      <c r="I13" s="383"/>
      <c r="J13" s="381"/>
      <c r="K13" s="381"/>
      <c r="L13" s="380"/>
      <c r="M13" s="380"/>
      <c r="N13" s="379">
        <v>0.53</v>
      </c>
      <c r="O13" s="379"/>
    </row>
    <row r="14" spans="1:15">
      <c r="A14" s="384" t="s">
        <v>854</v>
      </c>
      <c r="B14" s="384" t="s">
        <v>138</v>
      </c>
      <c r="C14" s="392" t="s">
        <v>139</v>
      </c>
      <c r="D14" s="383" t="s">
        <v>129</v>
      </c>
      <c r="E14" s="383">
        <v>0.45</v>
      </c>
      <c r="F14" s="382" t="e">
        <f t="shared" si="0"/>
        <v>#DIV/0!</v>
      </c>
      <c r="G14" s="382"/>
      <c r="H14" s="383"/>
      <c r="I14" s="383"/>
      <c r="J14" s="381"/>
      <c r="K14" s="381"/>
      <c r="L14" s="380"/>
      <c r="M14" s="380"/>
      <c r="N14" s="379"/>
      <c r="O14" s="379"/>
    </row>
    <row r="15" spans="1:15">
      <c r="A15" s="384" t="s">
        <v>854</v>
      </c>
      <c r="B15" s="384" t="s">
        <v>141</v>
      </c>
      <c r="C15" s="392" t="s">
        <v>142</v>
      </c>
      <c r="D15" s="383" t="s">
        <v>194</v>
      </c>
      <c r="E15" s="386">
        <v>0.5</v>
      </c>
      <c r="F15" s="382" t="e">
        <f t="shared" si="0"/>
        <v>#DIV/0!</v>
      </c>
      <c r="G15" s="382"/>
      <c r="H15" s="383"/>
      <c r="I15" s="383"/>
      <c r="J15" s="381"/>
      <c r="K15" s="381"/>
      <c r="L15" s="380"/>
      <c r="M15" s="380"/>
      <c r="N15" s="379"/>
      <c r="O15" s="379"/>
    </row>
    <row r="16" spans="1:15">
      <c r="A16" s="384" t="s">
        <v>854</v>
      </c>
      <c r="B16" s="384" t="s">
        <v>445</v>
      </c>
      <c r="C16" s="392" t="s">
        <v>446</v>
      </c>
      <c r="D16" s="383" t="s">
        <v>114</v>
      </c>
      <c r="E16" s="383">
        <v>0.38</v>
      </c>
      <c r="F16" s="382" t="e">
        <f t="shared" si="0"/>
        <v>#DIV/0!</v>
      </c>
      <c r="G16" s="382"/>
      <c r="H16" s="383"/>
      <c r="I16" s="383"/>
      <c r="J16" s="381"/>
      <c r="K16" s="381"/>
      <c r="L16" s="380"/>
      <c r="M16" s="380"/>
      <c r="N16" s="379"/>
      <c r="O16" s="379"/>
    </row>
    <row r="17" spans="1:15">
      <c r="A17" s="384" t="s">
        <v>854</v>
      </c>
      <c r="B17" s="384" t="s">
        <v>143</v>
      </c>
      <c r="C17" s="392" t="s">
        <v>144</v>
      </c>
      <c r="D17" s="383" t="s">
        <v>88</v>
      </c>
      <c r="E17" s="383">
        <v>0.33</v>
      </c>
      <c r="F17" s="382" t="e">
        <f t="shared" si="0"/>
        <v>#DIV/0!</v>
      </c>
      <c r="G17" s="382"/>
      <c r="H17" s="383"/>
      <c r="I17" s="383"/>
      <c r="J17" s="381"/>
      <c r="K17" s="381"/>
      <c r="L17" s="380"/>
      <c r="M17" s="380"/>
      <c r="N17" s="379"/>
      <c r="O17" s="379"/>
    </row>
    <row r="18" spans="1:15">
      <c r="A18" s="384" t="s">
        <v>854</v>
      </c>
      <c r="B18" s="384" t="s">
        <v>709</v>
      </c>
      <c r="C18" s="392" t="s">
        <v>710</v>
      </c>
      <c r="D18" s="383" t="s">
        <v>88</v>
      </c>
      <c r="E18" s="383">
        <v>0.33</v>
      </c>
      <c r="F18" s="382" t="e">
        <f t="shared" si="0"/>
        <v>#DIV/0!</v>
      </c>
      <c r="G18" s="382"/>
      <c r="H18" s="383"/>
      <c r="I18" s="383"/>
      <c r="J18" s="381"/>
      <c r="K18" s="381"/>
      <c r="L18" s="380"/>
      <c r="M18" s="380"/>
      <c r="N18" s="379"/>
      <c r="O18" s="379"/>
    </row>
    <row r="19" spans="1:15">
      <c r="A19" s="384" t="s">
        <v>854</v>
      </c>
      <c r="B19" s="384" t="s">
        <v>711</v>
      </c>
      <c r="C19" s="392" t="s">
        <v>861</v>
      </c>
      <c r="D19" s="383" t="s">
        <v>237</v>
      </c>
      <c r="E19" s="383">
        <v>0.27</v>
      </c>
      <c r="F19" s="382" t="e">
        <f t="shared" si="0"/>
        <v>#DIV/0!</v>
      </c>
      <c r="G19" s="382"/>
      <c r="H19" s="383"/>
      <c r="I19" s="383"/>
      <c r="J19" s="381"/>
      <c r="K19" s="381"/>
      <c r="L19" s="380"/>
      <c r="M19" s="380"/>
      <c r="N19" s="379"/>
      <c r="O19" s="379"/>
    </row>
    <row r="20" spans="1:15">
      <c r="A20" s="384" t="s">
        <v>854</v>
      </c>
      <c r="B20" s="384" t="s">
        <v>146</v>
      </c>
      <c r="C20" s="392" t="s">
        <v>862</v>
      </c>
      <c r="D20" s="383" t="s">
        <v>148</v>
      </c>
      <c r="E20" s="383">
        <v>0.35</v>
      </c>
      <c r="F20" s="382" t="e">
        <f t="shared" si="0"/>
        <v>#DIV/0!</v>
      </c>
      <c r="G20" s="382"/>
      <c r="H20" s="383"/>
      <c r="I20" s="383"/>
      <c r="J20" s="381"/>
      <c r="K20" s="381"/>
      <c r="L20" s="380"/>
      <c r="M20" s="380"/>
      <c r="N20" s="379"/>
      <c r="O20" s="379"/>
    </row>
    <row r="21" spans="1:15">
      <c r="A21" s="384" t="s">
        <v>854</v>
      </c>
      <c r="B21" s="384" t="s">
        <v>863</v>
      </c>
      <c r="C21" s="392" t="s">
        <v>864</v>
      </c>
      <c r="D21" s="383" t="s">
        <v>88</v>
      </c>
      <c r="E21" s="383">
        <v>0.33</v>
      </c>
      <c r="F21" s="382" t="e">
        <f t="shared" si="0"/>
        <v>#DIV/0!</v>
      </c>
      <c r="G21" s="382"/>
      <c r="H21" s="383"/>
      <c r="I21" s="383"/>
      <c r="J21" s="381"/>
      <c r="K21" s="381"/>
      <c r="L21" s="380"/>
      <c r="M21" s="380"/>
      <c r="N21" s="379"/>
      <c r="O21" s="379"/>
    </row>
    <row r="22" spans="1:15">
      <c r="A22" s="384" t="s">
        <v>854</v>
      </c>
      <c r="B22" s="384" t="s">
        <v>713</v>
      </c>
      <c r="C22" s="392" t="s">
        <v>865</v>
      </c>
      <c r="D22" s="383" t="s">
        <v>237</v>
      </c>
      <c r="E22" s="383">
        <v>0.27</v>
      </c>
      <c r="F22" s="382" t="e">
        <f t="shared" si="0"/>
        <v>#DIV/0!</v>
      </c>
      <c r="G22" s="382"/>
      <c r="H22" s="383"/>
      <c r="I22" s="383"/>
      <c r="J22" s="381"/>
      <c r="K22" s="381"/>
      <c r="L22" s="380"/>
      <c r="M22" s="380"/>
      <c r="N22" s="379"/>
      <c r="O22" s="379"/>
    </row>
    <row r="23" spans="1:15">
      <c r="A23" s="384" t="s">
        <v>854</v>
      </c>
      <c r="B23" s="384" t="s">
        <v>866</v>
      </c>
      <c r="C23" s="392" t="s">
        <v>867</v>
      </c>
      <c r="D23" s="383" t="s">
        <v>129</v>
      </c>
      <c r="E23" s="383">
        <v>0.45</v>
      </c>
      <c r="F23" s="382">
        <f t="shared" si="0"/>
        <v>0.39</v>
      </c>
      <c r="G23" s="382"/>
      <c r="H23" s="383"/>
      <c r="I23" s="383"/>
      <c r="J23" s="381"/>
      <c r="K23" s="381"/>
      <c r="L23" s="380"/>
      <c r="M23" s="380"/>
      <c r="N23" s="379">
        <v>0.39</v>
      </c>
      <c r="O23" s="379"/>
    </row>
    <row r="24" spans="1:15">
      <c r="A24" s="384" t="s">
        <v>854</v>
      </c>
      <c r="B24" s="384" t="s">
        <v>715</v>
      </c>
      <c r="C24" s="392" t="s">
        <v>868</v>
      </c>
      <c r="D24" s="383" t="s">
        <v>88</v>
      </c>
      <c r="E24" s="383">
        <v>0.33</v>
      </c>
      <c r="F24" s="382" t="e">
        <f t="shared" si="0"/>
        <v>#DIV/0!</v>
      </c>
      <c r="G24" s="382"/>
      <c r="H24" s="383"/>
      <c r="I24" s="383"/>
      <c r="J24" s="381"/>
      <c r="K24" s="381"/>
      <c r="L24" s="380"/>
      <c r="M24" s="380"/>
      <c r="N24" s="379"/>
      <c r="O24" s="379"/>
    </row>
    <row r="25" spans="1:15">
      <c r="A25" s="384" t="s">
        <v>854</v>
      </c>
      <c r="B25" s="384" t="s">
        <v>719</v>
      </c>
      <c r="C25" s="392" t="s">
        <v>869</v>
      </c>
      <c r="D25" s="383" t="s">
        <v>160</v>
      </c>
      <c r="E25" s="383">
        <v>0.41</v>
      </c>
      <c r="F25" s="382" t="e">
        <f t="shared" si="0"/>
        <v>#DIV/0!</v>
      </c>
      <c r="G25" s="382"/>
      <c r="H25" s="383"/>
      <c r="I25" s="383"/>
      <c r="J25" s="381"/>
      <c r="K25" s="381"/>
      <c r="L25" s="380"/>
      <c r="M25" s="380"/>
      <c r="N25" s="379"/>
      <c r="O25" s="379"/>
    </row>
    <row r="26" spans="1:15">
      <c r="A26" s="384" t="s">
        <v>854</v>
      </c>
      <c r="B26" s="384" t="s">
        <v>870</v>
      </c>
      <c r="C26" s="392" t="s">
        <v>871</v>
      </c>
      <c r="D26" s="383" t="s">
        <v>160</v>
      </c>
      <c r="E26" s="383">
        <v>0.41</v>
      </c>
      <c r="F26" s="382" t="e">
        <f t="shared" si="0"/>
        <v>#DIV/0!</v>
      </c>
      <c r="G26" s="382"/>
      <c r="H26" s="383"/>
      <c r="I26" s="383"/>
      <c r="J26" s="381"/>
      <c r="K26" s="381"/>
      <c r="L26" s="380"/>
      <c r="M26" s="380"/>
      <c r="N26" s="379"/>
      <c r="O26" s="379"/>
    </row>
    <row r="27" spans="1:15">
      <c r="A27" s="384" t="s">
        <v>854</v>
      </c>
      <c r="B27" s="384" t="s">
        <v>872</v>
      </c>
      <c r="C27" s="392" t="s">
        <v>873</v>
      </c>
      <c r="D27" s="383" t="s">
        <v>160</v>
      </c>
      <c r="E27" s="383">
        <v>0.41</v>
      </c>
      <c r="F27" s="382" t="e">
        <f t="shared" si="0"/>
        <v>#DIV/0!</v>
      </c>
      <c r="G27" s="382"/>
      <c r="H27" s="383"/>
      <c r="I27" s="383"/>
      <c r="J27" s="381"/>
      <c r="K27" s="381"/>
      <c r="L27" s="380"/>
      <c r="M27" s="380"/>
      <c r="N27" s="379"/>
      <c r="O27" s="379"/>
    </row>
    <row r="28" spans="1:15">
      <c r="A28" s="384" t="s">
        <v>854</v>
      </c>
      <c r="B28" s="384" t="s">
        <v>149</v>
      </c>
      <c r="C28" s="392" t="s">
        <v>874</v>
      </c>
      <c r="D28" s="383" t="s">
        <v>88</v>
      </c>
      <c r="E28" s="383">
        <v>0.33</v>
      </c>
      <c r="F28" s="382" t="e">
        <f t="shared" si="0"/>
        <v>#DIV/0!</v>
      </c>
      <c r="G28" s="382"/>
      <c r="H28" s="383"/>
      <c r="I28" s="383"/>
      <c r="J28" s="381"/>
      <c r="K28" s="381"/>
      <c r="L28" s="380"/>
      <c r="M28" s="380"/>
      <c r="N28" s="379"/>
      <c r="O28" s="379"/>
    </row>
    <row r="29" spans="1:15">
      <c r="A29" s="384" t="s">
        <v>854</v>
      </c>
      <c r="B29" s="384" t="s">
        <v>151</v>
      </c>
      <c r="C29" s="392" t="s">
        <v>875</v>
      </c>
      <c r="D29" s="383" t="s">
        <v>153</v>
      </c>
      <c r="E29" s="383">
        <v>0.34</v>
      </c>
      <c r="F29" s="382" t="e">
        <f t="shared" si="0"/>
        <v>#DIV/0!</v>
      </c>
      <c r="G29" s="382"/>
      <c r="H29" s="383"/>
      <c r="I29" s="383"/>
      <c r="J29" s="381"/>
      <c r="K29" s="381"/>
      <c r="L29" s="380"/>
      <c r="M29" s="380"/>
      <c r="N29" s="379"/>
      <c r="O29" s="379"/>
    </row>
    <row r="30" spans="1:15">
      <c r="A30" s="384" t="s">
        <v>854</v>
      </c>
      <c r="B30" s="384" t="s">
        <v>154</v>
      </c>
      <c r="C30" s="392" t="s">
        <v>876</v>
      </c>
      <c r="D30" s="383" t="s">
        <v>156</v>
      </c>
      <c r="E30" s="383">
        <v>0.32</v>
      </c>
      <c r="F30" s="382" t="e">
        <f t="shared" si="0"/>
        <v>#DIV/0!</v>
      </c>
      <c r="G30" s="382"/>
      <c r="H30" s="383"/>
      <c r="I30" s="383"/>
      <c r="J30" s="381"/>
      <c r="K30" s="381"/>
      <c r="L30" s="380"/>
      <c r="M30" s="380"/>
      <c r="N30" s="379"/>
      <c r="O30" s="379"/>
    </row>
    <row r="31" spans="1:15">
      <c r="A31" s="384" t="s">
        <v>854</v>
      </c>
      <c r="B31" s="384" t="s">
        <v>158</v>
      </c>
      <c r="C31" s="392" t="s">
        <v>877</v>
      </c>
      <c r="D31" s="383" t="s">
        <v>160</v>
      </c>
      <c r="E31" s="383">
        <v>0.41</v>
      </c>
      <c r="F31" s="382" t="e">
        <f t="shared" si="0"/>
        <v>#DIV/0!</v>
      </c>
      <c r="G31" s="382"/>
      <c r="H31" s="383"/>
      <c r="I31" s="383"/>
      <c r="J31" s="381"/>
      <c r="K31" s="381"/>
      <c r="L31" s="380"/>
      <c r="M31" s="380"/>
      <c r="N31" s="379"/>
      <c r="O31" s="379"/>
    </row>
    <row r="32" spans="1:15">
      <c r="A32" s="384" t="s">
        <v>854</v>
      </c>
      <c r="B32" s="384" t="s">
        <v>161</v>
      </c>
      <c r="C32" s="392" t="s">
        <v>878</v>
      </c>
      <c r="D32" s="383" t="s">
        <v>114</v>
      </c>
      <c r="E32" s="383">
        <v>0.38</v>
      </c>
      <c r="F32" s="382" t="e">
        <f t="shared" si="0"/>
        <v>#DIV/0!</v>
      </c>
      <c r="G32" s="382"/>
      <c r="H32" s="383"/>
      <c r="I32" s="383"/>
      <c r="J32" s="381"/>
      <c r="K32" s="381"/>
      <c r="L32" s="380"/>
      <c r="M32" s="380"/>
      <c r="N32" s="379"/>
      <c r="O32" s="379"/>
    </row>
    <row r="33" spans="1:15">
      <c r="A33" s="384" t="s">
        <v>854</v>
      </c>
      <c r="B33" s="384" t="s">
        <v>167</v>
      </c>
      <c r="C33" s="392" t="s">
        <v>879</v>
      </c>
      <c r="D33" s="383" t="s">
        <v>169</v>
      </c>
      <c r="E33" s="383">
        <v>0.34</v>
      </c>
      <c r="F33" s="382" t="e">
        <f t="shared" si="0"/>
        <v>#DIV/0!</v>
      </c>
      <c r="G33" s="382"/>
      <c r="H33" s="383"/>
      <c r="I33" s="383"/>
      <c r="J33" s="381"/>
      <c r="K33" s="381"/>
      <c r="L33" s="380"/>
      <c r="M33" s="380"/>
      <c r="N33" s="379"/>
      <c r="O33" s="379"/>
    </row>
    <row r="34" spans="1:15">
      <c r="A34" s="384" t="s">
        <v>854</v>
      </c>
      <c r="B34" s="384" t="s">
        <v>721</v>
      </c>
      <c r="C34" s="392" t="s">
        <v>880</v>
      </c>
      <c r="D34" s="383" t="s">
        <v>237</v>
      </c>
      <c r="E34" s="383">
        <v>0.27</v>
      </c>
      <c r="F34" s="382" t="e">
        <f t="shared" si="0"/>
        <v>#DIV/0!</v>
      </c>
      <c r="G34" s="382"/>
      <c r="H34" s="383"/>
      <c r="I34" s="383"/>
      <c r="J34" s="381"/>
      <c r="K34" s="381"/>
      <c r="L34" s="380"/>
      <c r="M34" s="380"/>
      <c r="N34" s="379"/>
      <c r="O34" s="379"/>
    </row>
    <row r="35" spans="1:15">
      <c r="A35" s="384" t="s">
        <v>854</v>
      </c>
      <c r="B35" s="383" t="s">
        <v>172</v>
      </c>
      <c r="C35" s="392" t="s">
        <v>881</v>
      </c>
      <c r="D35" s="383" t="s">
        <v>119</v>
      </c>
      <c r="E35" s="383">
        <v>0.52</v>
      </c>
      <c r="F35" s="382" t="e">
        <f t="shared" si="0"/>
        <v>#DIV/0!</v>
      </c>
      <c r="G35" s="382"/>
      <c r="H35" s="383"/>
      <c r="I35" s="383"/>
      <c r="J35" s="381"/>
      <c r="K35" s="381"/>
      <c r="L35" s="380"/>
      <c r="M35" s="380"/>
      <c r="N35" s="379"/>
      <c r="O35" s="379"/>
    </row>
    <row r="36" spans="1:15">
      <c r="A36" s="384" t="s">
        <v>854</v>
      </c>
      <c r="B36" s="383" t="s">
        <v>174</v>
      </c>
      <c r="C36" s="392" t="s">
        <v>882</v>
      </c>
      <c r="D36" s="383" t="s">
        <v>119</v>
      </c>
      <c r="E36" s="383">
        <v>0.52</v>
      </c>
      <c r="F36" s="382" t="e">
        <f t="shared" si="0"/>
        <v>#DIV/0!</v>
      </c>
      <c r="G36" s="382"/>
      <c r="H36" s="383"/>
      <c r="I36" s="383"/>
      <c r="J36" s="381"/>
      <c r="K36" s="381"/>
      <c r="L36" s="380"/>
      <c r="M36" s="380"/>
      <c r="N36" s="379"/>
      <c r="O36" s="379"/>
    </row>
    <row r="37" spans="1:15">
      <c r="A37" s="384" t="s">
        <v>854</v>
      </c>
      <c r="B37" s="384" t="s">
        <v>176</v>
      </c>
      <c r="C37" s="392" t="s">
        <v>883</v>
      </c>
      <c r="D37" s="383" t="s">
        <v>119</v>
      </c>
      <c r="E37" s="383">
        <v>0.52</v>
      </c>
      <c r="F37" s="382" t="e">
        <f t="shared" si="0"/>
        <v>#DIV/0!</v>
      </c>
      <c r="G37" s="382"/>
      <c r="H37" s="383"/>
      <c r="I37" s="383"/>
      <c r="J37" s="381"/>
      <c r="K37" s="381"/>
      <c r="L37" s="380"/>
      <c r="M37" s="380"/>
      <c r="N37" s="379"/>
      <c r="O37" s="379"/>
    </row>
    <row r="38" spans="1:15">
      <c r="A38" s="384" t="s">
        <v>854</v>
      </c>
      <c r="B38" s="384" t="s">
        <v>178</v>
      </c>
      <c r="C38" s="392" t="s">
        <v>884</v>
      </c>
      <c r="D38" s="383" t="s">
        <v>180</v>
      </c>
      <c r="E38" s="383">
        <v>0.48</v>
      </c>
      <c r="F38" s="382">
        <f t="shared" si="0"/>
        <v>0.28000000000000003</v>
      </c>
      <c r="G38" s="382"/>
      <c r="H38" s="383"/>
      <c r="I38" s="383"/>
      <c r="J38" s="381"/>
      <c r="K38" s="381"/>
      <c r="L38" s="380"/>
      <c r="M38" s="380"/>
      <c r="N38" s="379">
        <v>0.28000000000000003</v>
      </c>
      <c r="O38" s="379"/>
    </row>
    <row r="39" spans="1:15">
      <c r="A39" s="384" t="s">
        <v>854</v>
      </c>
      <c r="B39" s="384" t="s">
        <v>183</v>
      </c>
      <c r="C39" s="392" t="s">
        <v>885</v>
      </c>
      <c r="D39" s="383" t="s">
        <v>88</v>
      </c>
      <c r="E39" s="383">
        <v>0.33</v>
      </c>
      <c r="F39" s="382">
        <f t="shared" si="0"/>
        <v>0.34</v>
      </c>
      <c r="G39" s="382"/>
      <c r="H39" s="383"/>
      <c r="I39" s="383"/>
      <c r="J39" s="381"/>
      <c r="K39" s="381"/>
      <c r="L39" s="380"/>
      <c r="M39" s="380"/>
      <c r="N39" s="379">
        <v>0.34</v>
      </c>
      <c r="O39" s="379"/>
    </row>
    <row r="40" spans="1:15">
      <c r="A40" s="384" t="s">
        <v>854</v>
      </c>
      <c r="B40" s="384" t="s">
        <v>185</v>
      </c>
      <c r="C40" s="392" t="s">
        <v>886</v>
      </c>
      <c r="D40" s="383" t="s">
        <v>114</v>
      </c>
      <c r="E40" s="383">
        <v>0.38</v>
      </c>
      <c r="F40" s="382" t="e">
        <f t="shared" si="0"/>
        <v>#DIV/0!</v>
      </c>
      <c r="G40" s="382"/>
      <c r="H40" s="383"/>
      <c r="I40" s="383"/>
      <c r="J40" s="381"/>
      <c r="K40" s="381"/>
      <c r="L40" s="380"/>
      <c r="M40" s="380"/>
      <c r="N40" s="379"/>
      <c r="O40" s="379"/>
    </row>
    <row r="41" spans="1:15">
      <c r="A41" s="384" t="s">
        <v>854</v>
      </c>
      <c r="B41" s="384" t="s">
        <v>887</v>
      </c>
      <c r="C41" s="392" t="s">
        <v>888</v>
      </c>
      <c r="D41" s="383" t="s">
        <v>88</v>
      </c>
      <c r="E41" s="383">
        <v>0.33</v>
      </c>
      <c r="F41" s="382" t="e">
        <f t="shared" si="0"/>
        <v>#DIV/0!</v>
      </c>
      <c r="G41" s="382"/>
      <c r="H41" s="383"/>
      <c r="I41" s="383"/>
      <c r="J41" s="381"/>
      <c r="K41" s="381"/>
      <c r="L41" s="380"/>
      <c r="M41" s="380"/>
      <c r="N41" s="379"/>
      <c r="O41" s="379"/>
    </row>
    <row r="42" spans="1:15">
      <c r="A42" s="384" t="s">
        <v>854</v>
      </c>
      <c r="B42" s="384" t="s">
        <v>889</v>
      </c>
      <c r="C42" s="392" t="s">
        <v>890</v>
      </c>
      <c r="D42" s="383" t="s">
        <v>114</v>
      </c>
      <c r="E42" s="383">
        <v>0.38</v>
      </c>
      <c r="F42" s="382" t="e">
        <f t="shared" si="0"/>
        <v>#DIV/0!</v>
      </c>
      <c r="G42" s="382"/>
      <c r="H42" s="383"/>
      <c r="I42" s="383"/>
      <c r="J42" s="381"/>
      <c r="K42" s="381"/>
      <c r="L42" s="380"/>
      <c r="M42" s="380"/>
      <c r="N42" s="379"/>
      <c r="O42" s="379"/>
    </row>
    <row r="43" spans="1:15">
      <c r="A43" s="384" t="s">
        <v>854</v>
      </c>
      <c r="B43" s="384" t="s">
        <v>187</v>
      </c>
      <c r="C43" s="392" t="s">
        <v>891</v>
      </c>
      <c r="D43" s="383" t="s">
        <v>180</v>
      </c>
      <c r="E43" s="383">
        <v>0.48</v>
      </c>
      <c r="F43" s="382" t="e">
        <f t="shared" si="0"/>
        <v>#DIV/0!</v>
      </c>
      <c r="G43" s="382"/>
      <c r="H43" s="383"/>
      <c r="I43" s="383"/>
      <c r="J43" s="381"/>
      <c r="K43" s="381"/>
      <c r="L43" s="380"/>
      <c r="M43" s="380"/>
      <c r="N43" s="379"/>
      <c r="O43" s="379"/>
    </row>
    <row r="44" spans="1:15">
      <c r="A44" s="384" t="s">
        <v>854</v>
      </c>
      <c r="B44" s="384" t="s">
        <v>724</v>
      </c>
      <c r="C44" s="392" t="s">
        <v>892</v>
      </c>
      <c r="D44" s="383" t="s">
        <v>114</v>
      </c>
      <c r="E44" s="383">
        <v>0.38</v>
      </c>
      <c r="F44" s="382" t="e">
        <f t="shared" si="0"/>
        <v>#DIV/0!</v>
      </c>
      <c r="G44" s="382"/>
      <c r="H44" s="383"/>
      <c r="I44" s="383"/>
      <c r="J44" s="381"/>
      <c r="K44" s="381"/>
      <c r="L44" s="380"/>
      <c r="M44" s="380"/>
      <c r="N44" s="379"/>
      <c r="O44" s="379"/>
    </row>
    <row r="45" spans="1:15">
      <c r="A45" s="384" t="s">
        <v>854</v>
      </c>
      <c r="B45" s="384" t="s">
        <v>893</v>
      </c>
      <c r="C45" s="392" t="s">
        <v>894</v>
      </c>
      <c r="D45" s="383" t="s">
        <v>114</v>
      </c>
      <c r="E45" s="383">
        <v>0.38</v>
      </c>
      <c r="F45" s="382" t="e">
        <f t="shared" si="0"/>
        <v>#DIV/0!</v>
      </c>
      <c r="G45" s="382"/>
      <c r="H45" s="383"/>
      <c r="I45" s="383"/>
      <c r="J45" s="381"/>
      <c r="K45" s="381"/>
      <c r="L45" s="380"/>
      <c r="M45" s="380"/>
      <c r="N45" s="379"/>
      <c r="O45" s="379"/>
    </row>
    <row r="46" spans="1:15">
      <c r="A46" s="384" t="s">
        <v>854</v>
      </c>
      <c r="B46" s="384" t="s">
        <v>726</v>
      </c>
      <c r="C46" s="392" t="s">
        <v>895</v>
      </c>
      <c r="D46" s="383" t="s">
        <v>194</v>
      </c>
      <c r="E46" s="383">
        <v>0.5</v>
      </c>
      <c r="F46" s="382" t="e">
        <f t="shared" si="0"/>
        <v>#DIV/0!</v>
      </c>
      <c r="G46" s="382"/>
      <c r="H46" s="383"/>
      <c r="I46" s="383"/>
      <c r="J46" s="381"/>
      <c r="K46" s="381"/>
      <c r="L46" s="380"/>
      <c r="M46" s="380"/>
      <c r="N46" s="379"/>
      <c r="O46" s="379"/>
    </row>
    <row r="47" spans="1:15">
      <c r="A47" s="384" t="s">
        <v>854</v>
      </c>
      <c r="B47" s="384" t="s">
        <v>189</v>
      </c>
      <c r="C47" s="392" t="s">
        <v>896</v>
      </c>
      <c r="D47" s="383" t="s">
        <v>88</v>
      </c>
      <c r="E47" s="383">
        <v>0.33</v>
      </c>
      <c r="F47" s="382" t="e">
        <f t="shared" si="0"/>
        <v>#DIV/0!</v>
      </c>
      <c r="G47" s="382"/>
      <c r="H47" s="383"/>
      <c r="I47" s="383"/>
      <c r="J47" s="381"/>
      <c r="K47" s="381"/>
      <c r="L47" s="380"/>
      <c r="M47" s="380"/>
      <c r="N47" s="379"/>
      <c r="O47" s="379"/>
    </row>
    <row r="48" spans="1:15">
      <c r="A48" s="384" t="s">
        <v>854</v>
      </c>
      <c r="B48" s="384" t="s">
        <v>197</v>
      </c>
      <c r="C48" s="392" t="s">
        <v>897</v>
      </c>
      <c r="D48" s="383" t="s">
        <v>160</v>
      </c>
      <c r="E48" s="383">
        <v>0.41</v>
      </c>
      <c r="F48" s="382" t="e">
        <f t="shared" si="0"/>
        <v>#DIV/0!</v>
      </c>
      <c r="G48" s="382"/>
      <c r="H48" s="383"/>
      <c r="I48" s="383"/>
      <c r="J48" s="381"/>
      <c r="K48" s="381"/>
      <c r="L48" s="380"/>
      <c r="M48" s="380"/>
      <c r="N48" s="379"/>
      <c r="O48" s="379"/>
    </row>
    <row r="49" spans="1:15">
      <c r="A49" s="384" t="s">
        <v>854</v>
      </c>
      <c r="B49" s="384" t="s">
        <v>200</v>
      </c>
      <c r="C49" s="392" t="s">
        <v>898</v>
      </c>
      <c r="D49" s="383" t="s">
        <v>88</v>
      </c>
      <c r="E49" s="383">
        <v>0.33</v>
      </c>
      <c r="F49" s="382" t="e">
        <f t="shared" si="0"/>
        <v>#DIV/0!</v>
      </c>
      <c r="G49" s="382"/>
      <c r="H49" s="383"/>
      <c r="I49" s="383"/>
      <c r="J49" s="381"/>
      <c r="K49" s="381"/>
      <c r="L49" s="380"/>
      <c r="M49" s="380"/>
      <c r="N49" s="379"/>
      <c r="O49" s="379"/>
    </row>
    <row r="50" spans="1:15">
      <c r="A50" s="384" t="s">
        <v>854</v>
      </c>
      <c r="B50" s="384" t="s">
        <v>899</v>
      </c>
      <c r="C50" s="392" t="s">
        <v>900</v>
      </c>
      <c r="D50" s="383" t="s">
        <v>114</v>
      </c>
      <c r="E50" s="383">
        <v>0.38</v>
      </c>
      <c r="F50" s="382" t="e">
        <f t="shared" si="0"/>
        <v>#DIV/0!</v>
      </c>
      <c r="G50" s="382"/>
      <c r="H50" s="383"/>
      <c r="I50" s="383"/>
      <c r="J50" s="381"/>
      <c r="K50" s="381"/>
      <c r="L50" s="380"/>
      <c r="M50" s="380"/>
      <c r="N50" s="379"/>
      <c r="O50" s="379"/>
    </row>
    <row r="51" spans="1:15">
      <c r="A51" s="384" t="s">
        <v>854</v>
      </c>
      <c r="B51" s="384" t="s">
        <v>202</v>
      </c>
      <c r="C51" s="392" t="s">
        <v>901</v>
      </c>
      <c r="D51" s="383" t="s">
        <v>99</v>
      </c>
      <c r="E51" s="383">
        <v>0.44</v>
      </c>
      <c r="F51" s="382" t="e">
        <f t="shared" si="0"/>
        <v>#DIV/0!</v>
      </c>
      <c r="G51" s="382"/>
      <c r="H51" s="383"/>
      <c r="I51" s="383"/>
      <c r="J51" s="381"/>
      <c r="K51" s="381"/>
      <c r="L51" s="380"/>
      <c r="M51" s="380"/>
      <c r="N51" s="379"/>
      <c r="O51" s="379"/>
    </row>
    <row r="52" spans="1:15">
      <c r="A52" s="384" t="s">
        <v>854</v>
      </c>
      <c r="B52" s="384" t="s">
        <v>205</v>
      </c>
      <c r="C52" s="392" t="s">
        <v>902</v>
      </c>
      <c r="D52" s="383" t="s">
        <v>160</v>
      </c>
      <c r="E52" s="383">
        <v>0.41</v>
      </c>
      <c r="F52" s="382">
        <f t="shared" si="0"/>
        <v>0.34</v>
      </c>
      <c r="G52" s="382"/>
      <c r="H52" s="383"/>
      <c r="I52" s="383"/>
      <c r="J52" s="381"/>
      <c r="K52" s="381"/>
      <c r="L52" s="380"/>
      <c r="M52" s="380"/>
      <c r="N52" s="379">
        <v>0.34</v>
      </c>
      <c r="O52" s="379"/>
    </row>
    <row r="53" spans="1:15">
      <c r="A53" s="384" t="s">
        <v>854</v>
      </c>
      <c r="B53" s="384" t="s">
        <v>903</v>
      </c>
      <c r="C53" s="392" t="s">
        <v>904</v>
      </c>
      <c r="D53" s="383" t="s">
        <v>88</v>
      </c>
      <c r="E53" s="383">
        <v>0.33</v>
      </c>
      <c r="F53" s="382" t="e">
        <f t="shared" si="0"/>
        <v>#DIV/0!</v>
      </c>
      <c r="G53" s="382"/>
      <c r="H53" s="383"/>
      <c r="I53" s="383"/>
      <c r="J53" s="381"/>
      <c r="K53" s="381"/>
      <c r="L53" s="380"/>
      <c r="M53" s="380"/>
      <c r="N53" s="379"/>
      <c r="O53" s="379"/>
    </row>
    <row r="54" spans="1:15">
      <c r="A54" s="384" t="s">
        <v>437</v>
      </c>
      <c r="B54" s="384" t="s">
        <v>905</v>
      </c>
      <c r="C54" s="392" t="s">
        <v>906</v>
      </c>
      <c r="D54" s="383" t="s">
        <v>88</v>
      </c>
      <c r="E54" s="383">
        <v>0.33</v>
      </c>
      <c r="F54" s="382" t="e">
        <f t="shared" si="0"/>
        <v>#DIV/0!</v>
      </c>
      <c r="G54" s="382"/>
      <c r="H54" s="383"/>
      <c r="I54" s="383"/>
      <c r="J54" s="381"/>
      <c r="K54" s="381"/>
      <c r="L54" s="380"/>
      <c r="M54" s="380"/>
      <c r="N54" s="379"/>
      <c r="O54" s="379"/>
    </row>
    <row r="55" spans="1:15">
      <c r="A55" s="384" t="s">
        <v>437</v>
      </c>
      <c r="B55" s="384" t="s">
        <v>451</v>
      </c>
      <c r="C55" s="392" t="s">
        <v>452</v>
      </c>
      <c r="D55" s="383" t="s">
        <v>453</v>
      </c>
      <c r="E55" s="383">
        <v>0.5</v>
      </c>
      <c r="F55" s="382">
        <f t="shared" si="0"/>
        <v>0.52</v>
      </c>
      <c r="G55" s="382"/>
      <c r="H55" s="383"/>
      <c r="I55" s="383"/>
      <c r="J55" s="381"/>
      <c r="K55" s="381"/>
      <c r="L55" s="380"/>
      <c r="M55" s="380"/>
      <c r="N55" s="379">
        <v>0.52</v>
      </c>
      <c r="O55" s="379"/>
    </row>
    <row r="56" spans="1:15">
      <c r="A56" s="384" t="s">
        <v>437</v>
      </c>
      <c r="B56" s="384" t="s">
        <v>454</v>
      </c>
      <c r="C56" s="392" t="s">
        <v>455</v>
      </c>
      <c r="D56" s="383" t="s">
        <v>129</v>
      </c>
      <c r="E56" s="383">
        <v>0.45</v>
      </c>
      <c r="F56" s="382" t="e">
        <f t="shared" si="0"/>
        <v>#DIV/0!</v>
      </c>
      <c r="G56" s="382"/>
      <c r="H56" s="383"/>
      <c r="I56" s="383"/>
      <c r="J56" s="381"/>
      <c r="K56" s="381"/>
      <c r="L56" s="380"/>
      <c r="M56" s="380"/>
      <c r="N56" s="379"/>
      <c r="O56" s="379"/>
    </row>
    <row r="57" spans="1:15">
      <c r="A57" s="384" t="s">
        <v>437</v>
      </c>
      <c r="B57" s="384" t="s">
        <v>457</v>
      </c>
      <c r="C57" s="392" t="s">
        <v>907</v>
      </c>
      <c r="D57" s="383" t="s">
        <v>88</v>
      </c>
      <c r="E57" s="383">
        <v>0.33</v>
      </c>
      <c r="F57" s="382">
        <f t="shared" si="0"/>
        <v>0.26</v>
      </c>
      <c r="G57" s="382"/>
      <c r="H57" s="383"/>
      <c r="I57" s="383"/>
      <c r="J57" s="381"/>
      <c r="K57" s="381"/>
      <c r="L57" s="380"/>
      <c r="M57" s="380"/>
      <c r="N57" s="379">
        <v>0.26</v>
      </c>
      <c r="O57" s="379"/>
    </row>
    <row r="58" spans="1:15">
      <c r="A58" s="384" t="s">
        <v>437</v>
      </c>
      <c r="B58" s="384" t="s">
        <v>459</v>
      </c>
      <c r="C58" s="392" t="s">
        <v>460</v>
      </c>
      <c r="D58" s="383" t="s">
        <v>160</v>
      </c>
      <c r="E58" s="383">
        <v>0.41</v>
      </c>
      <c r="F58" s="382">
        <f t="shared" si="0"/>
        <v>0.33</v>
      </c>
      <c r="G58" s="382"/>
      <c r="H58" s="383"/>
      <c r="I58" s="383"/>
      <c r="J58" s="381"/>
      <c r="K58" s="381"/>
      <c r="L58" s="380"/>
      <c r="M58" s="380"/>
      <c r="N58" s="379">
        <v>0.33</v>
      </c>
      <c r="O58" s="379"/>
    </row>
    <row r="59" spans="1:15">
      <c r="A59" s="384" t="s">
        <v>437</v>
      </c>
      <c r="B59" s="384" t="s">
        <v>908</v>
      </c>
      <c r="C59" s="392" t="s">
        <v>909</v>
      </c>
      <c r="D59" s="383" t="s">
        <v>88</v>
      </c>
      <c r="E59" s="383">
        <v>0.33</v>
      </c>
      <c r="F59" s="382">
        <f t="shared" si="0"/>
        <v>0.26</v>
      </c>
      <c r="G59" s="382"/>
      <c r="H59" s="383"/>
      <c r="I59" s="383"/>
      <c r="J59" s="381"/>
      <c r="K59" s="381"/>
      <c r="L59" s="380"/>
      <c r="M59" s="380"/>
      <c r="N59" s="379">
        <v>0.26</v>
      </c>
      <c r="O59" s="379"/>
    </row>
    <row r="60" spans="1:15">
      <c r="A60" s="384" t="s">
        <v>437</v>
      </c>
      <c r="B60" s="384" t="s">
        <v>461</v>
      </c>
      <c r="C60" s="392" t="s">
        <v>462</v>
      </c>
      <c r="D60" s="383" t="s">
        <v>129</v>
      </c>
      <c r="E60" s="383">
        <v>0.45</v>
      </c>
      <c r="F60" s="382" t="e">
        <f t="shared" si="0"/>
        <v>#DIV/0!</v>
      </c>
      <c r="G60" s="382"/>
      <c r="H60" s="383"/>
      <c r="I60" s="383"/>
      <c r="J60" s="381"/>
      <c r="K60" s="381"/>
      <c r="L60" s="380"/>
      <c r="M60" s="380"/>
      <c r="N60" s="379"/>
      <c r="O60" s="379"/>
    </row>
    <row r="61" spans="1:15">
      <c r="A61" s="384" t="s">
        <v>437</v>
      </c>
      <c r="B61" s="384" t="s">
        <v>910</v>
      </c>
      <c r="C61" s="392" t="s">
        <v>911</v>
      </c>
      <c r="D61" s="383" t="s">
        <v>88</v>
      </c>
      <c r="E61" s="383">
        <v>0.33</v>
      </c>
      <c r="F61" s="382" t="e">
        <f t="shared" si="0"/>
        <v>#DIV/0!</v>
      </c>
      <c r="G61" s="382"/>
      <c r="H61" s="383"/>
      <c r="I61" s="383"/>
      <c r="J61" s="381"/>
      <c r="K61" s="381"/>
      <c r="L61" s="380"/>
      <c r="M61" s="380"/>
      <c r="N61" s="379"/>
      <c r="O61" s="379"/>
    </row>
    <row r="62" spans="1:15">
      <c r="A62" s="384" t="s">
        <v>437</v>
      </c>
      <c r="B62" s="384" t="s">
        <v>463</v>
      </c>
      <c r="C62" s="392" t="s">
        <v>464</v>
      </c>
      <c r="D62" s="383" t="s">
        <v>465</v>
      </c>
      <c r="E62" s="383">
        <v>0.4</v>
      </c>
      <c r="F62" s="382">
        <f t="shared" si="0"/>
        <v>0.4</v>
      </c>
      <c r="G62" s="382"/>
      <c r="H62" s="383"/>
      <c r="I62" s="383"/>
      <c r="J62" s="381"/>
      <c r="K62" s="381"/>
      <c r="L62" s="380"/>
      <c r="M62" s="380"/>
      <c r="N62" s="379">
        <v>0.4</v>
      </c>
      <c r="O62" s="379"/>
    </row>
    <row r="63" spans="1:15">
      <c r="A63" s="384" t="s">
        <v>262</v>
      </c>
      <c r="B63" s="384" t="s">
        <v>263</v>
      </c>
      <c r="C63" s="392" t="s">
        <v>912</v>
      </c>
      <c r="D63" s="383" t="s">
        <v>148</v>
      </c>
      <c r="E63" s="383">
        <v>0.35</v>
      </c>
      <c r="F63" s="382" t="e">
        <f t="shared" si="0"/>
        <v>#DIV/0!</v>
      </c>
      <c r="G63" s="382"/>
      <c r="H63" s="383"/>
      <c r="I63" s="383"/>
      <c r="J63" s="381"/>
      <c r="K63" s="381"/>
      <c r="L63" s="380"/>
      <c r="M63" s="380"/>
      <c r="N63" s="379"/>
      <c r="O63" s="379"/>
    </row>
    <row r="64" spans="1:15">
      <c r="A64" s="384" t="s">
        <v>262</v>
      </c>
      <c r="B64" s="384" t="s">
        <v>913</v>
      </c>
      <c r="C64" s="392" t="s">
        <v>914</v>
      </c>
      <c r="D64" s="383" t="s">
        <v>148</v>
      </c>
      <c r="E64" s="383">
        <v>0.35</v>
      </c>
      <c r="F64" s="382" t="e">
        <f t="shared" si="0"/>
        <v>#DIV/0!</v>
      </c>
      <c r="G64" s="382"/>
      <c r="H64" s="383"/>
      <c r="I64" s="383"/>
      <c r="J64" s="381"/>
      <c r="K64" s="381"/>
      <c r="L64" s="380"/>
      <c r="M64" s="380"/>
      <c r="N64" s="379"/>
      <c r="O64" s="379"/>
    </row>
    <row r="65" spans="1:15">
      <c r="A65" s="384" t="s">
        <v>262</v>
      </c>
      <c r="B65" s="384" t="s">
        <v>915</v>
      </c>
      <c r="C65" s="392" t="s">
        <v>916</v>
      </c>
      <c r="D65" s="383" t="s">
        <v>148</v>
      </c>
      <c r="E65" s="383">
        <v>0.35</v>
      </c>
      <c r="F65" s="382" t="e">
        <f t="shared" si="0"/>
        <v>#DIV/0!</v>
      </c>
      <c r="G65" s="382"/>
      <c r="H65" s="383"/>
      <c r="I65" s="383"/>
      <c r="J65" s="381"/>
      <c r="K65" s="381"/>
      <c r="L65" s="380"/>
      <c r="M65" s="380"/>
      <c r="N65" s="379"/>
      <c r="O65" s="379"/>
    </row>
    <row r="66" spans="1:15">
      <c r="A66" s="384" t="s">
        <v>262</v>
      </c>
      <c r="B66" s="384" t="s">
        <v>744</v>
      </c>
      <c r="C66" s="392" t="s">
        <v>917</v>
      </c>
      <c r="D66" s="383" t="s">
        <v>546</v>
      </c>
      <c r="E66" s="383">
        <v>0.3</v>
      </c>
      <c r="F66" s="382" t="e">
        <f t="shared" ref="F66:F129" si="1">AVERAGE(J66:O66)</f>
        <v>#DIV/0!</v>
      </c>
      <c r="G66" s="382"/>
      <c r="H66" s="383"/>
      <c r="I66" s="383"/>
      <c r="J66" s="381"/>
      <c r="K66" s="381"/>
      <c r="L66" s="380"/>
      <c r="M66" s="380"/>
      <c r="N66" s="379"/>
      <c r="O66" s="379"/>
    </row>
    <row r="67" spans="1:15">
      <c r="A67" s="384" t="s">
        <v>262</v>
      </c>
      <c r="B67" s="384" t="s">
        <v>270</v>
      </c>
      <c r="C67" s="392" t="s">
        <v>918</v>
      </c>
      <c r="D67" s="383" t="s">
        <v>272</v>
      </c>
      <c r="E67" s="383">
        <v>0.45</v>
      </c>
      <c r="F67" s="382" t="e">
        <f t="shared" si="1"/>
        <v>#DIV/0!</v>
      </c>
      <c r="G67" s="382"/>
      <c r="H67" s="383"/>
      <c r="I67" s="383"/>
      <c r="J67" s="381"/>
      <c r="K67" s="381"/>
      <c r="L67" s="380"/>
      <c r="M67" s="380"/>
      <c r="N67" s="379"/>
      <c r="O67" s="379"/>
    </row>
    <row r="68" spans="1:15">
      <c r="A68" s="384" t="s">
        <v>262</v>
      </c>
      <c r="B68" s="384" t="s">
        <v>919</v>
      </c>
      <c r="C68" s="392" t="s">
        <v>920</v>
      </c>
      <c r="D68" s="383" t="s">
        <v>261</v>
      </c>
      <c r="E68" s="383">
        <v>0.38</v>
      </c>
      <c r="F68" s="382">
        <f t="shared" si="1"/>
        <v>0.33</v>
      </c>
      <c r="G68" s="382"/>
      <c r="H68" s="383"/>
      <c r="I68" s="383"/>
      <c r="J68" s="381"/>
      <c r="K68" s="381"/>
      <c r="L68" s="380"/>
      <c r="M68" s="380"/>
      <c r="N68" s="379">
        <v>0.33</v>
      </c>
      <c r="O68" s="379"/>
    </row>
    <row r="69" spans="1:15">
      <c r="A69" s="384" t="s">
        <v>262</v>
      </c>
      <c r="B69" s="384" t="s">
        <v>276</v>
      </c>
      <c r="C69" s="392" t="s">
        <v>921</v>
      </c>
      <c r="D69" s="383" t="s">
        <v>148</v>
      </c>
      <c r="E69" s="383">
        <v>0.35</v>
      </c>
      <c r="F69" s="382" t="e">
        <f t="shared" si="1"/>
        <v>#DIV/0!</v>
      </c>
      <c r="G69" s="382"/>
      <c r="H69" s="383"/>
      <c r="I69" s="383"/>
      <c r="J69" s="381"/>
      <c r="K69" s="381"/>
      <c r="L69" s="380"/>
      <c r="M69" s="380"/>
      <c r="N69" s="379"/>
      <c r="O69" s="379"/>
    </row>
    <row r="70" spans="1:15">
      <c r="A70" s="384" t="s">
        <v>262</v>
      </c>
      <c r="B70" s="384" t="s">
        <v>278</v>
      </c>
      <c r="C70" s="392" t="s">
        <v>922</v>
      </c>
      <c r="D70" s="383" t="s">
        <v>261</v>
      </c>
      <c r="E70" s="383">
        <v>0.38</v>
      </c>
      <c r="F70" s="382" t="e">
        <f t="shared" si="1"/>
        <v>#DIV/0!</v>
      </c>
      <c r="G70" s="382"/>
      <c r="H70" s="383"/>
      <c r="I70" s="383"/>
      <c r="J70" s="381"/>
      <c r="K70" s="381"/>
      <c r="L70" s="380"/>
      <c r="M70" s="380"/>
      <c r="N70" s="379"/>
      <c r="O70" s="379"/>
    </row>
    <row r="71" spans="1:15">
      <c r="A71" s="384" t="s">
        <v>262</v>
      </c>
      <c r="B71" s="384" t="s">
        <v>278</v>
      </c>
      <c r="C71" s="392" t="s">
        <v>923</v>
      </c>
      <c r="D71" s="383" t="s">
        <v>261</v>
      </c>
      <c r="E71" s="383">
        <v>0.38</v>
      </c>
      <c r="F71" s="382" t="e">
        <f t="shared" si="1"/>
        <v>#DIV/0!</v>
      </c>
      <c r="G71" s="382"/>
      <c r="H71" s="383"/>
      <c r="I71" s="383"/>
      <c r="J71" s="381"/>
      <c r="K71" s="381"/>
      <c r="L71" s="380"/>
      <c r="M71" s="380"/>
      <c r="N71" s="379"/>
      <c r="O71" s="379"/>
    </row>
    <row r="72" spans="1:15">
      <c r="A72" s="384" t="s">
        <v>262</v>
      </c>
      <c r="B72" s="384" t="s">
        <v>278</v>
      </c>
      <c r="C72" s="392" t="s">
        <v>924</v>
      </c>
      <c r="D72" s="383" t="s">
        <v>261</v>
      </c>
      <c r="E72" s="383">
        <v>0.38</v>
      </c>
      <c r="F72" s="382">
        <f t="shared" si="1"/>
        <v>0.44</v>
      </c>
      <c r="G72" s="382"/>
      <c r="H72" s="383"/>
      <c r="I72" s="383"/>
      <c r="J72" s="381"/>
      <c r="K72" s="381"/>
      <c r="L72" s="380"/>
      <c r="M72" s="380"/>
      <c r="N72" s="379">
        <v>0.44</v>
      </c>
      <c r="O72" s="379"/>
    </row>
    <row r="73" spans="1:15">
      <c r="A73" s="384" t="s">
        <v>262</v>
      </c>
      <c r="B73" s="384" t="s">
        <v>278</v>
      </c>
      <c r="C73" s="392" t="s">
        <v>925</v>
      </c>
      <c r="D73" s="383" t="s">
        <v>261</v>
      </c>
      <c r="E73" s="383">
        <v>0.38</v>
      </c>
      <c r="F73" s="382">
        <f t="shared" si="1"/>
        <v>0.46</v>
      </c>
      <c r="G73" s="382"/>
      <c r="H73" s="383"/>
      <c r="I73" s="383"/>
      <c r="J73" s="381"/>
      <c r="K73" s="381"/>
      <c r="L73" s="380"/>
      <c r="M73" s="380"/>
      <c r="N73" s="379">
        <v>0.46</v>
      </c>
      <c r="O73" s="379"/>
    </row>
    <row r="74" spans="1:15">
      <c r="A74" s="384" t="s">
        <v>262</v>
      </c>
      <c r="B74" s="384" t="s">
        <v>278</v>
      </c>
      <c r="C74" s="392" t="s">
        <v>926</v>
      </c>
      <c r="D74" s="383" t="s">
        <v>261</v>
      </c>
      <c r="E74" s="383">
        <v>0.38</v>
      </c>
      <c r="F74" s="382">
        <f t="shared" si="1"/>
        <v>0.28999999999999998</v>
      </c>
      <c r="G74" s="382"/>
      <c r="H74" s="383"/>
      <c r="I74" s="383"/>
      <c r="J74" s="381"/>
      <c r="K74" s="381"/>
      <c r="L74" s="380"/>
      <c r="M74" s="380"/>
      <c r="N74" s="379">
        <v>0.28999999999999998</v>
      </c>
      <c r="O74" s="379"/>
    </row>
    <row r="75" spans="1:15">
      <c r="A75" s="384" t="s">
        <v>262</v>
      </c>
      <c r="B75" s="384" t="s">
        <v>291</v>
      </c>
      <c r="C75" s="392" t="s">
        <v>927</v>
      </c>
      <c r="D75" s="383" t="s">
        <v>156</v>
      </c>
      <c r="E75" s="383">
        <v>0.32</v>
      </c>
      <c r="F75" s="382" t="e">
        <f t="shared" si="1"/>
        <v>#DIV/0!</v>
      </c>
      <c r="G75" s="382"/>
      <c r="H75" s="383"/>
      <c r="I75" s="383"/>
      <c r="J75" s="381"/>
      <c r="K75" s="381"/>
      <c r="L75" s="380"/>
      <c r="M75" s="380"/>
      <c r="N75" s="379"/>
      <c r="O75" s="379"/>
    </row>
    <row r="76" spans="1:15">
      <c r="A76" s="384" t="s">
        <v>437</v>
      </c>
      <c r="B76" s="384" t="s">
        <v>468</v>
      </c>
      <c r="C76" s="392" t="s">
        <v>469</v>
      </c>
      <c r="D76" s="383" t="s">
        <v>470</v>
      </c>
      <c r="E76" s="383">
        <v>0.3</v>
      </c>
      <c r="F76" s="382">
        <f t="shared" si="1"/>
        <v>0.32</v>
      </c>
      <c r="G76" s="382"/>
      <c r="H76" s="383"/>
      <c r="I76" s="383"/>
      <c r="J76" s="381"/>
      <c r="K76" s="381"/>
      <c r="L76" s="380"/>
      <c r="M76" s="380"/>
      <c r="N76" s="379">
        <v>0.32</v>
      </c>
      <c r="O76" s="379"/>
    </row>
    <row r="77" spans="1:15">
      <c r="A77" s="384" t="s">
        <v>437</v>
      </c>
      <c r="B77" s="384" t="s">
        <v>472</v>
      </c>
      <c r="C77" s="392" t="s">
        <v>473</v>
      </c>
      <c r="D77" s="383" t="s">
        <v>228</v>
      </c>
      <c r="E77" s="383">
        <v>0.4</v>
      </c>
      <c r="F77" s="382">
        <f t="shared" si="1"/>
        <v>0.57999999999999996</v>
      </c>
      <c r="G77" s="382"/>
      <c r="H77" s="383"/>
      <c r="I77" s="383"/>
      <c r="J77" s="381"/>
      <c r="K77" s="381"/>
      <c r="L77" s="380"/>
      <c r="M77" s="380"/>
      <c r="N77" s="379">
        <v>0.57999999999999996</v>
      </c>
      <c r="O77" s="379"/>
    </row>
    <row r="78" spans="1:15">
      <c r="A78" s="384" t="s">
        <v>437</v>
      </c>
      <c r="B78" s="384" t="s">
        <v>476</v>
      </c>
      <c r="C78" s="392" t="s">
        <v>928</v>
      </c>
      <c r="D78" s="383" t="s">
        <v>99</v>
      </c>
      <c r="E78" s="383">
        <v>0.44</v>
      </c>
      <c r="F78" s="382">
        <f t="shared" si="1"/>
        <v>0.32</v>
      </c>
      <c r="G78" s="382"/>
      <c r="H78" s="383"/>
      <c r="I78" s="383"/>
      <c r="J78" s="381"/>
      <c r="K78" s="381"/>
      <c r="L78" s="380"/>
      <c r="M78" s="380"/>
      <c r="N78" s="379">
        <v>0.32</v>
      </c>
      <c r="O78" s="379"/>
    </row>
    <row r="79" spans="1:15">
      <c r="A79" s="384" t="s">
        <v>437</v>
      </c>
      <c r="B79" s="384" t="s">
        <v>481</v>
      </c>
      <c r="C79" s="392" t="s">
        <v>482</v>
      </c>
      <c r="D79" s="383" t="s">
        <v>114</v>
      </c>
      <c r="E79" s="383">
        <v>0.38</v>
      </c>
      <c r="F79" s="382" t="e">
        <f t="shared" si="1"/>
        <v>#DIV/0!</v>
      </c>
      <c r="G79" s="382"/>
      <c r="H79" s="383"/>
      <c r="I79" s="383"/>
      <c r="J79" s="381"/>
      <c r="K79" s="381"/>
      <c r="L79" s="380"/>
      <c r="M79" s="380"/>
      <c r="N79" s="379"/>
      <c r="O79" s="379"/>
    </row>
    <row r="80" spans="1:15">
      <c r="A80" s="384" t="s">
        <v>437</v>
      </c>
      <c r="B80" s="384" t="s">
        <v>483</v>
      </c>
      <c r="C80" s="392" t="s">
        <v>484</v>
      </c>
      <c r="D80" s="383" t="s">
        <v>114</v>
      </c>
      <c r="E80" s="383">
        <v>0.38</v>
      </c>
      <c r="F80" s="382" t="e">
        <f t="shared" si="1"/>
        <v>#DIV/0!</v>
      </c>
      <c r="G80" s="382"/>
      <c r="H80" s="383"/>
      <c r="I80" s="383"/>
      <c r="J80" s="381"/>
      <c r="K80" s="381"/>
      <c r="L80" s="380"/>
      <c r="M80" s="380"/>
      <c r="N80" s="379"/>
      <c r="O80" s="379"/>
    </row>
    <row r="81" spans="1:15">
      <c r="A81" s="384" t="s">
        <v>437</v>
      </c>
      <c r="B81" s="384" t="s">
        <v>798</v>
      </c>
      <c r="C81" s="392" t="s">
        <v>799</v>
      </c>
      <c r="D81" s="383" t="s">
        <v>800</v>
      </c>
      <c r="E81" s="383">
        <v>0.4</v>
      </c>
      <c r="F81" s="382" t="e">
        <f t="shared" si="1"/>
        <v>#DIV/0!</v>
      </c>
      <c r="G81" s="382"/>
      <c r="H81" s="383"/>
      <c r="I81" s="383"/>
      <c r="J81" s="381"/>
      <c r="K81" s="381"/>
      <c r="L81" s="380"/>
      <c r="M81" s="380"/>
      <c r="N81" s="379"/>
      <c r="O81" s="379"/>
    </row>
    <row r="82" spans="1:15">
      <c r="A82" s="384" t="s">
        <v>262</v>
      </c>
      <c r="B82" s="384" t="s">
        <v>295</v>
      </c>
      <c r="C82" s="392" t="s">
        <v>929</v>
      </c>
      <c r="D82" s="383" t="s">
        <v>261</v>
      </c>
      <c r="E82" s="383">
        <v>0.38</v>
      </c>
      <c r="F82" s="382" t="e">
        <f t="shared" si="1"/>
        <v>#DIV/0!</v>
      </c>
      <c r="G82" s="382"/>
      <c r="H82" s="383"/>
      <c r="I82" s="383"/>
      <c r="J82" s="381"/>
      <c r="K82" s="381"/>
      <c r="L82" s="380"/>
      <c r="M82" s="380"/>
      <c r="N82" s="379"/>
      <c r="O82" s="379"/>
    </row>
    <row r="83" spans="1:15">
      <c r="A83" s="384" t="s">
        <v>262</v>
      </c>
      <c r="B83" s="384" t="s">
        <v>300</v>
      </c>
      <c r="C83" s="392" t="s">
        <v>930</v>
      </c>
      <c r="D83" s="383" t="s">
        <v>261</v>
      </c>
      <c r="E83" s="383">
        <v>0.38</v>
      </c>
      <c r="F83" s="382" t="e">
        <f t="shared" si="1"/>
        <v>#DIV/0!</v>
      </c>
      <c r="G83" s="382"/>
      <c r="H83" s="383"/>
      <c r="I83" s="383"/>
      <c r="J83" s="381"/>
      <c r="K83" s="381"/>
      <c r="L83" s="380"/>
      <c r="M83" s="380"/>
      <c r="N83" s="379"/>
      <c r="O83" s="379"/>
    </row>
    <row r="84" spans="1:15">
      <c r="A84" s="384" t="s">
        <v>262</v>
      </c>
      <c r="B84" s="384" t="s">
        <v>931</v>
      </c>
      <c r="C84" s="392" t="s">
        <v>932</v>
      </c>
      <c r="D84" s="383" t="s">
        <v>160</v>
      </c>
      <c r="E84" s="383">
        <v>0.41</v>
      </c>
      <c r="F84" s="382" t="e">
        <f t="shared" si="1"/>
        <v>#DIV/0!</v>
      </c>
      <c r="G84" s="382"/>
      <c r="H84" s="383"/>
      <c r="I84" s="383"/>
      <c r="J84" s="381"/>
      <c r="K84" s="381"/>
      <c r="L84" s="380"/>
      <c r="M84" s="380"/>
      <c r="N84" s="379"/>
      <c r="O84" s="379"/>
    </row>
    <row r="85" spans="1:15">
      <c r="A85" s="384" t="s">
        <v>262</v>
      </c>
      <c r="B85" s="384" t="s">
        <v>302</v>
      </c>
      <c r="C85" s="392" t="s">
        <v>933</v>
      </c>
      <c r="D85" s="383" t="s">
        <v>160</v>
      </c>
      <c r="E85" s="383">
        <v>0.41</v>
      </c>
      <c r="F85" s="382" t="e">
        <f t="shared" si="1"/>
        <v>#DIV/0!</v>
      </c>
      <c r="G85" s="382"/>
      <c r="H85" s="383"/>
      <c r="I85" s="383"/>
      <c r="J85" s="381"/>
      <c r="K85" s="381"/>
      <c r="L85" s="380"/>
      <c r="M85" s="380"/>
      <c r="N85" s="379"/>
      <c r="O85" s="379"/>
    </row>
    <row r="86" spans="1:15">
      <c r="A86" s="384" t="s">
        <v>262</v>
      </c>
      <c r="B86" s="384" t="s">
        <v>304</v>
      </c>
      <c r="C86" s="392" t="s">
        <v>934</v>
      </c>
      <c r="D86" s="383" t="s">
        <v>160</v>
      </c>
      <c r="E86" s="383">
        <v>0.41</v>
      </c>
      <c r="F86" s="382" t="e">
        <f t="shared" si="1"/>
        <v>#DIV/0!</v>
      </c>
      <c r="G86" s="382"/>
      <c r="H86" s="383"/>
      <c r="I86" s="383"/>
      <c r="J86" s="381"/>
      <c r="K86" s="381"/>
      <c r="L86" s="380"/>
      <c r="M86" s="380"/>
      <c r="N86" s="379"/>
      <c r="O86" s="379"/>
    </row>
    <row r="87" spans="1:15">
      <c r="A87" s="384" t="s">
        <v>262</v>
      </c>
      <c r="B87" s="384" t="s">
        <v>935</v>
      </c>
      <c r="C87" s="392" t="s">
        <v>936</v>
      </c>
      <c r="D87" s="383" t="s">
        <v>160</v>
      </c>
      <c r="E87" s="383">
        <v>0.41</v>
      </c>
      <c r="F87" s="382" t="e">
        <f t="shared" si="1"/>
        <v>#DIV/0!</v>
      </c>
      <c r="G87" s="382"/>
      <c r="H87" s="383"/>
      <c r="I87" s="383"/>
      <c r="J87" s="381"/>
      <c r="K87" s="381"/>
      <c r="L87" s="380"/>
      <c r="M87" s="380"/>
      <c r="N87" s="379"/>
      <c r="O87" s="379"/>
    </row>
    <row r="88" spans="1:15">
      <c r="A88" s="384" t="s">
        <v>262</v>
      </c>
      <c r="B88" s="384" t="s">
        <v>757</v>
      </c>
      <c r="C88" s="392" t="s">
        <v>937</v>
      </c>
      <c r="D88" s="383" t="s">
        <v>330</v>
      </c>
      <c r="E88" s="383">
        <v>0.55000000000000004</v>
      </c>
      <c r="F88" s="382" t="e">
        <f t="shared" si="1"/>
        <v>#DIV/0!</v>
      </c>
      <c r="G88" s="382"/>
      <c r="H88" s="383"/>
      <c r="I88" s="383"/>
      <c r="J88" s="381"/>
      <c r="K88" s="381"/>
      <c r="L88" s="380"/>
      <c r="M88" s="380"/>
      <c r="N88" s="379"/>
      <c r="O88" s="379"/>
    </row>
    <row r="89" spans="1:15">
      <c r="A89" s="384" t="s">
        <v>262</v>
      </c>
      <c r="B89" s="384" t="s">
        <v>938</v>
      </c>
      <c r="C89" s="392" t="s">
        <v>939</v>
      </c>
      <c r="D89" s="383" t="s">
        <v>940</v>
      </c>
      <c r="E89" s="383"/>
      <c r="F89" s="382" t="e">
        <f t="shared" si="1"/>
        <v>#DIV/0!</v>
      </c>
      <c r="G89" s="382"/>
      <c r="H89" s="383"/>
      <c r="I89" s="383"/>
      <c r="J89" s="381"/>
      <c r="K89" s="381"/>
      <c r="L89" s="380"/>
      <c r="M89" s="380"/>
      <c r="N89" s="379"/>
      <c r="O89" s="379"/>
    </row>
    <row r="90" spans="1:15">
      <c r="A90" s="384" t="s">
        <v>262</v>
      </c>
      <c r="B90" s="384" t="s">
        <v>306</v>
      </c>
      <c r="C90" s="392" t="s">
        <v>941</v>
      </c>
      <c r="D90" s="383" t="s">
        <v>261</v>
      </c>
      <c r="E90" s="383">
        <v>0.38</v>
      </c>
      <c r="F90" s="382" t="e">
        <f t="shared" si="1"/>
        <v>#DIV/0!</v>
      </c>
      <c r="G90" s="382"/>
      <c r="H90" s="383"/>
      <c r="I90" s="383"/>
      <c r="J90" s="381"/>
      <c r="K90" s="381"/>
      <c r="L90" s="380"/>
      <c r="M90" s="380"/>
      <c r="N90" s="379"/>
      <c r="O90" s="379"/>
    </row>
    <row r="91" spans="1:15">
      <c r="A91" s="384" t="s">
        <v>262</v>
      </c>
      <c r="B91" s="384" t="s">
        <v>308</v>
      </c>
      <c r="C91" s="392" t="s">
        <v>942</v>
      </c>
      <c r="D91" s="383" t="s">
        <v>261</v>
      </c>
      <c r="E91" s="383">
        <v>0.38</v>
      </c>
      <c r="F91" s="382" t="e">
        <f t="shared" si="1"/>
        <v>#DIV/0!</v>
      </c>
      <c r="G91" s="382"/>
      <c r="H91" s="383"/>
      <c r="I91" s="383"/>
      <c r="J91" s="381"/>
      <c r="K91" s="381"/>
      <c r="L91" s="380"/>
      <c r="M91" s="380"/>
      <c r="N91" s="379"/>
      <c r="O91" s="379"/>
    </row>
    <row r="92" spans="1:15">
      <c r="A92" s="384" t="s">
        <v>262</v>
      </c>
      <c r="B92" s="384" t="s">
        <v>943</v>
      </c>
      <c r="C92" s="392" t="s">
        <v>944</v>
      </c>
      <c r="D92" s="383" t="s">
        <v>261</v>
      </c>
      <c r="E92" s="383">
        <v>0.38</v>
      </c>
      <c r="F92" s="382" t="e">
        <f t="shared" si="1"/>
        <v>#DIV/0!</v>
      </c>
      <c r="G92" s="382"/>
      <c r="H92" s="383"/>
      <c r="I92" s="383"/>
      <c r="J92" s="381"/>
      <c r="K92" s="381"/>
      <c r="L92" s="380"/>
      <c r="M92" s="380"/>
      <c r="N92" s="379"/>
      <c r="O92" s="379"/>
    </row>
    <row r="93" spans="1:15">
      <c r="A93" s="384" t="s">
        <v>262</v>
      </c>
      <c r="B93" s="384" t="s">
        <v>945</v>
      </c>
      <c r="C93" s="392" t="s">
        <v>946</v>
      </c>
      <c r="D93" s="383" t="s">
        <v>261</v>
      </c>
      <c r="E93" s="383">
        <v>0.38</v>
      </c>
      <c r="F93" s="382" t="e">
        <f t="shared" si="1"/>
        <v>#DIV/0!</v>
      </c>
      <c r="G93" s="382"/>
      <c r="H93" s="383"/>
      <c r="I93" s="383"/>
      <c r="J93" s="381"/>
      <c r="K93" s="381"/>
      <c r="L93" s="380"/>
      <c r="M93" s="380"/>
      <c r="N93" s="379"/>
      <c r="O93" s="379"/>
    </row>
    <row r="94" spans="1:15">
      <c r="A94" s="384" t="s">
        <v>262</v>
      </c>
      <c r="B94" s="384" t="s">
        <v>947</v>
      </c>
      <c r="C94" s="392" t="s">
        <v>948</v>
      </c>
      <c r="D94" s="383" t="s">
        <v>156</v>
      </c>
      <c r="E94" s="383">
        <v>0.32</v>
      </c>
      <c r="F94" s="382" t="e">
        <f t="shared" si="1"/>
        <v>#DIV/0!</v>
      </c>
      <c r="G94" s="382"/>
      <c r="H94" s="383"/>
      <c r="I94" s="383"/>
      <c r="J94" s="381"/>
      <c r="K94" s="381"/>
      <c r="L94" s="380"/>
      <c r="M94" s="380"/>
      <c r="N94" s="379"/>
      <c r="O94" s="379"/>
    </row>
    <row r="95" spans="1:15">
      <c r="A95" s="384" t="s">
        <v>262</v>
      </c>
      <c r="B95" s="384" t="s">
        <v>949</v>
      </c>
      <c r="C95" s="392" t="s">
        <v>950</v>
      </c>
      <c r="D95" s="383" t="s">
        <v>546</v>
      </c>
      <c r="E95" s="383">
        <v>0.3</v>
      </c>
      <c r="F95" s="382" t="e">
        <f t="shared" si="1"/>
        <v>#DIV/0!</v>
      </c>
      <c r="G95" s="382"/>
      <c r="H95" s="383"/>
      <c r="I95" s="383"/>
      <c r="J95" s="381"/>
      <c r="K95" s="381"/>
      <c r="L95" s="380"/>
      <c r="M95" s="380"/>
      <c r="N95" s="379"/>
      <c r="O95" s="379"/>
    </row>
    <row r="96" spans="1:15">
      <c r="A96" s="384" t="s">
        <v>262</v>
      </c>
      <c r="B96" s="384" t="s">
        <v>951</v>
      </c>
      <c r="C96" s="392" t="s">
        <v>952</v>
      </c>
      <c r="D96" s="383" t="s">
        <v>330</v>
      </c>
      <c r="E96" s="383">
        <v>0.55000000000000004</v>
      </c>
      <c r="F96" s="382" t="e">
        <f t="shared" si="1"/>
        <v>#DIV/0!</v>
      </c>
      <c r="G96" s="382"/>
      <c r="H96" s="383"/>
      <c r="I96" s="383"/>
      <c r="J96" s="381"/>
      <c r="K96" s="381"/>
      <c r="L96" s="380"/>
      <c r="M96" s="380"/>
      <c r="N96" s="379"/>
      <c r="O96" s="379"/>
    </row>
    <row r="97" spans="1:15">
      <c r="A97" s="384" t="s">
        <v>262</v>
      </c>
      <c r="B97" s="384" t="s">
        <v>953</v>
      </c>
      <c r="C97" s="392" t="s">
        <v>954</v>
      </c>
      <c r="D97" s="383" t="s">
        <v>160</v>
      </c>
      <c r="E97" s="383">
        <v>0.41</v>
      </c>
      <c r="F97" s="382" t="e">
        <f t="shared" si="1"/>
        <v>#DIV/0!</v>
      </c>
      <c r="G97" s="382"/>
      <c r="H97" s="383"/>
      <c r="I97" s="383"/>
      <c r="J97" s="381"/>
      <c r="K97" s="381"/>
      <c r="L97" s="380"/>
      <c r="M97" s="380"/>
      <c r="N97" s="379"/>
      <c r="O97" s="379"/>
    </row>
    <row r="98" spans="1:15">
      <c r="A98" s="384" t="s">
        <v>262</v>
      </c>
      <c r="B98" s="384" t="s">
        <v>310</v>
      </c>
      <c r="C98" s="392" t="s">
        <v>955</v>
      </c>
      <c r="D98" s="383" t="s">
        <v>312</v>
      </c>
      <c r="E98" s="383">
        <v>0.3</v>
      </c>
      <c r="F98" s="382" t="e">
        <f t="shared" si="1"/>
        <v>#DIV/0!</v>
      </c>
      <c r="G98" s="382"/>
      <c r="H98" s="383"/>
      <c r="I98" s="383"/>
      <c r="J98" s="381"/>
      <c r="K98" s="381"/>
      <c r="L98" s="380"/>
      <c r="M98" s="380"/>
      <c r="N98" s="379"/>
      <c r="O98" s="379"/>
    </row>
    <row r="99" spans="1:15">
      <c r="A99" s="384" t="s">
        <v>854</v>
      </c>
      <c r="B99" s="384" t="s">
        <v>209</v>
      </c>
      <c r="C99" s="392" t="s">
        <v>210</v>
      </c>
      <c r="D99" s="383" t="s">
        <v>160</v>
      </c>
      <c r="E99" s="383">
        <v>0.41</v>
      </c>
      <c r="F99" s="382" t="e">
        <f t="shared" si="1"/>
        <v>#DIV/0!</v>
      </c>
      <c r="G99" s="382"/>
      <c r="H99" s="383"/>
      <c r="I99" s="383"/>
      <c r="J99" s="381"/>
      <c r="K99" s="381"/>
      <c r="L99" s="380"/>
      <c r="M99" s="380"/>
      <c r="N99" s="379"/>
      <c r="O99" s="379"/>
    </row>
    <row r="100" spans="1:15">
      <c r="A100" s="384" t="s">
        <v>854</v>
      </c>
      <c r="B100" s="384" t="s">
        <v>733</v>
      </c>
      <c r="C100" s="392" t="s">
        <v>734</v>
      </c>
      <c r="D100" s="383" t="s">
        <v>160</v>
      </c>
      <c r="E100" s="383">
        <v>0.41</v>
      </c>
      <c r="F100" s="382" t="e">
        <f t="shared" si="1"/>
        <v>#DIV/0!</v>
      </c>
      <c r="G100" s="382"/>
      <c r="H100" s="383"/>
      <c r="I100" s="383"/>
      <c r="J100" s="381"/>
      <c r="K100" s="381"/>
      <c r="L100" s="380"/>
      <c r="M100" s="380"/>
      <c r="N100" s="379"/>
      <c r="O100" s="379"/>
    </row>
    <row r="101" spans="1:15">
      <c r="A101" s="384" t="s">
        <v>437</v>
      </c>
      <c r="B101" s="384" t="s">
        <v>485</v>
      </c>
      <c r="C101" s="392" t="s">
        <v>486</v>
      </c>
      <c r="D101" s="383" t="s">
        <v>88</v>
      </c>
      <c r="E101" s="383">
        <v>0.33</v>
      </c>
      <c r="F101" s="382">
        <f t="shared" si="1"/>
        <v>0.24</v>
      </c>
      <c r="G101" s="382"/>
      <c r="H101" s="383"/>
      <c r="I101" s="383"/>
      <c r="J101" s="381"/>
      <c r="K101" s="381"/>
      <c r="L101" s="380"/>
      <c r="M101" s="380"/>
      <c r="N101" s="379">
        <v>0.24</v>
      </c>
      <c r="O101" s="379"/>
    </row>
    <row r="102" spans="1:15">
      <c r="A102" s="384" t="s">
        <v>437</v>
      </c>
      <c r="B102" s="384" t="s">
        <v>488</v>
      </c>
      <c r="C102" s="392" t="s">
        <v>489</v>
      </c>
      <c r="D102" s="383" t="s">
        <v>88</v>
      </c>
      <c r="E102" s="383">
        <v>0.33</v>
      </c>
      <c r="F102" s="382">
        <f t="shared" si="1"/>
        <v>0.35</v>
      </c>
      <c r="G102" s="382"/>
      <c r="H102" s="383"/>
      <c r="I102" s="383"/>
      <c r="J102" s="381"/>
      <c r="K102" s="381"/>
      <c r="L102" s="380"/>
      <c r="M102" s="380"/>
      <c r="N102" s="379">
        <v>0.35</v>
      </c>
      <c r="O102" s="379"/>
    </row>
    <row r="103" spans="1:15">
      <c r="A103" s="384" t="s">
        <v>437</v>
      </c>
      <c r="B103" s="384" t="s">
        <v>490</v>
      </c>
      <c r="C103" s="392" t="s">
        <v>491</v>
      </c>
      <c r="D103" s="383" t="s">
        <v>119</v>
      </c>
      <c r="E103" s="383">
        <v>0.52</v>
      </c>
      <c r="F103" s="382">
        <f t="shared" si="1"/>
        <v>0.37</v>
      </c>
      <c r="G103" s="382"/>
      <c r="H103" s="383"/>
      <c r="I103" s="383"/>
      <c r="J103" s="381"/>
      <c r="K103" s="381"/>
      <c r="L103" s="380"/>
      <c r="M103" s="380"/>
      <c r="N103" s="379">
        <v>0.37</v>
      </c>
      <c r="O103" s="379"/>
    </row>
    <row r="104" spans="1:15">
      <c r="A104" s="384" t="s">
        <v>437</v>
      </c>
      <c r="B104" s="384" t="s">
        <v>956</v>
      </c>
      <c r="C104" s="392" t="s">
        <v>957</v>
      </c>
      <c r="D104" s="383" t="s">
        <v>88</v>
      </c>
      <c r="E104" s="383">
        <v>0.33</v>
      </c>
      <c r="F104" s="382" t="e">
        <f t="shared" si="1"/>
        <v>#DIV/0!</v>
      </c>
      <c r="G104" s="382"/>
      <c r="H104" s="383"/>
      <c r="I104" s="383"/>
      <c r="J104" s="381"/>
      <c r="K104" s="381"/>
      <c r="L104" s="380"/>
      <c r="M104" s="380"/>
      <c r="N104" s="379"/>
      <c r="O104" s="379"/>
    </row>
    <row r="105" spans="1:15">
      <c r="A105" s="384" t="s">
        <v>437</v>
      </c>
      <c r="B105" s="384" t="s">
        <v>493</v>
      </c>
      <c r="C105" s="392" t="s">
        <v>494</v>
      </c>
      <c r="D105" s="383" t="s">
        <v>160</v>
      </c>
      <c r="E105" s="383">
        <v>0.41</v>
      </c>
      <c r="F105" s="382">
        <f t="shared" si="1"/>
        <v>0.42</v>
      </c>
      <c r="G105" s="382"/>
      <c r="H105" s="383"/>
      <c r="I105" s="383"/>
      <c r="J105" s="381"/>
      <c r="K105" s="381"/>
      <c r="L105" s="380"/>
      <c r="M105" s="380"/>
      <c r="N105" s="379">
        <v>0.42</v>
      </c>
      <c r="O105" s="379"/>
    </row>
    <row r="106" spans="1:15">
      <c r="A106" s="384" t="s">
        <v>437</v>
      </c>
      <c r="B106" s="384" t="s">
        <v>495</v>
      </c>
      <c r="C106" s="392" t="s">
        <v>496</v>
      </c>
      <c r="D106" s="383" t="s">
        <v>148</v>
      </c>
      <c r="E106" s="383">
        <v>0.35</v>
      </c>
      <c r="F106" s="382">
        <f t="shared" si="1"/>
        <v>0.45</v>
      </c>
      <c r="G106" s="382"/>
      <c r="H106" s="383"/>
      <c r="I106" s="383"/>
      <c r="J106" s="381"/>
      <c r="K106" s="381"/>
      <c r="L106" s="380"/>
      <c r="M106" s="380"/>
      <c r="N106" s="379">
        <v>0.45</v>
      </c>
      <c r="O106" s="379"/>
    </row>
    <row r="107" spans="1:15">
      <c r="A107" s="384" t="s">
        <v>437</v>
      </c>
      <c r="B107" s="384" t="s">
        <v>499</v>
      </c>
      <c r="C107" s="392" t="s">
        <v>500</v>
      </c>
      <c r="D107" s="383" t="s">
        <v>501</v>
      </c>
      <c r="E107" s="383"/>
      <c r="F107" s="382" t="e">
        <f t="shared" si="1"/>
        <v>#DIV/0!</v>
      </c>
      <c r="G107" s="382"/>
      <c r="H107" s="383"/>
      <c r="I107" s="383"/>
      <c r="J107" s="381"/>
      <c r="K107" s="381"/>
      <c r="L107" s="380"/>
      <c r="M107" s="380"/>
      <c r="N107" s="379"/>
      <c r="O107" s="379"/>
    </row>
    <row r="108" spans="1:15">
      <c r="A108" s="384" t="s">
        <v>854</v>
      </c>
      <c r="B108" s="384" t="s">
        <v>211</v>
      </c>
      <c r="C108" s="392" t="s">
        <v>212</v>
      </c>
      <c r="D108" s="383" t="s">
        <v>129</v>
      </c>
      <c r="E108" s="383">
        <v>0.45</v>
      </c>
      <c r="F108" s="382" t="e">
        <f t="shared" si="1"/>
        <v>#DIV/0!</v>
      </c>
      <c r="G108" s="382"/>
      <c r="H108" s="383"/>
      <c r="I108" s="383"/>
      <c r="J108" s="381"/>
      <c r="K108" s="381"/>
      <c r="L108" s="380"/>
      <c r="M108" s="380"/>
      <c r="N108" s="379"/>
      <c r="O108" s="379"/>
    </row>
    <row r="109" spans="1:15">
      <c r="A109" s="384" t="s">
        <v>854</v>
      </c>
      <c r="B109" s="384" t="s">
        <v>219</v>
      </c>
      <c r="C109" s="392" t="s">
        <v>220</v>
      </c>
      <c r="D109" s="383" t="s">
        <v>221</v>
      </c>
      <c r="E109" s="383">
        <v>0.55000000000000004</v>
      </c>
      <c r="F109" s="382" t="e">
        <f t="shared" si="1"/>
        <v>#DIV/0!</v>
      </c>
      <c r="G109" s="382"/>
      <c r="H109" s="383"/>
      <c r="I109" s="383"/>
      <c r="J109" s="381"/>
      <c r="K109" s="381"/>
      <c r="L109" s="380"/>
      <c r="M109" s="380"/>
      <c r="N109" s="379"/>
      <c r="O109" s="379"/>
    </row>
    <row r="110" spans="1:15">
      <c r="A110" s="384" t="s">
        <v>437</v>
      </c>
      <c r="B110" s="384" t="s">
        <v>958</v>
      </c>
      <c r="C110" s="392" t="s">
        <v>959</v>
      </c>
      <c r="D110" s="383" t="s">
        <v>99</v>
      </c>
      <c r="E110" s="383">
        <v>0.44</v>
      </c>
      <c r="F110" s="382" t="e">
        <f t="shared" si="1"/>
        <v>#DIV/0!</v>
      </c>
      <c r="G110" s="382"/>
      <c r="H110" s="383"/>
      <c r="I110" s="383"/>
      <c r="J110" s="381"/>
      <c r="K110" s="381"/>
      <c r="L110" s="380"/>
      <c r="M110" s="380"/>
      <c r="N110" s="379"/>
      <c r="O110" s="379"/>
    </row>
    <row r="111" spans="1:15">
      <c r="A111" s="384" t="s">
        <v>437</v>
      </c>
      <c r="B111" s="384" t="s">
        <v>511</v>
      </c>
      <c r="C111" s="392" t="s">
        <v>512</v>
      </c>
      <c r="D111" s="383" t="s">
        <v>160</v>
      </c>
      <c r="E111" s="383">
        <v>0.41</v>
      </c>
      <c r="F111" s="382">
        <f t="shared" si="1"/>
        <v>0.4</v>
      </c>
      <c r="G111" s="382"/>
      <c r="H111" s="383"/>
      <c r="I111" s="383"/>
      <c r="J111" s="381"/>
      <c r="K111" s="381"/>
      <c r="L111" s="380"/>
      <c r="M111" s="380"/>
      <c r="N111" s="379">
        <v>0.4</v>
      </c>
      <c r="O111" s="379"/>
    </row>
    <row r="112" spans="1:15">
      <c r="A112" s="384" t="s">
        <v>437</v>
      </c>
      <c r="B112" s="384" t="s">
        <v>514</v>
      </c>
      <c r="C112" s="392" t="s">
        <v>515</v>
      </c>
      <c r="D112" s="383" t="s">
        <v>114</v>
      </c>
      <c r="E112" s="383">
        <v>0.38</v>
      </c>
      <c r="F112" s="382">
        <f t="shared" si="1"/>
        <v>0.39</v>
      </c>
      <c r="G112" s="382"/>
      <c r="H112" s="383"/>
      <c r="I112" s="383"/>
      <c r="J112" s="381"/>
      <c r="K112" s="381"/>
      <c r="L112" s="380"/>
      <c r="M112" s="380"/>
      <c r="N112" s="379">
        <v>0.39</v>
      </c>
      <c r="O112" s="379"/>
    </row>
    <row r="113" spans="1:15">
      <c r="A113" s="384" t="s">
        <v>437</v>
      </c>
      <c r="B113" s="384" t="s">
        <v>517</v>
      </c>
      <c r="C113" s="392" t="s">
        <v>518</v>
      </c>
      <c r="D113" s="383" t="s">
        <v>119</v>
      </c>
      <c r="E113" s="383">
        <v>0.52</v>
      </c>
      <c r="F113" s="382">
        <f t="shared" si="1"/>
        <v>0.55000000000000004</v>
      </c>
      <c r="G113" s="382"/>
      <c r="H113" s="383"/>
      <c r="I113" s="383"/>
      <c r="J113" s="381"/>
      <c r="K113" s="381"/>
      <c r="L113" s="380"/>
      <c r="M113" s="380"/>
      <c r="N113" s="379">
        <v>0.55000000000000004</v>
      </c>
      <c r="O113" s="379"/>
    </row>
    <row r="114" spans="1:15">
      <c r="A114" s="384" t="s">
        <v>437</v>
      </c>
      <c r="B114" s="384" t="s">
        <v>521</v>
      </c>
      <c r="C114" s="392" t="s">
        <v>522</v>
      </c>
      <c r="D114" s="383" t="s">
        <v>88</v>
      </c>
      <c r="E114" s="383">
        <v>0.33</v>
      </c>
      <c r="F114" s="382">
        <f t="shared" si="1"/>
        <v>0.21</v>
      </c>
      <c r="G114" s="382"/>
      <c r="H114" s="383"/>
      <c r="I114" s="383"/>
      <c r="J114" s="381"/>
      <c r="K114" s="381"/>
      <c r="L114" s="380"/>
      <c r="M114" s="380"/>
      <c r="N114" s="379">
        <v>0.21</v>
      </c>
      <c r="O114" s="379"/>
    </row>
    <row r="115" spans="1:15">
      <c r="A115" s="384" t="s">
        <v>437</v>
      </c>
      <c r="B115" s="383" t="s">
        <v>523</v>
      </c>
      <c r="C115" s="392" t="s">
        <v>524</v>
      </c>
      <c r="D115" s="383" t="s">
        <v>88</v>
      </c>
      <c r="E115" s="383">
        <v>0.33</v>
      </c>
      <c r="F115" s="382">
        <f t="shared" si="1"/>
        <v>0.28999999999999998</v>
      </c>
      <c r="G115" s="382"/>
      <c r="H115" s="383"/>
      <c r="I115" s="383"/>
      <c r="J115" s="381"/>
      <c r="K115" s="381"/>
      <c r="L115" s="380"/>
      <c r="M115" s="380"/>
      <c r="N115" s="379">
        <v>0.28999999999999998</v>
      </c>
      <c r="O115" s="379"/>
    </row>
    <row r="116" spans="1:15">
      <c r="A116" s="384" t="s">
        <v>437</v>
      </c>
      <c r="B116" s="383" t="s">
        <v>525</v>
      </c>
      <c r="C116" s="392" t="s">
        <v>526</v>
      </c>
      <c r="D116" s="383" t="s">
        <v>119</v>
      </c>
      <c r="E116" s="383">
        <v>0.52</v>
      </c>
      <c r="F116" s="382">
        <f t="shared" si="1"/>
        <v>0.48</v>
      </c>
      <c r="G116" s="382"/>
      <c r="H116" s="383"/>
      <c r="I116" s="383"/>
      <c r="J116" s="381"/>
      <c r="K116" s="381"/>
      <c r="L116" s="380"/>
      <c r="M116" s="380"/>
      <c r="N116" s="379">
        <v>0.48</v>
      </c>
      <c r="O116" s="379"/>
    </row>
    <row r="117" spans="1:15">
      <c r="A117" s="384" t="s">
        <v>437</v>
      </c>
      <c r="B117" s="383" t="s">
        <v>529</v>
      </c>
      <c r="C117" s="392" t="s">
        <v>960</v>
      </c>
      <c r="D117" s="383" t="s">
        <v>88</v>
      </c>
      <c r="E117" s="383">
        <v>0.33</v>
      </c>
      <c r="F117" s="382">
        <f t="shared" si="1"/>
        <v>0.32</v>
      </c>
      <c r="G117" s="382"/>
      <c r="H117" s="383"/>
      <c r="I117" s="383"/>
      <c r="J117" s="381"/>
      <c r="K117" s="381"/>
      <c r="L117" s="380"/>
      <c r="M117" s="380"/>
      <c r="N117" s="379">
        <v>0.32</v>
      </c>
      <c r="O117" s="379"/>
    </row>
    <row r="118" spans="1:15">
      <c r="A118" s="384" t="s">
        <v>437</v>
      </c>
      <c r="B118" s="383" t="s">
        <v>533</v>
      </c>
      <c r="C118" s="392" t="s">
        <v>534</v>
      </c>
      <c r="D118" s="383" t="s">
        <v>221</v>
      </c>
      <c r="E118" s="383">
        <v>0.55000000000000004</v>
      </c>
      <c r="F118" s="382">
        <f t="shared" si="1"/>
        <v>0.46</v>
      </c>
      <c r="G118" s="382"/>
      <c r="H118" s="383"/>
      <c r="I118" s="383"/>
      <c r="J118" s="381"/>
      <c r="K118" s="381"/>
      <c r="L118" s="380"/>
      <c r="M118" s="380"/>
      <c r="N118" s="379">
        <v>0.46</v>
      </c>
      <c r="O118" s="379"/>
    </row>
    <row r="119" spans="1:15">
      <c r="A119" s="384" t="s">
        <v>437</v>
      </c>
      <c r="B119" s="383" t="s">
        <v>820</v>
      </c>
      <c r="C119" s="392" t="s">
        <v>821</v>
      </c>
      <c r="D119" s="383" t="s">
        <v>237</v>
      </c>
      <c r="E119" s="383">
        <v>0.27</v>
      </c>
      <c r="F119" s="382">
        <f t="shared" si="1"/>
        <v>0.17</v>
      </c>
      <c r="G119" s="382"/>
      <c r="H119" s="383"/>
      <c r="I119" s="383"/>
      <c r="J119" s="381"/>
      <c r="K119" s="381"/>
      <c r="L119" s="380"/>
      <c r="M119" s="380"/>
      <c r="N119" s="379">
        <v>0.17</v>
      </c>
      <c r="O119" s="379"/>
    </row>
    <row r="120" spans="1:15">
      <c r="A120" s="384" t="s">
        <v>437</v>
      </c>
      <c r="B120" s="383" t="s">
        <v>961</v>
      </c>
      <c r="C120" s="392" t="s">
        <v>962</v>
      </c>
      <c r="D120" s="383" t="s">
        <v>119</v>
      </c>
      <c r="E120" s="383">
        <v>0.52</v>
      </c>
      <c r="F120" s="382">
        <f t="shared" si="1"/>
        <v>0.52</v>
      </c>
      <c r="G120" s="382"/>
      <c r="H120" s="383"/>
      <c r="I120" s="383"/>
      <c r="J120" s="381"/>
      <c r="K120" s="381"/>
      <c r="L120" s="380"/>
      <c r="M120" s="380"/>
      <c r="N120" s="379">
        <v>0.52</v>
      </c>
      <c r="O120" s="379"/>
    </row>
    <row r="121" spans="1:15">
      <c r="A121" s="384" t="s">
        <v>437</v>
      </c>
      <c r="B121" s="383" t="s">
        <v>535</v>
      </c>
      <c r="C121" s="392" t="s">
        <v>963</v>
      </c>
      <c r="D121" s="383" t="s">
        <v>160</v>
      </c>
      <c r="E121" s="383">
        <v>0.41</v>
      </c>
      <c r="F121" s="382">
        <f t="shared" si="1"/>
        <v>0.41</v>
      </c>
      <c r="G121" s="382"/>
      <c r="H121" s="383"/>
      <c r="I121" s="383"/>
      <c r="J121" s="381"/>
      <c r="K121" s="381"/>
      <c r="L121" s="380"/>
      <c r="M121" s="380"/>
      <c r="N121" s="379">
        <v>0.41</v>
      </c>
      <c r="O121" s="379"/>
    </row>
    <row r="122" spans="1:15">
      <c r="A122" s="384" t="s">
        <v>437</v>
      </c>
      <c r="B122" s="383" t="s">
        <v>535</v>
      </c>
      <c r="C122" s="392" t="s">
        <v>538</v>
      </c>
      <c r="D122" s="383" t="s">
        <v>160</v>
      </c>
      <c r="E122" s="383">
        <v>0.41</v>
      </c>
      <c r="F122" s="382">
        <f t="shared" si="1"/>
        <v>0.51</v>
      </c>
      <c r="G122" s="382">
        <v>0.36</v>
      </c>
      <c r="H122" s="383"/>
      <c r="I122" s="383"/>
      <c r="J122" s="381"/>
      <c r="K122" s="381"/>
      <c r="L122" s="380"/>
      <c r="M122" s="380"/>
      <c r="N122" s="379">
        <v>0.51</v>
      </c>
      <c r="O122" s="379"/>
    </row>
    <row r="123" spans="1:15">
      <c r="A123" s="384" t="s">
        <v>437</v>
      </c>
      <c r="B123" s="383" t="s">
        <v>540</v>
      </c>
      <c r="C123" s="392" t="s">
        <v>964</v>
      </c>
      <c r="D123" s="383" t="s">
        <v>88</v>
      </c>
      <c r="E123" s="383">
        <v>0.33</v>
      </c>
      <c r="F123" s="382" t="e">
        <f t="shared" si="1"/>
        <v>#DIV/0!</v>
      </c>
      <c r="G123" s="382"/>
      <c r="H123" s="383"/>
      <c r="I123" s="383"/>
      <c r="J123" s="381"/>
      <c r="K123" s="381"/>
      <c r="L123" s="380"/>
      <c r="M123" s="380"/>
      <c r="N123" s="379"/>
      <c r="O123" s="379"/>
    </row>
    <row r="124" spans="1:15">
      <c r="A124" s="384" t="s">
        <v>437</v>
      </c>
      <c r="B124" s="383" t="s">
        <v>544</v>
      </c>
      <c r="C124" s="392" t="s">
        <v>545</v>
      </c>
      <c r="D124" s="383" t="s">
        <v>546</v>
      </c>
      <c r="E124" s="383">
        <v>0.3</v>
      </c>
      <c r="F124" s="382">
        <f t="shared" si="1"/>
        <v>0.28999999999999998</v>
      </c>
      <c r="G124" s="382"/>
      <c r="H124" s="383"/>
      <c r="I124" s="383"/>
      <c r="J124" s="381"/>
      <c r="K124" s="381"/>
      <c r="L124" s="380"/>
      <c r="M124" s="380"/>
      <c r="N124" s="379">
        <v>0.28999999999999998</v>
      </c>
      <c r="O124" s="379"/>
    </row>
    <row r="125" spans="1:15">
      <c r="A125" s="384" t="s">
        <v>437</v>
      </c>
      <c r="B125" s="383" t="s">
        <v>547</v>
      </c>
      <c r="C125" s="392" t="s">
        <v>965</v>
      </c>
      <c r="D125" s="383" t="s">
        <v>160</v>
      </c>
      <c r="E125" s="383">
        <v>0.41</v>
      </c>
      <c r="F125" s="382" t="e">
        <f t="shared" si="1"/>
        <v>#DIV/0!</v>
      </c>
      <c r="G125" s="382"/>
      <c r="H125" s="383"/>
      <c r="I125" s="383">
        <v>0.42</v>
      </c>
      <c r="J125" s="381"/>
      <c r="K125" s="381"/>
      <c r="L125" s="380"/>
      <c r="M125" s="380"/>
      <c r="N125" s="379"/>
      <c r="O125" s="379"/>
    </row>
    <row r="126" spans="1:15">
      <c r="A126" s="384" t="s">
        <v>437</v>
      </c>
      <c r="B126" s="383" t="s">
        <v>547</v>
      </c>
      <c r="C126" s="392" t="s">
        <v>966</v>
      </c>
      <c r="D126" s="383" t="s">
        <v>160</v>
      </c>
      <c r="E126" s="383">
        <v>0.41</v>
      </c>
      <c r="F126" s="382" t="e">
        <f t="shared" ref="F126" si="2">AVERAGE(J126:O126)</f>
        <v>#DIV/0!</v>
      </c>
      <c r="G126" s="382"/>
      <c r="H126" s="383"/>
      <c r="I126" s="383">
        <v>0.36</v>
      </c>
      <c r="J126" s="381"/>
      <c r="K126" s="381"/>
      <c r="L126" s="380"/>
      <c r="M126" s="380"/>
      <c r="N126" s="379"/>
      <c r="O126" s="379"/>
    </row>
    <row r="127" spans="1:15">
      <c r="A127" s="384" t="s">
        <v>437</v>
      </c>
      <c r="B127" s="383" t="s">
        <v>550</v>
      </c>
      <c r="C127" s="392" t="s">
        <v>551</v>
      </c>
      <c r="D127" s="383" t="s">
        <v>148</v>
      </c>
      <c r="E127" s="383">
        <v>0.35</v>
      </c>
      <c r="F127" s="382" t="e">
        <f t="shared" si="1"/>
        <v>#DIV/0!</v>
      </c>
      <c r="G127" s="382"/>
      <c r="H127" s="383"/>
      <c r="I127" s="383"/>
      <c r="J127" s="381"/>
      <c r="K127" s="381"/>
      <c r="L127" s="380"/>
      <c r="M127" s="380"/>
      <c r="N127" s="379"/>
      <c r="O127" s="379"/>
    </row>
    <row r="128" spans="1:15">
      <c r="A128" s="384" t="s">
        <v>437</v>
      </c>
      <c r="B128" s="383" t="s">
        <v>553</v>
      </c>
      <c r="C128" s="392" t="s">
        <v>554</v>
      </c>
      <c r="D128" s="383" t="s">
        <v>156</v>
      </c>
      <c r="E128" s="383">
        <v>0.32</v>
      </c>
      <c r="F128" s="382">
        <f t="shared" si="1"/>
        <v>0.26</v>
      </c>
      <c r="G128" s="382"/>
      <c r="H128" s="383"/>
      <c r="I128" s="383"/>
      <c r="J128" s="381"/>
      <c r="K128" s="381"/>
      <c r="L128" s="380"/>
      <c r="M128" s="380"/>
      <c r="N128" s="379">
        <v>0.26</v>
      </c>
      <c r="O128" s="379"/>
    </row>
    <row r="129" spans="1:15">
      <c r="A129" s="384" t="s">
        <v>437</v>
      </c>
      <c r="B129" s="383" t="s">
        <v>967</v>
      </c>
      <c r="C129" s="392" t="s">
        <v>968</v>
      </c>
      <c r="D129" s="383" t="s">
        <v>160</v>
      </c>
      <c r="E129" s="383">
        <v>0.41</v>
      </c>
      <c r="F129" s="382">
        <f t="shared" si="1"/>
        <v>0.33</v>
      </c>
      <c r="G129" s="382"/>
      <c r="H129" s="383"/>
      <c r="I129" s="383"/>
      <c r="J129" s="381"/>
      <c r="K129" s="381"/>
      <c r="L129" s="380"/>
      <c r="M129" s="380"/>
      <c r="N129" s="379">
        <v>0.33</v>
      </c>
      <c r="O129" s="379"/>
    </row>
    <row r="130" spans="1:15">
      <c r="A130" s="384" t="s">
        <v>437</v>
      </c>
      <c r="B130" s="383" t="s">
        <v>555</v>
      </c>
      <c r="C130" s="392" t="s">
        <v>556</v>
      </c>
      <c r="D130" s="383" t="s">
        <v>453</v>
      </c>
      <c r="E130" s="383">
        <v>0.5</v>
      </c>
      <c r="F130" s="382">
        <f t="shared" ref="F130:F193" si="3">AVERAGE(J130:O130)</f>
        <v>0.63</v>
      </c>
      <c r="G130" s="382"/>
      <c r="H130" s="383"/>
      <c r="I130" s="383"/>
      <c r="J130" s="381"/>
      <c r="K130" s="381"/>
      <c r="L130" s="380"/>
      <c r="M130" s="380"/>
      <c r="N130" s="379">
        <v>0.63</v>
      </c>
      <c r="O130" s="379"/>
    </row>
    <row r="131" spans="1:15">
      <c r="A131" s="384" t="s">
        <v>437</v>
      </c>
      <c r="B131" s="383" t="s">
        <v>558</v>
      </c>
      <c r="C131" s="392" t="s">
        <v>559</v>
      </c>
      <c r="D131" s="383" t="s">
        <v>169</v>
      </c>
      <c r="E131" s="383">
        <v>0.34</v>
      </c>
      <c r="F131" s="382" t="e">
        <f t="shared" si="3"/>
        <v>#DIV/0!</v>
      </c>
      <c r="G131" s="382"/>
      <c r="H131" s="383"/>
      <c r="I131" s="383"/>
      <c r="J131" s="381"/>
      <c r="K131" s="381"/>
      <c r="L131" s="380"/>
      <c r="M131" s="380"/>
      <c r="N131" s="379"/>
      <c r="O131" s="379"/>
    </row>
    <row r="132" spans="1:15">
      <c r="A132" s="384" t="s">
        <v>437</v>
      </c>
      <c r="B132" s="383" t="s">
        <v>560</v>
      </c>
      <c r="C132" s="392" t="s">
        <v>561</v>
      </c>
      <c r="D132" s="383" t="s">
        <v>546</v>
      </c>
      <c r="E132" s="383">
        <v>0.3</v>
      </c>
      <c r="F132" s="382">
        <f t="shared" si="3"/>
        <v>0.33</v>
      </c>
      <c r="G132" s="382"/>
      <c r="H132" s="383"/>
      <c r="I132" s="383"/>
      <c r="J132" s="381"/>
      <c r="K132" s="381"/>
      <c r="L132" s="380"/>
      <c r="M132" s="380"/>
      <c r="N132" s="379">
        <v>0.33</v>
      </c>
      <c r="O132" s="379"/>
    </row>
    <row r="133" spans="1:15">
      <c r="A133" s="384" t="s">
        <v>437</v>
      </c>
      <c r="B133" s="383" t="s">
        <v>563</v>
      </c>
      <c r="C133" s="392" t="s">
        <v>564</v>
      </c>
      <c r="D133" s="383" t="s">
        <v>546</v>
      </c>
      <c r="E133" s="383">
        <v>0.3</v>
      </c>
      <c r="F133" s="382">
        <f t="shared" si="3"/>
        <v>0.33</v>
      </c>
      <c r="G133" s="382"/>
      <c r="H133" s="383"/>
      <c r="I133" s="383"/>
      <c r="J133" s="381"/>
      <c r="K133" s="381"/>
      <c r="L133" s="380"/>
      <c r="M133" s="380"/>
      <c r="N133" s="379">
        <v>0.33</v>
      </c>
      <c r="O133" s="379"/>
    </row>
    <row r="134" spans="1:15">
      <c r="A134" s="384" t="s">
        <v>437</v>
      </c>
      <c r="B134" s="383" t="s">
        <v>567</v>
      </c>
      <c r="C134" s="392" t="s">
        <v>568</v>
      </c>
      <c r="D134" s="383" t="s">
        <v>88</v>
      </c>
      <c r="E134" s="383">
        <v>0.33</v>
      </c>
      <c r="F134" s="382" t="e">
        <f t="shared" si="3"/>
        <v>#DIV/0!</v>
      </c>
      <c r="G134" s="382"/>
      <c r="H134" s="383"/>
      <c r="I134" s="383"/>
      <c r="J134" s="381"/>
      <c r="K134" s="381"/>
      <c r="L134" s="380"/>
      <c r="M134" s="380"/>
      <c r="N134" s="379"/>
      <c r="O134" s="379"/>
    </row>
    <row r="135" spans="1:15">
      <c r="A135" s="384" t="s">
        <v>437</v>
      </c>
      <c r="B135" s="383" t="s">
        <v>969</v>
      </c>
      <c r="C135" s="392" t="s">
        <v>970</v>
      </c>
      <c r="D135" s="383" t="s">
        <v>88</v>
      </c>
      <c r="E135" s="383">
        <v>0.33</v>
      </c>
      <c r="F135" s="382" t="e">
        <f t="shared" si="3"/>
        <v>#DIV/0!</v>
      </c>
      <c r="G135" s="382"/>
      <c r="H135" s="383"/>
      <c r="I135" s="383"/>
      <c r="J135" s="381"/>
      <c r="K135" s="381"/>
      <c r="L135" s="380"/>
      <c r="M135" s="380"/>
      <c r="N135" s="379"/>
      <c r="O135" s="379"/>
    </row>
    <row r="136" spans="1:15">
      <c r="A136" s="384" t="s">
        <v>437</v>
      </c>
      <c r="B136" s="383" t="s">
        <v>571</v>
      </c>
      <c r="C136" s="392" t="s">
        <v>572</v>
      </c>
      <c r="D136" s="383" t="s">
        <v>134</v>
      </c>
      <c r="E136" s="383">
        <v>0.35</v>
      </c>
      <c r="F136" s="382">
        <f t="shared" si="3"/>
        <v>0.28000000000000003</v>
      </c>
      <c r="G136" s="382"/>
      <c r="H136" s="383"/>
      <c r="I136" s="383"/>
      <c r="J136" s="381"/>
      <c r="K136" s="381"/>
      <c r="L136" s="380"/>
      <c r="M136" s="380"/>
      <c r="N136" s="379">
        <v>0.28000000000000003</v>
      </c>
      <c r="O136" s="379"/>
    </row>
    <row r="137" spans="1:15">
      <c r="A137" s="384" t="s">
        <v>437</v>
      </c>
      <c r="B137" s="383" t="s">
        <v>971</v>
      </c>
      <c r="C137" s="392" t="s">
        <v>972</v>
      </c>
      <c r="D137" s="383" t="s">
        <v>237</v>
      </c>
      <c r="E137" s="383">
        <v>0.27</v>
      </c>
      <c r="F137" s="382">
        <f t="shared" si="3"/>
        <v>0.26</v>
      </c>
      <c r="G137" s="382"/>
      <c r="H137" s="383"/>
      <c r="I137" s="383"/>
      <c r="J137" s="381"/>
      <c r="K137" s="381"/>
      <c r="L137" s="380"/>
      <c r="M137" s="380"/>
      <c r="N137" s="379">
        <v>0.26</v>
      </c>
      <c r="O137" s="379"/>
    </row>
    <row r="138" spans="1:15">
      <c r="A138" s="384" t="s">
        <v>437</v>
      </c>
      <c r="B138" s="383" t="s">
        <v>574</v>
      </c>
      <c r="C138" s="392" t="s">
        <v>575</v>
      </c>
      <c r="D138" s="383" t="s">
        <v>88</v>
      </c>
      <c r="E138" s="383">
        <v>0.33</v>
      </c>
      <c r="F138" s="382">
        <f t="shared" si="3"/>
        <v>0.33</v>
      </c>
      <c r="G138" s="382"/>
      <c r="H138" s="383"/>
      <c r="I138" s="383"/>
      <c r="J138" s="381"/>
      <c r="K138" s="381"/>
      <c r="L138" s="380"/>
      <c r="M138" s="380"/>
      <c r="N138" s="379">
        <v>0.33</v>
      </c>
      <c r="O138" s="379"/>
    </row>
    <row r="139" spans="1:15">
      <c r="A139" s="384" t="s">
        <v>437</v>
      </c>
      <c r="B139" s="383" t="s">
        <v>578</v>
      </c>
      <c r="C139" s="392" t="s">
        <v>579</v>
      </c>
      <c r="D139" s="383" t="s">
        <v>88</v>
      </c>
      <c r="E139" s="383">
        <v>0.33</v>
      </c>
      <c r="F139" s="382" t="e">
        <f t="shared" si="3"/>
        <v>#DIV/0!</v>
      </c>
      <c r="G139" s="382"/>
      <c r="H139" s="383"/>
      <c r="I139" s="383"/>
      <c r="J139" s="381"/>
      <c r="K139" s="381"/>
      <c r="L139" s="380"/>
      <c r="M139" s="380"/>
      <c r="N139" s="379"/>
      <c r="O139" s="379"/>
    </row>
    <row r="140" spans="1:15">
      <c r="A140" s="384" t="s">
        <v>437</v>
      </c>
      <c r="B140" s="383" t="s">
        <v>581</v>
      </c>
      <c r="C140" s="392" t="s">
        <v>582</v>
      </c>
      <c r="D140" s="383" t="s">
        <v>88</v>
      </c>
      <c r="E140" s="383">
        <v>0.33</v>
      </c>
      <c r="F140" s="382">
        <f t="shared" si="3"/>
        <v>0.33</v>
      </c>
      <c r="G140" s="382"/>
      <c r="H140" s="383"/>
      <c r="I140" s="383"/>
      <c r="J140" s="381"/>
      <c r="K140" s="381"/>
      <c r="L140" s="380"/>
      <c r="M140" s="380"/>
      <c r="N140" s="379">
        <v>0.33</v>
      </c>
      <c r="O140" s="379"/>
    </row>
    <row r="141" spans="1:15">
      <c r="A141" s="384" t="s">
        <v>437</v>
      </c>
      <c r="B141" s="383" t="s">
        <v>583</v>
      </c>
      <c r="C141" s="392" t="s">
        <v>584</v>
      </c>
      <c r="D141" s="383" t="s">
        <v>585</v>
      </c>
      <c r="E141" s="383">
        <v>0.38</v>
      </c>
      <c r="F141" s="382">
        <f t="shared" si="3"/>
        <v>0.51</v>
      </c>
      <c r="G141" s="382"/>
      <c r="H141" s="383"/>
      <c r="I141" s="383"/>
      <c r="J141" s="381"/>
      <c r="K141" s="381"/>
      <c r="L141" s="380"/>
      <c r="M141" s="380"/>
      <c r="N141" s="379">
        <v>0.51</v>
      </c>
      <c r="O141" s="379"/>
    </row>
    <row r="142" spans="1:15">
      <c r="A142" s="384" t="s">
        <v>437</v>
      </c>
      <c r="B142" s="383" t="s">
        <v>588</v>
      </c>
      <c r="C142" s="392" t="s">
        <v>589</v>
      </c>
      <c r="D142" s="383" t="s">
        <v>590</v>
      </c>
      <c r="E142" s="383">
        <v>0.5</v>
      </c>
      <c r="F142" s="382" t="e">
        <f t="shared" si="3"/>
        <v>#DIV/0!</v>
      </c>
      <c r="G142" s="382"/>
      <c r="H142" s="383"/>
      <c r="I142" s="383"/>
      <c r="J142" s="381"/>
      <c r="K142" s="381"/>
      <c r="L142" s="380"/>
      <c r="M142" s="380"/>
      <c r="N142" s="379"/>
      <c r="O142" s="379"/>
    </row>
    <row r="143" spans="1:15">
      <c r="A143" s="384" t="s">
        <v>437</v>
      </c>
      <c r="B143" s="383" t="s">
        <v>592</v>
      </c>
      <c r="C143" s="392" t="s">
        <v>593</v>
      </c>
      <c r="D143" s="383" t="s">
        <v>594</v>
      </c>
      <c r="E143" s="383">
        <v>0.38</v>
      </c>
      <c r="F143" s="382" t="e">
        <f t="shared" si="3"/>
        <v>#DIV/0!</v>
      </c>
      <c r="G143" s="382"/>
      <c r="H143" s="383"/>
      <c r="I143" s="383"/>
      <c r="J143" s="381"/>
      <c r="K143" s="381"/>
      <c r="L143" s="380"/>
      <c r="M143" s="380"/>
      <c r="N143" s="379"/>
      <c r="O143" s="379"/>
    </row>
    <row r="144" spans="1:15">
      <c r="A144" s="384" t="s">
        <v>437</v>
      </c>
      <c r="B144" s="383" t="s">
        <v>595</v>
      </c>
      <c r="C144" s="392" t="s">
        <v>596</v>
      </c>
      <c r="D144" s="383" t="s">
        <v>597</v>
      </c>
      <c r="E144" s="383">
        <v>0.55000000000000004</v>
      </c>
      <c r="F144" s="382" t="e">
        <f t="shared" si="3"/>
        <v>#DIV/0!</v>
      </c>
      <c r="G144" s="382"/>
      <c r="H144" s="383"/>
      <c r="I144" s="383"/>
      <c r="J144" s="381"/>
      <c r="K144" s="381"/>
      <c r="L144" s="380"/>
      <c r="M144" s="380"/>
      <c r="N144" s="379"/>
      <c r="O144" s="379"/>
    </row>
    <row r="145" spans="1:15">
      <c r="A145" s="384" t="s">
        <v>437</v>
      </c>
      <c r="B145" s="383" t="s">
        <v>830</v>
      </c>
      <c r="C145" s="392" t="s">
        <v>831</v>
      </c>
      <c r="D145" s="383" t="s">
        <v>465</v>
      </c>
      <c r="E145" s="383">
        <v>0.4</v>
      </c>
      <c r="F145" s="382" t="e">
        <f t="shared" si="3"/>
        <v>#DIV/0!</v>
      </c>
      <c r="G145" s="382"/>
      <c r="H145" s="383"/>
      <c r="I145" s="383"/>
      <c r="J145" s="381"/>
      <c r="K145" s="381"/>
      <c r="L145" s="380"/>
      <c r="M145" s="380"/>
      <c r="N145" s="379"/>
      <c r="O145" s="379"/>
    </row>
    <row r="146" spans="1:15">
      <c r="A146" s="384" t="s">
        <v>437</v>
      </c>
      <c r="B146" s="383" t="s">
        <v>598</v>
      </c>
      <c r="C146" s="392" t="s">
        <v>599</v>
      </c>
      <c r="D146" s="383" t="s">
        <v>194</v>
      </c>
      <c r="E146" s="383">
        <v>0.5</v>
      </c>
      <c r="F146" s="382">
        <f t="shared" si="3"/>
        <v>0.41</v>
      </c>
      <c r="G146" s="382"/>
      <c r="H146" s="383"/>
      <c r="I146" s="383"/>
      <c r="J146" s="381"/>
      <c r="K146" s="381"/>
      <c r="L146" s="380"/>
      <c r="M146" s="380"/>
      <c r="N146" s="379">
        <v>0.41</v>
      </c>
      <c r="O146" s="379"/>
    </row>
    <row r="147" spans="1:15">
      <c r="A147" s="384" t="s">
        <v>437</v>
      </c>
      <c r="B147" s="383" t="s">
        <v>600</v>
      </c>
      <c r="C147" s="392" t="s">
        <v>601</v>
      </c>
      <c r="D147" s="383" t="s">
        <v>602</v>
      </c>
      <c r="E147" s="383">
        <v>0.48</v>
      </c>
      <c r="F147" s="382" t="e">
        <f t="shared" si="3"/>
        <v>#DIV/0!</v>
      </c>
      <c r="G147" s="382"/>
      <c r="H147" s="383"/>
      <c r="I147" s="383"/>
      <c r="J147" s="381"/>
      <c r="K147" s="381"/>
      <c r="L147" s="380"/>
      <c r="M147" s="380"/>
      <c r="N147" s="379"/>
      <c r="O147" s="379"/>
    </row>
    <row r="148" spans="1:15">
      <c r="A148" s="384" t="s">
        <v>437</v>
      </c>
      <c r="B148" s="383" t="s">
        <v>604</v>
      </c>
      <c r="C148" s="392" t="s">
        <v>605</v>
      </c>
      <c r="D148" s="383" t="s">
        <v>88</v>
      </c>
      <c r="E148" s="383">
        <v>0.33</v>
      </c>
      <c r="F148" s="382">
        <f t="shared" si="3"/>
        <v>0.26</v>
      </c>
      <c r="G148" s="382"/>
      <c r="H148" s="383"/>
      <c r="I148" s="383"/>
      <c r="J148" s="381"/>
      <c r="K148" s="381"/>
      <c r="L148" s="380"/>
      <c r="M148" s="380"/>
      <c r="N148" s="379">
        <v>0.26</v>
      </c>
      <c r="O148" s="379"/>
    </row>
    <row r="149" spans="1:15">
      <c r="A149" s="384" t="s">
        <v>437</v>
      </c>
      <c r="B149" s="383" t="s">
        <v>607</v>
      </c>
      <c r="C149" s="392" t="s">
        <v>608</v>
      </c>
      <c r="D149" s="383" t="s">
        <v>148</v>
      </c>
      <c r="E149" s="383">
        <v>0.35</v>
      </c>
      <c r="F149" s="382">
        <f t="shared" si="3"/>
        <v>0.34</v>
      </c>
      <c r="G149" s="382"/>
      <c r="H149" s="383"/>
      <c r="I149" s="383"/>
      <c r="J149" s="381"/>
      <c r="K149" s="381"/>
      <c r="L149" s="380"/>
      <c r="M149" s="380"/>
      <c r="N149" s="379">
        <v>0.34</v>
      </c>
      <c r="O149" s="379"/>
    </row>
    <row r="150" spans="1:15">
      <c r="A150" s="384" t="s">
        <v>437</v>
      </c>
      <c r="B150" s="383" t="s">
        <v>973</v>
      </c>
      <c r="C150" s="392" t="s">
        <v>974</v>
      </c>
      <c r="D150" s="383" t="s">
        <v>237</v>
      </c>
      <c r="E150" s="383">
        <v>0.35</v>
      </c>
      <c r="F150" s="382" t="e">
        <f t="shared" si="3"/>
        <v>#DIV/0!</v>
      </c>
      <c r="G150" s="382"/>
      <c r="H150" s="383"/>
      <c r="I150" s="383"/>
      <c r="J150" s="381"/>
      <c r="K150" s="381"/>
      <c r="L150" s="380"/>
      <c r="M150" s="380"/>
      <c r="N150" s="379"/>
      <c r="O150" s="379"/>
    </row>
    <row r="151" spans="1:15">
      <c r="A151" s="384" t="s">
        <v>437</v>
      </c>
      <c r="B151" s="383" t="s">
        <v>609</v>
      </c>
      <c r="C151" s="392" t="s">
        <v>610</v>
      </c>
      <c r="D151" s="383" t="s">
        <v>88</v>
      </c>
      <c r="E151" s="383">
        <v>0.35</v>
      </c>
      <c r="F151" s="382" t="e">
        <f t="shared" si="3"/>
        <v>#DIV/0!</v>
      </c>
      <c r="G151" s="382"/>
      <c r="H151" s="383"/>
      <c r="I151" s="383"/>
      <c r="J151" s="381"/>
      <c r="K151" s="381"/>
      <c r="L151" s="380"/>
      <c r="M151" s="380"/>
      <c r="N151" s="379"/>
      <c r="O151" s="379"/>
    </row>
    <row r="152" spans="1:15">
      <c r="A152" s="384" t="s">
        <v>437</v>
      </c>
      <c r="B152" s="383" t="s">
        <v>975</v>
      </c>
      <c r="C152" s="392" t="s">
        <v>976</v>
      </c>
      <c r="D152" s="383" t="s">
        <v>114</v>
      </c>
      <c r="E152" s="383">
        <v>0.35</v>
      </c>
      <c r="F152" s="382" t="e">
        <f t="shared" si="3"/>
        <v>#DIV/0!</v>
      </c>
      <c r="G152" s="382"/>
      <c r="H152" s="383"/>
      <c r="I152" s="383"/>
      <c r="J152" s="381"/>
      <c r="K152" s="381"/>
      <c r="L152" s="380"/>
      <c r="M152" s="380"/>
      <c r="N152" s="379"/>
      <c r="O152" s="379"/>
    </row>
    <row r="153" spans="1:15">
      <c r="A153" s="384" t="s">
        <v>437</v>
      </c>
      <c r="B153" s="383" t="s">
        <v>832</v>
      </c>
      <c r="C153" s="392" t="s">
        <v>833</v>
      </c>
      <c r="D153" s="383" t="s">
        <v>221</v>
      </c>
      <c r="E153" s="383">
        <v>0.55000000000000004</v>
      </c>
      <c r="F153" s="382">
        <f t="shared" si="3"/>
        <v>0.43</v>
      </c>
      <c r="G153" s="382"/>
      <c r="H153" s="383"/>
      <c r="I153" s="383"/>
      <c r="J153" s="381"/>
      <c r="K153" s="381"/>
      <c r="L153" s="380"/>
      <c r="M153" s="380"/>
      <c r="N153" s="379">
        <v>0.43</v>
      </c>
      <c r="O153" s="379"/>
    </row>
    <row r="154" spans="1:15">
      <c r="A154" s="384" t="s">
        <v>437</v>
      </c>
      <c r="B154" s="383" t="s">
        <v>977</v>
      </c>
      <c r="C154" s="392" t="s">
        <v>978</v>
      </c>
      <c r="D154" s="383" t="s">
        <v>194</v>
      </c>
      <c r="E154" s="383">
        <v>0.35</v>
      </c>
      <c r="F154" s="382" t="e">
        <f t="shared" si="3"/>
        <v>#DIV/0!</v>
      </c>
      <c r="G154" s="382"/>
      <c r="H154" s="383"/>
      <c r="I154" s="383"/>
      <c r="J154" s="381"/>
      <c r="K154" s="381"/>
      <c r="L154" s="380"/>
      <c r="M154" s="380"/>
      <c r="N154" s="379"/>
      <c r="O154" s="379"/>
    </row>
    <row r="155" spans="1:15">
      <c r="A155" s="384" t="s">
        <v>437</v>
      </c>
      <c r="B155" s="383" t="s">
        <v>619</v>
      </c>
      <c r="C155" s="392" t="s">
        <v>620</v>
      </c>
      <c r="D155" s="383" t="s">
        <v>88</v>
      </c>
      <c r="E155" s="383">
        <v>0.33</v>
      </c>
      <c r="F155" s="382" t="e">
        <f t="shared" si="3"/>
        <v>#DIV/0!</v>
      </c>
      <c r="G155" s="382"/>
      <c r="H155" s="383"/>
      <c r="I155" s="383"/>
      <c r="J155" s="381"/>
      <c r="K155" s="381"/>
      <c r="L155" s="380"/>
      <c r="M155" s="380"/>
      <c r="N155" s="379"/>
      <c r="O155" s="379"/>
    </row>
    <row r="156" spans="1:15">
      <c r="A156" s="384" t="s">
        <v>437</v>
      </c>
      <c r="B156" s="383" t="s">
        <v>623</v>
      </c>
      <c r="C156" s="392" t="s">
        <v>624</v>
      </c>
      <c r="D156" s="383" t="s">
        <v>148</v>
      </c>
      <c r="E156" s="383">
        <v>0.35</v>
      </c>
      <c r="F156" s="382" t="e">
        <f t="shared" si="3"/>
        <v>#DIV/0!</v>
      </c>
      <c r="G156" s="382"/>
      <c r="H156" s="383"/>
      <c r="I156" s="383"/>
      <c r="J156" s="381"/>
      <c r="K156" s="381"/>
      <c r="L156" s="380"/>
      <c r="M156" s="380"/>
      <c r="N156" s="379"/>
      <c r="O156" s="379"/>
    </row>
    <row r="157" spans="1:15">
      <c r="A157" s="384" t="s">
        <v>437</v>
      </c>
      <c r="B157" s="384" t="s">
        <v>626</v>
      </c>
      <c r="C157" s="392" t="s">
        <v>627</v>
      </c>
      <c r="D157" s="383" t="s">
        <v>88</v>
      </c>
      <c r="E157" s="383">
        <v>0.35</v>
      </c>
      <c r="F157" s="382" t="e">
        <f t="shared" si="3"/>
        <v>#DIV/0!</v>
      </c>
      <c r="G157" s="382"/>
      <c r="H157" s="383"/>
      <c r="I157" s="383"/>
      <c r="J157" s="381"/>
      <c r="K157" s="381"/>
      <c r="L157" s="380"/>
      <c r="M157" s="380"/>
      <c r="N157" s="379"/>
      <c r="O157" s="379"/>
    </row>
    <row r="158" spans="1:15">
      <c r="A158" s="384" t="s">
        <v>854</v>
      </c>
      <c r="B158" s="384" t="s">
        <v>223</v>
      </c>
      <c r="C158" s="392" t="s">
        <v>224</v>
      </c>
      <c r="D158" s="383" t="s">
        <v>156</v>
      </c>
      <c r="E158" s="383">
        <v>0.35</v>
      </c>
      <c r="F158" s="382">
        <f t="shared" si="3"/>
        <v>0.34</v>
      </c>
      <c r="G158" s="382"/>
      <c r="H158" s="383"/>
      <c r="I158" s="383"/>
      <c r="J158" s="381"/>
      <c r="K158" s="381"/>
      <c r="L158" s="380"/>
      <c r="M158" s="380"/>
      <c r="N158" s="379">
        <v>0.34</v>
      </c>
      <c r="O158" s="379"/>
    </row>
    <row r="159" spans="1:15">
      <c r="A159" s="384" t="s">
        <v>854</v>
      </c>
      <c r="B159" s="384" t="s">
        <v>226</v>
      </c>
      <c r="C159" s="392" t="s">
        <v>227</v>
      </c>
      <c r="D159" s="383" t="s">
        <v>228</v>
      </c>
      <c r="E159" s="383">
        <v>0.4</v>
      </c>
      <c r="F159" s="382" t="e">
        <f t="shared" si="3"/>
        <v>#DIV/0!</v>
      </c>
      <c r="G159" s="382"/>
      <c r="H159" s="383"/>
      <c r="I159" s="383"/>
      <c r="J159" s="381"/>
      <c r="K159" s="381"/>
      <c r="L159" s="380"/>
      <c r="M159" s="380"/>
      <c r="N159" s="379"/>
      <c r="O159" s="379"/>
    </row>
    <row r="160" spans="1:15">
      <c r="A160" s="384" t="s">
        <v>262</v>
      </c>
      <c r="B160" s="384" t="s">
        <v>762</v>
      </c>
      <c r="C160" s="392" t="s">
        <v>763</v>
      </c>
      <c r="D160" s="383" t="s">
        <v>261</v>
      </c>
      <c r="E160" s="383">
        <v>0.35</v>
      </c>
      <c r="F160" s="382">
        <f t="shared" si="3"/>
        <v>0.38</v>
      </c>
      <c r="G160" s="382"/>
      <c r="H160" s="383"/>
      <c r="I160" s="383"/>
      <c r="J160" s="381"/>
      <c r="K160" s="381"/>
      <c r="L160" s="380"/>
      <c r="M160" s="380"/>
      <c r="N160" s="379">
        <v>0.38</v>
      </c>
      <c r="O160" s="379"/>
    </row>
    <row r="161" spans="1:15">
      <c r="A161" s="384" t="s">
        <v>262</v>
      </c>
      <c r="B161" s="384" t="s">
        <v>318</v>
      </c>
      <c r="C161" s="392" t="s">
        <v>319</v>
      </c>
      <c r="D161" s="383" t="s">
        <v>261</v>
      </c>
      <c r="E161" s="383">
        <v>0.35</v>
      </c>
      <c r="F161" s="382">
        <f t="shared" si="3"/>
        <v>0.33</v>
      </c>
      <c r="G161" s="382"/>
      <c r="H161" s="383"/>
      <c r="I161" s="383"/>
      <c r="J161" s="381"/>
      <c r="K161" s="381"/>
      <c r="L161" s="380"/>
      <c r="M161" s="380"/>
      <c r="N161" s="379">
        <f>AVERAGE(0.38,0.28)</f>
        <v>0.33</v>
      </c>
      <c r="O161" s="379"/>
    </row>
    <row r="162" spans="1:15">
      <c r="A162" s="384" t="s">
        <v>262</v>
      </c>
      <c r="B162" s="384" t="s">
        <v>323</v>
      </c>
      <c r="C162" s="392" t="s">
        <v>324</v>
      </c>
      <c r="D162" s="383" t="s">
        <v>156</v>
      </c>
      <c r="E162" s="383">
        <v>0.32</v>
      </c>
      <c r="F162" s="382">
        <f t="shared" si="3"/>
        <v>0.41</v>
      </c>
      <c r="G162" s="382"/>
      <c r="H162" s="383"/>
      <c r="I162" s="383"/>
      <c r="J162" s="381"/>
      <c r="K162" s="381"/>
      <c r="L162" s="380"/>
      <c r="M162" s="380"/>
      <c r="N162" s="379">
        <v>0.41</v>
      </c>
      <c r="O162" s="379"/>
    </row>
    <row r="163" spans="1:15">
      <c r="A163" s="384" t="s">
        <v>262</v>
      </c>
      <c r="B163" s="384" t="s">
        <v>766</v>
      </c>
      <c r="C163" s="392" t="s">
        <v>979</v>
      </c>
      <c r="D163" s="383" t="s">
        <v>160</v>
      </c>
      <c r="E163" s="383">
        <v>0.41</v>
      </c>
      <c r="F163" s="382" t="e">
        <f t="shared" si="3"/>
        <v>#DIV/0!</v>
      </c>
      <c r="G163" s="382"/>
      <c r="H163" s="383"/>
      <c r="I163" s="383"/>
      <c r="J163" s="381"/>
      <c r="K163" s="381"/>
      <c r="L163" s="380"/>
      <c r="M163" s="380"/>
      <c r="N163" s="379"/>
      <c r="O163" s="379"/>
    </row>
    <row r="164" spans="1:15">
      <c r="A164" s="384" t="s">
        <v>262</v>
      </c>
      <c r="B164" s="384" t="s">
        <v>325</v>
      </c>
      <c r="C164" s="392" t="s">
        <v>980</v>
      </c>
      <c r="D164" s="383" t="s">
        <v>156</v>
      </c>
      <c r="E164" s="383">
        <v>0.32</v>
      </c>
      <c r="F164" s="382" t="e">
        <f t="shared" si="3"/>
        <v>#DIV/0!</v>
      </c>
      <c r="G164" s="382"/>
      <c r="H164" s="383"/>
      <c r="I164" s="383"/>
      <c r="J164" s="381"/>
      <c r="K164" s="381"/>
      <c r="L164" s="380"/>
      <c r="M164" s="380"/>
      <c r="N164" s="379"/>
      <c r="O164" s="379"/>
    </row>
    <row r="165" spans="1:15">
      <c r="A165" s="384" t="s">
        <v>262</v>
      </c>
      <c r="B165" s="384" t="s">
        <v>328</v>
      </c>
      <c r="C165" s="392" t="s">
        <v>981</v>
      </c>
      <c r="D165" s="383" t="s">
        <v>330</v>
      </c>
      <c r="E165" s="383">
        <v>0.55000000000000004</v>
      </c>
      <c r="F165" s="382">
        <f t="shared" si="3"/>
        <v>0.8</v>
      </c>
      <c r="G165" s="382"/>
      <c r="H165" s="383"/>
      <c r="I165" s="383"/>
      <c r="J165" s="381"/>
      <c r="K165" s="381"/>
      <c r="L165" s="380"/>
      <c r="M165" s="380"/>
      <c r="N165" s="379">
        <v>0.8</v>
      </c>
      <c r="O165" s="379"/>
    </row>
    <row r="166" spans="1:15">
      <c r="A166" s="384" t="s">
        <v>437</v>
      </c>
      <c r="B166" s="384" t="s">
        <v>628</v>
      </c>
      <c r="C166" s="392" t="s">
        <v>629</v>
      </c>
      <c r="D166" s="383" t="s">
        <v>88</v>
      </c>
      <c r="E166" s="383">
        <v>0.33</v>
      </c>
      <c r="F166" s="382" t="e">
        <f t="shared" si="3"/>
        <v>#DIV/0!</v>
      </c>
      <c r="G166" s="382"/>
      <c r="H166" s="383"/>
      <c r="I166" s="383"/>
      <c r="J166" s="381"/>
      <c r="K166" s="381"/>
      <c r="L166" s="380"/>
      <c r="M166" s="380"/>
      <c r="N166" s="379"/>
      <c r="O166" s="379"/>
    </row>
    <row r="167" spans="1:15">
      <c r="A167" s="384" t="s">
        <v>854</v>
      </c>
      <c r="B167" s="384" t="s">
        <v>230</v>
      </c>
      <c r="C167" s="392" t="s">
        <v>231</v>
      </c>
      <c r="D167" s="383" t="s">
        <v>88</v>
      </c>
      <c r="E167" s="383">
        <v>0.33</v>
      </c>
      <c r="F167" s="382" t="e">
        <f t="shared" si="3"/>
        <v>#DIV/0!</v>
      </c>
      <c r="G167" s="382"/>
      <c r="H167" s="383"/>
      <c r="I167" s="383"/>
      <c r="J167" s="381"/>
      <c r="K167" s="381"/>
      <c r="L167" s="380"/>
      <c r="M167" s="380"/>
      <c r="N167" s="379"/>
      <c r="O167" s="379"/>
    </row>
    <row r="168" spans="1:15">
      <c r="A168" s="384" t="s">
        <v>437</v>
      </c>
      <c r="B168" s="384" t="s">
        <v>631</v>
      </c>
      <c r="C168" s="392" t="s">
        <v>632</v>
      </c>
      <c r="D168" s="383" t="s">
        <v>148</v>
      </c>
      <c r="E168" s="383">
        <v>0.35</v>
      </c>
      <c r="F168" s="382">
        <f t="shared" si="3"/>
        <v>0.36</v>
      </c>
      <c r="G168" s="382"/>
      <c r="H168" s="383"/>
      <c r="I168" s="383"/>
      <c r="J168" s="381"/>
      <c r="K168" s="381"/>
      <c r="L168" s="380"/>
      <c r="M168" s="380"/>
      <c r="N168" s="379">
        <v>0.36</v>
      </c>
      <c r="O168" s="379"/>
    </row>
    <row r="169" spans="1:15">
      <c r="A169" s="384" t="s">
        <v>437</v>
      </c>
      <c r="B169" s="384" t="s">
        <v>633</v>
      </c>
      <c r="C169" s="392" t="s">
        <v>634</v>
      </c>
      <c r="D169" s="383" t="s">
        <v>156</v>
      </c>
      <c r="E169" s="383">
        <v>0.35</v>
      </c>
      <c r="F169" s="382">
        <f t="shared" si="3"/>
        <v>0.31000000000000005</v>
      </c>
      <c r="G169" s="382"/>
      <c r="H169" s="383"/>
      <c r="I169" s="383"/>
      <c r="J169" s="381"/>
      <c r="K169" s="381"/>
      <c r="L169" s="380"/>
      <c r="M169" s="380"/>
      <c r="N169" s="379">
        <f>AVERAGE(0.28,0.34)</f>
        <v>0.31000000000000005</v>
      </c>
      <c r="O169" s="379"/>
    </row>
    <row r="170" spans="1:15">
      <c r="A170" s="384" t="s">
        <v>854</v>
      </c>
      <c r="B170" s="384" t="s">
        <v>233</v>
      </c>
      <c r="C170" s="392" t="s">
        <v>234</v>
      </c>
      <c r="D170" s="383" t="s">
        <v>88</v>
      </c>
      <c r="E170" s="383">
        <v>0.35</v>
      </c>
      <c r="F170" s="382" t="e">
        <f t="shared" si="3"/>
        <v>#DIV/0!</v>
      </c>
      <c r="G170" s="382"/>
      <c r="H170" s="383"/>
      <c r="I170" s="383"/>
      <c r="J170" s="381"/>
      <c r="K170" s="381"/>
      <c r="L170" s="380"/>
      <c r="M170" s="380"/>
      <c r="N170" s="379"/>
      <c r="O170" s="379"/>
    </row>
    <row r="171" spans="1:15">
      <c r="A171" s="384" t="s">
        <v>854</v>
      </c>
      <c r="B171" s="384" t="s">
        <v>235</v>
      </c>
      <c r="C171" s="392" t="s">
        <v>236</v>
      </c>
      <c r="D171" s="383" t="s">
        <v>237</v>
      </c>
      <c r="E171" s="383">
        <v>0.35</v>
      </c>
      <c r="F171" s="382" t="e">
        <f t="shared" si="3"/>
        <v>#DIV/0!</v>
      </c>
      <c r="G171" s="382"/>
      <c r="H171" s="383"/>
      <c r="I171" s="383"/>
      <c r="J171" s="381"/>
      <c r="K171" s="381"/>
      <c r="L171" s="380"/>
      <c r="M171" s="380"/>
      <c r="N171" s="379"/>
      <c r="O171" s="379"/>
    </row>
    <row r="172" spans="1:15">
      <c r="A172" s="384" t="s">
        <v>854</v>
      </c>
      <c r="B172" s="384" t="s">
        <v>238</v>
      </c>
      <c r="C172" s="392" t="s">
        <v>239</v>
      </c>
      <c r="D172" s="383" t="s">
        <v>160</v>
      </c>
      <c r="E172" s="383">
        <v>0.35</v>
      </c>
      <c r="F172" s="382" t="e">
        <f t="shared" si="3"/>
        <v>#DIV/0!</v>
      </c>
      <c r="G172" s="382"/>
      <c r="H172" s="383"/>
      <c r="I172" s="383"/>
      <c r="J172" s="381"/>
      <c r="K172" s="381"/>
      <c r="L172" s="380"/>
      <c r="M172" s="380"/>
      <c r="N172" s="379"/>
      <c r="O172" s="379"/>
    </row>
    <row r="173" spans="1:15">
      <c r="A173" s="384" t="s">
        <v>854</v>
      </c>
      <c r="B173" s="384" t="s">
        <v>736</v>
      </c>
      <c r="C173" s="392" t="s">
        <v>737</v>
      </c>
      <c r="D173" s="383" t="s">
        <v>261</v>
      </c>
      <c r="E173" s="383">
        <v>0.35</v>
      </c>
      <c r="F173" s="382" t="e">
        <f t="shared" si="3"/>
        <v>#DIV/0!</v>
      </c>
      <c r="G173" s="382"/>
      <c r="H173" s="383"/>
      <c r="I173" s="383"/>
      <c r="J173" s="381"/>
      <c r="K173" s="381"/>
      <c r="L173" s="380"/>
      <c r="M173" s="380"/>
      <c r="N173" s="379"/>
      <c r="O173" s="379"/>
    </row>
    <row r="174" spans="1:15">
      <c r="A174" s="384" t="s">
        <v>854</v>
      </c>
      <c r="B174" s="384" t="s">
        <v>240</v>
      </c>
      <c r="C174" s="392" t="s">
        <v>241</v>
      </c>
      <c r="D174" s="383" t="s">
        <v>114</v>
      </c>
      <c r="E174" s="383">
        <v>0.38</v>
      </c>
      <c r="F174" s="382" t="e">
        <f t="shared" si="3"/>
        <v>#DIV/0!</v>
      </c>
      <c r="G174" s="382"/>
      <c r="H174" s="383"/>
      <c r="I174" s="383"/>
      <c r="J174" s="381"/>
      <c r="K174" s="381"/>
      <c r="L174" s="380"/>
      <c r="M174" s="380"/>
      <c r="N174" s="379"/>
      <c r="O174" s="379"/>
    </row>
    <row r="175" spans="1:15">
      <c r="A175" s="384" t="s">
        <v>854</v>
      </c>
      <c r="B175" s="384" t="s">
        <v>982</v>
      </c>
      <c r="C175" s="392" t="s">
        <v>983</v>
      </c>
      <c r="D175" s="383" t="s">
        <v>160</v>
      </c>
      <c r="E175" s="383">
        <v>0.41</v>
      </c>
      <c r="F175" s="382" t="e">
        <f t="shared" si="3"/>
        <v>#DIV/0!</v>
      </c>
      <c r="G175" s="382"/>
      <c r="H175" s="383"/>
      <c r="I175" s="383"/>
      <c r="J175" s="381"/>
      <c r="K175" s="381"/>
      <c r="L175" s="380"/>
      <c r="M175" s="380"/>
      <c r="N175" s="379"/>
      <c r="O175" s="379"/>
    </row>
    <row r="176" spans="1:15">
      <c r="A176" s="384" t="s">
        <v>262</v>
      </c>
      <c r="B176" s="384" t="s">
        <v>379</v>
      </c>
      <c r="C176" s="392" t="s">
        <v>380</v>
      </c>
      <c r="D176" s="383" t="s">
        <v>160</v>
      </c>
      <c r="E176" s="383">
        <v>0.41</v>
      </c>
      <c r="F176" s="382" t="e">
        <f t="shared" si="3"/>
        <v>#DIV/0!</v>
      </c>
      <c r="G176" s="382"/>
      <c r="H176" s="383"/>
      <c r="I176" s="383"/>
      <c r="J176" s="381"/>
      <c r="K176" s="381"/>
      <c r="L176" s="380"/>
      <c r="M176" s="380"/>
      <c r="N176" s="379"/>
      <c r="O176" s="379"/>
    </row>
    <row r="177" spans="1:15">
      <c r="A177" s="384" t="s">
        <v>262</v>
      </c>
      <c r="B177" s="384" t="s">
        <v>385</v>
      </c>
      <c r="C177" s="392" t="s">
        <v>386</v>
      </c>
      <c r="D177" s="383" t="s">
        <v>261</v>
      </c>
      <c r="E177" s="383">
        <v>0.38</v>
      </c>
      <c r="F177" s="382" t="e">
        <f t="shared" si="3"/>
        <v>#DIV/0!</v>
      </c>
      <c r="G177" s="382"/>
      <c r="H177" s="383"/>
      <c r="I177" s="383"/>
      <c r="J177" s="381"/>
      <c r="K177" s="381"/>
      <c r="L177" s="380"/>
      <c r="M177" s="380"/>
      <c r="N177" s="379"/>
      <c r="O177" s="379"/>
    </row>
    <row r="178" spans="1:15">
      <c r="A178" s="384" t="s">
        <v>262</v>
      </c>
      <c r="B178" s="384" t="s">
        <v>776</v>
      </c>
      <c r="C178" s="392" t="s">
        <v>777</v>
      </c>
      <c r="D178" s="383" t="s">
        <v>330</v>
      </c>
      <c r="E178" s="383">
        <v>0.38</v>
      </c>
      <c r="F178" s="382" t="e">
        <f t="shared" si="3"/>
        <v>#DIV/0!</v>
      </c>
      <c r="G178" s="382"/>
      <c r="H178" s="383"/>
      <c r="I178" s="383"/>
      <c r="J178" s="381"/>
      <c r="K178" s="381"/>
      <c r="L178" s="380"/>
      <c r="M178" s="380"/>
      <c r="N178" s="379"/>
      <c r="O178" s="379"/>
    </row>
    <row r="179" spans="1:15">
      <c r="A179" s="384" t="s">
        <v>262</v>
      </c>
      <c r="B179" s="384" t="s">
        <v>779</v>
      </c>
      <c r="C179" s="392" t="s">
        <v>780</v>
      </c>
      <c r="D179" s="383" t="s">
        <v>330</v>
      </c>
      <c r="E179" s="383">
        <v>0.55000000000000004</v>
      </c>
      <c r="F179" s="382" t="e">
        <f t="shared" si="3"/>
        <v>#DIV/0!</v>
      </c>
      <c r="G179" s="382"/>
      <c r="H179" s="383"/>
      <c r="I179" s="383"/>
      <c r="J179" s="381"/>
      <c r="K179" s="381"/>
      <c r="L179" s="380"/>
      <c r="M179" s="380"/>
      <c r="N179" s="379"/>
      <c r="O179" s="379"/>
    </row>
    <row r="180" spans="1:15">
      <c r="A180" s="384" t="s">
        <v>262</v>
      </c>
      <c r="B180" s="384" t="s">
        <v>781</v>
      </c>
      <c r="C180" s="392" t="s">
        <v>782</v>
      </c>
      <c r="D180" s="383" t="s">
        <v>330</v>
      </c>
      <c r="E180" s="383">
        <v>0.55000000000000004</v>
      </c>
      <c r="F180" s="382" t="e">
        <f t="shared" si="3"/>
        <v>#DIV/0!</v>
      </c>
      <c r="G180" s="382"/>
      <c r="H180" s="383"/>
      <c r="I180" s="383"/>
      <c r="J180" s="381"/>
      <c r="K180" s="381"/>
      <c r="L180" s="380"/>
      <c r="M180" s="380"/>
      <c r="N180" s="379"/>
      <c r="O180" s="379"/>
    </row>
    <row r="181" spans="1:15">
      <c r="A181" s="384" t="s">
        <v>262</v>
      </c>
      <c r="B181" s="384" t="s">
        <v>392</v>
      </c>
      <c r="C181" s="392" t="s">
        <v>393</v>
      </c>
      <c r="D181" s="383" t="s">
        <v>330</v>
      </c>
      <c r="E181" s="383">
        <v>0.55000000000000004</v>
      </c>
      <c r="F181" s="382" t="e">
        <f t="shared" si="3"/>
        <v>#DIV/0!</v>
      </c>
      <c r="G181" s="382"/>
      <c r="H181" s="383"/>
      <c r="I181" s="383"/>
      <c r="J181" s="381"/>
      <c r="K181" s="381"/>
      <c r="L181" s="380"/>
      <c r="M181" s="380"/>
      <c r="N181" s="379"/>
      <c r="O181" s="379"/>
    </row>
    <row r="182" spans="1:15">
      <c r="A182" s="384" t="s">
        <v>262</v>
      </c>
      <c r="B182" s="384" t="s">
        <v>399</v>
      </c>
      <c r="C182" s="392" t="s">
        <v>400</v>
      </c>
      <c r="D182" s="383" t="s">
        <v>330</v>
      </c>
      <c r="E182" s="383">
        <v>0.55000000000000004</v>
      </c>
      <c r="F182" s="382" t="e">
        <f t="shared" si="3"/>
        <v>#DIV/0!</v>
      </c>
      <c r="G182" s="382"/>
      <c r="H182" s="383"/>
      <c r="I182" s="383"/>
      <c r="J182" s="381"/>
      <c r="K182" s="381"/>
      <c r="L182" s="380"/>
      <c r="M182" s="380"/>
      <c r="N182" s="379"/>
      <c r="O182" s="379"/>
    </row>
    <row r="183" spans="1:15">
      <c r="A183" s="384" t="s">
        <v>262</v>
      </c>
      <c r="B183" s="384" t="s">
        <v>401</v>
      </c>
      <c r="C183" s="392" t="s">
        <v>402</v>
      </c>
      <c r="D183" s="383" t="s">
        <v>330</v>
      </c>
      <c r="E183" s="383">
        <v>0.55000000000000004</v>
      </c>
      <c r="F183" s="382" t="e">
        <f t="shared" si="3"/>
        <v>#DIV/0!</v>
      </c>
      <c r="G183" s="382"/>
      <c r="H183" s="383"/>
      <c r="I183" s="383"/>
      <c r="J183" s="381"/>
      <c r="K183" s="381"/>
      <c r="L183" s="380"/>
      <c r="M183" s="380"/>
      <c r="N183" s="379"/>
      <c r="O183" s="379"/>
    </row>
    <row r="184" spans="1:15">
      <c r="A184" s="384" t="s">
        <v>262</v>
      </c>
      <c r="B184" s="384" t="s">
        <v>405</v>
      </c>
      <c r="C184" s="392" t="s">
        <v>406</v>
      </c>
      <c r="D184" s="383" t="s">
        <v>330</v>
      </c>
      <c r="E184" s="383">
        <v>0.55000000000000004</v>
      </c>
      <c r="F184" s="382" t="e">
        <f t="shared" si="3"/>
        <v>#DIV/0!</v>
      </c>
      <c r="G184" s="382"/>
      <c r="H184" s="383"/>
      <c r="I184" s="383"/>
      <c r="J184" s="381"/>
      <c r="K184" s="381"/>
      <c r="L184" s="380"/>
      <c r="M184" s="380"/>
      <c r="N184" s="379"/>
      <c r="O184" s="379"/>
    </row>
    <row r="185" spans="1:15">
      <c r="A185" s="384" t="s">
        <v>262</v>
      </c>
      <c r="B185" s="384" t="s">
        <v>407</v>
      </c>
      <c r="C185" s="392" t="s">
        <v>408</v>
      </c>
      <c r="D185" s="383" t="s">
        <v>330</v>
      </c>
      <c r="E185" s="383">
        <v>0.55000000000000004</v>
      </c>
      <c r="F185" s="382" t="e">
        <f t="shared" si="3"/>
        <v>#DIV/0!</v>
      </c>
      <c r="G185" s="382"/>
      <c r="H185" s="383"/>
      <c r="I185" s="383"/>
      <c r="J185" s="381"/>
      <c r="K185" s="381"/>
      <c r="L185" s="380"/>
      <c r="M185" s="380"/>
      <c r="N185" s="379"/>
      <c r="O185" s="379"/>
    </row>
    <row r="186" spans="1:15">
      <c r="A186" s="384" t="s">
        <v>262</v>
      </c>
      <c r="B186" s="384" t="s">
        <v>409</v>
      </c>
      <c r="C186" s="392" t="s">
        <v>410</v>
      </c>
      <c r="D186" s="383" t="s">
        <v>119</v>
      </c>
      <c r="E186" s="383">
        <v>0.52</v>
      </c>
      <c r="F186" s="382" t="e">
        <f t="shared" si="3"/>
        <v>#DIV/0!</v>
      </c>
      <c r="G186" s="382"/>
      <c r="H186" s="383"/>
      <c r="I186" s="383"/>
      <c r="J186" s="381"/>
      <c r="K186" s="381"/>
      <c r="L186" s="380"/>
      <c r="M186" s="380"/>
      <c r="N186" s="379"/>
      <c r="O186" s="379"/>
    </row>
    <row r="187" spans="1:15">
      <c r="A187" s="384" t="s">
        <v>262</v>
      </c>
      <c r="B187" s="384" t="s">
        <v>411</v>
      </c>
      <c r="C187" s="392" t="s">
        <v>412</v>
      </c>
      <c r="D187" s="383" t="s">
        <v>160</v>
      </c>
      <c r="E187" s="383">
        <v>0.41</v>
      </c>
      <c r="F187" s="382" t="e">
        <f t="shared" si="3"/>
        <v>#DIV/0!</v>
      </c>
      <c r="G187" s="382"/>
      <c r="H187" s="383"/>
      <c r="I187" s="383"/>
      <c r="J187" s="381"/>
      <c r="K187" s="381"/>
      <c r="L187" s="380"/>
      <c r="M187" s="380"/>
      <c r="N187" s="379"/>
      <c r="O187" s="379"/>
    </row>
    <row r="188" spans="1:15">
      <c r="A188" s="384" t="s">
        <v>262</v>
      </c>
      <c r="B188" s="384" t="s">
        <v>414</v>
      </c>
      <c r="C188" s="392" t="s">
        <v>415</v>
      </c>
      <c r="D188" s="383" t="s">
        <v>330</v>
      </c>
      <c r="E188" s="383">
        <v>0.55000000000000004</v>
      </c>
      <c r="F188" s="382" t="e">
        <f t="shared" si="3"/>
        <v>#DIV/0!</v>
      </c>
      <c r="G188" s="382"/>
      <c r="H188" s="383"/>
      <c r="I188" s="383"/>
      <c r="J188" s="381"/>
      <c r="K188" s="381"/>
      <c r="L188" s="380"/>
      <c r="M188" s="380"/>
      <c r="N188" s="379"/>
      <c r="O188" s="379"/>
    </row>
    <row r="189" spans="1:15">
      <c r="A189" s="384" t="s">
        <v>262</v>
      </c>
      <c r="B189" s="384" t="s">
        <v>787</v>
      </c>
      <c r="C189" s="392" t="s">
        <v>788</v>
      </c>
      <c r="D189" s="383" t="s">
        <v>148</v>
      </c>
      <c r="E189" s="383">
        <v>0.35</v>
      </c>
      <c r="F189" s="382" t="e">
        <f t="shared" si="3"/>
        <v>#DIV/0!</v>
      </c>
      <c r="G189" s="382"/>
      <c r="H189" s="383"/>
      <c r="I189" s="383"/>
      <c r="J189" s="381"/>
      <c r="K189" s="381"/>
      <c r="L189" s="380"/>
      <c r="M189" s="380"/>
      <c r="N189" s="379"/>
      <c r="O189" s="379"/>
    </row>
    <row r="190" spans="1:15">
      <c r="A190" s="384" t="s">
        <v>262</v>
      </c>
      <c r="B190" s="384" t="s">
        <v>789</v>
      </c>
      <c r="C190" s="392" t="s">
        <v>790</v>
      </c>
      <c r="D190" s="383" t="s">
        <v>148</v>
      </c>
      <c r="E190" s="383">
        <v>0.35</v>
      </c>
      <c r="F190" s="382" t="e">
        <f t="shared" si="3"/>
        <v>#DIV/0!</v>
      </c>
      <c r="G190" s="382"/>
      <c r="H190" s="383"/>
      <c r="I190" s="383"/>
      <c r="J190" s="381"/>
      <c r="K190" s="381"/>
      <c r="L190" s="380"/>
      <c r="M190" s="380"/>
      <c r="N190" s="379"/>
      <c r="O190" s="379"/>
    </row>
    <row r="191" spans="1:15">
      <c r="A191" s="384" t="s">
        <v>262</v>
      </c>
      <c r="B191" s="384" t="s">
        <v>416</v>
      </c>
      <c r="C191" s="392" t="s">
        <v>984</v>
      </c>
      <c r="D191" s="383" t="s">
        <v>99</v>
      </c>
      <c r="E191" s="383">
        <v>0.35</v>
      </c>
      <c r="F191" s="382" t="e">
        <f t="shared" si="3"/>
        <v>#DIV/0!</v>
      </c>
      <c r="G191" s="382"/>
      <c r="H191" s="383"/>
      <c r="I191" s="383"/>
      <c r="J191" s="381"/>
      <c r="K191" s="381"/>
      <c r="L191" s="380"/>
      <c r="M191" s="380"/>
      <c r="N191" s="379"/>
      <c r="O191" s="379"/>
    </row>
    <row r="192" spans="1:15">
      <c r="A192" s="384" t="s">
        <v>437</v>
      </c>
      <c r="B192" s="384" t="s">
        <v>635</v>
      </c>
      <c r="C192" s="392" t="s">
        <v>636</v>
      </c>
      <c r="D192" s="383" t="s">
        <v>88</v>
      </c>
      <c r="E192" s="383">
        <v>0.35</v>
      </c>
      <c r="F192" s="382" t="e">
        <f t="shared" si="3"/>
        <v>#DIV/0!</v>
      </c>
      <c r="G192" s="382"/>
      <c r="H192" s="383"/>
      <c r="I192" s="383"/>
      <c r="J192" s="381"/>
      <c r="K192" s="381"/>
      <c r="L192" s="380"/>
      <c r="M192" s="380"/>
      <c r="N192" s="379"/>
      <c r="O192" s="379"/>
    </row>
    <row r="193" spans="1:15">
      <c r="A193" s="384" t="s">
        <v>854</v>
      </c>
      <c r="B193" s="384" t="s">
        <v>739</v>
      </c>
      <c r="C193" s="392" t="s">
        <v>740</v>
      </c>
      <c r="D193" s="383" t="s">
        <v>88</v>
      </c>
      <c r="E193" s="383">
        <v>0.35</v>
      </c>
      <c r="F193" s="382" t="e">
        <f t="shared" si="3"/>
        <v>#DIV/0!</v>
      </c>
      <c r="G193" s="382"/>
      <c r="H193" s="383"/>
      <c r="I193" s="383"/>
      <c r="J193" s="381"/>
      <c r="K193" s="381"/>
      <c r="L193" s="380"/>
      <c r="M193" s="380"/>
      <c r="N193" s="379"/>
      <c r="O193" s="379"/>
    </row>
    <row r="194" spans="1:15">
      <c r="A194" s="384" t="s">
        <v>854</v>
      </c>
      <c r="B194" s="384" t="s">
        <v>246</v>
      </c>
      <c r="C194" s="392" t="s">
        <v>247</v>
      </c>
      <c r="D194" s="383" t="s">
        <v>160</v>
      </c>
      <c r="E194" s="383">
        <v>0.35</v>
      </c>
      <c r="F194" s="382" t="e">
        <f t="shared" ref="F194:F209" si="4">AVERAGE(J194:O194)</f>
        <v>#DIV/0!</v>
      </c>
      <c r="G194" s="382"/>
      <c r="H194" s="383"/>
      <c r="I194" s="383"/>
      <c r="J194" s="381"/>
      <c r="K194" s="381"/>
      <c r="L194" s="380"/>
      <c r="M194" s="380"/>
      <c r="N194" s="379"/>
      <c r="O194" s="379"/>
    </row>
    <row r="195" spans="1:15">
      <c r="A195" s="384" t="s">
        <v>854</v>
      </c>
      <c r="B195" s="384" t="s">
        <v>248</v>
      </c>
      <c r="C195" s="392" t="s">
        <v>249</v>
      </c>
      <c r="D195" s="383" t="s">
        <v>160</v>
      </c>
      <c r="E195" s="383">
        <v>0.41</v>
      </c>
      <c r="F195" s="382">
        <f t="shared" si="4"/>
        <v>0.41</v>
      </c>
      <c r="G195" s="382"/>
      <c r="H195" s="383"/>
      <c r="I195" s="383"/>
      <c r="J195" s="381"/>
      <c r="K195" s="381"/>
      <c r="L195" s="380"/>
      <c r="M195" s="380"/>
      <c r="N195" s="379">
        <f>AVERAGE(0.47,0.35)</f>
        <v>0.41</v>
      </c>
      <c r="O195" s="379"/>
    </row>
    <row r="196" spans="1:15">
      <c r="A196" s="384" t="s">
        <v>437</v>
      </c>
      <c r="B196" s="384" t="s">
        <v>637</v>
      </c>
      <c r="C196" s="392" t="s">
        <v>638</v>
      </c>
      <c r="D196" s="383" t="s">
        <v>88</v>
      </c>
      <c r="E196" s="383">
        <v>0.33</v>
      </c>
      <c r="F196" s="382">
        <f t="shared" si="4"/>
        <v>0.3</v>
      </c>
      <c r="G196" s="382"/>
      <c r="H196" s="383"/>
      <c r="I196" s="383"/>
      <c r="J196" s="381"/>
      <c r="K196" s="381"/>
      <c r="L196" s="380"/>
      <c r="M196" s="380"/>
      <c r="N196" s="379">
        <v>0.3</v>
      </c>
      <c r="O196" s="379"/>
    </row>
    <row r="197" spans="1:15">
      <c r="A197" s="384" t="s">
        <v>437</v>
      </c>
      <c r="B197" s="384" t="s">
        <v>837</v>
      </c>
      <c r="C197" s="392" t="s">
        <v>838</v>
      </c>
      <c r="D197" s="383" t="s">
        <v>261</v>
      </c>
      <c r="E197" s="383">
        <v>0.38</v>
      </c>
      <c r="F197" s="382" t="e">
        <f t="shared" si="4"/>
        <v>#DIV/0!</v>
      </c>
      <c r="G197" s="382"/>
      <c r="H197" s="383"/>
      <c r="I197" s="383"/>
      <c r="J197" s="381"/>
      <c r="K197" s="381"/>
      <c r="L197" s="380"/>
      <c r="M197" s="380"/>
      <c r="N197" s="379"/>
      <c r="O197" s="379"/>
    </row>
    <row r="198" spans="1:15">
      <c r="A198" s="384" t="s">
        <v>437</v>
      </c>
      <c r="B198" s="384" t="s">
        <v>640</v>
      </c>
      <c r="C198" s="392" t="s">
        <v>641</v>
      </c>
      <c r="D198" s="383" t="s">
        <v>221</v>
      </c>
      <c r="E198" s="383">
        <v>0.55000000000000004</v>
      </c>
      <c r="F198" s="382">
        <f t="shared" si="4"/>
        <v>0.54</v>
      </c>
      <c r="G198" s="382"/>
      <c r="H198" s="383"/>
      <c r="I198" s="383"/>
      <c r="J198" s="381"/>
      <c r="K198" s="381"/>
      <c r="L198" s="380"/>
      <c r="M198" s="380"/>
      <c r="N198" s="379">
        <v>0.54</v>
      </c>
      <c r="O198" s="379"/>
    </row>
    <row r="199" spans="1:15">
      <c r="A199" s="384" t="s">
        <v>437</v>
      </c>
      <c r="B199" s="384" t="s">
        <v>642</v>
      </c>
      <c r="C199" s="392" t="s">
        <v>643</v>
      </c>
      <c r="D199" s="383" t="s">
        <v>546</v>
      </c>
      <c r="E199" s="383">
        <v>0.3</v>
      </c>
      <c r="F199" s="382">
        <f t="shared" si="4"/>
        <v>0.34</v>
      </c>
      <c r="G199" s="382"/>
      <c r="H199" s="383"/>
      <c r="I199" s="383"/>
      <c r="J199" s="381"/>
      <c r="K199" s="381"/>
      <c r="L199" s="380"/>
      <c r="M199" s="380"/>
      <c r="N199" s="379">
        <v>0.34</v>
      </c>
      <c r="O199" s="379"/>
    </row>
    <row r="200" spans="1:15">
      <c r="A200" s="384" t="s">
        <v>437</v>
      </c>
      <c r="B200" s="384" t="s">
        <v>645</v>
      </c>
      <c r="C200" s="392" t="s">
        <v>646</v>
      </c>
      <c r="D200" s="383" t="s">
        <v>160</v>
      </c>
      <c r="E200" s="383">
        <v>0.41</v>
      </c>
      <c r="F200" s="382">
        <f t="shared" si="4"/>
        <v>0.5</v>
      </c>
      <c r="G200" s="382"/>
      <c r="H200" s="383"/>
      <c r="I200" s="383"/>
      <c r="J200" s="381"/>
      <c r="K200" s="381"/>
      <c r="L200" s="380"/>
      <c r="M200" s="380"/>
      <c r="N200" s="379">
        <f>AVERAGE(0.52,0.48)</f>
        <v>0.5</v>
      </c>
      <c r="O200" s="379"/>
    </row>
    <row r="201" spans="1:15">
      <c r="A201" s="384" t="s">
        <v>437</v>
      </c>
      <c r="B201" s="384" t="s">
        <v>651</v>
      </c>
      <c r="C201" s="392" t="s">
        <v>652</v>
      </c>
      <c r="D201" s="383" t="s">
        <v>261</v>
      </c>
      <c r="E201" s="383">
        <v>0.38</v>
      </c>
      <c r="F201" s="382">
        <f t="shared" si="4"/>
        <v>0.46499999999999997</v>
      </c>
      <c r="G201" s="382"/>
      <c r="H201" s="383"/>
      <c r="I201" s="383"/>
      <c r="J201" s="381"/>
      <c r="K201" s="381"/>
      <c r="L201" s="380"/>
      <c r="M201" s="380"/>
      <c r="N201" s="379">
        <f>AVERAGE(0.44,0.49)</f>
        <v>0.46499999999999997</v>
      </c>
      <c r="O201" s="379"/>
    </row>
    <row r="202" spans="1:15">
      <c r="A202" s="384" t="s">
        <v>437</v>
      </c>
      <c r="B202" s="384" t="s">
        <v>655</v>
      </c>
      <c r="C202" s="392" t="s">
        <v>656</v>
      </c>
      <c r="D202" s="383" t="s">
        <v>129</v>
      </c>
      <c r="E202" s="383">
        <v>0.45</v>
      </c>
      <c r="F202" s="382" t="e">
        <f t="shared" si="4"/>
        <v>#DIV/0!</v>
      </c>
      <c r="G202" s="382"/>
      <c r="H202" s="383"/>
      <c r="I202" s="383"/>
      <c r="J202" s="381"/>
      <c r="K202" s="381"/>
      <c r="L202" s="380"/>
      <c r="M202" s="380"/>
      <c r="N202" s="379"/>
      <c r="O202" s="379"/>
    </row>
    <row r="203" spans="1:15">
      <c r="A203" s="384" t="s">
        <v>437</v>
      </c>
      <c r="B203" s="384" t="s">
        <v>658</v>
      </c>
      <c r="C203" s="392" t="s">
        <v>659</v>
      </c>
      <c r="D203" s="383" t="s">
        <v>194</v>
      </c>
      <c r="E203" s="383">
        <v>0.5</v>
      </c>
      <c r="F203" s="382" t="e">
        <f t="shared" si="4"/>
        <v>#DIV/0!</v>
      </c>
      <c r="G203" s="382"/>
      <c r="H203" s="383"/>
      <c r="I203" s="383"/>
      <c r="J203" s="381"/>
      <c r="K203" s="381"/>
      <c r="L203" s="380"/>
      <c r="M203" s="380"/>
      <c r="N203" s="379"/>
      <c r="O203" s="379"/>
    </row>
    <row r="204" spans="1:15">
      <c r="A204" s="384" t="s">
        <v>854</v>
      </c>
      <c r="B204" s="384" t="s">
        <v>250</v>
      </c>
      <c r="C204" s="392" t="s">
        <v>251</v>
      </c>
      <c r="D204" s="383" t="s">
        <v>114</v>
      </c>
      <c r="E204" s="383">
        <v>0.38</v>
      </c>
      <c r="F204" s="382" t="e">
        <f t="shared" si="4"/>
        <v>#DIV/0!</v>
      </c>
      <c r="G204" s="382"/>
      <c r="H204" s="383"/>
      <c r="I204" s="383"/>
      <c r="J204" s="381"/>
      <c r="K204" s="381"/>
      <c r="L204" s="380"/>
      <c r="M204" s="380"/>
      <c r="N204" s="379"/>
      <c r="O204" s="379"/>
    </row>
    <row r="205" spans="1:15">
      <c r="A205" s="384" t="s">
        <v>262</v>
      </c>
      <c r="B205" s="384" t="s">
        <v>423</v>
      </c>
      <c r="C205" s="392" t="s">
        <v>424</v>
      </c>
      <c r="D205" s="383" t="s">
        <v>425</v>
      </c>
      <c r="E205" s="383">
        <v>0.35</v>
      </c>
      <c r="F205" s="382">
        <f t="shared" si="4"/>
        <v>0.3</v>
      </c>
      <c r="G205" s="382"/>
      <c r="H205" s="383"/>
      <c r="I205" s="383"/>
      <c r="J205" s="381"/>
      <c r="K205" s="381"/>
      <c r="L205" s="380"/>
      <c r="M205" s="380"/>
      <c r="N205" s="379">
        <v>0.3</v>
      </c>
      <c r="O205" s="379"/>
    </row>
    <row r="206" spans="1:15">
      <c r="A206" s="384" t="s">
        <v>262</v>
      </c>
      <c r="B206" s="384" t="s">
        <v>433</v>
      </c>
      <c r="C206" s="392" t="s">
        <v>434</v>
      </c>
      <c r="D206" s="383" t="s">
        <v>156</v>
      </c>
      <c r="E206" s="383">
        <v>0.32</v>
      </c>
      <c r="F206" s="382" t="e">
        <f t="shared" si="4"/>
        <v>#DIV/0!</v>
      </c>
      <c r="G206" s="382"/>
      <c r="H206" s="383"/>
      <c r="I206" s="383"/>
      <c r="J206" s="381"/>
      <c r="K206" s="381"/>
      <c r="L206" s="380"/>
      <c r="M206" s="380"/>
      <c r="N206" s="379"/>
      <c r="O206" s="379"/>
    </row>
    <row r="207" spans="1:15">
      <c r="A207" s="384" t="s">
        <v>262</v>
      </c>
      <c r="B207" s="384" t="s">
        <v>435</v>
      </c>
      <c r="C207" s="392" t="s">
        <v>436</v>
      </c>
      <c r="D207" s="383" t="s">
        <v>312</v>
      </c>
      <c r="E207" s="383">
        <v>0.3</v>
      </c>
      <c r="F207" s="382">
        <f t="shared" si="4"/>
        <v>0.32</v>
      </c>
      <c r="G207" s="382"/>
      <c r="H207" s="383"/>
      <c r="I207" s="383"/>
      <c r="J207" s="381"/>
      <c r="K207" s="381"/>
      <c r="L207" s="380"/>
      <c r="M207" s="380"/>
      <c r="N207" s="379">
        <v>0.32</v>
      </c>
      <c r="O207" s="379"/>
    </row>
    <row r="208" spans="1:15">
      <c r="A208" s="384" t="s">
        <v>854</v>
      </c>
      <c r="B208" s="384" t="s">
        <v>257</v>
      </c>
      <c r="C208" s="392" t="s">
        <v>258</v>
      </c>
      <c r="D208" s="383" t="s">
        <v>88</v>
      </c>
      <c r="E208" s="383">
        <v>0.33</v>
      </c>
      <c r="F208" s="382" t="e">
        <f t="shared" si="4"/>
        <v>#DIV/0!</v>
      </c>
      <c r="G208" s="382"/>
      <c r="H208" s="383"/>
      <c r="I208" s="383"/>
      <c r="J208" s="381"/>
      <c r="K208" s="381"/>
      <c r="L208" s="380"/>
      <c r="M208" s="380"/>
      <c r="N208" s="379"/>
      <c r="O208" s="379"/>
    </row>
    <row r="209" spans="1:15">
      <c r="A209" s="384" t="s">
        <v>854</v>
      </c>
      <c r="B209" s="384" t="s">
        <v>259</v>
      </c>
      <c r="C209" s="392" t="s">
        <v>260</v>
      </c>
      <c r="D209" s="383" t="s">
        <v>261</v>
      </c>
      <c r="E209" s="383">
        <v>0.38</v>
      </c>
      <c r="F209" s="382">
        <f t="shared" si="4"/>
        <v>0.255</v>
      </c>
      <c r="G209" s="382"/>
      <c r="H209" s="383"/>
      <c r="I209" s="383"/>
      <c r="J209" s="381"/>
      <c r="K209" s="381"/>
      <c r="L209" s="380"/>
      <c r="M209" s="380"/>
      <c r="N209" s="379">
        <v>0.27</v>
      </c>
      <c r="O209" s="379">
        <v>0.24</v>
      </c>
    </row>
  </sheetData>
  <autoFilter ref="A1:O209" xr:uid="{EF22AE34-2097-48AE-AB5F-800F7F5D9EAF}">
    <sortState xmlns:xlrd2="http://schemas.microsoft.com/office/spreadsheetml/2017/richdata2" ref="A2:O209">
      <sortCondition ref="B1:B209"/>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641B4-1497-45A0-8D42-D855E5574B1C}">
  <dimension ref="A5:C460"/>
  <sheetViews>
    <sheetView topLeftCell="D1" zoomScale="60" zoomScaleNormal="60" workbookViewId="0">
      <selection activeCell="O44" sqref="O44"/>
    </sheetView>
  </sheetViews>
  <sheetFormatPr defaultColWidth="9.140625" defaultRowHeight="15"/>
  <cols>
    <col min="1" max="1" width="20.28515625" style="4" hidden="1" customWidth="1"/>
    <col min="2" max="2" width="32.7109375" style="4" hidden="1" customWidth="1"/>
    <col min="3" max="3" width="27.85546875" style="4" hidden="1" customWidth="1"/>
    <col min="4" max="16384" width="9.140625" style="4"/>
  </cols>
  <sheetData>
    <row r="5" spans="1:3">
      <c r="A5" s="1" t="s">
        <v>985</v>
      </c>
      <c r="B5" t="s">
        <v>986</v>
      </c>
      <c r="C5"/>
    </row>
    <row r="6" spans="1:3">
      <c r="A6" s="2" t="s">
        <v>348</v>
      </c>
      <c r="B6">
        <v>9.7274897718885516</v>
      </c>
      <c r="C6"/>
    </row>
    <row r="7" spans="1:3">
      <c r="A7" s="3" t="s">
        <v>88</v>
      </c>
      <c r="B7">
        <v>9.7274897718885516</v>
      </c>
      <c r="C7"/>
    </row>
    <row r="8" spans="1:3">
      <c r="A8" s="2" t="s">
        <v>352</v>
      </c>
      <c r="B8">
        <v>9.6974743269783783</v>
      </c>
      <c r="C8"/>
    </row>
    <row r="9" spans="1:3">
      <c r="A9" s="3" t="s">
        <v>88</v>
      </c>
      <c r="B9">
        <v>9.6974743269783783</v>
      </c>
      <c r="C9"/>
    </row>
    <row r="10" spans="1:3">
      <c r="A10" s="2" t="s">
        <v>374</v>
      </c>
      <c r="B10">
        <v>11.229049600912202</v>
      </c>
      <c r="C10"/>
    </row>
    <row r="11" spans="1:3">
      <c r="A11" s="3" t="s">
        <v>88</v>
      </c>
      <c r="B11">
        <v>11.229049600912202</v>
      </c>
      <c r="C11"/>
    </row>
    <row r="12" spans="1:3">
      <c r="A12" s="2" t="s">
        <v>357</v>
      </c>
      <c r="B12">
        <v>11.72412407168839</v>
      </c>
      <c r="C12"/>
    </row>
    <row r="13" spans="1:3">
      <c r="A13" s="3" t="s">
        <v>88</v>
      </c>
      <c r="B13">
        <v>11.72412407168839</v>
      </c>
      <c r="C13"/>
    </row>
    <row r="14" spans="1:3">
      <c r="A14" s="2" t="s">
        <v>362</v>
      </c>
      <c r="B14">
        <v>10.809781432240017</v>
      </c>
      <c r="C14"/>
    </row>
    <row r="15" spans="1:3">
      <c r="A15" s="3" t="s">
        <v>88</v>
      </c>
      <c r="B15">
        <v>10.809781432240017</v>
      </c>
      <c r="C15"/>
    </row>
    <row r="16" spans="1:3">
      <c r="A16" s="2" t="s">
        <v>987</v>
      </c>
      <c r="B16">
        <v>10.452719550743614</v>
      </c>
      <c r="C16"/>
    </row>
    <row r="17" spans="1:3">
      <c r="A17"/>
      <c r="B17"/>
      <c r="C17"/>
    </row>
    <row r="18" spans="1:3">
      <c r="A18"/>
      <c r="B18"/>
      <c r="C18"/>
    </row>
    <row r="19" spans="1:3">
      <c r="A19"/>
      <c r="B19"/>
      <c r="C19"/>
    </row>
    <row r="20" spans="1:3">
      <c r="A20"/>
      <c r="B20"/>
      <c r="C20"/>
    </row>
    <row r="21" spans="1:3">
      <c r="A21"/>
      <c r="B21"/>
      <c r="C21"/>
    </row>
    <row r="22" spans="1:3">
      <c r="A22"/>
      <c r="B22"/>
      <c r="C22"/>
    </row>
    <row r="23" spans="1:3">
      <c r="A23"/>
      <c r="B23"/>
    </row>
    <row r="24" spans="1:3">
      <c r="A24"/>
      <c r="B24"/>
    </row>
    <row r="25" spans="1:3">
      <c r="A25"/>
      <c r="B25"/>
    </row>
    <row r="26" spans="1:3">
      <c r="A26"/>
      <c r="B26"/>
    </row>
    <row r="27" spans="1:3">
      <c r="A27"/>
      <c r="B27"/>
    </row>
    <row r="28" spans="1:3">
      <c r="A28"/>
      <c r="B28"/>
    </row>
    <row r="29" spans="1:3">
      <c r="A29"/>
      <c r="B29"/>
    </row>
    <row r="30" spans="1:3">
      <c r="A30"/>
      <c r="B30"/>
    </row>
    <row r="31" spans="1:3">
      <c r="A31"/>
      <c r="B31"/>
    </row>
    <row r="32" spans="1:3">
      <c r="A32"/>
      <c r="B32"/>
    </row>
    <row r="33" spans="1:2">
      <c r="A33"/>
      <c r="B33"/>
    </row>
    <row r="34" spans="1:2">
      <c r="A34"/>
      <c r="B34"/>
    </row>
    <row r="35" spans="1:2">
      <c r="A35"/>
      <c r="B35"/>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row r="85" spans="1:2">
      <c r="A85"/>
      <c r="B85"/>
    </row>
    <row r="86" spans="1:2">
      <c r="A86"/>
      <c r="B86"/>
    </row>
    <row r="87" spans="1:2">
      <c r="A87"/>
      <c r="B87"/>
    </row>
    <row r="88" spans="1:2">
      <c r="A88"/>
      <c r="B88"/>
    </row>
    <row r="89" spans="1:2">
      <c r="A89"/>
      <c r="B89"/>
    </row>
    <row r="90" spans="1:2">
      <c r="A90"/>
      <c r="B90"/>
    </row>
    <row r="91" spans="1:2">
      <c r="A91"/>
      <c r="B91"/>
    </row>
    <row r="92" spans="1:2">
      <c r="A92"/>
      <c r="B92"/>
    </row>
    <row r="93" spans="1:2">
      <c r="A93"/>
      <c r="B93"/>
    </row>
    <row r="94" spans="1:2">
      <c r="A94"/>
      <c r="B94"/>
    </row>
    <row r="95" spans="1:2">
      <c r="A95"/>
      <c r="B95"/>
    </row>
    <row r="96" spans="1:2">
      <c r="A96"/>
      <c r="B96"/>
    </row>
    <row r="97" spans="1:2">
      <c r="A97"/>
      <c r="B97"/>
    </row>
    <row r="98" spans="1:2">
      <c r="A98"/>
      <c r="B98"/>
    </row>
    <row r="99" spans="1:2">
      <c r="A99"/>
      <c r="B99"/>
    </row>
    <row r="100" spans="1:2">
      <c r="A100"/>
      <c r="B100"/>
    </row>
    <row r="101" spans="1:2">
      <c r="A101"/>
      <c r="B101"/>
    </row>
    <row r="102" spans="1:2">
      <c r="A102"/>
      <c r="B102"/>
    </row>
    <row r="103" spans="1:2">
      <c r="A103"/>
      <c r="B103"/>
    </row>
    <row r="104" spans="1:2">
      <c r="A104"/>
      <c r="B104"/>
    </row>
    <row r="105" spans="1:2">
      <c r="A105"/>
      <c r="B105"/>
    </row>
    <row r="106" spans="1:2">
      <c r="A106"/>
      <c r="B106"/>
    </row>
    <row r="107" spans="1:2">
      <c r="A107"/>
      <c r="B107"/>
    </row>
    <row r="108" spans="1:2">
      <c r="A108"/>
      <c r="B108"/>
    </row>
    <row r="109" spans="1:2">
      <c r="A109"/>
      <c r="B109"/>
    </row>
    <row r="110" spans="1:2">
      <c r="A110"/>
      <c r="B110"/>
    </row>
    <row r="111" spans="1:2">
      <c r="A111"/>
      <c r="B111"/>
    </row>
    <row r="112" spans="1:2">
      <c r="A112"/>
      <c r="B112"/>
    </row>
    <row r="113" spans="1:2">
      <c r="A113"/>
      <c r="B113"/>
    </row>
    <row r="114" spans="1:2">
      <c r="A114"/>
      <c r="B114"/>
    </row>
    <row r="115" spans="1:2">
      <c r="A115"/>
      <c r="B115"/>
    </row>
    <row r="116" spans="1:2">
      <c r="A116"/>
      <c r="B116"/>
    </row>
    <row r="117" spans="1:2">
      <c r="A117"/>
      <c r="B117"/>
    </row>
    <row r="118" spans="1:2">
      <c r="A118"/>
      <c r="B118"/>
    </row>
    <row r="119" spans="1:2">
      <c r="A119"/>
      <c r="B119"/>
    </row>
    <row r="120" spans="1:2">
      <c r="A120"/>
      <c r="B120"/>
    </row>
    <row r="121" spans="1:2">
      <c r="A121"/>
      <c r="B121"/>
    </row>
    <row r="122" spans="1:2">
      <c r="A122"/>
      <c r="B122"/>
    </row>
    <row r="123" spans="1:2">
      <c r="A123"/>
      <c r="B123"/>
    </row>
    <row r="124" spans="1:2">
      <c r="A124"/>
      <c r="B124"/>
    </row>
    <row r="125" spans="1:2">
      <c r="A125"/>
      <c r="B125"/>
    </row>
    <row r="126" spans="1:2">
      <c r="A126"/>
      <c r="B126"/>
    </row>
    <row r="127" spans="1:2">
      <c r="A127"/>
      <c r="B127"/>
    </row>
    <row r="128" spans="1:2">
      <c r="A128"/>
      <c r="B128"/>
    </row>
    <row r="129" spans="1:2">
      <c r="A129"/>
      <c r="B129"/>
    </row>
    <row r="130" spans="1:2">
      <c r="A130"/>
      <c r="B130"/>
    </row>
    <row r="131" spans="1:2">
      <c r="A131"/>
      <c r="B131"/>
    </row>
    <row r="132" spans="1:2">
      <c r="A132"/>
      <c r="B132"/>
    </row>
    <row r="133" spans="1:2">
      <c r="A133"/>
      <c r="B133"/>
    </row>
    <row r="134" spans="1:2">
      <c r="A134"/>
      <c r="B134"/>
    </row>
    <row r="135" spans="1:2">
      <c r="A135"/>
      <c r="B135"/>
    </row>
    <row r="136" spans="1:2">
      <c r="A136"/>
      <c r="B136"/>
    </row>
    <row r="137" spans="1:2">
      <c r="A137"/>
      <c r="B137"/>
    </row>
    <row r="138" spans="1:2">
      <c r="A138"/>
      <c r="B138"/>
    </row>
    <row r="139" spans="1:2">
      <c r="A139"/>
      <c r="B139"/>
    </row>
    <row r="140" spans="1:2">
      <c r="A140"/>
      <c r="B140"/>
    </row>
    <row r="141" spans="1:2">
      <c r="A141"/>
      <c r="B141"/>
    </row>
    <row r="142" spans="1:2">
      <c r="A142"/>
      <c r="B142"/>
    </row>
    <row r="143" spans="1:2">
      <c r="A143"/>
      <c r="B143"/>
    </row>
    <row r="144" spans="1:2">
      <c r="A144"/>
      <c r="B144"/>
    </row>
    <row r="145" spans="1:2">
      <c r="A145"/>
      <c r="B145"/>
    </row>
    <row r="146" spans="1:2">
      <c r="A146"/>
      <c r="B146"/>
    </row>
    <row r="147" spans="1:2">
      <c r="A147"/>
      <c r="B147"/>
    </row>
    <row r="148" spans="1:2">
      <c r="A148"/>
      <c r="B148"/>
    </row>
    <row r="149" spans="1:2">
      <c r="A149"/>
      <c r="B149"/>
    </row>
    <row r="150" spans="1:2">
      <c r="A150"/>
      <c r="B150"/>
    </row>
    <row r="151" spans="1:2">
      <c r="A151"/>
      <c r="B151"/>
    </row>
    <row r="152" spans="1:2">
      <c r="A152"/>
      <c r="B152"/>
    </row>
    <row r="153" spans="1:2">
      <c r="A153"/>
      <c r="B153"/>
    </row>
    <row r="154" spans="1:2">
      <c r="A154"/>
      <c r="B154"/>
    </row>
    <row r="155" spans="1:2">
      <c r="A155"/>
      <c r="B155"/>
    </row>
    <row r="156" spans="1:2">
      <c r="A156"/>
      <c r="B156"/>
    </row>
    <row r="157" spans="1:2">
      <c r="A157"/>
      <c r="B157"/>
    </row>
    <row r="158" spans="1:2">
      <c r="A158"/>
      <c r="B158"/>
    </row>
    <row r="159" spans="1:2">
      <c r="A159"/>
      <c r="B159"/>
    </row>
    <row r="160" spans="1:2">
      <c r="A160"/>
      <c r="B160"/>
    </row>
    <row r="161" spans="1:2">
      <c r="A161"/>
      <c r="B161"/>
    </row>
    <row r="162" spans="1:2">
      <c r="A162"/>
      <c r="B162"/>
    </row>
    <row r="163" spans="1:2">
      <c r="A163"/>
      <c r="B163"/>
    </row>
    <row r="164" spans="1:2">
      <c r="A164"/>
      <c r="B164"/>
    </row>
    <row r="165" spans="1:2">
      <c r="A165"/>
      <c r="B165"/>
    </row>
    <row r="166" spans="1:2">
      <c r="A166"/>
      <c r="B166"/>
    </row>
    <row r="167" spans="1:2">
      <c r="A167"/>
      <c r="B167"/>
    </row>
    <row r="168" spans="1:2">
      <c r="A168"/>
      <c r="B168"/>
    </row>
    <row r="169" spans="1:2">
      <c r="A169"/>
      <c r="B169"/>
    </row>
    <row r="170" spans="1:2">
      <c r="A170"/>
      <c r="B170"/>
    </row>
    <row r="171" spans="1:2">
      <c r="A171"/>
      <c r="B171"/>
    </row>
    <row r="172" spans="1:2">
      <c r="A172"/>
      <c r="B172"/>
    </row>
    <row r="173" spans="1:2">
      <c r="A173"/>
      <c r="B173"/>
    </row>
    <row r="174" spans="1:2">
      <c r="A174"/>
      <c r="B174"/>
    </row>
    <row r="175" spans="1:2">
      <c r="A175"/>
      <c r="B175"/>
    </row>
    <row r="176" spans="1:2">
      <c r="A176"/>
      <c r="B176"/>
    </row>
    <row r="177" spans="1:2">
      <c r="A177"/>
      <c r="B177"/>
    </row>
    <row r="178" spans="1:2">
      <c r="A178"/>
      <c r="B178"/>
    </row>
    <row r="179" spans="1:2">
      <c r="A179"/>
      <c r="B179"/>
    </row>
    <row r="180" spans="1:2">
      <c r="A180"/>
      <c r="B180"/>
    </row>
    <row r="181" spans="1:2">
      <c r="A181"/>
      <c r="B181"/>
    </row>
    <row r="182" spans="1:2">
      <c r="A182"/>
      <c r="B182"/>
    </row>
    <row r="183" spans="1:2">
      <c r="A183"/>
      <c r="B183"/>
    </row>
    <row r="184" spans="1:2">
      <c r="A184"/>
      <c r="B184"/>
    </row>
    <row r="185" spans="1:2">
      <c r="A185"/>
      <c r="B185"/>
    </row>
    <row r="186" spans="1:2">
      <c r="A186"/>
      <c r="B186"/>
    </row>
    <row r="187" spans="1:2">
      <c r="A187"/>
      <c r="B187"/>
    </row>
    <row r="188" spans="1:2">
      <c r="A188"/>
      <c r="B188"/>
    </row>
    <row r="189" spans="1:2">
      <c r="A189"/>
      <c r="B189"/>
    </row>
    <row r="190" spans="1:2">
      <c r="A190"/>
      <c r="B190"/>
    </row>
    <row r="191" spans="1:2">
      <c r="A191"/>
      <c r="B191"/>
    </row>
    <row r="192" spans="1:2">
      <c r="A192"/>
      <c r="B192"/>
    </row>
    <row r="193" spans="1:2">
      <c r="A193"/>
      <c r="B193"/>
    </row>
    <row r="194" spans="1:2">
      <c r="A194"/>
      <c r="B194"/>
    </row>
    <row r="195" spans="1:2">
      <c r="A195"/>
      <c r="B195"/>
    </row>
    <row r="196" spans="1:2">
      <c r="A196"/>
      <c r="B196"/>
    </row>
    <row r="197" spans="1:2">
      <c r="A197"/>
      <c r="B197"/>
    </row>
    <row r="198" spans="1:2">
      <c r="A198"/>
      <c r="B198"/>
    </row>
    <row r="199" spans="1:2">
      <c r="A199"/>
      <c r="B199"/>
    </row>
    <row r="200" spans="1:2">
      <c r="A200"/>
      <c r="B200"/>
    </row>
    <row r="201" spans="1:2">
      <c r="A201"/>
      <c r="B201"/>
    </row>
    <row r="202" spans="1:2">
      <c r="A202"/>
      <c r="B202"/>
    </row>
    <row r="203" spans="1:2">
      <c r="A203"/>
      <c r="B203"/>
    </row>
    <row r="204" spans="1:2">
      <c r="A204"/>
      <c r="B204"/>
    </row>
    <row r="205" spans="1:2">
      <c r="A205"/>
      <c r="B205"/>
    </row>
    <row r="206" spans="1:2">
      <c r="A206"/>
      <c r="B206"/>
    </row>
    <row r="207" spans="1:2">
      <c r="A207"/>
      <c r="B207"/>
    </row>
    <row r="208" spans="1:2">
      <c r="A208"/>
      <c r="B208"/>
    </row>
    <row r="209" spans="1:2">
      <c r="A209"/>
      <c r="B209"/>
    </row>
    <row r="210" spans="1:2">
      <c r="A210"/>
      <c r="B210"/>
    </row>
    <row r="211" spans="1:2">
      <c r="A211"/>
      <c r="B211"/>
    </row>
    <row r="212" spans="1:2">
      <c r="A212"/>
      <c r="B212"/>
    </row>
    <row r="213" spans="1:2">
      <c r="A213"/>
      <c r="B213"/>
    </row>
    <row r="214" spans="1:2">
      <c r="A214"/>
      <c r="B214"/>
    </row>
    <row r="215" spans="1:2">
      <c r="A215"/>
      <c r="B215"/>
    </row>
    <row r="216" spans="1:2">
      <c r="A216"/>
      <c r="B216"/>
    </row>
    <row r="217" spans="1:2">
      <c r="A217"/>
      <c r="B217"/>
    </row>
    <row r="218" spans="1:2">
      <c r="A218"/>
      <c r="B218"/>
    </row>
    <row r="219" spans="1:2">
      <c r="A219"/>
      <c r="B219"/>
    </row>
    <row r="220" spans="1:2">
      <c r="A220"/>
      <c r="B220"/>
    </row>
    <row r="221" spans="1:2">
      <c r="A221"/>
      <c r="B221"/>
    </row>
    <row r="222" spans="1:2">
      <c r="A222"/>
      <c r="B222"/>
    </row>
    <row r="223" spans="1:2">
      <c r="A223"/>
      <c r="B223"/>
    </row>
    <row r="224" spans="1:2">
      <c r="A224"/>
      <c r="B224"/>
    </row>
    <row r="225" spans="1:2">
      <c r="A225"/>
      <c r="B225"/>
    </row>
    <row r="226" spans="1:2">
      <c r="A226"/>
      <c r="B226"/>
    </row>
    <row r="227" spans="1:2">
      <c r="A227"/>
      <c r="B227"/>
    </row>
    <row r="228" spans="1:2">
      <c r="A228"/>
      <c r="B228"/>
    </row>
    <row r="229" spans="1:2">
      <c r="A229"/>
      <c r="B229"/>
    </row>
    <row r="230" spans="1:2">
      <c r="A230"/>
      <c r="B230"/>
    </row>
    <row r="231" spans="1:2">
      <c r="A231"/>
      <c r="B231"/>
    </row>
    <row r="232" spans="1:2">
      <c r="A232"/>
      <c r="B232"/>
    </row>
    <row r="233" spans="1:2">
      <c r="A233"/>
      <c r="B233"/>
    </row>
    <row r="234" spans="1:2">
      <c r="A234"/>
      <c r="B234"/>
    </row>
    <row r="235" spans="1:2">
      <c r="A235"/>
      <c r="B235"/>
    </row>
    <row r="236" spans="1:2">
      <c r="A236"/>
      <c r="B236"/>
    </row>
    <row r="237" spans="1:2">
      <c r="A237"/>
      <c r="B237"/>
    </row>
    <row r="238" spans="1:2">
      <c r="A238"/>
      <c r="B238"/>
    </row>
    <row r="239" spans="1:2">
      <c r="A239"/>
      <c r="B239"/>
    </row>
    <row r="240" spans="1:2">
      <c r="A240"/>
      <c r="B240"/>
    </row>
    <row r="241" spans="1:2">
      <c r="A241"/>
      <c r="B241"/>
    </row>
    <row r="242" spans="1:2">
      <c r="A242"/>
      <c r="B242"/>
    </row>
    <row r="243" spans="1:2">
      <c r="A243"/>
      <c r="B243"/>
    </row>
    <row r="244" spans="1:2">
      <c r="A244"/>
      <c r="B244"/>
    </row>
    <row r="245" spans="1:2">
      <c r="A245"/>
      <c r="B245"/>
    </row>
    <row r="246" spans="1:2">
      <c r="A246"/>
      <c r="B246"/>
    </row>
    <row r="247" spans="1:2">
      <c r="A247"/>
      <c r="B247"/>
    </row>
    <row r="248" spans="1:2">
      <c r="A248"/>
      <c r="B248"/>
    </row>
    <row r="249" spans="1:2">
      <c r="A249"/>
      <c r="B249"/>
    </row>
    <row r="250" spans="1:2">
      <c r="A250"/>
      <c r="B250"/>
    </row>
    <row r="251" spans="1:2">
      <c r="A251"/>
      <c r="B251"/>
    </row>
    <row r="252" spans="1:2">
      <c r="A252"/>
      <c r="B252"/>
    </row>
    <row r="253" spans="1:2">
      <c r="A253"/>
      <c r="B253"/>
    </row>
    <row r="254" spans="1:2">
      <c r="A254"/>
      <c r="B254"/>
    </row>
    <row r="255" spans="1:2">
      <c r="A255"/>
      <c r="B255"/>
    </row>
    <row r="256" spans="1:2">
      <c r="A256"/>
      <c r="B256"/>
    </row>
    <row r="257" spans="1:2">
      <c r="A257"/>
      <c r="B257"/>
    </row>
    <row r="258" spans="1:2">
      <c r="A258"/>
      <c r="B258"/>
    </row>
    <row r="259" spans="1:2">
      <c r="A259"/>
      <c r="B259"/>
    </row>
    <row r="260" spans="1:2">
      <c r="A260"/>
      <c r="B260"/>
    </row>
    <row r="261" spans="1:2">
      <c r="A261"/>
      <c r="B261"/>
    </row>
    <row r="262" spans="1:2">
      <c r="A262"/>
      <c r="B262"/>
    </row>
    <row r="263" spans="1:2">
      <c r="A263"/>
      <c r="B263"/>
    </row>
    <row r="264" spans="1:2">
      <c r="A264"/>
      <c r="B264"/>
    </row>
    <row r="265" spans="1:2">
      <c r="A265"/>
      <c r="B265"/>
    </row>
    <row r="266" spans="1:2">
      <c r="A266"/>
      <c r="B266"/>
    </row>
    <row r="267" spans="1:2">
      <c r="A267"/>
      <c r="B267"/>
    </row>
    <row r="268" spans="1:2">
      <c r="A268"/>
      <c r="B268"/>
    </row>
    <row r="269" spans="1:2">
      <c r="A269"/>
      <c r="B269"/>
    </row>
    <row r="270" spans="1:2">
      <c r="A270"/>
      <c r="B270"/>
    </row>
    <row r="271" spans="1:2">
      <c r="A271"/>
      <c r="B271"/>
    </row>
    <row r="272" spans="1:2">
      <c r="A272"/>
      <c r="B272"/>
    </row>
    <row r="273" spans="1:2">
      <c r="A273"/>
      <c r="B273"/>
    </row>
    <row r="274" spans="1:2">
      <c r="A274"/>
      <c r="B274"/>
    </row>
    <row r="275" spans="1:2">
      <c r="A275"/>
      <c r="B275"/>
    </row>
    <row r="276" spans="1:2">
      <c r="A276"/>
      <c r="B276"/>
    </row>
    <row r="277" spans="1:2">
      <c r="A277"/>
      <c r="B277"/>
    </row>
    <row r="278" spans="1:2">
      <c r="A278"/>
      <c r="B278"/>
    </row>
    <row r="279" spans="1:2">
      <c r="A279"/>
      <c r="B279"/>
    </row>
    <row r="280" spans="1:2">
      <c r="A280"/>
      <c r="B280"/>
    </row>
    <row r="281" spans="1:2">
      <c r="A281"/>
      <c r="B281"/>
    </row>
    <row r="282" spans="1:2">
      <c r="A282"/>
      <c r="B282"/>
    </row>
    <row r="283" spans="1:2">
      <c r="A283"/>
      <c r="B283"/>
    </row>
    <row r="284" spans="1:2">
      <c r="A284"/>
      <c r="B284"/>
    </row>
    <row r="285" spans="1:2">
      <c r="A285"/>
      <c r="B285"/>
    </row>
    <row r="286" spans="1:2">
      <c r="A286"/>
      <c r="B286"/>
    </row>
    <row r="287" spans="1:2">
      <c r="A287"/>
      <c r="B287"/>
    </row>
    <row r="288" spans="1:2">
      <c r="A288"/>
      <c r="B288"/>
    </row>
    <row r="289" spans="1:2">
      <c r="A289"/>
      <c r="B289"/>
    </row>
    <row r="290" spans="1:2">
      <c r="A290"/>
      <c r="B290"/>
    </row>
    <row r="291" spans="1:2">
      <c r="A291"/>
      <c r="B291"/>
    </row>
    <row r="292" spans="1:2">
      <c r="A292"/>
      <c r="B292"/>
    </row>
    <row r="293" spans="1:2">
      <c r="A293"/>
      <c r="B293"/>
    </row>
    <row r="294" spans="1:2">
      <c r="A294"/>
      <c r="B294"/>
    </row>
    <row r="295" spans="1:2">
      <c r="A295"/>
      <c r="B295"/>
    </row>
    <row r="296" spans="1:2">
      <c r="A296"/>
      <c r="B296"/>
    </row>
    <row r="297" spans="1:2">
      <c r="A297"/>
      <c r="B297"/>
    </row>
    <row r="298" spans="1:2">
      <c r="A298"/>
      <c r="B298"/>
    </row>
    <row r="299" spans="1:2">
      <c r="A299"/>
      <c r="B299"/>
    </row>
    <row r="300" spans="1:2">
      <c r="A300"/>
      <c r="B300"/>
    </row>
    <row r="301" spans="1:2">
      <c r="A301"/>
      <c r="B301"/>
    </row>
    <row r="302" spans="1:2">
      <c r="A302"/>
      <c r="B302"/>
    </row>
    <row r="303" spans="1:2">
      <c r="A303"/>
      <c r="B303"/>
    </row>
    <row r="304" spans="1:2">
      <c r="A304"/>
      <c r="B304"/>
    </row>
    <row r="305" spans="1:2">
      <c r="A305"/>
      <c r="B305"/>
    </row>
    <row r="306" spans="1:2">
      <c r="A306"/>
      <c r="B306"/>
    </row>
    <row r="307" spans="1:2">
      <c r="A307"/>
      <c r="B307"/>
    </row>
    <row r="308" spans="1:2">
      <c r="A308"/>
      <c r="B308"/>
    </row>
    <row r="309" spans="1:2">
      <c r="A309"/>
      <c r="B309"/>
    </row>
    <row r="310" spans="1:2">
      <c r="A310"/>
      <c r="B310"/>
    </row>
    <row r="311" spans="1:2">
      <c r="A311"/>
      <c r="B311"/>
    </row>
    <row r="312" spans="1:2">
      <c r="A312"/>
      <c r="B312"/>
    </row>
    <row r="313" spans="1:2">
      <c r="A313"/>
      <c r="B313"/>
    </row>
    <row r="314" spans="1:2">
      <c r="A314"/>
      <c r="B314"/>
    </row>
    <row r="315" spans="1:2">
      <c r="A315"/>
      <c r="B315"/>
    </row>
    <row r="316" spans="1:2">
      <c r="A316"/>
      <c r="B316"/>
    </row>
    <row r="317" spans="1:2">
      <c r="A317"/>
      <c r="B317"/>
    </row>
    <row r="318" spans="1:2">
      <c r="A318"/>
      <c r="B318"/>
    </row>
    <row r="319" spans="1:2">
      <c r="A319"/>
      <c r="B319"/>
    </row>
    <row r="320" spans="1:2">
      <c r="A320"/>
      <c r="B320"/>
    </row>
    <row r="321" spans="1:2">
      <c r="A321"/>
      <c r="B321"/>
    </row>
    <row r="322" spans="1:2">
      <c r="A322"/>
      <c r="B322"/>
    </row>
    <row r="323" spans="1:2">
      <c r="A323"/>
      <c r="B323"/>
    </row>
    <row r="324" spans="1:2">
      <c r="A324"/>
      <c r="B324"/>
    </row>
    <row r="325" spans="1:2">
      <c r="A325"/>
      <c r="B325"/>
    </row>
    <row r="326" spans="1:2">
      <c r="A326"/>
      <c r="B326"/>
    </row>
    <row r="327" spans="1:2">
      <c r="A327"/>
      <c r="B327"/>
    </row>
    <row r="328" spans="1:2">
      <c r="A328"/>
      <c r="B328"/>
    </row>
    <row r="329" spans="1:2">
      <c r="A329"/>
      <c r="B329"/>
    </row>
    <row r="330" spans="1:2">
      <c r="A330"/>
      <c r="B330"/>
    </row>
    <row r="331" spans="1:2">
      <c r="A331"/>
      <c r="B331"/>
    </row>
    <row r="332" spans="1:2">
      <c r="A332"/>
      <c r="B332"/>
    </row>
    <row r="333" spans="1:2">
      <c r="A333"/>
      <c r="B333"/>
    </row>
    <row r="334" spans="1:2">
      <c r="A334"/>
      <c r="B334"/>
    </row>
    <row r="335" spans="1:2">
      <c r="A335"/>
      <c r="B335"/>
    </row>
    <row r="336" spans="1:2">
      <c r="A336"/>
      <c r="B336"/>
    </row>
    <row r="337" spans="1:2">
      <c r="A337"/>
      <c r="B337"/>
    </row>
    <row r="338" spans="1:2">
      <c r="A338"/>
      <c r="B338"/>
    </row>
    <row r="339" spans="1:2">
      <c r="A339"/>
      <c r="B339"/>
    </row>
    <row r="340" spans="1:2">
      <c r="A340"/>
      <c r="B340"/>
    </row>
    <row r="341" spans="1:2">
      <c r="A341"/>
      <c r="B341"/>
    </row>
    <row r="342" spans="1:2">
      <c r="A342"/>
      <c r="B342"/>
    </row>
    <row r="343" spans="1:2">
      <c r="A343"/>
      <c r="B343"/>
    </row>
    <row r="344" spans="1:2">
      <c r="A344"/>
      <c r="B344"/>
    </row>
    <row r="345" spans="1:2">
      <c r="A345"/>
      <c r="B345"/>
    </row>
    <row r="346" spans="1:2">
      <c r="A346"/>
      <c r="B346"/>
    </row>
    <row r="347" spans="1:2">
      <c r="A347"/>
      <c r="B347"/>
    </row>
    <row r="348" spans="1:2">
      <c r="A348"/>
      <c r="B348"/>
    </row>
    <row r="349" spans="1:2">
      <c r="A349"/>
      <c r="B349"/>
    </row>
    <row r="350" spans="1:2">
      <c r="A350"/>
      <c r="B350"/>
    </row>
    <row r="351" spans="1:2">
      <c r="A351"/>
      <c r="B351"/>
    </row>
    <row r="352" spans="1:2">
      <c r="A352"/>
      <c r="B352"/>
    </row>
    <row r="353" spans="1:2">
      <c r="A353"/>
      <c r="B353"/>
    </row>
    <row r="354" spans="1:2">
      <c r="A354"/>
      <c r="B354"/>
    </row>
    <row r="355" spans="1:2">
      <c r="A355"/>
      <c r="B355"/>
    </row>
    <row r="356" spans="1:2">
      <c r="A356"/>
      <c r="B356"/>
    </row>
    <row r="357" spans="1:2">
      <c r="A357"/>
      <c r="B357"/>
    </row>
    <row r="358" spans="1:2">
      <c r="A358"/>
      <c r="B358"/>
    </row>
    <row r="359" spans="1:2">
      <c r="A359"/>
      <c r="B359"/>
    </row>
    <row r="360" spans="1:2">
      <c r="A360"/>
      <c r="B360"/>
    </row>
    <row r="361" spans="1:2">
      <c r="A361"/>
      <c r="B361"/>
    </row>
    <row r="362" spans="1:2">
      <c r="A362"/>
      <c r="B362"/>
    </row>
    <row r="363" spans="1:2">
      <c r="A363"/>
      <c r="B363"/>
    </row>
    <row r="364" spans="1:2">
      <c r="A364"/>
      <c r="B364"/>
    </row>
    <row r="365" spans="1:2">
      <c r="A365"/>
      <c r="B365"/>
    </row>
    <row r="366" spans="1:2">
      <c r="A366"/>
      <c r="B366"/>
    </row>
    <row r="367" spans="1:2">
      <c r="A367"/>
      <c r="B367"/>
    </row>
    <row r="368" spans="1:2">
      <c r="A368"/>
      <c r="B368"/>
    </row>
    <row r="369" spans="1:2">
      <c r="A369"/>
      <c r="B369"/>
    </row>
    <row r="370" spans="1:2">
      <c r="A370"/>
      <c r="B370"/>
    </row>
    <row r="371" spans="1:2">
      <c r="A371"/>
      <c r="B371"/>
    </row>
    <row r="372" spans="1:2">
      <c r="A372"/>
      <c r="B372"/>
    </row>
    <row r="373" spans="1:2">
      <c r="A373"/>
      <c r="B373"/>
    </row>
    <row r="374" spans="1:2">
      <c r="A374"/>
      <c r="B374"/>
    </row>
    <row r="375" spans="1:2">
      <c r="A375"/>
      <c r="B375"/>
    </row>
    <row r="376" spans="1:2">
      <c r="A376"/>
      <c r="B376"/>
    </row>
    <row r="377" spans="1:2">
      <c r="A377"/>
      <c r="B377"/>
    </row>
    <row r="378" spans="1:2">
      <c r="A378"/>
      <c r="B378"/>
    </row>
    <row r="379" spans="1:2">
      <c r="A379"/>
      <c r="B379"/>
    </row>
    <row r="380" spans="1:2">
      <c r="A380"/>
      <c r="B380"/>
    </row>
    <row r="381" spans="1:2">
      <c r="A381"/>
      <c r="B381"/>
    </row>
    <row r="382" spans="1:2">
      <c r="A382"/>
      <c r="B382"/>
    </row>
    <row r="383" spans="1:2">
      <c r="A383"/>
      <c r="B383"/>
    </row>
    <row r="384" spans="1:2">
      <c r="A384"/>
      <c r="B384"/>
    </row>
    <row r="385" spans="1:2">
      <c r="A385"/>
      <c r="B385"/>
    </row>
    <row r="386" spans="1:2">
      <c r="A386"/>
      <c r="B386"/>
    </row>
    <row r="387" spans="1:2">
      <c r="A387"/>
      <c r="B387"/>
    </row>
    <row r="388" spans="1:2">
      <c r="A388"/>
      <c r="B388"/>
    </row>
    <row r="389" spans="1:2">
      <c r="A389"/>
      <c r="B389"/>
    </row>
    <row r="390" spans="1:2">
      <c r="A390"/>
      <c r="B390"/>
    </row>
    <row r="391" spans="1:2">
      <c r="A391"/>
      <c r="B391"/>
    </row>
    <row r="392" spans="1:2">
      <c r="A392"/>
      <c r="B392"/>
    </row>
    <row r="393" spans="1:2">
      <c r="A393"/>
      <c r="B393"/>
    </row>
    <row r="394" spans="1:2">
      <c r="A394"/>
      <c r="B394"/>
    </row>
    <row r="395" spans="1:2">
      <c r="A395"/>
      <c r="B395"/>
    </row>
    <row r="396" spans="1:2">
      <c r="A396"/>
      <c r="B396"/>
    </row>
    <row r="397" spans="1:2">
      <c r="A397"/>
      <c r="B397"/>
    </row>
    <row r="398" spans="1:2">
      <c r="A398"/>
      <c r="B398"/>
    </row>
    <row r="399" spans="1:2">
      <c r="A399"/>
      <c r="B399"/>
    </row>
    <row r="400" spans="1:2">
      <c r="A400"/>
      <c r="B400"/>
    </row>
    <row r="401" spans="1:2">
      <c r="A401"/>
      <c r="B401"/>
    </row>
    <row r="402" spans="1:2">
      <c r="A402"/>
      <c r="B402"/>
    </row>
    <row r="403" spans="1:2">
      <c r="A403"/>
      <c r="B403"/>
    </row>
    <row r="404" spans="1:2">
      <c r="A404"/>
      <c r="B404"/>
    </row>
    <row r="405" spans="1:2">
      <c r="A405"/>
      <c r="B405"/>
    </row>
    <row r="406" spans="1:2">
      <c r="A406"/>
      <c r="B406"/>
    </row>
    <row r="407" spans="1:2">
      <c r="A407"/>
      <c r="B407"/>
    </row>
    <row r="408" spans="1:2">
      <c r="A408"/>
      <c r="B408"/>
    </row>
    <row r="409" spans="1:2">
      <c r="A409"/>
      <c r="B409"/>
    </row>
    <row r="410" spans="1:2">
      <c r="A410"/>
      <c r="B410"/>
    </row>
    <row r="411" spans="1:2">
      <c r="A411"/>
      <c r="B411"/>
    </row>
    <row r="412" spans="1:2">
      <c r="A412"/>
      <c r="B412"/>
    </row>
    <row r="413" spans="1:2">
      <c r="A413"/>
      <c r="B413"/>
    </row>
    <row r="414" spans="1:2">
      <c r="A414"/>
      <c r="B414"/>
    </row>
    <row r="415" spans="1:2">
      <c r="A415"/>
      <c r="B415"/>
    </row>
    <row r="416" spans="1:2">
      <c r="A416"/>
      <c r="B416"/>
    </row>
    <row r="417" spans="1:2">
      <c r="A417"/>
      <c r="B417"/>
    </row>
    <row r="418" spans="1:2">
      <c r="A418"/>
      <c r="B418"/>
    </row>
    <row r="419" spans="1:2">
      <c r="A419"/>
      <c r="B419"/>
    </row>
    <row r="420" spans="1:2">
      <c r="A420"/>
      <c r="B420"/>
    </row>
    <row r="421" spans="1:2">
      <c r="A421"/>
      <c r="B421"/>
    </row>
    <row r="422" spans="1:2">
      <c r="A422"/>
      <c r="B422"/>
    </row>
    <row r="423" spans="1:2">
      <c r="A423"/>
      <c r="B423"/>
    </row>
    <row r="424" spans="1:2">
      <c r="A424"/>
      <c r="B424"/>
    </row>
    <row r="425" spans="1:2">
      <c r="A425"/>
      <c r="B425"/>
    </row>
    <row r="426" spans="1:2">
      <c r="A426"/>
      <c r="B426"/>
    </row>
    <row r="427" spans="1:2">
      <c r="A427"/>
      <c r="B427"/>
    </row>
    <row r="428" spans="1:2">
      <c r="A428"/>
      <c r="B428"/>
    </row>
    <row r="429" spans="1:2">
      <c r="A429"/>
      <c r="B429"/>
    </row>
    <row r="430" spans="1:2">
      <c r="A430"/>
      <c r="B430"/>
    </row>
    <row r="431" spans="1:2">
      <c r="A431"/>
      <c r="B431"/>
    </row>
    <row r="432" spans="1:2">
      <c r="A432"/>
      <c r="B432"/>
    </row>
    <row r="433" spans="1:2">
      <c r="A433"/>
      <c r="B433"/>
    </row>
    <row r="434" spans="1:2">
      <c r="A434"/>
      <c r="B434"/>
    </row>
    <row r="435" spans="1:2">
      <c r="A435"/>
      <c r="B435"/>
    </row>
    <row r="436" spans="1:2">
      <c r="A436"/>
      <c r="B436"/>
    </row>
    <row r="437" spans="1:2">
      <c r="A437"/>
      <c r="B437"/>
    </row>
    <row r="438" spans="1:2">
      <c r="A438"/>
      <c r="B438"/>
    </row>
    <row r="439" spans="1:2">
      <c r="A439"/>
      <c r="B439"/>
    </row>
    <row r="440" spans="1:2">
      <c r="A440"/>
      <c r="B440"/>
    </row>
    <row r="441" spans="1:2">
      <c r="A441"/>
      <c r="B441"/>
    </row>
    <row r="442" spans="1:2">
      <c r="A442"/>
      <c r="B442"/>
    </row>
    <row r="443" spans="1:2">
      <c r="A443"/>
      <c r="B443"/>
    </row>
    <row r="444" spans="1:2">
      <c r="A444"/>
      <c r="B444"/>
    </row>
    <row r="445" spans="1:2">
      <c r="A445"/>
      <c r="B445"/>
    </row>
    <row r="446" spans="1:2">
      <c r="A446"/>
      <c r="B446"/>
    </row>
    <row r="447" spans="1:2">
      <c r="A447"/>
      <c r="B447"/>
    </row>
    <row r="448" spans="1:2">
      <c r="A448"/>
      <c r="B448"/>
    </row>
    <row r="449" spans="1:2">
      <c r="A449"/>
      <c r="B449"/>
    </row>
    <row r="450" spans="1:2">
      <c r="A450"/>
      <c r="B450"/>
    </row>
    <row r="451" spans="1:2">
      <c r="A451"/>
      <c r="B451"/>
    </row>
    <row r="452" spans="1:2">
      <c r="A452"/>
      <c r="B452"/>
    </row>
    <row r="453" spans="1:2">
      <c r="A453"/>
      <c r="B453"/>
    </row>
    <row r="454" spans="1:2">
      <c r="A454"/>
      <c r="B454"/>
    </row>
    <row r="455" spans="1:2">
      <c r="A455"/>
      <c r="B455"/>
    </row>
    <row r="456" spans="1:2">
      <c r="A456"/>
      <c r="B456"/>
    </row>
    <row r="457" spans="1:2">
      <c r="A457"/>
      <c r="B457"/>
    </row>
    <row r="458" spans="1:2">
      <c r="A458"/>
      <c r="B458"/>
    </row>
    <row r="459" spans="1:2">
      <c r="A459"/>
      <c r="B459"/>
    </row>
    <row r="460" spans="1:2">
      <c r="A460"/>
      <c r="B46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BF26E-247C-46F0-84D6-A4A5B645ADB1}">
  <dimension ref="A1:D433"/>
  <sheetViews>
    <sheetView workbookViewId="0">
      <selection activeCell="B13" sqref="B13"/>
    </sheetView>
  </sheetViews>
  <sheetFormatPr defaultColWidth="8.85546875" defaultRowHeight="18"/>
  <cols>
    <col min="1" max="1" width="43" style="172" bestFit="1" customWidth="1"/>
    <col min="2" max="2" width="27.42578125" style="172" bestFit="1" customWidth="1"/>
    <col min="3" max="3" width="36.28515625" style="172" bestFit="1" customWidth="1"/>
    <col min="4" max="4" width="25.140625" style="172" bestFit="1" customWidth="1"/>
    <col min="5" max="16384" width="8.85546875" style="172"/>
  </cols>
  <sheetData>
    <row r="1" spans="1:4">
      <c r="A1" s="172" t="s">
        <v>698</v>
      </c>
      <c r="B1" s="172" t="s">
        <v>988</v>
      </c>
    </row>
    <row r="2" spans="1:4">
      <c r="A2" s="172" t="s">
        <v>0</v>
      </c>
      <c r="B2" s="172" t="s">
        <v>989</v>
      </c>
    </row>
    <row r="3" spans="1:4">
      <c r="A3" s="172" t="s">
        <v>3</v>
      </c>
      <c r="B3" s="172" t="s">
        <v>989</v>
      </c>
    </row>
    <row r="4" spans="1:4">
      <c r="A4" s="172" t="s">
        <v>21</v>
      </c>
      <c r="B4" s="172" t="s">
        <v>988</v>
      </c>
    </row>
    <row r="5" spans="1:4">
      <c r="A5"/>
      <c r="B5"/>
      <c r="C5"/>
      <c r="D5"/>
    </row>
    <row r="6" spans="1:4">
      <c r="A6" s="172" t="s">
        <v>985</v>
      </c>
      <c r="B6" s="172" t="s">
        <v>986</v>
      </c>
      <c r="C6" s="172" t="s">
        <v>990</v>
      </c>
      <c r="D6" s="172" t="s">
        <v>991</v>
      </c>
    </row>
    <row r="7" spans="1:4">
      <c r="A7" s="257" t="s">
        <v>590</v>
      </c>
      <c r="B7" s="258"/>
      <c r="C7" s="259"/>
      <c r="D7" s="260"/>
    </row>
    <row r="8" spans="1:4">
      <c r="A8" s="261" t="s">
        <v>589</v>
      </c>
      <c r="B8" s="258">
        <v>8.2078333333333333</v>
      </c>
      <c r="C8" s="259">
        <v>-0.19398135927061555</v>
      </c>
      <c r="D8" s="260">
        <v>1</v>
      </c>
    </row>
    <row r="9" spans="1:4">
      <c r="A9" s="257" t="s">
        <v>312</v>
      </c>
      <c r="B9" s="258"/>
      <c r="C9" s="259"/>
      <c r="D9" s="260"/>
    </row>
    <row r="10" spans="1:4">
      <c r="A10" s="261" t="s">
        <v>436</v>
      </c>
      <c r="B10" s="258">
        <v>8.5567810884691848</v>
      </c>
      <c r="C10" s="259">
        <v>0.37943954097930965</v>
      </c>
      <c r="D10" s="260">
        <v>1</v>
      </c>
    </row>
    <row r="11" spans="1:4">
      <c r="A11" s="257" t="s">
        <v>180</v>
      </c>
      <c r="B11" s="258"/>
      <c r="C11" s="259"/>
      <c r="D11" s="260"/>
    </row>
    <row r="12" spans="1:4">
      <c r="A12" s="261" t="s">
        <v>179</v>
      </c>
      <c r="B12" s="258">
        <v>8.4059209979209992</v>
      </c>
      <c r="C12" s="259">
        <v>0.24933865051067872</v>
      </c>
      <c r="D12" s="260">
        <v>1</v>
      </c>
    </row>
    <row r="13" spans="1:4">
      <c r="A13" s="257" t="s">
        <v>330</v>
      </c>
      <c r="B13" s="258"/>
      <c r="C13" s="259"/>
      <c r="D13" s="260"/>
    </row>
    <row r="14" spans="1:4">
      <c r="A14" s="261" t="s">
        <v>329</v>
      </c>
      <c r="B14" s="258">
        <v>13.761005894260538</v>
      </c>
      <c r="C14" s="259">
        <v>-0.11944036408880204</v>
      </c>
      <c r="D14" s="260">
        <v>2</v>
      </c>
    </row>
    <row r="15" spans="1:4">
      <c r="A15" s="261" t="s">
        <v>341</v>
      </c>
      <c r="B15" s="258">
        <v>14.304094674405347</v>
      </c>
      <c r="C15" s="259">
        <v>0.39482946623740112</v>
      </c>
      <c r="D15" s="260">
        <v>2</v>
      </c>
    </row>
    <row r="16" spans="1:4">
      <c r="A16" s="257" t="s">
        <v>134</v>
      </c>
      <c r="B16" s="258"/>
      <c r="C16" s="259"/>
      <c r="D16" s="260"/>
    </row>
    <row r="17" spans="1:4">
      <c r="A17" s="261" t="s">
        <v>133</v>
      </c>
      <c r="B17" s="258">
        <v>7.9198785714285718</v>
      </c>
      <c r="C17" s="259">
        <v>0.11614806504067977</v>
      </c>
      <c r="D17" s="260">
        <v>1</v>
      </c>
    </row>
    <row r="18" spans="1:4">
      <c r="A18" s="261" t="s">
        <v>572</v>
      </c>
      <c r="B18" s="258">
        <v>10.705264843965757</v>
      </c>
      <c r="C18" s="259">
        <v>0.397492720263182</v>
      </c>
      <c r="D18" s="260">
        <v>1</v>
      </c>
    </row>
    <row r="19" spans="1:4">
      <c r="A19" s="257" t="s">
        <v>160</v>
      </c>
      <c r="B19" s="258"/>
      <c r="C19" s="259"/>
      <c r="D19" s="260"/>
    </row>
    <row r="20" spans="1:4">
      <c r="A20" s="261" t="s">
        <v>443</v>
      </c>
      <c r="B20" s="258">
        <v>9.0397048778402382</v>
      </c>
      <c r="C20" s="259">
        <v>0.30114786466027332</v>
      </c>
      <c r="D20" s="260">
        <v>2</v>
      </c>
    </row>
    <row r="21" spans="1:4">
      <c r="A21" s="261" t="s">
        <v>665</v>
      </c>
      <c r="B21" s="258">
        <v>10.324751779831256</v>
      </c>
      <c r="C21" s="259">
        <v>0.82354178078275875</v>
      </c>
      <c r="D21" s="260">
        <v>2</v>
      </c>
    </row>
    <row r="22" spans="1:4">
      <c r="A22" s="261" t="s">
        <v>460</v>
      </c>
      <c r="B22" s="258">
        <v>5.2027720270605755</v>
      </c>
      <c r="C22" s="259">
        <v>8.2210073472583807E-3</v>
      </c>
      <c r="D22" s="260">
        <v>1</v>
      </c>
    </row>
    <row r="23" spans="1:4">
      <c r="A23" s="261" t="s">
        <v>267</v>
      </c>
      <c r="B23" s="258">
        <v>11.794904780439985</v>
      </c>
      <c r="C23" s="259">
        <v>0.9169064793157653</v>
      </c>
      <c r="D23" s="260">
        <v>2</v>
      </c>
    </row>
    <row r="24" spans="1:4">
      <c r="A24" s="261" t="s">
        <v>963</v>
      </c>
      <c r="B24" s="258"/>
      <c r="C24" s="259"/>
      <c r="D24" s="260"/>
    </row>
    <row r="25" spans="1:4">
      <c r="A25" s="261" t="s">
        <v>548</v>
      </c>
      <c r="B25" s="258">
        <v>10.193592374397427</v>
      </c>
      <c r="C25" s="259">
        <v>0.28190183292151638</v>
      </c>
      <c r="D25" s="260">
        <v>1</v>
      </c>
    </row>
    <row r="26" spans="1:4">
      <c r="A26" s="261" t="s">
        <v>992</v>
      </c>
      <c r="B26" s="258"/>
      <c r="C26" s="259"/>
      <c r="D26" s="260"/>
    </row>
    <row r="27" spans="1:4">
      <c r="A27" s="261" t="s">
        <v>966</v>
      </c>
      <c r="B27" s="258"/>
      <c r="C27" s="259"/>
      <c r="D27" s="260"/>
    </row>
    <row r="28" spans="1:4">
      <c r="A28" s="261" t="s">
        <v>767</v>
      </c>
      <c r="B28" s="258">
        <v>5.4219863119834706</v>
      </c>
      <c r="C28" s="259">
        <v>-2.1765766496993921E-2</v>
      </c>
      <c r="D28" s="260">
        <v>1</v>
      </c>
    </row>
    <row r="29" spans="1:4">
      <c r="A29" s="261" t="s">
        <v>243</v>
      </c>
      <c r="B29" s="258">
        <v>5.9733545971357982</v>
      </c>
      <c r="C29" s="259"/>
      <c r="D29" s="260">
        <v>1</v>
      </c>
    </row>
    <row r="30" spans="1:4">
      <c r="A30" s="261" t="s">
        <v>247</v>
      </c>
      <c r="B30" s="258">
        <v>7.2320650000000004</v>
      </c>
      <c r="C30" s="259">
        <v>0.26715260440828453</v>
      </c>
      <c r="D30" s="260">
        <v>1</v>
      </c>
    </row>
    <row r="31" spans="1:4">
      <c r="A31" s="261" t="s">
        <v>206</v>
      </c>
      <c r="B31" s="258">
        <v>6.5051919402985066</v>
      </c>
      <c r="C31" s="259">
        <v>-0.28051563680959701</v>
      </c>
      <c r="D31" s="260">
        <v>1</v>
      </c>
    </row>
    <row r="32" spans="1:4">
      <c r="A32" s="261" t="s">
        <v>661</v>
      </c>
      <c r="B32" s="258">
        <v>7.270611437112489</v>
      </c>
      <c r="C32" s="259">
        <v>1</v>
      </c>
      <c r="D32" s="260">
        <v>1</v>
      </c>
    </row>
    <row r="33" spans="1:4">
      <c r="A33" s="257" t="s">
        <v>88</v>
      </c>
      <c r="B33" s="258"/>
      <c r="C33" s="259"/>
      <c r="D33" s="260"/>
    </row>
    <row r="34" spans="1:4">
      <c r="A34" s="261" t="s">
        <v>86</v>
      </c>
      <c r="B34" s="258">
        <v>9.8149723762009895</v>
      </c>
      <c r="C34" s="259">
        <v>0.1889941514964284</v>
      </c>
      <c r="D34" s="260">
        <v>1</v>
      </c>
    </row>
    <row r="35" spans="1:4">
      <c r="A35" s="261" t="s">
        <v>94</v>
      </c>
      <c r="B35" s="258">
        <v>10.066155545272441</v>
      </c>
      <c r="C35" s="259">
        <v>0.29565960230668092</v>
      </c>
      <c r="D35" s="260">
        <v>1</v>
      </c>
    </row>
    <row r="36" spans="1:4">
      <c r="A36" s="261" t="s">
        <v>105</v>
      </c>
      <c r="B36" s="258">
        <v>10.300200757315737</v>
      </c>
      <c r="C36" s="259">
        <v>0.50389316476471457</v>
      </c>
      <c r="D36" s="260">
        <v>1</v>
      </c>
    </row>
    <row r="37" spans="1:4">
      <c r="A37" s="261" t="s">
        <v>108</v>
      </c>
      <c r="B37" s="258">
        <v>9.4266555478253959</v>
      </c>
      <c r="C37" s="259">
        <v>0.37305442317096665</v>
      </c>
      <c r="D37" s="260">
        <v>1</v>
      </c>
    </row>
    <row r="38" spans="1:4">
      <c r="A38" s="261" t="s">
        <v>110</v>
      </c>
      <c r="B38" s="258">
        <v>7.5488830714285724</v>
      </c>
      <c r="C38" s="259">
        <v>0.13762076609195265</v>
      </c>
      <c r="D38" s="260">
        <v>1</v>
      </c>
    </row>
    <row r="39" spans="1:4">
      <c r="A39" s="261" t="s">
        <v>124</v>
      </c>
      <c r="B39" s="258"/>
      <c r="C39" s="259"/>
      <c r="D39" s="260"/>
    </row>
    <row r="40" spans="1:4">
      <c r="A40" s="261" t="s">
        <v>458</v>
      </c>
      <c r="B40" s="258"/>
      <c r="C40" s="259"/>
      <c r="D40" s="260"/>
    </row>
    <row r="41" spans="1:4">
      <c r="A41" s="261" t="s">
        <v>486</v>
      </c>
      <c r="B41" s="258">
        <v>11.212870011668612</v>
      </c>
      <c r="C41" s="259">
        <v>0.20894472237977588</v>
      </c>
      <c r="D41" s="260">
        <v>1</v>
      </c>
    </row>
    <row r="42" spans="1:4">
      <c r="A42" s="261" t="s">
        <v>960</v>
      </c>
      <c r="B42" s="258"/>
      <c r="C42" s="259"/>
      <c r="D42" s="260"/>
    </row>
    <row r="43" spans="1:4">
      <c r="A43" s="261" t="s">
        <v>530</v>
      </c>
      <c r="B43" s="258"/>
      <c r="C43" s="259"/>
      <c r="D43" s="260"/>
    </row>
    <row r="44" spans="1:4">
      <c r="A44" s="261" t="s">
        <v>532</v>
      </c>
      <c r="B44" s="258"/>
      <c r="C44" s="259"/>
      <c r="D44" s="260"/>
    </row>
    <row r="45" spans="1:4">
      <c r="A45" s="261" t="s">
        <v>964</v>
      </c>
      <c r="B45" s="258"/>
      <c r="C45" s="259"/>
      <c r="D45" s="260"/>
    </row>
    <row r="46" spans="1:4">
      <c r="A46" s="261" t="s">
        <v>541</v>
      </c>
      <c r="B46" s="258"/>
      <c r="C46" s="259"/>
      <c r="D46" s="260"/>
    </row>
    <row r="47" spans="1:4">
      <c r="A47" s="261" t="s">
        <v>543</v>
      </c>
      <c r="B47" s="258"/>
      <c r="C47" s="259"/>
      <c r="D47" s="260"/>
    </row>
    <row r="48" spans="1:4">
      <c r="A48" s="261" t="s">
        <v>575</v>
      </c>
      <c r="B48" s="258"/>
      <c r="C48" s="259"/>
      <c r="D48" s="260"/>
    </row>
    <row r="49" spans="1:4">
      <c r="A49" s="261" t="s">
        <v>579</v>
      </c>
      <c r="B49" s="258">
        <v>8.3039001872021796</v>
      </c>
      <c r="C49" s="259">
        <v>0.25577140130796566</v>
      </c>
      <c r="D49" s="260">
        <v>1</v>
      </c>
    </row>
    <row r="50" spans="1:4">
      <c r="A50" s="261" t="s">
        <v>582</v>
      </c>
      <c r="B50" s="258"/>
      <c r="C50" s="259"/>
      <c r="D50" s="260"/>
    </row>
    <row r="51" spans="1:4">
      <c r="A51" s="261" t="s">
        <v>610</v>
      </c>
      <c r="B51" s="258">
        <v>9.4484738484125508</v>
      </c>
      <c r="C51" s="259">
        <v>0.42953750134942903</v>
      </c>
      <c r="D51" s="260">
        <v>1</v>
      </c>
    </row>
    <row r="52" spans="1:4">
      <c r="A52" s="261" t="s">
        <v>620</v>
      </c>
      <c r="B52" s="258">
        <v>8.2423942807625643</v>
      </c>
      <c r="C52" s="259">
        <v>0.11069529674066404</v>
      </c>
      <c r="D52" s="260">
        <v>1</v>
      </c>
    </row>
    <row r="53" spans="1:4">
      <c r="A53" s="261" t="s">
        <v>740</v>
      </c>
      <c r="B53" s="258"/>
      <c r="C53" s="259"/>
      <c r="D53" s="260"/>
    </row>
    <row r="54" spans="1:4">
      <c r="A54" s="261" t="s">
        <v>638</v>
      </c>
      <c r="B54" s="258">
        <v>17.434353846153844</v>
      </c>
      <c r="C54" s="259">
        <v>0.53826794666233679</v>
      </c>
      <c r="D54" s="260">
        <v>1</v>
      </c>
    </row>
    <row r="55" spans="1:4">
      <c r="A55" s="261" t="s">
        <v>993</v>
      </c>
      <c r="B55" s="258"/>
      <c r="C55" s="259"/>
      <c r="D55" s="260"/>
    </row>
    <row r="56" spans="1:4">
      <c r="A56" s="261" t="s">
        <v>994</v>
      </c>
      <c r="B56" s="258"/>
      <c r="C56" s="259"/>
      <c r="D56" s="260"/>
    </row>
    <row r="57" spans="1:4">
      <c r="A57" s="257" t="s">
        <v>597</v>
      </c>
      <c r="B57" s="258"/>
      <c r="C57" s="259"/>
      <c r="D57" s="260"/>
    </row>
    <row r="58" spans="1:4">
      <c r="A58" s="261" t="s">
        <v>596</v>
      </c>
      <c r="B58" s="258">
        <v>10.276418421052631</v>
      </c>
      <c r="C58" s="259">
        <v>-3.6353286100343815E-2</v>
      </c>
      <c r="D58" s="260">
        <v>1</v>
      </c>
    </row>
    <row r="59" spans="1:4">
      <c r="A59" s="257" t="s">
        <v>425</v>
      </c>
      <c r="B59" s="258"/>
      <c r="C59" s="259"/>
      <c r="D59" s="260"/>
    </row>
    <row r="60" spans="1:4">
      <c r="A60" s="261" t="s">
        <v>424</v>
      </c>
      <c r="B60" s="258">
        <v>9.9569222656249998</v>
      </c>
      <c r="C60" s="259">
        <v>0.30199314460915438</v>
      </c>
      <c r="D60" s="260">
        <v>1</v>
      </c>
    </row>
    <row r="61" spans="1:4">
      <c r="A61" s="257" t="s">
        <v>501</v>
      </c>
      <c r="B61" s="258"/>
      <c r="C61" s="259"/>
      <c r="D61" s="260"/>
    </row>
    <row r="62" spans="1:4">
      <c r="A62" s="261" t="s">
        <v>500</v>
      </c>
      <c r="B62" s="258"/>
      <c r="C62" s="259"/>
      <c r="D62" s="260"/>
    </row>
    <row r="63" spans="1:4">
      <c r="A63" s="257" t="s">
        <v>99</v>
      </c>
      <c r="B63" s="258"/>
      <c r="C63" s="259"/>
      <c r="D63" s="260"/>
    </row>
    <row r="64" spans="1:4">
      <c r="A64" s="261" t="s">
        <v>98</v>
      </c>
      <c r="B64" s="258">
        <v>6.4572933291093424</v>
      </c>
      <c r="C64" s="259">
        <v>0.49669314457977798</v>
      </c>
      <c r="D64" s="260">
        <v>2</v>
      </c>
    </row>
    <row r="65" spans="1:4">
      <c r="A65" s="261" t="s">
        <v>203</v>
      </c>
      <c r="B65" s="258"/>
      <c r="C65" s="259"/>
      <c r="D65" s="260"/>
    </row>
    <row r="66" spans="1:4">
      <c r="A66" s="257" t="s">
        <v>272</v>
      </c>
      <c r="B66" s="258"/>
      <c r="C66" s="259"/>
      <c r="D66" s="260"/>
    </row>
    <row r="67" spans="1:4">
      <c r="A67" s="261" t="s">
        <v>275</v>
      </c>
      <c r="B67" s="258"/>
      <c r="C67" s="259"/>
      <c r="D67" s="260"/>
    </row>
    <row r="68" spans="1:4">
      <c r="A68" s="261" t="s">
        <v>748</v>
      </c>
      <c r="B68" s="258">
        <v>6.0451999298491748</v>
      </c>
      <c r="C68" s="259">
        <v>0.21094421105126143</v>
      </c>
      <c r="D68" s="260">
        <v>1</v>
      </c>
    </row>
    <row r="69" spans="1:4">
      <c r="A69" s="261" t="s">
        <v>271</v>
      </c>
      <c r="B69" s="258">
        <v>6.0317362329007373</v>
      </c>
      <c r="C69" s="259">
        <v>0.20918292580807252</v>
      </c>
      <c r="D69" s="260">
        <v>1</v>
      </c>
    </row>
    <row r="70" spans="1:4">
      <c r="A70" s="257" t="s">
        <v>114</v>
      </c>
      <c r="B70" s="258"/>
      <c r="C70" s="259"/>
      <c r="D70" s="260"/>
    </row>
    <row r="71" spans="1:4">
      <c r="A71" s="261" t="s">
        <v>113</v>
      </c>
      <c r="B71" s="258">
        <v>8.3107670545212766</v>
      </c>
      <c r="C71" s="259">
        <v>0.19769556738746075</v>
      </c>
      <c r="D71" s="260">
        <v>2</v>
      </c>
    </row>
    <row r="72" spans="1:4">
      <c r="A72" s="261" t="s">
        <v>162</v>
      </c>
      <c r="B72" s="258"/>
      <c r="C72" s="259"/>
      <c r="D72" s="260"/>
    </row>
    <row r="73" spans="1:4">
      <c r="A73" s="261" t="s">
        <v>251</v>
      </c>
      <c r="B73" s="258">
        <v>12.128966220817121</v>
      </c>
      <c r="C73" s="259">
        <v>0.22746919816479233</v>
      </c>
      <c r="D73" s="260">
        <v>1</v>
      </c>
    </row>
    <row r="74" spans="1:4">
      <c r="A74" s="257" t="s">
        <v>585</v>
      </c>
      <c r="B74" s="258"/>
      <c r="C74" s="259"/>
      <c r="D74" s="260"/>
    </row>
    <row r="75" spans="1:4">
      <c r="A75" s="261" t="s">
        <v>584</v>
      </c>
      <c r="B75" s="258">
        <v>8.8650769722814502</v>
      </c>
      <c r="C75" s="259">
        <v>0.21715287732984301</v>
      </c>
      <c r="D75" s="260">
        <v>1</v>
      </c>
    </row>
    <row r="76" spans="1:4">
      <c r="A76" s="257" t="s">
        <v>465</v>
      </c>
      <c r="B76" s="258"/>
      <c r="C76" s="259"/>
      <c r="D76" s="260"/>
    </row>
    <row r="77" spans="1:4">
      <c r="A77" s="261" t="s">
        <v>831</v>
      </c>
      <c r="B77" s="258">
        <v>15.761386740331494</v>
      </c>
      <c r="C77" s="259">
        <v>0.45816950369302428</v>
      </c>
      <c r="D77" s="260">
        <v>1</v>
      </c>
    </row>
    <row r="78" spans="1:4">
      <c r="A78" s="257" t="s">
        <v>594</v>
      </c>
      <c r="B78" s="258"/>
      <c r="C78" s="259"/>
      <c r="D78" s="260"/>
    </row>
    <row r="79" spans="1:4">
      <c r="A79" s="261" t="s">
        <v>593</v>
      </c>
      <c r="B79" s="258">
        <v>10.572398019801982</v>
      </c>
      <c r="C79" s="259">
        <v>4.1844623989124773E-2</v>
      </c>
      <c r="D79" s="260">
        <v>1</v>
      </c>
    </row>
    <row r="80" spans="1:4">
      <c r="A80" s="257" t="s">
        <v>156</v>
      </c>
      <c r="B80" s="258"/>
      <c r="C80" s="259"/>
      <c r="D80" s="260"/>
    </row>
    <row r="81" spans="1:4">
      <c r="A81" s="261" t="s">
        <v>554</v>
      </c>
      <c r="B81" s="258">
        <v>10.532925817435897</v>
      </c>
      <c r="C81" s="259">
        <v>4.9646776831017016E-2</v>
      </c>
      <c r="D81" s="260">
        <v>1</v>
      </c>
    </row>
    <row r="82" spans="1:4">
      <c r="A82" s="257" t="s">
        <v>261</v>
      </c>
      <c r="B82" s="258"/>
      <c r="C82" s="259"/>
      <c r="D82" s="260"/>
    </row>
    <row r="83" spans="1:4">
      <c r="A83" s="261" t="s">
        <v>284</v>
      </c>
      <c r="B83" s="258"/>
      <c r="C83" s="259"/>
      <c r="D83" s="260"/>
    </row>
    <row r="84" spans="1:4">
      <c r="A84" s="261" t="s">
        <v>286</v>
      </c>
      <c r="B84" s="258"/>
      <c r="C84" s="259"/>
      <c r="D84" s="260"/>
    </row>
    <row r="85" spans="1:4">
      <c r="A85" s="261" t="s">
        <v>289</v>
      </c>
      <c r="B85" s="258"/>
      <c r="C85" s="259"/>
      <c r="D85" s="260"/>
    </row>
    <row r="86" spans="1:4">
      <c r="A86" s="261" t="s">
        <v>287</v>
      </c>
      <c r="B86" s="258"/>
      <c r="C86" s="259"/>
      <c r="D86" s="260"/>
    </row>
    <row r="87" spans="1:4">
      <c r="A87" s="261" t="s">
        <v>288</v>
      </c>
      <c r="B87" s="258"/>
      <c r="C87" s="259"/>
      <c r="D87" s="260"/>
    </row>
    <row r="88" spans="1:4">
      <c r="A88" s="261" t="s">
        <v>279</v>
      </c>
      <c r="B88" s="258">
        <v>10.306588590342677</v>
      </c>
      <c r="C88" s="259">
        <v>0.1306477264283234</v>
      </c>
      <c r="D88" s="260">
        <v>2</v>
      </c>
    </row>
    <row r="89" spans="1:4">
      <c r="A89" s="261" t="s">
        <v>763</v>
      </c>
      <c r="B89" s="258">
        <v>11.210161185637837</v>
      </c>
      <c r="C89" s="259">
        <v>0.24354343710379892</v>
      </c>
      <c r="D89" s="260">
        <v>1</v>
      </c>
    </row>
    <row r="90" spans="1:4">
      <c r="A90" s="261" t="s">
        <v>319</v>
      </c>
      <c r="B90" s="258">
        <v>11.006026416539051</v>
      </c>
      <c r="C90" s="259">
        <v>0.33763560761174244</v>
      </c>
      <c r="D90" s="260">
        <v>1</v>
      </c>
    </row>
    <row r="91" spans="1:4">
      <c r="A91" s="261" t="s">
        <v>652</v>
      </c>
      <c r="B91" s="258">
        <v>6.059743545611016</v>
      </c>
      <c r="C91" s="259">
        <v>-0.38454704177650478</v>
      </c>
      <c r="D91" s="260">
        <v>1</v>
      </c>
    </row>
    <row r="92" spans="1:4">
      <c r="A92" s="257" t="s">
        <v>194</v>
      </c>
      <c r="B92" s="258"/>
      <c r="C92" s="259"/>
      <c r="D92" s="260"/>
    </row>
    <row r="93" spans="1:4">
      <c r="A93" s="261" t="s">
        <v>599</v>
      </c>
      <c r="B93" s="258">
        <v>9.0315034336167432</v>
      </c>
      <c r="C93" s="259">
        <v>6.6288766179852021E-2</v>
      </c>
      <c r="D93" s="260">
        <v>2</v>
      </c>
    </row>
    <row r="94" spans="1:4">
      <c r="A94" s="261" t="s">
        <v>659</v>
      </c>
      <c r="B94" s="258">
        <v>9.3142458100558656</v>
      </c>
      <c r="C94" s="259">
        <v>0.12499625131204072</v>
      </c>
      <c r="D94" s="260">
        <v>1</v>
      </c>
    </row>
    <row r="95" spans="1:4">
      <c r="A95" s="257" t="s">
        <v>119</v>
      </c>
      <c r="B95" s="258"/>
      <c r="C95" s="259"/>
      <c r="D95" s="260"/>
    </row>
    <row r="96" spans="1:4">
      <c r="A96" s="261" t="s">
        <v>118</v>
      </c>
      <c r="B96" s="258">
        <v>9.1059999999999999</v>
      </c>
      <c r="C96" s="259">
        <v>0.20821436415550185</v>
      </c>
      <c r="D96" s="260">
        <v>1</v>
      </c>
    </row>
    <row r="97" spans="1:4">
      <c r="A97" s="261" t="s">
        <v>526</v>
      </c>
      <c r="B97" s="258">
        <v>7.4286242932148623</v>
      </c>
      <c r="C97" s="259">
        <v>0.21789018118647857</v>
      </c>
      <c r="D97" s="260">
        <v>1</v>
      </c>
    </row>
    <row r="98" spans="1:4">
      <c r="A98" s="257" t="s">
        <v>237</v>
      </c>
      <c r="B98" s="258"/>
      <c r="C98" s="259"/>
      <c r="D98" s="260"/>
    </row>
    <row r="99" spans="1:4">
      <c r="A99" s="261" t="s">
        <v>821</v>
      </c>
      <c r="B99" s="258">
        <v>8.4093705956956182</v>
      </c>
      <c r="C99" s="259">
        <v>-5.2397429663751528E-2</v>
      </c>
      <c r="D99" s="260">
        <v>1</v>
      </c>
    </row>
    <row r="100" spans="1:4">
      <c r="A100" s="257" t="s">
        <v>453</v>
      </c>
      <c r="B100" s="258"/>
      <c r="C100" s="259"/>
      <c r="D100" s="260"/>
    </row>
    <row r="101" spans="1:4">
      <c r="A101" s="261" t="s">
        <v>556</v>
      </c>
      <c r="B101" s="258">
        <v>10.012727082534258</v>
      </c>
      <c r="C101" s="259">
        <v>0.44770291306089044</v>
      </c>
      <c r="D101" s="260">
        <v>1</v>
      </c>
    </row>
    <row r="102" spans="1:4">
      <c r="A102" s="257" t="s">
        <v>148</v>
      </c>
      <c r="B102" s="258"/>
      <c r="C102" s="259"/>
      <c r="D102" s="260"/>
    </row>
    <row r="103" spans="1:4">
      <c r="A103" s="261" t="s">
        <v>551</v>
      </c>
      <c r="B103" s="258"/>
      <c r="C103" s="259"/>
      <c r="D103" s="260"/>
    </row>
    <row r="104" spans="1:4">
      <c r="A104" s="261" t="s">
        <v>608</v>
      </c>
      <c r="B104" s="258">
        <v>9.3210872902534803</v>
      </c>
      <c r="C104" s="259">
        <v>6.5536657206671485E-3</v>
      </c>
      <c r="D104" s="260">
        <v>1</v>
      </c>
    </row>
    <row r="105" spans="1:4">
      <c r="A105" s="261" t="s">
        <v>624</v>
      </c>
      <c r="B105" s="258">
        <v>5.7156709342770471</v>
      </c>
      <c r="C105" s="259">
        <v>9.1970118700253123E-2</v>
      </c>
      <c r="D105" s="260">
        <v>1</v>
      </c>
    </row>
    <row r="106" spans="1:4">
      <c r="A106" s="261" t="s">
        <v>648</v>
      </c>
      <c r="B106" s="258">
        <v>6.8997599999999988</v>
      </c>
      <c r="C106" s="259">
        <v>0.32896216680000451</v>
      </c>
      <c r="D106" s="260">
        <v>1</v>
      </c>
    </row>
    <row r="107" spans="1:4">
      <c r="A107" s="257" t="s">
        <v>169</v>
      </c>
      <c r="B107" s="258"/>
      <c r="C107" s="259"/>
      <c r="D107" s="260"/>
    </row>
    <row r="108" spans="1:4">
      <c r="A108" s="261" t="s">
        <v>995</v>
      </c>
      <c r="B108" s="258"/>
      <c r="C108" s="259"/>
      <c r="D108" s="260"/>
    </row>
    <row r="109" spans="1:4">
      <c r="A109" s="261" t="s">
        <v>171</v>
      </c>
      <c r="B109" s="258"/>
      <c r="C109" s="259"/>
      <c r="D109" s="260"/>
    </row>
    <row r="110" spans="1:4">
      <c r="A110" s="261" t="s">
        <v>168</v>
      </c>
      <c r="B110" s="258"/>
      <c r="C110" s="259"/>
      <c r="D110" s="260"/>
    </row>
    <row r="111" spans="1:4">
      <c r="A111" s="257" t="s">
        <v>800</v>
      </c>
      <c r="B111" s="258"/>
      <c r="C111" s="259"/>
      <c r="D111" s="260"/>
    </row>
    <row r="112" spans="1:4">
      <c r="A112" s="261" t="s">
        <v>799</v>
      </c>
      <c r="B112" s="258"/>
      <c r="C112" s="259"/>
      <c r="D112" s="260"/>
    </row>
    <row r="113" spans="1:4">
      <c r="A113" s="257" t="s">
        <v>221</v>
      </c>
      <c r="B113" s="258"/>
      <c r="C113" s="259"/>
      <c r="D113" s="260"/>
    </row>
    <row r="114" spans="1:4">
      <c r="A114" s="261" t="s">
        <v>534</v>
      </c>
      <c r="B114" s="258">
        <v>0</v>
      </c>
      <c r="C114" s="259"/>
      <c r="D114" s="260">
        <v>1</v>
      </c>
    </row>
    <row r="115" spans="1:4">
      <c r="A115" s="261" t="s">
        <v>833</v>
      </c>
      <c r="B115" s="258">
        <v>7.1428462626884039</v>
      </c>
      <c r="C115" s="259">
        <v>-3.6001578062077683E-2</v>
      </c>
      <c r="D115" s="260">
        <v>1</v>
      </c>
    </row>
    <row r="116" spans="1:4">
      <c r="A116" s="257" t="s">
        <v>546</v>
      </c>
      <c r="B116" s="258"/>
      <c r="C116" s="259"/>
      <c r="D116" s="260"/>
    </row>
    <row r="117" spans="1:4">
      <c r="A117" s="261" t="s">
        <v>745</v>
      </c>
      <c r="B117" s="258">
        <v>6.3461425000000009</v>
      </c>
      <c r="C117" s="259">
        <v>0.26254413606375859</v>
      </c>
      <c r="D117" s="260">
        <v>1</v>
      </c>
    </row>
    <row r="118" spans="1:4">
      <c r="A118" s="257" t="s">
        <v>129</v>
      </c>
      <c r="B118" s="258"/>
      <c r="C118" s="259"/>
      <c r="D118" s="260"/>
    </row>
    <row r="119" spans="1:4">
      <c r="A119" s="261" t="s">
        <v>128</v>
      </c>
      <c r="B119" s="258">
        <v>10.46819921875</v>
      </c>
      <c r="C119" s="259">
        <v>0.51595419643546603</v>
      </c>
      <c r="D119" s="260">
        <v>2</v>
      </c>
    </row>
    <row r="120" spans="1:4">
      <c r="A120" s="261" t="s">
        <v>139</v>
      </c>
      <c r="B120" s="258">
        <v>5.7098997910327105</v>
      </c>
      <c r="C120" s="259">
        <v>-0.28599677032173709</v>
      </c>
      <c r="D120" s="260">
        <v>2</v>
      </c>
    </row>
    <row r="121" spans="1:4">
      <c r="A121" s="261" t="s">
        <v>142</v>
      </c>
      <c r="B121" s="258">
        <v>3.7623495547073786</v>
      </c>
      <c r="C121" s="259">
        <v>-0.1083499657235668</v>
      </c>
      <c r="D121" s="260">
        <v>2</v>
      </c>
    </row>
    <row r="122" spans="1:4">
      <c r="A122" s="261" t="s">
        <v>212</v>
      </c>
      <c r="B122" s="258">
        <v>8.0940203473926147</v>
      </c>
      <c r="C122" s="259">
        <v>0.10427702318100857</v>
      </c>
      <c r="D122" s="260">
        <v>1</v>
      </c>
    </row>
    <row r="123" spans="1:4">
      <c r="A123" s="261" t="s">
        <v>656</v>
      </c>
      <c r="B123" s="258">
        <v>8.5857521186440682</v>
      </c>
      <c r="C123" s="259">
        <v>0.11714199347312448</v>
      </c>
      <c r="D123" s="260">
        <v>1</v>
      </c>
    </row>
    <row r="124" spans="1:4">
      <c r="A124"/>
      <c r="B124"/>
      <c r="C124"/>
      <c r="D124"/>
    </row>
    <row r="125" spans="1:4">
      <c r="A125"/>
      <c r="B125"/>
      <c r="C125"/>
      <c r="D125"/>
    </row>
    <row r="126" spans="1:4">
      <c r="A126"/>
      <c r="B126"/>
      <c r="C126"/>
      <c r="D126"/>
    </row>
    <row r="127" spans="1:4">
      <c r="A127"/>
      <c r="B127"/>
      <c r="C127"/>
      <c r="D127"/>
    </row>
    <row r="128" spans="1:4">
      <c r="A128"/>
      <c r="B128"/>
      <c r="C128"/>
      <c r="D128"/>
    </row>
    <row r="129" spans="1:4">
      <c r="A129"/>
      <c r="B129"/>
      <c r="C129"/>
      <c r="D129"/>
    </row>
    <row r="130" spans="1:4">
      <c r="A130"/>
      <c r="B130"/>
      <c r="C130"/>
      <c r="D130"/>
    </row>
    <row r="131" spans="1:4">
      <c r="A131"/>
      <c r="B131"/>
      <c r="C131"/>
      <c r="D131"/>
    </row>
    <row r="132" spans="1:4">
      <c r="A132"/>
      <c r="B132"/>
      <c r="C132"/>
      <c r="D132"/>
    </row>
    <row r="133" spans="1:4">
      <c r="A133"/>
      <c r="B133"/>
      <c r="C133"/>
      <c r="D133"/>
    </row>
    <row r="134" spans="1:4">
      <c r="A134"/>
      <c r="B134"/>
      <c r="C134"/>
      <c r="D134"/>
    </row>
    <row r="135" spans="1:4">
      <c r="A135"/>
      <c r="B135"/>
      <c r="C135"/>
      <c r="D135"/>
    </row>
    <row r="136" spans="1:4">
      <c r="A136"/>
      <c r="B136"/>
      <c r="C136"/>
      <c r="D136"/>
    </row>
    <row r="137" spans="1:4">
      <c r="A137"/>
      <c r="B137"/>
      <c r="C137"/>
      <c r="D137"/>
    </row>
    <row r="138" spans="1:4">
      <c r="A138"/>
      <c r="B138"/>
      <c r="C138"/>
      <c r="D138"/>
    </row>
    <row r="139" spans="1:4">
      <c r="A139"/>
      <c r="B139"/>
      <c r="C139"/>
      <c r="D139"/>
    </row>
    <row r="140" spans="1:4">
      <c r="A140"/>
      <c r="B140"/>
      <c r="C140"/>
      <c r="D140"/>
    </row>
    <row r="141" spans="1:4">
      <c r="A141"/>
      <c r="B141"/>
      <c r="C141"/>
      <c r="D141"/>
    </row>
    <row r="142" spans="1:4">
      <c r="A142"/>
      <c r="B142"/>
      <c r="C142"/>
      <c r="D142"/>
    </row>
    <row r="143" spans="1:4">
      <c r="A143"/>
      <c r="B143"/>
      <c r="C143"/>
      <c r="D143"/>
    </row>
    <row r="144" spans="1:4">
      <c r="A144"/>
      <c r="B144"/>
      <c r="C144"/>
      <c r="D144"/>
    </row>
    <row r="145" spans="1:4">
      <c r="A145"/>
      <c r="B145"/>
      <c r="C145"/>
      <c r="D145"/>
    </row>
    <row r="146" spans="1:4">
      <c r="A146"/>
      <c r="B146"/>
      <c r="C146"/>
      <c r="D146"/>
    </row>
    <row r="147" spans="1:4">
      <c r="A147"/>
      <c r="B147"/>
      <c r="C147"/>
      <c r="D147"/>
    </row>
    <row r="148" spans="1:4">
      <c r="A148"/>
      <c r="B148"/>
      <c r="C148"/>
      <c r="D148"/>
    </row>
    <row r="149" spans="1:4">
      <c r="A149"/>
      <c r="B149"/>
      <c r="C149"/>
      <c r="D149"/>
    </row>
    <row r="150" spans="1:4">
      <c r="A150"/>
      <c r="B150"/>
      <c r="C150"/>
      <c r="D150"/>
    </row>
    <row r="151" spans="1:4">
      <c r="A151"/>
      <c r="B151"/>
      <c r="C151"/>
      <c r="D151"/>
    </row>
    <row r="152" spans="1:4">
      <c r="A152"/>
      <c r="B152"/>
      <c r="C152"/>
      <c r="D152"/>
    </row>
    <row r="153" spans="1:4">
      <c r="A153"/>
      <c r="B153"/>
      <c r="C153"/>
      <c r="D153"/>
    </row>
    <row r="154" spans="1:4">
      <c r="A154"/>
      <c r="B154"/>
      <c r="C154"/>
      <c r="D154"/>
    </row>
    <row r="155" spans="1:4">
      <c r="A155"/>
      <c r="B155"/>
      <c r="C155"/>
      <c r="D155"/>
    </row>
    <row r="156" spans="1:4">
      <c r="A156"/>
      <c r="B156"/>
      <c r="C156"/>
      <c r="D156"/>
    </row>
    <row r="157" spans="1:4">
      <c r="A157"/>
      <c r="B157"/>
      <c r="C157"/>
      <c r="D157"/>
    </row>
    <row r="158" spans="1:4">
      <c r="A158"/>
      <c r="B158"/>
      <c r="C158"/>
      <c r="D158"/>
    </row>
    <row r="159" spans="1:4">
      <c r="A159"/>
      <c r="B159"/>
      <c r="C159"/>
      <c r="D159"/>
    </row>
    <row r="160" spans="1:4">
      <c r="A160"/>
      <c r="B160"/>
      <c r="C160"/>
      <c r="D160"/>
    </row>
    <row r="161" spans="1:4">
      <c r="A161"/>
      <c r="B161"/>
      <c r="C161"/>
      <c r="D161"/>
    </row>
    <row r="162" spans="1:4">
      <c r="A162"/>
      <c r="B162"/>
      <c r="C162"/>
      <c r="D162"/>
    </row>
    <row r="163" spans="1:4">
      <c r="A163"/>
      <c r="B163"/>
      <c r="C163"/>
      <c r="D163"/>
    </row>
    <row r="164" spans="1:4">
      <c r="A164"/>
      <c r="B164"/>
      <c r="C164"/>
      <c r="D164"/>
    </row>
    <row r="165" spans="1:4">
      <c r="A165"/>
      <c r="B165"/>
      <c r="C165"/>
      <c r="D165"/>
    </row>
    <row r="166" spans="1:4">
      <c r="A166"/>
      <c r="B166"/>
      <c r="C166"/>
      <c r="D166"/>
    </row>
    <row r="167" spans="1:4">
      <c r="A167"/>
      <c r="B167"/>
      <c r="C167"/>
      <c r="D167"/>
    </row>
    <row r="168" spans="1:4">
      <c r="A168"/>
      <c r="B168"/>
      <c r="C168"/>
      <c r="D168"/>
    </row>
    <row r="169" spans="1:4">
      <c r="A169"/>
      <c r="B169"/>
      <c r="C169"/>
      <c r="D169"/>
    </row>
    <row r="170" spans="1:4">
      <c r="A170"/>
      <c r="B170"/>
      <c r="C170"/>
      <c r="D170"/>
    </row>
    <row r="171" spans="1:4">
      <c r="A171"/>
      <c r="B171"/>
      <c r="C171"/>
      <c r="D171"/>
    </row>
    <row r="172" spans="1:4">
      <c r="A172"/>
      <c r="B172"/>
      <c r="C172"/>
      <c r="D172"/>
    </row>
    <row r="173" spans="1:4">
      <c r="A173"/>
      <c r="B173"/>
      <c r="C173"/>
      <c r="D173"/>
    </row>
    <row r="174" spans="1:4">
      <c r="A174"/>
      <c r="B174"/>
      <c r="C174"/>
      <c r="D174"/>
    </row>
    <row r="175" spans="1:4">
      <c r="A175"/>
      <c r="B175"/>
      <c r="C175"/>
      <c r="D175"/>
    </row>
    <row r="176" spans="1:4">
      <c r="A176"/>
      <c r="B176"/>
      <c r="C176"/>
      <c r="D176"/>
    </row>
    <row r="177" spans="1:4">
      <c r="A177"/>
      <c r="B177"/>
      <c r="C177"/>
      <c r="D177"/>
    </row>
    <row r="178" spans="1:4">
      <c r="A178"/>
      <c r="B178"/>
      <c r="C178"/>
      <c r="D178"/>
    </row>
    <row r="179" spans="1:4">
      <c r="A179"/>
      <c r="B179"/>
      <c r="C179"/>
      <c r="D179"/>
    </row>
    <row r="180" spans="1:4">
      <c r="A180"/>
      <c r="B180"/>
      <c r="C180"/>
      <c r="D180"/>
    </row>
    <row r="181" spans="1:4">
      <c r="A181"/>
      <c r="B181"/>
      <c r="C181"/>
      <c r="D181"/>
    </row>
    <row r="182" spans="1:4">
      <c r="A182"/>
      <c r="B182"/>
      <c r="C182"/>
      <c r="D182"/>
    </row>
    <row r="183" spans="1:4">
      <c r="A183"/>
      <c r="B183"/>
      <c r="C183"/>
      <c r="D183"/>
    </row>
    <row r="184" spans="1:4">
      <c r="A184"/>
      <c r="B184"/>
      <c r="C184"/>
      <c r="D184"/>
    </row>
    <row r="185" spans="1:4">
      <c r="A185"/>
      <c r="B185"/>
      <c r="C185"/>
      <c r="D185"/>
    </row>
    <row r="186" spans="1:4">
      <c r="A186"/>
      <c r="B186"/>
      <c r="C186"/>
      <c r="D186"/>
    </row>
    <row r="187" spans="1:4">
      <c r="A187"/>
      <c r="B187"/>
      <c r="C187"/>
      <c r="D187"/>
    </row>
    <row r="188" spans="1:4">
      <c r="A188"/>
      <c r="B188"/>
      <c r="C188"/>
      <c r="D188"/>
    </row>
    <row r="189" spans="1:4">
      <c r="A189"/>
      <c r="B189"/>
      <c r="C189"/>
      <c r="D189"/>
    </row>
    <row r="190" spans="1:4">
      <c r="A190"/>
      <c r="B190"/>
      <c r="C190"/>
      <c r="D190"/>
    </row>
    <row r="191" spans="1:4">
      <c r="A191"/>
      <c r="B191"/>
      <c r="C191"/>
      <c r="D191"/>
    </row>
    <row r="192" spans="1:4">
      <c r="A192"/>
      <c r="B192"/>
      <c r="C192"/>
      <c r="D192"/>
    </row>
    <row r="193" spans="1:4">
      <c r="A193"/>
      <c r="B193"/>
      <c r="C193"/>
      <c r="D193"/>
    </row>
    <row r="194" spans="1:4">
      <c r="A194"/>
      <c r="B194"/>
      <c r="C194"/>
      <c r="D194"/>
    </row>
    <row r="195" spans="1:4">
      <c r="A195"/>
      <c r="B195"/>
      <c r="C195"/>
      <c r="D195"/>
    </row>
    <row r="196" spans="1:4">
      <c r="A196"/>
      <c r="B196"/>
      <c r="C196"/>
      <c r="D196"/>
    </row>
    <row r="197" spans="1:4">
      <c r="A197"/>
      <c r="B197"/>
      <c r="C197"/>
      <c r="D197"/>
    </row>
    <row r="198" spans="1:4">
      <c r="A198"/>
      <c r="B198"/>
      <c r="C198"/>
      <c r="D198"/>
    </row>
    <row r="199" spans="1:4">
      <c r="A199"/>
      <c r="B199"/>
      <c r="C199"/>
      <c r="D199"/>
    </row>
    <row r="200" spans="1:4">
      <c r="A200"/>
      <c r="B200"/>
      <c r="C200"/>
      <c r="D200"/>
    </row>
    <row r="201" spans="1:4">
      <c r="A201"/>
      <c r="B201"/>
      <c r="C201"/>
      <c r="D201"/>
    </row>
    <row r="202" spans="1:4">
      <c r="A202"/>
      <c r="B202"/>
      <c r="C202"/>
      <c r="D202"/>
    </row>
    <row r="203" spans="1:4">
      <c r="A203"/>
      <c r="B203"/>
      <c r="C203"/>
      <c r="D203"/>
    </row>
    <row r="204" spans="1:4">
      <c r="A204"/>
      <c r="B204"/>
      <c r="C204"/>
      <c r="D204"/>
    </row>
    <row r="205" spans="1:4">
      <c r="A205"/>
      <c r="B205"/>
      <c r="C205"/>
      <c r="D205"/>
    </row>
    <row r="206" spans="1:4">
      <c r="A206"/>
      <c r="B206"/>
      <c r="C206"/>
      <c r="D206"/>
    </row>
    <row r="207" spans="1:4">
      <c r="A207"/>
      <c r="B207"/>
      <c r="C207"/>
      <c r="D207"/>
    </row>
    <row r="208" spans="1:4">
      <c r="A208"/>
      <c r="B208"/>
      <c r="C208"/>
      <c r="D208"/>
    </row>
    <row r="209" spans="1:4">
      <c r="A209"/>
      <c r="B209"/>
      <c r="C209"/>
      <c r="D209"/>
    </row>
    <row r="210" spans="1:4">
      <c r="A210"/>
      <c r="B210"/>
      <c r="C210"/>
      <c r="D210"/>
    </row>
    <row r="211" spans="1:4">
      <c r="A211"/>
      <c r="B211"/>
      <c r="C211"/>
      <c r="D211"/>
    </row>
    <row r="212" spans="1:4">
      <c r="A212"/>
      <c r="B212"/>
      <c r="C212"/>
      <c r="D212"/>
    </row>
    <row r="213" spans="1:4">
      <c r="A213"/>
      <c r="B213"/>
      <c r="C213"/>
      <c r="D213"/>
    </row>
    <row r="214" spans="1:4">
      <c r="A214"/>
      <c r="B214"/>
      <c r="C214"/>
      <c r="D214"/>
    </row>
    <row r="215" spans="1:4">
      <c r="A215"/>
      <c r="B215"/>
      <c r="C215"/>
      <c r="D215"/>
    </row>
    <row r="216" spans="1:4">
      <c r="A216"/>
      <c r="B216"/>
      <c r="C216"/>
      <c r="D216"/>
    </row>
    <row r="217" spans="1:4">
      <c r="A217"/>
      <c r="B217"/>
      <c r="C217"/>
      <c r="D217"/>
    </row>
    <row r="218" spans="1:4">
      <c r="A218"/>
      <c r="B218"/>
      <c r="C218"/>
      <c r="D218"/>
    </row>
    <row r="219" spans="1:4">
      <c r="A219"/>
      <c r="B219"/>
      <c r="C219"/>
      <c r="D219"/>
    </row>
    <row r="220" spans="1:4">
      <c r="A220"/>
      <c r="B220"/>
      <c r="C220"/>
      <c r="D220"/>
    </row>
    <row r="221" spans="1:4">
      <c r="A221"/>
      <c r="B221"/>
      <c r="C221"/>
      <c r="D221"/>
    </row>
    <row r="222" spans="1:4">
      <c r="A222"/>
      <c r="B222"/>
      <c r="C222"/>
      <c r="D222"/>
    </row>
    <row r="223" spans="1:4">
      <c r="A223"/>
      <c r="B223"/>
      <c r="C223"/>
      <c r="D223"/>
    </row>
    <row r="224" spans="1:4">
      <c r="A224"/>
      <c r="B224"/>
      <c r="C224"/>
      <c r="D224"/>
    </row>
    <row r="225" spans="1:4">
      <c r="A225"/>
      <c r="B225"/>
      <c r="C225"/>
      <c r="D225"/>
    </row>
    <row r="226" spans="1:4">
      <c r="A226"/>
      <c r="B226"/>
      <c r="C226"/>
      <c r="D226"/>
    </row>
    <row r="227" spans="1:4">
      <c r="A227"/>
      <c r="B227"/>
      <c r="C227"/>
      <c r="D227"/>
    </row>
    <row r="228" spans="1:4">
      <c r="A228"/>
      <c r="B228"/>
      <c r="C228"/>
      <c r="D228"/>
    </row>
    <row r="229" spans="1:4">
      <c r="A229"/>
      <c r="B229"/>
      <c r="C229"/>
      <c r="D229"/>
    </row>
    <row r="230" spans="1:4">
      <c r="A230"/>
      <c r="B230"/>
      <c r="C230"/>
      <c r="D230"/>
    </row>
    <row r="231" spans="1:4">
      <c r="A231"/>
      <c r="B231"/>
      <c r="C231"/>
      <c r="D231"/>
    </row>
    <row r="232" spans="1:4">
      <c r="A232"/>
      <c r="B232"/>
      <c r="C232"/>
      <c r="D232"/>
    </row>
    <row r="233" spans="1:4">
      <c r="A233"/>
      <c r="B233"/>
      <c r="C233"/>
      <c r="D233"/>
    </row>
    <row r="234" spans="1:4">
      <c r="A234"/>
      <c r="B234"/>
      <c r="C234"/>
      <c r="D234"/>
    </row>
    <row r="235" spans="1:4">
      <c r="A235"/>
      <c r="B235"/>
      <c r="C235"/>
      <c r="D235"/>
    </row>
    <row r="236" spans="1:4">
      <c r="A236"/>
      <c r="B236"/>
      <c r="C236"/>
      <c r="D236"/>
    </row>
    <row r="237" spans="1:4">
      <c r="A237"/>
      <c r="B237"/>
      <c r="C237"/>
      <c r="D237"/>
    </row>
    <row r="238" spans="1:4">
      <c r="A238"/>
      <c r="B238"/>
      <c r="C238"/>
      <c r="D238"/>
    </row>
    <row r="239" spans="1:4">
      <c r="A239"/>
      <c r="B239"/>
      <c r="C239"/>
      <c r="D239"/>
    </row>
    <row r="240" spans="1:4">
      <c r="A240"/>
      <c r="B240"/>
      <c r="C240"/>
      <c r="D240"/>
    </row>
    <row r="241" spans="1:4">
      <c r="A241"/>
      <c r="B241"/>
      <c r="C241"/>
      <c r="D241"/>
    </row>
    <row r="242" spans="1:4">
      <c r="A242"/>
      <c r="B242"/>
      <c r="C242"/>
      <c r="D242"/>
    </row>
    <row r="243" spans="1:4">
      <c r="A243"/>
      <c r="B243"/>
      <c r="C243"/>
      <c r="D243"/>
    </row>
    <row r="244" spans="1:4">
      <c r="A244"/>
      <c r="B244"/>
      <c r="C244"/>
      <c r="D244"/>
    </row>
    <row r="245" spans="1:4">
      <c r="A245"/>
      <c r="B245"/>
      <c r="C245"/>
      <c r="D245"/>
    </row>
    <row r="246" spans="1:4">
      <c r="A246"/>
      <c r="B246"/>
      <c r="C246"/>
      <c r="D246"/>
    </row>
    <row r="247" spans="1:4">
      <c r="A247"/>
      <c r="B247"/>
      <c r="C247"/>
      <c r="D247"/>
    </row>
    <row r="248" spans="1:4">
      <c r="A248"/>
      <c r="B248"/>
      <c r="C248"/>
      <c r="D248"/>
    </row>
    <row r="249" spans="1:4">
      <c r="A249"/>
      <c r="B249"/>
      <c r="C249"/>
      <c r="D249"/>
    </row>
    <row r="250" spans="1:4">
      <c r="A250"/>
      <c r="B250"/>
      <c r="C250"/>
      <c r="D250"/>
    </row>
    <row r="251" spans="1:4">
      <c r="A251"/>
      <c r="B251"/>
      <c r="C251"/>
      <c r="D251"/>
    </row>
    <row r="252" spans="1:4">
      <c r="A252"/>
      <c r="B252"/>
      <c r="C252"/>
      <c r="D252"/>
    </row>
    <row r="253" spans="1:4">
      <c r="A253"/>
      <c r="B253"/>
      <c r="C253"/>
      <c r="D253"/>
    </row>
    <row r="254" spans="1:4">
      <c r="A254"/>
      <c r="B254"/>
      <c r="C254"/>
      <c r="D254"/>
    </row>
    <row r="255" spans="1:4">
      <c r="A255"/>
      <c r="B255"/>
      <c r="C255"/>
      <c r="D255"/>
    </row>
    <row r="256" spans="1:4">
      <c r="A256"/>
      <c r="B256"/>
      <c r="C256"/>
      <c r="D256"/>
    </row>
    <row r="257" spans="1:4">
      <c r="A257"/>
      <c r="B257"/>
      <c r="C257"/>
      <c r="D257"/>
    </row>
    <row r="258" spans="1:4">
      <c r="A258"/>
      <c r="B258"/>
      <c r="C258"/>
      <c r="D258"/>
    </row>
    <row r="259" spans="1:4">
      <c r="A259"/>
      <c r="B259"/>
      <c r="C259"/>
      <c r="D259"/>
    </row>
    <row r="260" spans="1:4">
      <c r="A260"/>
      <c r="B260"/>
      <c r="C260"/>
      <c r="D260"/>
    </row>
    <row r="261" spans="1:4">
      <c r="A261"/>
      <c r="B261"/>
      <c r="C261"/>
      <c r="D261"/>
    </row>
    <row r="262" spans="1:4">
      <c r="A262"/>
      <c r="B262"/>
      <c r="C262"/>
      <c r="D262"/>
    </row>
    <row r="263" spans="1:4">
      <c r="A263"/>
      <c r="B263"/>
      <c r="C263"/>
      <c r="D263"/>
    </row>
    <row r="264" spans="1:4">
      <c r="A264"/>
      <c r="B264"/>
      <c r="C264"/>
      <c r="D264"/>
    </row>
    <row r="265" spans="1:4">
      <c r="A265"/>
      <c r="B265"/>
      <c r="C265"/>
      <c r="D265"/>
    </row>
    <row r="266" spans="1:4">
      <c r="A266"/>
      <c r="B266"/>
      <c r="C266"/>
      <c r="D266"/>
    </row>
    <row r="267" spans="1:4">
      <c r="A267"/>
      <c r="B267"/>
      <c r="C267"/>
      <c r="D267"/>
    </row>
    <row r="268" spans="1:4">
      <c r="A268"/>
      <c r="B268"/>
      <c r="C268"/>
      <c r="D268"/>
    </row>
    <row r="269" spans="1:4">
      <c r="A269"/>
      <c r="B269"/>
      <c r="C269"/>
      <c r="D269"/>
    </row>
    <row r="270" spans="1:4">
      <c r="A270"/>
      <c r="B270"/>
      <c r="C270"/>
      <c r="D270"/>
    </row>
    <row r="271" spans="1:4">
      <c r="A271"/>
      <c r="B271"/>
      <c r="C271"/>
      <c r="D271"/>
    </row>
    <row r="272" spans="1:4">
      <c r="A272"/>
      <c r="B272"/>
      <c r="C272"/>
      <c r="D272"/>
    </row>
    <row r="273" spans="1:4">
      <c r="A273"/>
      <c r="B273"/>
      <c r="C273"/>
      <c r="D273"/>
    </row>
    <row r="274" spans="1:4">
      <c r="A274"/>
      <c r="B274"/>
      <c r="C274"/>
      <c r="D274"/>
    </row>
    <row r="275" spans="1:4">
      <c r="A275"/>
      <c r="B275"/>
      <c r="C275"/>
      <c r="D275"/>
    </row>
    <row r="276" spans="1:4">
      <c r="A276"/>
      <c r="B276"/>
      <c r="C276"/>
      <c r="D276"/>
    </row>
    <row r="277" spans="1:4">
      <c r="A277"/>
      <c r="B277"/>
      <c r="C277"/>
      <c r="D277"/>
    </row>
    <row r="278" spans="1:4">
      <c r="A278"/>
      <c r="B278"/>
      <c r="C278"/>
      <c r="D278"/>
    </row>
    <row r="279" spans="1:4">
      <c r="A279"/>
      <c r="B279"/>
      <c r="C279"/>
      <c r="D279"/>
    </row>
    <row r="280" spans="1:4">
      <c r="A280"/>
      <c r="B280"/>
      <c r="C280"/>
      <c r="D280"/>
    </row>
    <row r="281" spans="1:4">
      <c r="A281"/>
      <c r="B281"/>
      <c r="C281"/>
      <c r="D281"/>
    </row>
    <row r="282" spans="1:4">
      <c r="A282"/>
      <c r="B282"/>
      <c r="C282"/>
      <c r="D282"/>
    </row>
    <row r="283" spans="1:4">
      <c r="A283"/>
      <c r="B283"/>
      <c r="C283"/>
      <c r="D283"/>
    </row>
    <row r="284" spans="1:4">
      <c r="A284"/>
      <c r="B284"/>
      <c r="C284"/>
      <c r="D284"/>
    </row>
    <row r="285" spans="1:4">
      <c r="A285"/>
      <c r="B285"/>
      <c r="C285"/>
      <c r="D285"/>
    </row>
    <row r="286" spans="1:4">
      <c r="A286"/>
      <c r="B286"/>
      <c r="C286"/>
      <c r="D286"/>
    </row>
    <row r="287" spans="1:4">
      <c r="A287"/>
      <c r="B287"/>
      <c r="C287"/>
      <c r="D287"/>
    </row>
    <row r="288" spans="1:4">
      <c r="A288"/>
      <c r="B288"/>
      <c r="C288"/>
      <c r="D288"/>
    </row>
    <row r="289" spans="1:4">
      <c r="A289"/>
      <c r="B289"/>
      <c r="C289"/>
      <c r="D289"/>
    </row>
    <row r="290" spans="1:4">
      <c r="A290"/>
      <c r="B290"/>
      <c r="C290"/>
      <c r="D290"/>
    </row>
    <row r="291" spans="1:4">
      <c r="A291"/>
      <c r="B291"/>
      <c r="C291"/>
      <c r="D291"/>
    </row>
    <row r="292" spans="1:4">
      <c r="A292"/>
      <c r="B292"/>
      <c r="C292"/>
      <c r="D292"/>
    </row>
    <row r="293" spans="1:4">
      <c r="A293"/>
      <c r="B293"/>
      <c r="C293"/>
      <c r="D293"/>
    </row>
    <row r="294" spans="1:4">
      <c r="A294"/>
      <c r="B294"/>
      <c r="C294"/>
      <c r="D294"/>
    </row>
    <row r="295" spans="1:4">
      <c r="A295"/>
      <c r="B295"/>
      <c r="C295"/>
      <c r="D295"/>
    </row>
    <row r="296" spans="1:4">
      <c r="A296"/>
      <c r="B296"/>
      <c r="C296"/>
      <c r="D296"/>
    </row>
    <row r="297" spans="1:4">
      <c r="A297"/>
      <c r="B297"/>
      <c r="C297"/>
      <c r="D297"/>
    </row>
    <row r="298" spans="1:4">
      <c r="A298"/>
      <c r="B298"/>
      <c r="C298"/>
      <c r="D298"/>
    </row>
    <row r="299" spans="1:4">
      <c r="A299"/>
      <c r="B299"/>
      <c r="C299"/>
      <c r="D299"/>
    </row>
    <row r="300" spans="1:4">
      <c r="A300"/>
      <c r="B300"/>
      <c r="C300"/>
      <c r="D300"/>
    </row>
    <row r="301" spans="1:4">
      <c r="A301"/>
      <c r="B301"/>
      <c r="C301"/>
      <c r="D301"/>
    </row>
    <row r="302" spans="1:4">
      <c r="A302"/>
      <c r="B302"/>
      <c r="C302"/>
      <c r="D302"/>
    </row>
    <row r="303" spans="1:4">
      <c r="A303"/>
      <c r="B303"/>
      <c r="C303"/>
      <c r="D303"/>
    </row>
    <row r="304" spans="1:4">
      <c r="A304"/>
      <c r="B304"/>
      <c r="C304"/>
      <c r="D304"/>
    </row>
    <row r="305" spans="1:4">
      <c r="A305"/>
      <c r="B305"/>
      <c r="C305"/>
      <c r="D305"/>
    </row>
    <row r="306" spans="1:4">
      <c r="A306"/>
      <c r="B306"/>
      <c r="C306"/>
      <c r="D306"/>
    </row>
    <row r="307" spans="1:4">
      <c r="A307"/>
      <c r="B307"/>
      <c r="C307"/>
      <c r="D307"/>
    </row>
    <row r="308" spans="1:4">
      <c r="A308"/>
      <c r="B308"/>
      <c r="C308"/>
      <c r="D308"/>
    </row>
    <row r="309" spans="1:4">
      <c r="A309"/>
      <c r="B309"/>
      <c r="C309"/>
      <c r="D309"/>
    </row>
    <row r="310" spans="1:4">
      <c r="A310"/>
      <c r="B310"/>
      <c r="C310"/>
      <c r="D310"/>
    </row>
    <row r="311" spans="1:4">
      <c r="A311"/>
      <c r="B311"/>
      <c r="C311"/>
      <c r="D311"/>
    </row>
    <row r="312" spans="1:4">
      <c r="A312"/>
      <c r="B312"/>
      <c r="C312"/>
      <c r="D312"/>
    </row>
    <row r="313" spans="1:4">
      <c r="A313"/>
      <c r="B313"/>
      <c r="C313"/>
      <c r="D313"/>
    </row>
    <row r="314" spans="1:4">
      <c r="A314"/>
      <c r="B314"/>
      <c r="C314"/>
      <c r="D314"/>
    </row>
    <row r="315" spans="1:4">
      <c r="A315"/>
      <c r="B315"/>
      <c r="C315"/>
      <c r="D315"/>
    </row>
    <row r="316" spans="1:4">
      <c r="A316"/>
      <c r="B316"/>
      <c r="C316"/>
      <c r="D316"/>
    </row>
    <row r="317" spans="1:4">
      <c r="A317"/>
      <c r="B317"/>
      <c r="C317"/>
      <c r="D317"/>
    </row>
    <row r="318" spans="1:4">
      <c r="A318"/>
      <c r="B318"/>
      <c r="C318"/>
      <c r="D318"/>
    </row>
    <row r="319" spans="1:4">
      <c r="A319"/>
      <c r="B319"/>
      <c r="C319"/>
      <c r="D319"/>
    </row>
    <row r="320" spans="1:4">
      <c r="A320"/>
      <c r="B320"/>
      <c r="C320"/>
      <c r="D320"/>
    </row>
    <row r="321" spans="1:4">
      <c r="A321"/>
      <c r="B321"/>
      <c r="C321"/>
      <c r="D321"/>
    </row>
    <row r="322" spans="1:4">
      <c r="A322"/>
      <c r="B322"/>
      <c r="C322"/>
      <c r="D322"/>
    </row>
    <row r="323" spans="1:4">
      <c r="A323"/>
      <c r="B323"/>
      <c r="C323"/>
      <c r="D323"/>
    </row>
    <row r="324" spans="1:4">
      <c r="A324"/>
      <c r="B324"/>
      <c r="C324"/>
      <c r="D324"/>
    </row>
    <row r="325" spans="1:4">
      <c r="A325"/>
      <c r="B325"/>
      <c r="C325"/>
      <c r="D325"/>
    </row>
    <row r="326" spans="1:4">
      <c r="A326"/>
      <c r="B326"/>
      <c r="C326"/>
      <c r="D326"/>
    </row>
    <row r="327" spans="1:4">
      <c r="A327"/>
      <c r="B327"/>
      <c r="C327"/>
      <c r="D327"/>
    </row>
    <row r="328" spans="1:4">
      <c r="A328"/>
      <c r="B328"/>
      <c r="C328"/>
      <c r="D328"/>
    </row>
    <row r="329" spans="1:4">
      <c r="A329"/>
      <c r="B329"/>
      <c r="C329"/>
      <c r="D329"/>
    </row>
    <row r="330" spans="1:4">
      <c r="A330"/>
      <c r="B330"/>
      <c r="C330"/>
      <c r="D330"/>
    </row>
    <row r="331" spans="1:4">
      <c r="A331"/>
      <c r="B331"/>
      <c r="C331"/>
      <c r="D331"/>
    </row>
    <row r="332" spans="1:4">
      <c r="A332"/>
      <c r="B332"/>
      <c r="C332"/>
      <c r="D332"/>
    </row>
    <row r="333" spans="1:4">
      <c r="A333"/>
      <c r="B333"/>
      <c r="C333"/>
      <c r="D333"/>
    </row>
    <row r="334" spans="1:4">
      <c r="A334"/>
      <c r="B334"/>
      <c r="C334"/>
      <c r="D334"/>
    </row>
    <row r="335" spans="1:4">
      <c r="A335"/>
      <c r="B335"/>
      <c r="C335"/>
      <c r="D335"/>
    </row>
    <row r="336" spans="1:4">
      <c r="A336"/>
      <c r="B336"/>
      <c r="C336"/>
      <c r="D336"/>
    </row>
    <row r="337" spans="1:4">
      <c r="A337"/>
      <c r="B337"/>
      <c r="C337"/>
      <c r="D337"/>
    </row>
    <row r="338" spans="1:4">
      <c r="A338"/>
      <c r="B338"/>
      <c r="C338"/>
      <c r="D338"/>
    </row>
    <row r="339" spans="1:4">
      <c r="A339"/>
      <c r="B339"/>
      <c r="C339"/>
      <c r="D339"/>
    </row>
    <row r="340" spans="1:4">
      <c r="A340"/>
      <c r="B340"/>
      <c r="C340"/>
      <c r="D340"/>
    </row>
    <row r="341" spans="1:4">
      <c r="A341"/>
      <c r="B341"/>
      <c r="C341"/>
      <c r="D341"/>
    </row>
    <row r="342" spans="1:4">
      <c r="A342"/>
      <c r="B342"/>
      <c r="C342"/>
      <c r="D342"/>
    </row>
    <row r="343" spans="1:4">
      <c r="A343"/>
      <c r="B343"/>
      <c r="C343"/>
      <c r="D343"/>
    </row>
    <row r="344" spans="1:4">
      <c r="A344"/>
      <c r="B344"/>
      <c r="C344"/>
      <c r="D344"/>
    </row>
    <row r="345" spans="1:4">
      <c r="A345"/>
      <c r="B345"/>
      <c r="C345"/>
      <c r="D345"/>
    </row>
    <row r="346" spans="1:4">
      <c r="A346"/>
      <c r="B346"/>
      <c r="C346"/>
      <c r="D346"/>
    </row>
    <row r="347" spans="1:4">
      <c r="A347"/>
      <c r="B347"/>
      <c r="C347"/>
      <c r="D347"/>
    </row>
    <row r="348" spans="1:4">
      <c r="A348"/>
      <c r="B348"/>
      <c r="C348"/>
      <c r="D348"/>
    </row>
    <row r="349" spans="1:4">
      <c r="A349"/>
      <c r="B349"/>
      <c r="C349"/>
      <c r="D349"/>
    </row>
    <row r="350" spans="1:4">
      <c r="A350"/>
      <c r="B350"/>
      <c r="C350"/>
      <c r="D350"/>
    </row>
    <row r="351" spans="1:4">
      <c r="A351"/>
      <c r="B351"/>
      <c r="C351"/>
      <c r="D351"/>
    </row>
    <row r="352" spans="1:4">
      <c r="A352"/>
      <c r="B352"/>
      <c r="C352"/>
      <c r="D352"/>
    </row>
    <row r="353" spans="1:4">
      <c r="A353"/>
      <c r="B353"/>
      <c r="C353"/>
      <c r="D353"/>
    </row>
    <row r="354" spans="1:4">
      <c r="A354"/>
      <c r="B354"/>
      <c r="C354"/>
      <c r="D354"/>
    </row>
    <row r="355" spans="1:4">
      <c r="A355"/>
      <c r="B355"/>
      <c r="C355"/>
      <c r="D355"/>
    </row>
    <row r="356" spans="1:4">
      <c r="A356"/>
      <c r="B356"/>
      <c r="C356"/>
      <c r="D356"/>
    </row>
    <row r="357" spans="1:4">
      <c r="A357"/>
      <c r="B357"/>
      <c r="C357"/>
      <c r="D357"/>
    </row>
    <row r="358" spans="1:4">
      <c r="A358"/>
      <c r="B358"/>
      <c r="C358"/>
      <c r="D358"/>
    </row>
    <row r="359" spans="1:4">
      <c r="A359"/>
      <c r="B359"/>
      <c r="C359"/>
      <c r="D359"/>
    </row>
    <row r="360" spans="1:4">
      <c r="A360"/>
      <c r="B360"/>
      <c r="C360"/>
      <c r="D360"/>
    </row>
    <row r="361" spans="1:4">
      <c r="A361"/>
      <c r="B361"/>
      <c r="C361"/>
      <c r="D361"/>
    </row>
    <row r="362" spans="1:4">
      <c r="A362"/>
      <c r="B362"/>
      <c r="C362"/>
      <c r="D362"/>
    </row>
    <row r="363" spans="1:4">
      <c r="A363"/>
      <c r="B363"/>
      <c r="C363"/>
      <c r="D363"/>
    </row>
    <row r="364" spans="1:4">
      <c r="A364"/>
      <c r="B364"/>
      <c r="C364"/>
      <c r="D364"/>
    </row>
    <row r="365" spans="1:4">
      <c r="A365"/>
      <c r="B365"/>
      <c r="C365"/>
      <c r="D365"/>
    </row>
    <row r="366" spans="1:4">
      <c r="A366"/>
      <c r="B366"/>
      <c r="C366"/>
      <c r="D366"/>
    </row>
    <row r="367" spans="1:4">
      <c r="A367"/>
      <c r="B367"/>
      <c r="C367"/>
      <c r="D367"/>
    </row>
    <row r="368" spans="1:4">
      <c r="A368"/>
      <c r="B368"/>
      <c r="C368"/>
      <c r="D368"/>
    </row>
    <row r="369" spans="1:4">
      <c r="A369"/>
      <c r="B369"/>
      <c r="C369"/>
      <c r="D369"/>
    </row>
    <row r="370" spans="1:4">
      <c r="A370"/>
      <c r="B370"/>
      <c r="C370"/>
      <c r="D370"/>
    </row>
    <row r="371" spans="1:4">
      <c r="A371"/>
      <c r="B371"/>
      <c r="C371"/>
      <c r="D371"/>
    </row>
    <row r="372" spans="1:4">
      <c r="A372"/>
      <c r="B372"/>
      <c r="C372"/>
      <c r="D372"/>
    </row>
    <row r="373" spans="1:4">
      <c r="A373"/>
      <c r="B373"/>
      <c r="C373"/>
      <c r="D373"/>
    </row>
    <row r="374" spans="1:4">
      <c r="A374"/>
      <c r="B374"/>
      <c r="C374"/>
      <c r="D374"/>
    </row>
    <row r="375" spans="1:4">
      <c r="A375"/>
      <c r="B375"/>
      <c r="C375"/>
      <c r="D375"/>
    </row>
    <row r="376" spans="1:4">
      <c r="A376"/>
      <c r="B376"/>
      <c r="C376"/>
      <c r="D376"/>
    </row>
    <row r="377" spans="1:4">
      <c r="A377"/>
      <c r="B377"/>
      <c r="C377"/>
      <c r="D377"/>
    </row>
    <row r="378" spans="1:4">
      <c r="A378"/>
      <c r="B378"/>
      <c r="C378"/>
      <c r="D378"/>
    </row>
    <row r="379" spans="1:4">
      <c r="A379"/>
      <c r="B379"/>
      <c r="C379"/>
      <c r="D379"/>
    </row>
    <row r="380" spans="1:4">
      <c r="A380"/>
      <c r="B380"/>
      <c r="C380"/>
      <c r="D380"/>
    </row>
    <row r="381" spans="1:4">
      <c r="A381"/>
      <c r="B381"/>
      <c r="C381"/>
      <c r="D381"/>
    </row>
    <row r="382" spans="1:4">
      <c r="A382"/>
      <c r="B382"/>
      <c r="C382"/>
      <c r="D382"/>
    </row>
    <row r="383" spans="1:4">
      <c r="A383"/>
      <c r="B383"/>
      <c r="C383"/>
      <c r="D383"/>
    </row>
    <row r="384" spans="1:4">
      <c r="A384"/>
      <c r="B384"/>
      <c r="C384"/>
      <c r="D384"/>
    </row>
    <row r="385" spans="1:4">
      <c r="A385"/>
      <c r="B385"/>
      <c r="C385"/>
      <c r="D385"/>
    </row>
    <row r="386" spans="1:4">
      <c r="A386"/>
      <c r="B386"/>
      <c r="C386"/>
      <c r="D386"/>
    </row>
    <row r="387" spans="1:4">
      <c r="A387"/>
      <c r="B387"/>
      <c r="C387"/>
      <c r="D387"/>
    </row>
    <row r="388" spans="1:4">
      <c r="A388"/>
      <c r="B388"/>
      <c r="C388"/>
      <c r="D388"/>
    </row>
    <row r="389" spans="1:4">
      <c r="A389"/>
      <c r="B389"/>
      <c r="C389"/>
      <c r="D389"/>
    </row>
    <row r="390" spans="1:4">
      <c r="A390"/>
      <c r="B390"/>
      <c r="C390"/>
      <c r="D390"/>
    </row>
    <row r="391" spans="1:4">
      <c r="A391"/>
      <c r="B391"/>
      <c r="C391"/>
      <c r="D391"/>
    </row>
    <row r="392" spans="1:4">
      <c r="A392"/>
      <c r="B392"/>
      <c r="C392"/>
      <c r="D392"/>
    </row>
    <row r="393" spans="1:4">
      <c r="A393"/>
      <c r="B393"/>
      <c r="C393"/>
      <c r="D393"/>
    </row>
    <row r="394" spans="1:4">
      <c r="A394"/>
      <c r="B394"/>
      <c r="C394"/>
      <c r="D394"/>
    </row>
    <row r="395" spans="1:4">
      <c r="A395"/>
      <c r="B395"/>
      <c r="C395"/>
      <c r="D395"/>
    </row>
    <row r="396" spans="1:4">
      <c r="A396"/>
      <c r="B396"/>
      <c r="C396"/>
      <c r="D396"/>
    </row>
    <row r="397" spans="1:4">
      <c r="A397"/>
      <c r="B397"/>
      <c r="C397"/>
      <c r="D397"/>
    </row>
    <row r="398" spans="1:4">
      <c r="A398"/>
      <c r="B398"/>
      <c r="C398"/>
      <c r="D398"/>
    </row>
    <row r="399" spans="1:4">
      <c r="A399"/>
      <c r="B399"/>
      <c r="C399"/>
      <c r="D399"/>
    </row>
    <row r="400" spans="1:4">
      <c r="A400"/>
      <c r="B400"/>
      <c r="C400"/>
      <c r="D400"/>
    </row>
    <row r="401" spans="1:4">
      <c r="A401"/>
      <c r="B401"/>
      <c r="C401"/>
      <c r="D401"/>
    </row>
    <row r="402" spans="1:4">
      <c r="A402"/>
      <c r="B402"/>
      <c r="C402"/>
      <c r="D402"/>
    </row>
    <row r="403" spans="1:4">
      <c r="A403"/>
      <c r="B403"/>
      <c r="C403"/>
      <c r="D403"/>
    </row>
    <row r="404" spans="1:4">
      <c r="A404"/>
      <c r="B404"/>
      <c r="C404"/>
      <c r="D404"/>
    </row>
    <row r="405" spans="1:4">
      <c r="A405"/>
      <c r="B405"/>
      <c r="C405"/>
      <c r="D405"/>
    </row>
    <row r="406" spans="1:4">
      <c r="A406"/>
      <c r="B406"/>
      <c r="C406"/>
      <c r="D406"/>
    </row>
    <row r="407" spans="1:4">
      <c r="A407"/>
      <c r="B407"/>
      <c r="C407"/>
      <c r="D407"/>
    </row>
    <row r="408" spans="1:4">
      <c r="A408"/>
      <c r="B408"/>
      <c r="C408"/>
      <c r="D408"/>
    </row>
    <row r="409" spans="1:4">
      <c r="A409"/>
      <c r="B409"/>
      <c r="C409"/>
      <c r="D409"/>
    </row>
    <row r="410" spans="1:4">
      <c r="A410"/>
      <c r="B410"/>
      <c r="C410"/>
      <c r="D410"/>
    </row>
    <row r="411" spans="1:4">
      <c r="A411"/>
      <c r="B411"/>
      <c r="C411"/>
      <c r="D411"/>
    </row>
    <row r="412" spans="1:4">
      <c r="A412"/>
      <c r="B412"/>
      <c r="C412"/>
      <c r="D412"/>
    </row>
    <row r="413" spans="1:4">
      <c r="A413"/>
      <c r="B413"/>
      <c r="C413"/>
      <c r="D413"/>
    </row>
    <row r="414" spans="1:4">
      <c r="A414"/>
      <c r="B414"/>
      <c r="C414"/>
      <c r="D414"/>
    </row>
    <row r="415" spans="1:4">
      <c r="A415"/>
      <c r="B415"/>
      <c r="C415"/>
      <c r="D415"/>
    </row>
    <row r="416" spans="1:4">
      <c r="A416"/>
      <c r="B416"/>
      <c r="C416"/>
      <c r="D416"/>
    </row>
    <row r="417" spans="1:4">
      <c r="A417"/>
      <c r="B417"/>
      <c r="C417"/>
      <c r="D417"/>
    </row>
    <row r="418" spans="1:4">
      <c r="A418"/>
      <c r="B418"/>
      <c r="C418"/>
      <c r="D418"/>
    </row>
    <row r="419" spans="1:4">
      <c r="A419"/>
      <c r="B419"/>
      <c r="C419"/>
      <c r="D419"/>
    </row>
    <row r="420" spans="1:4">
      <c r="A420"/>
      <c r="B420"/>
      <c r="C420"/>
      <c r="D420"/>
    </row>
    <row r="421" spans="1:4">
      <c r="A421"/>
      <c r="B421"/>
      <c r="C421"/>
      <c r="D421"/>
    </row>
    <row r="422" spans="1:4">
      <c r="A422"/>
      <c r="B422"/>
      <c r="C422"/>
      <c r="D422"/>
    </row>
    <row r="423" spans="1:4">
      <c r="A423"/>
      <c r="B423"/>
      <c r="C423"/>
      <c r="D423"/>
    </row>
    <row r="424" spans="1:4">
      <c r="A424"/>
      <c r="B424"/>
      <c r="C424"/>
      <c r="D424"/>
    </row>
    <row r="425" spans="1:4">
      <c r="A425"/>
      <c r="B425"/>
      <c r="C425"/>
      <c r="D425"/>
    </row>
    <row r="426" spans="1:4">
      <c r="A426"/>
      <c r="B426"/>
      <c r="C426"/>
      <c r="D426"/>
    </row>
    <row r="427" spans="1:4">
      <c r="A427"/>
      <c r="B427"/>
      <c r="C427"/>
      <c r="D427"/>
    </row>
    <row r="428" spans="1:4">
      <c r="A428"/>
      <c r="B428"/>
      <c r="C428"/>
      <c r="D428"/>
    </row>
    <row r="429" spans="1:4">
      <c r="A429"/>
      <c r="B429"/>
      <c r="C429"/>
      <c r="D429"/>
    </row>
    <row r="430" spans="1:4">
      <c r="A430"/>
      <c r="B430"/>
      <c r="C430"/>
      <c r="D430"/>
    </row>
    <row r="431" spans="1:4">
      <c r="A431"/>
      <c r="B431"/>
      <c r="C431"/>
      <c r="D431"/>
    </row>
    <row r="432" spans="1:4">
      <c r="A432"/>
      <c r="B432"/>
      <c r="C432"/>
      <c r="D432"/>
    </row>
    <row r="433" spans="1:4">
      <c r="A433"/>
      <c r="B433"/>
      <c r="C433"/>
      <c r="D4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9C7B57AA89494D97AD7F9C7AAF1FA3" ma:contentTypeVersion="16" ma:contentTypeDescription="Create a new document." ma:contentTypeScope="" ma:versionID="8f648f7ba0ee9c3cc6118447e4440759">
  <xsd:schema xmlns:xsd="http://www.w3.org/2001/XMLSchema" xmlns:xs="http://www.w3.org/2001/XMLSchema" xmlns:p="http://schemas.microsoft.com/office/2006/metadata/properties" xmlns:ns2="cb8885cf-f7c3-4147-88f7-3374f51e527d" xmlns:ns3="511187d4-c97d-4bf4-be43-fdc87f977711" targetNamespace="http://schemas.microsoft.com/office/2006/metadata/properties" ma:root="true" ma:fieldsID="cec337839ccc6b261f8c7e43ab6cccdd" ns2:_="" ns3:_="">
    <xsd:import namespace="cb8885cf-f7c3-4147-88f7-3374f51e527d"/>
    <xsd:import namespace="511187d4-c97d-4bf4-be43-fdc87f977711"/>
    <xsd:element name="properties">
      <xsd:complexType>
        <xsd:sequence>
          <xsd:element name="documentManagement">
            <xsd:complexType>
              <xsd:all>
                <xsd:element ref="ns2:MediaServiceMetadata" minOccurs="0"/>
                <xsd:element ref="ns2:MediaServiceFastMetadata" minOccurs="0"/>
                <xsd:element ref="ns2:MediaServiceOCR" minOccurs="0"/>
                <xsd:element ref="ns3:SharedWithUsers" minOccurs="0"/>
                <xsd:element ref="ns3:SharedWithDetails"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8885cf-f7c3-4147-88f7-3374f51e5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d0f0cfe-34f2-4a06-ab4d-e9186d0c4f66"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1187d4-c97d-4bf4-be43-fdc87f97771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f4c2a93-347a-421d-be59-f3ab58ab7dff}" ma:internalName="TaxCatchAll" ma:showField="CatchAllData" ma:web="511187d4-c97d-4bf4-be43-fdc87f9777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11187d4-c97d-4bf4-be43-fdc87f977711" xsi:nil="true"/>
    <lcf76f155ced4ddcb4097134ff3c332f xmlns="cb8885cf-f7c3-4147-88f7-3374f51e527d">
      <Terms xmlns="http://schemas.microsoft.com/office/infopath/2007/PartnerControls"/>
    </lcf76f155ced4ddcb4097134ff3c332f>
    <SharedWithUsers xmlns="511187d4-c97d-4bf4-be43-fdc87f977711">
      <UserInfo>
        <DisplayName>Aaron Lange</DisplayName>
        <AccountId>12</AccountId>
        <AccountType/>
      </UserInfo>
      <UserInfo>
        <DisplayName>Brad Lange</DisplayName>
        <AccountId>15</AccountId>
        <AccountType/>
      </UserInfo>
      <UserInfo>
        <DisplayName>Mathew Gaskin</DisplayName>
        <AccountId>14</AccountId>
        <AccountType/>
      </UserInfo>
      <UserInfo>
        <DisplayName>Kelly Brakel</DisplayName>
        <AccountId>22</AccountId>
        <AccountType/>
      </UserInfo>
      <UserInfo>
        <DisplayName>Maria Zumkeller</DisplayName>
        <AccountId>103</AccountId>
        <AccountType/>
      </UserInfo>
      <UserInfo>
        <DisplayName>Kyle Brown</DisplayName>
        <AccountId>13</AccountId>
        <AccountType/>
      </UserInfo>
      <UserInfo>
        <DisplayName>Uriel Salas</DisplayName>
        <AccountId>24</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C1AD3B-22CC-4E2A-9D99-76E7BB7A1599}"/>
</file>

<file path=customXml/itemProps2.xml><?xml version="1.0" encoding="utf-8"?>
<ds:datastoreItem xmlns:ds="http://schemas.openxmlformats.org/officeDocument/2006/customXml" ds:itemID="{A88D64DB-BD52-4709-9342-1C7A64EE0085}"/>
</file>

<file path=customXml/itemProps3.xml><?xml version="1.0" encoding="utf-8"?>
<ds:datastoreItem xmlns:ds="http://schemas.openxmlformats.org/officeDocument/2006/customXml" ds:itemID="{A0B42ADA-EF59-4812-B8CC-C43E67FE58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Mathew Gaskin</dc:creator>
  <cp:keywords/>
  <dc:description/>
  <cp:lastModifiedBy>Maria Zumkeller</cp:lastModifiedBy>
  <cp:revision/>
  <dcterms:created xsi:type="dcterms:W3CDTF">2018-05-25T22:36:50Z</dcterms:created>
  <dcterms:modified xsi:type="dcterms:W3CDTF">2026-08-20T21:03:10Z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0x010100049C7B57AA89494D97AD7F9C7AAF1FA3</vt:lpwstr>
  </property>
  <property fmtid="{D5CDD505-2E9C-101B-9397-08002B2CF9AE}" pid="3" name="MediaServiceImageTags">
    <vt:lpwstr/>
  </property>
</Properties>
</file>