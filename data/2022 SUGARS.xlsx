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0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ngetwins.sharepoint.com/sites/VineyardOps/Shared Documents/Harvest 2022/"/>
    </mc:Choice>
  </mc:AlternateContent>
  <xr:revisionPtr revIDLastSave="1455" documentId="6_{F27DF5B9-F4D8-441D-A0C2-19BCDAA3C7A5}" xr6:coauthVersionLast="47" xr6:coauthVersionMax="47" xr10:uidLastSave="{D6B3177C-52FE-4207-8A8E-44252D9CB61B}"/>
  <bookViews>
    <workbookView xWindow="28680" yWindow="-255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Sheet1!$A$3:$DN$423</definedName>
    <definedName name="_xlnm.Print_Area" localSheetId="0">Sheet1!$A$2:$CF$410</definedName>
    <definedName name="_xlnm.Print_Titles" localSheetId="0">Sheet1!$2:$3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L3" i="1" s="1"/>
  <c r="M3" i="1" s="1"/>
  <c r="N3" i="1" s="1"/>
  <c r="O3" i="1" s="1"/>
  <c r="P3" i="1" s="1"/>
  <c r="Q3" i="1" s="1"/>
  <c r="R3" i="1" s="1"/>
  <c r="S3" i="1" s="1"/>
  <c r="U3" i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188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tc={F86B8820-3F94-426B-B9D6-42BFB579E2AA}</author>
    <author>tc={FF818219-2058-40D3-9AD5-16D56EEF3F47}</author>
  </authors>
  <commentList>
    <comment ref="BG23" authorId="0" shapeId="0" xr:uid="{F86B8820-3F94-426B-B9D6-42BFB579E2AA}">
      <text>
        <t>[Threaded comment]
Your version of Excel allows you to read this threaded comment; however, any edits to it will get removed if the file is opened in a newer version of Excel. Learn more: https://go.microsoft.com/fwlink/?linkid=870924
Comment:
    whole block random sample</t>
      </text>
    </comment>
    <comment ref="BK26" authorId="1" shapeId="0" xr:uid="{FF818219-2058-40D3-9AD5-16D56EEF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whole block</t>
      </text>
    </comment>
  </commentList>
</comments>
</file>

<file path=xl/sharedStrings.xml><?xml version="1.0" encoding="utf-8"?>
<sst xmlns="http://schemas.openxmlformats.org/spreadsheetml/2006/main" count="2316" uniqueCount="580">
  <si>
    <r>
      <rPr>
        <b/>
        <sz val="9"/>
        <rFont val="Arial Narrow"/>
        <family val="2"/>
      </rPr>
      <t xml:space="preserve">KEY:   </t>
    </r>
    <r>
      <rPr>
        <i/>
        <u/>
        <sz val="9"/>
        <rFont val="Arial Narrow"/>
        <family val="2"/>
      </rPr>
      <t>Lab Results</t>
    </r>
    <r>
      <rPr>
        <i/>
        <sz val="9"/>
        <rFont val="Arial Narrow"/>
        <family val="2"/>
      </rPr>
      <t xml:space="preserve">   </t>
    </r>
    <r>
      <rPr>
        <sz val="9"/>
        <rFont val="Arial Narrow"/>
        <family val="2"/>
      </rPr>
      <t xml:space="preserve">* = After 1PM    G = Gallo     C= Constellation </t>
    </r>
  </si>
  <si>
    <t>LANGETWINS VINEYARD SUGARS</t>
  </si>
  <si>
    <t>DONE      .</t>
  </si>
  <si>
    <t>LODI RULES      .</t>
  </si>
  <si>
    <t>REGION      .</t>
  </si>
  <si>
    <t>VARIETY     .</t>
  </si>
  <si>
    <t xml:space="preserve">
VINEYARD NAME</t>
  </si>
  <si>
    <t>MIN. BRIX       .</t>
  </si>
  <si>
    <t xml:space="preserve">
WINERY</t>
  </si>
  <si>
    <t>AG</t>
  </si>
  <si>
    <t xml:space="preserve"> AGLIANICO</t>
  </si>
  <si>
    <t>.</t>
  </si>
  <si>
    <t>y</t>
  </si>
  <si>
    <t>Y</t>
  </si>
  <si>
    <t>L</t>
  </si>
  <si>
    <t>LF River Aglianico</t>
  </si>
  <si>
    <t>LTW</t>
  </si>
  <si>
    <t>23.8*</t>
  </si>
  <si>
    <t>AL</t>
  </si>
  <si>
    <t xml:space="preserve"> ALBARINO</t>
  </si>
  <si>
    <t>D</t>
  </si>
  <si>
    <t>Foley BLK 3B</t>
  </si>
  <si>
    <t>Gallo</t>
  </si>
  <si>
    <t>Wheelhouse BLK 3</t>
  </si>
  <si>
    <t>16.9*</t>
  </si>
  <si>
    <t>AN</t>
  </si>
  <si>
    <t xml:space="preserve"> ANCELLOTA</t>
  </si>
  <si>
    <t>LF Redtail</t>
  </si>
  <si>
    <t>20.0*</t>
  </si>
  <si>
    <t>BA</t>
  </si>
  <si>
    <t xml:space="preserve"> BARBERA</t>
  </si>
  <si>
    <t>C</t>
  </si>
  <si>
    <t>Clements Mohr</t>
  </si>
  <si>
    <t>Clements Paddy Creek BLK 2</t>
  </si>
  <si>
    <t>17.5*</t>
  </si>
  <si>
    <t>Clements Paddy Creek BLK 2 (M)</t>
  </si>
  <si>
    <t>Clements Paddy Creek BLK 2 (N)</t>
  </si>
  <si>
    <t>Clements Paddy Creek BLK 2 (S)</t>
  </si>
  <si>
    <t>CB</t>
  </si>
  <si>
    <t xml:space="preserve"> CHENIN BLANC</t>
  </si>
  <si>
    <t>Foley BLK 15</t>
  </si>
  <si>
    <t>Foley BLK 7</t>
  </si>
  <si>
    <t>Merrill-Johnson BLK 3</t>
  </si>
  <si>
    <t>Prince BLK 10</t>
  </si>
  <si>
    <t>Prince BLK 14</t>
  </si>
  <si>
    <t>Prince BLK 15 (primary crop only)</t>
  </si>
  <si>
    <t>Prince BLK 15 - N</t>
  </si>
  <si>
    <t>Prince BLK 15 - S</t>
  </si>
  <si>
    <t>Prince BLK 16 - primary crop</t>
  </si>
  <si>
    <t>18.0*</t>
  </si>
  <si>
    <t>Prince BLK 16 - secondary crop (after frost)</t>
  </si>
  <si>
    <t>14.2*</t>
  </si>
  <si>
    <t>Prince BLK 17</t>
  </si>
  <si>
    <t>19.6*</t>
  </si>
  <si>
    <t>Prince BLK 5</t>
  </si>
  <si>
    <t>Prince BLK 5 - N</t>
  </si>
  <si>
    <t>Prince BLK 5 - S</t>
  </si>
  <si>
    <t>Prince BLK 5 - E (primary crop only)</t>
  </si>
  <si>
    <t>Prince BLK 5 - E (eastern first 50 rows)</t>
  </si>
  <si>
    <t>Prince BLK 5 - W (primary crop only)</t>
  </si>
  <si>
    <t>Prince BLK 6</t>
  </si>
  <si>
    <t>Prince BLK 8</t>
  </si>
  <si>
    <t>19.2*</t>
  </si>
  <si>
    <t>Prince BLK 99</t>
  </si>
  <si>
    <t>CF</t>
  </si>
  <si>
    <t xml:space="preserve"> CAB FRANC</t>
  </si>
  <si>
    <t>LF Railroad</t>
  </si>
  <si>
    <t>21.0*</t>
  </si>
  <si>
    <t>CH</t>
  </si>
  <si>
    <t xml:space="preserve"> CHARDONNAY</t>
  </si>
  <si>
    <t>Baum Peltier BLK 1</t>
  </si>
  <si>
    <t>22.1.</t>
  </si>
  <si>
    <t>23.9.</t>
  </si>
  <si>
    <t>Clements Atkins BLK 2</t>
  </si>
  <si>
    <t>Clements Atkins BLK 3</t>
  </si>
  <si>
    <t>Clements Atkins BLK 4 (South - Horses)</t>
  </si>
  <si>
    <t>Clements Bear Creek</t>
  </si>
  <si>
    <t>Clements Rose II BLK 2</t>
  </si>
  <si>
    <t>Clements Rose II BLK 2 - Mid</t>
  </si>
  <si>
    <t>Clements Rose II BLK 2 - NORTH</t>
  </si>
  <si>
    <t>Clements Rose II BLK 2 - SOUTH</t>
  </si>
  <si>
    <t>Cook BLK 2</t>
  </si>
  <si>
    <t>Diablo Dutra BLK 9</t>
  </si>
  <si>
    <t>TWG</t>
  </si>
  <si>
    <t>Donald, Brian Davis BLK 5</t>
  </si>
  <si>
    <t>Foley BLK 2B</t>
  </si>
  <si>
    <t>Foley</t>
  </si>
  <si>
    <t>Foley BLK 3</t>
  </si>
  <si>
    <t>Foley BLK 4</t>
  </si>
  <si>
    <t>Foley BLK 5</t>
  </si>
  <si>
    <t>Foley BLK 6</t>
  </si>
  <si>
    <t>Hilder &amp; Hilder BLK 2  - SouthEast</t>
  </si>
  <si>
    <t>U9970</t>
  </si>
  <si>
    <t>LaPrima - BLK 2</t>
  </si>
  <si>
    <t>Bogle</t>
  </si>
  <si>
    <t>Lashi Mark Shimozaki</t>
  </si>
  <si>
    <t>21.2, 21.0</t>
  </si>
  <si>
    <t>LF 80 BLK 4 (CH rows 1-23)</t>
  </si>
  <si>
    <t>LF 80 BLK 4 (Rosa CH rows 24-45</t>
  </si>
  <si>
    <t>LF Davis BLK 3</t>
  </si>
  <si>
    <t>Merrill-Johnson</t>
  </si>
  <si>
    <t>Merrill-Johnson - full random sample (primary and sec)</t>
  </si>
  <si>
    <t>North River</t>
  </si>
  <si>
    <t>Prince BLK 1</t>
  </si>
  <si>
    <t>Prince BLK 1 - E</t>
  </si>
  <si>
    <t>Prince BLK 1 - W</t>
  </si>
  <si>
    <t>Prince BLK 13</t>
  </si>
  <si>
    <r>
      <t xml:space="preserve">Prince BLK 13 - ROWS 137-153 </t>
    </r>
    <r>
      <rPr>
        <b/>
        <sz val="12"/>
        <rFont val="Arial Narrow"/>
        <family val="2"/>
      </rPr>
      <t>13B</t>
    </r>
  </si>
  <si>
    <t>Prince BLK 21</t>
  </si>
  <si>
    <t xml:space="preserve">Proplant Betsey Rose BLK 3 </t>
  </si>
  <si>
    <t>U31778</t>
  </si>
  <si>
    <t>Proplant Betsey Rose BLK 3 - E</t>
  </si>
  <si>
    <t>Proplant Betsey Rose BLK 3 - Middle</t>
  </si>
  <si>
    <t>Proplant Betsey Rose BLK 3 - W</t>
  </si>
  <si>
    <t>Proplant CRAIG BLK 2</t>
  </si>
  <si>
    <t>U17119</t>
  </si>
  <si>
    <t>20.8*</t>
  </si>
  <si>
    <t>21.8, 23</t>
  </si>
  <si>
    <t xml:space="preserve">Rootstock 2 Bear Creek </t>
  </si>
  <si>
    <t>17.5/21.0</t>
  </si>
  <si>
    <t>Rootstock 2 Bear Creek North</t>
  </si>
  <si>
    <t>Rootstock 2 Bear Creek South</t>
  </si>
  <si>
    <t>Rootstock BLK 3</t>
  </si>
  <si>
    <t>U11630</t>
  </si>
  <si>
    <t>Rootstock BLK 3 - E</t>
  </si>
  <si>
    <t>Rootstock BLK 3 - House</t>
  </si>
  <si>
    <t>Rootstock BLK 3 - South</t>
  </si>
  <si>
    <t>Rootstock BLK 3 - W</t>
  </si>
  <si>
    <t>Rootstock BLK 3 -North</t>
  </si>
  <si>
    <t>Stanton - BLK 3</t>
  </si>
  <si>
    <t>Mumm</t>
  </si>
  <si>
    <t>12.9,12.7</t>
  </si>
  <si>
    <t>Webster</t>
  </si>
  <si>
    <t>Webster / Garliepp,Zolezzi - S</t>
  </si>
  <si>
    <t>U10427</t>
  </si>
  <si>
    <t>23.8, 24.0</t>
  </si>
  <si>
    <t>Webster / Georgatos -N</t>
  </si>
  <si>
    <t>U35619</t>
  </si>
  <si>
    <r>
      <rPr>
        <sz val="9.5"/>
        <color rgb="FF000000"/>
        <rFont val="Arial Narrow"/>
        <family val="2"/>
      </rPr>
      <t xml:space="preserve">20.4, </t>
    </r>
    <r>
      <rPr>
        <sz val="9.5"/>
        <color rgb="FF808080"/>
        <rFont val="Arial Narrow"/>
        <family val="2"/>
      </rPr>
      <t>19.8</t>
    </r>
  </si>
  <si>
    <t xml:space="preserve">S
B
e
</t>
  </si>
  <si>
    <t>CS</t>
  </si>
  <si>
    <t xml:space="preserve"> CABERNET SAUVIGNON</t>
  </si>
  <si>
    <t>98 Oaks BLK 1</t>
  </si>
  <si>
    <t>98 Oaks BLK 2</t>
  </si>
  <si>
    <t>98 Oaks BLK 4</t>
  </si>
  <si>
    <t>98 Oaks BLK 5</t>
  </si>
  <si>
    <t>Birmingham Clements Hills CS -B1</t>
  </si>
  <si>
    <t>U32631</t>
  </si>
  <si>
    <t>23.0, 23.4</t>
  </si>
  <si>
    <t>Birmingham Clements Hills CS -B10</t>
  </si>
  <si>
    <t>Birmingham Clements Hills CS -B11</t>
  </si>
  <si>
    <t>Birmingham Clements Hills CS -B12</t>
  </si>
  <si>
    <t>Birmingham Clements Hills CS -B13</t>
  </si>
  <si>
    <t>Birmingham Clements Hills CS -B2</t>
  </si>
  <si>
    <t>Birmingham Clements Hills CS -B3</t>
  </si>
  <si>
    <t>Birmingham Clements Hills CS -B4</t>
  </si>
  <si>
    <t>23/23.4</t>
  </si>
  <si>
    <t>Birmingham Clements Hills CS -B5</t>
  </si>
  <si>
    <t>Birmingham Clements Hills CS -B6</t>
  </si>
  <si>
    <t>Birmingham Clements Hills CS -B7</t>
  </si>
  <si>
    <t>Birmingham Clements Hills CS -B8</t>
  </si>
  <si>
    <t>Birmingham Clements Hills CS -B9</t>
  </si>
  <si>
    <t>Birmingham Clements Hills CS -Hills</t>
  </si>
  <si>
    <t>Birmingham Clements Hills CS -Lowlands</t>
  </si>
  <si>
    <t>Birmingham Clements Hills CS -B7, B8, B9</t>
  </si>
  <si>
    <t>Birmingham Clements Hills CS -B1, B2, B3, B6</t>
  </si>
  <si>
    <t>Blue Star</t>
  </si>
  <si>
    <t>24.4*</t>
  </si>
  <si>
    <t>Clements 3 Oaks BLK 2</t>
  </si>
  <si>
    <t>Clements 3 Oaks BLK 2 - M</t>
  </si>
  <si>
    <t>Clements 3 Oaks BLK 2 - N</t>
  </si>
  <si>
    <t>Clements 3 Oaks BLK 2 - S</t>
  </si>
  <si>
    <t>Clements AAA BLK 3</t>
  </si>
  <si>
    <t>Clements Atkins BLK 1 - NORTH</t>
  </si>
  <si>
    <t>Delicato</t>
  </si>
  <si>
    <t>25.7*</t>
  </si>
  <si>
    <t>Clements Atkins BLK 5 - SOUTH</t>
  </si>
  <si>
    <t>Clements Norgaard BLK 1</t>
  </si>
  <si>
    <t>U36070</t>
  </si>
  <si>
    <t>Clements Paddy Creek BLK 7</t>
  </si>
  <si>
    <t>Clements Paddy Creek BLK 7 - N</t>
  </si>
  <si>
    <t>Clements Paddy Creek BLK 7 - S</t>
  </si>
  <si>
    <t>Clements Peters</t>
  </si>
  <si>
    <t>Clements Peters - Mid</t>
  </si>
  <si>
    <t>Clements Peters - N</t>
  </si>
  <si>
    <t>Clements Peters - S</t>
  </si>
  <si>
    <t xml:space="preserve"> y</t>
  </si>
  <si>
    <t>Cook BLK 1</t>
  </si>
  <si>
    <t>Donald, Brian Airport BLK 1 (Old)</t>
  </si>
  <si>
    <t>Donald, Brian Airport BLK 4</t>
  </si>
  <si>
    <t>Donald, Fred Davis BLK 1</t>
  </si>
  <si>
    <t>Donald, Fred Davis BLK 6 - Rubens</t>
  </si>
  <si>
    <t>22.4*</t>
  </si>
  <si>
    <t>Henretty</t>
  </si>
  <si>
    <t>Hilder Family BLK 1</t>
  </si>
  <si>
    <t>U9969</t>
  </si>
  <si>
    <t xml:space="preserve">Hilder Vines BLK 4 </t>
  </si>
  <si>
    <t>Hilder Vines BLK 4 (North)</t>
  </si>
  <si>
    <t>Hilder Vines BLK 4 (South)</t>
  </si>
  <si>
    <t>Iffi Wahla BLK 1</t>
  </si>
  <si>
    <t>25.8*</t>
  </si>
  <si>
    <t>LaPrima - BLK 5</t>
  </si>
  <si>
    <t>25.0/24.0</t>
  </si>
  <si>
    <t>O'Neill/Bogle</t>
  </si>
  <si>
    <t>20.5*</t>
  </si>
  <si>
    <t>LaPrima - BLK 5 N</t>
  </si>
  <si>
    <t>24.8*</t>
  </si>
  <si>
    <t>LaPrima - BLK 5 S</t>
  </si>
  <si>
    <t>23.6*</t>
  </si>
  <si>
    <t>LF 100 HiWire</t>
  </si>
  <si>
    <t>22.5*</t>
  </si>
  <si>
    <t>LF 100 N</t>
  </si>
  <si>
    <t>LF 100 S</t>
  </si>
  <si>
    <t xml:space="preserve">LF 38 </t>
  </si>
  <si>
    <t>LF 38 - N of pump</t>
  </si>
  <si>
    <t>LF 38 - S of pump</t>
  </si>
  <si>
    <t>LF Gill Creek</t>
  </si>
  <si>
    <t>U169771</t>
  </si>
  <si>
    <t>21.7*</t>
  </si>
  <si>
    <t>LF Gill Creek - N</t>
  </si>
  <si>
    <t>LF Gill Creek - S</t>
  </si>
  <si>
    <t>LF JW1 BLK 2</t>
  </si>
  <si>
    <t>LF JW1 BLK 2  SW + SE</t>
  </si>
  <si>
    <t>LF JW1 BLK 4</t>
  </si>
  <si>
    <t>LF JW3 BLK 1 (Juans)</t>
  </si>
  <si>
    <t>LF JW3 BLK 1 (Juans) - N</t>
  </si>
  <si>
    <t>LF JW3 BLK 1 (Juans) - S</t>
  </si>
  <si>
    <t>LF River BLK 2</t>
  </si>
  <si>
    <t>LF River BLK 4 (across slough)</t>
  </si>
  <si>
    <t>LF Twin Oaks</t>
  </si>
  <si>
    <t>LF Twin Oaks - N</t>
  </si>
  <si>
    <t>23.0*</t>
  </si>
  <si>
    <t>LF Twin Oaks - S</t>
  </si>
  <si>
    <t>22.7*</t>
  </si>
  <si>
    <t>Mokelumne River</t>
  </si>
  <si>
    <t>O'Neill</t>
  </si>
  <si>
    <t>Patriot Oaks - Craig</t>
  </si>
  <si>
    <t>Prince BLK 2</t>
  </si>
  <si>
    <t>Ring</t>
  </si>
  <si>
    <t>U31553</t>
  </si>
  <si>
    <t>Ring - Mid</t>
  </si>
  <si>
    <t>Ring - N</t>
  </si>
  <si>
    <t>Ring - S</t>
  </si>
  <si>
    <t>Rootstock BLK 2 VSP</t>
  </si>
  <si>
    <t xml:space="preserve">Seibly 1 </t>
  </si>
  <si>
    <t>Zaballos / Lange Lauchland</t>
  </si>
  <si>
    <t>GE</t>
  </si>
  <si>
    <t>GARNACHA GRIS</t>
  </si>
  <si>
    <t>GG</t>
  </si>
  <si>
    <t xml:space="preserve">North River </t>
  </si>
  <si>
    <t xml:space="preserve"> GEWURZTRAMINER</t>
  </si>
  <si>
    <t>Wheelhouse BLK 1</t>
  </si>
  <si>
    <t>GV</t>
  </si>
  <si>
    <t>GRUNER VELTLINER</t>
  </si>
  <si>
    <t>TBD</t>
  </si>
  <si>
    <t>MA</t>
  </si>
  <si>
    <t xml:space="preserve"> MALBEC</t>
  </si>
  <si>
    <t>98 Oaks BLK 3</t>
  </si>
  <si>
    <t>Clements Rose II BLK 1</t>
  </si>
  <si>
    <t>Clements Rose II BLK 1 - N</t>
  </si>
  <si>
    <t>Clements Rose II BLK 1 - S</t>
  </si>
  <si>
    <t>Ford - BLK 3</t>
  </si>
  <si>
    <t>Gallo/O'Neill</t>
  </si>
  <si>
    <t>21.2*</t>
  </si>
  <si>
    <t>Ford - BLK 3 (N)</t>
  </si>
  <si>
    <t>Ford - BLK 3 (S)</t>
  </si>
  <si>
    <t>LaPrima - BLK 1</t>
  </si>
  <si>
    <t>LaPrima - E</t>
  </si>
  <si>
    <t>LaPrima - W</t>
  </si>
  <si>
    <t>23.5*</t>
  </si>
  <si>
    <t>Prince</t>
  </si>
  <si>
    <t>MC</t>
  </si>
  <si>
    <t xml:space="preserve"> MUSCAT CANNELLI</t>
  </si>
  <si>
    <t>Diablo Dutra BLK 7 old</t>
  </si>
  <si>
    <t>Diablo Dutra BLK 7 Whip Graft</t>
  </si>
  <si>
    <t>ME</t>
  </si>
  <si>
    <t xml:space="preserve"> MERLOT</t>
  </si>
  <si>
    <t>Clements 3 Oaks BLK 1</t>
  </si>
  <si>
    <t>24.0/24.5</t>
  </si>
  <si>
    <t>LTW/U9870</t>
  </si>
  <si>
    <t>Clements 3 Oaks BLK 1 - MID</t>
  </si>
  <si>
    <t>Clements 3 Oaks BLK 1 - N</t>
  </si>
  <si>
    <t>Clements 3 Oaks BLK 1 - S</t>
  </si>
  <si>
    <t>Clements Lane</t>
  </si>
  <si>
    <t>U9854</t>
  </si>
  <si>
    <t>Clements Lane - N</t>
  </si>
  <si>
    <t>Clements Lane - S</t>
  </si>
  <si>
    <t>Clements Paddy Creek BLK 1 (Kettleman)</t>
  </si>
  <si>
    <t>Clements Paddy Creek BLK 3 (Tully)</t>
  </si>
  <si>
    <t>Clements Paddy Creek BLK 5 (Harney)</t>
  </si>
  <si>
    <t>Clements Rose I</t>
  </si>
  <si>
    <t>Sutter Home</t>
  </si>
  <si>
    <t>Ford - BLK 4</t>
  </si>
  <si>
    <t>Allied/Delicato</t>
  </si>
  <si>
    <t>Ford - BLK 4 -  18.39</t>
  </si>
  <si>
    <t>Ford - BLK 4 - 12.46 ac</t>
  </si>
  <si>
    <t>Ford - BLK 4 - 15.72 ac</t>
  </si>
  <si>
    <t>Ford - BLK 4 - 3.59 ac</t>
  </si>
  <si>
    <t>Ford - BLK 4 - 9.29 ac</t>
  </si>
  <si>
    <t>Ford - BLK 5</t>
  </si>
  <si>
    <t>24.6*</t>
  </si>
  <si>
    <t>LaPrima - BLK 3</t>
  </si>
  <si>
    <t>LaPrima - BLK 3 - N</t>
  </si>
  <si>
    <t>LaPrima - BLK 3 - S</t>
  </si>
  <si>
    <t>LF JW2 BLK 1</t>
  </si>
  <si>
    <t>LF JW2 BLK 1 - N</t>
  </si>
  <si>
    <t>LF JW2 BLK 1 - S</t>
  </si>
  <si>
    <t>Prince BLK 19</t>
  </si>
  <si>
    <t>Prince BLK 19 - N</t>
  </si>
  <si>
    <t>Prince BLK 19 - S</t>
  </si>
  <si>
    <t>Proplant BLK 1 - E</t>
  </si>
  <si>
    <t>U200204</t>
  </si>
  <si>
    <t>Proplant BLK 1 - W</t>
  </si>
  <si>
    <t>Proplant BLK 1 (Craig)</t>
  </si>
  <si>
    <t>Smith BLK 1</t>
  </si>
  <si>
    <t>Vacarreza Clements Breeze BLK 5</t>
  </si>
  <si>
    <t>Vacarreza Clements Breeze BLK 5 -Hill</t>
  </si>
  <si>
    <t>Vacarreza Fowler BLK 6</t>
  </si>
  <si>
    <t>Vacarreza Fowler BLK 6 N</t>
  </si>
  <si>
    <t>Vacarreza Fowler BLK 6 S</t>
  </si>
  <si>
    <t>MP</t>
  </si>
  <si>
    <t xml:space="preserve"> MONTEPULCIANO</t>
  </si>
  <si>
    <t>LF River BLK 5</t>
  </si>
  <si>
    <t>ND</t>
  </si>
  <si>
    <t xml:space="preserve"> NERO D AVOLA</t>
  </si>
  <si>
    <t>Donald David Fred</t>
  </si>
  <si>
    <t>LF RedTail BLK 1</t>
  </si>
  <si>
    <t>PG</t>
  </si>
  <si>
    <t xml:space="preserve"> PINOT GRIGIO</t>
  </si>
  <si>
    <t>U168583</t>
  </si>
  <si>
    <r>
      <rPr>
        <sz val="9.5"/>
        <color theme="1" tint="0.499984740745262"/>
        <rFont val="Arial Narrow"/>
        <family val="2"/>
      </rPr>
      <t>15.4</t>
    </r>
    <r>
      <rPr>
        <sz val="9.5"/>
        <rFont val="Arial Narrow"/>
        <family val="2"/>
      </rPr>
      <t>, 16.0</t>
    </r>
  </si>
  <si>
    <r>
      <t xml:space="preserve">19.3, </t>
    </r>
    <r>
      <rPr>
        <sz val="9.5"/>
        <color theme="1" tint="0.499984740745262"/>
        <rFont val="Arial Narrow"/>
        <family val="2"/>
      </rPr>
      <t>19.6</t>
    </r>
  </si>
  <si>
    <t>Diablo Maria BLK 2 - E</t>
  </si>
  <si>
    <t>Diablo Maria BLK 2 - MID</t>
  </si>
  <si>
    <t>Diablo Maria BLK 2 - S</t>
  </si>
  <si>
    <t>Diablo Maria BLK 2 - W</t>
  </si>
  <si>
    <t xml:space="preserve">Foley BLK 13 </t>
  </si>
  <si>
    <t>LF Davis BLK 2</t>
  </si>
  <si>
    <t>15.3*,15.6*</t>
  </si>
  <si>
    <t>Liberty Oaks</t>
  </si>
  <si>
    <t>18*</t>
  </si>
  <si>
    <t>Merrill-Johnson BLK 2 - frosted</t>
  </si>
  <si>
    <t xml:space="preserve">Merrill-Johnson BLK 2 - sans south 35 rows </t>
  </si>
  <si>
    <t>18.2, 17.4</t>
  </si>
  <si>
    <t>Merrill-Johnson BLK 2 - South 35 rows</t>
  </si>
  <si>
    <t>Merrill-Johnson BLK 2 - East Border</t>
  </si>
  <si>
    <t>Muchmore - BLK 2</t>
  </si>
  <si>
    <t>Runyon - BLK 3</t>
  </si>
  <si>
    <t>Wheelhouse BLK 2</t>
  </si>
  <si>
    <t>17.6*</t>
  </si>
  <si>
    <t>PN</t>
  </si>
  <si>
    <t xml:space="preserve"> PINOT NOIR</t>
  </si>
  <si>
    <t>Diablo Dutra BLK 8</t>
  </si>
  <si>
    <t>MUMM</t>
  </si>
  <si>
    <t>Diablo Dutra BLK 8 - NORTH</t>
  </si>
  <si>
    <t>Diablo Dutra BLK 8 - SOUTH</t>
  </si>
  <si>
    <t>Diablo Maria - C 115</t>
  </si>
  <si>
    <t>Diablo Maria - C 667</t>
  </si>
  <si>
    <t>Diablo Maria - C 777</t>
  </si>
  <si>
    <t>Diablo Maria BLK 1 - EAST</t>
  </si>
  <si>
    <t>Diablo Maria BLK 1 - WEST</t>
  </si>
  <si>
    <t>Foley BLK 1</t>
  </si>
  <si>
    <t>Foley BLK 10</t>
  </si>
  <si>
    <t>Foley BLK 11</t>
  </si>
  <si>
    <t>Foley BLK 11 - N Young 99</t>
  </si>
  <si>
    <t>Foley BLK 11 - S Old</t>
  </si>
  <si>
    <t>Foley BLK 12</t>
  </si>
  <si>
    <t xml:space="preserve">Foley BLK 2 </t>
  </si>
  <si>
    <t>Foley BLK 2 North</t>
  </si>
  <si>
    <t>Foley BLK 2 South</t>
  </si>
  <si>
    <t>Foley BLK 7B</t>
  </si>
  <si>
    <t>Foley BLK 9</t>
  </si>
  <si>
    <t>Gagen / Hahn BLK 1</t>
  </si>
  <si>
    <t>Prince BLK 3</t>
  </si>
  <si>
    <t>Prince BLK 20</t>
  </si>
  <si>
    <t>Proplant Betsey Rose BLK 4</t>
  </si>
  <si>
    <t>U31777</t>
  </si>
  <si>
    <t>18.2*</t>
  </si>
  <si>
    <t>Proplant Betsey Rose BLK 4 - N</t>
  </si>
  <si>
    <t>Proplant Betsey Rose BLK 4 - Mid</t>
  </si>
  <si>
    <t>Proplant Betsey Rose BLK 4 - S</t>
  </si>
  <si>
    <t>Runyon - BLK 1</t>
  </si>
  <si>
    <t>23.8/24.5</t>
  </si>
  <si>
    <t>Coppola/Don</t>
  </si>
  <si>
    <t>Runyon - BLK 2</t>
  </si>
  <si>
    <t>Runyon - BLK 2 - North</t>
  </si>
  <si>
    <t>Runyon - BLK 2 - South</t>
  </si>
  <si>
    <t>Seibly Ray</t>
  </si>
  <si>
    <t>18.0/23.5</t>
  </si>
  <si>
    <t>Mumm/Gallo</t>
  </si>
  <si>
    <t>14.2,13.4</t>
  </si>
  <si>
    <t>Stanton - BLK 5</t>
  </si>
  <si>
    <t>15.3,15.0</t>
  </si>
  <si>
    <r>
      <rPr>
        <sz val="9.5"/>
        <color rgb="FF000000"/>
        <rFont val="Arial Narrow"/>
        <family val="2"/>
      </rPr>
      <t>17.4,</t>
    </r>
    <r>
      <rPr>
        <i/>
        <u/>
        <sz val="9.5"/>
        <color rgb="FF000000"/>
        <rFont val="Arial Narrow"/>
        <family val="2"/>
      </rPr>
      <t xml:space="preserve"> 16.9</t>
    </r>
  </si>
  <si>
    <r>
      <rPr>
        <sz val="9.5"/>
        <color rgb="FF000000"/>
        <rFont val="Arial Narrow"/>
        <family val="2"/>
      </rPr>
      <t xml:space="preserve">18.8, 18.4, </t>
    </r>
    <r>
      <rPr>
        <i/>
        <u/>
        <sz val="9.5"/>
        <color rgb="FF000000"/>
        <rFont val="Arial Narrow"/>
        <family val="2"/>
      </rPr>
      <t>17.3</t>
    </r>
  </si>
  <si>
    <r>
      <rPr>
        <sz val="9.5"/>
        <color rgb="FF000000"/>
        <rFont val="Arial Narrow"/>
        <family val="2"/>
      </rPr>
      <t>18.1</t>
    </r>
    <r>
      <rPr>
        <i/>
        <u/>
        <sz val="9.5"/>
        <color rgb="FF000000"/>
        <rFont val="Arial Narrow"/>
        <family val="2"/>
      </rPr>
      <t>, 18.5</t>
    </r>
  </si>
  <si>
    <t>Zaballos-Lange Sowles</t>
  </si>
  <si>
    <t>Zaballos-Lange Sowles - MID</t>
  </si>
  <si>
    <t>Zaballos-Lange Sowles - N</t>
  </si>
  <si>
    <t>Zaballos-Lange Sowles - S</t>
  </si>
  <si>
    <t>PS</t>
  </si>
  <si>
    <t xml:space="preserve"> PETITE SYRAH</t>
  </si>
  <si>
    <t>Clements Moren BLK 3 (East)</t>
  </si>
  <si>
    <t>Clements Moren BLK 4 (South)</t>
  </si>
  <si>
    <t>Clements Moren BLK 5 (North)</t>
  </si>
  <si>
    <t>Hilder Vines BLK 5</t>
  </si>
  <si>
    <t>21.5*</t>
  </si>
  <si>
    <t>Hilder Vines BLK 5 - Mid</t>
  </si>
  <si>
    <t>Hilder Vines BLK 5 - N</t>
  </si>
  <si>
    <t>24.3*</t>
  </si>
  <si>
    <t>Hilder Vines BLK 5 - S</t>
  </si>
  <si>
    <t>LaPrima - BLK 4</t>
  </si>
  <si>
    <t>18.8*</t>
  </si>
  <si>
    <t>LaPrima - BLK 4- N</t>
  </si>
  <si>
    <t>24.1*</t>
  </si>
  <si>
    <t>LaPrima - BLK 4- S</t>
  </si>
  <si>
    <t>24.2*</t>
  </si>
  <si>
    <t xml:space="preserve">LF 100 </t>
  </si>
  <si>
    <t>Copper Cane</t>
  </si>
  <si>
    <r>
      <t xml:space="preserve">LF 100 - </t>
    </r>
    <r>
      <rPr>
        <b/>
        <sz val="10"/>
        <rFont val="Arial Narrow"/>
        <family val="2"/>
      </rPr>
      <t>Middle</t>
    </r>
  </si>
  <si>
    <r>
      <t xml:space="preserve">LF 100 - </t>
    </r>
    <r>
      <rPr>
        <b/>
        <sz val="10"/>
        <rFont val="Arial Narrow"/>
        <family val="2"/>
      </rPr>
      <t>N</t>
    </r>
  </si>
  <si>
    <r>
      <t xml:space="preserve">LF 100 - </t>
    </r>
    <r>
      <rPr>
        <b/>
        <sz val="10"/>
        <rFont val="Arial Narrow"/>
        <family val="2"/>
      </rPr>
      <t>S</t>
    </r>
  </si>
  <si>
    <r>
      <t xml:space="preserve">LF 100 - </t>
    </r>
    <r>
      <rPr>
        <b/>
        <sz val="10"/>
        <rFont val="Arial Narrow"/>
        <family val="2"/>
      </rPr>
      <t>SW</t>
    </r>
  </si>
  <si>
    <t>LF 80 BLK 3</t>
  </si>
  <si>
    <t>Prince BLK 18</t>
  </si>
  <si>
    <t>19.0*</t>
  </si>
  <si>
    <t>PV</t>
  </si>
  <si>
    <t xml:space="preserve"> PETITE VERDOT</t>
  </si>
  <si>
    <t>Clements AAA Barn #1 Mid</t>
  </si>
  <si>
    <t>22.9*</t>
  </si>
  <si>
    <t>Clements AAA Barn #1 N</t>
  </si>
  <si>
    <t>Clements AAA Barn #1 S</t>
  </si>
  <si>
    <t>22.8*</t>
  </si>
  <si>
    <t xml:space="preserve">Clements AAA Brandt #4 </t>
  </si>
  <si>
    <t>24.2/24.6</t>
  </si>
  <si>
    <t>Clements Moren BLK 2</t>
  </si>
  <si>
    <t>U11650</t>
  </si>
  <si>
    <t>LF 80 BLK 2</t>
  </si>
  <si>
    <t>LTW/U31758</t>
  </si>
  <si>
    <t>21.1*</t>
  </si>
  <si>
    <t>23.3*</t>
  </si>
  <si>
    <t>LF Jahant Woods 1</t>
  </si>
  <si>
    <t>LF River BLK 1</t>
  </si>
  <si>
    <t>LF River BLK 1- N</t>
  </si>
  <si>
    <t>LF River BLK 1- S</t>
  </si>
  <si>
    <t>Patriot Oaks - Home</t>
  </si>
  <si>
    <t>Rippey/Klinker</t>
  </si>
  <si>
    <t>Vacarreza Clements Breeze BLK 2</t>
  </si>
  <si>
    <t>24.0*</t>
  </si>
  <si>
    <t>SA</t>
  </si>
  <si>
    <t xml:space="preserve"> SANGIOVESE</t>
  </si>
  <si>
    <t>Donald, Brian Airport BLK 2</t>
  </si>
  <si>
    <r>
      <rPr>
        <sz val="9.5"/>
        <color rgb="FF000000"/>
        <rFont val="Arial Narrow"/>
        <family val="2"/>
      </rPr>
      <t xml:space="preserve">19.8, </t>
    </r>
    <r>
      <rPr>
        <i/>
        <u/>
        <sz val="9.5"/>
        <color rgb="FF000000"/>
        <rFont val="Arial Narrow"/>
        <family val="2"/>
      </rPr>
      <t>18.3</t>
    </r>
  </si>
  <si>
    <t>LF Exotics BLK 1</t>
  </si>
  <si>
    <t>LF Exotics BLK 1 - N</t>
  </si>
  <si>
    <t>LF Exotics BLK 1 - S</t>
  </si>
  <si>
    <t>SB</t>
  </si>
  <si>
    <t xml:space="preserve"> SAUVIGNON BLANC</t>
  </si>
  <si>
    <t>Clements AAA</t>
  </si>
  <si>
    <t>U36072</t>
  </si>
  <si>
    <t>Diablo Dutra - BLK 1 East</t>
  </si>
  <si>
    <t>18.0/19.5</t>
  </si>
  <si>
    <t>Diablo Dutra - BLK 1 West</t>
  </si>
  <si>
    <t>Diablo Dutra - BLK 1C</t>
  </si>
  <si>
    <t>21.6*</t>
  </si>
  <si>
    <t>Diablo Dutra - BLK 2</t>
  </si>
  <si>
    <t>17.8*</t>
  </si>
  <si>
    <t>Diablo Dutra - BLK 3</t>
  </si>
  <si>
    <t>LF JW1 BLK 3 #2</t>
  </si>
  <si>
    <t>15.5*</t>
  </si>
  <si>
    <t>LF JW1 BLK 3 #3</t>
  </si>
  <si>
    <t>15.0*</t>
  </si>
  <si>
    <t>20.6*</t>
  </si>
  <si>
    <t>LF JW3 BLK 2</t>
  </si>
  <si>
    <t>LF JW3 BLK 2 - NORTH</t>
  </si>
  <si>
    <t>LF JW3 BLK 2 - SOUTH</t>
  </si>
  <si>
    <t>LF Twin Oaks North</t>
  </si>
  <si>
    <t>LF Twin Oaks South</t>
  </si>
  <si>
    <t>19.8*</t>
  </si>
  <si>
    <t>Muchmore - BLK 1</t>
  </si>
  <si>
    <t>Fetzer</t>
  </si>
  <si>
    <t>Muchmore - BLK 1 (N)</t>
  </si>
  <si>
    <t>Muchmore - BLK 1 (S)</t>
  </si>
  <si>
    <t>Prince BLK 7A</t>
  </si>
  <si>
    <t>Prince BLK 7B</t>
  </si>
  <si>
    <t>SM</t>
  </si>
  <si>
    <t xml:space="preserve"> SYMPHONY</t>
  </si>
  <si>
    <t>Foley BLK 8</t>
  </si>
  <si>
    <t>SY</t>
  </si>
  <si>
    <t xml:space="preserve"> SYRAH</t>
  </si>
  <si>
    <t>Clements Moren BLK 1</t>
  </si>
  <si>
    <t>LTW/Gallo</t>
  </si>
  <si>
    <t xml:space="preserve">Clements Moren BLK 1 - East </t>
  </si>
  <si>
    <t>Clements Moren BLK 1 - S</t>
  </si>
  <si>
    <t>Clements Moren BLK 1 - West</t>
  </si>
  <si>
    <t>LF Exotics BLK 2</t>
  </si>
  <si>
    <t>TA</t>
  </si>
  <si>
    <t xml:space="preserve"> TANNAT</t>
  </si>
  <si>
    <t>Ford - BLK 6</t>
  </si>
  <si>
    <t>TD</t>
  </si>
  <si>
    <t xml:space="preserve"> TEROLDEGO</t>
  </si>
  <si>
    <t xml:space="preserve">Bohn Ridge - BLK 2 </t>
  </si>
  <si>
    <t>Bohn Ridge - BLK 2  - High Tops (no frost zone)</t>
  </si>
  <si>
    <t>Bohn Ridge - BLK 2  - Low Ground (NE corner and edge, frost)</t>
  </si>
  <si>
    <t>LF 80 BLK 1</t>
  </si>
  <si>
    <t>25.6*</t>
  </si>
  <si>
    <t>LF Jahant Woods 2</t>
  </si>
  <si>
    <t>19.4*</t>
  </si>
  <si>
    <t>LF Jahant Woods 2 - Long Rows</t>
  </si>
  <si>
    <t>LF Jahant Woods 2 - Points</t>
  </si>
  <si>
    <t>Stanton - BLK 1</t>
  </si>
  <si>
    <t>TE</t>
  </si>
  <si>
    <t xml:space="preserve"> TEMPRANILLO</t>
  </si>
  <si>
    <t>Ford - BLK 2</t>
  </si>
  <si>
    <t>22.0/23.0</t>
  </si>
  <si>
    <t>Gallo/D</t>
  </si>
  <si>
    <t>TO</t>
  </si>
  <si>
    <t xml:space="preserve"> TOURIGA</t>
  </si>
  <si>
    <t>Ford - BLK 1</t>
  </si>
  <si>
    <t>VD</t>
  </si>
  <si>
    <t xml:space="preserve"> VERDELHO</t>
  </si>
  <si>
    <t>Clements Bear Creek BLK 0</t>
  </si>
  <si>
    <t>U32111</t>
  </si>
  <si>
    <r>
      <rPr>
        <sz val="9.5"/>
        <color rgb="FF000000"/>
        <rFont val="Arial Narrow"/>
        <family val="2"/>
      </rPr>
      <t xml:space="preserve">21.2, </t>
    </r>
    <r>
      <rPr>
        <sz val="9.5"/>
        <color rgb="FF808080"/>
        <rFont val="Arial Narrow"/>
        <family val="2"/>
      </rPr>
      <t>21.2</t>
    </r>
  </si>
  <si>
    <t>VI</t>
  </si>
  <si>
    <t xml:space="preserve"> VIOGNIER</t>
  </si>
  <si>
    <t>Diablo Dutra BLK 6</t>
  </si>
  <si>
    <t>Foley BLK 14</t>
  </si>
  <si>
    <t>LF Bender/ Genes BLK 2</t>
  </si>
  <si>
    <t>21.5/22.0</t>
  </si>
  <si>
    <t>U35094 / Pine Ridge</t>
  </si>
  <si>
    <r>
      <rPr>
        <sz val="9.5"/>
        <color rgb="FF000000"/>
        <rFont val="Arial Narrow"/>
        <family val="2"/>
      </rPr>
      <t xml:space="preserve">*20.1, </t>
    </r>
    <r>
      <rPr>
        <sz val="9.5"/>
        <color rgb="FF808080"/>
        <rFont val="Arial Narrow"/>
        <family val="2"/>
      </rPr>
      <t>17.2</t>
    </r>
  </si>
  <si>
    <t>LF Exotics BLK 3 (N)</t>
  </si>
  <si>
    <t>Pine Ridge</t>
  </si>
  <si>
    <t>LF Exotics BLK 4 (S)</t>
  </si>
  <si>
    <t>Stanton Lange Home</t>
  </si>
  <si>
    <t>ZN/PR</t>
  </si>
  <si>
    <t xml:space="preserve"> ZINFANDEL / PRIMOTIVO</t>
  </si>
  <si>
    <t>5 Starr - Harney</t>
  </si>
  <si>
    <t>5 Starr - Mann</t>
  </si>
  <si>
    <t>Baum Victor BLK 1</t>
  </si>
  <si>
    <t>22.3*</t>
  </si>
  <si>
    <t>Baum Victor BLK 2</t>
  </si>
  <si>
    <t>Bohn Ridge BLK 1</t>
  </si>
  <si>
    <t>Bohn Ridge BLK 1 - N</t>
  </si>
  <si>
    <t>Bohn Ridge BLK 1 - S</t>
  </si>
  <si>
    <t>Charlie Lewis - Alpine (E)</t>
  </si>
  <si>
    <t>Charlie Lewis - Alpine (W)</t>
  </si>
  <si>
    <t>Charlie Lewis - Home (Giant Vine)</t>
  </si>
  <si>
    <t>Charlie Lewis - Home (Normal Vine)</t>
  </si>
  <si>
    <t>Charlie Lewis - HWY12 / Alpine East Wire</t>
  </si>
  <si>
    <t>Charlie Lewis - Old</t>
  </si>
  <si>
    <t>Clements AAA BLK 5</t>
  </si>
  <si>
    <t>Clements AAA BLK 5 - N</t>
  </si>
  <si>
    <t>Clements AAA BLK 5 - S</t>
  </si>
  <si>
    <t>Clements Paddy Creek BLK 6</t>
  </si>
  <si>
    <t>24.0/25.0</t>
  </si>
  <si>
    <t>LTW/BCW</t>
  </si>
  <si>
    <t>Clements Paddy Creek BLK 6 - N</t>
  </si>
  <si>
    <t>Clements Paddy Creek BLK 6 - S</t>
  </si>
  <si>
    <t>Donald, Brian Airport BLK 3</t>
  </si>
  <si>
    <t>Donald, Brian Airport BLK 3 - N</t>
  </si>
  <si>
    <t>Donald, Brian Airport BLK 3 - S</t>
  </si>
  <si>
    <t>Donald, Fred Davis BLK 4</t>
  </si>
  <si>
    <r>
      <rPr>
        <i/>
        <u/>
        <sz val="9.5"/>
        <color rgb="FF000000"/>
        <rFont val="Arial Narrow"/>
        <family val="2"/>
      </rPr>
      <t>23.3,</t>
    </r>
    <r>
      <rPr>
        <sz val="9.5"/>
        <color rgb="FF000000"/>
        <rFont val="Arial Narrow"/>
        <family val="2"/>
      </rPr>
      <t xml:space="preserve"> 24.6</t>
    </r>
  </si>
  <si>
    <r>
      <rPr>
        <sz val="9.5"/>
        <color rgb="FF000000"/>
        <rFont val="Arial Narrow"/>
      </rPr>
      <t xml:space="preserve">24, </t>
    </r>
    <r>
      <rPr>
        <i/>
        <u/>
        <sz val="9.5"/>
        <color rgb="FF000000"/>
        <rFont val="Arial Narrow"/>
      </rPr>
      <t>24.6</t>
    </r>
  </si>
  <si>
    <t>LF JW2 BLK 3</t>
  </si>
  <si>
    <t>*16.0</t>
  </si>
  <si>
    <t>17.0*</t>
  </si>
  <si>
    <t>LF JW2 BLK 3 - Long Rows (South)</t>
  </si>
  <si>
    <t>LF JW2 BLK 3 - Short Rows (North Points)</t>
  </si>
  <si>
    <t>LF RedTail BLK 2</t>
  </si>
  <si>
    <t>LF RedTail BLK 2 - E</t>
  </si>
  <si>
    <t>LF RedTail BLK 2 - N</t>
  </si>
  <si>
    <t>LF RedTail BLK 2 - S</t>
  </si>
  <si>
    <t>LF RedTail BLK 2 - W</t>
  </si>
  <si>
    <t>21.4*</t>
  </si>
  <si>
    <t>Stanton - BLK 6</t>
  </si>
  <si>
    <t>Stanton - BLK 8</t>
  </si>
  <si>
    <t>Vacarreza Clements Breeze New BLK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</si>
</sst>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;@"/>
    <numFmt numFmtId="165" formatCode="0.0"/>
    <numFmt numFmtId="166" formatCode="m/d;@"/>
    <numFmt numFmtId="167" formatCode="_(* #,##0.0_);_(* \(#,##0.0\);_(* &quot;-&quot;??_);_(@_)"/>
  </numFmts>
  <fonts count="37">
    <font>
      <sz val="12"/>
      <color theme="1"/>
      <name val="Arial Narrow"/>
      <family val="2"/>
    </font>
    <font>
      <sz val="12"/>
      <color theme="1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9.5"/>
      <name val="Arial Narrow"/>
      <family val="2"/>
    </font>
    <font>
      <sz val="12"/>
      <name val="Arial Narrow"/>
      <family val="2"/>
    </font>
    <font>
      <b/>
      <u/>
      <sz val="14"/>
      <name val="Arial Narrow"/>
      <family val="2"/>
    </font>
    <font>
      <b/>
      <sz val="16"/>
      <name val="Arial Narrow"/>
      <family val="2"/>
    </font>
    <font>
      <b/>
      <sz val="8"/>
      <name val="Arial Narrow"/>
      <family val="2"/>
    </font>
    <font>
      <u/>
      <sz val="9.5"/>
      <name val="Arial Narrow"/>
      <family val="2"/>
    </font>
    <font>
      <i/>
      <u/>
      <sz val="9.5"/>
      <name val="Arial Narrow"/>
      <family val="2"/>
    </font>
    <font>
      <b/>
      <sz val="12"/>
      <name val="Arial Narrow"/>
      <family val="2"/>
    </font>
    <font>
      <sz val="9.5"/>
      <name val="Calibri"/>
      <family val="2"/>
      <scheme val="minor"/>
    </font>
    <font>
      <b/>
      <sz val="10"/>
      <name val="Arial Narrow"/>
      <family val="2"/>
    </font>
    <font>
      <i/>
      <sz val="9.5"/>
      <name val="Arial Narrow"/>
      <family val="2"/>
    </font>
    <font>
      <sz val="10"/>
      <color theme="1" tint="0.499984740745262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i/>
      <u/>
      <sz val="9"/>
      <name val="Arial Narrow"/>
      <family val="2"/>
    </font>
    <font>
      <i/>
      <sz val="9"/>
      <name val="Arial Narrow"/>
      <family val="2"/>
    </font>
    <font>
      <i/>
      <u/>
      <sz val="9.5"/>
      <color rgb="FF000000"/>
      <name val="Arial Narrow"/>
      <family val="2"/>
    </font>
    <font>
      <sz val="9.5"/>
      <color rgb="FF000000"/>
      <name val="Arial Narrow"/>
      <family val="2"/>
    </font>
    <font>
      <sz val="10"/>
      <color rgb="FF000000"/>
      <name val="Arial Narrow"/>
      <family val="2"/>
    </font>
    <font>
      <sz val="9.5"/>
      <color rgb="FF757171"/>
      <name val="Arial Narrow"/>
      <family val="2"/>
    </font>
    <font>
      <sz val="9.5"/>
      <color theme="2" tint="-0.499984740745262"/>
      <name val="Arial Narrow"/>
      <family val="2"/>
    </font>
    <font>
      <sz val="10"/>
      <color rgb="FFA6A6A6"/>
      <name val="Arial Narrow"/>
      <family val="2"/>
    </font>
    <font>
      <sz val="9.5"/>
      <color theme="1" tint="0.499984740745262"/>
      <name val="Arial Narrow"/>
      <family val="2"/>
    </font>
    <font>
      <sz val="9.5"/>
      <color rgb="FF808080"/>
      <name val="Arial Narrow"/>
      <family val="2"/>
    </font>
    <font>
      <i/>
      <u/>
      <sz val="10"/>
      <name val="Arial Narrow"/>
      <family val="2"/>
    </font>
    <font>
      <i/>
      <u/>
      <sz val="8"/>
      <name val="Arial Narrow"/>
      <family val="2"/>
    </font>
    <font>
      <i/>
      <u/>
      <sz val="12"/>
      <name val="Arial Narrow"/>
      <family val="2"/>
    </font>
    <font>
      <sz val="9.5"/>
      <color rgb="FF808080"/>
      <name val="Arial"/>
      <family val="2"/>
    </font>
    <font>
      <sz val="9.5"/>
      <color rgb="FFA6A6A6"/>
      <name val="Arial Narrow"/>
      <family val="2"/>
    </font>
    <font>
      <i/>
      <u/>
      <sz val="9.5"/>
      <name val="Calibri"/>
      <family val="2"/>
      <scheme val="minor"/>
    </font>
    <font>
      <u/>
      <sz val="10"/>
      <name val="Arial Narrow"/>
      <family val="2"/>
    </font>
    <font>
      <sz val="9.5"/>
      <color rgb="FF000000"/>
      <name val="Arial Narrow"/>
    </font>
    <font>
      <i/>
      <u/>
      <sz val="9.5"/>
      <color rgb="FF000000"/>
      <name val="Arial Narrow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8">
    <xf numFmtId="0" fontId="0" fillId="0" borderId="0" xfId="0"/>
    <xf numFmtId="165" fontId="4" fillId="0" borderId="6" xfId="0" applyNumberFormat="1" applyFont="1" applyBorder="1"/>
    <xf numFmtId="165" fontId="4" fillId="4" borderId="6" xfId="0" applyNumberFormat="1" applyFont="1" applyFill="1" applyBorder="1"/>
    <xf numFmtId="0" fontId="3" fillId="2" borderId="11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167" fontId="3" fillId="0" borderId="1" xfId="1" applyNumberFormat="1" applyFont="1" applyFill="1" applyBorder="1" applyAlignment="1">
      <alignment horizontal="center" vertical="center"/>
    </xf>
    <xf numFmtId="167" fontId="3" fillId="4" borderId="1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167" fontId="3" fillId="2" borderId="1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5" fontId="4" fillId="0" borderId="7" xfId="0" applyNumberFormat="1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5" fontId="4" fillId="4" borderId="5" xfId="0" applyNumberFormat="1" applyFont="1" applyFill="1" applyBorder="1"/>
    <xf numFmtId="165" fontId="4" fillId="4" borderId="7" xfId="0" applyNumberFormat="1" applyFont="1" applyFill="1" applyBorder="1"/>
    <xf numFmtId="165" fontId="4" fillId="0" borderId="5" xfId="0" applyNumberFormat="1" applyFont="1" applyBorder="1"/>
    <xf numFmtId="167" fontId="2" fillId="4" borderId="1" xfId="1" applyNumberFormat="1" applyFont="1" applyFill="1" applyBorder="1" applyAlignment="1">
      <alignment horizontal="center" vertical="center"/>
    </xf>
    <xf numFmtId="165" fontId="10" fillId="4" borderId="6" xfId="0" applyNumberFormat="1" applyFont="1" applyFill="1" applyBorder="1"/>
    <xf numFmtId="165" fontId="10" fillId="0" borderId="6" xfId="0" applyNumberFormat="1" applyFont="1" applyBorder="1"/>
    <xf numFmtId="165" fontId="4" fillId="2" borderId="6" xfId="0" applyNumberFormat="1" applyFont="1" applyFill="1" applyBorder="1"/>
    <xf numFmtId="0" fontId="4" fillId="2" borderId="0" xfId="0" applyFont="1" applyFill="1"/>
    <xf numFmtId="0" fontId="5" fillId="2" borderId="0" xfId="0" applyFont="1" applyFill="1"/>
    <xf numFmtId="167" fontId="3" fillId="4" borderId="3" xfId="1" applyNumberFormat="1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167" fontId="3" fillId="0" borderId="3" xfId="1" applyNumberFormat="1" applyFont="1" applyFill="1" applyBorder="1" applyAlignment="1">
      <alignment horizontal="center" vertical="center"/>
    </xf>
    <xf numFmtId="0" fontId="12" fillId="0" borderId="5" xfId="0" applyFont="1" applyBorder="1"/>
    <xf numFmtId="167" fontId="3" fillId="4" borderId="4" xfId="1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right" vertical="center"/>
    </xf>
    <xf numFmtId="165" fontId="4" fillId="4" borderId="8" xfId="0" applyNumberFormat="1" applyFont="1" applyFill="1" applyBorder="1"/>
    <xf numFmtId="165" fontId="10" fillId="4" borderId="8" xfId="0" applyNumberFormat="1" applyFont="1" applyFill="1" applyBorder="1"/>
    <xf numFmtId="165" fontId="4" fillId="4" borderId="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4" fillId="0" borderId="8" xfId="0" applyNumberFormat="1" applyFont="1" applyBorder="1"/>
    <xf numFmtId="165" fontId="10" fillId="0" borderId="8" xfId="0" applyNumberFormat="1" applyFont="1" applyBorder="1"/>
    <xf numFmtId="0" fontId="4" fillId="2" borderId="6" xfId="0" applyFont="1" applyFill="1" applyBorder="1"/>
    <xf numFmtId="0" fontId="4" fillId="4" borderId="6" xfId="0" applyFont="1" applyFill="1" applyBorder="1"/>
    <xf numFmtId="0" fontId="4" fillId="0" borderId="6" xfId="0" applyFont="1" applyBorder="1"/>
    <xf numFmtId="167" fontId="4" fillId="4" borderId="1" xfId="1" applyNumberFormat="1" applyFont="1" applyFill="1" applyBorder="1" applyAlignment="1">
      <alignment horizontal="center" vertical="center"/>
    </xf>
    <xf numFmtId="2" fontId="4" fillId="4" borderId="11" xfId="0" applyNumberFormat="1" applyFont="1" applyFill="1" applyBorder="1" applyAlignment="1">
      <alignment vertical="center"/>
    </xf>
    <xf numFmtId="2" fontId="4" fillId="4" borderId="6" xfId="0" applyNumberFormat="1" applyFont="1" applyFill="1" applyBorder="1"/>
    <xf numFmtId="0" fontId="5" fillId="0" borderId="0" xfId="0" applyFont="1" applyAlignment="1">
      <alignment horizontal="center" vertical="center"/>
    </xf>
    <xf numFmtId="167" fontId="5" fillId="0" borderId="0" xfId="1" applyNumberFormat="1" applyFont="1" applyAlignment="1">
      <alignment horizontal="center" vertical="center"/>
    </xf>
    <xf numFmtId="165" fontId="9" fillId="0" borderId="6" xfId="0" applyNumberFormat="1" applyFont="1" applyBorder="1"/>
    <xf numFmtId="165" fontId="10" fillId="4" borderId="7" xfId="0" applyNumberFormat="1" applyFont="1" applyFill="1" applyBorder="1"/>
    <xf numFmtId="0" fontId="9" fillId="4" borderId="6" xfId="0" applyFont="1" applyFill="1" applyBorder="1"/>
    <xf numFmtId="167" fontId="2" fillId="2" borderId="1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right" vertical="center"/>
    </xf>
    <xf numFmtId="0" fontId="4" fillId="0" borderId="2" xfId="0" applyFont="1" applyBorder="1"/>
    <xf numFmtId="0" fontId="5" fillId="0" borderId="2" xfId="0" applyFont="1" applyBorder="1"/>
    <xf numFmtId="167" fontId="3" fillId="0" borderId="2" xfId="1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167" fontId="3" fillId="2" borderId="4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4" fillId="0" borderId="7" xfId="0" applyNumberFormat="1" applyFont="1" applyBorder="1" applyAlignment="1">
      <alignment horizontal="center" vertical="top"/>
    </xf>
    <xf numFmtId="165" fontId="4" fillId="4" borderId="6" xfId="0" applyNumberFormat="1" applyFont="1" applyFill="1" applyBorder="1" applyAlignment="1">
      <alignment horizontal="center" vertical="top"/>
    </xf>
    <xf numFmtId="165" fontId="4" fillId="0" borderId="6" xfId="0" applyNumberFormat="1" applyFont="1" applyBorder="1" applyAlignment="1">
      <alignment horizontal="center" vertical="top"/>
    </xf>
    <xf numFmtId="165" fontId="4" fillId="4" borderId="5" xfId="0" applyNumberFormat="1" applyFont="1" applyFill="1" applyBorder="1" applyAlignment="1">
      <alignment horizontal="center" vertical="top"/>
    </xf>
    <xf numFmtId="165" fontId="4" fillId="4" borderId="7" xfId="0" applyNumberFormat="1" applyFont="1" applyFill="1" applyBorder="1" applyAlignment="1">
      <alignment horizontal="center" vertical="top"/>
    </xf>
    <xf numFmtId="165" fontId="4" fillId="0" borderId="5" xfId="0" applyNumberFormat="1" applyFont="1" applyBorder="1" applyAlignment="1">
      <alignment horizontal="center" vertical="top"/>
    </xf>
    <xf numFmtId="165" fontId="10" fillId="0" borderId="5" xfId="0" applyNumberFormat="1" applyFont="1" applyBorder="1" applyAlignment="1">
      <alignment horizontal="center" vertical="top"/>
    </xf>
    <xf numFmtId="165" fontId="10" fillId="4" borderId="6" xfId="0" applyNumberFormat="1" applyFont="1" applyFill="1" applyBorder="1" applyAlignment="1">
      <alignment horizontal="center" vertical="top"/>
    </xf>
    <xf numFmtId="165" fontId="10" fillId="0" borderId="6" xfId="0" applyNumberFormat="1" applyFont="1" applyBorder="1" applyAlignment="1">
      <alignment horizontal="center" vertical="top"/>
    </xf>
    <xf numFmtId="165" fontId="4" fillId="2" borderId="6" xfId="0" applyNumberFormat="1" applyFont="1" applyFill="1" applyBorder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165" fontId="4" fillId="4" borderId="8" xfId="0" applyNumberFormat="1" applyFont="1" applyFill="1" applyBorder="1" applyAlignment="1">
      <alignment horizontal="center" vertical="top"/>
    </xf>
    <xf numFmtId="165" fontId="4" fillId="0" borderId="8" xfId="0" applyNumberFormat="1" applyFont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2" fontId="4" fillId="4" borderId="6" xfId="0" applyNumberFormat="1" applyFont="1" applyFill="1" applyBorder="1" applyAlignment="1">
      <alignment horizontal="center" vertical="top"/>
    </xf>
    <xf numFmtId="0" fontId="3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167" fontId="5" fillId="5" borderId="0" xfId="1" applyNumberFormat="1" applyFont="1" applyFill="1" applyBorder="1" applyAlignment="1">
      <alignment horizontal="center" vertical="center"/>
    </xf>
    <xf numFmtId="0" fontId="5" fillId="5" borderId="0" xfId="0" applyFont="1" applyFill="1"/>
    <xf numFmtId="0" fontId="5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/>
    <xf numFmtId="0" fontId="3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top" wrapText="1" indent="1"/>
    </xf>
    <xf numFmtId="0" fontId="3" fillId="5" borderId="0" xfId="0" applyFont="1" applyFill="1" applyAlignment="1">
      <alignment horizontal="left" vertical="top" wrapText="1" indent="1"/>
    </xf>
    <xf numFmtId="0" fontId="3" fillId="5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67" fontId="3" fillId="4" borderId="16" xfId="1" applyNumberFormat="1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right" vertical="center"/>
    </xf>
    <xf numFmtId="0" fontId="3" fillId="6" borderId="3" xfId="0" applyFont="1" applyFill="1" applyBorder="1" applyAlignment="1">
      <alignment vertical="center"/>
    </xf>
    <xf numFmtId="167" fontId="3" fillId="6" borderId="1" xfId="1" applyNumberFormat="1" applyFont="1" applyFill="1" applyBorder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22" fillId="6" borderId="11" xfId="0" applyFont="1" applyFill="1" applyBorder="1" applyAlignment="1">
      <alignment horizontal="right" vertical="center"/>
    </xf>
    <xf numFmtId="0" fontId="22" fillId="0" borderId="11" xfId="0" applyFont="1" applyBorder="1" applyAlignment="1">
      <alignment horizontal="right" vertical="center"/>
    </xf>
    <xf numFmtId="165" fontId="4" fillId="6" borderId="6" xfId="0" applyNumberFormat="1" applyFont="1" applyFill="1" applyBorder="1" applyAlignment="1">
      <alignment horizontal="center" vertical="top"/>
    </xf>
    <xf numFmtId="165" fontId="4" fillId="6" borderId="6" xfId="0" applyNumberFormat="1" applyFont="1" applyFill="1" applyBorder="1"/>
    <xf numFmtId="0" fontId="3" fillId="6" borderId="11" xfId="0" applyFont="1" applyFill="1" applyBorder="1" applyAlignment="1">
      <alignment horizontal="right" vertical="center"/>
    </xf>
    <xf numFmtId="165" fontId="4" fillId="5" borderId="6" xfId="0" applyNumberFormat="1" applyFont="1" applyFill="1" applyBorder="1" applyAlignment="1">
      <alignment horizontal="center" vertical="top"/>
    </xf>
    <xf numFmtId="165" fontId="4" fillId="6" borderId="5" xfId="0" applyNumberFormat="1" applyFont="1" applyFill="1" applyBorder="1" applyAlignment="1">
      <alignment horizontal="center" vertical="top"/>
    </xf>
    <xf numFmtId="165" fontId="4" fillId="6" borderId="5" xfId="0" applyNumberFormat="1" applyFont="1" applyFill="1" applyBorder="1"/>
    <xf numFmtId="165" fontId="10" fillId="6" borderId="6" xfId="0" applyNumberFormat="1" applyFont="1" applyFill="1" applyBorder="1"/>
    <xf numFmtId="165" fontId="10" fillId="6" borderId="5" xfId="0" applyNumberFormat="1" applyFont="1" applyFill="1" applyBorder="1" applyAlignment="1">
      <alignment horizontal="center" vertical="top"/>
    </xf>
    <xf numFmtId="167" fontId="3" fillId="6" borderId="3" xfId="1" applyNumberFormat="1" applyFont="1" applyFill="1" applyBorder="1" applyAlignment="1">
      <alignment horizontal="center" vertical="center"/>
    </xf>
    <xf numFmtId="167" fontId="2" fillId="6" borderId="1" xfId="1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top"/>
    </xf>
    <xf numFmtId="165" fontId="4" fillId="0" borderId="15" xfId="0" applyNumberFormat="1" applyFont="1" applyBorder="1" applyAlignment="1">
      <alignment horizontal="center" vertical="top"/>
    </xf>
    <xf numFmtId="165" fontId="4" fillId="0" borderId="18" xfId="0" applyNumberFormat="1" applyFont="1" applyBorder="1" applyAlignment="1">
      <alignment horizontal="center" vertical="top"/>
    </xf>
    <xf numFmtId="165" fontId="4" fillId="6" borderId="1" xfId="0" applyNumberFormat="1" applyFont="1" applyFill="1" applyBorder="1" applyAlignment="1">
      <alignment horizontal="center" vertical="top"/>
    </xf>
    <xf numFmtId="165" fontId="4" fillId="6" borderId="15" xfId="0" applyNumberFormat="1" applyFont="1" applyFill="1" applyBorder="1" applyAlignment="1">
      <alignment horizontal="center" vertical="top"/>
    </xf>
    <xf numFmtId="165" fontId="4" fillId="6" borderId="18" xfId="0" applyNumberFormat="1" applyFont="1" applyFill="1" applyBorder="1" applyAlignment="1">
      <alignment horizontal="center" vertical="top"/>
    </xf>
    <xf numFmtId="165" fontId="10" fillId="6" borderId="6" xfId="0" applyNumberFormat="1" applyFont="1" applyFill="1" applyBorder="1" applyAlignment="1">
      <alignment horizontal="center" vertical="top"/>
    </xf>
    <xf numFmtId="165" fontId="10" fillId="6" borderId="15" xfId="0" applyNumberFormat="1" applyFont="1" applyFill="1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12" fillId="0" borderId="6" xfId="0" applyFont="1" applyBorder="1"/>
    <xf numFmtId="0" fontId="5" fillId="0" borderId="13" xfId="0" applyFont="1" applyBorder="1" applyAlignment="1">
      <alignment vertical="top"/>
    </xf>
    <xf numFmtId="165" fontId="24" fillId="0" borderId="5" xfId="0" applyNumberFormat="1" applyFont="1" applyBorder="1" applyAlignment="1">
      <alignment horizontal="center" vertical="top"/>
    </xf>
    <xf numFmtId="165" fontId="24" fillId="0" borderId="6" xfId="0" applyNumberFormat="1" applyFont="1" applyBorder="1" applyAlignment="1">
      <alignment horizontal="center" vertical="top"/>
    </xf>
    <xf numFmtId="0" fontId="4" fillId="6" borderId="6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12" xfId="0" applyFont="1" applyFill="1" applyBorder="1" applyAlignment="1">
      <alignment horizontal="right" vertical="center"/>
    </xf>
    <xf numFmtId="165" fontId="4" fillId="2" borderId="5" xfId="0" applyNumberFormat="1" applyFont="1" applyFill="1" applyBorder="1" applyAlignment="1">
      <alignment horizontal="center" vertical="top"/>
    </xf>
    <xf numFmtId="165" fontId="4" fillId="2" borderId="5" xfId="0" applyNumberFormat="1" applyFont="1" applyFill="1" applyBorder="1"/>
    <xf numFmtId="165" fontId="10" fillId="0" borderId="7" xfId="0" applyNumberFormat="1" applyFont="1" applyBorder="1"/>
    <xf numFmtId="165" fontId="10" fillId="0" borderId="5" xfId="0" applyNumberFormat="1" applyFont="1" applyBorder="1"/>
    <xf numFmtId="165" fontId="10" fillId="2" borderId="5" xfId="0" applyNumberFormat="1" applyFont="1" applyFill="1" applyBorder="1"/>
    <xf numFmtId="0" fontId="13" fillId="3" borderId="0" xfId="0" applyFont="1" applyFill="1" applyAlignment="1">
      <alignment vertical="center"/>
    </xf>
    <xf numFmtId="0" fontId="3" fillId="6" borderId="12" xfId="0" applyFont="1" applyFill="1" applyBorder="1" applyAlignment="1">
      <alignment horizontal="right" vertical="center"/>
    </xf>
    <xf numFmtId="165" fontId="4" fillId="6" borderId="7" xfId="0" applyNumberFormat="1" applyFont="1" applyFill="1" applyBorder="1" applyAlignment="1">
      <alignment horizontal="center" vertical="top"/>
    </xf>
    <xf numFmtId="165" fontId="4" fillId="6" borderId="7" xfId="0" applyNumberFormat="1" applyFont="1" applyFill="1" applyBorder="1"/>
    <xf numFmtId="165" fontId="4" fillId="6" borderId="8" xfId="0" applyNumberFormat="1" applyFont="1" applyFill="1" applyBorder="1" applyAlignment="1">
      <alignment horizontal="center" vertical="top"/>
    </xf>
    <xf numFmtId="0" fontId="4" fillId="2" borderId="5" xfId="0" applyFont="1" applyFill="1" applyBorder="1"/>
    <xf numFmtId="165" fontId="4" fillId="6" borderId="8" xfId="0" applyNumberFormat="1" applyFont="1" applyFill="1" applyBorder="1"/>
    <xf numFmtId="165" fontId="10" fillId="6" borderId="8" xfId="0" applyNumberFormat="1" applyFont="1" applyFill="1" applyBorder="1"/>
    <xf numFmtId="167" fontId="3" fillId="6" borderId="4" xfId="1" applyNumberFormat="1" applyFont="1" applyFill="1" applyBorder="1" applyAlignment="1">
      <alignment horizontal="center" vertical="center"/>
    </xf>
    <xf numFmtId="166" fontId="4" fillId="6" borderId="5" xfId="0" applyNumberFormat="1" applyFont="1" applyFill="1" applyBorder="1" applyAlignment="1">
      <alignment horizontal="center" vertical="top"/>
    </xf>
    <xf numFmtId="0" fontId="4" fillId="6" borderId="5" xfId="0" applyFont="1" applyFill="1" applyBorder="1" applyAlignment="1">
      <alignment horizontal="center" vertical="top"/>
    </xf>
    <xf numFmtId="166" fontId="4" fillId="6" borderId="5" xfId="0" applyNumberFormat="1" applyFont="1" applyFill="1" applyBorder="1"/>
    <xf numFmtId="165" fontId="10" fillId="4" borderId="8" xfId="0" applyNumberFormat="1" applyFont="1" applyFill="1" applyBorder="1" applyAlignment="1">
      <alignment horizontal="center" vertical="top"/>
    </xf>
    <xf numFmtId="0" fontId="3" fillId="2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6" borderId="18" xfId="0" applyFont="1" applyFill="1" applyBorder="1" applyAlignment="1">
      <alignment vertical="center"/>
    </xf>
    <xf numFmtId="0" fontId="3" fillId="6" borderId="19" xfId="0" applyFont="1" applyFill="1" applyBorder="1" applyAlignment="1">
      <alignment vertical="center"/>
    </xf>
    <xf numFmtId="0" fontId="3" fillId="6" borderId="18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0" borderId="19" xfId="0" applyFont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4" borderId="19" xfId="0" applyFont="1" applyFill="1" applyBorder="1" applyAlignment="1">
      <alignment vertical="center"/>
    </xf>
    <xf numFmtId="167" fontId="3" fillId="3" borderId="0" xfId="1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right" vertical="center"/>
    </xf>
    <xf numFmtId="165" fontId="4" fillId="3" borderId="0" xfId="0" applyNumberFormat="1" applyFont="1" applyFill="1" applyAlignment="1">
      <alignment horizontal="center" vertical="top"/>
    </xf>
    <xf numFmtId="165" fontId="4" fillId="3" borderId="0" xfId="0" applyNumberFormat="1" applyFont="1" applyFill="1"/>
    <xf numFmtId="166" fontId="4" fillId="3" borderId="0" xfId="0" applyNumberFormat="1" applyFont="1" applyFill="1" applyAlignment="1">
      <alignment horizontal="center" vertical="top"/>
    </xf>
    <xf numFmtId="166" fontId="4" fillId="3" borderId="0" xfId="0" applyNumberFormat="1" applyFont="1" applyFill="1"/>
    <xf numFmtId="0" fontId="3" fillId="4" borderId="20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vertical="center"/>
    </xf>
    <xf numFmtId="167" fontId="3" fillId="4" borderId="10" xfId="1" applyNumberFormat="1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167" fontId="3" fillId="0" borderId="10" xfId="1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right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vertical="center"/>
    </xf>
    <xf numFmtId="167" fontId="3" fillId="6" borderId="10" xfId="1" applyNumberFormat="1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right" vertical="center"/>
    </xf>
    <xf numFmtId="0" fontId="3" fillId="2" borderId="27" xfId="0" applyFont="1" applyFill="1" applyBorder="1" applyAlignment="1">
      <alignment horizontal="right" vertical="center"/>
    </xf>
    <xf numFmtId="0" fontId="3" fillId="0" borderId="28" xfId="0" applyFont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67" fontId="3" fillId="0" borderId="9" xfId="1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22" fillId="6" borderId="12" xfId="0" applyFont="1" applyFill="1" applyBorder="1" applyAlignment="1">
      <alignment horizontal="right" vertical="center"/>
    </xf>
    <xf numFmtId="0" fontId="3" fillId="2" borderId="28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right" vertical="center"/>
    </xf>
    <xf numFmtId="167" fontId="2" fillId="4" borderId="4" xfId="1" applyNumberFormat="1" applyFont="1" applyFill="1" applyBorder="1" applyAlignment="1">
      <alignment horizontal="center" vertical="center"/>
    </xf>
    <xf numFmtId="167" fontId="2" fillId="0" borderId="4" xfId="1" applyNumberFormat="1" applyFont="1" applyFill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top"/>
    </xf>
    <xf numFmtId="0" fontId="3" fillId="2" borderId="2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29" xfId="0" applyFont="1" applyBorder="1" applyAlignment="1">
      <alignment horizontal="center"/>
    </xf>
    <xf numFmtId="165" fontId="14" fillId="0" borderId="6" xfId="0" applyNumberFormat="1" applyFont="1" applyBorder="1" applyAlignment="1">
      <alignment horizontal="center" vertical="top"/>
    </xf>
    <xf numFmtId="165" fontId="14" fillId="6" borderId="6" xfId="0" applyNumberFormat="1" applyFont="1" applyFill="1" applyBorder="1" applyAlignment="1">
      <alignment horizontal="center" vertical="top"/>
    </xf>
    <xf numFmtId="165" fontId="9" fillId="6" borderId="6" xfId="0" applyNumberFormat="1" applyFont="1" applyFill="1" applyBorder="1" applyAlignment="1">
      <alignment horizontal="center" vertical="top"/>
    </xf>
    <xf numFmtId="165" fontId="9" fillId="6" borderId="6" xfId="0" applyNumberFormat="1" applyFont="1" applyFill="1" applyBorder="1"/>
    <xf numFmtId="0" fontId="3" fillId="6" borderId="24" xfId="0" applyFont="1" applyFill="1" applyBorder="1" applyAlignment="1">
      <alignment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vertical="center"/>
    </xf>
    <xf numFmtId="167" fontId="3" fillId="6" borderId="9" xfId="1" applyNumberFormat="1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right" vertical="center"/>
    </xf>
    <xf numFmtId="0" fontId="4" fillId="6" borderId="6" xfId="0" applyFont="1" applyFill="1" applyBorder="1"/>
    <xf numFmtId="0" fontId="4" fillId="6" borderId="8" xfId="0" applyFont="1" applyFill="1" applyBorder="1" applyAlignment="1">
      <alignment horizontal="center" vertical="top"/>
    </xf>
    <xf numFmtId="0" fontId="4" fillId="6" borderId="8" xfId="0" applyFont="1" applyFill="1" applyBorder="1"/>
    <xf numFmtId="165" fontId="10" fillId="4" borderId="7" xfId="0" applyNumberFormat="1" applyFont="1" applyFill="1" applyBorder="1" applyAlignment="1">
      <alignment horizontal="center" vertical="top"/>
    </xf>
    <xf numFmtId="165" fontId="26" fillId="6" borderId="7" xfId="0" applyNumberFormat="1" applyFont="1" applyFill="1" applyBorder="1" applyAlignment="1">
      <alignment horizontal="center" vertical="top"/>
    </xf>
    <xf numFmtId="165" fontId="26" fillId="4" borderId="5" xfId="0" applyNumberFormat="1" applyFont="1" applyFill="1" applyBorder="1" applyAlignment="1">
      <alignment horizontal="center" vertical="top"/>
    </xf>
    <xf numFmtId="165" fontId="26" fillId="6" borderId="5" xfId="0" applyNumberFormat="1" applyFont="1" applyFill="1" applyBorder="1" applyAlignment="1">
      <alignment horizontal="center" vertical="top"/>
    </xf>
    <xf numFmtId="165" fontId="26" fillId="0" borderId="6" xfId="0" applyNumberFormat="1" applyFont="1" applyBorder="1" applyAlignment="1">
      <alignment horizontal="center" vertical="top"/>
    </xf>
    <xf numFmtId="165" fontId="26" fillId="0" borderId="5" xfId="0" applyNumberFormat="1" applyFont="1" applyBorder="1" applyAlignment="1">
      <alignment horizontal="center" vertical="top"/>
    </xf>
    <xf numFmtId="165" fontId="26" fillId="0" borderId="8" xfId="0" applyNumberFormat="1" applyFont="1" applyBorder="1" applyAlignment="1">
      <alignment horizontal="center" vertical="top"/>
    </xf>
    <xf numFmtId="0" fontId="5" fillId="5" borderId="0" xfId="0" applyFont="1" applyFill="1" applyAlignment="1">
      <alignment horizontal="left" vertical="top"/>
    </xf>
    <xf numFmtId="165" fontId="4" fillId="3" borderId="0" xfId="0" applyNumberFormat="1" applyFont="1" applyFill="1" applyAlignment="1">
      <alignment horizontal="left" vertical="top"/>
    </xf>
    <xf numFmtId="165" fontId="4" fillId="0" borderId="8" xfId="0" applyNumberFormat="1" applyFont="1" applyBorder="1" applyAlignment="1">
      <alignment horizontal="left" vertical="top"/>
    </xf>
    <xf numFmtId="165" fontId="4" fillId="4" borderId="7" xfId="0" applyNumberFormat="1" applyFont="1" applyFill="1" applyBorder="1" applyAlignment="1">
      <alignment horizontal="left" vertical="top"/>
    </xf>
    <xf numFmtId="165" fontId="4" fillId="0" borderId="5" xfId="0" applyNumberFormat="1" applyFont="1" applyBorder="1" applyAlignment="1">
      <alignment horizontal="left" vertical="top"/>
    </xf>
    <xf numFmtId="165" fontId="4" fillId="4" borderId="6" xfId="0" applyNumberFormat="1" applyFont="1" applyFill="1" applyBorder="1" applyAlignment="1">
      <alignment horizontal="left" vertical="top"/>
    </xf>
    <xf numFmtId="165" fontId="4" fillId="4" borderId="5" xfId="0" applyNumberFormat="1" applyFont="1" applyFill="1" applyBorder="1" applyAlignment="1">
      <alignment horizontal="left" vertical="top"/>
    </xf>
    <xf numFmtId="165" fontId="4" fillId="0" borderId="6" xfId="0" applyNumberFormat="1" applyFont="1" applyBorder="1" applyAlignment="1">
      <alignment horizontal="left" vertical="top"/>
    </xf>
    <xf numFmtId="165" fontId="4" fillId="6" borderId="6" xfId="0" applyNumberFormat="1" applyFont="1" applyFill="1" applyBorder="1" applyAlignment="1">
      <alignment horizontal="left" vertical="top"/>
    </xf>
    <xf numFmtId="165" fontId="4" fillId="0" borderId="7" xfId="0" applyNumberFormat="1" applyFont="1" applyBorder="1" applyAlignment="1">
      <alignment horizontal="left" vertical="top"/>
    </xf>
    <xf numFmtId="166" fontId="4" fillId="3" borderId="0" xfId="0" applyNumberFormat="1" applyFont="1" applyFill="1" applyAlignment="1">
      <alignment horizontal="left" vertical="top"/>
    </xf>
    <xf numFmtId="166" fontId="4" fillId="6" borderId="5" xfId="0" applyNumberFormat="1" applyFont="1" applyFill="1" applyBorder="1" applyAlignment="1">
      <alignment horizontal="left" vertical="top"/>
    </xf>
    <xf numFmtId="165" fontId="4" fillId="5" borderId="6" xfId="0" applyNumberFormat="1" applyFont="1" applyFill="1" applyBorder="1" applyAlignment="1">
      <alignment horizontal="left" vertical="top"/>
    </xf>
    <xf numFmtId="165" fontId="4" fillId="6" borderId="7" xfId="0" applyNumberFormat="1" applyFont="1" applyFill="1" applyBorder="1" applyAlignment="1">
      <alignment horizontal="left" vertical="top"/>
    </xf>
    <xf numFmtId="165" fontId="4" fillId="6" borderId="5" xfId="0" applyNumberFormat="1" applyFont="1" applyFill="1" applyBorder="1" applyAlignment="1">
      <alignment horizontal="left" vertical="top"/>
    </xf>
    <xf numFmtId="165" fontId="9" fillId="6" borderId="6" xfId="0" applyNumberFormat="1" applyFont="1" applyFill="1" applyBorder="1" applyAlignment="1">
      <alignment horizontal="left" vertical="top"/>
    </xf>
    <xf numFmtId="165" fontId="4" fillId="2" borderId="5" xfId="0" applyNumberFormat="1" applyFont="1" applyFill="1" applyBorder="1" applyAlignment="1">
      <alignment horizontal="left" vertical="top"/>
    </xf>
    <xf numFmtId="165" fontId="4" fillId="2" borderId="6" xfId="0" applyNumberFormat="1" applyFont="1" applyFill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165" fontId="4" fillId="4" borderId="8" xfId="0" applyNumberFormat="1" applyFont="1" applyFill="1" applyBorder="1" applyAlignment="1">
      <alignment horizontal="left" vertical="top"/>
    </xf>
    <xf numFmtId="165" fontId="4" fillId="6" borderId="8" xfId="0" applyNumberFormat="1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/>
    </xf>
    <xf numFmtId="0" fontId="4" fillId="6" borderId="8" xfId="0" applyFont="1" applyFill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2" fontId="4" fillId="4" borderId="6" xfId="0" applyNumberFormat="1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" fontId="13" fillId="0" borderId="13" xfId="0" applyNumberFormat="1" applyFont="1" applyBorder="1" applyAlignment="1">
      <alignment horizontal="left" vertical="top" textRotation="90" wrapText="1"/>
    </xf>
    <xf numFmtId="165" fontId="10" fillId="0" borderId="7" xfId="0" applyNumberFormat="1" applyFont="1" applyBorder="1" applyAlignment="1">
      <alignment horizontal="center" vertical="top"/>
    </xf>
    <xf numFmtId="0" fontId="4" fillId="4" borderId="0" xfId="0" applyFont="1" applyFill="1"/>
    <xf numFmtId="0" fontId="5" fillId="4" borderId="0" xfId="0" applyFont="1" applyFill="1"/>
    <xf numFmtId="167" fontId="3" fillId="3" borderId="0" xfId="1" applyNumberFormat="1" applyFont="1" applyFill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167" fontId="3" fillId="0" borderId="30" xfId="1" applyNumberFormat="1" applyFont="1" applyFill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top"/>
    </xf>
    <xf numFmtId="165" fontId="4" fillId="0" borderId="30" xfId="0" applyNumberFormat="1" applyFont="1" applyBorder="1"/>
    <xf numFmtId="165" fontId="10" fillId="0" borderId="30" xfId="0" applyNumberFormat="1" applyFont="1" applyBorder="1"/>
    <xf numFmtId="165" fontId="4" fillId="0" borderId="32" xfId="0" applyNumberFormat="1" applyFont="1" applyBorder="1" applyAlignment="1">
      <alignment horizontal="left" vertical="top"/>
    </xf>
    <xf numFmtId="0" fontId="3" fillId="0" borderId="31" xfId="0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0" fontId="2" fillId="5" borderId="0" xfId="0" applyFont="1" applyFill="1"/>
    <xf numFmtId="0" fontId="5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16" fontId="13" fillId="0" borderId="13" xfId="0" applyNumberFormat="1" applyFont="1" applyBorder="1" applyAlignment="1">
      <alignment horizontal="center" vertical="top" textRotation="90" wrapText="1"/>
    </xf>
    <xf numFmtId="0" fontId="11" fillId="0" borderId="21" xfId="0" applyFont="1" applyBorder="1" applyAlignment="1">
      <alignment horizontal="center" vertical="top" wrapText="1"/>
    </xf>
    <xf numFmtId="0" fontId="8" fillId="3" borderId="29" xfId="0" applyFont="1" applyFill="1" applyBorder="1" applyAlignment="1">
      <alignment horizontal="left" vertical="center"/>
    </xf>
    <xf numFmtId="0" fontId="25" fillId="3" borderId="0" xfId="0" applyFont="1" applyFill="1" applyAlignment="1">
      <alignment horizontal="center" vertical="center"/>
    </xf>
    <xf numFmtId="43" fontId="2" fillId="0" borderId="29" xfId="0" applyNumberFormat="1" applyFont="1" applyBorder="1" applyAlignment="1">
      <alignment horizontal="right" vertical="center"/>
    </xf>
    <xf numFmtId="43" fontId="2" fillId="4" borderId="29" xfId="0" applyNumberFormat="1" applyFont="1" applyFill="1" applyBorder="1" applyAlignment="1">
      <alignment horizontal="right" vertical="center"/>
    </xf>
    <xf numFmtId="43" fontId="2" fillId="6" borderId="29" xfId="0" applyNumberFormat="1" applyFont="1" applyFill="1" applyBorder="1" applyAlignment="1">
      <alignment horizontal="right" vertical="center"/>
    </xf>
    <xf numFmtId="0" fontId="2" fillId="6" borderId="29" xfId="0" applyFont="1" applyFill="1" applyBorder="1" applyAlignment="1">
      <alignment horizontal="right" vertical="center"/>
    </xf>
    <xf numFmtId="43" fontId="2" fillId="2" borderId="29" xfId="0" applyNumberFormat="1" applyFont="1" applyFill="1" applyBorder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43" fontId="25" fillId="3" borderId="0" xfId="0" applyNumberFormat="1" applyFont="1" applyFill="1" applyAlignment="1">
      <alignment horizontal="center" vertical="center"/>
    </xf>
    <xf numFmtId="0" fontId="2" fillId="4" borderId="29" xfId="0" applyFont="1" applyFill="1" applyBorder="1" applyAlignment="1">
      <alignment horizontal="right" vertical="center"/>
    </xf>
    <xf numFmtId="16" fontId="8" fillId="0" borderId="15" xfId="0" applyNumberFormat="1" applyFont="1" applyBorder="1" applyAlignment="1">
      <alignment horizontal="left" vertical="top" textRotation="90" wrapText="1"/>
    </xf>
    <xf numFmtId="16" fontId="17" fillId="0" borderId="15" xfId="0" applyNumberFormat="1" applyFont="1" applyBorder="1" applyAlignment="1">
      <alignment horizontal="left" vertical="top" textRotation="90" wrapText="1"/>
    </xf>
    <xf numFmtId="0" fontId="13" fillId="0" borderId="33" xfId="0" applyFont="1" applyBorder="1" applyAlignment="1">
      <alignment vertical="top" wrapText="1"/>
    </xf>
    <xf numFmtId="16" fontId="11" fillId="0" borderId="13" xfId="0" applyNumberFormat="1" applyFont="1" applyBorder="1" applyAlignment="1">
      <alignment horizontal="center" vertical="top" textRotation="90" wrapText="1"/>
    </xf>
    <xf numFmtId="165" fontId="27" fillId="6" borderId="7" xfId="0" applyNumberFormat="1" applyFont="1" applyFill="1" applyBorder="1" applyAlignment="1">
      <alignment horizontal="center" vertical="top"/>
    </xf>
    <xf numFmtId="0" fontId="11" fillId="0" borderId="14" xfId="0" applyFont="1" applyBorder="1" applyAlignment="1">
      <alignment horizontal="center" vertical="top" wrapText="1"/>
    </xf>
    <xf numFmtId="165" fontId="27" fillId="0" borderId="6" xfId="0" applyNumberFormat="1" applyFont="1" applyBorder="1" applyAlignment="1">
      <alignment horizontal="center" vertical="top"/>
    </xf>
    <xf numFmtId="165" fontId="21" fillId="0" borderId="8" xfId="0" applyNumberFormat="1" applyFont="1" applyBorder="1" applyAlignment="1">
      <alignment horizontal="center" vertical="top"/>
    </xf>
    <xf numFmtId="165" fontId="21" fillId="0" borderId="5" xfId="0" applyNumberFormat="1" applyFont="1" applyBorder="1" applyAlignment="1">
      <alignment horizontal="center" vertical="top"/>
    </xf>
    <xf numFmtId="0" fontId="28" fillId="6" borderId="0" xfId="0" applyFont="1" applyFill="1" applyAlignment="1">
      <alignment horizontal="center" vertical="center"/>
    </xf>
    <xf numFmtId="165" fontId="10" fillId="4" borderId="6" xfId="0" applyNumberFormat="1" applyFont="1" applyFill="1" applyBorder="1" applyAlignment="1">
      <alignment horizontal="left" vertical="top"/>
    </xf>
    <xf numFmtId="0" fontId="2" fillId="0" borderId="6" xfId="0" applyFont="1" applyBorder="1" applyAlignment="1">
      <alignment horizontal="right" vertical="center"/>
    </xf>
    <xf numFmtId="0" fontId="5" fillId="0" borderId="6" xfId="0" applyFont="1" applyBorder="1"/>
    <xf numFmtId="167" fontId="5" fillId="0" borderId="6" xfId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5" fontId="27" fillId="0" borderId="8" xfId="0" applyNumberFormat="1" applyFont="1" applyBorder="1" applyAlignment="1">
      <alignment horizontal="center" vertical="top"/>
    </xf>
    <xf numFmtId="165" fontId="31" fillId="0" borderId="5" xfId="0" applyNumberFormat="1" applyFont="1" applyBorder="1" applyAlignment="1">
      <alignment horizontal="center" vertical="top"/>
    </xf>
    <xf numFmtId="165" fontId="27" fillId="0" borderId="5" xfId="0" applyNumberFormat="1" applyFont="1" applyBorder="1" applyAlignment="1">
      <alignment horizontal="center" vertical="top"/>
    </xf>
    <xf numFmtId="165" fontId="27" fillId="6" borderId="5" xfId="0" applyNumberFormat="1" applyFont="1" applyFill="1" applyBorder="1" applyAlignment="1">
      <alignment horizontal="center" vertical="top"/>
    </xf>
    <xf numFmtId="166" fontId="10" fillId="6" borderId="5" xfId="0" applyNumberFormat="1" applyFont="1" applyFill="1" applyBorder="1" applyAlignment="1">
      <alignment horizontal="center" vertical="top"/>
    </xf>
    <xf numFmtId="16" fontId="8" fillId="0" borderId="15" xfId="0" applyNumberFormat="1" applyFont="1" applyBorder="1" applyAlignment="1">
      <alignment horizontal="center" vertical="top" textRotation="90" wrapText="1"/>
    </xf>
    <xf numFmtId="165" fontId="9" fillId="4" borderId="6" xfId="0" applyNumberFormat="1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165" fontId="10" fillId="4" borderId="5" xfId="0" applyNumberFormat="1" applyFont="1" applyFill="1" applyBorder="1" applyAlignment="1">
      <alignment horizontal="center" vertical="top"/>
    </xf>
    <xf numFmtId="165" fontId="27" fillId="6" borderId="6" xfId="0" applyNumberFormat="1" applyFont="1" applyFill="1" applyBorder="1" applyAlignment="1">
      <alignment horizontal="center" vertical="top"/>
    </xf>
    <xf numFmtId="0" fontId="3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3" fontId="2" fillId="7" borderId="29" xfId="0" applyNumberFormat="1" applyFont="1" applyFill="1" applyBorder="1" applyAlignment="1">
      <alignment horizontal="right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vertical="center"/>
    </xf>
    <xf numFmtId="167" fontId="3" fillId="7" borderId="1" xfId="1" applyNumberFormat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right" vertical="center"/>
    </xf>
    <xf numFmtId="165" fontId="4" fillId="7" borderId="6" xfId="0" applyNumberFormat="1" applyFont="1" applyFill="1" applyBorder="1" applyAlignment="1">
      <alignment horizontal="left" vertical="top"/>
    </xf>
    <xf numFmtId="165" fontId="4" fillId="7" borderId="6" xfId="0" applyNumberFormat="1" applyFont="1" applyFill="1" applyBorder="1" applyAlignment="1">
      <alignment horizontal="center" vertical="top"/>
    </xf>
    <xf numFmtId="165" fontId="4" fillId="7" borderId="6" xfId="0" applyNumberFormat="1" applyFont="1" applyFill="1" applyBorder="1"/>
    <xf numFmtId="0" fontId="4" fillId="7" borderId="0" xfId="0" applyFont="1" applyFill="1"/>
    <xf numFmtId="0" fontId="5" fillId="7" borderId="0" xfId="0" applyFont="1" applyFill="1"/>
    <xf numFmtId="0" fontId="3" fillId="5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5" fontId="4" fillId="4" borderId="6" xfId="0" applyNumberFormat="1" applyFont="1" applyFill="1" applyBorder="1" applyAlignment="1">
      <alignment horizontal="center"/>
    </xf>
    <xf numFmtId="165" fontId="4" fillId="4" borderId="5" xfId="0" applyNumberFormat="1" applyFont="1" applyFill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5" fontId="4" fillId="6" borderId="7" xfId="0" applyNumberFormat="1" applyFont="1" applyFill="1" applyBorder="1" applyAlignment="1">
      <alignment horizontal="center"/>
    </xf>
    <xf numFmtId="165" fontId="4" fillId="6" borderId="6" xfId="0" applyNumberFormat="1" applyFont="1" applyFill="1" applyBorder="1" applyAlignment="1">
      <alignment horizontal="center"/>
    </xf>
    <xf numFmtId="165" fontId="4" fillId="6" borderId="5" xfId="0" applyNumberFormat="1" applyFont="1" applyFill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" fontId="8" fillId="0" borderId="15" xfId="0" applyNumberFormat="1" applyFont="1" applyBorder="1" applyAlignment="1">
      <alignment vertical="top" textRotation="90" wrapText="1"/>
    </xf>
    <xf numFmtId="165" fontId="4" fillId="4" borderId="7" xfId="0" applyNumberFormat="1" applyFont="1" applyFill="1" applyBorder="1" applyAlignment="1">
      <alignment horizontal="center"/>
    </xf>
    <xf numFmtId="165" fontId="4" fillId="4" borderId="6" xfId="0" applyNumberFormat="1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vertical="center"/>
    </xf>
    <xf numFmtId="167" fontId="3" fillId="7" borderId="10" xfId="1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right" vertical="center"/>
    </xf>
    <xf numFmtId="165" fontId="4" fillId="7" borderId="7" xfId="0" applyNumberFormat="1" applyFont="1" applyFill="1" applyBorder="1" applyAlignment="1">
      <alignment horizontal="left" vertical="top"/>
    </xf>
    <xf numFmtId="165" fontId="4" fillId="7" borderId="7" xfId="0" applyNumberFormat="1" applyFont="1" applyFill="1" applyBorder="1" applyAlignment="1">
      <alignment horizontal="center" vertical="top"/>
    </xf>
    <xf numFmtId="165" fontId="4" fillId="7" borderId="7" xfId="0" applyNumberFormat="1" applyFont="1" applyFill="1" applyBorder="1"/>
    <xf numFmtId="165" fontId="23" fillId="0" borderId="6" xfId="0" applyNumberFormat="1" applyFont="1" applyBorder="1" applyAlignment="1">
      <alignment horizontal="center" vertical="top"/>
    </xf>
    <xf numFmtId="165" fontId="26" fillId="0" borderId="7" xfId="0" applyNumberFormat="1" applyFont="1" applyBorder="1" applyAlignment="1">
      <alignment horizontal="center" vertical="top"/>
    </xf>
    <xf numFmtId="165" fontId="20" fillId="0" borderId="8" xfId="0" applyNumberFormat="1" applyFont="1" applyBorder="1" applyAlignment="1">
      <alignment horizontal="center" vertical="top"/>
    </xf>
    <xf numFmtId="165" fontId="4" fillId="0" borderId="8" xfId="0" applyNumberFormat="1" applyFont="1" applyBorder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43" fontId="2" fillId="8" borderId="29" xfId="0" applyNumberFormat="1" applyFont="1" applyFill="1" applyBorder="1" applyAlignment="1">
      <alignment horizontal="right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vertical="center"/>
    </xf>
    <xf numFmtId="167" fontId="3" fillId="8" borderId="1" xfId="1" applyNumberFormat="1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right" vertical="center"/>
    </xf>
    <xf numFmtId="165" fontId="4" fillId="8" borderId="7" xfId="0" applyNumberFormat="1" applyFont="1" applyFill="1" applyBorder="1" applyAlignment="1">
      <alignment horizontal="left" vertical="top"/>
    </xf>
    <xf numFmtId="165" fontId="4" fillId="8" borderId="7" xfId="0" applyNumberFormat="1" applyFont="1" applyFill="1" applyBorder="1" applyAlignment="1">
      <alignment horizontal="center" vertical="top"/>
    </xf>
    <xf numFmtId="165" fontId="4" fillId="8" borderId="7" xfId="0" applyNumberFormat="1" applyFont="1" applyFill="1" applyBorder="1" applyAlignment="1">
      <alignment horizontal="center"/>
    </xf>
    <xf numFmtId="165" fontId="4" fillId="8" borderId="7" xfId="0" applyNumberFormat="1" applyFont="1" applyFill="1" applyBorder="1"/>
    <xf numFmtId="0" fontId="4" fillId="8" borderId="0" xfId="0" applyFont="1" applyFill="1"/>
    <xf numFmtId="0" fontId="5" fillId="8" borderId="0" xfId="0" applyFont="1" applyFill="1"/>
    <xf numFmtId="0" fontId="3" fillId="8" borderId="20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vertical="center"/>
    </xf>
    <xf numFmtId="167" fontId="3" fillId="8" borderId="10" xfId="1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right" vertical="center"/>
    </xf>
    <xf numFmtId="167" fontId="2" fillId="8" borderId="1" xfId="1" applyNumberFormat="1" applyFont="1" applyFill="1" applyBorder="1" applyAlignment="1">
      <alignment horizontal="center" vertical="center"/>
    </xf>
    <xf numFmtId="165" fontId="4" fillId="8" borderId="5" xfId="0" applyNumberFormat="1" applyFont="1" applyFill="1" applyBorder="1" applyAlignment="1">
      <alignment horizontal="left" vertical="top"/>
    </xf>
    <xf numFmtId="165" fontId="4" fillId="8" borderId="5" xfId="0" applyNumberFormat="1" applyFont="1" applyFill="1" applyBorder="1" applyAlignment="1">
      <alignment horizontal="center" vertical="top"/>
    </xf>
    <xf numFmtId="165" fontId="10" fillId="8" borderId="5" xfId="0" applyNumberFormat="1" applyFont="1" applyFill="1" applyBorder="1" applyAlignment="1">
      <alignment horizontal="center" vertical="top"/>
    </xf>
    <xf numFmtId="165" fontId="4" fillId="8" borderId="5" xfId="0" applyNumberFormat="1" applyFont="1" applyFill="1" applyBorder="1" applyAlignment="1">
      <alignment horizontal="center"/>
    </xf>
    <xf numFmtId="165" fontId="4" fillId="8" borderId="5" xfId="0" applyNumberFormat="1" applyFont="1" applyFill="1" applyBorder="1"/>
    <xf numFmtId="165" fontId="4" fillId="8" borderId="6" xfId="0" applyNumberFormat="1" applyFont="1" applyFill="1" applyBorder="1" applyAlignment="1">
      <alignment horizontal="left" vertical="top"/>
    </xf>
    <xf numFmtId="165" fontId="4" fillId="8" borderId="6" xfId="0" applyNumberFormat="1" applyFont="1" applyFill="1" applyBorder="1" applyAlignment="1">
      <alignment horizontal="center" vertical="top"/>
    </xf>
    <xf numFmtId="165" fontId="4" fillId="8" borderId="6" xfId="0" applyNumberFormat="1" applyFont="1" applyFill="1" applyBorder="1" applyAlignment="1">
      <alignment horizontal="center"/>
    </xf>
    <xf numFmtId="165" fontId="4" fillId="8" borderId="6" xfId="0" applyNumberFormat="1" applyFont="1" applyFill="1" applyBorder="1"/>
    <xf numFmtId="165" fontId="4" fillId="0" borderId="7" xfId="0" applyNumberFormat="1" applyFont="1" applyBorder="1" applyAlignment="1">
      <alignment horizontal="center" vertical="top" wrapText="1"/>
    </xf>
    <xf numFmtId="165" fontId="10" fillId="2" borderId="5" xfId="0" applyNumberFormat="1" applyFont="1" applyFill="1" applyBorder="1" applyAlignment="1">
      <alignment horizontal="center" vertical="top"/>
    </xf>
    <xf numFmtId="165" fontId="21" fillId="0" borderId="6" xfId="0" applyNumberFormat="1" applyFont="1" applyBorder="1" applyAlignment="1">
      <alignment horizontal="center" vertical="top"/>
    </xf>
    <xf numFmtId="165" fontId="27" fillId="6" borderId="7" xfId="0" applyNumberFormat="1" applyFont="1" applyFill="1" applyBorder="1"/>
    <xf numFmtId="165" fontId="27" fillId="0" borderId="6" xfId="0" applyNumberFormat="1" applyFont="1" applyBorder="1"/>
    <xf numFmtId="0" fontId="10" fillId="2" borderId="5" xfId="0" applyFont="1" applyFill="1" applyBorder="1" applyAlignment="1">
      <alignment horizontal="center" vertical="top"/>
    </xf>
    <xf numFmtId="165" fontId="4" fillId="0" borderId="15" xfId="0" applyNumberFormat="1" applyFont="1" applyBorder="1"/>
    <xf numFmtId="0" fontId="3" fillId="0" borderId="15" xfId="0" applyFont="1" applyBorder="1" applyAlignment="1">
      <alignment horizontal="center" vertical="top"/>
    </xf>
    <xf numFmtId="165" fontId="10" fillId="0" borderId="15" xfId="0" applyNumberFormat="1" applyFont="1" applyBorder="1" applyAlignment="1">
      <alignment horizontal="center" vertical="top"/>
    </xf>
    <xf numFmtId="165" fontId="4" fillId="0" borderId="4" xfId="0" applyNumberFormat="1" applyFont="1" applyBorder="1"/>
    <xf numFmtId="165" fontId="4" fillId="0" borderId="1" xfId="0" applyNumberFormat="1" applyFont="1" applyBorder="1"/>
    <xf numFmtId="165" fontId="12" fillId="0" borderId="6" xfId="0" applyNumberFormat="1" applyFont="1" applyBorder="1" applyAlignment="1">
      <alignment horizontal="center" vertical="top"/>
    </xf>
    <xf numFmtId="167" fontId="3" fillId="0" borderId="3" xfId="1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top"/>
    </xf>
    <xf numFmtId="0" fontId="3" fillId="0" borderId="15" xfId="0" applyFont="1" applyBorder="1"/>
    <xf numFmtId="165" fontId="4" fillId="0" borderId="19" xfId="0" applyNumberFormat="1" applyFont="1" applyBorder="1" applyAlignment="1">
      <alignment horizontal="center" vertical="top"/>
    </xf>
    <xf numFmtId="167" fontId="3" fillId="0" borderId="1" xfId="1" applyNumberFormat="1" applyFont="1" applyBorder="1" applyAlignment="1">
      <alignment horizontal="center" vertical="center"/>
    </xf>
    <xf numFmtId="165" fontId="27" fillId="4" borderId="5" xfId="0" applyNumberFormat="1" applyFont="1" applyFill="1" applyBorder="1" applyAlignment="1">
      <alignment horizontal="center" vertical="top"/>
    </xf>
    <xf numFmtId="165" fontId="32" fillId="0" borderId="6" xfId="0" applyNumberFormat="1" applyFont="1" applyBorder="1" applyAlignment="1">
      <alignment horizontal="center" vertical="top"/>
    </xf>
    <xf numFmtId="165" fontId="10" fillId="0" borderId="8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0" fillId="6" borderId="6" xfId="0" applyFont="1" applyFill="1" applyBorder="1" applyAlignment="1">
      <alignment horizontal="center" vertical="top"/>
    </xf>
    <xf numFmtId="0" fontId="22" fillId="0" borderId="18" xfId="0" applyFont="1" applyBorder="1" applyAlignment="1">
      <alignment vertical="center"/>
    </xf>
    <xf numFmtId="165" fontId="10" fillId="2" borderId="6" xfId="0" applyNumberFormat="1" applyFont="1" applyFill="1" applyBorder="1" applyAlignment="1">
      <alignment horizontal="center" vertical="top"/>
    </xf>
    <xf numFmtId="165" fontId="10" fillId="9" borderId="6" xfId="0" applyNumberFormat="1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8" fillId="3" borderId="9" xfId="0" applyFont="1" applyFill="1" applyBorder="1" applyAlignment="1">
      <alignment horizontal="left" vertical="center"/>
    </xf>
    <xf numFmtId="0" fontId="15" fillId="3" borderId="26" xfId="0" applyFont="1" applyFill="1" applyBorder="1" applyAlignment="1">
      <alignment horizontal="right" vertical="center"/>
    </xf>
    <xf numFmtId="0" fontId="3" fillId="3" borderId="2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top"/>
    </xf>
    <xf numFmtId="165" fontId="20" fillId="4" borderId="6" xfId="0" applyNumberFormat="1" applyFont="1" applyFill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top"/>
    </xf>
    <xf numFmtId="0" fontId="28" fillId="6" borderId="0" xfId="0" applyFont="1" applyFill="1" applyAlignment="1">
      <alignment horizontal="center" vertical="top"/>
    </xf>
    <xf numFmtId="0" fontId="29" fillId="4" borderId="0" xfId="0" applyFont="1" applyFill="1" applyAlignment="1">
      <alignment horizontal="center" vertical="top"/>
    </xf>
    <xf numFmtId="0" fontId="28" fillId="4" borderId="15" xfId="0" applyFont="1" applyFill="1" applyBorder="1" applyAlignment="1">
      <alignment horizontal="center" vertical="top"/>
    </xf>
    <xf numFmtId="167" fontId="28" fillId="4" borderId="1" xfId="1" applyNumberFormat="1" applyFont="1" applyFill="1" applyBorder="1" applyAlignment="1">
      <alignment horizontal="center" vertical="top"/>
    </xf>
    <xf numFmtId="0" fontId="28" fillId="3" borderId="0" xfId="0" applyFont="1" applyFill="1" applyAlignment="1">
      <alignment horizontal="center" vertical="top"/>
    </xf>
    <xf numFmtId="43" fontId="29" fillId="4" borderId="29" xfId="0" applyNumberFormat="1" applyFont="1" applyFill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30" fillId="0" borderId="0" xfId="0" applyFont="1" applyAlignment="1">
      <alignment horizontal="center" vertical="top"/>
    </xf>
    <xf numFmtId="165" fontId="10" fillId="3" borderId="0" xfId="0" applyNumberFormat="1" applyFont="1" applyFill="1" applyAlignment="1">
      <alignment horizontal="center" vertical="top"/>
    </xf>
    <xf numFmtId="166" fontId="10" fillId="3" borderId="0" xfId="0" applyNumberFormat="1" applyFont="1" applyFill="1" applyAlignment="1">
      <alignment horizontal="center" vertical="top"/>
    </xf>
    <xf numFmtId="165" fontId="10" fillId="6" borderId="7" xfId="0" applyNumberFormat="1" applyFont="1" applyFill="1" applyBorder="1" applyAlignment="1">
      <alignment horizontal="center" vertical="top"/>
    </xf>
    <xf numFmtId="165" fontId="10" fillId="7" borderId="6" xfId="0" applyNumberFormat="1" applyFont="1" applyFill="1" applyBorder="1" applyAlignment="1">
      <alignment horizontal="center" vertical="top"/>
    </xf>
    <xf numFmtId="165" fontId="10" fillId="7" borderId="7" xfId="0" applyNumberFormat="1" applyFont="1" applyFill="1" applyBorder="1" applyAlignment="1">
      <alignment horizontal="center" vertical="top"/>
    </xf>
    <xf numFmtId="165" fontId="10" fillId="0" borderId="30" xfId="0" applyNumberFormat="1" applyFont="1" applyBorder="1" applyAlignment="1">
      <alignment horizontal="center" vertical="top"/>
    </xf>
    <xf numFmtId="0" fontId="33" fillId="0" borderId="5" xfId="0" applyFont="1" applyBorder="1" applyAlignment="1">
      <alignment horizontal="center" vertical="top"/>
    </xf>
    <xf numFmtId="165" fontId="10" fillId="8" borderId="6" xfId="0" applyNumberFormat="1" applyFont="1" applyFill="1" applyBorder="1" applyAlignment="1">
      <alignment horizontal="center" vertical="top"/>
    </xf>
    <xf numFmtId="165" fontId="10" fillId="8" borderId="7" xfId="0" applyNumberFormat="1" applyFont="1" applyFill="1" applyBorder="1" applyAlignment="1">
      <alignment horizontal="center" vertical="top"/>
    </xf>
    <xf numFmtId="165" fontId="10" fillId="6" borderId="8" xfId="0" applyNumberFormat="1" applyFont="1" applyFill="1" applyBorder="1" applyAlignment="1">
      <alignment horizontal="center" vertical="top"/>
    </xf>
    <xf numFmtId="0" fontId="28" fillId="0" borderId="6" xfId="0" applyFont="1" applyBorder="1" applyAlignment="1">
      <alignment horizontal="center" vertical="top"/>
    </xf>
    <xf numFmtId="0" fontId="10" fillId="2" borderId="6" xfId="0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10" fillId="6" borderId="8" xfId="0" applyFont="1" applyFill="1" applyBorder="1" applyAlignment="1">
      <alignment horizontal="center" vertical="top"/>
    </xf>
    <xf numFmtId="2" fontId="10" fillId="4" borderId="6" xfId="0" applyNumberFormat="1" applyFont="1" applyFill="1" applyBorder="1" applyAlignment="1">
      <alignment horizontal="center" vertical="top"/>
    </xf>
    <xf numFmtId="0" fontId="28" fillId="5" borderId="0" xfId="0" applyFont="1" applyFill="1" applyAlignment="1">
      <alignment horizontal="center" vertical="top"/>
    </xf>
    <xf numFmtId="0" fontId="28" fillId="5" borderId="0" xfId="0" applyFont="1" applyFill="1" applyAlignment="1">
      <alignment horizontal="center" vertical="top" wrapText="1"/>
    </xf>
    <xf numFmtId="0" fontId="34" fillId="4" borderId="18" xfId="0" applyFont="1" applyFill="1" applyBorder="1" applyAlignment="1">
      <alignment horizontal="left" vertical="top"/>
    </xf>
    <xf numFmtId="0" fontId="28" fillId="4" borderId="11" xfId="0" applyFont="1" applyFill="1" applyBorder="1" applyAlignment="1">
      <alignment horizontal="right" vertical="top"/>
    </xf>
    <xf numFmtId="0" fontId="4" fillId="10" borderId="6" xfId="0" applyFont="1" applyFill="1" applyBorder="1" applyAlignment="1">
      <alignment horizontal="center" vertical="top"/>
    </xf>
    <xf numFmtId="165" fontId="4" fillId="10" borderId="6" xfId="0" applyNumberFormat="1" applyFont="1" applyFill="1" applyBorder="1" applyAlignment="1">
      <alignment horizontal="center" vertical="top"/>
    </xf>
    <xf numFmtId="165" fontId="4" fillId="10" borderId="8" xfId="0" applyNumberFormat="1" applyFont="1" applyFill="1" applyBorder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165" fontId="4" fillId="10" borderId="7" xfId="0" applyNumberFormat="1" applyFont="1" applyFill="1" applyBorder="1" applyAlignment="1">
      <alignment horizontal="center" vertical="top"/>
    </xf>
    <xf numFmtId="165" fontId="10" fillId="10" borderId="6" xfId="0" applyNumberFormat="1" applyFont="1" applyFill="1" applyBorder="1" applyAlignment="1">
      <alignment horizontal="center" vertical="top"/>
    </xf>
    <xf numFmtId="2" fontId="35" fillId="4" borderId="6" xfId="0" applyNumberFormat="1" applyFont="1" applyFill="1" applyBorder="1" applyAlignment="1">
      <alignment horizontal="center" vertical="top"/>
    </xf>
    <xf numFmtId="165" fontId="4" fillId="11" borderId="7" xfId="0" applyNumberFormat="1" applyFont="1" applyFill="1" applyBorder="1" applyAlignment="1">
      <alignment horizontal="center" vertical="top"/>
    </xf>
    <xf numFmtId="165" fontId="4" fillId="11" borderId="6" xfId="0" applyNumberFormat="1" applyFont="1" applyFill="1" applyBorder="1" applyAlignment="1">
      <alignment horizontal="center" vertical="top"/>
    </xf>
    <xf numFmtId="165" fontId="4" fillId="11" borderId="5" xfId="0" applyNumberFormat="1" applyFont="1" applyFill="1" applyBorder="1" applyAlignment="1">
      <alignment horizontal="center" vertical="top"/>
    </xf>
    <xf numFmtId="164" fontId="6" fillId="5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Zumkeller" id="{82DC23F8-4FAE-441A-985F-2CDC7ECB79B7}" userId="S::mzumkeller@langetwins.com::93041f9f-6095-46c9-b58d-c8ee07cbec2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23" dT="2022-09-06T21:18:01.05" personId="{82DC23F8-4FAE-441A-985F-2CDC7ECB79B7}" id="{F86B8820-3F94-426B-B9D6-42BFB579E2AA}">
    <text>whole block random sample</text>
  </threadedComment>
  <threadedComment ref="BK26" dT="2022-09-10T18:47:09.65" personId="{82DC23F8-4FAE-441A-985F-2CDC7ECB79B7}" id="{FF818219-2058-40D3-9AD5-16D56EEF3F47}">
    <text>whole block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DN423"/>
  <sheetViews>
    <sheetView tabSelected="1" zoomScale="116" zoomScaleNormal="100" zoomScaleSheetLayoutView="110" workbookViewId="0">
      <pane xSplit="8" ySplit="3" topLeftCell="BM299" activePane="bottomRight" state="frozen"/>
      <selection pane="bottomRight" activeCell="BQ434" sqref="BQ434"/>
      <selection pane="bottomLeft" activeCell="A3" sqref="A3"/>
      <selection pane="topRight" activeCell="F1" sqref="F1"/>
    </sheetView>
  </sheetViews>
  <sheetFormatPr defaultColWidth="8.85546875" defaultRowHeight="15.75"/>
  <cols>
    <col min="1" max="1" width="4.85546875" style="44" customWidth="1"/>
    <col min="2" max="2" width="5.85546875" style="44" hidden="1" customWidth="1"/>
    <col min="3" max="3" width="4.85546875" style="267" customWidth="1"/>
    <col min="4" max="4" width="5.85546875" style="203" customWidth="1"/>
    <col min="5" max="5" width="5.5703125" style="204" customWidth="1"/>
    <col min="6" max="6" width="37" style="9" customWidth="1"/>
    <col min="7" max="7" width="5.85546875" style="45" customWidth="1"/>
    <col min="8" max="8" width="9.5703125" style="9" customWidth="1"/>
    <col min="9" max="9" width="6.85546875" style="252" customWidth="1"/>
    <col min="10" max="10" width="6.85546875" style="57" customWidth="1"/>
    <col min="11" max="22" width="6.85546875" style="58" customWidth="1"/>
    <col min="23" max="29" width="6.7109375" style="58" customWidth="1"/>
    <col min="30" max="41" width="6.85546875" style="58" customWidth="1"/>
    <col min="42" max="42" width="6.85546875" style="340" customWidth="1"/>
    <col min="43" max="43" width="6.85546875" style="10" customWidth="1"/>
    <col min="44" max="49" width="6.85546875" style="58" customWidth="1"/>
    <col min="50" max="50" width="6.85546875" style="10" customWidth="1"/>
    <col min="51" max="55" width="6.85546875" style="58" customWidth="1"/>
    <col min="56" max="57" width="6.85546875" style="10" customWidth="1"/>
    <col min="58" max="62" width="6.85546875" style="58" customWidth="1"/>
    <col min="63" max="63" width="6.85546875" style="440" customWidth="1"/>
    <col min="64" max="64" width="6.85546875" style="10" customWidth="1"/>
    <col min="65" max="76" width="6.85546875" style="58" customWidth="1"/>
    <col min="77" max="78" width="6.85546875" style="10" customWidth="1"/>
    <col min="79" max="83" width="6.85546875" style="58" customWidth="1"/>
    <col min="84" max="85" width="6.85546875" style="10" customWidth="1"/>
    <col min="86" max="90" width="6.85546875" style="58" customWidth="1"/>
    <col min="91" max="92" width="6.85546875" style="10" customWidth="1"/>
    <col min="93" max="94" width="6.85546875" style="58" customWidth="1"/>
    <col min="95" max="115" width="6.85546875" style="10" customWidth="1"/>
    <col min="116" max="16384" width="8.85546875" style="9"/>
  </cols>
  <sheetData>
    <row r="1" spans="1:118" s="81" customFormat="1" ht="13.5" customHeight="1">
      <c r="A1" s="77"/>
      <c r="B1" s="78"/>
      <c r="C1" s="273"/>
      <c r="D1" s="271"/>
      <c r="E1" s="272"/>
      <c r="F1" s="79" t="s">
        <v>0</v>
      </c>
      <c r="G1" s="80"/>
      <c r="I1" s="224"/>
      <c r="J1" s="82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330"/>
      <c r="AQ1" s="84"/>
      <c r="AR1" s="83"/>
      <c r="AS1" s="83"/>
      <c r="AT1" s="83"/>
      <c r="AU1" s="83"/>
      <c r="AV1" s="83"/>
      <c r="AW1" s="83"/>
      <c r="AX1" s="84"/>
      <c r="AY1" s="83"/>
      <c r="AZ1" s="83"/>
      <c r="BA1" s="83"/>
      <c r="BB1" s="83"/>
      <c r="BC1" s="83"/>
      <c r="BD1" s="84"/>
      <c r="BE1" s="84"/>
      <c r="BF1" s="83"/>
      <c r="BG1" s="83"/>
      <c r="BH1" s="83"/>
      <c r="BI1" s="83"/>
      <c r="BJ1" s="83"/>
      <c r="BK1" s="443"/>
      <c r="BL1" s="84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4"/>
      <c r="BZ1" s="84"/>
      <c r="CA1" s="83"/>
      <c r="CB1" s="83"/>
      <c r="CC1" s="83"/>
      <c r="CD1" s="83"/>
      <c r="CE1" s="83"/>
      <c r="CF1" s="84"/>
      <c r="CG1" s="84"/>
      <c r="CH1" s="83"/>
      <c r="CI1" s="83"/>
      <c r="CJ1" s="83"/>
      <c r="CK1" s="83"/>
      <c r="CL1" s="83"/>
      <c r="CM1" s="84"/>
      <c r="CN1" s="84"/>
      <c r="CO1" s="83"/>
      <c r="CP1" s="83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</row>
    <row r="2" spans="1:118" s="81" customFormat="1" ht="26.25" customHeight="1">
      <c r="B2" s="85"/>
      <c r="C2" s="274"/>
      <c r="D2" s="457">
        <f ca="1">TODAY()</f>
        <v>45506</v>
      </c>
      <c r="E2" s="457"/>
      <c r="F2" s="86" t="s">
        <v>1</v>
      </c>
      <c r="G2" s="85"/>
      <c r="H2" s="77"/>
      <c r="I2" s="88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3"/>
      <c r="AM2" s="87"/>
      <c r="AN2" s="87"/>
      <c r="AO2" s="87"/>
      <c r="AP2" s="87"/>
      <c r="AQ2" s="88"/>
      <c r="AR2" s="87"/>
      <c r="AS2" s="87"/>
      <c r="AT2" s="87"/>
      <c r="AU2" s="87"/>
      <c r="AV2" s="87"/>
      <c r="AW2" s="87"/>
      <c r="AX2" s="88"/>
      <c r="AY2" s="87"/>
      <c r="AZ2" s="87"/>
      <c r="BA2" s="87"/>
      <c r="BB2" s="87"/>
      <c r="BC2" s="87"/>
      <c r="BD2" s="88"/>
      <c r="BE2" s="89"/>
      <c r="BF2" s="403"/>
      <c r="BG2" s="403"/>
      <c r="BH2" s="403"/>
      <c r="BI2" s="403"/>
      <c r="BJ2" s="403"/>
      <c r="BK2" s="444"/>
      <c r="BL2" s="89"/>
      <c r="BM2" s="403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89"/>
      <c r="BZ2" s="89"/>
      <c r="CA2" s="403"/>
      <c r="CB2" s="403"/>
      <c r="CC2" s="403"/>
      <c r="CD2" s="403"/>
      <c r="CE2" s="403"/>
      <c r="CF2" s="89"/>
      <c r="CG2" s="89"/>
      <c r="CH2" s="403"/>
      <c r="CI2" s="403"/>
      <c r="CJ2" s="403"/>
      <c r="CK2" s="403"/>
      <c r="CL2" s="403"/>
      <c r="CM2" s="89"/>
      <c r="CN2" s="89"/>
      <c r="CO2" s="403"/>
      <c r="CP2" s="403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</row>
    <row r="3" spans="1:118" s="127" customFormat="1" ht="72.75" customHeight="1">
      <c r="A3" s="253" t="s">
        <v>2</v>
      </c>
      <c r="B3" s="253" t="s">
        <v>3</v>
      </c>
      <c r="C3" s="275" t="s">
        <v>4</v>
      </c>
      <c r="D3" s="290"/>
      <c r="E3" s="291" t="s">
        <v>5</v>
      </c>
      <c r="F3" s="276" t="s">
        <v>6</v>
      </c>
      <c r="G3" s="275" t="s">
        <v>7</v>
      </c>
      <c r="H3" s="293" t="s">
        <v>8</v>
      </c>
      <c r="I3" s="289">
        <v>44760</v>
      </c>
      <c r="J3" s="289">
        <f>I3+1</f>
        <v>44761</v>
      </c>
      <c r="K3" s="289">
        <f t="shared" ref="K3:BH3" si="0">J3+1</f>
        <v>44762</v>
      </c>
      <c r="L3" s="289">
        <f t="shared" si="0"/>
        <v>44763</v>
      </c>
      <c r="M3" s="289">
        <f t="shared" si="0"/>
        <v>44764</v>
      </c>
      <c r="N3" s="289">
        <f t="shared" si="0"/>
        <v>44765</v>
      </c>
      <c r="O3" s="289">
        <f t="shared" si="0"/>
        <v>44766</v>
      </c>
      <c r="P3" s="289">
        <f t="shared" si="0"/>
        <v>44767</v>
      </c>
      <c r="Q3" s="289">
        <f t="shared" si="0"/>
        <v>44768</v>
      </c>
      <c r="R3" s="289">
        <f t="shared" si="0"/>
        <v>44769</v>
      </c>
      <c r="S3" s="289">
        <f t="shared" si="0"/>
        <v>44770</v>
      </c>
      <c r="T3" s="289">
        <v>44771</v>
      </c>
      <c r="U3" s="289">
        <f t="shared" si="0"/>
        <v>44772</v>
      </c>
      <c r="V3" s="289">
        <f t="shared" si="0"/>
        <v>44773</v>
      </c>
      <c r="W3" s="289">
        <f t="shared" si="0"/>
        <v>44774</v>
      </c>
      <c r="X3" s="289">
        <f>W3+1</f>
        <v>44775</v>
      </c>
      <c r="Y3" s="289">
        <f t="shared" si="0"/>
        <v>44776</v>
      </c>
      <c r="Z3" s="289">
        <f t="shared" si="0"/>
        <v>44777</v>
      </c>
      <c r="AA3" s="289">
        <f t="shared" si="0"/>
        <v>44778</v>
      </c>
      <c r="AB3" s="289">
        <f t="shared" si="0"/>
        <v>44779</v>
      </c>
      <c r="AC3" s="289">
        <f t="shared" si="0"/>
        <v>44780</v>
      </c>
      <c r="AD3" s="289">
        <f t="shared" si="0"/>
        <v>44781</v>
      </c>
      <c r="AE3" s="289">
        <f t="shared" si="0"/>
        <v>44782</v>
      </c>
      <c r="AF3" s="288">
        <f t="shared" si="0"/>
        <v>44783</v>
      </c>
      <c r="AG3" s="288">
        <f t="shared" si="0"/>
        <v>44784</v>
      </c>
      <c r="AH3" s="288">
        <f t="shared" si="0"/>
        <v>44785</v>
      </c>
      <c r="AI3" s="288">
        <f t="shared" si="0"/>
        <v>44786</v>
      </c>
      <c r="AJ3" s="288">
        <f t="shared" si="0"/>
        <v>44787</v>
      </c>
      <c r="AK3" s="288">
        <f t="shared" si="0"/>
        <v>44788</v>
      </c>
      <c r="AL3" s="288">
        <f t="shared" si="0"/>
        <v>44789</v>
      </c>
      <c r="AM3" s="313">
        <f t="shared" si="0"/>
        <v>44790</v>
      </c>
      <c r="AN3" s="313">
        <f t="shared" si="0"/>
        <v>44791</v>
      </c>
      <c r="AO3" s="313">
        <f t="shared" si="0"/>
        <v>44792</v>
      </c>
      <c r="AP3" s="288">
        <f t="shared" si="0"/>
        <v>44793</v>
      </c>
      <c r="AQ3" s="288">
        <f t="shared" si="0"/>
        <v>44794</v>
      </c>
      <c r="AR3" s="313">
        <f t="shared" si="0"/>
        <v>44795</v>
      </c>
      <c r="AS3" s="341">
        <f t="shared" si="0"/>
        <v>44796</v>
      </c>
      <c r="AT3" s="288">
        <f t="shared" si="0"/>
        <v>44797</v>
      </c>
      <c r="AU3" s="288">
        <f t="shared" si="0"/>
        <v>44798</v>
      </c>
      <c r="AV3" s="288">
        <f t="shared" si="0"/>
        <v>44799</v>
      </c>
      <c r="AW3" s="288">
        <f t="shared" si="0"/>
        <v>44800</v>
      </c>
      <c r="AX3" s="288">
        <f t="shared" si="0"/>
        <v>44801</v>
      </c>
      <c r="AY3" s="288">
        <f t="shared" si="0"/>
        <v>44802</v>
      </c>
      <c r="AZ3" s="288">
        <f t="shared" si="0"/>
        <v>44803</v>
      </c>
      <c r="BA3" s="288">
        <f t="shared" si="0"/>
        <v>44804</v>
      </c>
      <c r="BB3" s="289">
        <f t="shared" si="0"/>
        <v>44805</v>
      </c>
      <c r="BC3" s="289">
        <f t="shared" si="0"/>
        <v>44806</v>
      </c>
      <c r="BD3" s="289">
        <f t="shared" si="0"/>
        <v>44807</v>
      </c>
      <c r="BE3" s="289">
        <f t="shared" si="0"/>
        <v>44808</v>
      </c>
      <c r="BF3" s="289">
        <f t="shared" si="0"/>
        <v>44809</v>
      </c>
      <c r="BG3" s="289">
        <f t="shared" si="0"/>
        <v>44810</v>
      </c>
      <c r="BH3" s="289">
        <f t="shared" si="0"/>
        <v>44811</v>
      </c>
      <c r="BI3" s="289">
        <f t="shared" ref="BI3:CW3" si="1">BH3+1</f>
        <v>44812</v>
      </c>
      <c r="BJ3" s="289">
        <f t="shared" si="1"/>
        <v>44813</v>
      </c>
      <c r="BK3" s="288">
        <f t="shared" si="1"/>
        <v>44814</v>
      </c>
      <c r="BL3" s="288">
        <f t="shared" si="1"/>
        <v>44815</v>
      </c>
      <c r="BM3" s="288">
        <f t="shared" si="1"/>
        <v>44816</v>
      </c>
      <c r="BN3" s="288">
        <f t="shared" si="1"/>
        <v>44817</v>
      </c>
      <c r="BO3" s="313">
        <f t="shared" si="1"/>
        <v>44818</v>
      </c>
      <c r="BP3" s="288">
        <f t="shared" si="1"/>
        <v>44819</v>
      </c>
      <c r="BQ3" s="288">
        <f t="shared" si="1"/>
        <v>44820</v>
      </c>
      <c r="BR3" s="288">
        <f t="shared" si="1"/>
        <v>44821</v>
      </c>
      <c r="BS3" s="288">
        <f t="shared" si="1"/>
        <v>44822</v>
      </c>
      <c r="BT3" s="288">
        <f t="shared" si="1"/>
        <v>44823</v>
      </c>
      <c r="BU3" s="288">
        <f t="shared" si="1"/>
        <v>44824</v>
      </c>
      <c r="BV3" s="288">
        <f t="shared" si="1"/>
        <v>44825</v>
      </c>
      <c r="BW3" s="288">
        <f t="shared" si="1"/>
        <v>44826</v>
      </c>
      <c r="BX3" s="288">
        <f t="shared" si="1"/>
        <v>44827</v>
      </c>
      <c r="BY3" s="288">
        <f t="shared" si="1"/>
        <v>44828</v>
      </c>
      <c r="BZ3" s="288">
        <f t="shared" si="1"/>
        <v>44829</v>
      </c>
      <c r="CA3" s="288">
        <f t="shared" si="1"/>
        <v>44830</v>
      </c>
      <c r="CB3" s="288">
        <f t="shared" si="1"/>
        <v>44831</v>
      </c>
      <c r="CC3" s="288">
        <f t="shared" si="1"/>
        <v>44832</v>
      </c>
      <c r="CD3" s="288">
        <f t="shared" si="1"/>
        <v>44833</v>
      </c>
      <c r="CE3" s="288">
        <f t="shared" si="1"/>
        <v>44834</v>
      </c>
      <c r="CF3" s="289">
        <f t="shared" si="1"/>
        <v>44835</v>
      </c>
      <c r="CG3" s="289">
        <f t="shared" si="1"/>
        <v>44836</v>
      </c>
      <c r="CH3" s="289">
        <f t="shared" si="1"/>
        <v>44837</v>
      </c>
      <c r="CI3" s="289">
        <f t="shared" si="1"/>
        <v>44838</v>
      </c>
      <c r="CJ3" s="289">
        <f t="shared" si="1"/>
        <v>44839</v>
      </c>
      <c r="CK3" s="289">
        <f t="shared" si="1"/>
        <v>44840</v>
      </c>
      <c r="CL3" s="289">
        <f t="shared" si="1"/>
        <v>44841</v>
      </c>
      <c r="CM3" s="289">
        <f t="shared" si="1"/>
        <v>44842</v>
      </c>
      <c r="CN3" s="289">
        <f t="shared" si="1"/>
        <v>44843</v>
      </c>
      <c r="CO3" s="289">
        <f t="shared" si="1"/>
        <v>44844</v>
      </c>
      <c r="CP3" s="289">
        <f t="shared" si="1"/>
        <v>44845</v>
      </c>
      <c r="CQ3" s="289">
        <f t="shared" si="1"/>
        <v>44846</v>
      </c>
      <c r="CR3" s="289">
        <f t="shared" si="1"/>
        <v>44847</v>
      </c>
      <c r="CS3" s="289">
        <f t="shared" si="1"/>
        <v>44848</v>
      </c>
      <c r="CT3" s="289">
        <f t="shared" si="1"/>
        <v>44849</v>
      </c>
      <c r="CU3" s="289">
        <f t="shared" si="1"/>
        <v>44850</v>
      </c>
      <c r="CV3" s="289">
        <f t="shared" si="1"/>
        <v>44851</v>
      </c>
      <c r="CW3" s="289">
        <f t="shared" si="1"/>
        <v>44852</v>
      </c>
      <c r="CX3" s="289">
        <f t="shared" ref="CX3" si="2">CW3+1</f>
        <v>44853</v>
      </c>
      <c r="CY3" s="288">
        <f t="shared" ref="CY3" si="3">CX3+1</f>
        <v>44854</v>
      </c>
      <c r="CZ3" s="288">
        <f t="shared" ref="CZ3" si="4">CY3+1</f>
        <v>44855</v>
      </c>
      <c r="DA3" s="288">
        <f t="shared" ref="DA3" si="5">CZ3+1</f>
        <v>44856</v>
      </c>
      <c r="DB3" s="288">
        <f t="shared" ref="DB3" si="6">DA3+1</f>
        <v>44857</v>
      </c>
      <c r="DC3" s="288">
        <f t="shared" ref="DC3" si="7">DB3+1</f>
        <v>44858</v>
      </c>
      <c r="DD3" s="288">
        <f t="shared" ref="DD3" si="8">DC3+1</f>
        <v>44859</v>
      </c>
      <c r="DE3" s="288">
        <f t="shared" ref="DE3" si="9">DD3+1</f>
        <v>44860</v>
      </c>
      <c r="DF3" s="288">
        <f t="shared" ref="DF3" si="10">DE3+1</f>
        <v>44861</v>
      </c>
      <c r="DG3" s="288">
        <f t="shared" ref="DG3" si="11">DF3+1</f>
        <v>44862</v>
      </c>
      <c r="DH3" s="288">
        <f t="shared" ref="DH3" si="12">DG3+1</f>
        <v>44863</v>
      </c>
      <c r="DI3" s="289">
        <f t="shared" ref="DI3" si="13">DH3+1</f>
        <v>44864</v>
      </c>
      <c r="DJ3" s="289">
        <f t="shared" ref="DJ3" si="14">DI3+1</f>
        <v>44865</v>
      </c>
      <c r="DK3" s="289">
        <f t="shared" ref="DK3" si="15">DJ3+1</f>
        <v>44866</v>
      </c>
    </row>
    <row r="4" spans="1:118" ht="13.35" hidden="1" customHeight="1">
      <c r="A4" s="90"/>
      <c r="B4" s="90"/>
      <c r="C4" s="266"/>
      <c r="D4" s="277"/>
      <c r="E4" s="278" t="s">
        <v>9</v>
      </c>
      <c r="F4" s="141" t="s">
        <v>10</v>
      </c>
      <c r="G4" s="169"/>
      <c r="H4" s="170" t="s">
        <v>11</v>
      </c>
      <c r="I4" s="225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2"/>
      <c r="AQ4" s="172"/>
      <c r="AR4" s="171"/>
      <c r="AS4" s="172"/>
      <c r="AT4" s="172"/>
      <c r="AU4" s="172"/>
      <c r="AV4" s="171"/>
      <c r="AW4" s="172"/>
      <c r="AX4" s="172"/>
      <c r="AY4" s="172"/>
      <c r="AZ4" s="172"/>
      <c r="BA4" s="172"/>
      <c r="BB4" s="171"/>
      <c r="BC4" s="171"/>
      <c r="BD4" s="172"/>
      <c r="BE4" s="172"/>
      <c r="BF4" s="171"/>
      <c r="BG4" s="171"/>
      <c r="BH4" s="171"/>
      <c r="BI4" s="172"/>
      <c r="BJ4" s="171"/>
      <c r="BK4" s="427"/>
      <c r="BL4" s="172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2"/>
      <c r="BZ4" s="172"/>
      <c r="CA4" s="171"/>
      <c r="CB4" s="171"/>
      <c r="CC4" s="172"/>
      <c r="CD4" s="171"/>
      <c r="CE4" s="171"/>
      <c r="CF4" s="172"/>
      <c r="CG4" s="172"/>
      <c r="CH4" s="171"/>
      <c r="CI4" s="171"/>
      <c r="CJ4" s="171"/>
      <c r="CK4" s="171"/>
      <c r="CL4" s="171"/>
      <c r="CM4" s="172"/>
      <c r="CN4" s="172"/>
      <c r="CO4" s="171"/>
      <c r="CP4" s="171"/>
      <c r="CQ4" s="172"/>
      <c r="CR4" s="172"/>
      <c r="CS4" s="172"/>
      <c r="CT4" s="172"/>
      <c r="CU4" s="172"/>
      <c r="CV4" s="172"/>
      <c r="CW4" s="172"/>
      <c r="CX4" s="172"/>
      <c r="CY4" s="172"/>
      <c r="CZ4" s="172"/>
      <c r="DA4" s="172"/>
      <c r="DB4" s="172"/>
      <c r="DC4" s="172"/>
      <c r="DD4" s="172"/>
      <c r="DE4" s="172"/>
      <c r="DF4" s="172"/>
      <c r="DG4" s="172"/>
      <c r="DH4" s="172"/>
      <c r="DI4" s="172"/>
      <c r="DJ4" s="172"/>
      <c r="DK4" s="172"/>
      <c r="DL4" s="8"/>
      <c r="DM4" s="8"/>
      <c r="DN4" s="8"/>
    </row>
    <row r="5" spans="1:118" ht="12.95" hidden="1" customHeight="1">
      <c r="A5" s="91" t="s">
        <v>12</v>
      </c>
      <c r="B5" s="91" t="s">
        <v>13</v>
      </c>
      <c r="C5" s="267" t="s">
        <v>14</v>
      </c>
      <c r="D5" s="279">
        <v>6.75</v>
      </c>
      <c r="E5" s="190" t="s">
        <v>9</v>
      </c>
      <c r="F5" s="191" t="s">
        <v>15</v>
      </c>
      <c r="G5" s="192"/>
      <c r="H5" s="193" t="s">
        <v>16</v>
      </c>
      <c r="I5" s="226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36"/>
      <c r="AQ5" s="36"/>
      <c r="AR5" s="72"/>
      <c r="AS5" s="36"/>
      <c r="AT5" s="36"/>
      <c r="AU5" s="36"/>
      <c r="AV5" s="72">
        <v>17.399999999999999</v>
      </c>
      <c r="AW5" s="36"/>
      <c r="AX5" s="36"/>
      <c r="AY5" s="36"/>
      <c r="AZ5" s="36"/>
      <c r="BA5" s="36"/>
      <c r="BB5" s="72"/>
      <c r="BC5" s="72"/>
      <c r="BD5" s="36"/>
      <c r="BE5" s="36"/>
      <c r="BF5" s="72">
        <v>20.6</v>
      </c>
      <c r="BG5" s="72"/>
      <c r="BH5" s="72"/>
      <c r="BI5" s="36"/>
      <c r="BJ5" s="72"/>
      <c r="BK5" s="402"/>
      <c r="BL5" s="36"/>
      <c r="BM5" s="72"/>
      <c r="BN5" s="72">
        <v>22.9</v>
      </c>
      <c r="BO5" s="72"/>
      <c r="BP5" s="72"/>
      <c r="BQ5" s="72"/>
      <c r="BR5" s="72"/>
      <c r="BS5" s="72"/>
      <c r="BT5" s="72"/>
      <c r="BU5" s="402">
        <v>22.6</v>
      </c>
      <c r="BV5" s="72"/>
      <c r="BW5" s="402"/>
      <c r="BX5" s="72"/>
      <c r="BY5" s="36"/>
      <c r="BZ5" s="36"/>
      <c r="CA5" s="72"/>
      <c r="CB5" s="72" t="s">
        <v>17</v>
      </c>
      <c r="CC5" s="36"/>
      <c r="CD5" s="72"/>
      <c r="CE5" s="72"/>
      <c r="CF5" s="36"/>
      <c r="CG5" s="36"/>
      <c r="CH5" s="402">
        <v>23.8</v>
      </c>
      <c r="CI5" s="72"/>
      <c r="CJ5" s="72"/>
      <c r="CK5" s="72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8"/>
      <c r="DM5" s="8"/>
      <c r="DN5" s="8"/>
    </row>
    <row r="6" spans="1:118" ht="13.35" hidden="1" customHeight="1">
      <c r="A6" s="90" t="s">
        <v>12</v>
      </c>
      <c r="B6" s="90"/>
      <c r="C6" s="266"/>
      <c r="D6" s="277"/>
      <c r="E6" s="278" t="s">
        <v>18</v>
      </c>
      <c r="F6" s="141" t="s">
        <v>19</v>
      </c>
      <c r="G6" s="169"/>
      <c r="H6" s="170" t="s">
        <v>11</v>
      </c>
      <c r="I6" s="225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2"/>
      <c r="AQ6" s="172"/>
      <c r="AR6" s="171"/>
      <c r="AS6" s="172"/>
      <c r="AT6" s="172"/>
      <c r="AU6" s="172"/>
      <c r="AV6" s="172"/>
      <c r="AW6" s="172"/>
      <c r="AX6" s="172"/>
      <c r="AY6" s="172"/>
      <c r="AZ6" s="172"/>
      <c r="BA6" s="172"/>
      <c r="BB6" s="171"/>
      <c r="BC6" s="171"/>
      <c r="BD6" s="172"/>
      <c r="BE6" s="172"/>
      <c r="BF6" s="171"/>
      <c r="BG6" s="171"/>
      <c r="BH6" s="171"/>
      <c r="BI6" s="172"/>
      <c r="BJ6" s="171"/>
      <c r="BK6" s="427"/>
      <c r="BL6" s="172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2"/>
      <c r="BZ6" s="172"/>
      <c r="CA6" s="171"/>
      <c r="CB6" s="171"/>
      <c r="CC6" s="172"/>
      <c r="CD6" s="171"/>
      <c r="CE6" s="171"/>
      <c r="CF6" s="172"/>
      <c r="CG6" s="172"/>
      <c r="CH6" s="171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  <c r="CY6" s="172"/>
      <c r="CZ6" s="172"/>
      <c r="DA6" s="172"/>
      <c r="DB6" s="172"/>
      <c r="DC6" s="172"/>
      <c r="DD6" s="172"/>
      <c r="DE6" s="172"/>
      <c r="DF6" s="172"/>
      <c r="DG6" s="172"/>
      <c r="DH6" s="172"/>
      <c r="DI6" s="172"/>
      <c r="DJ6" s="172"/>
      <c r="DK6" s="172"/>
      <c r="DL6" s="8"/>
      <c r="DM6" s="8"/>
      <c r="DN6" s="8"/>
    </row>
    <row r="7" spans="1:118" ht="13.35" hidden="1" customHeight="1">
      <c r="A7" s="91" t="s">
        <v>12</v>
      </c>
      <c r="B7" s="91"/>
      <c r="C7" s="267" t="s">
        <v>20</v>
      </c>
      <c r="D7" s="279">
        <v>19.96</v>
      </c>
      <c r="E7" s="188" t="s">
        <v>18</v>
      </c>
      <c r="F7" s="132" t="s">
        <v>21</v>
      </c>
      <c r="G7" s="50">
        <v>19.5</v>
      </c>
      <c r="H7" s="55" t="s">
        <v>22</v>
      </c>
      <c r="I7" s="226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>
        <v>20.6</v>
      </c>
      <c r="AM7" s="72"/>
      <c r="AN7" s="72"/>
      <c r="AO7" s="72"/>
      <c r="AP7" s="36"/>
      <c r="AQ7" s="36"/>
      <c r="AR7" s="72"/>
      <c r="AS7" s="36"/>
      <c r="AT7" s="36"/>
      <c r="AU7" s="36"/>
      <c r="AV7" s="36"/>
      <c r="AW7" s="36"/>
      <c r="AX7" s="36"/>
      <c r="AY7" s="36"/>
      <c r="AZ7" s="36"/>
      <c r="BA7" s="36"/>
      <c r="BB7" s="72"/>
      <c r="BC7" s="72"/>
      <c r="BD7" s="36"/>
      <c r="BE7" s="36"/>
      <c r="BF7" s="72"/>
      <c r="BG7" s="36"/>
      <c r="BH7" s="72"/>
      <c r="BI7" s="36"/>
      <c r="BJ7" s="72"/>
      <c r="BK7" s="402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72"/>
      <c r="BX7" s="36"/>
      <c r="BY7" s="36"/>
      <c r="BZ7" s="36"/>
      <c r="CA7" s="72"/>
      <c r="CB7" s="36"/>
      <c r="CC7" s="36"/>
      <c r="CD7" s="36"/>
      <c r="CE7" s="72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8"/>
      <c r="DM7" s="8"/>
      <c r="DN7" s="8"/>
    </row>
    <row r="8" spans="1:118" ht="12.75" hidden="1" customHeight="1">
      <c r="A8" s="92" t="s">
        <v>12</v>
      </c>
      <c r="B8" s="96" t="s">
        <v>13</v>
      </c>
      <c r="C8" s="268" t="s">
        <v>20</v>
      </c>
      <c r="D8" s="280">
        <v>30.18</v>
      </c>
      <c r="E8" s="175" t="s">
        <v>18</v>
      </c>
      <c r="F8" s="176" t="s">
        <v>23</v>
      </c>
      <c r="G8" s="177"/>
      <c r="H8" s="178" t="s">
        <v>16</v>
      </c>
      <c r="I8" s="227"/>
      <c r="J8" s="63"/>
      <c r="K8" s="63"/>
      <c r="L8" s="63"/>
      <c r="M8" s="63"/>
      <c r="N8" s="63"/>
      <c r="O8" s="63"/>
      <c r="P8" s="63"/>
      <c r="Q8" s="63"/>
      <c r="R8" s="63"/>
      <c r="S8" s="63"/>
      <c r="T8" s="63" t="s">
        <v>24</v>
      </c>
      <c r="U8" s="63"/>
      <c r="V8" s="63"/>
      <c r="W8" s="63">
        <v>17.8</v>
      </c>
      <c r="X8" s="63">
        <v>17.8</v>
      </c>
      <c r="Y8" s="63"/>
      <c r="Z8" s="63"/>
      <c r="AA8" s="217">
        <v>19.2</v>
      </c>
      <c r="AB8" s="63"/>
      <c r="AC8" s="63"/>
      <c r="AD8" s="63"/>
      <c r="AE8" s="217">
        <v>20.100000000000001</v>
      </c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17"/>
      <c r="AQ8" s="17"/>
      <c r="AR8" s="63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63"/>
      <c r="BD8" s="17"/>
      <c r="BE8" s="17"/>
      <c r="BF8" s="63"/>
      <c r="BG8" s="17"/>
      <c r="BH8" s="63"/>
      <c r="BI8" s="17"/>
      <c r="BJ8" s="63"/>
      <c r="BK8" s="2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63"/>
      <c r="BX8" s="17"/>
      <c r="BY8" s="17"/>
      <c r="BZ8" s="17"/>
      <c r="CA8" s="63"/>
      <c r="CB8" s="17"/>
      <c r="CC8" s="17"/>
      <c r="CD8" s="17"/>
      <c r="CE8" s="63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8"/>
      <c r="DM8" s="8"/>
      <c r="DN8" s="8"/>
    </row>
    <row r="9" spans="1:118" ht="13.35" hidden="1" customHeight="1">
      <c r="A9" s="90" t="s">
        <v>12</v>
      </c>
      <c r="B9" s="90"/>
      <c r="C9" s="266"/>
      <c r="D9" s="277"/>
      <c r="E9" s="278" t="s">
        <v>25</v>
      </c>
      <c r="F9" s="141" t="s">
        <v>26</v>
      </c>
      <c r="G9" s="169"/>
      <c r="H9" s="170" t="s">
        <v>11</v>
      </c>
      <c r="I9" s="225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2"/>
      <c r="AQ9" s="172"/>
      <c r="AR9" s="171"/>
      <c r="AS9" s="171"/>
      <c r="AT9" s="172"/>
      <c r="AU9" s="172"/>
      <c r="AV9" s="172"/>
      <c r="AW9" s="172"/>
      <c r="AX9" s="172"/>
      <c r="AY9" s="172"/>
      <c r="AZ9" s="172"/>
      <c r="BA9" s="172"/>
      <c r="BB9" s="171"/>
      <c r="BC9" s="171"/>
      <c r="BD9" s="172"/>
      <c r="BE9" s="172"/>
      <c r="BF9" s="171"/>
      <c r="BG9" s="171"/>
      <c r="BH9" s="171"/>
      <c r="BI9" s="172"/>
      <c r="BJ9" s="171"/>
      <c r="BK9" s="427"/>
      <c r="BL9" s="172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2"/>
      <c r="BZ9" s="172"/>
      <c r="CA9" s="171"/>
      <c r="CB9" s="171"/>
      <c r="CC9" s="172"/>
      <c r="CD9" s="171"/>
      <c r="CE9" s="171"/>
      <c r="CF9" s="172"/>
      <c r="CG9" s="172"/>
      <c r="CH9" s="171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  <c r="DA9" s="172"/>
      <c r="DB9" s="172"/>
      <c r="DC9" s="172"/>
      <c r="DD9" s="172"/>
      <c r="DE9" s="172"/>
      <c r="DF9" s="172"/>
      <c r="DG9" s="172"/>
      <c r="DH9" s="172"/>
      <c r="DI9" s="172"/>
      <c r="DJ9" s="172"/>
      <c r="DK9" s="172"/>
      <c r="DL9" s="8"/>
      <c r="DM9" s="8"/>
      <c r="DN9" s="8"/>
    </row>
    <row r="10" spans="1:118" ht="13.35" hidden="1" customHeight="1">
      <c r="A10" s="91" t="s">
        <v>12</v>
      </c>
      <c r="B10" s="91"/>
      <c r="C10" s="267" t="s">
        <v>14</v>
      </c>
      <c r="D10" s="279">
        <v>0.33</v>
      </c>
      <c r="E10" s="190" t="s">
        <v>25</v>
      </c>
      <c r="F10" s="191" t="s">
        <v>27</v>
      </c>
      <c r="G10" s="192"/>
      <c r="H10" s="193"/>
      <c r="I10" s="226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36"/>
      <c r="AQ10" s="36"/>
      <c r="AR10" s="72"/>
      <c r="AS10" s="72" t="s">
        <v>28</v>
      </c>
      <c r="AT10" s="36"/>
      <c r="AU10" s="36"/>
      <c r="AV10" s="36"/>
      <c r="AW10" s="36"/>
      <c r="AX10" s="36"/>
      <c r="AY10" s="36"/>
      <c r="AZ10" s="36"/>
      <c r="BA10" s="36"/>
      <c r="BB10" s="72"/>
      <c r="BC10" s="72">
        <v>24.3</v>
      </c>
      <c r="BD10" s="401">
        <v>26.1</v>
      </c>
      <c r="BE10" s="37"/>
      <c r="BF10" s="402"/>
      <c r="BG10" s="72"/>
      <c r="BH10" s="72"/>
      <c r="BI10" s="36"/>
      <c r="BJ10" s="72"/>
      <c r="BK10" s="402"/>
      <c r="BL10" s="36"/>
      <c r="BM10" s="72"/>
      <c r="BN10" s="36"/>
      <c r="BO10" s="36"/>
      <c r="BP10" s="36"/>
      <c r="BQ10" s="36"/>
      <c r="BR10" s="36"/>
      <c r="BS10" s="36"/>
      <c r="BT10" s="36"/>
      <c r="BU10" s="36"/>
      <c r="BV10" s="36"/>
      <c r="BW10" s="72"/>
      <c r="BX10" s="36"/>
      <c r="BY10" s="36"/>
      <c r="BZ10" s="36"/>
      <c r="CA10" s="72"/>
      <c r="CB10" s="36"/>
      <c r="CC10" s="36"/>
      <c r="CD10" s="36"/>
      <c r="CE10" s="72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8"/>
      <c r="DM10" s="8"/>
      <c r="DN10" s="8"/>
    </row>
    <row r="11" spans="1:118" ht="13.35" hidden="1" customHeight="1">
      <c r="A11" s="90"/>
      <c r="B11" s="90"/>
      <c r="C11" s="266"/>
      <c r="D11" s="277"/>
      <c r="E11" s="278" t="s">
        <v>29</v>
      </c>
      <c r="F11" s="141" t="s">
        <v>30</v>
      </c>
      <c r="G11" s="169"/>
      <c r="H11" s="170" t="s">
        <v>11</v>
      </c>
      <c r="I11" s="225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2"/>
      <c r="AQ11" s="172"/>
      <c r="AR11" s="171"/>
      <c r="AS11" s="172"/>
      <c r="AT11" s="172"/>
      <c r="AU11" s="171"/>
      <c r="AV11" s="171"/>
      <c r="AW11" s="172"/>
      <c r="AX11" s="172"/>
      <c r="AY11" s="172"/>
      <c r="AZ11" s="172"/>
      <c r="BA11" s="172"/>
      <c r="BB11" s="171"/>
      <c r="BC11" s="171"/>
      <c r="BD11" s="172"/>
      <c r="BE11" s="172"/>
      <c r="BF11" s="171"/>
      <c r="BG11" s="171"/>
      <c r="BH11" s="171"/>
      <c r="BI11" s="172"/>
      <c r="BJ11" s="171"/>
      <c r="BK11" s="427"/>
      <c r="BL11" s="172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2"/>
      <c r="BZ11" s="172"/>
      <c r="CA11" s="171"/>
      <c r="CB11" s="171"/>
      <c r="CC11" s="172"/>
      <c r="CD11" s="171"/>
      <c r="CE11" s="171"/>
      <c r="CF11" s="172"/>
      <c r="CG11" s="172"/>
      <c r="CH11" s="171"/>
      <c r="CI11" s="171"/>
      <c r="CJ11" s="171"/>
      <c r="CK11" s="171"/>
      <c r="CL11" s="171"/>
      <c r="CM11" s="172"/>
      <c r="CN11" s="172"/>
      <c r="CO11" s="171"/>
      <c r="CP11" s="171"/>
      <c r="CQ11" s="172"/>
      <c r="CR11" s="172"/>
      <c r="CS11" s="172"/>
      <c r="CT11" s="172"/>
      <c r="CU11" s="172"/>
      <c r="CV11" s="172"/>
      <c r="CW11" s="172"/>
      <c r="CX11" s="172"/>
      <c r="CY11" s="172"/>
      <c r="CZ11" s="172"/>
      <c r="DA11" s="172"/>
      <c r="DB11" s="172"/>
      <c r="DC11" s="172"/>
      <c r="DD11" s="172"/>
      <c r="DE11" s="172"/>
      <c r="DF11" s="172"/>
      <c r="DG11" s="172"/>
      <c r="DH11" s="172"/>
      <c r="DI11" s="172"/>
      <c r="DJ11" s="172"/>
      <c r="DK11" s="172"/>
      <c r="DL11" s="8"/>
      <c r="DM11" s="8"/>
      <c r="DN11" s="8"/>
    </row>
    <row r="12" spans="1:118" ht="13.35" hidden="1" customHeight="1">
      <c r="A12" s="91" t="s">
        <v>12</v>
      </c>
      <c r="B12" s="91"/>
      <c r="C12" s="267" t="s">
        <v>31</v>
      </c>
      <c r="D12" s="279">
        <v>34.409999999999997</v>
      </c>
      <c r="E12" s="188" t="s">
        <v>29</v>
      </c>
      <c r="F12" s="166" t="s">
        <v>32</v>
      </c>
      <c r="G12" s="50"/>
      <c r="H12" s="55"/>
      <c r="I12" s="228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>
        <v>21.5</v>
      </c>
      <c r="AO12" s="64"/>
      <c r="AP12" s="18"/>
      <c r="AQ12" s="18"/>
      <c r="AR12" s="64"/>
      <c r="AS12" s="18"/>
      <c r="AT12" s="18"/>
      <c r="AU12" s="64"/>
      <c r="AV12" s="64">
        <v>23.8</v>
      </c>
      <c r="AW12" s="18"/>
      <c r="AX12" s="18"/>
      <c r="AY12" s="18"/>
      <c r="AZ12" s="64">
        <v>24.8</v>
      </c>
      <c r="BA12" s="18"/>
      <c r="BB12" s="65">
        <v>25.5</v>
      </c>
      <c r="BC12" s="64"/>
      <c r="BD12" s="18"/>
      <c r="BE12" s="18"/>
      <c r="BF12" s="64"/>
      <c r="BG12" s="18"/>
      <c r="BH12" s="64"/>
      <c r="BI12" s="18"/>
      <c r="BJ12" s="64"/>
      <c r="BK12" s="65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64"/>
      <c r="BX12" s="18"/>
      <c r="BY12" s="18"/>
      <c r="BZ12" s="18"/>
      <c r="CA12" s="64"/>
      <c r="CB12" s="18"/>
      <c r="CC12" s="18"/>
      <c r="CD12" s="18"/>
      <c r="CE12" s="64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8"/>
      <c r="DM12" s="8"/>
      <c r="DN12" s="8"/>
    </row>
    <row r="13" spans="1:118" ht="13.35" hidden="1" customHeight="1">
      <c r="A13" s="92"/>
      <c r="B13" s="92"/>
      <c r="C13" s="268" t="s">
        <v>31</v>
      </c>
      <c r="D13" s="280">
        <v>28.07</v>
      </c>
      <c r="E13" s="156" t="s">
        <v>29</v>
      </c>
      <c r="F13" s="159" t="s">
        <v>33</v>
      </c>
      <c r="G13" s="7"/>
      <c r="H13" s="4"/>
      <c r="I13" s="229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>
        <v>14.4</v>
      </c>
      <c r="X13" s="60"/>
      <c r="Y13" s="60"/>
      <c r="Z13" s="60"/>
      <c r="AA13" s="60"/>
      <c r="AB13" s="60"/>
      <c r="AC13" s="60"/>
      <c r="AD13" s="60"/>
      <c r="AE13" s="60"/>
      <c r="AF13" s="60">
        <v>16.3</v>
      </c>
      <c r="AG13" s="60"/>
      <c r="AH13" s="60"/>
      <c r="AI13" s="60"/>
      <c r="AJ13" s="60"/>
      <c r="AK13" s="60"/>
      <c r="AL13" s="60"/>
      <c r="AM13" s="60"/>
      <c r="AN13" s="60" t="s">
        <v>34</v>
      </c>
      <c r="AO13" s="60"/>
      <c r="AP13" s="2"/>
      <c r="AQ13" s="2"/>
      <c r="AR13" s="60"/>
      <c r="AS13" s="2"/>
      <c r="AT13" s="2"/>
      <c r="AU13" s="60">
        <v>21.2</v>
      </c>
      <c r="AV13" s="60"/>
      <c r="AW13" s="2"/>
      <c r="AX13" s="2"/>
      <c r="AY13" s="2"/>
      <c r="AZ13" s="2"/>
      <c r="BA13" s="2"/>
      <c r="BB13" s="60"/>
      <c r="BC13" s="60"/>
      <c r="BD13" s="2"/>
      <c r="BE13" s="2"/>
      <c r="BF13" s="60"/>
      <c r="BG13" s="60"/>
      <c r="BH13" s="60">
        <v>24.6</v>
      </c>
      <c r="BI13" s="2"/>
      <c r="BJ13" s="60"/>
      <c r="BK13" s="66"/>
      <c r="BL13" s="2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2"/>
      <c r="BZ13" s="2"/>
      <c r="CA13" s="60"/>
      <c r="CB13" s="60"/>
      <c r="CC13" s="2"/>
      <c r="CD13" s="60"/>
      <c r="CE13" s="60"/>
      <c r="CF13" s="2"/>
      <c r="CG13" s="2"/>
      <c r="CH13" s="60">
        <v>25.6</v>
      </c>
      <c r="CI13" s="60"/>
      <c r="CJ13" s="60"/>
      <c r="CK13" s="60"/>
      <c r="CL13" s="60"/>
      <c r="CM13" s="2"/>
      <c r="CN13" s="2"/>
      <c r="CO13" s="60"/>
      <c r="CP13" s="60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"/>
      <c r="DM13" s="8"/>
      <c r="DN13" s="8"/>
    </row>
    <row r="14" spans="1:118" ht="13.35" hidden="1" customHeight="1">
      <c r="A14" s="92"/>
      <c r="B14" s="92"/>
      <c r="C14" s="268" t="s">
        <v>31</v>
      </c>
      <c r="D14" s="280"/>
      <c r="E14" s="156" t="s">
        <v>29</v>
      </c>
      <c r="F14" s="159" t="s">
        <v>35</v>
      </c>
      <c r="G14" s="7"/>
      <c r="H14" s="4"/>
      <c r="I14" s="229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2"/>
      <c r="AQ14" s="2"/>
      <c r="AR14" s="60"/>
      <c r="AS14" s="2"/>
      <c r="AT14" s="2"/>
      <c r="AU14" s="60"/>
      <c r="AV14" s="60"/>
      <c r="AW14" s="2"/>
      <c r="AX14" s="2"/>
      <c r="AY14" s="2"/>
      <c r="AZ14" s="2"/>
      <c r="BA14" s="2"/>
      <c r="BB14" s="60"/>
      <c r="BC14" s="60"/>
      <c r="BD14" s="2"/>
      <c r="BE14" s="2"/>
      <c r="BF14" s="60"/>
      <c r="BG14" s="60"/>
      <c r="BH14" s="60"/>
      <c r="BI14" s="2"/>
      <c r="BJ14" s="60"/>
      <c r="BK14" s="66"/>
      <c r="BL14" s="2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2"/>
      <c r="BZ14" s="2"/>
      <c r="CA14" s="60"/>
      <c r="CB14" s="60"/>
      <c r="CC14" s="2"/>
      <c r="CD14" s="60"/>
      <c r="CE14" s="60"/>
      <c r="CF14" s="2"/>
      <c r="CG14" s="2"/>
      <c r="CH14" s="60"/>
      <c r="CI14" s="60"/>
      <c r="CJ14" s="60"/>
      <c r="CK14" s="60"/>
      <c r="CL14" s="60"/>
      <c r="CM14" s="2"/>
      <c r="CN14" s="2"/>
      <c r="CO14" s="60"/>
      <c r="CP14" s="60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8"/>
      <c r="DM14" s="8"/>
      <c r="DN14" s="8"/>
    </row>
    <row r="15" spans="1:118" ht="13.35" hidden="1" customHeight="1">
      <c r="A15" s="92"/>
      <c r="B15" s="92"/>
      <c r="C15" s="268" t="s">
        <v>31</v>
      </c>
      <c r="D15" s="280"/>
      <c r="E15" s="156" t="s">
        <v>29</v>
      </c>
      <c r="F15" s="159" t="s">
        <v>36</v>
      </c>
      <c r="G15" s="7"/>
      <c r="H15" s="4"/>
      <c r="I15" s="229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2"/>
      <c r="AQ15" s="2"/>
      <c r="AR15" s="60"/>
      <c r="AS15" s="2"/>
      <c r="AT15" s="2"/>
      <c r="AU15" s="60"/>
      <c r="AV15" s="60"/>
      <c r="AW15" s="2"/>
      <c r="AX15" s="2"/>
      <c r="AY15" s="2"/>
      <c r="AZ15" s="2"/>
      <c r="BA15" s="2"/>
      <c r="BB15" s="60"/>
      <c r="BC15" s="60"/>
      <c r="BD15" s="2"/>
      <c r="BE15" s="2"/>
      <c r="BF15" s="60"/>
      <c r="BG15" s="60"/>
      <c r="BH15" s="60"/>
      <c r="BI15" s="2"/>
      <c r="BJ15" s="60"/>
      <c r="BK15" s="66"/>
      <c r="BL15" s="2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2"/>
      <c r="BZ15" s="2"/>
      <c r="CA15" s="60"/>
      <c r="CB15" s="60"/>
      <c r="CC15" s="2"/>
      <c r="CD15" s="60"/>
      <c r="CE15" s="60"/>
      <c r="CF15" s="2"/>
      <c r="CG15" s="2"/>
      <c r="CH15" s="60"/>
      <c r="CI15" s="60"/>
      <c r="CJ15" s="60"/>
      <c r="CK15" s="60"/>
      <c r="CL15" s="60"/>
      <c r="CM15" s="2"/>
      <c r="CN15" s="2"/>
      <c r="CO15" s="60"/>
      <c r="CP15" s="60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8"/>
      <c r="DM15" s="8"/>
      <c r="DN15" s="8"/>
    </row>
    <row r="16" spans="1:118" ht="13.35" hidden="1" customHeight="1">
      <c r="A16" s="92"/>
      <c r="B16" s="92"/>
      <c r="C16" s="268" t="s">
        <v>31</v>
      </c>
      <c r="D16" s="280"/>
      <c r="E16" s="175" t="s">
        <v>29</v>
      </c>
      <c r="F16" s="176" t="s">
        <v>37</v>
      </c>
      <c r="G16" s="177"/>
      <c r="H16" s="178"/>
      <c r="I16" s="227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17"/>
      <c r="AQ16" s="17"/>
      <c r="AR16" s="63"/>
      <c r="AS16" s="17"/>
      <c r="AT16" s="17"/>
      <c r="AU16" s="63"/>
      <c r="AV16" s="63"/>
      <c r="AW16" s="17"/>
      <c r="AX16" s="17"/>
      <c r="AY16" s="17"/>
      <c r="AZ16" s="17"/>
      <c r="BA16" s="17"/>
      <c r="BB16" s="63"/>
      <c r="BC16" s="63"/>
      <c r="BD16" s="17"/>
      <c r="BE16" s="17"/>
      <c r="BF16" s="63"/>
      <c r="BG16" s="63"/>
      <c r="BH16" s="63"/>
      <c r="BI16" s="17"/>
      <c r="BJ16" s="63"/>
      <c r="BK16" s="217"/>
      <c r="BL16" s="17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17"/>
      <c r="BZ16" s="17"/>
      <c r="CA16" s="63"/>
      <c r="CB16" s="63"/>
      <c r="CC16" s="17"/>
      <c r="CD16" s="63"/>
      <c r="CE16" s="63"/>
      <c r="CF16" s="17"/>
      <c r="CG16" s="17"/>
      <c r="CH16" s="63"/>
      <c r="CI16" s="63"/>
      <c r="CJ16" s="63"/>
      <c r="CK16" s="63"/>
      <c r="CL16" s="63"/>
      <c r="CM16" s="17"/>
      <c r="CN16" s="17"/>
      <c r="CO16" s="63"/>
      <c r="CP16" s="63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8"/>
      <c r="DM16" s="8"/>
      <c r="DN16" s="8"/>
    </row>
    <row r="17" spans="1:118" ht="13.35" hidden="1" customHeight="1">
      <c r="A17" s="90" t="s">
        <v>12</v>
      </c>
      <c r="B17" s="90"/>
      <c r="C17" s="266"/>
      <c r="D17" s="277"/>
      <c r="E17" s="278" t="s">
        <v>38</v>
      </c>
      <c r="F17" s="141" t="s">
        <v>39</v>
      </c>
      <c r="G17" s="169"/>
      <c r="H17" s="170" t="s">
        <v>11</v>
      </c>
      <c r="I17" s="225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331"/>
      <c r="AQ17" s="172"/>
      <c r="AR17" s="171"/>
      <c r="AS17" s="331"/>
      <c r="AT17" s="172"/>
      <c r="AU17" s="171"/>
      <c r="AV17" s="172"/>
      <c r="AW17" s="172"/>
      <c r="AX17" s="172"/>
      <c r="AY17" s="172"/>
      <c r="AZ17" s="171"/>
      <c r="BA17" s="171"/>
      <c r="BB17" s="171"/>
      <c r="BC17" s="171"/>
      <c r="BD17" s="172"/>
      <c r="BE17" s="172"/>
      <c r="BF17" s="171"/>
      <c r="BG17" s="171"/>
      <c r="BH17" s="171"/>
      <c r="BI17" s="172"/>
      <c r="BJ17" s="171"/>
      <c r="BK17" s="427"/>
      <c r="BL17" s="172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2"/>
      <c r="BZ17" s="172"/>
      <c r="CA17" s="171"/>
      <c r="CB17" s="171"/>
      <c r="CC17" s="172"/>
      <c r="CD17" s="171"/>
      <c r="CE17" s="171"/>
      <c r="CF17" s="172"/>
      <c r="CG17" s="172"/>
      <c r="CH17" s="171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CZ17" s="172"/>
      <c r="DA17" s="172"/>
      <c r="DB17" s="172"/>
      <c r="DC17" s="172"/>
      <c r="DD17" s="172"/>
      <c r="DE17" s="172"/>
      <c r="DF17" s="172"/>
      <c r="DG17" s="172"/>
      <c r="DH17" s="172"/>
      <c r="DI17" s="172"/>
      <c r="DJ17" s="172"/>
      <c r="DK17" s="172"/>
      <c r="DL17" s="8"/>
      <c r="DM17" s="8"/>
      <c r="DN17" s="8"/>
    </row>
    <row r="18" spans="1:118" ht="13.35" hidden="1" customHeight="1">
      <c r="A18" s="92" t="s">
        <v>13</v>
      </c>
      <c r="B18" s="92"/>
      <c r="C18" s="268" t="s">
        <v>20</v>
      </c>
      <c r="D18" s="280">
        <v>41.01</v>
      </c>
      <c r="E18" s="189" t="s">
        <v>38</v>
      </c>
      <c r="F18" s="168" t="s">
        <v>40</v>
      </c>
      <c r="G18" s="29">
        <v>20</v>
      </c>
      <c r="H18" s="135" t="s">
        <v>22</v>
      </c>
      <c r="I18" s="230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334"/>
      <c r="AQ18" s="16"/>
      <c r="AR18" s="62"/>
      <c r="AS18" s="334"/>
      <c r="AT18" s="16"/>
      <c r="AU18" s="62">
        <v>19</v>
      </c>
      <c r="AV18" s="16"/>
      <c r="AW18" s="16"/>
      <c r="AX18" s="16"/>
      <c r="AY18" s="16"/>
      <c r="AZ18" s="62"/>
      <c r="BA18" s="62"/>
      <c r="BB18" s="62"/>
      <c r="BC18" s="62"/>
      <c r="BD18" s="16"/>
      <c r="BE18" s="16"/>
      <c r="BF18" s="62"/>
      <c r="BG18" s="62"/>
      <c r="BH18" s="62"/>
      <c r="BI18" s="16"/>
      <c r="BJ18" s="62"/>
      <c r="BK18" s="316"/>
      <c r="BL18" s="16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16"/>
      <c r="BY18" s="16"/>
      <c r="BZ18" s="16"/>
      <c r="CA18" s="62"/>
      <c r="CB18" s="16"/>
      <c r="CC18" s="16"/>
      <c r="CD18" s="16"/>
      <c r="CE18" s="62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8"/>
      <c r="DM18" s="8"/>
      <c r="DN18" s="8"/>
    </row>
    <row r="19" spans="1:118" ht="13.35" hidden="1" customHeight="1">
      <c r="A19" s="91" t="s">
        <v>13</v>
      </c>
      <c r="B19" s="91"/>
      <c r="C19" s="267" t="s">
        <v>20</v>
      </c>
      <c r="D19" s="279">
        <v>16.46</v>
      </c>
      <c r="E19" s="155" t="s">
        <v>38</v>
      </c>
      <c r="F19" s="160" t="s">
        <v>41</v>
      </c>
      <c r="G19" s="6">
        <v>20</v>
      </c>
      <c r="H19" s="5" t="s">
        <v>22</v>
      </c>
      <c r="I19" s="23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332"/>
      <c r="AQ19" s="1"/>
      <c r="AR19" s="61"/>
      <c r="AS19" s="332"/>
      <c r="AT19" s="1"/>
      <c r="AU19" s="61">
        <v>18.600000000000001</v>
      </c>
      <c r="AV19" s="1"/>
      <c r="AW19" s="1"/>
      <c r="AX19" s="1"/>
      <c r="AY19" s="1"/>
      <c r="AZ19" s="61"/>
      <c r="BA19" s="61"/>
      <c r="BB19" s="61"/>
      <c r="BC19" s="61"/>
      <c r="BD19" s="1"/>
      <c r="BE19" s="1"/>
      <c r="BF19" s="61"/>
      <c r="BG19" s="61"/>
      <c r="BH19" s="61"/>
      <c r="BI19" s="1"/>
      <c r="BJ19" s="61"/>
      <c r="BK19" s="67"/>
      <c r="BL19" s="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1"/>
      <c r="BY19" s="1"/>
      <c r="BZ19" s="1"/>
      <c r="CA19" s="61"/>
      <c r="CB19" s="1"/>
      <c r="CC19" s="1"/>
      <c r="CD19" s="1"/>
      <c r="CE19" s="6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8"/>
      <c r="DM19" s="8"/>
      <c r="DN19" s="8"/>
    </row>
    <row r="20" spans="1:118" ht="12.95" hidden="1" customHeight="1">
      <c r="A20" s="92" t="s">
        <v>12</v>
      </c>
      <c r="B20" s="92"/>
      <c r="C20" s="268" t="s">
        <v>20</v>
      </c>
      <c r="D20" s="280">
        <v>19.38</v>
      </c>
      <c r="E20" s="156" t="s">
        <v>38</v>
      </c>
      <c r="F20" s="159" t="s">
        <v>42</v>
      </c>
      <c r="G20" s="7"/>
      <c r="H20" s="4" t="s">
        <v>16</v>
      </c>
      <c r="I20" s="229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>
        <v>17</v>
      </c>
      <c r="Z20" s="60"/>
      <c r="AA20" s="60"/>
      <c r="AB20" s="60">
        <v>18</v>
      </c>
      <c r="AC20" s="60"/>
      <c r="AD20" s="60"/>
      <c r="AE20" s="60"/>
      <c r="AF20" s="60"/>
      <c r="AG20" s="60">
        <v>18.600000000000001</v>
      </c>
      <c r="AH20" s="60"/>
      <c r="AI20" s="60"/>
      <c r="AJ20" s="60"/>
      <c r="AK20" s="60">
        <v>20.6</v>
      </c>
      <c r="AL20" s="66">
        <v>20</v>
      </c>
      <c r="AM20" s="60"/>
      <c r="AN20" s="60"/>
      <c r="AO20" s="60"/>
      <c r="AP20" s="333"/>
      <c r="AQ20" s="2"/>
      <c r="AR20" s="60"/>
      <c r="AS20" s="333"/>
      <c r="AT20" s="2"/>
      <c r="AU20" s="60"/>
      <c r="AV20" s="2"/>
      <c r="AW20" s="2"/>
      <c r="AX20" s="2"/>
      <c r="AY20" s="2"/>
      <c r="AZ20" s="60"/>
      <c r="BA20" s="2"/>
      <c r="BB20" s="2"/>
      <c r="BC20" s="60"/>
      <c r="BD20" s="2"/>
      <c r="BE20" s="2"/>
      <c r="BF20" s="60"/>
      <c r="BG20" s="2"/>
      <c r="BH20" s="60"/>
      <c r="BI20" s="2"/>
      <c r="BJ20" s="60"/>
      <c r="BK20" s="66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60"/>
      <c r="BX20" s="2"/>
      <c r="BY20" s="2"/>
      <c r="BZ20" s="2"/>
      <c r="CA20" s="60"/>
      <c r="CB20" s="2"/>
      <c r="CC20" s="2"/>
      <c r="CD20" s="2"/>
      <c r="CE20" s="60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8"/>
      <c r="DM20" s="8"/>
      <c r="DN20" s="8"/>
    </row>
    <row r="21" spans="1:118" ht="12.95" hidden="1" customHeight="1">
      <c r="A21" s="91" t="s">
        <v>12</v>
      </c>
      <c r="B21" s="91" t="s">
        <v>13</v>
      </c>
      <c r="C21" s="267" t="s">
        <v>20</v>
      </c>
      <c r="D21" s="279">
        <v>4.93</v>
      </c>
      <c r="E21" s="155" t="s">
        <v>38</v>
      </c>
      <c r="F21" s="160" t="s">
        <v>43</v>
      </c>
      <c r="G21" s="6"/>
      <c r="H21" s="5" t="s">
        <v>16</v>
      </c>
      <c r="I21" s="23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>
        <v>18</v>
      </c>
      <c r="AF21" s="61"/>
      <c r="AG21" s="61"/>
      <c r="AH21" s="61"/>
      <c r="AI21" s="61"/>
      <c r="AJ21" s="61"/>
      <c r="AK21" s="61"/>
      <c r="AL21" s="61"/>
      <c r="AM21" s="61"/>
      <c r="AN21" s="61"/>
      <c r="AO21" s="61">
        <v>18.399999999999999</v>
      </c>
      <c r="AP21" s="332"/>
      <c r="AQ21" s="1"/>
      <c r="AR21" s="61"/>
      <c r="AS21" s="332"/>
      <c r="AT21" s="1"/>
      <c r="AU21" s="61">
        <v>19</v>
      </c>
      <c r="AV21" s="1"/>
      <c r="AW21" s="1"/>
      <c r="AX21" s="1"/>
      <c r="AY21" s="1"/>
      <c r="AZ21" s="61">
        <v>21</v>
      </c>
      <c r="BA21" s="61"/>
      <c r="BB21" s="61"/>
      <c r="BC21" s="61"/>
      <c r="BD21" s="1"/>
      <c r="BE21" s="1"/>
      <c r="BF21" s="61">
        <v>21.4</v>
      </c>
      <c r="BG21" s="61"/>
      <c r="BH21" s="61"/>
      <c r="BI21" s="1"/>
      <c r="BJ21" s="61"/>
      <c r="BK21" s="67"/>
      <c r="BL21" s="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1"/>
      <c r="BZ21" s="1"/>
      <c r="CA21" s="61"/>
      <c r="CB21" s="61"/>
      <c r="CC21" s="1"/>
      <c r="CD21" s="1"/>
      <c r="CE21" s="6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8"/>
      <c r="DM21" s="8"/>
      <c r="DN21" s="8"/>
    </row>
    <row r="22" spans="1:118" s="104" customFormat="1" ht="12.95" hidden="1" customHeight="1">
      <c r="A22" s="96" t="s">
        <v>12</v>
      </c>
      <c r="B22" s="96" t="s">
        <v>13</v>
      </c>
      <c r="C22" s="269" t="s">
        <v>20</v>
      </c>
      <c r="D22" s="281">
        <v>3.03</v>
      </c>
      <c r="E22" s="157" t="s">
        <v>38</v>
      </c>
      <c r="F22" s="161" t="s">
        <v>44</v>
      </c>
      <c r="G22" s="102"/>
      <c r="H22" s="109" t="s">
        <v>16</v>
      </c>
      <c r="I22" s="232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>
        <v>17.2</v>
      </c>
      <c r="AJ22" s="107"/>
      <c r="AK22" s="107"/>
      <c r="AL22" s="107"/>
      <c r="AM22" s="107"/>
      <c r="AN22" s="107"/>
      <c r="AO22" s="107"/>
      <c r="AP22" s="337"/>
      <c r="AQ22" s="108"/>
      <c r="AR22" s="107"/>
      <c r="AS22" s="337">
        <v>18.7</v>
      </c>
      <c r="AT22" s="108"/>
      <c r="AU22" s="107"/>
      <c r="AV22" s="108"/>
      <c r="AW22" s="108"/>
      <c r="AX22" s="108"/>
      <c r="AY22" s="108"/>
      <c r="AZ22" s="107">
        <v>18</v>
      </c>
      <c r="BA22" s="107"/>
      <c r="BB22" s="107"/>
      <c r="BC22" s="107"/>
      <c r="BD22" s="108"/>
      <c r="BE22" s="108"/>
      <c r="BF22" s="107"/>
      <c r="BG22" s="107">
        <v>20.6</v>
      </c>
      <c r="BH22" s="107"/>
      <c r="BI22" s="108"/>
      <c r="BJ22" s="107"/>
      <c r="BK22" s="123"/>
      <c r="BL22" s="108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8"/>
      <c r="BY22" s="108"/>
      <c r="BZ22" s="108"/>
      <c r="CA22" s="107"/>
      <c r="CB22" s="108"/>
      <c r="CC22" s="108"/>
      <c r="CD22" s="108"/>
      <c r="CE22" s="107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3"/>
      <c r="DM22" s="103"/>
      <c r="DN22" s="103"/>
    </row>
    <row r="23" spans="1:118" ht="12.95" hidden="1" customHeight="1">
      <c r="A23" s="91" t="s">
        <v>12</v>
      </c>
      <c r="B23" s="91"/>
      <c r="C23" s="267" t="s">
        <v>20</v>
      </c>
      <c r="D23" s="279">
        <v>22.93</v>
      </c>
      <c r="E23" s="155" t="s">
        <v>38</v>
      </c>
      <c r="F23" s="160" t="s">
        <v>45</v>
      </c>
      <c r="G23" s="6"/>
      <c r="H23" s="5" t="s">
        <v>16</v>
      </c>
      <c r="I23" s="23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>
        <v>15.6</v>
      </c>
      <c r="AA23" s="61"/>
      <c r="AB23" s="61"/>
      <c r="AC23" s="61"/>
      <c r="AD23" s="61"/>
      <c r="AE23" s="61">
        <v>17.600000000000001</v>
      </c>
      <c r="AF23" s="61"/>
      <c r="AG23" s="61"/>
      <c r="AH23" s="61"/>
      <c r="AI23" s="61">
        <v>17.399999999999999</v>
      </c>
      <c r="AJ23" s="61"/>
      <c r="AK23" s="61"/>
      <c r="AL23" s="205"/>
      <c r="AM23" s="67"/>
      <c r="AN23" s="61"/>
      <c r="AO23" s="61"/>
      <c r="AP23" s="332"/>
      <c r="AQ23" s="1"/>
      <c r="AR23" s="61"/>
      <c r="AS23" s="332">
        <v>18.600000000000001</v>
      </c>
      <c r="AT23" s="1"/>
      <c r="AU23" s="61"/>
      <c r="AV23" s="1"/>
      <c r="AW23" s="1"/>
      <c r="AX23" s="1"/>
      <c r="AY23" s="1"/>
      <c r="AZ23" s="61">
        <v>18</v>
      </c>
      <c r="BA23" s="61"/>
      <c r="BB23" s="61"/>
      <c r="BC23" s="61"/>
      <c r="BD23" s="1"/>
      <c r="BE23" s="1"/>
      <c r="BF23" s="61"/>
      <c r="BG23" s="61">
        <v>21.2</v>
      </c>
      <c r="BH23" s="61"/>
      <c r="BI23" s="1"/>
      <c r="BJ23" s="61"/>
      <c r="BK23" s="61">
        <v>21.8</v>
      </c>
      <c r="BL23" s="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1"/>
      <c r="BZ23" s="1"/>
      <c r="CA23" s="61"/>
      <c r="CB23" s="61"/>
      <c r="CC23" s="1"/>
      <c r="CD23" s="1"/>
      <c r="CE23" s="6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8"/>
      <c r="DM23" s="8"/>
      <c r="DN23" s="8"/>
    </row>
    <row r="24" spans="1:118" ht="12.95" hidden="1" customHeight="1">
      <c r="A24" s="91" t="s">
        <v>12</v>
      </c>
      <c r="B24" s="91" t="s">
        <v>13</v>
      </c>
      <c r="C24" s="267" t="s">
        <v>20</v>
      </c>
      <c r="D24" s="279"/>
      <c r="E24" s="155" t="s">
        <v>38</v>
      </c>
      <c r="F24" s="160" t="s">
        <v>46</v>
      </c>
      <c r="G24" s="6"/>
      <c r="H24" s="5" t="s">
        <v>16</v>
      </c>
      <c r="I24" s="23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332"/>
      <c r="AQ24" s="1"/>
      <c r="AR24" s="61"/>
      <c r="AS24" s="332"/>
      <c r="AT24" s="1"/>
      <c r="AU24" s="61"/>
      <c r="AV24" s="1"/>
      <c r="AW24" s="21"/>
      <c r="AX24" s="1"/>
      <c r="AY24" s="1"/>
      <c r="AZ24" s="61"/>
      <c r="BA24" s="61"/>
      <c r="BB24" s="61"/>
      <c r="BC24" s="61"/>
      <c r="BD24" s="1"/>
      <c r="BE24" s="1"/>
      <c r="BF24" s="61"/>
      <c r="BG24" s="61"/>
      <c r="BH24" s="61"/>
      <c r="BI24" s="1"/>
      <c r="BJ24" s="61"/>
      <c r="BK24" s="67"/>
      <c r="BL24" s="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1"/>
      <c r="BZ24" s="1"/>
      <c r="CA24" s="61"/>
      <c r="CB24" s="61"/>
      <c r="CC24" s="1"/>
      <c r="CD24" s="1"/>
      <c r="CE24" s="6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8"/>
      <c r="DM24" s="8"/>
      <c r="DN24" s="8"/>
    </row>
    <row r="25" spans="1:118" ht="12.95" hidden="1" customHeight="1">
      <c r="A25" s="91" t="s">
        <v>12</v>
      </c>
      <c r="B25" s="91" t="s">
        <v>13</v>
      </c>
      <c r="C25" s="267" t="s">
        <v>20</v>
      </c>
      <c r="D25" s="279"/>
      <c r="E25" s="155" t="s">
        <v>38</v>
      </c>
      <c r="F25" s="160" t="s">
        <v>47</v>
      </c>
      <c r="G25" s="6"/>
      <c r="H25" s="5" t="s">
        <v>16</v>
      </c>
      <c r="I25" s="23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332"/>
      <c r="AQ25" s="1"/>
      <c r="AR25" s="61"/>
      <c r="AS25" s="332"/>
      <c r="AT25" s="1"/>
      <c r="AU25" s="61"/>
      <c r="AV25" s="1"/>
      <c r="AW25" s="21"/>
      <c r="AX25" s="1"/>
      <c r="AY25" s="1"/>
      <c r="AZ25" s="61"/>
      <c r="BA25" s="61"/>
      <c r="BB25" s="61"/>
      <c r="BC25" s="61"/>
      <c r="BD25" s="1"/>
      <c r="BE25" s="1"/>
      <c r="BF25" s="61"/>
      <c r="BG25" s="61"/>
      <c r="BH25" s="61"/>
      <c r="BI25" s="1"/>
      <c r="BJ25" s="61"/>
      <c r="BK25" s="67"/>
      <c r="BL25" s="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1"/>
      <c r="BZ25" s="1"/>
      <c r="CA25" s="61"/>
      <c r="CB25" s="61"/>
      <c r="CC25" s="1"/>
      <c r="CD25" s="1"/>
      <c r="CE25" s="6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8"/>
      <c r="DM25" s="8"/>
      <c r="DN25" s="8"/>
    </row>
    <row r="26" spans="1:118" s="104" customFormat="1" ht="12.95" hidden="1" customHeight="1">
      <c r="A26" s="96" t="s">
        <v>13</v>
      </c>
      <c r="B26" s="96" t="s">
        <v>13</v>
      </c>
      <c r="C26" s="269" t="s">
        <v>20</v>
      </c>
      <c r="D26" s="281">
        <v>6.52</v>
      </c>
      <c r="E26" s="157" t="s">
        <v>38</v>
      </c>
      <c r="F26" s="161" t="s">
        <v>48</v>
      </c>
      <c r="G26" s="102"/>
      <c r="H26" s="109" t="s">
        <v>16</v>
      </c>
      <c r="I26" s="232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>
        <v>14</v>
      </c>
      <c r="AA26" s="107"/>
      <c r="AB26" s="107"/>
      <c r="AC26" s="107"/>
      <c r="AD26" s="107"/>
      <c r="AE26" s="107">
        <v>16.8</v>
      </c>
      <c r="AF26" s="107"/>
      <c r="AG26" s="107"/>
      <c r="AH26" s="107"/>
      <c r="AI26" s="107"/>
      <c r="AJ26" s="107"/>
      <c r="AK26" s="107"/>
      <c r="AL26" s="206"/>
      <c r="AM26" s="123"/>
      <c r="AN26" s="107"/>
      <c r="AO26" s="107">
        <v>17.399999999999999</v>
      </c>
      <c r="AP26" s="337"/>
      <c r="AQ26" s="108"/>
      <c r="AR26" s="107"/>
      <c r="AS26" s="337"/>
      <c r="AT26" s="108"/>
      <c r="AU26" s="107">
        <v>18.100000000000001</v>
      </c>
      <c r="AV26" s="113"/>
      <c r="AW26" s="108"/>
      <c r="AX26" s="108"/>
      <c r="AY26" s="108"/>
      <c r="AZ26" s="107" t="s">
        <v>49</v>
      </c>
      <c r="BA26" s="107"/>
      <c r="BB26" s="107"/>
      <c r="BC26" s="107"/>
      <c r="BD26" s="108"/>
      <c r="BE26" s="108"/>
      <c r="BF26" s="107"/>
      <c r="BG26" s="107"/>
      <c r="BH26" s="107"/>
      <c r="BI26" s="108"/>
      <c r="BJ26" s="107"/>
      <c r="BK26" s="107">
        <v>22.4</v>
      </c>
      <c r="BL26" s="108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8"/>
      <c r="BY26" s="108"/>
      <c r="BZ26" s="108"/>
      <c r="CA26" s="107"/>
      <c r="CB26" s="108"/>
      <c r="CC26" s="108"/>
      <c r="CD26" s="108"/>
      <c r="CE26" s="107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8"/>
      <c r="DE26" s="108"/>
      <c r="DF26" s="108"/>
      <c r="DG26" s="108"/>
      <c r="DH26" s="108"/>
      <c r="DI26" s="108"/>
      <c r="DJ26" s="108"/>
      <c r="DK26" s="108"/>
      <c r="DL26" s="103"/>
      <c r="DM26" s="103"/>
      <c r="DN26" s="103"/>
    </row>
    <row r="27" spans="1:118" s="104" customFormat="1" ht="12.95" hidden="1" customHeight="1">
      <c r="A27" s="96" t="s">
        <v>13</v>
      </c>
      <c r="B27" s="96" t="s">
        <v>13</v>
      </c>
      <c r="C27" s="269" t="s">
        <v>20</v>
      </c>
      <c r="D27" s="281"/>
      <c r="E27" s="157" t="s">
        <v>38</v>
      </c>
      <c r="F27" s="161" t="s">
        <v>50</v>
      </c>
      <c r="G27" s="102"/>
      <c r="H27" s="109" t="s">
        <v>16</v>
      </c>
      <c r="I27" s="232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>
        <v>14</v>
      </c>
      <c r="AA27" s="107"/>
      <c r="AB27" s="107"/>
      <c r="AC27" s="107"/>
      <c r="AD27" s="107"/>
      <c r="AE27" s="107">
        <v>9.8000000000000007</v>
      </c>
      <c r="AF27" s="107"/>
      <c r="AG27" s="107"/>
      <c r="AH27" s="107"/>
      <c r="AI27" s="107"/>
      <c r="AJ27" s="107"/>
      <c r="AK27" s="107"/>
      <c r="AL27" s="206"/>
      <c r="AM27" s="123"/>
      <c r="AN27" s="107"/>
      <c r="AO27" s="107">
        <v>11.4</v>
      </c>
      <c r="AP27" s="337"/>
      <c r="AQ27" s="108"/>
      <c r="AR27" s="107"/>
      <c r="AS27" s="337"/>
      <c r="AT27" s="108"/>
      <c r="AU27" s="107" t="s">
        <v>51</v>
      </c>
      <c r="AV27" s="113"/>
      <c r="AW27" s="108"/>
      <c r="AX27" s="108"/>
      <c r="AY27" s="108"/>
      <c r="AZ27" s="107"/>
      <c r="BA27" s="107"/>
      <c r="BB27" s="107"/>
      <c r="BC27" s="107"/>
      <c r="BD27" s="108"/>
      <c r="BE27" s="108"/>
      <c r="BF27" s="107"/>
      <c r="BG27" s="107"/>
      <c r="BH27" s="107"/>
      <c r="BI27" s="108"/>
      <c r="BJ27" s="107"/>
      <c r="BK27" s="123"/>
      <c r="BL27" s="108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8"/>
      <c r="BY27" s="108"/>
      <c r="BZ27" s="108"/>
      <c r="CA27" s="107"/>
      <c r="CB27" s="108"/>
      <c r="CC27" s="108"/>
      <c r="CD27" s="108"/>
      <c r="CE27" s="107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3"/>
      <c r="DM27" s="103"/>
      <c r="DN27" s="103"/>
    </row>
    <row r="28" spans="1:118" ht="12.95" hidden="1" customHeight="1">
      <c r="A28" s="91" t="s">
        <v>13</v>
      </c>
      <c r="B28" s="91" t="s">
        <v>13</v>
      </c>
      <c r="C28" s="267" t="s">
        <v>20</v>
      </c>
      <c r="D28" s="279">
        <v>7.28</v>
      </c>
      <c r="E28" s="155" t="s">
        <v>38</v>
      </c>
      <c r="F28" s="160" t="s">
        <v>52</v>
      </c>
      <c r="G28" s="6"/>
      <c r="H28" s="5" t="s">
        <v>16</v>
      </c>
      <c r="I28" s="23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>
        <v>16.600000000000001</v>
      </c>
      <c r="AA28" s="61"/>
      <c r="AB28" s="61"/>
      <c r="AC28" s="61"/>
      <c r="AD28" s="61"/>
      <c r="AE28" s="61">
        <v>17.399999999999999</v>
      </c>
      <c r="AF28" s="61"/>
      <c r="AG28" s="61"/>
      <c r="AH28" s="61"/>
      <c r="AI28" s="61"/>
      <c r="AJ28" s="61"/>
      <c r="AK28" s="61"/>
      <c r="AL28" s="205"/>
      <c r="AM28" s="67"/>
      <c r="AN28" s="61"/>
      <c r="AO28" s="61">
        <v>18.899999999999999</v>
      </c>
      <c r="AP28" s="332"/>
      <c r="AQ28" s="1"/>
      <c r="AR28" s="61"/>
      <c r="AS28" s="332" t="s">
        <v>53</v>
      </c>
      <c r="AT28" s="1"/>
      <c r="AU28" s="61"/>
      <c r="AV28" s="1"/>
      <c r="AW28" s="1"/>
      <c r="AX28" s="1"/>
      <c r="AY28" s="1"/>
      <c r="AZ28" s="61">
        <v>21</v>
      </c>
      <c r="BA28" s="61"/>
      <c r="BB28" s="61"/>
      <c r="BC28" s="61"/>
      <c r="BD28" s="1"/>
      <c r="BE28" s="1"/>
      <c r="BF28" s="61"/>
      <c r="BG28" s="61"/>
      <c r="BH28" s="61"/>
      <c r="BI28" s="1"/>
      <c r="BJ28" s="61"/>
      <c r="BK28" s="61">
        <v>23.6</v>
      </c>
      <c r="BL28" s="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1"/>
      <c r="BY28" s="1"/>
      <c r="BZ28" s="1"/>
      <c r="CA28" s="61"/>
      <c r="CB28" s="1"/>
      <c r="CC28" s="1"/>
      <c r="CD28" s="1"/>
      <c r="CE28" s="6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8"/>
      <c r="DM28" s="8"/>
      <c r="DN28" s="8"/>
    </row>
    <row r="29" spans="1:118" s="104" customFormat="1" ht="12.95" hidden="1" customHeight="1">
      <c r="A29" s="96" t="s">
        <v>13</v>
      </c>
      <c r="B29" s="96" t="s">
        <v>13</v>
      </c>
      <c r="C29" s="269" t="s">
        <v>20</v>
      </c>
      <c r="D29" s="281">
        <v>33.68</v>
      </c>
      <c r="E29" s="157" t="s">
        <v>38</v>
      </c>
      <c r="F29" s="161" t="s">
        <v>54</v>
      </c>
      <c r="G29" s="102"/>
      <c r="H29" s="109" t="s">
        <v>16</v>
      </c>
      <c r="I29" s="232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>
        <v>20.6</v>
      </c>
      <c r="AB29" s="107"/>
      <c r="AC29" s="107"/>
      <c r="AD29" s="107"/>
      <c r="AE29" s="107"/>
      <c r="AF29" s="107"/>
      <c r="AG29" s="107"/>
      <c r="AH29" s="107"/>
      <c r="AI29" s="107"/>
      <c r="AJ29" s="107"/>
      <c r="AK29" s="107">
        <v>20</v>
      </c>
      <c r="AL29" s="206"/>
      <c r="AM29" s="123"/>
      <c r="AN29" s="107"/>
      <c r="AO29" s="107"/>
      <c r="AP29" s="337">
        <v>21.4</v>
      </c>
      <c r="AQ29" s="108"/>
      <c r="AR29" s="107"/>
      <c r="AS29" s="337"/>
      <c r="AT29" s="108"/>
      <c r="AU29" s="107"/>
      <c r="AV29" s="108"/>
      <c r="AW29" s="108"/>
      <c r="AX29" s="108"/>
      <c r="AY29" s="108"/>
      <c r="AZ29" s="107"/>
      <c r="BA29" s="107"/>
      <c r="BB29" s="107"/>
      <c r="BC29" s="107"/>
      <c r="BD29" s="108"/>
      <c r="BE29" s="108"/>
      <c r="BF29" s="107"/>
      <c r="BG29" s="107"/>
      <c r="BH29" s="107"/>
      <c r="BI29" s="108"/>
      <c r="BJ29" s="107"/>
      <c r="BK29" s="123"/>
      <c r="BL29" s="108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8"/>
      <c r="BY29" s="108"/>
      <c r="BZ29" s="108"/>
      <c r="CA29" s="107"/>
      <c r="CB29" s="108"/>
      <c r="CC29" s="108"/>
      <c r="CD29" s="108"/>
      <c r="CE29" s="107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3"/>
      <c r="DM29" s="103"/>
      <c r="DN29" s="103"/>
    </row>
    <row r="30" spans="1:118" s="104" customFormat="1" ht="12.95" hidden="1" customHeight="1">
      <c r="A30" s="96" t="s">
        <v>13</v>
      </c>
      <c r="B30" s="96" t="s">
        <v>13</v>
      </c>
      <c r="C30" s="269" t="s">
        <v>20</v>
      </c>
      <c r="D30" s="281"/>
      <c r="E30" s="157" t="s">
        <v>38</v>
      </c>
      <c r="F30" s="161" t="s">
        <v>55</v>
      </c>
      <c r="G30" s="102"/>
      <c r="H30" s="109" t="s">
        <v>16</v>
      </c>
      <c r="I30" s="232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337"/>
      <c r="AQ30" s="108"/>
      <c r="AR30" s="107"/>
      <c r="AS30" s="337"/>
      <c r="AT30" s="108"/>
      <c r="AU30" s="107"/>
      <c r="AV30" s="108"/>
      <c r="AW30" s="108"/>
      <c r="AX30" s="108"/>
      <c r="AY30" s="108"/>
      <c r="AZ30" s="107"/>
      <c r="BA30" s="107"/>
      <c r="BB30" s="107"/>
      <c r="BC30" s="107"/>
      <c r="BD30" s="108"/>
      <c r="BE30" s="108"/>
      <c r="BF30" s="107"/>
      <c r="BG30" s="107"/>
      <c r="BH30" s="107"/>
      <c r="BI30" s="108"/>
      <c r="BJ30" s="107"/>
      <c r="BK30" s="123"/>
      <c r="BL30" s="108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8"/>
      <c r="BY30" s="108"/>
      <c r="BZ30" s="108"/>
      <c r="CA30" s="107"/>
      <c r="CB30" s="108"/>
      <c r="CC30" s="108"/>
      <c r="CD30" s="108"/>
      <c r="CE30" s="107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3"/>
      <c r="DM30" s="103"/>
      <c r="DN30" s="103"/>
    </row>
    <row r="31" spans="1:118" s="104" customFormat="1" ht="12.95" hidden="1" customHeight="1">
      <c r="A31" s="96" t="s">
        <v>13</v>
      </c>
      <c r="B31" s="96" t="s">
        <v>13</v>
      </c>
      <c r="C31" s="269" t="s">
        <v>20</v>
      </c>
      <c r="D31" s="281"/>
      <c r="E31" s="157" t="s">
        <v>38</v>
      </c>
      <c r="F31" s="161" t="s">
        <v>56</v>
      </c>
      <c r="G31" s="102"/>
      <c r="H31" s="109" t="s">
        <v>16</v>
      </c>
      <c r="I31" s="232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337"/>
      <c r="AQ31" s="108"/>
      <c r="AR31" s="107"/>
      <c r="AS31" s="337"/>
      <c r="AT31" s="108"/>
      <c r="AU31" s="107"/>
      <c r="AV31" s="108"/>
      <c r="AW31" s="108"/>
      <c r="AX31" s="108"/>
      <c r="AY31" s="108"/>
      <c r="AZ31" s="107"/>
      <c r="BA31" s="107"/>
      <c r="BB31" s="107"/>
      <c r="BC31" s="107"/>
      <c r="BD31" s="108"/>
      <c r="BE31" s="108"/>
      <c r="BF31" s="107"/>
      <c r="BG31" s="107"/>
      <c r="BH31" s="107"/>
      <c r="BI31" s="108"/>
      <c r="BJ31" s="107"/>
      <c r="BK31" s="123"/>
      <c r="BL31" s="108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8"/>
      <c r="BY31" s="108"/>
      <c r="BZ31" s="108"/>
      <c r="CA31" s="107"/>
      <c r="CB31" s="108"/>
      <c r="CC31" s="108"/>
      <c r="CD31" s="108"/>
      <c r="CE31" s="107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3"/>
      <c r="DM31" s="103"/>
      <c r="DN31" s="103"/>
    </row>
    <row r="32" spans="1:118" s="104" customFormat="1" ht="12.95" hidden="1" customHeight="1">
      <c r="A32" s="96" t="s">
        <v>13</v>
      </c>
      <c r="B32" s="96" t="s">
        <v>13</v>
      </c>
      <c r="C32" s="269" t="s">
        <v>20</v>
      </c>
      <c r="D32" s="281"/>
      <c r="E32" s="157" t="s">
        <v>38</v>
      </c>
      <c r="F32" s="161" t="s">
        <v>57</v>
      </c>
      <c r="G32" s="102"/>
      <c r="H32" s="109" t="s">
        <v>16</v>
      </c>
      <c r="I32" s="232"/>
      <c r="J32" s="107"/>
      <c r="K32" s="107"/>
      <c r="L32" s="107"/>
      <c r="M32" s="107">
        <v>21.2</v>
      </c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>
        <v>21.2</v>
      </c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337"/>
      <c r="AQ32" s="108"/>
      <c r="AR32" s="107"/>
      <c r="AS32" s="337"/>
      <c r="AT32" s="108"/>
      <c r="AU32" s="107"/>
      <c r="AV32" s="108"/>
      <c r="AW32" s="108"/>
      <c r="AX32" s="108"/>
      <c r="AY32" s="108"/>
      <c r="AZ32" s="107"/>
      <c r="BA32" s="107"/>
      <c r="BB32" s="107"/>
      <c r="BC32" s="107"/>
      <c r="BD32" s="108"/>
      <c r="BE32" s="108"/>
      <c r="BF32" s="107"/>
      <c r="BG32" s="107"/>
      <c r="BH32" s="107"/>
      <c r="BI32" s="108"/>
      <c r="BJ32" s="107"/>
      <c r="BK32" s="123"/>
      <c r="BL32" s="108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8"/>
      <c r="BY32" s="108"/>
      <c r="BZ32" s="108"/>
      <c r="CA32" s="107"/>
      <c r="CB32" s="108"/>
      <c r="CC32" s="108"/>
      <c r="CD32" s="108"/>
      <c r="CE32" s="107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3"/>
      <c r="DM32" s="103"/>
      <c r="DN32" s="103"/>
    </row>
    <row r="33" spans="1:118" s="104" customFormat="1" ht="12.95" hidden="1" customHeight="1">
      <c r="A33" s="96" t="s">
        <v>13</v>
      </c>
      <c r="B33" s="96" t="s">
        <v>13</v>
      </c>
      <c r="C33" s="269" t="s">
        <v>20</v>
      </c>
      <c r="D33" s="281"/>
      <c r="E33" s="157" t="s">
        <v>38</v>
      </c>
      <c r="F33" s="161" t="s">
        <v>58</v>
      </c>
      <c r="G33" s="102"/>
      <c r="H33" s="109" t="s">
        <v>16</v>
      </c>
      <c r="I33" s="232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>
        <v>20.8</v>
      </c>
      <c r="AJ33" s="107"/>
      <c r="AK33" s="107"/>
      <c r="AL33" s="107"/>
      <c r="AM33" s="107"/>
      <c r="AN33" s="107"/>
      <c r="AO33" s="107"/>
      <c r="AP33" s="337"/>
      <c r="AQ33" s="108"/>
      <c r="AR33" s="107"/>
      <c r="AS33" s="337"/>
      <c r="AT33" s="108"/>
      <c r="AU33" s="107"/>
      <c r="AV33" s="108"/>
      <c r="AW33" s="108"/>
      <c r="AX33" s="108"/>
      <c r="AY33" s="108"/>
      <c r="AZ33" s="107"/>
      <c r="BA33" s="107"/>
      <c r="BB33" s="107"/>
      <c r="BC33" s="107"/>
      <c r="BD33" s="108"/>
      <c r="BE33" s="108"/>
      <c r="BF33" s="107"/>
      <c r="BG33" s="107"/>
      <c r="BH33" s="107"/>
      <c r="BI33" s="108"/>
      <c r="BJ33" s="107"/>
      <c r="BK33" s="123"/>
      <c r="BL33" s="108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8"/>
      <c r="BY33" s="108"/>
      <c r="BZ33" s="108"/>
      <c r="CA33" s="107"/>
      <c r="CB33" s="108"/>
      <c r="CC33" s="108"/>
      <c r="CD33" s="108"/>
      <c r="CE33" s="107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108"/>
      <c r="CV33" s="108"/>
      <c r="CW33" s="108"/>
      <c r="CX33" s="108"/>
      <c r="CY33" s="108"/>
      <c r="CZ33" s="108"/>
      <c r="DA33" s="108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3"/>
      <c r="DM33" s="103"/>
      <c r="DN33" s="103"/>
    </row>
    <row r="34" spans="1:118" s="104" customFormat="1" ht="12.95" hidden="1" customHeight="1">
      <c r="A34" s="96" t="s">
        <v>13</v>
      </c>
      <c r="B34" s="96" t="s">
        <v>13</v>
      </c>
      <c r="C34" s="269" t="s">
        <v>20</v>
      </c>
      <c r="D34" s="281"/>
      <c r="E34" s="157" t="s">
        <v>38</v>
      </c>
      <c r="F34" s="161" t="s">
        <v>59</v>
      </c>
      <c r="G34" s="102"/>
      <c r="H34" s="109" t="s">
        <v>16</v>
      </c>
      <c r="I34" s="232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>
        <v>20.5</v>
      </c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337"/>
      <c r="AQ34" s="108"/>
      <c r="AR34" s="107"/>
      <c r="AS34" s="337"/>
      <c r="AT34" s="108"/>
      <c r="AU34" s="107"/>
      <c r="AV34" s="108"/>
      <c r="AW34" s="108"/>
      <c r="AX34" s="108"/>
      <c r="AY34" s="108"/>
      <c r="AZ34" s="107"/>
      <c r="BA34" s="107"/>
      <c r="BB34" s="107"/>
      <c r="BC34" s="107"/>
      <c r="BD34" s="108"/>
      <c r="BE34" s="108"/>
      <c r="BF34" s="107"/>
      <c r="BG34" s="107"/>
      <c r="BH34" s="107"/>
      <c r="BI34" s="108"/>
      <c r="BJ34" s="107"/>
      <c r="BK34" s="123"/>
      <c r="BL34" s="108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8"/>
      <c r="BY34" s="108"/>
      <c r="BZ34" s="108"/>
      <c r="CA34" s="107"/>
      <c r="CB34" s="108"/>
      <c r="CC34" s="108"/>
      <c r="CD34" s="108"/>
      <c r="CE34" s="107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  <c r="CY34" s="108"/>
      <c r="CZ34" s="108"/>
      <c r="DA34" s="108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3"/>
      <c r="DM34" s="103"/>
      <c r="DN34" s="103"/>
    </row>
    <row r="35" spans="1:118" ht="12.95" hidden="1" customHeight="1">
      <c r="A35" s="91" t="s">
        <v>12</v>
      </c>
      <c r="B35" s="91" t="s">
        <v>13</v>
      </c>
      <c r="C35" s="267" t="s">
        <v>20</v>
      </c>
      <c r="D35" s="279">
        <v>8.5299999999999994</v>
      </c>
      <c r="E35" s="155" t="s">
        <v>38</v>
      </c>
      <c r="F35" s="160" t="s">
        <v>60</v>
      </c>
      <c r="G35" s="6"/>
      <c r="H35" s="5" t="s">
        <v>16</v>
      </c>
      <c r="I35" s="23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>
        <v>18.8</v>
      </c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>
        <v>20.6</v>
      </c>
      <c r="AP35" s="332"/>
      <c r="AQ35" s="1"/>
      <c r="AR35" s="61"/>
      <c r="AS35" s="332"/>
      <c r="AT35" s="1"/>
      <c r="AU35" s="61"/>
      <c r="AV35" s="1"/>
      <c r="AW35" s="1"/>
      <c r="AX35" s="1"/>
      <c r="AY35" s="1"/>
      <c r="AZ35" s="61">
        <v>21.2</v>
      </c>
      <c r="BA35" s="61"/>
      <c r="BB35" s="61"/>
      <c r="BC35" s="61"/>
      <c r="BD35" s="1"/>
      <c r="BE35" s="1"/>
      <c r="BF35" s="61">
        <v>22</v>
      </c>
      <c r="BG35" s="61"/>
      <c r="BH35" s="61"/>
      <c r="BI35" s="1"/>
      <c r="BJ35" s="61"/>
      <c r="BK35" s="67"/>
      <c r="BL35" s="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1"/>
      <c r="BZ35" s="1"/>
      <c r="CA35" s="61"/>
      <c r="CB35" s="61"/>
      <c r="CC35" s="1"/>
      <c r="CD35" s="1"/>
      <c r="CE35" s="6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8"/>
      <c r="DM35" s="8"/>
      <c r="DN35" s="8"/>
    </row>
    <row r="36" spans="1:118" s="104" customFormat="1" ht="12.95" hidden="1" customHeight="1">
      <c r="A36" s="96" t="s">
        <v>13</v>
      </c>
      <c r="B36" s="96" t="s">
        <v>13</v>
      </c>
      <c r="C36" s="269" t="s">
        <v>20</v>
      </c>
      <c r="D36" s="281">
        <v>5.18</v>
      </c>
      <c r="E36" s="157" t="s">
        <v>38</v>
      </c>
      <c r="F36" s="161" t="s">
        <v>61</v>
      </c>
      <c r="G36" s="102"/>
      <c r="H36" s="109" t="s">
        <v>16</v>
      </c>
      <c r="I36" s="232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>
        <v>17</v>
      </c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>
        <v>17</v>
      </c>
      <c r="AP36" s="337"/>
      <c r="AQ36" s="108"/>
      <c r="AR36" s="107"/>
      <c r="AS36" s="337"/>
      <c r="AT36" s="108"/>
      <c r="AU36" s="107">
        <v>17.600000000000001</v>
      </c>
      <c r="AV36" s="108"/>
      <c r="AW36" s="108"/>
      <c r="AX36" s="108"/>
      <c r="AY36" s="108"/>
      <c r="AZ36" s="107" t="s">
        <v>62</v>
      </c>
      <c r="BA36" s="107"/>
      <c r="BB36" s="107"/>
      <c r="BC36" s="107"/>
      <c r="BD36" s="108"/>
      <c r="BE36" s="108"/>
      <c r="BF36" s="107">
        <v>20.5</v>
      </c>
      <c r="BG36" s="107"/>
      <c r="BH36" s="107"/>
      <c r="BI36" s="108"/>
      <c r="BJ36" s="107"/>
      <c r="BK36" s="123"/>
      <c r="BL36" s="108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8"/>
      <c r="BY36" s="108"/>
      <c r="BZ36" s="108"/>
      <c r="CA36" s="107"/>
      <c r="CB36" s="108"/>
      <c r="CC36" s="108"/>
      <c r="CD36" s="108"/>
      <c r="CE36" s="107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  <c r="CY36" s="108"/>
      <c r="CZ36" s="108"/>
      <c r="DA36" s="108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3"/>
      <c r="DM36" s="103"/>
      <c r="DN36" s="103"/>
    </row>
    <row r="37" spans="1:118" ht="12.95" hidden="1" customHeight="1">
      <c r="A37" s="91" t="s">
        <v>13</v>
      </c>
      <c r="B37" s="91" t="s">
        <v>13</v>
      </c>
      <c r="C37" s="267" t="s">
        <v>20</v>
      </c>
      <c r="D37" s="279"/>
      <c r="E37" s="179" t="s">
        <v>38</v>
      </c>
      <c r="F37" s="180" t="s">
        <v>63</v>
      </c>
      <c r="G37" s="181"/>
      <c r="H37" s="182" t="s">
        <v>16</v>
      </c>
      <c r="I37" s="233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>
        <v>18</v>
      </c>
      <c r="AH37" s="59"/>
      <c r="AI37" s="59"/>
      <c r="AJ37" s="59"/>
      <c r="AK37" s="59"/>
      <c r="AL37" s="59"/>
      <c r="AM37" s="59"/>
      <c r="AN37" s="59"/>
      <c r="AO37" s="59"/>
      <c r="AP37" s="339">
        <v>19.8</v>
      </c>
      <c r="AQ37" s="13"/>
      <c r="AR37" s="59"/>
      <c r="AS37" s="339"/>
      <c r="AT37" s="13"/>
      <c r="AU37" s="59"/>
      <c r="AV37" s="13"/>
      <c r="AW37" s="13"/>
      <c r="AX37" s="13"/>
      <c r="AY37" s="13"/>
      <c r="AZ37" s="59"/>
      <c r="BA37" s="59">
        <v>20</v>
      </c>
      <c r="BB37" s="59"/>
      <c r="BC37" s="59"/>
      <c r="BD37" s="13"/>
      <c r="BE37" s="13"/>
      <c r="BF37" s="59"/>
      <c r="BG37" s="59"/>
      <c r="BH37" s="59"/>
      <c r="BI37" s="13"/>
      <c r="BJ37" s="59"/>
      <c r="BK37" s="254"/>
      <c r="BL37" s="13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13"/>
      <c r="BY37" s="13"/>
      <c r="BZ37" s="13"/>
      <c r="CA37" s="59"/>
      <c r="CB37" s="13"/>
      <c r="CC37" s="13"/>
      <c r="CD37" s="13"/>
      <c r="CE37" s="59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8"/>
      <c r="DM37" s="8"/>
      <c r="DN37" s="8"/>
    </row>
    <row r="38" spans="1:118" ht="13.35" hidden="1" customHeight="1">
      <c r="A38" s="90" t="s">
        <v>12</v>
      </c>
      <c r="B38" s="90"/>
      <c r="C38" s="266"/>
      <c r="D38" s="277"/>
      <c r="E38" s="278" t="s">
        <v>64</v>
      </c>
      <c r="F38" s="141" t="s">
        <v>65</v>
      </c>
      <c r="G38" s="169"/>
      <c r="H38" s="170" t="s">
        <v>11</v>
      </c>
      <c r="I38" s="225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2"/>
      <c r="AQ38" s="172"/>
      <c r="AR38" s="171"/>
      <c r="AS38" s="172"/>
      <c r="AT38" s="172"/>
      <c r="AU38" s="172"/>
      <c r="AV38" s="172"/>
      <c r="AW38" s="172"/>
      <c r="AX38" s="172"/>
      <c r="AY38" s="172"/>
      <c r="AZ38" s="172"/>
      <c r="BA38" s="172"/>
      <c r="BB38" s="171"/>
      <c r="BC38" s="171"/>
      <c r="BD38" s="172"/>
      <c r="BE38" s="172"/>
      <c r="BF38" s="171"/>
      <c r="BG38" s="171"/>
      <c r="BH38" s="171"/>
      <c r="BI38" s="171"/>
      <c r="BJ38" s="171"/>
      <c r="BK38" s="427"/>
      <c r="BL38" s="172"/>
      <c r="BM38" s="171"/>
      <c r="BN38" s="171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2"/>
      <c r="BZ38" s="172"/>
      <c r="CA38" s="171"/>
      <c r="CB38" s="171"/>
      <c r="CC38" s="172"/>
      <c r="CD38" s="171"/>
      <c r="CE38" s="171"/>
      <c r="CF38" s="172"/>
      <c r="CG38" s="172"/>
      <c r="CH38" s="171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2"/>
      <c r="DE38" s="172"/>
      <c r="DF38" s="172"/>
      <c r="DG38" s="172"/>
      <c r="DH38" s="172"/>
      <c r="DI38" s="172"/>
      <c r="DJ38" s="172"/>
      <c r="DK38" s="172"/>
      <c r="DL38" s="8"/>
      <c r="DM38" s="8"/>
      <c r="DN38" s="8"/>
    </row>
    <row r="39" spans="1:118" ht="12.95" hidden="1" customHeight="1">
      <c r="A39" s="91" t="s">
        <v>12</v>
      </c>
      <c r="B39" s="91" t="s">
        <v>13</v>
      </c>
      <c r="C39" s="267" t="s">
        <v>14</v>
      </c>
      <c r="D39" s="279">
        <v>14.91</v>
      </c>
      <c r="E39" s="190" t="s">
        <v>64</v>
      </c>
      <c r="F39" s="191" t="s">
        <v>66</v>
      </c>
      <c r="G39" s="192">
        <v>25</v>
      </c>
      <c r="H39" s="193" t="s">
        <v>16</v>
      </c>
      <c r="I39" s="226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36"/>
      <c r="AQ39" s="36"/>
      <c r="AR39" s="72"/>
      <c r="AS39" s="36"/>
      <c r="AT39" s="36" t="s">
        <v>67</v>
      </c>
      <c r="AU39" s="36"/>
      <c r="AV39" s="36"/>
      <c r="AW39" s="36"/>
      <c r="AX39" s="36"/>
      <c r="AY39" s="36"/>
      <c r="AZ39" s="36"/>
      <c r="BA39" s="36"/>
      <c r="BB39" s="72">
        <v>22.4</v>
      </c>
      <c r="BC39" s="72"/>
      <c r="BD39" s="36"/>
      <c r="BE39" s="36"/>
      <c r="BF39" s="72"/>
      <c r="BG39" s="72"/>
      <c r="BH39" s="72">
        <v>24.4</v>
      </c>
      <c r="BI39" s="402">
        <v>24.6</v>
      </c>
      <c r="BJ39" s="72"/>
      <c r="BK39" s="402"/>
      <c r="BL39" s="36"/>
      <c r="BM39" s="72"/>
      <c r="BN39" s="72"/>
      <c r="BO39" s="72"/>
      <c r="BP39" s="72"/>
      <c r="BQ39" s="72"/>
      <c r="BR39" s="72"/>
      <c r="BS39" s="72"/>
      <c r="BT39" s="72"/>
      <c r="BU39" s="72">
        <v>23.5</v>
      </c>
      <c r="BV39" s="72"/>
      <c r="BW39" s="72"/>
      <c r="BX39" s="72"/>
      <c r="BY39" s="36"/>
      <c r="BZ39" s="36"/>
      <c r="CA39" s="72"/>
      <c r="CB39" s="36"/>
      <c r="CC39" s="36"/>
      <c r="CD39" s="36"/>
      <c r="CE39" s="72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8"/>
      <c r="DM39" s="8"/>
      <c r="DN39" s="8"/>
    </row>
    <row r="40" spans="1:118" ht="13.35" hidden="1" customHeight="1">
      <c r="A40" s="90" t="s">
        <v>12</v>
      </c>
      <c r="B40" s="90"/>
      <c r="C40" s="266"/>
      <c r="D40" s="277"/>
      <c r="E40" s="278" t="s">
        <v>68</v>
      </c>
      <c r="F40" s="141" t="s">
        <v>69</v>
      </c>
      <c r="G40" s="169"/>
      <c r="H40" s="170" t="s">
        <v>11</v>
      </c>
      <c r="I40" s="234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4"/>
      <c r="AQ40" s="174"/>
      <c r="AR40" s="173"/>
      <c r="AS40" s="173"/>
      <c r="AT40" s="173"/>
      <c r="AU40" s="173"/>
      <c r="AV40" s="173"/>
      <c r="AW40" s="174"/>
      <c r="AX40" s="174"/>
      <c r="AY40" s="173"/>
      <c r="AZ40" s="173"/>
      <c r="BA40" s="174"/>
      <c r="BB40" s="173"/>
      <c r="BC40" s="173"/>
      <c r="BD40" s="174"/>
      <c r="BE40" s="174"/>
      <c r="BF40" s="173"/>
      <c r="BG40" s="173"/>
      <c r="BH40" s="173"/>
      <c r="BI40" s="174"/>
      <c r="BJ40" s="173"/>
      <c r="BK40" s="428"/>
      <c r="BL40" s="174"/>
      <c r="BM40" s="173"/>
      <c r="BN40" s="173"/>
      <c r="BO40" s="173"/>
      <c r="BP40" s="173"/>
      <c r="BQ40" s="173"/>
      <c r="BR40" s="173"/>
      <c r="BS40" s="173"/>
      <c r="BT40" s="173"/>
      <c r="BU40" s="173"/>
      <c r="BV40" s="173"/>
      <c r="BW40" s="173"/>
      <c r="BX40" s="173"/>
      <c r="BY40" s="174"/>
      <c r="BZ40" s="174"/>
      <c r="CA40" s="173"/>
      <c r="CB40" s="173"/>
      <c r="CC40" s="174"/>
      <c r="CD40" s="173"/>
      <c r="CE40" s="173"/>
      <c r="CF40" s="174"/>
      <c r="CG40" s="174"/>
      <c r="CH40" s="173"/>
      <c r="CI40" s="174"/>
      <c r="CJ40" s="174"/>
      <c r="CK40" s="174"/>
      <c r="CL40" s="174"/>
      <c r="CM40" s="174"/>
      <c r="CN40" s="174"/>
      <c r="CO40" s="174"/>
      <c r="CP40" s="174"/>
      <c r="CQ40" s="174"/>
      <c r="CR40" s="174"/>
      <c r="CS40" s="174"/>
      <c r="CT40" s="174"/>
      <c r="CU40" s="174"/>
      <c r="CV40" s="174"/>
      <c r="CW40" s="174"/>
      <c r="CX40" s="174"/>
      <c r="CY40" s="174"/>
      <c r="CZ40" s="174"/>
      <c r="DA40" s="174"/>
      <c r="DB40" s="174"/>
      <c r="DC40" s="174"/>
      <c r="DD40" s="174"/>
      <c r="DE40" s="174"/>
      <c r="DF40" s="174"/>
      <c r="DG40" s="174"/>
      <c r="DH40" s="174"/>
      <c r="DI40" s="174"/>
      <c r="DJ40" s="174"/>
      <c r="DK40" s="174"/>
      <c r="DL40" s="8"/>
      <c r="DM40" s="8"/>
      <c r="DN40" s="8"/>
    </row>
    <row r="41" spans="1:118" s="104" customFormat="1" ht="12.95" hidden="1" customHeight="1">
      <c r="A41" s="96" t="s">
        <v>12</v>
      </c>
      <c r="B41" s="96" t="s">
        <v>13</v>
      </c>
      <c r="C41" s="269" t="s">
        <v>14</v>
      </c>
      <c r="D41" s="282">
        <v>42.12</v>
      </c>
      <c r="E41" s="194" t="s">
        <v>68</v>
      </c>
      <c r="F41" s="195" t="s">
        <v>70</v>
      </c>
      <c r="G41" s="149">
        <v>21.5</v>
      </c>
      <c r="H41" s="196" t="s">
        <v>16</v>
      </c>
      <c r="I41" s="235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1">
        <v>19.8</v>
      </c>
      <c r="Y41" s="150"/>
      <c r="Z41" s="150"/>
      <c r="AA41" s="150"/>
      <c r="AB41" s="150"/>
      <c r="AC41" s="150"/>
      <c r="AD41" s="150"/>
      <c r="AE41" s="150"/>
      <c r="AF41" s="150" t="s">
        <v>71</v>
      </c>
      <c r="AG41" s="150"/>
      <c r="AH41" s="150"/>
      <c r="AI41" s="150"/>
      <c r="AJ41" s="150"/>
      <c r="AK41" s="150"/>
      <c r="AL41" s="150"/>
      <c r="AM41" s="312" t="s">
        <v>72</v>
      </c>
      <c r="AN41" s="150"/>
      <c r="AO41" s="150"/>
      <c r="AP41" s="152"/>
      <c r="AQ41" s="152"/>
      <c r="AR41" s="150"/>
      <c r="AS41" s="150"/>
      <c r="AT41" s="150"/>
      <c r="AU41" s="150"/>
      <c r="AV41" s="150"/>
      <c r="AW41" s="152"/>
      <c r="AX41" s="152"/>
      <c r="AY41" s="152"/>
      <c r="AZ41" s="152"/>
      <c r="BA41" s="152"/>
      <c r="BB41" s="152"/>
      <c r="BC41" s="150"/>
      <c r="BD41" s="152"/>
      <c r="BE41" s="152"/>
      <c r="BF41" s="150"/>
      <c r="BG41" s="152"/>
      <c r="BH41" s="150"/>
      <c r="BI41" s="152"/>
      <c r="BJ41" s="150"/>
      <c r="BK41" s="31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0"/>
      <c r="BX41" s="152"/>
      <c r="BY41" s="152"/>
      <c r="BZ41" s="152"/>
      <c r="CA41" s="150"/>
      <c r="CB41" s="152"/>
      <c r="CC41" s="152"/>
      <c r="CD41" s="152"/>
      <c r="CE41" s="150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2"/>
      <c r="CQ41" s="152"/>
      <c r="CR41" s="152"/>
      <c r="CS41" s="152"/>
      <c r="CT41" s="152"/>
      <c r="CU41" s="152"/>
      <c r="CV41" s="152"/>
      <c r="CW41" s="152"/>
      <c r="CX41" s="152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03"/>
      <c r="DM41" s="103"/>
      <c r="DN41" s="103"/>
    </row>
    <row r="42" spans="1:118" ht="13.15" hidden="1" customHeight="1">
      <c r="A42" s="91" t="s">
        <v>13</v>
      </c>
      <c r="B42" s="91"/>
      <c r="C42" s="267" t="s">
        <v>31</v>
      </c>
      <c r="D42" s="279">
        <v>82.73</v>
      </c>
      <c r="E42" s="155" t="s">
        <v>68</v>
      </c>
      <c r="F42" s="160" t="s">
        <v>73</v>
      </c>
      <c r="G42" s="6">
        <v>22.5</v>
      </c>
      <c r="H42" s="5" t="s">
        <v>22</v>
      </c>
      <c r="I42" s="23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>
        <v>20</v>
      </c>
      <c r="AO42" s="61"/>
      <c r="AP42" s="1"/>
      <c r="AQ42" s="1"/>
      <c r="AR42" s="61" t="s">
        <v>67</v>
      </c>
      <c r="AS42" s="61"/>
      <c r="AT42" s="61"/>
      <c r="AU42" s="61"/>
      <c r="AV42" s="61"/>
      <c r="AW42" s="1"/>
      <c r="AX42" s="1"/>
      <c r="AY42" s="61"/>
      <c r="AZ42" s="61"/>
      <c r="BA42" s="1"/>
      <c r="BB42" s="61"/>
      <c r="BC42" s="61"/>
      <c r="BD42" s="1"/>
      <c r="BE42" s="1"/>
      <c r="BF42" s="61"/>
      <c r="BG42" s="61"/>
      <c r="BH42" s="61"/>
      <c r="BI42" s="1"/>
      <c r="BJ42" s="61"/>
      <c r="BK42" s="67"/>
      <c r="BL42" s="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1"/>
      <c r="BY42" s="1"/>
      <c r="BZ42" s="1"/>
      <c r="CA42" s="61"/>
      <c r="CB42" s="1"/>
      <c r="CC42" s="1"/>
      <c r="CD42" s="1"/>
      <c r="CE42" s="6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8"/>
      <c r="DM42" s="8"/>
      <c r="DN42" s="8"/>
    </row>
    <row r="43" spans="1:118" ht="13.15" hidden="1" customHeight="1">
      <c r="A43" s="92" t="s">
        <v>13</v>
      </c>
      <c r="B43" s="92"/>
      <c r="C43" s="268" t="s">
        <v>31</v>
      </c>
      <c r="D43" s="280">
        <v>62.37</v>
      </c>
      <c r="E43" s="156" t="s">
        <v>68</v>
      </c>
      <c r="F43" s="159" t="s">
        <v>74</v>
      </c>
      <c r="G43" s="7">
        <v>22.5</v>
      </c>
      <c r="H43" s="4" t="s">
        <v>22</v>
      </c>
      <c r="I43" s="229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>
        <v>18.600000000000001</v>
      </c>
      <c r="AE43" s="60"/>
      <c r="AF43" s="60"/>
      <c r="AG43" s="60"/>
      <c r="AH43" s="60"/>
      <c r="AI43" s="60"/>
      <c r="AJ43" s="60"/>
      <c r="AK43" s="60"/>
      <c r="AL43" s="60"/>
      <c r="AM43" s="60"/>
      <c r="AN43" s="60">
        <v>20.399999999999999</v>
      </c>
      <c r="AO43" s="60"/>
      <c r="AP43" s="2"/>
      <c r="AQ43" s="2"/>
      <c r="AR43" s="60">
        <v>21.8</v>
      </c>
      <c r="AS43" s="60"/>
      <c r="AT43" s="60"/>
      <c r="AU43" s="60"/>
      <c r="AV43" s="60"/>
      <c r="AW43" s="2"/>
      <c r="AX43" s="2"/>
      <c r="AY43" s="60"/>
      <c r="AZ43" s="60"/>
      <c r="BA43" s="2"/>
      <c r="BB43" s="60"/>
      <c r="BC43" s="60"/>
      <c r="BD43" s="2"/>
      <c r="BE43" s="2"/>
      <c r="BF43" s="60"/>
      <c r="BG43" s="60"/>
      <c r="BH43" s="60"/>
      <c r="BI43" s="2"/>
      <c r="BJ43" s="60"/>
      <c r="BK43" s="66"/>
      <c r="BL43" s="2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2"/>
      <c r="BY43" s="2"/>
      <c r="BZ43" s="2"/>
      <c r="CA43" s="60"/>
      <c r="CB43" s="2"/>
      <c r="CC43" s="2"/>
      <c r="CD43" s="2"/>
      <c r="CE43" s="60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8"/>
      <c r="DM43" s="8"/>
      <c r="DN43" s="8"/>
    </row>
    <row r="44" spans="1:118" ht="13.15" hidden="1" customHeight="1">
      <c r="A44" s="91" t="s">
        <v>13</v>
      </c>
      <c r="B44" s="91"/>
      <c r="C44" s="267" t="s">
        <v>31</v>
      </c>
      <c r="D44" s="279">
        <v>21.91</v>
      </c>
      <c r="E44" s="155" t="s">
        <v>68</v>
      </c>
      <c r="F44" s="160" t="s">
        <v>75</v>
      </c>
      <c r="G44" s="6">
        <v>22.5</v>
      </c>
      <c r="H44" s="5" t="s">
        <v>22</v>
      </c>
      <c r="I44" s="23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>
        <v>20.8</v>
      </c>
      <c r="AO44" s="61"/>
      <c r="AP44" s="1"/>
      <c r="AQ44" s="1"/>
      <c r="AR44" s="61">
        <v>22.4</v>
      </c>
      <c r="AS44" s="61"/>
      <c r="AT44" s="61"/>
      <c r="AU44" s="61"/>
      <c r="AV44" s="61"/>
      <c r="AW44" s="1"/>
      <c r="AX44" s="1"/>
      <c r="AY44" s="61"/>
      <c r="AZ44" s="61"/>
      <c r="BA44" s="1"/>
      <c r="BB44" s="61"/>
      <c r="BC44" s="61"/>
      <c r="BD44" s="1"/>
      <c r="BE44" s="1"/>
      <c r="BF44" s="61"/>
      <c r="BG44" s="61"/>
      <c r="BH44" s="61"/>
      <c r="BI44" s="1"/>
      <c r="BJ44" s="61"/>
      <c r="BK44" s="67"/>
      <c r="BL44" s="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1"/>
      <c r="BY44" s="1"/>
      <c r="BZ44" s="1"/>
      <c r="CA44" s="61"/>
      <c r="CB44" s="1"/>
      <c r="CC44" s="1"/>
      <c r="CD44" s="1"/>
      <c r="CE44" s="6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8"/>
      <c r="DM44" s="8"/>
      <c r="DN44" s="8"/>
    </row>
    <row r="45" spans="1:118" ht="13.15" hidden="1" customHeight="1">
      <c r="A45" s="92" t="s">
        <v>12</v>
      </c>
      <c r="B45" s="96" t="s">
        <v>13</v>
      </c>
      <c r="C45" s="268" t="s">
        <v>31</v>
      </c>
      <c r="D45" s="280">
        <v>59.54</v>
      </c>
      <c r="E45" s="156" t="s">
        <v>68</v>
      </c>
      <c r="F45" s="159" t="s">
        <v>76</v>
      </c>
      <c r="G45" s="7">
        <v>22.5</v>
      </c>
      <c r="H45" s="4" t="s">
        <v>22</v>
      </c>
      <c r="I45" s="230"/>
      <c r="J45" s="219">
        <v>15.4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316">
        <v>24.6</v>
      </c>
      <c r="AO45" s="62"/>
      <c r="AP45" s="16"/>
      <c r="AQ45" s="16"/>
      <c r="AR45" s="62"/>
      <c r="AS45" s="62"/>
      <c r="AT45" s="62"/>
      <c r="AU45" s="62"/>
      <c r="AV45" s="62"/>
      <c r="AW45" s="16"/>
      <c r="AX45" s="16"/>
      <c r="AY45" s="16"/>
      <c r="AZ45" s="16"/>
      <c r="BA45" s="16"/>
      <c r="BB45" s="16"/>
      <c r="BC45" s="62"/>
      <c r="BD45" s="16"/>
      <c r="BE45" s="16"/>
      <c r="BF45" s="62"/>
      <c r="BG45" s="16"/>
      <c r="BH45" s="62"/>
      <c r="BI45" s="16"/>
      <c r="BJ45" s="62"/>
      <c r="BK45" s="3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62"/>
      <c r="BX45" s="16"/>
      <c r="BY45" s="16"/>
      <c r="BZ45" s="16"/>
      <c r="CA45" s="62"/>
      <c r="CB45" s="16"/>
      <c r="CC45" s="16"/>
      <c r="CD45" s="16"/>
      <c r="CE45" s="62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8"/>
      <c r="DM45" s="8"/>
      <c r="DN45" s="8"/>
    </row>
    <row r="46" spans="1:118" ht="12.95" hidden="1" customHeight="1">
      <c r="A46" s="91" t="s">
        <v>12</v>
      </c>
      <c r="B46" s="91" t="s">
        <v>13</v>
      </c>
      <c r="C46" s="267" t="s">
        <v>31</v>
      </c>
      <c r="D46" s="279">
        <v>70.349999999999994</v>
      </c>
      <c r="E46" s="155" t="s">
        <v>68</v>
      </c>
      <c r="F46" s="160" t="s">
        <v>77</v>
      </c>
      <c r="G46" s="6">
        <v>23</v>
      </c>
      <c r="H46" s="5" t="s">
        <v>16</v>
      </c>
      <c r="I46" s="236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61"/>
      <c r="X46" s="61"/>
      <c r="Y46" s="61"/>
      <c r="Z46" s="61"/>
      <c r="AA46" s="61"/>
      <c r="AB46" s="61"/>
      <c r="AC46" s="61"/>
      <c r="AD46" s="61"/>
      <c r="AE46" s="61"/>
      <c r="AF46" s="61">
        <v>20.399999999999999</v>
      </c>
      <c r="AG46" s="61"/>
      <c r="AH46" s="61"/>
      <c r="AI46" s="61"/>
      <c r="AJ46" s="61"/>
      <c r="AK46" s="61"/>
      <c r="AL46" s="61"/>
      <c r="AM46" s="61">
        <v>22.8</v>
      </c>
      <c r="AN46" s="61"/>
      <c r="AO46" s="61"/>
      <c r="AP46" s="1"/>
      <c r="AQ46" s="1"/>
      <c r="AR46" s="61"/>
      <c r="AS46" s="67">
        <v>23</v>
      </c>
      <c r="AT46" s="61"/>
      <c r="AU46" s="61">
        <v>23.4</v>
      </c>
      <c r="AV46" s="61"/>
      <c r="AW46" s="1"/>
      <c r="AX46" s="1"/>
      <c r="AY46" s="61"/>
      <c r="AZ46" s="61"/>
      <c r="BA46" s="1"/>
      <c r="BB46" s="61"/>
      <c r="BC46" s="61"/>
      <c r="BD46" s="1"/>
      <c r="BE46" s="1"/>
      <c r="BF46" s="61"/>
      <c r="BG46" s="1"/>
      <c r="BH46" s="61"/>
      <c r="BI46" s="1"/>
      <c r="BJ46" s="61"/>
      <c r="BK46" s="67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61"/>
      <c r="BX46" s="1"/>
      <c r="BY46" s="1"/>
      <c r="BZ46" s="1"/>
      <c r="CA46" s="61"/>
      <c r="CB46" s="1"/>
      <c r="CC46" s="1"/>
      <c r="CD46" s="1"/>
      <c r="CE46" s="6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8"/>
      <c r="DM46" s="8"/>
      <c r="DN46" s="8"/>
    </row>
    <row r="47" spans="1:118" ht="12.95" hidden="1" customHeight="1">
      <c r="A47" s="91" t="s">
        <v>12</v>
      </c>
      <c r="B47" s="91" t="s">
        <v>13</v>
      </c>
      <c r="C47" s="267" t="s">
        <v>31</v>
      </c>
      <c r="D47" s="279"/>
      <c r="E47" s="155" t="s">
        <v>68</v>
      </c>
      <c r="F47" s="160" t="s">
        <v>78</v>
      </c>
      <c r="G47" s="6">
        <v>23</v>
      </c>
      <c r="H47" s="5" t="s">
        <v>16</v>
      </c>
      <c r="I47" s="23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1"/>
      <c r="AQ47" s="1"/>
      <c r="AR47" s="61"/>
      <c r="AS47" s="61"/>
      <c r="AT47" s="61"/>
      <c r="AU47" s="61"/>
      <c r="AV47" s="61"/>
      <c r="AW47" s="1"/>
      <c r="AX47" s="1"/>
      <c r="AY47" s="61"/>
      <c r="AZ47" s="61"/>
      <c r="BA47" s="1"/>
      <c r="BB47" s="61"/>
      <c r="BC47" s="61"/>
      <c r="BD47" s="1"/>
      <c r="BE47" s="1"/>
      <c r="BF47" s="61"/>
      <c r="BG47" s="1"/>
      <c r="BH47" s="61"/>
      <c r="BI47" s="1"/>
      <c r="BJ47" s="61"/>
      <c r="BK47" s="67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61"/>
      <c r="BX47" s="1"/>
      <c r="BY47" s="1"/>
      <c r="BZ47" s="1"/>
      <c r="CA47" s="61"/>
      <c r="CB47" s="1"/>
      <c r="CC47" s="1"/>
      <c r="CD47" s="1"/>
      <c r="CE47" s="6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8"/>
      <c r="DM47" s="8"/>
      <c r="DN47" s="8"/>
    </row>
    <row r="48" spans="1:118" ht="12.95" hidden="1" customHeight="1">
      <c r="A48" s="91" t="s">
        <v>12</v>
      </c>
      <c r="B48" s="91" t="s">
        <v>13</v>
      </c>
      <c r="C48" s="267" t="s">
        <v>31</v>
      </c>
      <c r="D48" s="279"/>
      <c r="E48" s="155" t="s">
        <v>68</v>
      </c>
      <c r="F48" s="160" t="s">
        <v>79</v>
      </c>
      <c r="G48" s="6">
        <v>23</v>
      </c>
      <c r="H48" s="5" t="s">
        <v>16</v>
      </c>
      <c r="I48" s="23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1"/>
      <c r="AQ48" s="1"/>
      <c r="AR48" s="61"/>
      <c r="AS48" s="61"/>
      <c r="AT48" s="61"/>
      <c r="AU48" s="61"/>
      <c r="AV48" s="61"/>
      <c r="AW48" s="1"/>
      <c r="AX48" s="1"/>
      <c r="AY48" s="61">
        <v>24</v>
      </c>
      <c r="AZ48" s="61"/>
      <c r="BA48" s="1"/>
      <c r="BB48" s="61"/>
      <c r="BC48" s="61"/>
      <c r="BD48" s="1"/>
      <c r="BE48" s="1"/>
      <c r="BF48" s="61"/>
      <c r="BG48" s="1"/>
      <c r="BH48" s="61"/>
      <c r="BI48" s="1"/>
      <c r="BJ48" s="61"/>
      <c r="BK48" s="67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61"/>
      <c r="BX48" s="1"/>
      <c r="BY48" s="1"/>
      <c r="BZ48" s="1"/>
      <c r="CA48" s="61"/>
      <c r="CB48" s="1"/>
      <c r="CC48" s="1"/>
      <c r="CD48" s="1"/>
      <c r="CE48" s="6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8"/>
      <c r="DM48" s="8"/>
      <c r="DN48" s="8"/>
    </row>
    <row r="49" spans="1:118" ht="12.95" hidden="1" customHeight="1">
      <c r="A49" s="91" t="s">
        <v>12</v>
      </c>
      <c r="B49" s="91" t="s">
        <v>13</v>
      </c>
      <c r="C49" s="267" t="s">
        <v>31</v>
      </c>
      <c r="D49" s="279"/>
      <c r="E49" s="155" t="s">
        <v>68</v>
      </c>
      <c r="F49" s="160" t="s">
        <v>80</v>
      </c>
      <c r="G49" s="6">
        <v>23</v>
      </c>
      <c r="H49" s="5" t="s">
        <v>16</v>
      </c>
      <c r="I49" s="23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1"/>
      <c r="AQ49" s="1"/>
      <c r="AR49" s="61"/>
      <c r="AS49" s="61"/>
      <c r="AT49" s="61"/>
      <c r="AU49" s="61"/>
      <c r="AV49" s="61"/>
      <c r="AW49" s="1"/>
      <c r="AX49" s="1"/>
      <c r="AY49" s="61">
        <v>24.2</v>
      </c>
      <c r="AZ49" s="61"/>
      <c r="BA49" s="1"/>
      <c r="BB49" s="61"/>
      <c r="BC49" s="61"/>
      <c r="BD49" s="1"/>
      <c r="BE49" s="1"/>
      <c r="BF49" s="61"/>
      <c r="BG49" s="1"/>
      <c r="BH49" s="61"/>
      <c r="BI49" s="1"/>
      <c r="BJ49" s="61"/>
      <c r="BK49" s="67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61"/>
      <c r="BX49" s="1"/>
      <c r="BY49" s="1"/>
      <c r="BZ49" s="1"/>
      <c r="CA49" s="61"/>
      <c r="CB49" s="1"/>
      <c r="CC49" s="1"/>
      <c r="CD49" s="1"/>
      <c r="CE49" s="6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8"/>
      <c r="DM49" s="8"/>
      <c r="DN49" s="8"/>
    </row>
    <row r="50" spans="1:118" ht="12.95" hidden="1" customHeight="1">
      <c r="A50" s="91" t="s">
        <v>12</v>
      </c>
      <c r="B50" s="96" t="s">
        <v>13</v>
      </c>
      <c r="C50" s="267" t="s">
        <v>31</v>
      </c>
      <c r="D50" s="279">
        <v>32.03</v>
      </c>
      <c r="E50" s="155" t="s">
        <v>68</v>
      </c>
      <c r="F50" s="160" t="s">
        <v>81</v>
      </c>
      <c r="G50" s="6"/>
      <c r="H50" s="5" t="s">
        <v>16</v>
      </c>
      <c r="I50" s="229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1"/>
      <c r="X50" s="61"/>
      <c r="Y50" s="61">
        <v>18.2</v>
      </c>
      <c r="Z50" s="61"/>
      <c r="AA50" s="61"/>
      <c r="AB50" s="61"/>
      <c r="AC50" s="61"/>
      <c r="AD50" s="61"/>
      <c r="AE50" s="59"/>
      <c r="AF50" s="59">
        <v>20</v>
      </c>
      <c r="AG50" s="59"/>
      <c r="AH50" s="59"/>
      <c r="AI50" s="59"/>
      <c r="AJ50" s="59"/>
      <c r="AK50" s="59"/>
      <c r="AL50" s="59"/>
      <c r="AM50" s="59">
        <v>22.6</v>
      </c>
      <c r="AN50" s="254">
        <v>22.5</v>
      </c>
      <c r="AO50" s="59"/>
      <c r="AP50" s="13"/>
      <c r="AQ50" s="13"/>
      <c r="AR50" s="59"/>
      <c r="AS50" s="59">
        <v>23</v>
      </c>
      <c r="AT50" s="59"/>
      <c r="AU50" s="59"/>
      <c r="AV50" s="59">
        <v>23.2</v>
      </c>
      <c r="AW50" s="13"/>
      <c r="AX50" s="13"/>
      <c r="AY50" s="59"/>
      <c r="AZ50" s="59"/>
      <c r="BA50" s="13"/>
      <c r="BB50" s="59"/>
      <c r="BC50" s="59"/>
      <c r="BD50" s="13"/>
      <c r="BE50" s="13"/>
      <c r="BF50" s="59"/>
      <c r="BG50" s="13"/>
      <c r="BH50" s="59"/>
      <c r="BI50" s="13"/>
      <c r="BJ50" s="59"/>
      <c r="BK50" s="254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59"/>
      <c r="BX50" s="13"/>
      <c r="BY50" s="13"/>
      <c r="BZ50" s="13"/>
      <c r="CA50" s="59"/>
      <c r="CB50" s="13"/>
      <c r="CC50" s="13"/>
      <c r="CD50" s="13"/>
      <c r="CE50" s="59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8"/>
      <c r="DM50" s="8"/>
      <c r="DN50" s="8"/>
    </row>
    <row r="51" spans="1:118" ht="13.35" hidden="1" customHeight="1">
      <c r="A51" s="91" t="s">
        <v>13</v>
      </c>
      <c r="B51" s="91"/>
      <c r="C51" s="267" t="s">
        <v>20</v>
      </c>
      <c r="D51" s="279">
        <v>30.18</v>
      </c>
      <c r="E51" s="155" t="s">
        <v>68</v>
      </c>
      <c r="F51" s="160" t="s">
        <v>82</v>
      </c>
      <c r="G51" s="6"/>
      <c r="H51" s="5" t="s">
        <v>83</v>
      </c>
      <c r="I51" s="23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>
        <v>16.2</v>
      </c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>
        <v>20.2</v>
      </c>
      <c r="AM51" s="61"/>
      <c r="AN51" s="61"/>
      <c r="AO51" s="61"/>
      <c r="AP51" s="1"/>
      <c r="AQ51" s="1"/>
      <c r="AR51" s="61"/>
      <c r="AS51" s="61"/>
      <c r="AT51" s="61"/>
      <c r="AU51" s="61"/>
      <c r="AV51" s="61"/>
      <c r="AW51" s="1"/>
      <c r="AX51" s="1"/>
      <c r="AY51" s="61"/>
      <c r="AZ51" s="61"/>
      <c r="BA51" s="1"/>
      <c r="BB51" s="61"/>
      <c r="BC51" s="61"/>
      <c r="BD51" s="1"/>
      <c r="BE51" s="1"/>
      <c r="BF51" s="61"/>
      <c r="BG51" s="61"/>
      <c r="BH51" s="61"/>
      <c r="BI51" s="1"/>
      <c r="BJ51" s="61"/>
      <c r="BK51" s="67"/>
      <c r="BL51" s="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1"/>
      <c r="BY51" s="1"/>
      <c r="BZ51" s="1"/>
      <c r="CA51" s="61"/>
      <c r="CB51" s="1"/>
      <c r="CC51" s="1"/>
      <c r="CD51" s="1"/>
      <c r="CE51" s="6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8"/>
      <c r="DM51" s="8"/>
      <c r="DN51" s="8"/>
    </row>
    <row r="52" spans="1:118" ht="12.95" hidden="1" customHeight="1">
      <c r="A52" s="92" t="s">
        <v>12</v>
      </c>
      <c r="B52" s="96" t="s">
        <v>13</v>
      </c>
      <c r="C52" s="268" t="s">
        <v>14</v>
      </c>
      <c r="D52" s="280">
        <v>10.07</v>
      </c>
      <c r="E52" s="156" t="s">
        <v>68</v>
      </c>
      <c r="F52" s="159" t="s">
        <v>84</v>
      </c>
      <c r="G52" s="7">
        <v>23</v>
      </c>
      <c r="H52" s="4" t="s">
        <v>16</v>
      </c>
      <c r="I52" s="230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>
        <v>18.5</v>
      </c>
      <c r="Y52" s="62"/>
      <c r="Z52" s="62"/>
      <c r="AA52" s="62"/>
      <c r="AB52" s="62"/>
      <c r="AC52" s="62"/>
      <c r="AD52" s="62"/>
      <c r="AE52" s="62"/>
      <c r="AF52" s="62"/>
      <c r="AG52" s="62"/>
      <c r="AH52" s="62">
        <v>22</v>
      </c>
      <c r="AI52" s="62"/>
      <c r="AJ52" s="62"/>
      <c r="AK52" s="62"/>
      <c r="AL52" s="62"/>
      <c r="AM52" s="62">
        <v>23.4</v>
      </c>
      <c r="AN52" s="316"/>
      <c r="AO52" s="316">
        <v>23.7</v>
      </c>
      <c r="AP52" s="16"/>
      <c r="AQ52" s="16"/>
      <c r="AR52" s="62"/>
      <c r="AS52" s="62"/>
      <c r="AT52" s="62"/>
      <c r="AU52" s="62"/>
      <c r="AV52" s="62"/>
      <c r="AW52" s="16"/>
      <c r="AX52" s="16"/>
      <c r="AY52" s="16"/>
      <c r="AZ52" s="16"/>
      <c r="BA52" s="16"/>
      <c r="BB52" s="16"/>
      <c r="BC52" s="62"/>
      <c r="BD52" s="16"/>
      <c r="BE52" s="16"/>
      <c r="BF52" s="62"/>
      <c r="BG52" s="16"/>
      <c r="BH52" s="62"/>
      <c r="BI52" s="16"/>
      <c r="BJ52" s="62"/>
      <c r="BK52" s="3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62"/>
      <c r="BX52" s="16"/>
      <c r="BY52" s="16"/>
      <c r="BZ52" s="16"/>
      <c r="CA52" s="62"/>
      <c r="CB52" s="16"/>
      <c r="CC52" s="16"/>
      <c r="CD52" s="16"/>
      <c r="CE52" s="62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8"/>
      <c r="DM52" s="8"/>
      <c r="DN52" s="8"/>
    </row>
    <row r="53" spans="1:118" ht="13.35" hidden="1" customHeight="1">
      <c r="A53" s="91" t="s">
        <v>13</v>
      </c>
      <c r="B53" s="91"/>
      <c r="C53" s="267" t="s">
        <v>20</v>
      </c>
      <c r="D53" s="279">
        <v>16.77</v>
      </c>
      <c r="E53" s="155" t="s">
        <v>68</v>
      </c>
      <c r="F53" s="160" t="s">
        <v>85</v>
      </c>
      <c r="G53" s="6"/>
      <c r="H53" s="5" t="s">
        <v>86</v>
      </c>
      <c r="I53" s="228"/>
      <c r="J53" s="64">
        <v>14.1</v>
      </c>
      <c r="K53" s="64"/>
      <c r="L53" s="64"/>
      <c r="M53" s="64"/>
      <c r="N53" s="64"/>
      <c r="O53" s="64"/>
      <c r="P53" s="64"/>
      <c r="Q53" s="64">
        <v>16.8</v>
      </c>
      <c r="R53" s="64"/>
      <c r="S53" s="64"/>
      <c r="T53" s="65">
        <v>17</v>
      </c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18"/>
      <c r="AQ53" s="18"/>
      <c r="AR53" s="64"/>
      <c r="AS53" s="64"/>
      <c r="AT53" s="64"/>
      <c r="AU53" s="64"/>
      <c r="AV53" s="64"/>
      <c r="AW53" s="18"/>
      <c r="AX53" s="18"/>
      <c r="AY53" s="64"/>
      <c r="AZ53" s="64"/>
      <c r="BA53" s="18"/>
      <c r="BB53" s="64"/>
      <c r="BC53" s="64"/>
      <c r="BD53" s="18"/>
      <c r="BE53" s="18"/>
      <c r="BF53" s="64"/>
      <c r="BG53" s="64"/>
      <c r="BH53" s="64"/>
      <c r="BI53" s="18"/>
      <c r="BJ53" s="64"/>
      <c r="BK53" s="65"/>
      <c r="BL53" s="18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18"/>
      <c r="BY53" s="18"/>
      <c r="BZ53" s="18"/>
      <c r="CA53" s="64"/>
      <c r="CB53" s="18"/>
      <c r="CC53" s="18"/>
      <c r="CD53" s="18"/>
      <c r="CE53" s="64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8"/>
      <c r="DM53" s="8"/>
      <c r="DN53" s="8"/>
    </row>
    <row r="54" spans="1:118" ht="13.35" hidden="1" customHeight="1">
      <c r="A54" s="92" t="s">
        <v>13</v>
      </c>
      <c r="B54" s="92"/>
      <c r="C54" s="268" t="s">
        <v>20</v>
      </c>
      <c r="D54" s="280">
        <v>35.08</v>
      </c>
      <c r="E54" s="156" t="s">
        <v>68</v>
      </c>
      <c r="F54" s="159" t="s">
        <v>87</v>
      </c>
      <c r="G54" s="7"/>
      <c r="H54" s="4" t="s">
        <v>86</v>
      </c>
      <c r="I54" s="230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16"/>
      <c r="AQ54" s="16"/>
      <c r="AR54" s="62"/>
      <c r="AS54" s="62"/>
      <c r="AT54" s="62"/>
      <c r="AU54" s="62"/>
      <c r="AV54" s="62"/>
      <c r="AW54" s="16"/>
      <c r="AX54" s="16"/>
      <c r="AY54" s="62"/>
      <c r="AZ54" s="62"/>
      <c r="BA54" s="16"/>
      <c r="BB54" s="62"/>
      <c r="BC54" s="62"/>
      <c r="BD54" s="16"/>
      <c r="BE54" s="16"/>
      <c r="BF54" s="62"/>
      <c r="BG54" s="62"/>
      <c r="BH54" s="62"/>
      <c r="BI54" s="16"/>
      <c r="BJ54" s="62"/>
      <c r="BK54" s="316"/>
      <c r="BL54" s="16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16"/>
      <c r="BY54" s="16"/>
      <c r="BZ54" s="16"/>
      <c r="CA54" s="62"/>
      <c r="CB54" s="16"/>
      <c r="CC54" s="16"/>
      <c r="CD54" s="16"/>
      <c r="CE54" s="62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8"/>
      <c r="DM54" s="8"/>
      <c r="DN54" s="8"/>
    </row>
    <row r="55" spans="1:118" ht="13.35" hidden="1" customHeight="1">
      <c r="A55" s="91" t="s">
        <v>13</v>
      </c>
      <c r="B55" s="91"/>
      <c r="C55" s="267" t="s">
        <v>20</v>
      </c>
      <c r="D55" s="279">
        <v>15.95</v>
      </c>
      <c r="E55" s="155" t="s">
        <v>68</v>
      </c>
      <c r="F55" s="160" t="s">
        <v>88</v>
      </c>
      <c r="G55" s="6"/>
      <c r="H55" s="5" t="s">
        <v>86</v>
      </c>
      <c r="I55" s="228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18"/>
      <c r="AQ55" s="18"/>
      <c r="AR55" s="64"/>
      <c r="AS55" s="64"/>
      <c r="AT55" s="64">
        <v>23.8</v>
      </c>
      <c r="AU55" s="64"/>
      <c r="AV55" s="64"/>
      <c r="AW55" s="18"/>
      <c r="AX55" s="18"/>
      <c r="AY55" s="64"/>
      <c r="AZ55" s="64"/>
      <c r="BA55" s="18"/>
      <c r="BB55" s="64"/>
      <c r="BC55" s="64"/>
      <c r="BD55" s="18"/>
      <c r="BE55" s="18"/>
      <c r="BF55" s="64"/>
      <c r="BG55" s="64"/>
      <c r="BH55" s="64"/>
      <c r="BI55" s="18"/>
      <c r="BJ55" s="64"/>
      <c r="BK55" s="65"/>
      <c r="BL55" s="18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18"/>
      <c r="BY55" s="18"/>
      <c r="BZ55" s="18"/>
      <c r="CA55" s="64"/>
      <c r="CB55" s="18"/>
      <c r="CC55" s="18"/>
      <c r="CD55" s="18"/>
      <c r="CE55" s="64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8"/>
      <c r="DM55" s="8"/>
      <c r="DN55" s="8"/>
    </row>
    <row r="56" spans="1:118" ht="13.35" hidden="1" customHeight="1">
      <c r="A56" s="92" t="s">
        <v>12</v>
      </c>
      <c r="B56" s="92"/>
      <c r="C56" s="268" t="s">
        <v>20</v>
      </c>
      <c r="D56" s="280">
        <v>24.82</v>
      </c>
      <c r="E56" s="156" t="s">
        <v>68</v>
      </c>
      <c r="F56" s="159" t="s">
        <v>89</v>
      </c>
      <c r="G56" s="7"/>
      <c r="H56" s="4" t="s">
        <v>86</v>
      </c>
      <c r="I56" s="230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16"/>
      <c r="AQ56" s="16"/>
      <c r="AR56" s="62"/>
      <c r="AS56" s="62"/>
      <c r="AT56" s="62">
        <v>26.4</v>
      </c>
      <c r="AU56" s="62"/>
      <c r="AV56" s="62"/>
      <c r="AW56" s="16"/>
      <c r="AX56" s="16"/>
      <c r="AY56" s="62"/>
      <c r="AZ56" s="62"/>
      <c r="BA56" s="16"/>
      <c r="BB56" s="16"/>
      <c r="BC56" s="62"/>
      <c r="BD56" s="16"/>
      <c r="BE56" s="16"/>
      <c r="BF56" s="62"/>
      <c r="BG56" s="16"/>
      <c r="BH56" s="62"/>
      <c r="BI56" s="16"/>
      <c r="BJ56" s="62"/>
      <c r="BK56" s="3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62"/>
      <c r="BX56" s="16"/>
      <c r="BY56" s="16"/>
      <c r="BZ56" s="16"/>
      <c r="CA56" s="62"/>
      <c r="CB56" s="16"/>
      <c r="CC56" s="16"/>
      <c r="CD56" s="16"/>
      <c r="CE56" s="62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8"/>
      <c r="DM56" s="8"/>
      <c r="DN56" s="8"/>
    </row>
    <row r="57" spans="1:118" ht="13.35" hidden="1" customHeight="1">
      <c r="A57" s="91" t="s">
        <v>12</v>
      </c>
      <c r="B57" s="91"/>
      <c r="C57" s="267" t="s">
        <v>20</v>
      </c>
      <c r="D57" s="279">
        <v>23.84</v>
      </c>
      <c r="E57" s="155" t="s">
        <v>68</v>
      </c>
      <c r="F57" s="160" t="s">
        <v>90</v>
      </c>
      <c r="G57" s="6"/>
      <c r="H57" s="5" t="s">
        <v>86</v>
      </c>
      <c r="I57" s="228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>
        <v>22.4</v>
      </c>
      <c r="AM57" s="64"/>
      <c r="AN57" s="64"/>
      <c r="AO57" s="64"/>
      <c r="AP57" s="18"/>
      <c r="AQ57" s="18"/>
      <c r="AR57" s="64"/>
      <c r="AS57" s="64"/>
      <c r="AT57" s="64">
        <v>24.3</v>
      </c>
      <c r="AU57" s="64"/>
      <c r="AV57" s="64"/>
      <c r="AW57" s="18"/>
      <c r="AX57" s="18"/>
      <c r="AY57" s="64"/>
      <c r="AZ57" s="64"/>
      <c r="BA57" s="18"/>
      <c r="BB57" s="64"/>
      <c r="BC57" s="64"/>
      <c r="BD57" s="18"/>
      <c r="BE57" s="18"/>
      <c r="BF57" s="64"/>
      <c r="BG57" s="18"/>
      <c r="BH57" s="64"/>
      <c r="BI57" s="18"/>
      <c r="BJ57" s="64"/>
      <c r="BK57" s="65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64"/>
      <c r="BX57" s="18"/>
      <c r="BY57" s="18"/>
      <c r="BZ57" s="18"/>
      <c r="CA57" s="64"/>
      <c r="CB57" s="18"/>
      <c r="CC57" s="18"/>
      <c r="CD57" s="18"/>
      <c r="CE57" s="64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8"/>
      <c r="DM57" s="8"/>
      <c r="DN57" s="8"/>
    </row>
    <row r="58" spans="1:118" s="104" customFormat="1" ht="12.75" hidden="1" customHeight="1">
      <c r="A58" s="96" t="s">
        <v>12</v>
      </c>
      <c r="B58" s="96"/>
      <c r="C58" s="269" t="s">
        <v>14</v>
      </c>
      <c r="D58" s="281">
        <v>20.55</v>
      </c>
      <c r="E58" s="157" t="s">
        <v>68</v>
      </c>
      <c r="F58" s="161" t="s">
        <v>91</v>
      </c>
      <c r="G58" s="102">
        <v>21.5</v>
      </c>
      <c r="H58" s="109" t="s">
        <v>92</v>
      </c>
      <c r="I58" s="237"/>
      <c r="J58" s="143"/>
      <c r="K58" s="143"/>
      <c r="L58" s="218">
        <v>15.1</v>
      </c>
      <c r="M58" s="143"/>
      <c r="N58" s="143"/>
      <c r="O58" s="143"/>
      <c r="P58" s="143"/>
      <c r="Q58" s="218">
        <v>16.8</v>
      </c>
      <c r="R58" s="143"/>
      <c r="S58" s="143"/>
      <c r="T58" s="143"/>
      <c r="U58" s="143"/>
      <c r="V58" s="143"/>
      <c r="W58" s="218">
        <v>17.899999999999999</v>
      </c>
      <c r="X58" s="143"/>
      <c r="Y58" s="143">
        <v>18.8</v>
      </c>
      <c r="Z58" s="218">
        <v>18.8</v>
      </c>
      <c r="AA58" s="143"/>
      <c r="AB58" s="143"/>
      <c r="AC58" s="143"/>
      <c r="AD58" s="292">
        <v>18.600000000000001</v>
      </c>
      <c r="AE58" s="143"/>
      <c r="AF58" s="143">
        <v>21</v>
      </c>
      <c r="AG58" s="143"/>
      <c r="AH58" s="143"/>
      <c r="AI58" s="143"/>
      <c r="AJ58" s="143"/>
      <c r="AK58" s="143"/>
      <c r="AL58" s="143">
        <v>22</v>
      </c>
      <c r="AM58" s="143"/>
      <c r="AN58" s="143"/>
      <c r="AO58" s="143"/>
      <c r="AP58" s="385">
        <v>22.2</v>
      </c>
      <c r="AQ58" s="144"/>
      <c r="AR58" s="143"/>
      <c r="AS58" s="143"/>
      <c r="AT58" s="143"/>
      <c r="AU58" s="143"/>
      <c r="AV58" s="143"/>
      <c r="AW58" s="144"/>
      <c r="AX58" s="144"/>
      <c r="AY58" s="144"/>
      <c r="AZ58" s="144"/>
      <c r="BA58" s="144"/>
      <c r="BB58" s="144"/>
      <c r="BC58" s="143"/>
      <c r="BD58" s="144"/>
      <c r="BE58" s="144"/>
      <c r="BF58" s="143"/>
      <c r="BG58" s="144"/>
      <c r="BH58" s="143"/>
      <c r="BI58" s="144"/>
      <c r="BJ58" s="143"/>
      <c r="BK58" s="429"/>
      <c r="BL58" s="144"/>
      <c r="BM58" s="144"/>
      <c r="BN58" s="144"/>
      <c r="BO58" s="144"/>
      <c r="BP58" s="144"/>
      <c r="BQ58" s="144"/>
      <c r="BR58" s="144"/>
      <c r="BS58" s="144"/>
      <c r="BT58" s="144"/>
      <c r="BU58" s="144"/>
      <c r="BV58" s="144"/>
      <c r="BW58" s="143"/>
      <c r="BX58" s="144"/>
      <c r="BY58" s="144"/>
      <c r="BZ58" s="144"/>
      <c r="CA58" s="143"/>
      <c r="CB58" s="144"/>
      <c r="CC58" s="144"/>
      <c r="CD58" s="144"/>
      <c r="CE58" s="143"/>
      <c r="CF58" s="144"/>
      <c r="CG58" s="144"/>
      <c r="CH58" s="144"/>
      <c r="CI58" s="144"/>
      <c r="CJ58" s="144"/>
      <c r="CK58" s="144"/>
      <c r="CL58" s="144"/>
      <c r="CM58" s="144"/>
      <c r="CN58" s="144"/>
      <c r="CO58" s="144"/>
      <c r="CP58" s="144"/>
      <c r="CQ58" s="144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144"/>
      <c r="DC58" s="144"/>
      <c r="DD58" s="144"/>
      <c r="DE58" s="144"/>
      <c r="DF58" s="144"/>
      <c r="DG58" s="144"/>
      <c r="DH58" s="144"/>
      <c r="DI58" s="144"/>
      <c r="DJ58" s="144"/>
      <c r="DK58" s="144"/>
      <c r="DL58" s="103"/>
      <c r="DM58" s="103"/>
      <c r="DN58" s="103"/>
    </row>
    <row r="59" spans="1:118" ht="13.35" hidden="1" customHeight="1">
      <c r="A59" s="91" t="s">
        <v>12</v>
      </c>
      <c r="B59" s="91" t="s">
        <v>13</v>
      </c>
      <c r="C59" s="267" t="s">
        <v>14</v>
      </c>
      <c r="D59" s="279">
        <v>34.200000000000003</v>
      </c>
      <c r="E59" s="155" t="s">
        <v>68</v>
      </c>
      <c r="F59" s="160" t="s">
        <v>93</v>
      </c>
      <c r="G59" s="6">
        <v>23</v>
      </c>
      <c r="H59" s="5" t="s">
        <v>94</v>
      </c>
      <c r="I59" s="23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>
        <v>18.100000000000001</v>
      </c>
      <c r="Z59" s="61"/>
      <c r="AA59" s="61"/>
      <c r="AB59" s="61"/>
      <c r="AC59" s="61"/>
      <c r="AD59" s="61">
        <v>20.100000000000001</v>
      </c>
      <c r="AE59" s="61"/>
      <c r="AF59" s="61"/>
      <c r="AG59" s="61"/>
      <c r="AH59" s="61"/>
      <c r="AI59" s="61"/>
      <c r="AJ59" s="61"/>
      <c r="AK59" s="61"/>
      <c r="AL59" s="61">
        <v>23</v>
      </c>
      <c r="AM59" s="61"/>
      <c r="AN59" s="61"/>
      <c r="AO59" s="61">
        <v>22.6</v>
      </c>
      <c r="AP59" s="46"/>
      <c r="AQ59" s="1"/>
      <c r="AR59" s="61">
        <v>23</v>
      </c>
      <c r="AS59" s="61"/>
      <c r="AT59" s="61"/>
      <c r="AU59" s="61"/>
      <c r="AV59" s="61"/>
      <c r="AW59" s="1"/>
      <c r="AX59" s="1"/>
      <c r="AY59" s="61">
        <v>24.2</v>
      </c>
      <c r="AZ59" s="61"/>
      <c r="BA59" s="1"/>
      <c r="BB59" s="61"/>
      <c r="BC59" s="61"/>
      <c r="BD59" s="1"/>
      <c r="BE59" s="1"/>
      <c r="BF59" s="61"/>
      <c r="BG59" s="1"/>
      <c r="BH59" s="61"/>
      <c r="BI59" s="1"/>
      <c r="BJ59" s="61"/>
      <c r="BK59" s="67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61"/>
      <c r="BX59" s="1"/>
      <c r="BY59" s="1"/>
      <c r="BZ59" s="1"/>
      <c r="CA59" s="61"/>
      <c r="CB59" s="1"/>
      <c r="CC59" s="1"/>
      <c r="CD59" s="1"/>
      <c r="CE59" s="6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8"/>
      <c r="DM59" s="8"/>
      <c r="DN59" s="8"/>
    </row>
    <row r="60" spans="1:118" ht="13.35" hidden="1" customHeight="1">
      <c r="A60" s="91" t="s">
        <v>12</v>
      </c>
      <c r="B60" s="92"/>
      <c r="C60" s="267" t="s">
        <v>14</v>
      </c>
      <c r="D60" s="279"/>
      <c r="E60" s="155" t="s">
        <v>68</v>
      </c>
      <c r="F60" s="160" t="s">
        <v>95</v>
      </c>
      <c r="G60" s="6"/>
      <c r="H60" s="5"/>
      <c r="I60" s="229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1"/>
      <c r="X60" s="61"/>
      <c r="Y60" s="61"/>
      <c r="Z60" s="61"/>
      <c r="AA60" s="67"/>
      <c r="AB60" s="61"/>
      <c r="AC60" s="61"/>
      <c r="AD60" s="61">
        <v>20</v>
      </c>
      <c r="AE60" s="61"/>
      <c r="AF60" s="61"/>
      <c r="AG60" s="61"/>
      <c r="AH60" s="61"/>
      <c r="AI60" s="384" t="s">
        <v>96</v>
      </c>
      <c r="AJ60" s="61"/>
      <c r="AK60" s="61"/>
      <c r="AL60" s="61"/>
      <c r="AM60" s="61">
        <v>22</v>
      </c>
      <c r="AN60" s="61"/>
      <c r="AO60" s="67">
        <v>23.1</v>
      </c>
      <c r="AP60" s="1"/>
      <c r="AQ60" s="1"/>
      <c r="AR60" s="67">
        <v>23.5</v>
      </c>
      <c r="AS60" s="61"/>
      <c r="AT60" s="67">
        <v>23.7</v>
      </c>
      <c r="AU60" s="61"/>
      <c r="AV60" s="61"/>
      <c r="AW60" s="1"/>
      <c r="AX60" s="1"/>
      <c r="AY60" s="1"/>
      <c r="AZ60" s="1"/>
      <c r="BA60" s="1"/>
      <c r="BB60" s="1"/>
      <c r="BC60" s="61"/>
      <c r="BD60" s="1"/>
      <c r="BE60" s="1"/>
      <c r="BF60" s="61"/>
      <c r="BG60" s="1"/>
      <c r="BH60" s="61"/>
      <c r="BI60" s="1"/>
      <c r="BJ60" s="61"/>
      <c r="BK60" s="67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61"/>
      <c r="BX60" s="1"/>
      <c r="BY60" s="1"/>
      <c r="BZ60" s="1"/>
      <c r="CA60" s="61"/>
      <c r="CB60" s="1"/>
      <c r="CC60" s="1"/>
      <c r="CD60" s="1"/>
      <c r="CE60" s="6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8"/>
      <c r="DM60" s="8"/>
      <c r="DN60" s="8"/>
    </row>
    <row r="61" spans="1:118" ht="12.95" hidden="1" customHeight="1">
      <c r="A61" s="91" t="s">
        <v>12</v>
      </c>
      <c r="B61" s="91"/>
      <c r="C61" s="267" t="s">
        <v>14</v>
      </c>
      <c r="D61" s="279">
        <v>18.48</v>
      </c>
      <c r="E61" s="155" t="s">
        <v>68</v>
      </c>
      <c r="F61" s="160" t="s">
        <v>97</v>
      </c>
      <c r="G61" s="6">
        <v>23</v>
      </c>
      <c r="H61" s="5" t="s">
        <v>16</v>
      </c>
      <c r="I61" s="23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>
        <v>21.6</v>
      </c>
      <c r="AC61" s="61"/>
      <c r="AD61" s="61"/>
      <c r="AE61" s="61"/>
      <c r="AF61" s="61"/>
      <c r="AG61" s="61"/>
      <c r="AH61" s="61"/>
      <c r="AI61" s="61"/>
      <c r="AJ61" s="61"/>
      <c r="AK61" s="61">
        <v>22.8</v>
      </c>
      <c r="AL61" s="61"/>
      <c r="AM61" s="61"/>
      <c r="AN61" s="61"/>
      <c r="AO61" s="61">
        <v>23.1</v>
      </c>
      <c r="AP61" s="1"/>
      <c r="AQ61" s="1"/>
      <c r="AR61" s="61"/>
      <c r="AS61" s="61"/>
      <c r="AT61" s="61"/>
      <c r="AU61" s="61"/>
      <c r="AV61" s="61"/>
      <c r="AW61" s="1"/>
      <c r="AX61" s="1"/>
      <c r="AY61" s="1"/>
      <c r="AZ61" s="1"/>
      <c r="BA61" s="1"/>
      <c r="BB61" s="1"/>
      <c r="BC61" s="61"/>
      <c r="BD61" s="1"/>
      <c r="BE61" s="1"/>
      <c r="BF61" s="61"/>
      <c r="BG61" s="1"/>
      <c r="BH61" s="61"/>
      <c r="BI61" s="1"/>
      <c r="BJ61" s="61"/>
      <c r="BK61" s="67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61"/>
      <c r="BX61" s="1"/>
      <c r="BY61" s="1"/>
      <c r="BZ61" s="1"/>
      <c r="CA61" s="61"/>
      <c r="CB61" s="1"/>
      <c r="CC61" s="1"/>
      <c r="CD61" s="1"/>
      <c r="CE61" s="6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8"/>
      <c r="DM61" s="8"/>
      <c r="DN61" s="8"/>
    </row>
    <row r="62" spans="1:118" ht="12.95" hidden="1" customHeight="1">
      <c r="A62" s="91" t="s">
        <v>12</v>
      </c>
      <c r="B62" s="91"/>
      <c r="C62" s="267" t="s">
        <v>14</v>
      </c>
      <c r="D62" s="279"/>
      <c r="E62" s="155" t="s">
        <v>68</v>
      </c>
      <c r="F62" s="160" t="s">
        <v>98</v>
      </c>
      <c r="G62" s="6"/>
      <c r="H62" s="5" t="s">
        <v>16</v>
      </c>
      <c r="I62" s="23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>
        <v>22.4</v>
      </c>
      <c r="AC62" s="61"/>
      <c r="AD62" s="67">
        <v>22.4</v>
      </c>
      <c r="AE62" s="67"/>
      <c r="AF62" s="61"/>
      <c r="AG62" s="61"/>
      <c r="AH62" s="61"/>
      <c r="AI62" s="61"/>
      <c r="AJ62" s="61"/>
      <c r="AK62" s="61">
        <v>23.9</v>
      </c>
      <c r="AL62" s="61"/>
      <c r="AM62" s="61"/>
      <c r="AN62" s="61"/>
      <c r="AO62" s="61"/>
      <c r="AP62" s="1"/>
      <c r="AQ62" s="1"/>
      <c r="AR62" s="61"/>
      <c r="AS62" s="61"/>
      <c r="AT62" s="61"/>
      <c r="AU62" s="61"/>
      <c r="AV62" s="61"/>
      <c r="AW62" s="1"/>
      <c r="AX62" s="1"/>
      <c r="AY62" s="1"/>
      <c r="AZ62" s="1"/>
      <c r="BA62" s="1"/>
      <c r="BB62" s="1"/>
      <c r="BC62" s="61"/>
      <c r="BD62" s="1"/>
      <c r="BE62" s="1"/>
      <c r="BF62" s="61"/>
      <c r="BG62" s="1"/>
      <c r="BH62" s="61"/>
      <c r="BI62" s="1"/>
      <c r="BJ62" s="61"/>
      <c r="BK62" s="67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61"/>
      <c r="BX62" s="1"/>
      <c r="BY62" s="1"/>
      <c r="BZ62" s="1"/>
      <c r="CA62" s="61"/>
      <c r="CB62" s="1"/>
      <c r="CC62" s="1"/>
      <c r="CD62" s="1"/>
      <c r="CE62" s="6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8"/>
      <c r="DM62" s="8"/>
      <c r="DN62" s="8"/>
    </row>
    <row r="63" spans="1:118" s="104" customFormat="1" ht="12.95" hidden="1" customHeight="1">
      <c r="A63" s="96" t="s">
        <v>12</v>
      </c>
      <c r="B63" s="96" t="s">
        <v>13</v>
      </c>
      <c r="C63" s="269" t="s">
        <v>14</v>
      </c>
      <c r="D63" s="281">
        <v>18.41</v>
      </c>
      <c r="E63" s="157" t="s">
        <v>68</v>
      </c>
      <c r="F63" s="161" t="s">
        <v>99</v>
      </c>
      <c r="G63" s="102"/>
      <c r="H63" s="109" t="s">
        <v>16</v>
      </c>
      <c r="I63" s="232"/>
      <c r="J63" s="107"/>
      <c r="K63" s="107"/>
      <c r="L63" s="107"/>
      <c r="M63" s="107"/>
      <c r="N63" s="107"/>
      <c r="O63" s="107"/>
      <c r="P63" s="107"/>
      <c r="Q63" s="107"/>
      <c r="R63" s="107"/>
      <c r="S63" s="107">
        <v>18.3</v>
      </c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>
        <v>20.5</v>
      </c>
      <c r="AF63" s="107"/>
      <c r="AG63" s="107"/>
      <c r="AH63" s="107"/>
      <c r="AI63" s="107"/>
      <c r="AJ63" s="107"/>
      <c r="AK63" s="107"/>
      <c r="AL63" s="107">
        <v>23.1</v>
      </c>
      <c r="AM63" s="107"/>
      <c r="AN63" s="123">
        <v>23.1</v>
      </c>
      <c r="AO63" s="107"/>
      <c r="AP63" s="108"/>
      <c r="AQ63" s="108"/>
      <c r="AR63" s="107"/>
      <c r="AS63" s="107"/>
      <c r="AT63" s="107"/>
      <c r="AU63" s="107"/>
      <c r="AV63" s="107"/>
      <c r="AW63" s="108"/>
      <c r="AX63" s="108"/>
      <c r="AY63" s="108"/>
      <c r="AZ63" s="108"/>
      <c r="BA63" s="108"/>
      <c r="BB63" s="108"/>
      <c r="BC63" s="107"/>
      <c r="BD63" s="108"/>
      <c r="BE63" s="108"/>
      <c r="BF63" s="107"/>
      <c r="BG63" s="108"/>
      <c r="BH63" s="107"/>
      <c r="BI63" s="108"/>
      <c r="BJ63" s="107"/>
      <c r="BK63" s="123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7"/>
      <c r="BX63" s="108"/>
      <c r="BY63" s="108"/>
      <c r="BZ63" s="108"/>
      <c r="CA63" s="107"/>
      <c r="CB63" s="108"/>
      <c r="CC63" s="108"/>
      <c r="CD63" s="108"/>
      <c r="CE63" s="107"/>
      <c r="CF63" s="108"/>
      <c r="CG63" s="108"/>
      <c r="CH63" s="108"/>
      <c r="CI63" s="108"/>
      <c r="CJ63" s="108"/>
      <c r="CK63" s="108"/>
      <c r="CL63" s="108"/>
      <c r="CM63" s="108"/>
      <c r="CN63" s="108"/>
      <c r="CO63" s="108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108"/>
      <c r="DD63" s="108"/>
      <c r="DE63" s="108"/>
      <c r="DF63" s="108"/>
      <c r="DG63" s="108"/>
      <c r="DH63" s="108"/>
      <c r="DI63" s="108"/>
      <c r="DJ63" s="108"/>
      <c r="DK63" s="108"/>
      <c r="DL63" s="103"/>
      <c r="DM63" s="103"/>
      <c r="DN63" s="103"/>
    </row>
    <row r="64" spans="1:118" ht="12.95" hidden="1" customHeight="1">
      <c r="A64" s="91" t="s">
        <v>12</v>
      </c>
      <c r="B64" s="91" t="s">
        <v>13</v>
      </c>
      <c r="C64" s="267" t="s">
        <v>20</v>
      </c>
      <c r="D64" s="279">
        <v>66.53</v>
      </c>
      <c r="E64" s="155" t="s">
        <v>68</v>
      </c>
      <c r="F64" s="160" t="s">
        <v>100</v>
      </c>
      <c r="G64" s="6"/>
      <c r="H64" s="5" t="s">
        <v>16</v>
      </c>
      <c r="I64" s="23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>
        <v>19.399999999999999</v>
      </c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>
        <v>19</v>
      </c>
      <c r="AL64" s="61"/>
      <c r="AM64" s="61"/>
      <c r="AN64" s="61">
        <v>21.6</v>
      </c>
      <c r="AO64" s="61"/>
      <c r="AP64" s="1"/>
      <c r="AQ64" s="1"/>
      <c r="AR64" s="61"/>
      <c r="AS64" s="61"/>
      <c r="AT64" s="61"/>
      <c r="AU64" s="61"/>
      <c r="AV64" s="61"/>
      <c r="AW64" s="1"/>
      <c r="AX64" s="1"/>
      <c r="AY64" s="61">
        <v>23</v>
      </c>
      <c r="AZ64" s="61"/>
      <c r="BA64" s="1"/>
      <c r="BB64" s="61"/>
      <c r="BC64" s="61"/>
      <c r="BD64" s="1"/>
      <c r="BE64" s="1"/>
      <c r="BF64" s="61"/>
      <c r="BG64" s="1"/>
      <c r="BH64" s="61"/>
      <c r="BI64" s="1"/>
      <c r="BJ64" s="61"/>
      <c r="BK64" s="67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61"/>
      <c r="BX64" s="1"/>
      <c r="BY64" s="1"/>
      <c r="BZ64" s="1"/>
      <c r="CA64" s="61"/>
      <c r="CB64" s="1"/>
      <c r="CC64" s="1"/>
      <c r="CD64" s="1"/>
      <c r="CE64" s="6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8"/>
      <c r="DM64" s="8"/>
      <c r="DN64" s="8"/>
    </row>
    <row r="65" spans="1:118" ht="12.95" hidden="1" customHeight="1">
      <c r="A65" s="91" t="s">
        <v>12</v>
      </c>
      <c r="B65" s="91"/>
      <c r="C65" s="267" t="s">
        <v>20</v>
      </c>
      <c r="D65" s="279">
        <v>66.53</v>
      </c>
      <c r="E65" s="155" t="s">
        <v>68</v>
      </c>
      <c r="F65" s="160" t="s">
        <v>101</v>
      </c>
      <c r="G65" s="6"/>
      <c r="H65" s="5" t="s">
        <v>16</v>
      </c>
      <c r="I65" s="228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>
        <v>19.8</v>
      </c>
      <c r="AO65" s="64"/>
      <c r="AP65" s="18"/>
      <c r="AQ65" s="18"/>
      <c r="AR65" s="64"/>
      <c r="AS65" s="64"/>
      <c r="AT65" s="64">
        <v>22.2</v>
      </c>
      <c r="AU65" s="64"/>
      <c r="AV65" s="64"/>
      <c r="AW65" s="18"/>
      <c r="AX65" s="18"/>
      <c r="AY65" s="64"/>
      <c r="AZ65" s="64"/>
      <c r="BA65" s="18"/>
      <c r="BB65" s="64"/>
      <c r="BC65" s="64"/>
      <c r="BD65" s="18"/>
      <c r="BE65" s="18"/>
      <c r="BF65" s="64"/>
      <c r="BG65" s="18"/>
      <c r="BH65" s="64"/>
      <c r="BI65" s="18"/>
      <c r="BJ65" s="64"/>
      <c r="BK65" s="65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64"/>
      <c r="BX65" s="18"/>
      <c r="BY65" s="18"/>
      <c r="BZ65" s="18"/>
      <c r="CA65" s="64"/>
      <c r="CB65" s="18"/>
      <c r="CC65" s="18"/>
      <c r="CD65" s="18"/>
      <c r="CE65" s="64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8"/>
      <c r="DM65" s="8"/>
      <c r="DN65" s="8"/>
    </row>
    <row r="66" spans="1:118" s="104" customFormat="1" ht="12.95" hidden="1" customHeight="1">
      <c r="A66" s="96" t="s">
        <v>12</v>
      </c>
      <c r="B66" s="96" t="s">
        <v>13</v>
      </c>
      <c r="C66" s="269" t="s">
        <v>14</v>
      </c>
      <c r="D66" s="281">
        <v>37.82</v>
      </c>
      <c r="E66" s="157" t="s">
        <v>68</v>
      </c>
      <c r="F66" s="162" t="s">
        <v>102</v>
      </c>
      <c r="G66" s="102">
        <v>23</v>
      </c>
      <c r="H66" s="109" t="s">
        <v>16</v>
      </c>
      <c r="I66" s="238"/>
      <c r="J66" s="111"/>
      <c r="K66" s="111"/>
      <c r="L66" s="111"/>
      <c r="M66" s="111"/>
      <c r="N66" s="111"/>
      <c r="O66" s="111"/>
      <c r="P66" s="111"/>
      <c r="Q66" s="111"/>
      <c r="R66" s="111"/>
      <c r="S66" s="111">
        <v>19.399999999999999</v>
      </c>
      <c r="T66" s="111"/>
      <c r="U66" s="111"/>
      <c r="V66" s="111"/>
      <c r="W66" s="111"/>
      <c r="X66" s="111"/>
      <c r="Y66" s="111"/>
      <c r="Z66" s="111">
        <v>20.6</v>
      </c>
      <c r="AA66" s="111"/>
      <c r="AB66" s="114"/>
      <c r="AC66" s="111"/>
      <c r="AD66" s="111"/>
      <c r="AE66" s="111"/>
      <c r="AF66" s="111"/>
      <c r="AG66" s="111"/>
      <c r="AH66" s="111">
        <v>22.5</v>
      </c>
      <c r="AI66" s="111"/>
      <c r="AJ66" s="111"/>
      <c r="AK66" s="111"/>
      <c r="AL66" s="111"/>
      <c r="AM66" s="111"/>
      <c r="AN66" s="114">
        <v>23.9</v>
      </c>
      <c r="AO66" s="111"/>
      <c r="AP66" s="112"/>
      <c r="AQ66" s="112"/>
      <c r="AR66" s="111"/>
      <c r="AS66" s="111"/>
      <c r="AT66" s="111"/>
      <c r="AU66" s="111"/>
      <c r="AV66" s="111"/>
      <c r="AW66" s="112"/>
      <c r="AX66" s="112"/>
      <c r="AY66" s="112"/>
      <c r="AZ66" s="112"/>
      <c r="BA66" s="112"/>
      <c r="BB66" s="112"/>
      <c r="BC66" s="111"/>
      <c r="BD66" s="112"/>
      <c r="BE66" s="112"/>
      <c r="BF66" s="111"/>
      <c r="BG66" s="112"/>
      <c r="BH66" s="111"/>
      <c r="BI66" s="112"/>
      <c r="BJ66" s="111"/>
      <c r="BK66" s="114"/>
      <c r="BL66" s="112"/>
      <c r="BM66" s="112"/>
      <c r="BN66" s="112"/>
      <c r="BO66" s="112"/>
      <c r="BP66" s="112"/>
      <c r="BQ66" s="112"/>
      <c r="BR66" s="112"/>
      <c r="BS66" s="112"/>
      <c r="BT66" s="112"/>
      <c r="BU66" s="112"/>
      <c r="BV66" s="112"/>
      <c r="BW66" s="111"/>
      <c r="BX66" s="112"/>
      <c r="BY66" s="112"/>
      <c r="BZ66" s="112"/>
      <c r="CA66" s="111"/>
      <c r="CB66" s="112"/>
      <c r="CC66" s="112"/>
      <c r="CD66" s="112"/>
      <c r="CE66" s="111"/>
      <c r="CF66" s="112"/>
      <c r="CG66" s="112"/>
      <c r="CH66" s="112"/>
      <c r="CI66" s="112"/>
      <c r="CJ66" s="112"/>
      <c r="CK66" s="112"/>
      <c r="CL66" s="112"/>
      <c r="CM66" s="112"/>
      <c r="CN66" s="112"/>
      <c r="CO66" s="112"/>
      <c r="CP66" s="112"/>
      <c r="CQ66" s="112"/>
      <c r="CR66" s="112"/>
      <c r="CS66" s="112"/>
      <c r="CT66" s="112"/>
      <c r="CU66" s="112"/>
      <c r="CV66" s="112"/>
      <c r="CW66" s="112"/>
      <c r="CX66" s="112"/>
      <c r="CY66" s="112"/>
      <c r="CZ66" s="112"/>
      <c r="DA66" s="112"/>
      <c r="DB66" s="112"/>
      <c r="DC66" s="112"/>
      <c r="DD66" s="112"/>
      <c r="DE66" s="112"/>
      <c r="DF66" s="112"/>
      <c r="DG66" s="112"/>
      <c r="DH66" s="112"/>
      <c r="DI66" s="112"/>
      <c r="DJ66" s="112"/>
      <c r="DK66" s="112"/>
      <c r="DL66" s="103"/>
      <c r="DM66" s="103"/>
      <c r="DN66" s="103"/>
    </row>
    <row r="67" spans="1:118" ht="13.35" hidden="1" customHeight="1">
      <c r="A67" s="91" t="s">
        <v>12</v>
      </c>
      <c r="B67" s="91"/>
      <c r="C67" s="267" t="s">
        <v>20</v>
      </c>
      <c r="D67" s="279">
        <v>12.58</v>
      </c>
      <c r="E67" s="155" t="s">
        <v>68</v>
      </c>
      <c r="F67" s="160" t="s">
        <v>103</v>
      </c>
      <c r="G67" s="6"/>
      <c r="H67" s="5"/>
      <c r="I67" s="228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>
        <v>22</v>
      </c>
      <c r="AA67" s="64"/>
      <c r="AB67" s="64"/>
      <c r="AC67" s="64"/>
      <c r="AD67" s="64"/>
      <c r="AE67" s="64"/>
      <c r="AF67" s="64"/>
      <c r="AG67" s="64"/>
      <c r="AH67" s="64"/>
      <c r="AI67" s="64">
        <v>17.600000000000001</v>
      </c>
      <c r="AJ67" s="64"/>
      <c r="AK67" s="64"/>
      <c r="AL67" s="64"/>
      <c r="AM67" s="64"/>
      <c r="AN67" s="64"/>
      <c r="AO67" s="64">
        <v>20</v>
      </c>
      <c r="AP67" s="18"/>
      <c r="AQ67" s="18"/>
      <c r="AR67" s="64"/>
      <c r="AS67" s="64"/>
      <c r="AT67" s="65"/>
      <c r="AU67" s="64"/>
      <c r="AV67" s="64"/>
      <c r="AW67" s="18"/>
      <c r="AX67" s="18"/>
      <c r="AY67" s="64"/>
      <c r="AZ67" s="64">
        <v>23.5</v>
      </c>
      <c r="BA67" s="18"/>
      <c r="BB67" s="18"/>
      <c r="BC67" s="64"/>
      <c r="BD67" s="18"/>
      <c r="BE67" s="18"/>
      <c r="BF67" s="64"/>
      <c r="BG67" s="18"/>
      <c r="BH67" s="64"/>
      <c r="BI67" s="18"/>
      <c r="BJ67" s="64"/>
      <c r="BK67" s="65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64"/>
      <c r="BX67" s="18"/>
      <c r="BY67" s="18"/>
      <c r="BZ67" s="18"/>
      <c r="CA67" s="64"/>
      <c r="CB67" s="18"/>
      <c r="CC67" s="18"/>
      <c r="CD67" s="18"/>
      <c r="CE67" s="64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8"/>
      <c r="DM67" s="8"/>
      <c r="DN67" s="8"/>
    </row>
    <row r="68" spans="1:118" ht="13.35" hidden="1" customHeight="1">
      <c r="A68" s="91" t="s">
        <v>12</v>
      </c>
      <c r="B68" s="91"/>
      <c r="C68" s="267" t="s">
        <v>20</v>
      </c>
      <c r="D68" s="279"/>
      <c r="E68" s="155" t="s">
        <v>68</v>
      </c>
      <c r="F68" s="160" t="s">
        <v>104</v>
      </c>
      <c r="G68" s="6"/>
      <c r="H68" s="5"/>
      <c r="I68" s="23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1"/>
      <c r="AQ68" s="1"/>
      <c r="AR68" s="61"/>
      <c r="AS68" s="61"/>
      <c r="AT68" s="61"/>
      <c r="AU68" s="61"/>
      <c r="AV68" s="61"/>
      <c r="AW68" s="1"/>
      <c r="AX68" s="1"/>
      <c r="AY68" s="61"/>
      <c r="AZ68" s="61"/>
      <c r="BA68" s="1"/>
      <c r="BB68" s="1"/>
      <c r="BC68" s="61"/>
      <c r="BD68" s="1"/>
      <c r="BE68" s="1"/>
      <c r="BF68" s="61"/>
      <c r="BG68" s="1"/>
      <c r="BH68" s="61"/>
      <c r="BI68" s="1"/>
      <c r="BJ68" s="61"/>
      <c r="BK68" s="67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61"/>
      <c r="BX68" s="1"/>
      <c r="BY68" s="1"/>
      <c r="BZ68" s="1"/>
      <c r="CA68" s="61"/>
      <c r="CB68" s="1"/>
      <c r="CC68" s="1"/>
      <c r="CD68" s="1"/>
      <c r="CE68" s="6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8"/>
      <c r="DM68" s="8"/>
      <c r="DN68" s="8"/>
    </row>
    <row r="69" spans="1:118" ht="13.35" hidden="1" customHeight="1">
      <c r="A69" s="91" t="s">
        <v>12</v>
      </c>
      <c r="B69" s="91"/>
      <c r="C69" s="267" t="s">
        <v>20</v>
      </c>
      <c r="D69" s="279"/>
      <c r="E69" s="155" t="s">
        <v>68</v>
      </c>
      <c r="F69" s="160" t="s">
        <v>105</v>
      </c>
      <c r="G69" s="6"/>
      <c r="H69" s="5"/>
      <c r="I69" s="233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13"/>
      <c r="AQ69" s="13"/>
      <c r="AR69" s="59"/>
      <c r="AS69" s="59"/>
      <c r="AT69" s="59"/>
      <c r="AU69" s="59"/>
      <c r="AV69" s="59"/>
      <c r="AW69" s="13"/>
      <c r="AX69" s="13"/>
      <c r="AY69" s="59"/>
      <c r="AZ69" s="59"/>
      <c r="BA69" s="13"/>
      <c r="BB69" s="13"/>
      <c r="BC69" s="59"/>
      <c r="BD69" s="13"/>
      <c r="BE69" s="13"/>
      <c r="BF69" s="59"/>
      <c r="BG69" s="13"/>
      <c r="BH69" s="59"/>
      <c r="BI69" s="13"/>
      <c r="BJ69" s="59"/>
      <c r="BK69" s="254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59"/>
      <c r="BX69" s="13"/>
      <c r="BY69" s="13"/>
      <c r="BZ69" s="13"/>
      <c r="CA69" s="59"/>
      <c r="CB69" s="13"/>
      <c r="CC69" s="13"/>
      <c r="CD69" s="13"/>
      <c r="CE69" s="59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8"/>
      <c r="DM69" s="8"/>
      <c r="DN69" s="8"/>
    </row>
    <row r="70" spans="1:118" ht="13.35" hidden="1" customHeight="1">
      <c r="A70" s="91" t="s">
        <v>12</v>
      </c>
      <c r="B70" s="96"/>
      <c r="C70" s="267" t="s">
        <v>20</v>
      </c>
      <c r="D70" s="279">
        <v>17.809999999999999</v>
      </c>
      <c r="E70" s="155" t="s">
        <v>68</v>
      </c>
      <c r="F70" s="160" t="s">
        <v>106</v>
      </c>
      <c r="G70" s="6"/>
      <c r="H70" s="5"/>
      <c r="I70" s="232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61"/>
      <c r="X70" s="61"/>
      <c r="Y70" s="61"/>
      <c r="Z70" s="61">
        <v>17</v>
      </c>
      <c r="AA70" s="61"/>
      <c r="AB70" s="61"/>
      <c r="AC70" s="61"/>
      <c r="AD70" s="61"/>
      <c r="AE70" s="61"/>
      <c r="AF70" s="61"/>
      <c r="AG70" s="61"/>
      <c r="AH70" s="61"/>
      <c r="AI70" s="61">
        <v>16.8</v>
      </c>
      <c r="AJ70" s="61"/>
      <c r="AK70" s="61"/>
      <c r="AL70" s="61"/>
      <c r="AM70" s="61"/>
      <c r="AN70" s="61"/>
      <c r="AO70" s="61">
        <v>18.399999999999999</v>
      </c>
      <c r="AP70" s="1"/>
      <c r="AQ70" s="1"/>
      <c r="AR70" s="61"/>
      <c r="AS70" s="61"/>
      <c r="AT70" s="67"/>
      <c r="AU70" s="61"/>
      <c r="AV70" s="61"/>
      <c r="AW70" s="1"/>
      <c r="AX70" s="1"/>
      <c r="AY70" s="61"/>
      <c r="AZ70" s="61">
        <v>21.4</v>
      </c>
      <c r="BA70" s="1"/>
      <c r="BB70" s="1"/>
      <c r="BC70" s="61"/>
      <c r="BD70" s="1"/>
      <c r="BE70" s="1"/>
      <c r="BF70" s="61"/>
      <c r="BG70" s="1"/>
      <c r="BH70" s="61"/>
      <c r="BI70" s="1"/>
      <c r="BJ70" s="61"/>
      <c r="BK70" s="67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61"/>
      <c r="BX70" s="1"/>
      <c r="BY70" s="1"/>
      <c r="BZ70" s="1"/>
      <c r="CA70" s="61"/>
      <c r="CB70" s="1"/>
      <c r="CC70" s="1"/>
      <c r="CD70" s="1"/>
      <c r="CE70" s="6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8"/>
      <c r="DM70" s="8"/>
      <c r="DN70" s="8"/>
    </row>
    <row r="71" spans="1:118" s="104" customFormat="1" ht="13.35" hidden="1" customHeight="1">
      <c r="A71" s="96" t="s">
        <v>12</v>
      </c>
      <c r="B71" s="96"/>
      <c r="C71" s="269" t="s">
        <v>20</v>
      </c>
      <c r="D71" s="281"/>
      <c r="E71" s="157" t="s">
        <v>68</v>
      </c>
      <c r="F71" s="163" t="s">
        <v>107</v>
      </c>
      <c r="G71" s="102"/>
      <c r="H71" s="109"/>
      <c r="I71" s="238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2"/>
      <c r="AQ71" s="112"/>
      <c r="AR71" s="111"/>
      <c r="AS71" s="111"/>
      <c r="AT71" s="111"/>
      <c r="AU71" s="111"/>
      <c r="AV71" s="111"/>
      <c r="AW71" s="112"/>
      <c r="AX71" s="112"/>
      <c r="AY71" s="111"/>
      <c r="AZ71" s="111"/>
      <c r="BA71" s="112"/>
      <c r="BB71" s="112"/>
      <c r="BC71" s="111"/>
      <c r="BD71" s="112"/>
      <c r="BE71" s="112"/>
      <c r="BF71" s="111"/>
      <c r="BG71" s="112"/>
      <c r="BH71" s="111"/>
      <c r="BI71" s="112"/>
      <c r="BJ71" s="111"/>
      <c r="BK71" s="114"/>
      <c r="BL71" s="112"/>
      <c r="BM71" s="112"/>
      <c r="BN71" s="112"/>
      <c r="BO71" s="112"/>
      <c r="BP71" s="112"/>
      <c r="BQ71" s="112"/>
      <c r="BR71" s="112"/>
      <c r="BS71" s="112"/>
      <c r="BT71" s="112"/>
      <c r="BU71" s="112"/>
      <c r="BV71" s="112"/>
      <c r="BW71" s="111"/>
      <c r="BX71" s="112"/>
      <c r="BY71" s="112"/>
      <c r="BZ71" s="112"/>
      <c r="CA71" s="111"/>
      <c r="CB71" s="112"/>
      <c r="CC71" s="112"/>
      <c r="CD71" s="112"/>
      <c r="CE71" s="111"/>
      <c r="CF71" s="112"/>
      <c r="CG71" s="112"/>
      <c r="CH71" s="112"/>
      <c r="CI71" s="112"/>
      <c r="CJ71" s="112"/>
      <c r="CK71" s="112"/>
      <c r="CL71" s="112"/>
      <c r="CM71" s="112"/>
      <c r="CN71" s="112"/>
      <c r="CO71" s="112"/>
      <c r="CP71" s="112"/>
      <c r="CQ71" s="112"/>
      <c r="CR71" s="112"/>
      <c r="CS71" s="112"/>
      <c r="CT71" s="112"/>
      <c r="CU71" s="112"/>
      <c r="CV71" s="112"/>
      <c r="CW71" s="112"/>
      <c r="CX71" s="112"/>
      <c r="CY71" s="112"/>
      <c r="CZ71" s="112"/>
      <c r="DA71" s="112"/>
      <c r="DB71" s="112"/>
      <c r="DC71" s="112"/>
      <c r="DD71" s="112"/>
      <c r="DE71" s="112"/>
      <c r="DF71" s="112"/>
      <c r="DG71" s="112"/>
      <c r="DH71" s="112"/>
      <c r="DI71" s="112"/>
      <c r="DJ71" s="112"/>
      <c r="DK71" s="112"/>
      <c r="DL71" s="103"/>
      <c r="DM71" s="103"/>
      <c r="DN71" s="103"/>
    </row>
    <row r="72" spans="1:118" ht="13.35" hidden="1" customHeight="1">
      <c r="A72" s="91" t="s">
        <v>12</v>
      </c>
      <c r="B72" s="91"/>
      <c r="C72" s="267" t="s">
        <v>20</v>
      </c>
      <c r="D72" s="279">
        <v>9.75</v>
      </c>
      <c r="E72" s="155" t="s">
        <v>68</v>
      </c>
      <c r="F72" s="164" t="s">
        <v>108</v>
      </c>
      <c r="G72" s="6"/>
      <c r="H72" s="5"/>
      <c r="I72" s="228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>
        <v>21.3</v>
      </c>
      <c r="AA72" s="64"/>
      <c r="AB72" s="64"/>
      <c r="AC72" s="64"/>
      <c r="AD72" s="64"/>
      <c r="AE72" s="64">
        <v>21</v>
      </c>
      <c r="AF72" s="64"/>
      <c r="AG72" s="64"/>
      <c r="AH72" s="64"/>
      <c r="AI72" s="64"/>
      <c r="AJ72" s="64"/>
      <c r="AK72" s="64"/>
      <c r="AL72" s="64"/>
      <c r="AM72" s="64">
        <v>25</v>
      </c>
      <c r="AN72" s="64"/>
      <c r="AO72" s="64">
        <v>25.8</v>
      </c>
      <c r="AP72" s="18"/>
      <c r="AQ72" s="18"/>
      <c r="AR72" s="64"/>
      <c r="AS72" s="64"/>
      <c r="AT72" s="64"/>
      <c r="AU72" s="64"/>
      <c r="AV72" s="64"/>
      <c r="AW72" s="18"/>
      <c r="AX72" s="18"/>
      <c r="AY72" s="64"/>
      <c r="AZ72" s="64"/>
      <c r="BA72" s="18"/>
      <c r="BB72" s="18"/>
      <c r="BC72" s="64"/>
      <c r="BD72" s="18"/>
      <c r="BE72" s="18"/>
      <c r="BF72" s="64"/>
      <c r="BG72" s="18"/>
      <c r="BH72" s="64"/>
      <c r="BI72" s="18"/>
      <c r="BJ72" s="64"/>
      <c r="BK72" s="65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64"/>
      <c r="BX72" s="18"/>
      <c r="BY72" s="18"/>
      <c r="BZ72" s="18"/>
      <c r="CA72" s="64"/>
      <c r="CB72" s="18"/>
      <c r="CC72" s="18"/>
      <c r="CD72" s="18"/>
      <c r="CE72" s="64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8"/>
      <c r="DM72" s="8"/>
      <c r="DN72" s="8"/>
    </row>
    <row r="73" spans="1:118" s="104" customFormat="1" ht="13.35" hidden="1" customHeight="1">
      <c r="A73" s="96" t="s">
        <v>12</v>
      </c>
      <c r="B73" s="96"/>
      <c r="C73" s="269" t="s">
        <v>31</v>
      </c>
      <c r="D73" s="281">
        <v>41.7</v>
      </c>
      <c r="E73" s="157" t="s">
        <v>68</v>
      </c>
      <c r="F73" s="161" t="s">
        <v>109</v>
      </c>
      <c r="G73" s="102">
        <v>21.5</v>
      </c>
      <c r="H73" s="109" t="s">
        <v>110</v>
      </c>
      <c r="I73" s="238"/>
      <c r="J73" s="220">
        <v>11.2</v>
      </c>
      <c r="K73" s="111"/>
      <c r="L73" s="111"/>
      <c r="M73" s="111"/>
      <c r="N73" s="111"/>
      <c r="O73" s="111"/>
      <c r="P73" s="111"/>
      <c r="Q73" s="111"/>
      <c r="R73" s="111"/>
      <c r="S73" s="111"/>
      <c r="T73" s="220">
        <v>16.100000000000001</v>
      </c>
      <c r="U73" s="111"/>
      <c r="V73" s="111"/>
      <c r="W73" s="111"/>
      <c r="X73" s="111"/>
      <c r="Y73" s="111"/>
      <c r="Z73" s="220">
        <v>17.3</v>
      </c>
      <c r="AA73" s="111"/>
      <c r="AB73" s="111"/>
      <c r="AC73" s="111"/>
      <c r="AD73" s="111">
        <v>18.600000000000001</v>
      </c>
      <c r="AE73" s="111"/>
      <c r="AF73" s="311">
        <v>18.2</v>
      </c>
      <c r="AG73" s="111"/>
      <c r="AH73" s="111"/>
      <c r="AI73" s="111"/>
      <c r="AJ73" s="111"/>
      <c r="AK73" s="111"/>
      <c r="AL73" s="111"/>
      <c r="AM73" s="111"/>
      <c r="AN73" s="111">
        <v>21.2</v>
      </c>
      <c r="AO73" s="111"/>
      <c r="AP73" s="112"/>
      <c r="AQ73" s="112"/>
      <c r="AR73" s="111"/>
      <c r="AS73" s="111"/>
      <c r="AT73" s="111">
        <v>22.3</v>
      </c>
      <c r="AU73" s="111">
        <v>23</v>
      </c>
      <c r="AV73" s="111"/>
      <c r="AW73" s="112"/>
      <c r="AX73" s="112"/>
      <c r="AY73" s="111"/>
      <c r="AZ73" s="111"/>
      <c r="BA73" s="112"/>
      <c r="BB73" s="112"/>
      <c r="BC73" s="111"/>
      <c r="BD73" s="112"/>
      <c r="BE73" s="112"/>
      <c r="BF73" s="111"/>
      <c r="BG73" s="112"/>
      <c r="BH73" s="111"/>
      <c r="BI73" s="112"/>
      <c r="BJ73" s="111"/>
      <c r="BK73" s="114"/>
      <c r="BL73" s="112"/>
      <c r="BM73" s="112"/>
      <c r="BN73" s="112"/>
      <c r="BO73" s="112"/>
      <c r="BP73" s="112"/>
      <c r="BQ73" s="112"/>
      <c r="BR73" s="112"/>
      <c r="BS73" s="112"/>
      <c r="BT73" s="112"/>
      <c r="BU73" s="112"/>
      <c r="BV73" s="112"/>
      <c r="BW73" s="111"/>
      <c r="BX73" s="112"/>
      <c r="BY73" s="112"/>
      <c r="BZ73" s="112"/>
      <c r="CA73" s="111"/>
      <c r="CB73" s="112"/>
      <c r="CC73" s="112"/>
      <c r="CD73" s="112"/>
      <c r="CE73" s="111"/>
      <c r="CF73" s="112"/>
      <c r="CG73" s="112"/>
      <c r="CH73" s="112"/>
      <c r="CI73" s="112"/>
      <c r="CJ73" s="112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2"/>
      <c r="CY73" s="112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03"/>
      <c r="DM73" s="103"/>
      <c r="DN73" s="103"/>
    </row>
    <row r="74" spans="1:118" s="104" customFormat="1" ht="13.35" hidden="1" customHeight="1">
      <c r="A74" s="96" t="s">
        <v>12</v>
      </c>
      <c r="B74" s="96"/>
      <c r="C74" s="269" t="s">
        <v>31</v>
      </c>
      <c r="D74" s="281"/>
      <c r="E74" s="157" t="s">
        <v>68</v>
      </c>
      <c r="F74" s="161" t="s">
        <v>111</v>
      </c>
      <c r="G74" s="102">
        <v>21.5</v>
      </c>
      <c r="H74" s="109" t="s">
        <v>110</v>
      </c>
      <c r="I74" s="238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2"/>
      <c r="AQ74" s="112"/>
      <c r="AR74" s="111"/>
      <c r="AS74" s="111"/>
      <c r="AT74" s="111">
        <v>22.6</v>
      </c>
      <c r="AU74" s="111"/>
      <c r="AV74" s="111"/>
      <c r="AW74" s="112"/>
      <c r="AX74" s="112"/>
      <c r="AY74" s="111"/>
      <c r="AZ74" s="111"/>
      <c r="BA74" s="112"/>
      <c r="BB74" s="112"/>
      <c r="BC74" s="111"/>
      <c r="BD74" s="112"/>
      <c r="BE74" s="112"/>
      <c r="BF74" s="111"/>
      <c r="BG74" s="112"/>
      <c r="BH74" s="111"/>
      <c r="BI74" s="112"/>
      <c r="BJ74" s="111"/>
      <c r="BK74" s="114"/>
      <c r="BL74" s="112"/>
      <c r="BM74" s="112"/>
      <c r="BN74" s="112"/>
      <c r="BO74" s="112"/>
      <c r="BP74" s="112"/>
      <c r="BQ74" s="112"/>
      <c r="BR74" s="112"/>
      <c r="BS74" s="112"/>
      <c r="BT74" s="112"/>
      <c r="BU74" s="112"/>
      <c r="BV74" s="112"/>
      <c r="BW74" s="111"/>
      <c r="BX74" s="112"/>
      <c r="BY74" s="112"/>
      <c r="BZ74" s="112"/>
      <c r="CA74" s="111"/>
      <c r="CB74" s="112"/>
      <c r="CC74" s="112"/>
      <c r="CD74" s="112"/>
      <c r="CE74" s="111"/>
      <c r="CF74" s="112"/>
      <c r="CG74" s="112"/>
      <c r="CH74" s="112"/>
      <c r="CI74" s="112"/>
      <c r="CJ74" s="112"/>
      <c r="CK74" s="112"/>
      <c r="CL74" s="112"/>
      <c r="CM74" s="112"/>
      <c r="CN74" s="112"/>
      <c r="CO74" s="112"/>
      <c r="CP74" s="112"/>
      <c r="CQ74" s="112"/>
      <c r="CR74" s="112"/>
      <c r="CS74" s="112"/>
      <c r="CT74" s="112"/>
      <c r="CU74" s="112"/>
      <c r="CV74" s="112"/>
      <c r="CW74" s="112"/>
      <c r="CX74" s="112"/>
      <c r="CY74" s="112"/>
      <c r="CZ74" s="112"/>
      <c r="DA74" s="112"/>
      <c r="DB74" s="112"/>
      <c r="DC74" s="112"/>
      <c r="DD74" s="112"/>
      <c r="DE74" s="112"/>
      <c r="DF74" s="112"/>
      <c r="DG74" s="112"/>
      <c r="DH74" s="112"/>
      <c r="DI74" s="112"/>
      <c r="DJ74" s="112"/>
      <c r="DK74" s="112"/>
      <c r="DL74" s="103"/>
      <c r="DM74" s="103"/>
      <c r="DN74" s="103"/>
    </row>
    <row r="75" spans="1:118" s="104" customFormat="1" ht="13.35" hidden="1" customHeight="1">
      <c r="A75" s="96" t="s">
        <v>12</v>
      </c>
      <c r="B75" s="96"/>
      <c r="C75" s="269" t="s">
        <v>31</v>
      </c>
      <c r="D75" s="281"/>
      <c r="E75" s="157" t="s">
        <v>68</v>
      </c>
      <c r="F75" s="161" t="s">
        <v>112</v>
      </c>
      <c r="G75" s="102">
        <v>21.5</v>
      </c>
      <c r="H75" s="109" t="s">
        <v>110</v>
      </c>
      <c r="I75" s="232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8"/>
      <c r="AQ75" s="108"/>
      <c r="AR75" s="107"/>
      <c r="AS75" s="107"/>
      <c r="AT75" s="107"/>
      <c r="AU75" s="107"/>
      <c r="AV75" s="107"/>
      <c r="AW75" s="108"/>
      <c r="AX75" s="108"/>
      <c r="AY75" s="107"/>
      <c r="AZ75" s="107"/>
      <c r="BA75" s="108"/>
      <c r="BB75" s="108"/>
      <c r="BC75" s="107"/>
      <c r="BD75" s="108"/>
      <c r="BE75" s="108"/>
      <c r="BF75" s="107"/>
      <c r="BG75" s="108"/>
      <c r="BH75" s="107"/>
      <c r="BI75" s="108"/>
      <c r="BJ75" s="107"/>
      <c r="BK75" s="123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7"/>
      <c r="BX75" s="108"/>
      <c r="BY75" s="108"/>
      <c r="BZ75" s="108"/>
      <c r="CA75" s="107"/>
      <c r="CB75" s="108"/>
      <c r="CC75" s="108"/>
      <c r="CD75" s="108"/>
      <c r="CE75" s="107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3"/>
      <c r="DM75" s="103"/>
      <c r="DN75" s="103"/>
    </row>
    <row r="76" spans="1:118" s="104" customFormat="1" ht="13.35" hidden="1" customHeight="1">
      <c r="A76" s="96" t="s">
        <v>12</v>
      </c>
      <c r="B76" s="96"/>
      <c r="C76" s="269" t="s">
        <v>31</v>
      </c>
      <c r="D76" s="281"/>
      <c r="E76" s="157" t="s">
        <v>68</v>
      </c>
      <c r="F76" s="161" t="s">
        <v>113</v>
      </c>
      <c r="G76" s="102">
        <v>21.5</v>
      </c>
      <c r="H76" s="109" t="s">
        <v>110</v>
      </c>
      <c r="I76" s="232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8"/>
      <c r="AQ76" s="108"/>
      <c r="AR76" s="107"/>
      <c r="AS76" s="107"/>
      <c r="AT76" s="107">
        <v>22</v>
      </c>
      <c r="AU76" s="107"/>
      <c r="AV76" s="107"/>
      <c r="AW76" s="108"/>
      <c r="AX76" s="108"/>
      <c r="AY76" s="107"/>
      <c r="AZ76" s="107"/>
      <c r="BA76" s="108"/>
      <c r="BB76" s="108"/>
      <c r="BC76" s="107"/>
      <c r="BD76" s="108"/>
      <c r="BE76" s="108"/>
      <c r="BF76" s="107"/>
      <c r="BG76" s="108"/>
      <c r="BH76" s="107"/>
      <c r="BI76" s="108"/>
      <c r="BJ76" s="107"/>
      <c r="BK76" s="123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7"/>
      <c r="BX76" s="108"/>
      <c r="BY76" s="108"/>
      <c r="BZ76" s="108"/>
      <c r="CA76" s="107"/>
      <c r="CB76" s="108"/>
      <c r="CC76" s="108"/>
      <c r="CD76" s="108"/>
      <c r="CE76" s="107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3"/>
      <c r="DM76" s="103"/>
      <c r="DN76" s="103"/>
    </row>
    <row r="77" spans="1:118" ht="13.35" hidden="1" customHeight="1">
      <c r="A77" s="91" t="s">
        <v>12</v>
      </c>
      <c r="B77" s="91"/>
      <c r="C77" s="267" t="s">
        <v>31</v>
      </c>
      <c r="D77" s="279">
        <v>52.56</v>
      </c>
      <c r="E77" s="155" t="s">
        <v>68</v>
      </c>
      <c r="F77" s="160" t="s">
        <v>114</v>
      </c>
      <c r="G77" s="6">
        <v>22</v>
      </c>
      <c r="H77" s="5" t="s">
        <v>115</v>
      </c>
      <c r="I77" s="231"/>
      <c r="J77" s="221">
        <v>9</v>
      </c>
      <c r="K77" s="61"/>
      <c r="L77" s="61"/>
      <c r="M77" s="61"/>
      <c r="N77" s="61"/>
      <c r="O77" s="61"/>
      <c r="P77" s="61"/>
      <c r="Q77" s="61"/>
      <c r="R77" s="61"/>
      <c r="S77" s="61"/>
      <c r="T77" s="221">
        <v>13.8</v>
      </c>
      <c r="U77" s="61"/>
      <c r="V77" s="61"/>
      <c r="W77" s="61"/>
      <c r="X77" s="61"/>
      <c r="Y77" s="61"/>
      <c r="Z77" s="221">
        <v>16.100000000000001</v>
      </c>
      <c r="AA77" s="61"/>
      <c r="AB77" s="61"/>
      <c r="AC77" s="61"/>
      <c r="AD77" s="294">
        <v>17.399999999999999</v>
      </c>
      <c r="AE77" s="61"/>
      <c r="AF77" s="294">
        <v>19</v>
      </c>
      <c r="AG77" s="61"/>
      <c r="AH77" s="61"/>
      <c r="AI77" s="61"/>
      <c r="AJ77" s="61"/>
      <c r="AK77" s="61"/>
      <c r="AL77" s="61"/>
      <c r="AM77" s="61"/>
      <c r="AN77" s="61" t="s">
        <v>116</v>
      </c>
      <c r="AO77" s="61"/>
      <c r="AP77" s="1"/>
      <c r="AQ77" s="1"/>
      <c r="AR77" s="61"/>
      <c r="AS77" s="61"/>
      <c r="AT77" s="61" t="s">
        <v>117</v>
      </c>
      <c r="AU77" s="294">
        <v>22</v>
      </c>
      <c r="AV77" s="61"/>
      <c r="AW77" s="1"/>
      <c r="AX77" s="1"/>
      <c r="AY77" s="61"/>
      <c r="AZ77" s="61">
        <v>23.4</v>
      </c>
      <c r="BA77" s="294">
        <v>23.4</v>
      </c>
      <c r="BB77" s="61"/>
      <c r="BC77" s="61"/>
      <c r="BD77" s="1"/>
      <c r="BE77" s="1"/>
      <c r="BF77" s="61">
        <v>24.8</v>
      </c>
      <c r="BG77" s="1"/>
      <c r="BH77" s="61"/>
      <c r="BI77" s="1"/>
      <c r="BJ77" s="61"/>
      <c r="BK77" s="67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61"/>
      <c r="BX77" s="1"/>
      <c r="BY77" s="1"/>
      <c r="BZ77" s="1"/>
      <c r="CA77" s="61"/>
      <c r="CB77" s="1"/>
      <c r="CC77" s="1"/>
      <c r="CD77" s="1"/>
      <c r="CE77" s="6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8"/>
      <c r="DM77" s="8"/>
      <c r="DN77" s="8"/>
    </row>
    <row r="78" spans="1:118" s="104" customFormat="1" ht="12.95" hidden="1" customHeight="1">
      <c r="A78" s="96" t="s">
        <v>12</v>
      </c>
      <c r="B78" s="96" t="s">
        <v>13</v>
      </c>
      <c r="C78" s="269" t="s">
        <v>31</v>
      </c>
      <c r="D78" s="281">
        <v>67.209999999999994</v>
      </c>
      <c r="E78" s="157" t="s">
        <v>68</v>
      </c>
      <c r="F78" s="161" t="s">
        <v>118</v>
      </c>
      <c r="G78" s="116" t="s">
        <v>119</v>
      </c>
      <c r="H78" s="109" t="s">
        <v>16</v>
      </c>
      <c r="I78" s="239"/>
      <c r="J78" s="207"/>
      <c r="K78" s="107">
        <v>16.7</v>
      </c>
      <c r="L78" s="207"/>
      <c r="M78" s="123"/>
      <c r="N78" s="123"/>
      <c r="O78" s="207"/>
      <c r="P78" s="207"/>
      <c r="Q78" s="207"/>
      <c r="R78" s="207"/>
      <c r="S78" s="207"/>
      <c r="T78" s="207"/>
      <c r="U78" s="207"/>
      <c r="V78" s="207"/>
      <c r="W78" s="107">
        <v>19.399999999999999</v>
      </c>
      <c r="X78" s="207"/>
      <c r="Y78" s="207"/>
      <c r="Z78" s="207"/>
      <c r="AA78" s="207"/>
      <c r="AB78" s="207"/>
      <c r="AC78" s="207"/>
      <c r="AD78" s="123">
        <v>21.1</v>
      </c>
      <c r="AE78" s="207"/>
      <c r="AF78" s="207"/>
      <c r="AG78" s="207"/>
      <c r="AH78" s="207"/>
      <c r="AI78" s="207"/>
      <c r="AJ78" s="207"/>
      <c r="AK78" s="207"/>
      <c r="AL78" s="207"/>
      <c r="AM78" s="107">
        <v>23.9</v>
      </c>
      <c r="AN78" s="207"/>
      <c r="AO78" s="207"/>
      <c r="AP78" s="208"/>
      <c r="AQ78" s="208"/>
      <c r="AR78" s="207"/>
      <c r="AS78" s="207"/>
      <c r="AT78" s="207"/>
      <c r="AU78" s="207"/>
      <c r="AV78" s="207"/>
      <c r="AW78" s="208"/>
      <c r="AX78" s="208"/>
      <c r="AY78" s="208"/>
      <c r="AZ78" s="208"/>
      <c r="BA78" s="208"/>
      <c r="BB78" s="208"/>
      <c r="BC78" s="207"/>
      <c r="BD78" s="208"/>
      <c r="BE78" s="208"/>
      <c r="BF78" s="207"/>
      <c r="BG78" s="208"/>
      <c r="BH78" s="207"/>
      <c r="BI78" s="208"/>
      <c r="BJ78" s="207"/>
      <c r="BK78" s="123"/>
      <c r="BL78" s="208"/>
      <c r="BM78" s="208"/>
      <c r="BN78" s="208"/>
      <c r="BO78" s="208"/>
      <c r="BP78" s="208"/>
      <c r="BQ78" s="208"/>
      <c r="BR78" s="208"/>
      <c r="BS78" s="208"/>
      <c r="BT78" s="208"/>
      <c r="BU78" s="208"/>
      <c r="BV78" s="208"/>
      <c r="BW78" s="207"/>
      <c r="BX78" s="208"/>
      <c r="BY78" s="208"/>
      <c r="BZ78" s="208"/>
      <c r="CA78" s="207"/>
      <c r="CB78" s="208"/>
      <c r="CC78" s="208"/>
      <c r="CD78" s="208"/>
      <c r="CE78" s="207"/>
      <c r="CF78" s="208"/>
      <c r="CG78" s="208"/>
      <c r="CH78" s="208"/>
      <c r="CI78" s="208"/>
      <c r="CJ78" s="208"/>
      <c r="CK78" s="208"/>
      <c r="CL78" s="208"/>
      <c r="CM78" s="208"/>
      <c r="CN78" s="208"/>
      <c r="CO78" s="208"/>
      <c r="CP78" s="208"/>
      <c r="CQ78" s="208"/>
      <c r="CR78" s="208"/>
      <c r="CS78" s="208"/>
      <c r="CT78" s="208"/>
      <c r="CU78" s="208"/>
      <c r="CV78" s="208"/>
      <c r="CW78" s="208"/>
      <c r="CX78" s="208"/>
      <c r="CY78" s="208"/>
      <c r="CZ78" s="208"/>
      <c r="DA78" s="208"/>
      <c r="DB78" s="208"/>
      <c r="DC78" s="208"/>
      <c r="DD78" s="208"/>
      <c r="DE78" s="208"/>
      <c r="DF78" s="208"/>
      <c r="DG78" s="208"/>
      <c r="DH78" s="208"/>
      <c r="DI78" s="208"/>
      <c r="DJ78" s="208"/>
      <c r="DK78" s="208"/>
      <c r="DL78" s="103"/>
      <c r="DM78" s="103"/>
      <c r="DN78" s="103"/>
    </row>
    <row r="79" spans="1:118" s="104" customFormat="1" ht="12.95" hidden="1" customHeight="1">
      <c r="A79" s="96" t="s">
        <v>12</v>
      </c>
      <c r="B79" s="96" t="s">
        <v>13</v>
      </c>
      <c r="C79" s="269" t="s">
        <v>31</v>
      </c>
      <c r="D79" s="281"/>
      <c r="E79" s="157" t="s">
        <v>68</v>
      </c>
      <c r="F79" s="161" t="s">
        <v>120</v>
      </c>
      <c r="G79" s="116" t="s">
        <v>119</v>
      </c>
      <c r="H79" s="109" t="s">
        <v>16</v>
      </c>
      <c r="I79" s="239"/>
      <c r="J79" s="207"/>
      <c r="K79" s="1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107">
        <v>20</v>
      </c>
      <c r="AA79" s="207"/>
      <c r="AB79" s="207"/>
      <c r="AC79" s="207"/>
      <c r="AD79" s="207"/>
      <c r="AE79" s="207"/>
      <c r="AF79" s="107">
        <v>21.6</v>
      </c>
      <c r="AG79" s="207"/>
      <c r="AH79" s="207"/>
      <c r="AI79" s="207"/>
      <c r="AJ79" s="207"/>
      <c r="AK79" s="207"/>
      <c r="AL79" s="107"/>
      <c r="AM79" s="207"/>
      <c r="AN79" s="207"/>
      <c r="AO79" s="207"/>
      <c r="AP79" s="208"/>
      <c r="AQ79" s="208"/>
      <c r="AR79" s="207"/>
      <c r="AS79" s="207"/>
      <c r="AT79" s="207"/>
      <c r="AU79" s="207"/>
      <c r="AV79" s="207"/>
      <c r="AW79" s="208"/>
      <c r="AX79" s="208"/>
      <c r="AY79" s="208"/>
      <c r="AZ79" s="208"/>
      <c r="BA79" s="208"/>
      <c r="BB79" s="208"/>
      <c r="BC79" s="207"/>
      <c r="BD79" s="208"/>
      <c r="BE79" s="208"/>
      <c r="BF79" s="207"/>
      <c r="BG79" s="208"/>
      <c r="BH79" s="207"/>
      <c r="BI79" s="208"/>
      <c r="BJ79" s="207"/>
      <c r="BK79" s="123"/>
      <c r="BL79" s="208"/>
      <c r="BM79" s="208"/>
      <c r="BN79" s="208"/>
      <c r="BO79" s="208"/>
      <c r="BP79" s="208"/>
      <c r="BQ79" s="208"/>
      <c r="BR79" s="208"/>
      <c r="BS79" s="208"/>
      <c r="BT79" s="208"/>
      <c r="BU79" s="208"/>
      <c r="BV79" s="208"/>
      <c r="BW79" s="207"/>
      <c r="BX79" s="208"/>
      <c r="BY79" s="208"/>
      <c r="BZ79" s="208"/>
      <c r="CA79" s="207"/>
      <c r="CB79" s="208"/>
      <c r="CC79" s="208"/>
      <c r="CD79" s="208"/>
      <c r="CE79" s="207"/>
      <c r="CF79" s="208"/>
      <c r="CG79" s="208"/>
      <c r="CH79" s="208"/>
      <c r="CI79" s="208"/>
      <c r="CJ79" s="208"/>
      <c r="CK79" s="208"/>
      <c r="CL79" s="208"/>
      <c r="CM79" s="208"/>
      <c r="CN79" s="208"/>
      <c r="CO79" s="208"/>
      <c r="CP79" s="208"/>
      <c r="CQ79" s="208"/>
      <c r="CR79" s="208"/>
      <c r="CS79" s="208"/>
      <c r="CT79" s="208"/>
      <c r="CU79" s="208"/>
      <c r="CV79" s="208"/>
      <c r="CW79" s="208"/>
      <c r="CX79" s="208"/>
      <c r="CY79" s="208"/>
      <c r="CZ79" s="208"/>
      <c r="DA79" s="208"/>
      <c r="DB79" s="208"/>
      <c r="DC79" s="208"/>
      <c r="DD79" s="208"/>
      <c r="DE79" s="208"/>
      <c r="DF79" s="208"/>
      <c r="DG79" s="208"/>
      <c r="DH79" s="208"/>
      <c r="DI79" s="208"/>
      <c r="DJ79" s="208"/>
      <c r="DK79" s="208"/>
      <c r="DL79" s="103"/>
      <c r="DM79" s="103"/>
      <c r="DN79" s="103"/>
    </row>
    <row r="80" spans="1:118" s="104" customFormat="1" ht="12.95" hidden="1" customHeight="1">
      <c r="A80" s="96" t="s">
        <v>12</v>
      </c>
      <c r="B80" s="96" t="s">
        <v>13</v>
      </c>
      <c r="C80" s="269" t="s">
        <v>31</v>
      </c>
      <c r="D80" s="281"/>
      <c r="E80" s="157" t="s">
        <v>68</v>
      </c>
      <c r="F80" s="161" t="s">
        <v>121</v>
      </c>
      <c r="G80" s="116" t="s">
        <v>119</v>
      </c>
      <c r="H80" s="109" t="s">
        <v>16</v>
      </c>
      <c r="I80" s="232"/>
      <c r="J80" s="107"/>
      <c r="K80" s="107"/>
      <c r="L80" s="123"/>
      <c r="M80" s="107"/>
      <c r="N80" s="123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>
        <v>20.5</v>
      </c>
      <c r="AA80" s="107"/>
      <c r="AB80" s="107"/>
      <c r="AC80" s="107"/>
      <c r="AD80" s="107"/>
      <c r="AE80" s="107"/>
      <c r="AF80" s="107">
        <v>21.5</v>
      </c>
      <c r="AG80" s="107"/>
      <c r="AH80" s="107"/>
      <c r="AI80" s="107"/>
      <c r="AJ80" s="107"/>
      <c r="AK80" s="107"/>
      <c r="AL80" s="107"/>
      <c r="AM80" s="107"/>
      <c r="AN80" s="107"/>
      <c r="AO80" s="107"/>
      <c r="AP80" s="108"/>
      <c r="AQ80" s="108"/>
      <c r="AR80" s="107"/>
      <c r="AS80" s="107"/>
      <c r="AT80" s="107"/>
      <c r="AU80" s="107"/>
      <c r="AV80" s="107"/>
      <c r="AW80" s="108"/>
      <c r="AX80" s="108"/>
      <c r="AY80" s="108"/>
      <c r="AZ80" s="108"/>
      <c r="BA80" s="108"/>
      <c r="BB80" s="108"/>
      <c r="BC80" s="107"/>
      <c r="BD80" s="108"/>
      <c r="BE80" s="108"/>
      <c r="BF80" s="107"/>
      <c r="BG80" s="108"/>
      <c r="BH80" s="107"/>
      <c r="BI80" s="108"/>
      <c r="BJ80" s="107"/>
      <c r="BK80" s="123"/>
      <c r="BL80" s="108"/>
      <c r="BM80" s="108"/>
      <c r="BN80" s="108"/>
      <c r="BO80" s="108"/>
      <c r="BP80" s="108"/>
      <c r="BQ80" s="108"/>
      <c r="BR80" s="108"/>
      <c r="BS80" s="108"/>
      <c r="BT80" s="108"/>
      <c r="BU80" s="108"/>
      <c r="BV80" s="108"/>
      <c r="BW80" s="107"/>
      <c r="BX80" s="108"/>
      <c r="BY80" s="108"/>
      <c r="BZ80" s="108"/>
      <c r="CA80" s="107"/>
      <c r="CB80" s="108"/>
      <c r="CC80" s="108"/>
      <c r="CD80" s="108"/>
      <c r="CE80" s="107"/>
      <c r="CF80" s="108"/>
      <c r="CG80" s="108"/>
      <c r="CH80" s="108"/>
      <c r="CI80" s="108"/>
      <c r="CJ80" s="108"/>
      <c r="CK80" s="108"/>
      <c r="CL80" s="108"/>
      <c r="CM80" s="108"/>
      <c r="CN80" s="108"/>
      <c r="CO80" s="108"/>
      <c r="CP80" s="108"/>
      <c r="CQ80" s="108"/>
      <c r="CR80" s="108"/>
      <c r="CS80" s="108"/>
      <c r="CT80" s="108"/>
      <c r="CU80" s="108"/>
      <c r="CV80" s="108"/>
      <c r="CW80" s="108"/>
      <c r="CX80" s="108"/>
      <c r="CY80" s="108"/>
      <c r="CZ80" s="108"/>
      <c r="DA80" s="108"/>
      <c r="DB80" s="108"/>
      <c r="DC80" s="108"/>
      <c r="DD80" s="108"/>
      <c r="DE80" s="108"/>
      <c r="DF80" s="108"/>
      <c r="DG80" s="108"/>
      <c r="DH80" s="108"/>
      <c r="DI80" s="108"/>
      <c r="DJ80" s="108"/>
      <c r="DK80" s="108"/>
      <c r="DL80" s="103"/>
      <c r="DM80" s="103"/>
      <c r="DN80" s="103"/>
    </row>
    <row r="81" spans="1:118" ht="13.15" hidden="1" customHeight="1">
      <c r="A81" s="91" t="s">
        <v>12</v>
      </c>
      <c r="B81" s="91"/>
      <c r="C81" s="267" t="s">
        <v>31</v>
      </c>
      <c r="D81" s="279">
        <v>21.5</v>
      </c>
      <c r="E81" s="155" t="s">
        <v>68</v>
      </c>
      <c r="F81" s="160" t="s">
        <v>122</v>
      </c>
      <c r="G81" s="6">
        <v>22</v>
      </c>
      <c r="H81" s="5" t="s">
        <v>123</v>
      </c>
      <c r="I81" s="231"/>
      <c r="J81" s="221">
        <v>18.3</v>
      </c>
      <c r="K81" s="61"/>
      <c r="L81" s="61"/>
      <c r="M81" s="61"/>
      <c r="N81" s="61"/>
      <c r="O81" s="61"/>
      <c r="P81" s="61"/>
      <c r="Q81" s="61"/>
      <c r="R81" s="61"/>
      <c r="S81" s="61"/>
      <c r="T81" s="221">
        <v>17.899999999999999</v>
      </c>
      <c r="U81" s="61"/>
      <c r="V81" s="61"/>
      <c r="W81" s="221">
        <v>19.399999999999999</v>
      </c>
      <c r="X81" s="61"/>
      <c r="Y81" s="61"/>
      <c r="Z81" s="221">
        <v>22.1</v>
      </c>
      <c r="AA81" s="61"/>
      <c r="AB81" s="61"/>
      <c r="AC81" s="61"/>
      <c r="AD81" s="61"/>
      <c r="AE81" s="61"/>
      <c r="AF81" s="61">
        <v>22</v>
      </c>
      <c r="AG81" s="61"/>
      <c r="AH81" s="61"/>
      <c r="AI81" s="61"/>
      <c r="AJ81" s="61"/>
      <c r="AK81" s="61"/>
      <c r="AL81" s="61"/>
      <c r="AM81" s="61"/>
      <c r="AN81" s="294">
        <v>24.5</v>
      </c>
      <c r="AO81" s="61"/>
      <c r="AP81" s="1"/>
      <c r="AQ81" s="1"/>
      <c r="AR81" s="61"/>
      <c r="AS81" s="61"/>
      <c r="AT81" s="61"/>
      <c r="AU81" s="61"/>
      <c r="AV81" s="61"/>
      <c r="AW81" s="1"/>
      <c r="AX81" s="1"/>
      <c r="AY81" s="1"/>
      <c r="AZ81" s="1"/>
      <c r="BA81" s="1"/>
      <c r="BB81" s="1"/>
      <c r="BC81" s="61"/>
      <c r="BD81" s="1"/>
      <c r="BE81" s="1"/>
      <c r="BF81" s="61"/>
      <c r="BG81" s="1"/>
      <c r="BH81" s="61"/>
      <c r="BI81" s="1"/>
      <c r="BJ81" s="61"/>
      <c r="BK81" s="67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61"/>
      <c r="BX81" s="1"/>
      <c r="BY81" s="1"/>
      <c r="BZ81" s="1"/>
      <c r="CA81" s="61"/>
      <c r="CB81" s="1"/>
      <c r="CC81" s="1"/>
      <c r="CD81" s="1"/>
      <c r="CE81" s="6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8"/>
      <c r="DM81" s="8"/>
      <c r="DN81" s="8"/>
    </row>
    <row r="82" spans="1:118" ht="13.15" hidden="1" customHeight="1">
      <c r="A82" s="91" t="s">
        <v>12</v>
      </c>
      <c r="B82" s="91"/>
      <c r="C82" s="267" t="s">
        <v>31</v>
      </c>
      <c r="D82" s="279"/>
      <c r="E82" s="155" t="s">
        <v>68</v>
      </c>
      <c r="F82" s="160" t="s">
        <v>124</v>
      </c>
      <c r="G82" s="6">
        <v>22</v>
      </c>
      <c r="H82" s="5" t="s">
        <v>123</v>
      </c>
      <c r="I82" s="23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1"/>
      <c r="AQ82" s="1"/>
      <c r="AR82" s="61"/>
      <c r="AS82" s="61"/>
      <c r="AT82" s="61"/>
      <c r="AU82" s="61"/>
      <c r="AV82" s="61"/>
      <c r="AW82" s="1"/>
      <c r="AX82" s="1"/>
      <c r="AY82" s="1"/>
      <c r="AZ82" s="1"/>
      <c r="BA82" s="1"/>
      <c r="BB82" s="1"/>
      <c r="BC82" s="61"/>
      <c r="BD82" s="1"/>
      <c r="BE82" s="1"/>
      <c r="BF82" s="61"/>
      <c r="BG82" s="1"/>
      <c r="BH82" s="61"/>
      <c r="BI82" s="1"/>
      <c r="BJ82" s="61"/>
      <c r="BK82" s="67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61"/>
      <c r="BX82" s="1"/>
      <c r="BY82" s="1"/>
      <c r="BZ82" s="1"/>
      <c r="CA82" s="61"/>
      <c r="CB82" s="1"/>
      <c r="CC82" s="1"/>
      <c r="CD82" s="1"/>
      <c r="CE82" s="6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8"/>
      <c r="DM82" s="8"/>
      <c r="DN82" s="8"/>
    </row>
    <row r="83" spans="1:118" ht="13.15" hidden="1" customHeight="1">
      <c r="A83" s="91" t="s">
        <v>12</v>
      </c>
      <c r="B83" s="91"/>
      <c r="C83" s="267" t="s">
        <v>31</v>
      </c>
      <c r="D83" s="279"/>
      <c r="E83" s="155" t="s">
        <v>68</v>
      </c>
      <c r="F83" s="160" t="s">
        <v>125</v>
      </c>
      <c r="G83" s="6">
        <v>22</v>
      </c>
      <c r="H83" s="5" t="s">
        <v>123</v>
      </c>
      <c r="I83" s="23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1"/>
      <c r="AQ83" s="1"/>
      <c r="AR83" s="61"/>
      <c r="AS83" s="61"/>
      <c r="AT83" s="61"/>
      <c r="AU83" s="61"/>
      <c r="AV83" s="61"/>
      <c r="AW83" s="1"/>
      <c r="AX83" s="1"/>
      <c r="AY83" s="1"/>
      <c r="AZ83" s="1"/>
      <c r="BA83" s="1"/>
      <c r="BB83" s="1"/>
      <c r="BC83" s="61"/>
      <c r="BD83" s="1"/>
      <c r="BE83" s="1"/>
      <c r="BF83" s="61"/>
      <c r="BG83" s="1"/>
      <c r="BH83" s="61"/>
      <c r="BI83" s="1"/>
      <c r="BJ83" s="61"/>
      <c r="BK83" s="67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61"/>
      <c r="BX83" s="1"/>
      <c r="BY83" s="1"/>
      <c r="BZ83" s="1"/>
      <c r="CA83" s="61"/>
      <c r="CB83" s="1"/>
      <c r="CC83" s="1"/>
      <c r="CD83" s="1"/>
      <c r="CE83" s="6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8"/>
      <c r="DM83" s="8"/>
      <c r="DN83" s="8"/>
    </row>
    <row r="84" spans="1:118" ht="13.15" hidden="1" customHeight="1">
      <c r="A84" s="91" t="s">
        <v>12</v>
      </c>
      <c r="B84" s="91"/>
      <c r="C84" s="267" t="s">
        <v>31</v>
      </c>
      <c r="D84" s="279"/>
      <c r="E84" s="155" t="s">
        <v>68</v>
      </c>
      <c r="F84" s="160" t="s">
        <v>126</v>
      </c>
      <c r="G84" s="6">
        <v>22</v>
      </c>
      <c r="H84" s="5" t="s">
        <v>123</v>
      </c>
      <c r="I84" s="23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1"/>
      <c r="AQ84" s="1"/>
      <c r="AR84" s="61"/>
      <c r="AS84" s="61"/>
      <c r="AT84" s="61"/>
      <c r="AU84" s="61"/>
      <c r="AV84" s="61"/>
      <c r="AW84" s="1"/>
      <c r="AX84" s="1"/>
      <c r="AY84" s="1"/>
      <c r="AZ84" s="1"/>
      <c r="BA84" s="1"/>
      <c r="BB84" s="1"/>
      <c r="BC84" s="61"/>
      <c r="BD84" s="1"/>
      <c r="BE84" s="1"/>
      <c r="BF84" s="61"/>
      <c r="BG84" s="1"/>
      <c r="BH84" s="61"/>
      <c r="BI84" s="1"/>
      <c r="BJ84" s="61"/>
      <c r="BK84" s="67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61"/>
      <c r="BX84" s="1"/>
      <c r="BY84" s="1"/>
      <c r="BZ84" s="1"/>
      <c r="CA84" s="61"/>
      <c r="CB84" s="1"/>
      <c r="CC84" s="1"/>
      <c r="CD84" s="1"/>
      <c r="CE84" s="6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8"/>
      <c r="DM84" s="8"/>
      <c r="DN84" s="8"/>
    </row>
    <row r="85" spans="1:118" ht="13.15" hidden="1" customHeight="1">
      <c r="A85" s="91" t="s">
        <v>12</v>
      </c>
      <c r="B85" s="91"/>
      <c r="C85" s="267" t="s">
        <v>31</v>
      </c>
      <c r="D85" s="279"/>
      <c r="E85" s="155" t="s">
        <v>68</v>
      </c>
      <c r="F85" s="160" t="s">
        <v>127</v>
      </c>
      <c r="G85" s="6">
        <v>22</v>
      </c>
      <c r="H85" s="5" t="s">
        <v>123</v>
      </c>
      <c r="I85" s="23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1"/>
      <c r="AQ85" s="1"/>
      <c r="AR85" s="61"/>
      <c r="AS85" s="61"/>
      <c r="AT85" s="61"/>
      <c r="AU85" s="61"/>
      <c r="AV85" s="61"/>
      <c r="AW85" s="1"/>
      <c r="AX85" s="1"/>
      <c r="AY85" s="1"/>
      <c r="AZ85" s="1"/>
      <c r="BA85" s="1"/>
      <c r="BB85" s="1"/>
      <c r="BC85" s="61"/>
      <c r="BD85" s="1"/>
      <c r="BE85" s="1"/>
      <c r="BF85" s="61"/>
      <c r="BG85" s="1"/>
      <c r="BH85" s="61"/>
      <c r="BI85" s="1"/>
      <c r="BJ85" s="61"/>
      <c r="BK85" s="67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61"/>
      <c r="BX85" s="1"/>
      <c r="BY85" s="1"/>
      <c r="BZ85" s="1"/>
      <c r="CA85" s="61"/>
      <c r="CB85" s="1"/>
      <c r="CC85" s="1"/>
      <c r="CD85" s="1"/>
      <c r="CE85" s="6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8"/>
      <c r="DM85" s="8"/>
      <c r="DN85" s="8"/>
    </row>
    <row r="86" spans="1:118" ht="13.15" hidden="1" customHeight="1">
      <c r="A86" s="91" t="s">
        <v>12</v>
      </c>
      <c r="B86" s="91"/>
      <c r="C86" s="267" t="s">
        <v>31</v>
      </c>
      <c r="D86" s="279"/>
      <c r="E86" s="155" t="s">
        <v>68</v>
      </c>
      <c r="F86" s="160" t="s">
        <v>128</v>
      </c>
      <c r="G86" s="6">
        <v>22</v>
      </c>
      <c r="H86" s="5" t="s">
        <v>123</v>
      </c>
      <c r="I86" s="23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1"/>
      <c r="AQ86" s="1"/>
      <c r="AR86" s="61"/>
      <c r="AS86" s="61"/>
      <c r="AT86" s="61"/>
      <c r="AU86" s="61"/>
      <c r="AV86" s="61"/>
      <c r="AW86" s="1"/>
      <c r="AX86" s="1"/>
      <c r="AY86" s="1"/>
      <c r="AZ86" s="1"/>
      <c r="BA86" s="1"/>
      <c r="BB86" s="1"/>
      <c r="BC86" s="61"/>
      <c r="BD86" s="1"/>
      <c r="BE86" s="1"/>
      <c r="BF86" s="61"/>
      <c r="BG86" s="1"/>
      <c r="BH86" s="61"/>
      <c r="BI86" s="1"/>
      <c r="BJ86" s="61"/>
      <c r="BK86" s="67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61"/>
      <c r="BX86" s="1"/>
      <c r="BY86" s="1"/>
      <c r="BZ86" s="1"/>
      <c r="CA86" s="61"/>
      <c r="CB86" s="1"/>
      <c r="CC86" s="1"/>
      <c r="CD86" s="1"/>
      <c r="CE86" s="6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8"/>
      <c r="DM86" s="8"/>
      <c r="DN86" s="8"/>
    </row>
    <row r="87" spans="1:118" s="104" customFormat="1" ht="13.15" hidden="1" customHeight="1">
      <c r="A87" s="96" t="s">
        <v>12</v>
      </c>
      <c r="B87" s="96" t="s">
        <v>13</v>
      </c>
      <c r="C87" s="269" t="s">
        <v>14</v>
      </c>
      <c r="D87" s="281">
        <v>19.13</v>
      </c>
      <c r="E87" s="157" t="s">
        <v>68</v>
      </c>
      <c r="F87" s="161" t="s">
        <v>129</v>
      </c>
      <c r="G87" s="102">
        <v>18</v>
      </c>
      <c r="H87" s="109" t="s">
        <v>130</v>
      </c>
      <c r="I87" s="232" t="s">
        <v>131</v>
      </c>
      <c r="J87" s="107"/>
      <c r="K87" s="107"/>
      <c r="L87" s="107"/>
      <c r="M87" s="107"/>
      <c r="N87" s="107"/>
      <c r="O87" s="107"/>
      <c r="P87" s="107">
        <v>15.7</v>
      </c>
      <c r="Q87" s="123"/>
      <c r="R87" s="107"/>
      <c r="S87" s="107">
        <v>16.600000000000001</v>
      </c>
      <c r="T87" s="123"/>
      <c r="U87" s="107"/>
      <c r="V87" s="107"/>
      <c r="W87" s="107"/>
      <c r="X87" s="123">
        <v>17.600000000000001</v>
      </c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8"/>
      <c r="AQ87" s="108"/>
      <c r="AR87" s="107"/>
      <c r="AS87" s="107"/>
      <c r="AT87" s="107"/>
      <c r="AU87" s="107"/>
      <c r="AV87" s="107"/>
      <c r="AW87" s="108"/>
      <c r="AX87" s="108"/>
      <c r="AY87" s="108"/>
      <c r="AZ87" s="108"/>
      <c r="BA87" s="108"/>
      <c r="BB87" s="108"/>
      <c r="BC87" s="107"/>
      <c r="BD87" s="108"/>
      <c r="BE87" s="108"/>
      <c r="BF87" s="107"/>
      <c r="BG87" s="108"/>
      <c r="BH87" s="107"/>
      <c r="BI87" s="108"/>
      <c r="BJ87" s="107"/>
      <c r="BK87" s="123"/>
      <c r="BL87" s="108"/>
      <c r="BM87" s="108"/>
      <c r="BN87" s="108"/>
      <c r="BO87" s="108"/>
      <c r="BP87" s="108"/>
      <c r="BQ87" s="108"/>
      <c r="BR87" s="108"/>
      <c r="BS87" s="108"/>
      <c r="BT87" s="108"/>
      <c r="BU87" s="108"/>
      <c r="BV87" s="108"/>
      <c r="BW87" s="107"/>
      <c r="BX87" s="108"/>
      <c r="BY87" s="108"/>
      <c r="BZ87" s="108"/>
      <c r="CA87" s="107"/>
      <c r="CB87" s="108"/>
      <c r="CC87" s="108"/>
      <c r="CD87" s="108"/>
      <c r="CE87" s="107"/>
      <c r="CF87" s="108"/>
      <c r="CG87" s="108"/>
      <c r="CH87" s="108"/>
      <c r="CI87" s="108"/>
      <c r="CJ87" s="108"/>
      <c r="CK87" s="108"/>
      <c r="CL87" s="108"/>
      <c r="CM87" s="108"/>
      <c r="CN87" s="108"/>
      <c r="CO87" s="108"/>
      <c r="CP87" s="108"/>
      <c r="CQ87" s="108"/>
      <c r="CR87" s="108"/>
      <c r="CS87" s="108"/>
      <c r="CT87" s="108"/>
      <c r="CU87" s="108"/>
      <c r="CV87" s="108"/>
      <c r="CW87" s="108"/>
      <c r="CX87" s="108"/>
      <c r="CY87" s="108"/>
      <c r="CZ87" s="108"/>
      <c r="DA87" s="108"/>
      <c r="DB87" s="108"/>
      <c r="DC87" s="108"/>
      <c r="DD87" s="108"/>
      <c r="DE87" s="108"/>
      <c r="DF87" s="108"/>
      <c r="DG87" s="108"/>
      <c r="DH87" s="108"/>
      <c r="DI87" s="108"/>
      <c r="DJ87" s="108"/>
      <c r="DK87" s="108"/>
      <c r="DL87" s="103"/>
      <c r="DM87" s="103"/>
      <c r="DN87" s="103"/>
    </row>
    <row r="88" spans="1:118" ht="13.35" hidden="1" customHeight="1">
      <c r="A88" s="91" t="s">
        <v>12</v>
      </c>
      <c r="B88" s="91"/>
      <c r="C88" s="267" t="s">
        <v>31</v>
      </c>
      <c r="D88" s="279"/>
      <c r="E88" s="155" t="s">
        <v>68</v>
      </c>
      <c r="F88" s="160" t="s">
        <v>132</v>
      </c>
      <c r="G88" s="6">
        <v>22</v>
      </c>
      <c r="H88" s="5"/>
      <c r="I88" s="231"/>
      <c r="J88" s="221"/>
      <c r="K88" s="351"/>
      <c r="L88" s="61"/>
      <c r="M88" s="61"/>
      <c r="N88" s="61"/>
      <c r="O88" s="61"/>
      <c r="P88" s="61"/>
      <c r="Q88" s="61"/>
      <c r="R88" s="129"/>
      <c r="S88" s="61"/>
      <c r="T88" s="61"/>
      <c r="U88" s="61"/>
      <c r="V88" s="61"/>
      <c r="W88" s="129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1"/>
      <c r="AQ88" s="1"/>
      <c r="AR88" s="61"/>
      <c r="AS88" s="61"/>
      <c r="AT88" s="61"/>
      <c r="AU88" s="61"/>
      <c r="AV88" s="61"/>
      <c r="AW88" s="1"/>
      <c r="AX88" s="1"/>
      <c r="AY88" s="61"/>
      <c r="AZ88" s="61"/>
      <c r="BA88" s="1"/>
      <c r="BB88" s="61"/>
      <c r="BC88" s="61"/>
      <c r="BD88" s="1"/>
      <c r="BE88" s="1"/>
      <c r="BF88" s="61"/>
      <c r="BG88" s="1"/>
      <c r="BH88" s="61"/>
      <c r="BI88" s="1"/>
      <c r="BJ88" s="61"/>
      <c r="BK88" s="67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61"/>
      <c r="BX88" s="1"/>
      <c r="BY88" s="1"/>
      <c r="BZ88" s="1"/>
      <c r="CA88" s="61"/>
      <c r="CB88" s="1"/>
      <c r="CC88" s="1"/>
      <c r="CD88" s="1"/>
      <c r="CE88" s="6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8"/>
      <c r="DM88" s="8"/>
      <c r="DN88" s="8"/>
    </row>
    <row r="89" spans="1:118" ht="13.35" hidden="1" customHeight="1">
      <c r="A89" s="91" t="s">
        <v>12</v>
      </c>
      <c r="B89" s="91"/>
      <c r="C89" s="267" t="s">
        <v>31</v>
      </c>
      <c r="D89" s="279">
        <v>26.79</v>
      </c>
      <c r="E89" s="155" t="s">
        <v>68</v>
      </c>
      <c r="F89" s="160" t="s">
        <v>133</v>
      </c>
      <c r="G89" s="6">
        <v>22</v>
      </c>
      <c r="H89" s="5" t="s">
        <v>134</v>
      </c>
      <c r="I89" s="231"/>
      <c r="J89" s="221">
        <v>13.9</v>
      </c>
      <c r="K89" s="61"/>
      <c r="L89" s="61"/>
      <c r="M89" s="61"/>
      <c r="N89" s="61"/>
      <c r="O89" s="61"/>
      <c r="P89" s="61"/>
      <c r="Q89" s="61"/>
      <c r="R89" s="129">
        <v>15.5</v>
      </c>
      <c r="S89" s="61"/>
      <c r="T89" s="61"/>
      <c r="U89" s="61"/>
      <c r="V89" s="61"/>
      <c r="W89" s="221">
        <v>17.8</v>
      </c>
      <c r="X89" s="61"/>
      <c r="Y89" s="61"/>
      <c r="Z89" s="61"/>
      <c r="AA89" s="61"/>
      <c r="AB89" s="61"/>
      <c r="AC89" s="61"/>
      <c r="AD89" s="61"/>
      <c r="AE89" s="61"/>
      <c r="AF89" s="61"/>
      <c r="AG89" s="61">
        <v>21.4</v>
      </c>
      <c r="AH89" s="61"/>
      <c r="AI89" s="61"/>
      <c r="AJ89" s="61"/>
      <c r="AK89" s="61"/>
      <c r="AL89" s="61"/>
      <c r="AM89" s="61"/>
      <c r="AN89" s="61">
        <v>22.1</v>
      </c>
      <c r="AO89" s="61"/>
      <c r="AP89" s="1"/>
      <c r="AQ89" s="1"/>
      <c r="AR89" s="61"/>
      <c r="AS89" s="61"/>
      <c r="AT89" s="61"/>
      <c r="AU89" s="61" t="s">
        <v>135</v>
      </c>
      <c r="AV89" s="61"/>
      <c r="AW89" s="1"/>
      <c r="AX89" s="1"/>
      <c r="AY89" s="61"/>
      <c r="AZ89" s="61"/>
      <c r="BA89" s="1"/>
      <c r="BB89" s="61"/>
      <c r="BC89" s="61"/>
      <c r="BD89" s="1"/>
      <c r="BE89" s="1"/>
      <c r="BF89" s="61"/>
      <c r="BG89" s="1"/>
      <c r="BH89" s="61"/>
      <c r="BI89" s="1"/>
      <c r="BJ89" s="61"/>
      <c r="BK89" s="67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61"/>
      <c r="BX89" s="1"/>
      <c r="BY89" s="1"/>
      <c r="BZ89" s="1"/>
      <c r="CA89" s="61"/>
      <c r="CB89" s="1"/>
      <c r="CC89" s="1"/>
      <c r="CD89" s="1"/>
      <c r="CE89" s="6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8"/>
      <c r="DM89" s="8"/>
      <c r="DN89" s="8"/>
    </row>
    <row r="90" spans="1:118" ht="13.35" hidden="1" customHeight="1">
      <c r="A90" s="91" t="s">
        <v>12</v>
      </c>
      <c r="B90" s="91"/>
      <c r="C90" s="267" t="s">
        <v>31</v>
      </c>
      <c r="D90" s="279">
        <v>26.24</v>
      </c>
      <c r="E90" s="179" t="s">
        <v>68</v>
      </c>
      <c r="F90" s="180" t="s">
        <v>136</v>
      </c>
      <c r="G90" s="181">
        <v>22</v>
      </c>
      <c r="H90" s="182" t="s">
        <v>137</v>
      </c>
      <c r="I90" s="233"/>
      <c r="J90" s="352">
        <v>12.9</v>
      </c>
      <c r="K90" s="59"/>
      <c r="L90" s="59"/>
      <c r="M90" s="59"/>
      <c r="N90" s="59"/>
      <c r="O90" s="59"/>
      <c r="P90" s="59"/>
      <c r="Q90" s="59"/>
      <c r="R90" s="352">
        <v>15</v>
      </c>
      <c r="S90" s="59"/>
      <c r="T90" s="59"/>
      <c r="U90" s="59"/>
      <c r="V90" s="59"/>
      <c r="W90" s="352">
        <v>17.399999999999999</v>
      </c>
      <c r="X90" s="59"/>
      <c r="Y90" s="59"/>
      <c r="Z90" s="59"/>
      <c r="AA90" s="59"/>
      <c r="AB90" s="59"/>
      <c r="AC90" s="59"/>
      <c r="AD90" s="59"/>
      <c r="AE90" s="59"/>
      <c r="AF90" s="59"/>
      <c r="AG90" s="59" t="s">
        <v>138</v>
      </c>
      <c r="AH90" s="59"/>
      <c r="AI90" s="59"/>
      <c r="AJ90" s="59"/>
      <c r="AK90" s="59"/>
      <c r="AL90" s="59"/>
      <c r="AM90" s="59"/>
      <c r="AN90" s="382" t="s">
        <v>139</v>
      </c>
      <c r="AO90" s="59"/>
      <c r="AP90" s="13"/>
      <c r="AQ90" s="13"/>
      <c r="AR90" s="59"/>
      <c r="AS90" s="59"/>
      <c r="AT90" s="59"/>
      <c r="AU90" s="59">
        <v>23.3</v>
      </c>
      <c r="AV90" s="59"/>
      <c r="AW90" s="13"/>
      <c r="AX90" s="13"/>
      <c r="AY90" s="59"/>
      <c r="AZ90" s="59"/>
      <c r="BA90" s="13"/>
      <c r="BB90" s="59"/>
      <c r="BC90" s="59"/>
      <c r="BD90" s="13"/>
      <c r="BE90" s="13"/>
      <c r="BF90" s="59"/>
      <c r="BG90" s="13"/>
      <c r="BH90" s="59"/>
      <c r="BI90" s="13"/>
      <c r="BJ90" s="59"/>
      <c r="BK90" s="254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59"/>
      <c r="BX90" s="13"/>
      <c r="BY90" s="13"/>
      <c r="BZ90" s="13"/>
      <c r="CA90" s="59"/>
      <c r="CB90" s="13"/>
      <c r="CC90" s="13"/>
      <c r="CD90" s="13"/>
      <c r="CE90" s="59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8"/>
      <c r="DM90" s="8"/>
      <c r="DN90" s="8"/>
    </row>
    <row r="91" spans="1:118" ht="13.35" hidden="1" customHeight="1">
      <c r="A91" s="90"/>
      <c r="B91" s="90"/>
      <c r="C91" s="266"/>
      <c r="D91" s="277"/>
      <c r="E91" s="278" t="s">
        <v>140</v>
      </c>
      <c r="F91" s="141" t="s">
        <v>141</v>
      </c>
      <c r="G91" s="169"/>
      <c r="H91" s="170" t="s">
        <v>11</v>
      </c>
      <c r="I91" s="225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2"/>
      <c r="AQ91" s="172"/>
      <c r="AR91" s="171"/>
      <c r="AS91" s="172"/>
      <c r="AT91" s="171"/>
      <c r="AU91" s="171"/>
      <c r="AV91" s="171"/>
      <c r="AW91" s="172"/>
      <c r="AX91" s="172"/>
      <c r="AY91" s="171"/>
      <c r="AZ91" s="171"/>
      <c r="BA91" s="171"/>
      <c r="BB91" s="171"/>
      <c r="BC91" s="171"/>
      <c r="BD91" s="172"/>
      <c r="BE91" s="172"/>
      <c r="BF91" s="171"/>
      <c r="BG91" s="171"/>
      <c r="BH91" s="171"/>
      <c r="BI91" s="171"/>
      <c r="BJ91" s="171"/>
      <c r="BK91" s="427"/>
      <c r="BL91" s="172"/>
      <c r="BM91" s="171"/>
      <c r="BN91" s="171"/>
      <c r="BO91" s="171"/>
      <c r="BP91" s="171"/>
      <c r="BQ91" s="171"/>
      <c r="BR91" s="171"/>
      <c r="BS91" s="171"/>
      <c r="BT91" s="171"/>
      <c r="BU91" s="171"/>
      <c r="BV91" s="171"/>
      <c r="BW91" s="171"/>
      <c r="BX91" s="171"/>
      <c r="BY91" s="172"/>
      <c r="BZ91" s="172"/>
      <c r="CA91" s="171"/>
      <c r="CB91" s="171"/>
      <c r="CC91" s="171"/>
      <c r="CD91" s="171"/>
      <c r="CE91" s="171"/>
      <c r="CF91" s="172"/>
      <c r="CG91" s="172"/>
      <c r="CH91" s="171"/>
      <c r="CI91" s="171"/>
      <c r="CJ91" s="171"/>
      <c r="CK91" s="171"/>
      <c r="CL91" s="171"/>
      <c r="CM91" s="172"/>
      <c r="CN91" s="172"/>
      <c r="CO91" s="171"/>
      <c r="CP91" s="171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  <c r="DA91" s="172"/>
      <c r="DB91" s="172"/>
      <c r="DC91" s="172"/>
      <c r="DD91" s="172"/>
      <c r="DE91" s="172"/>
      <c r="DF91" s="172"/>
      <c r="DG91" s="172"/>
      <c r="DH91" s="172"/>
      <c r="DI91" s="172"/>
      <c r="DJ91" s="172"/>
      <c r="DK91" s="172"/>
      <c r="DL91" s="8"/>
      <c r="DM91" s="8"/>
      <c r="DN91" s="8"/>
    </row>
    <row r="92" spans="1:118" s="24" customFormat="1" ht="12.95" hidden="1" customHeight="1">
      <c r="A92" s="91" t="s">
        <v>12</v>
      </c>
      <c r="B92" s="91"/>
      <c r="C92" s="267" t="s">
        <v>31</v>
      </c>
      <c r="D92" s="279">
        <v>22.95</v>
      </c>
      <c r="E92" s="197" t="s">
        <v>140</v>
      </c>
      <c r="F92" s="132" t="s">
        <v>142</v>
      </c>
      <c r="G92" s="56"/>
      <c r="H92" s="198" t="s">
        <v>16</v>
      </c>
      <c r="I92" s="240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7"/>
      <c r="AQ92" s="137"/>
      <c r="AR92" s="136">
        <v>21.4</v>
      </c>
      <c r="AS92" s="137"/>
      <c r="AT92" s="136"/>
      <c r="AU92" s="136"/>
      <c r="AV92" s="136"/>
      <c r="AW92" s="137"/>
      <c r="AX92" s="137"/>
      <c r="AY92" s="136"/>
      <c r="AZ92" s="136"/>
      <c r="BA92" s="136">
        <v>21.8</v>
      </c>
      <c r="BB92" s="136"/>
      <c r="BC92" s="136"/>
      <c r="BD92" s="137"/>
      <c r="BE92" s="137"/>
      <c r="BF92" s="136"/>
      <c r="BG92" s="136"/>
      <c r="BH92" s="383">
        <v>26.4</v>
      </c>
      <c r="BI92" s="136"/>
      <c r="BJ92" s="136"/>
      <c r="BK92" s="383"/>
      <c r="BL92" s="137"/>
      <c r="BM92" s="136"/>
      <c r="BN92" s="137"/>
      <c r="BO92" s="137"/>
      <c r="BP92" s="137"/>
      <c r="BQ92" s="137"/>
      <c r="BR92" s="137"/>
      <c r="BS92" s="137"/>
      <c r="BT92" s="137"/>
      <c r="BU92" s="137"/>
      <c r="BV92" s="137"/>
      <c r="BW92" s="136"/>
      <c r="BX92" s="137"/>
      <c r="BY92" s="137"/>
      <c r="BZ92" s="137"/>
      <c r="CA92" s="136"/>
      <c r="CB92" s="137"/>
      <c r="CC92" s="136"/>
      <c r="CD92" s="137"/>
      <c r="CE92" s="136"/>
      <c r="CF92" s="137"/>
      <c r="CG92" s="137"/>
      <c r="CH92" s="137"/>
      <c r="CI92" s="137"/>
      <c r="CJ92" s="137"/>
      <c r="CK92" s="137"/>
      <c r="CL92" s="137"/>
      <c r="CM92" s="137"/>
      <c r="CN92" s="137"/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7"/>
      <c r="DB92" s="137"/>
      <c r="DC92" s="137"/>
      <c r="DD92" s="137"/>
      <c r="DE92" s="137"/>
      <c r="DF92" s="137"/>
      <c r="DG92" s="137"/>
      <c r="DH92" s="137"/>
      <c r="DI92" s="137"/>
      <c r="DJ92" s="137"/>
      <c r="DK92" s="137"/>
      <c r="DL92" s="23"/>
      <c r="DM92" s="23"/>
      <c r="DN92" s="23"/>
    </row>
    <row r="93" spans="1:118" s="104" customFormat="1" ht="12.95" hidden="1" customHeight="1">
      <c r="A93" s="96" t="s">
        <v>12</v>
      </c>
      <c r="B93" s="96"/>
      <c r="C93" s="269" t="s">
        <v>31</v>
      </c>
      <c r="D93" s="281">
        <v>15.91</v>
      </c>
      <c r="E93" s="157" t="s">
        <v>140</v>
      </c>
      <c r="F93" s="101" t="s">
        <v>143</v>
      </c>
      <c r="G93" s="7"/>
      <c r="H93" s="105" t="s">
        <v>16</v>
      </c>
      <c r="I93" s="232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8"/>
      <c r="AQ93" s="108"/>
      <c r="AR93" s="107">
        <v>23.4</v>
      </c>
      <c r="AS93" s="108"/>
      <c r="AT93" s="107"/>
      <c r="AU93" s="107"/>
      <c r="AV93" s="123">
        <v>22</v>
      </c>
      <c r="AW93" s="108"/>
      <c r="AX93" s="108"/>
      <c r="AY93" s="107"/>
      <c r="AZ93" s="107"/>
      <c r="BA93" s="107">
        <v>23.4</v>
      </c>
      <c r="BB93" s="107"/>
      <c r="BC93" s="123">
        <v>24.1</v>
      </c>
      <c r="BD93" s="108"/>
      <c r="BE93" s="108"/>
      <c r="BF93" s="107"/>
      <c r="BG93" s="107"/>
      <c r="BH93" s="107"/>
      <c r="BI93" s="107"/>
      <c r="BJ93" s="107"/>
      <c r="BK93" s="123"/>
      <c r="BL93" s="108"/>
      <c r="BM93" s="107"/>
      <c r="BN93" s="108"/>
      <c r="BO93" s="108"/>
      <c r="BP93" s="108"/>
      <c r="BQ93" s="108"/>
      <c r="BR93" s="108"/>
      <c r="BS93" s="108"/>
      <c r="BT93" s="108"/>
      <c r="BU93" s="108"/>
      <c r="BV93" s="108"/>
      <c r="BW93" s="107"/>
      <c r="BX93" s="108"/>
      <c r="BY93" s="108"/>
      <c r="BZ93" s="108"/>
      <c r="CA93" s="107"/>
      <c r="CB93" s="108"/>
      <c r="CC93" s="107"/>
      <c r="CD93" s="108"/>
      <c r="CE93" s="107"/>
      <c r="CF93" s="108"/>
      <c r="CG93" s="108"/>
      <c r="CH93" s="108"/>
      <c r="CI93" s="108"/>
      <c r="CJ93" s="108"/>
      <c r="CK93" s="108"/>
      <c r="CL93" s="108"/>
      <c r="CM93" s="108"/>
      <c r="CN93" s="108"/>
      <c r="CO93" s="108"/>
      <c r="CP93" s="108"/>
      <c r="CQ93" s="108"/>
      <c r="CR93" s="108"/>
      <c r="CS93" s="108"/>
      <c r="CT93" s="108"/>
      <c r="CU93" s="108"/>
      <c r="CV93" s="108"/>
      <c r="CW93" s="108"/>
      <c r="CX93" s="108"/>
      <c r="CY93" s="108"/>
      <c r="CZ93" s="108"/>
      <c r="DA93" s="108"/>
      <c r="DB93" s="108"/>
      <c r="DC93" s="108"/>
      <c r="DD93" s="108"/>
      <c r="DE93" s="108"/>
      <c r="DF93" s="108"/>
      <c r="DG93" s="108"/>
      <c r="DH93" s="108"/>
      <c r="DI93" s="108"/>
      <c r="DJ93" s="108"/>
      <c r="DK93" s="108"/>
      <c r="DL93" s="103"/>
      <c r="DM93" s="103"/>
      <c r="DN93" s="103"/>
    </row>
    <row r="94" spans="1:118" s="24" customFormat="1" ht="12.95" hidden="1" customHeight="1">
      <c r="A94" s="91" t="s">
        <v>12</v>
      </c>
      <c r="B94" s="91"/>
      <c r="C94" s="267" t="s">
        <v>31</v>
      </c>
      <c r="D94" s="283">
        <v>26.53</v>
      </c>
      <c r="E94" s="154" t="s">
        <v>140</v>
      </c>
      <c r="F94" s="12" t="s">
        <v>144</v>
      </c>
      <c r="G94" s="11"/>
      <c r="H94" s="106" t="s">
        <v>16</v>
      </c>
      <c r="I94" s="241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22"/>
      <c r="AQ94" s="22"/>
      <c r="AR94" s="68">
        <v>21.6</v>
      </c>
      <c r="AS94" s="22"/>
      <c r="AT94" s="68"/>
      <c r="AU94" s="68"/>
      <c r="AV94" s="68"/>
      <c r="AW94" s="22"/>
      <c r="AX94" s="22"/>
      <c r="AY94" s="68"/>
      <c r="AZ94" s="68"/>
      <c r="BA94" s="68">
        <v>22.5</v>
      </c>
      <c r="BB94" s="68"/>
      <c r="BC94" s="68"/>
      <c r="BD94" s="22"/>
      <c r="BE94" s="22"/>
      <c r="BF94" s="68"/>
      <c r="BG94" s="68"/>
      <c r="BH94" s="406">
        <v>25.5</v>
      </c>
      <c r="BI94" s="68"/>
      <c r="BJ94" s="68"/>
      <c r="BK94" s="406"/>
      <c r="BL94" s="22"/>
      <c r="BM94" s="68"/>
      <c r="BN94" s="22"/>
      <c r="BO94" s="22"/>
      <c r="BP94" s="22"/>
      <c r="BQ94" s="22"/>
      <c r="BR94" s="22"/>
      <c r="BS94" s="22"/>
      <c r="BT94" s="22"/>
      <c r="BU94" s="22"/>
      <c r="BV94" s="22"/>
      <c r="BW94" s="68"/>
      <c r="BX94" s="22"/>
      <c r="BY94" s="22"/>
      <c r="BZ94" s="22"/>
      <c r="CA94" s="68"/>
      <c r="CB94" s="22"/>
      <c r="CC94" s="68"/>
      <c r="CD94" s="22"/>
      <c r="CE94" s="68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3"/>
      <c r="DM94" s="23"/>
      <c r="DN94" s="23"/>
    </row>
    <row r="95" spans="1:118" s="104" customFormat="1" ht="12.95" hidden="1" customHeight="1">
      <c r="A95" s="96" t="s">
        <v>12</v>
      </c>
      <c r="B95" s="96"/>
      <c r="C95" s="269" t="s">
        <v>31</v>
      </c>
      <c r="D95" s="281">
        <v>20.23</v>
      </c>
      <c r="E95" s="157" t="s">
        <v>140</v>
      </c>
      <c r="F95" s="101" t="s">
        <v>145</v>
      </c>
      <c r="G95" s="7"/>
      <c r="H95" s="105" t="s">
        <v>16</v>
      </c>
      <c r="I95" s="232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8"/>
      <c r="AQ95" s="108"/>
      <c r="AR95" s="107">
        <v>21.4</v>
      </c>
      <c r="AS95" s="108"/>
      <c r="AT95" s="107"/>
      <c r="AU95" s="107"/>
      <c r="AV95" s="107"/>
      <c r="AW95" s="108"/>
      <c r="AX95" s="108"/>
      <c r="AY95" s="107"/>
      <c r="AZ95" s="107"/>
      <c r="BA95" s="107">
        <v>22.8</v>
      </c>
      <c r="BB95" s="107"/>
      <c r="BC95" s="123">
        <v>23.6</v>
      </c>
      <c r="BD95" s="108"/>
      <c r="BE95" s="108"/>
      <c r="BF95" s="107"/>
      <c r="BG95" s="107"/>
      <c r="BH95" s="123">
        <v>27.3</v>
      </c>
      <c r="BI95" s="107"/>
      <c r="BJ95" s="107"/>
      <c r="BK95" s="123"/>
      <c r="BL95" s="108"/>
      <c r="BM95" s="107"/>
      <c r="BN95" s="107"/>
      <c r="BO95" s="107"/>
      <c r="BP95" s="107"/>
      <c r="BQ95" s="107"/>
      <c r="BR95" s="107"/>
      <c r="BS95" s="107"/>
      <c r="BT95" s="107"/>
      <c r="BU95" s="107"/>
      <c r="BV95" s="107"/>
      <c r="BW95" s="107"/>
      <c r="BX95" s="108"/>
      <c r="BY95" s="108"/>
      <c r="BZ95" s="108"/>
      <c r="CA95" s="107"/>
      <c r="CB95" s="108"/>
      <c r="CC95" s="107"/>
      <c r="CD95" s="108"/>
      <c r="CE95" s="107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8"/>
      <c r="CW95" s="108"/>
      <c r="CX95" s="108"/>
      <c r="CY95" s="108"/>
      <c r="CZ95" s="108"/>
      <c r="DA95" s="108"/>
      <c r="DB95" s="108"/>
      <c r="DC95" s="108"/>
      <c r="DD95" s="108"/>
      <c r="DE95" s="108"/>
      <c r="DF95" s="108"/>
      <c r="DG95" s="108"/>
      <c r="DH95" s="108"/>
      <c r="DI95" s="108"/>
      <c r="DJ95" s="108"/>
      <c r="DK95" s="108"/>
      <c r="DL95" s="103"/>
      <c r="DM95" s="103"/>
      <c r="DN95" s="103"/>
    </row>
    <row r="96" spans="1:118" ht="13.35" hidden="1" customHeight="1">
      <c r="A96" s="91" t="s">
        <v>12</v>
      </c>
      <c r="B96" s="91"/>
      <c r="C96" s="267" t="s">
        <v>31</v>
      </c>
      <c r="D96" s="279">
        <v>45.32</v>
      </c>
      <c r="E96" s="155" t="s">
        <v>140</v>
      </c>
      <c r="F96" s="160" t="s">
        <v>146</v>
      </c>
      <c r="G96" s="6">
        <v>22.5</v>
      </c>
      <c r="H96" s="5" t="s">
        <v>147</v>
      </c>
      <c r="I96" s="23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1"/>
      <c r="AQ96" s="1"/>
      <c r="AR96" s="61"/>
      <c r="AS96" s="1"/>
      <c r="AT96" s="61"/>
      <c r="AU96" s="61"/>
      <c r="AV96" s="61"/>
      <c r="AW96" s="1"/>
      <c r="AX96" s="1"/>
      <c r="AY96" s="61"/>
      <c r="AZ96" s="61"/>
      <c r="BA96" s="61"/>
      <c r="BB96" s="61">
        <v>23.6</v>
      </c>
      <c r="BC96" s="61"/>
      <c r="BD96" s="1"/>
      <c r="BE96" s="1"/>
      <c r="BF96" s="61"/>
      <c r="BG96" s="61">
        <v>24.8</v>
      </c>
      <c r="BH96" s="61" t="s">
        <v>148</v>
      </c>
      <c r="BI96" s="61"/>
      <c r="BJ96" s="61"/>
      <c r="BK96" s="67"/>
      <c r="BL96" s="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1"/>
      <c r="BZ96" s="1"/>
      <c r="CA96" s="61"/>
      <c r="CB96" s="61"/>
      <c r="CC96" s="61"/>
      <c r="CD96" s="1"/>
      <c r="CE96" s="6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8"/>
      <c r="DM96" s="8"/>
      <c r="DN96" s="8"/>
    </row>
    <row r="97" spans="1:118" ht="13.35" hidden="1" customHeight="1">
      <c r="A97" s="91" t="s">
        <v>12</v>
      </c>
      <c r="B97" s="91"/>
      <c r="C97" s="267" t="s">
        <v>31</v>
      </c>
      <c r="D97" s="279"/>
      <c r="E97" s="155" t="s">
        <v>140</v>
      </c>
      <c r="F97" s="160" t="s">
        <v>149</v>
      </c>
      <c r="G97" s="27">
        <v>22.5</v>
      </c>
      <c r="H97" s="5" t="s">
        <v>147</v>
      </c>
      <c r="I97" s="23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1"/>
      <c r="AQ97" s="1"/>
      <c r="AR97" s="61"/>
      <c r="AS97" s="1"/>
      <c r="AT97" s="61"/>
      <c r="AU97" s="61"/>
      <c r="AV97" s="61"/>
      <c r="AW97" s="1"/>
      <c r="AX97" s="1"/>
      <c r="AY97" s="61"/>
      <c r="AZ97" s="61"/>
      <c r="BA97" s="61"/>
      <c r="BB97" s="61"/>
      <c r="BC97" s="61"/>
      <c r="BD97" s="1"/>
      <c r="BE97" s="1"/>
      <c r="BF97" s="61"/>
      <c r="BG97" s="61"/>
      <c r="BH97" s="61"/>
      <c r="BI97" s="61"/>
      <c r="BJ97" s="61"/>
      <c r="BK97" s="67"/>
      <c r="BL97" s="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1"/>
      <c r="BZ97" s="1"/>
      <c r="CA97" s="61"/>
      <c r="CB97" s="61"/>
      <c r="CC97" s="61"/>
      <c r="CD97" s="1"/>
      <c r="CE97" s="6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8"/>
      <c r="DM97" s="8"/>
      <c r="DN97" s="8"/>
    </row>
    <row r="98" spans="1:118" ht="13.35" hidden="1" customHeight="1">
      <c r="A98" s="91" t="s">
        <v>12</v>
      </c>
      <c r="B98" s="91"/>
      <c r="C98" s="267" t="s">
        <v>31</v>
      </c>
      <c r="D98" s="279"/>
      <c r="E98" s="155" t="s">
        <v>140</v>
      </c>
      <c r="F98" s="160" t="s">
        <v>150</v>
      </c>
      <c r="G98" s="27">
        <v>22.5</v>
      </c>
      <c r="H98" s="5" t="s">
        <v>147</v>
      </c>
      <c r="I98" s="23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1"/>
      <c r="AQ98" s="1"/>
      <c r="AR98" s="61"/>
      <c r="AS98" s="1"/>
      <c r="AT98" s="61"/>
      <c r="AU98" s="61"/>
      <c r="AV98" s="61"/>
      <c r="AW98" s="1"/>
      <c r="AX98" s="1"/>
      <c r="AY98" s="61"/>
      <c r="AZ98" s="61"/>
      <c r="BA98" s="61"/>
      <c r="BB98" s="61"/>
      <c r="BC98" s="61"/>
      <c r="BD98" s="1"/>
      <c r="BE98" s="1"/>
      <c r="BF98" s="61"/>
      <c r="BG98" s="61"/>
      <c r="BH98" s="61"/>
      <c r="BI98" s="61"/>
      <c r="BJ98" s="61"/>
      <c r="BK98" s="67"/>
      <c r="BL98" s="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1"/>
      <c r="BZ98" s="1"/>
      <c r="CA98" s="61"/>
      <c r="CB98" s="61"/>
      <c r="CC98" s="61"/>
      <c r="CD98" s="1"/>
      <c r="CE98" s="6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8"/>
      <c r="DM98" s="8"/>
      <c r="DN98" s="8"/>
    </row>
    <row r="99" spans="1:118" ht="13.35" hidden="1" customHeight="1">
      <c r="A99" s="91" t="s">
        <v>12</v>
      </c>
      <c r="B99" s="91"/>
      <c r="C99" s="267" t="s">
        <v>31</v>
      </c>
      <c r="D99" s="279"/>
      <c r="E99" s="155" t="s">
        <v>140</v>
      </c>
      <c r="F99" s="160" t="s">
        <v>151</v>
      </c>
      <c r="G99" s="27">
        <v>22.5</v>
      </c>
      <c r="H99" s="5" t="s">
        <v>147</v>
      </c>
      <c r="I99" s="23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1"/>
      <c r="AQ99" s="1"/>
      <c r="AR99" s="61"/>
      <c r="AS99" s="1"/>
      <c r="AT99" s="61"/>
      <c r="AU99" s="61"/>
      <c r="AV99" s="61"/>
      <c r="AW99" s="1"/>
      <c r="AX99" s="1"/>
      <c r="AY99" s="61"/>
      <c r="AZ99" s="61"/>
      <c r="BA99" s="61"/>
      <c r="BB99" s="61">
        <v>24</v>
      </c>
      <c r="BC99" s="61"/>
      <c r="BD99" s="1"/>
      <c r="BE99" s="1"/>
      <c r="BF99" s="61"/>
      <c r="BG99" s="61"/>
      <c r="BH99" s="61"/>
      <c r="BI99" s="61"/>
      <c r="BJ99" s="61"/>
      <c r="BK99" s="67"/>
      <c r="BL99" s="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1"/>
      <c r="BZ99" s="1"/>
      <c r="CA99" s="61"/>
      <c r="CB99" s="61"/>
      <c r="CC99" s="61"/>
      <c r="CD99" s="1"/>
      <c r="CE99" s="6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8"/>
      <c r="DM99" s="8"/>
      <c r="DN99" s="8"/>
    </row>
    <row r="100" spans="1:118" ht="13.35" hidden="1" customHeight="1">
      <c r="A100" s="91" t="s">
        <v>12</v>
      </c>
      <c r="B100" s="91"/>
      <c r="C100" s="267" t="s">
        <v>31</v>
      </c>
      <c r="D100" s="279"/>
      <c r="E100" s="155" t="s">
        <v>140</v>
      </c>
      <c r="F100" s="160" t="s">
        <v>152</v>
      </c>
      <c r="G100" s="27">
        <v>22.5</v>
      </c>
      <c r="H100" s="5" t="s">
        <v>147</v>
      </c>
      <c r="I100" s="23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1"/>
      <c r="AQ100" s="1"/>
      <c r="AR100" s="61"/>
      <c r="AS100" s="1"/>
      <c r="AT100" s="61"/>
      <c r="AU100" s="61"/>
      <c r="AV100" s="61"/>
      <c r="AW100" s="1"/>
      <c r="AX100" s="1"/>
      <c r="AY100" s="61"/>
      <c r="AZ100" s="61"/>
      <c r="BA100" s="61"/>
      <c r="BB100" s="61">
        <v>23.2</v>
      </c>
      <c r="BC100" s="61"/>
      <c r="BD100" s="1"/>
      <c r="BE100" s="1"/>
      <c r="BF100" s="61"/>
      <c r="BG100" s="61"/>
      <c r="BH100" s="61"/>
      <c r="BI100" s="61"/>
      <c r="BJ100" s="61"/>
      <c r="BK100" s="67"/>
      <c r="BL100" s="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1"/>
      <c r="BZ100" s="1"/>
      <c r="CA100" s="61"/>
      <c r="CB100" s="61"/>
      <c r="CC100" s="61"/>
      <c r="CD100" s="1"/>
      <c r="CE100" s="6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8"/>
      <c r="DM100" s="8"/>
      <c r="DN100" s="8"/>
    </row>
    <row r="101" spans="1:118" ht="13.35" hidden="1" customHeight="1">
      <c r="A101" s="91" t="s">
        <v>12</v>
      </c>
      <c r="B101" s="91"/>
      <c r="C101" s="267" t="s">
        <v>31</v>
      </c>
      <c r="D101" s="279"/>
      <c r="E101" s="155" t="s">
        <v>140</v>
      </c>
      <c r="F101" s="160" t="s">
        <v>153</v>
      </c>
      <c r="G101" s="27">
        <v>22.5</v>
      </c>
      <c r="H101" s="5" t="s">
        <v>147</v>
      </c>
      <c r="I101" s="23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1"/>
      <c r="AQ101" s="1"/>
      <c r="AR101" s="61"/>
      <c r="AS101" s="1"/>
      <c r="AT101" s="61"/>
      <c r="AU101" s="61"/>
      <c r="AV101" s="61"/>
      <c r="AW101" s="1"/>
      <c r="AX101" s="1"/>
      <c r="AY101" s="61"/>
      <c r="AZ101" s="61"/>
      <c r="BA101" s="61"/>
      <c r="BB101" s="61"/>
      <c r="BC101" s="61"/>
      <c r="BD101" s="1"/>
      <c r="BE101" s="1"/>
      <c r="BF101" s="61"/>
      <c r="BG101" s="61"/>
      <c r="BH101" s="61"/>
      <c r="BI101" s="61"/>
      <c r="BJ101" s="61"/>
      <c r="BK101" s="67"/>
      <c r="BL101" s="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1"/>
      <c r="BZ101" s="1"/>
      <c r="CA101" s="61"/>
      <c r="CB101" s="61"/>
      <c r="CC101" s="61"/>
      <c r="CD101" s="1"/>
      <c r="CE101" s="6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8"/>
      <c r="DM101" s="8"/>
      <c r="DN101" s="8"/>
    </row>
    <row r="102" spans="1:118" ht="13.35" hidden="1" customHeight="1">
      <c r="A102" s="91" t="s">
        <v>12</v>
      </c>
      <c r="B102" s="91"/>
      <c r="C102" s="267" t="s">
        <v>31</v>
      </c>
      <c r="D102" s="279"/>
      <c r="E102" s="155" t="s">
        <v>140</v>
      </c>
      <c r="F102" s="160" t="s">
        <v>154</v>
      </c>
      <c r="G102" s="27">
        <v>22.5</v>
      </c>
      <c r="H102" s="5" t="s">
        <v>147</v>
      </c>
      <c r="I102" s="23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1"/>
      <c r="AQ102" s="1"/>
      <c r="AR102" s="61"/>
      <c r="AS102" s="1"/>
      <c r="AT102" s="61"/>
      <c r="AU102" s="61"/>
      <c r="AV102" s="61"/>
      <c r="AW102" s="1"/>
      <c r="AX102" s="1"/>
      <c r="AY102" s="61"/>
      <c r="AZ102" s="61"/>
      <c r="BA102" s="61"/>
      <c r="BB102" s="61"/>
      <c r="BC102" s="61"/>
      <c r="BD102" s="1"/>
      <c r="BE102" s="1"/>
      <c r="BF102" s="61"/>
      <c r="BG102" s="61"/>
      <c r="BH102" s="61"/>
      <c r="BI102" s="61"/>
      <c r="BJ102" s="61"/>
      <c r="BK102" s="67"/>
      <c r="BL102" s="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1"/>
      <c r="BZ102" s="1"/>
      <c r="CA102" s="61"/>
      <c r="CB102" s="61"/>
      <c r="CC102" s="61"/>
      <c r="CD102" s="1"/>
      <c r="CE102" s="6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8"/>
      <c r="DM102" s="8"/>
      <c r="DN102" s="8"/>
    </row>
    <row r="103" spans="1:118" ht="13.35" hidden="1" customHeight="1">
      <c r="A103" s="91" t="s">
        <v>12</v>
      </c>
      <c r="B103" s="91"/>
      <c r="C103" s="267" t="s">
        <v>31</v>
      </c>
      <c r="D103" s="279"/>
      <c r="E103" s="155" t="s">
        <v>140</v>
      </c>
      <c r="F103" s="160" t="s">
        <v>155</v>
      </c>
      <c r="G103" s="27">
        <v>22.5</v>
      </c>
      <c r="H103" s="5" t="s">
        <v>147</v>
      </c>
      <c r="I103" s="23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1"/>
      <c r="AQ103" s="1"/>
      <c r="AR103" s="61"/>
      <c r="AS103" s="1"/>
      <c r="AT103" s="61"/>
      <c r="AU103" s="61"/>
      <c r="AV103" s="61"/>
      <c r="AW103" s="1"/>
      <c r="AX103" s="1"/>
      <c r="AY103" s="61"/>
      <c r="AZ103" s="61"/>
      <c r="BA103" s="61"/>
      <c r="BB103" s="61"/>
      <c r="BC103" s="61"/>
      <c r="BD103" s="1"/>
      <c r="BE103" s="1"/>
      <c r="BF103" s="61"/>
      <c r="BG103" s="61"/>
      <c r="BH103" s="67" t="s">
        <v>156</v>
      </c>
      <c r="BI103" s="61"/>
      <c r="BJ103" s="61"/>
      <c r="BK103" s="67"/>
      <c r="BL103" s="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1"/>
      <c r="BZ103" s="1"/>
      <c r="CA103" s="61"/>
      <c r="CB103" s="61"/>
      <c r="CC103" s="61"/>
      <c r="CD103" s="1"/>
      <c r="CE103" s="6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8"/>
      <c r="DM103" s="8"/>
      <c r="DN103" s="8"/>
    </row>
    <row r="104" spans="1:118" ht="13.35" hidden="1" customHeight="1">
      <c r="A104" s="91" t="s">
        <v>12</v>
      </c>
      <c r="B104" s="91"/>
      <c r="C104" s="267" t="s">
        <v>31</v>
      </c>
      <c r="D104" s="279"/>
      <c r="E104" s="155" t="s">
        <v>140</v>
      </c>
      <c r="F104" s="160" t="s">
        <v>157</v>
      </c>
      <c r="G104" s="27">
        <v>22.5</v>
      </c>
      <c r="H104" s="5" t="s">
        <v>147</v>
      </c>
      <c r="I104" s="23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1"/>
      <c r="AQ104" s="1"/>
      <c r="AR104" s="61"/>
      <c r="AS104" s="1"/>
      <c r="AT104" s="61"/>
      <c r="AU104" s="61"/>
      <c r="AV104" s="61"/>
      <c r="AW104" s="1"/>
      <c r="AX104" s="1"/>
      <c r="AY104" s="61"/>
      <c r="AZ104" s="61"/>
      <c r="BA104" s="61"/>
      <c r="BB104" s="61"/>
      <c r="BC104" s="61"/>
      <c r="BD104" s="1"/>
      <c r="BE104" s="1"/>
      <c r="BF104" s="61"/>
      <c r="BG104" s="61"/>
      <c r="BH104" s="61"/>
      <c r="BI104" s="61"/>
      <c r="BJ104" s="61"/>
      <c r="BK104" s="67"/>
      <c r="BL104" s="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1"/>
      <c r="BZ104" s="1"/>
      <c r="CA104" s="61"/>
      <c r="CB104" s="61"/>
      <c r="CC104" s="61"/>
      <c r="CD104" s="1"/>
      <c r="CE104" s="6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8"/>
      <c r="DM104" s="8"/>
      <c r="DN104" s="8"/>
    </row>
    <row r="105" spans="1:118" ht="13.35" hidden="1" customHeight="1">
      <c r="A105" s="91" t="s">
        <v>12</v>
      </c>
      <c r="B105" s="91"/>
      <c r="C105" s="267" t="s">
        <v>31</v>
      </c>
      <c r="D105" s="279"/>
      <c r="E105" s="155" t="s">
        <v>140</v>
      </c>
      <c r="F105" s="160" t="s">
        <v>158</v>
      </c>
      <c r="G105" s="27">
        <v>22.5</v>
      </c>
      <c r="H105" s="5" t="s">
        <v>147</v>
      </c>
      <c r="I105" s="23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1"/>
      <c r="AQ105" s="1"/>
      <c r="AR105" s="61"/>
      <c r="AS105" s="1"/>
      <c r="AT105" s="61"/>
      <c r="AU105" s="61"/>
      <c r="AV105" s="61"/>
      <c r="AW105" s="1"/>
      <c r="AX105" s="1"/>
      <c r="AY105" s="61"/>
      <c r="AZ105" s="61"/>
      <c r="BA105" s="61"/>
      <c r="BB105" s="61"/>
      <c r="BC105" s="61"/>
      <c r="BD105" s="1"/>
      <c r="BE105" s="1"/>
      <c r="BF105" s="61"/>
      <c r="BG105" s="61"/>
      <c r="BH105" s="61"/>
      <c r="BI105" s="61"/>
      <c r="BJ105" s="61"/>
      <c r="BK105" s="67"/>
      <c r="BL105" s="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1"/>
      <c r="BZ105" s="1"/>
      <c r="CA105" s="61"/>
      <c r="CB105" s="61"/>
      <c r="CC105" s="61"/>
      <c r="CD105" s="1"/>
      <c r="CE105" s="6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8"/>
      <c r="DM105" s="8"/>
      <c r="DN105" s="8"/>
    </row>
    <row r="106" spans="1:118" ht="13.35" hidden="1" customHeight="1">
      <c r="A106" s="91" t="s">
        <v>12</v>
      </c>
      <c r="B106" s="91"/>
      <c r="C106" s="267" t="s">
        <v>31</v>
      </c>
      <c r="D106" s="279"/>
      <c r="E106" s="155" t="s">
        <v>140</v>
      </c>
      <c r="F106" s="160" t="s">
        <v>159</v>
      </c>
      <c r="G106" s="27">
        <v>22.5</v>
      </c>
      <c r="H106" s="5" t="s">
        <v>147</v>
      </c>
      <c r="I106" s="23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1"/>
      <c r="AQ106" s="1"/>
      <c r="AR106" s="61"/>
      <c r="AS106" s="1"/>
      <c r="AT106" s="61"/>
      <c r="AU106" s="61"/>
      <c r="AV106" s="61"/>
      <c r="AW106" s="1"/>
      <c r="AX106" s="1"/>
      <c r="AY106" s="61"/>
      <c r="AZ106" s="61"/>
      <c r="BA106" s="61"/>
      <c r="BB106" s="61"/>
      <c r="BC106" s="61"/>
      <c r="BD106" s="1"/>
      <c r="BE106" s="1"/>
      <c r="BF106" s="61"/>
      <c r="BG106" s="61"/>
      <c r="BH106" s="61"/>
      <c r="BI106" s="61"/>
      <c r="BJ106" s="61"/>
      <c r="BK106" s="67"/>
      <c r="BL106" s="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1"/>
      <c r="BZ106" s="1"/>
      <c r="CA106" s="61"/>
      <c r="CB106" s="61"/>
      <c r="CC106" s="61"/>
      <c r="CD106" s="1"/>
      <c r="CE106" s="6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8"/>
      <c r="DM106" s="8"/>
      <c r="DN106" s="8"/>
    </row>
    <row r="107" spans="1:118" ht="13.35" hidden="1" customHeight="1">
      <c r="A107" s="91" t="s">
        <v>12</v>
      </c>
      <c r="B107" s="91"/>
      <c r="C107" s="267" t="s">
        <v>31</v>
      </c>
      <c r="D107" s="279"/>
      <c r="E107" s="155" t="s">
        <v>140</v>
      </c>
      <c r="F107" s="160" t="s">
        <v>160</v>
      </c>
      <c r="G107" s="27">
        <v>22.5</v>
      </c>
      <c r="H107" s="5" t="s">
        <v>147</v>
      </c>
      <c r="I107" s="23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1"/>
      <c r="AQ107" s="1"/>
      <c r="AR107" s="61"/>
      <c r="AS107" s="1"/>
      <c r="AT107" s="61"/>
      <c r="AU107" s="61"/>
      <c r="AV107" s="61"/>
      <c r="AW107" s="1"/>
      <c r="AX107" s="1"/>
      <c r="AY107" s="61"/>
      <c r="AZ107" s="61"/>
      <c r="BA107" s="61"/>
      <c r="BB107" s="61"/>
      <c r="BC107" s="61"/>
      <c r="BD107" s="1"/>
      <c r="BE107" s="1"/>
      <c r="BF107" s="61"/>
      <c r="BG107" s="61"/>
      <c r="BH107" s="61"/>
      <c r="BI107" s="61"/>
      <c r="BJ107" s="61"/>
      <c r="BK107" s="67"/>
      <c r="BL107" s="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1"/>
      <c r="BZ107" s="1"/>
      <c r="CA107" s="61"/>
      <c r="CB107" s="61"/>
      <c r="CC107" s="61"/>
      <c r="CD107" s="1"/>
      <c r="CE107" s="6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8"/>
      <c r="DM107" s="8"/>
      <c r="DN107" s="8"/>
    </row>
    <row r="108" spans="1:118" ht="13.35" hidden="1" customHeight="1">
      <c r="A108" s="91" t="s">
        <v>12</v>
      </c>
      <c r="B108" s="91"/>
      <c r="C108" s="267" t="s">
        <v>31</v>
      </c>
      <c r="D108" s="279"/>
      <c r="E108" s="155" t="s">
        <v>140</v>
      </c>
      <c r="F108" s="160" t="s">
        <v>161</v>
      </c>
      <c r="G108" s="27">
        <v>22.5</v>
      </c>
      <c r="H108" s="5" t="s">
        <v>147</v>
      </c>
      <c r="I108" s="23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1"/>
      <c r="AQ108" s="1"/>
      <c r="AR108" s="61"/>
      <c r="AS108" s="1"/>
      <c r="AT108" s="61"/>
      <c r="AU108" s="61"/>
      <c r="AV108" s="61"/>
      <c r="AW108" s="1"/>
      <c r="AX108" s="1"/>
      <c r="AY108" s="61"/>
      <c r="AZ108" s="61"/>
      <c r="BA108" s="61"/>
      <c r="BB108" s="61"/>
      <c r="BC108" s="61"/>
      <c r="BD108" s="1"/>
      <c r="BE108" s="1"/>
      <c r="BF108" s="61"/>
      <c r="BG108" s="61"/>
      <c r="BH108" s="61"/>
      <c r="BI108" s="61"/>
      <c r="BJ108" s="61"/>
      <c r="BK108" s="67"/>
      <c r="BL108" s="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1"/>
      <c r="BZ108" s="1"/>
      <c r="CA108" s="61"/>
      <c r="CB108" s="61"/>
      <c r="CC108" s="61"/>
      <c r="CD108" s="1"/>
      <c r="CE108" s="6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8"/>
      <c r="DM108" s="8"/>
      <c r="DN108" s="8"/>
    </row>
    <row r="109" spans="1:118" ht="13.35" hidden="1" customHeight="1">
      <c r="A109" s="91" t="s">
        <v>12</v>
      </c>
      <c r="B109" s="91"/>
      <c r="C109" s="267" t="s">
        <v>31</v>
      </c>
      <c r="D109" s="279"/>
      <c r="E109" s="155" t="s">
        <v>140</v>
      </c>
      <c r="F109" s="160" t="s">
        <v>162</v>
      </c>
      <c r="G109" s="27">
        <v>22.5</v>
      </c>
      <c r="H109" s="5" t="s">
        <v>147</v>
      </c>
      <c r="I109" s="23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1"/>
      <c r="AQ109" s="1"/>
      <c r="AR109" s="61"/>
      <c r="AS109" s="1"/>
      <c r="AT109" s="61"/>
      <c r="AU109" s="61"/>
      <c r="AV109" s="61"/>
      <c r="AW109" s="1"/>
      <c r="AX109" s="1"/>
      <c r="AY109" s="61"/>
      <c r="AZ109" s="61"/>
      <c r="BA109" s="61"/>
      <c r="BB109" s="61"/>
      <c r="BC109" s="61"/>
      <c r="BD109" s="1"/>
      <c r="BE109" s="1"/>
      <c r="BF109" s="61"/>
      <c r="BG109" s="61">
        <v>25</v>
      </c>
      <c r="BH109" s="61"/>
      <c r="BI109" s="61"/>
      <c r="BJ109" s="61"/>
      <c r="BK109" s="67"/>
      <c r="BL109" s="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1"/>
      <c r="BZ109" s="1"/>
      <c r="CA109" s="61"/>
      <c r="CB109" s="1"/>
      <c r="CC109" s="61"/>
      <c r="CD109" s="1"/>
      <c r="CE109" s="6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8"/>
      <c r="DM109" s="8"/>
      <c r="DN109" s="8"/>
    </row>
    <row r="110" spans="1:118" ht="13.35" hidden="1" customHeight="1">
      <c r="A110" s="91" t="s">
        <v>12</v>
      </c>
      <c r="B110" s="91"/>
      <c r="C110" s="267" t="s">
        <v>31</v>
      </c>
      <c r="D110" s="279"/>
      <c r="E110" s="155" t="s">
        <v>140</v>
      </c>
      <c r="F110" s="160" t="s">
        <v>163</v>
      </c>
      <c r="G110" s="27">
        <v>22.5</v>
      </c>
      <c r="H110" s="5" t="s">
        <v>147</v>
      </c>
      <c r="I110" s="23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1"/>
      <c r="AQ110" s="1"/>
      <c r="AR110" s="61"/>
      <c r="AS110" s="1"/>
      <c r="AT110" s="61"/>
      <c r="AU110" s="61"/>
      <c r="AV110" s="61"/>
      <c r="AW110" s="1"/>
      <c r="AX110" s="1"/>
      <c r="AY110" s="61"/>
      <c r="AZ110" s="61"/>
      <c r="BA110" s="61"/>
      <c r="BB110" s="61"/>
      <c r="BC110" s="61"/>
      <c r="BD110" s="1"/>
      <c r="BE110" s="1"/>
      <c r="BF110" s="61"/>
      <c r="BG110" s="61">
        <v>24.6</v>
      </c>
      <c r="BH110" s="61"/>
      <c r="BI110" s="61"/>
      <c r="BJ110" s="61"/>
      <c r="BK110" s="67"/>
      <c r="BL110" s="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1"/>
      <c r="BZ110" s="1"/>
      <c r="CA110" s="61"/>
      <c r="CB110" s="61"/>
      <c r="CC110" s="61"/>
      <c r="CD110" s="1"/>
      <c r="CE110" s="6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8"/>
      <c r="DM110" s="8"/>
      <c r="DN110" s="8"/>
    </row>
    <row r="111" spans="1:118" ht="13.35" hidden="1" customHeight="1">
      <c r="A111" s="91" t="s">
        <v>12</v>
      </c>
      <c r="B111" s="91"/>
      <c r="C111" s="267" t="s">
        <v>31</v>
      </c>
      <c r="D111" s="279"/>
      <c r="E111" s="155" t="s">
        <v>140</v>
      </c>
      <c r="F111" s="160" t="s">
        <v>164</v>
      </c>
      <c r="G111" s="394">
        <v>22.5</v>
      </c>
      <c r="H111" s="5" t="s">
        <v>147</v>
      </c>
      <c r="I111" s="23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1"/>
      <c r="AQ111" s="1"/>
      <c r="AR111" s="61"/>
      <c r="AS111" s="1"/>
      <c r="AT111" s="61"/>
      <c r="AU111" s="61"/>
      <c r="AV111" s="61"/>
      <c r="AW111" s="1"/>
      <c r="AX111" s="1"/>
      <c r="AY111" s="61"/>
      <c r="AZ111" s="61"/>
      <c r="BA111" s="61"/>
      <c r="BB111" s="61">
        <v>21.2</v>
      </c>
      <c r="BC111" s="61"/>
      <c r="BD111" s="1"/>
      <c r="BE111" s="1"/>
      <c r="BF111" s="61"/>
      <c r="BG111" s="61"/>
      <c r="BH111" s="61">
        <v>23.2</v>
      </c>
      <c r="BI111" s="61"/>
      <c r="BJ111" s="61"/>
      <c r="BK111" s="67"/>
      <c r="BL111" s="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1"/>
      <c r="BZ111" s="1"/>
      <c r="CA111" s="61"/>
      <c r="CB111" s="61"/>
      <c r="CC111" s="61"/>
      <c r="CD111" s="1"/>
      <c r="CE111" s="6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8"/>
      <c r="DM111" s="8"/>
      <c r="DN111" s="8"/>
    </row>
    <row r="112" spans="1:118" ht="13.35" hidden="1" customHeight="1">
      <c r="A112" s="91" t="s">
        <v>12</v>
      </c>
      <c r="B112" s="91"/>
      <c r="C112" s="267" t="s">
        <v>31</v>
      </c>
      <c r="D112" s="279"/>
      <c r="E112" s="155" t="s">
        <v>140</v>
      </c>
      <c r="F112" s="160" t="s">
        <v>165</v>
      </c>
      <c r="G112" s="394">
        <v>22.5</v>
      </c>
      <c r="H112" s="5" t="s">
        <v>147</v>
      </c>
      <c r="I112" s="23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1"/>
      <c r="AQ112" s="1"/>
      <c r="AR112" s="61"/>
      <c r="AS112" s="1"/>
      <c r="AT112" s="61"/>
      <c r="AU112" s="61"/>
      <c r="AV112" s="61"/>
      <c r="AW112" s="1"/>
      <c r="AX112" s="1"/>
      <c r="AY112" s="61"/>
      <c r="AZ112" s="61"/>
      <c r="BA112" s="61"/>
      <c r="BB112" s="61"/>
      <c r="BC112" s="61"/>
      <c r="BD112" s="1"/>
      <c r="BE112" s="1"/>
      <c r="BF112" s="61"/>
      <c r="BG112" s="61"/>
      <c r="BH112" s="61">
        <v>23.4</v>
      </c>
      <c r="BI112" s="61"/>
      <c r="BJ112" s="61"/>
      <c r="BK112" s="67"/>
      <c r="BL112" s="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1"/>
      <c r="BZ112" s="1"/>
      <c r="CA112" s="61"/>
      <c r="CB112" s="61"/>
      <c r="CC112" s="61"/>
      <c r="CD112" s="1"/>
      <c r="CE112" s="6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8"/>
      <c r="DM112" s="8"/>
      <c r="DN112" s="8"/>
    </row>
    <row r="113" spans="1:118" s="104" customFormat="1" ht="13.35" hidden="1" customHeight="1">
      <c r="A113" s="96" t="s">
        <v>12</v>
      </c>
      <c r="B113" s="96" t="s">
        <v>13</v>
      </c>
      <c r="C113" s="269" t="s">
        <v>31</v>
      </c>
      <c r="D113" s="281">
        <v>5</v>
      </c>
      <c r="E113" s="157" t="s">
        <v>140</v>
      </c>
      <c r="F113" s="161" t="s">
        <v>166</v>
      </c>
      <c r="G113" s="115">
        <v>24</v>
      </c>
      <c r="H113" s="109" t="s">
        <v>94</v>
      </c>
      <c r="I113" s="232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8"/>
      <c r="AQ113" s="108"/>
      <c r="AR113" s="107"/>
      <c r="AS113" s="108"/>
      <c r="AT113" s="107"/>
      <c r="AU113" s="107"/>
      <c r="AV113" s="107"/>
      <c r="AW113" s="108"/>
      <c r="AX113" s="108"/>
      <c r="AY113" s="107"/>
      <c r="AZ113" s="107"/>
      <c r="BA113" s="107"/>
      <c r="BB113" s="107"/>
      <c r="BC113" s="107"/>
      <c r="BD113" s="108"/>
      <c r="BE113" s="108"/>
      <c r="BF113" s="107"/>
      <c r="BG113" s="107"/>
      <c r="BH113" s="107"/>
      <c r="BI113" s="107" t="s">
        <v>167</v>
      </c>
      <c r="BJ113" s="107">
        <v>24.2</v>
      </c>
      <c r="BK113" s="123"/>
      <c r="BL113" s="108"/>
      <c r="BM113" s="107"/>
      <c r="BN113" s="107"/>
      <c r="BO113" s="107"/>
      <c r="BP113" s="107"/>
      <c r="BQ113" s="107"/>
      <c r="BR113" s="107">
        <v>25</v>
      </c>
      <c r="BS113" s="107"/>
      <c r="BT113" s="107"/>
      <c r="BU113" s="107"/>
      <c r="BV113" s="107"/>
      <c r="BW113" s="107"/>
      <c r="BX113" s="107"/>
      <c r="BY113" s="108"/>
      <c r="BZ113" s="108"/>
      <c r="CA113" s="107"/>
      <c r="CB113" s="107"/>
      <c r="CC113" s="107"/>
      <c r="CD113" s="107"/>
      <c r="CE113" s="107"/>
      <c r="CF113" s="108"/>
      <c r="CG113" s="108"/>
      <c r="CH113" s="107"/>
      <c r="CI113" s="107"/>
      <c r="CJ113" s="107"/>
      <c r="CK113" s="107"/>
      <c r="CL113" s="107"/>
      <c r="CM113" s="108"/>
      <c r="CN113" s="108"/>
      <c r="CO113" s="107"/>
      <c r="CP113" s="107"/>
      <c r="CQ113" s="108"/>
      <c r="CR113" s="108"/>
      <c r="CS113" s="108"/>
      <c r="CT113" s="108"/>
      <c r="CU113" s="108"/>
      <c r="CV113" s="108"/>
      <c r="CW113" s="108"/>
      <c r="CX113" s="108"/>
      <c r="CY113" s="108"/>
      <c r="CZ113" s="108"/>
      <c r="DA113" s="108"/>
      <c r="DB113" s="108"/>
      <c r="DC113" s="108"/>
      <c r="DD113" s="108"/>
      <c r="DE113" s="108"/>
      <c r="DF113" s="108"/>
      <c r="DG113" s="108"/>
      <c r="DH113" s="108"/>
      <c r="DI113" s="108"/>
      <c r="DJ113" s="108"/>
      <c r="DK113" s="108"/>
      <c r="DL113" s="103"/>
      <c r="DM113" s="103"/>
      <c r="DN113" s="103"/>
    </row>
    <row r="114" spans="1:118" ht="12.95" hidden="1" customHeight="1">
      <c r="A114" s="91" t="s">
        <v>12</v>
      </c>
      <c r="B114" s="91" t="s">
        <v>13</v>
      </c>
      <c r="C114" s="267" t="s">
        <v>31</v>
      </c>
      <c r="D114" s="279">
        <v>104.19</v>
      </c>
      <c r="E114" s="155" t="s">
        <v>140</v>
      </c>
      <c r="F114" s="160" t="s">
        <v>168</v>
      </c>
      <c r="G114" s="6"/>
      <c r="H114" s="5" t="s">
        <v>16</v>
      </c>
      <c r="I114" s="23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1"/>
      <c r="AQ114" s="1"/>
      <c r="AR114" s="61"/>
      <c r="AS114" s="1"/>
      <c r="AT114" s="61"/>
      <c r="AU114" s="61"/>
      <c r="AV114" s="61"/>
      <c r="AW114" s="1"/>
      <c r="AX114" s="1"/>
      <c r="AY114" s="61"/>
      <c r="AZ114" s="61"/>
      <c r="BA114" s="61"/>
      <c r="BB114" s="61"/>
      <c r="BC114" s="61">
        <v>24.3</v>
      </c>
      <c r="BD114" s="1"/>
      <c r="BE114" s="1"/>
      <c r="BF114" s="61"/>
      <c r="BG114" s="61"/>
      <c r="BH114" s="61"/>
      <c r="BI114" s="61"/>
      <c r="BJ114" s="61"/>
      <c r="BK114" s="67"/>
      <c r="BL114" s="1"/>
      <c r="BM114" s="61"/>
      <c r="BN114" s="61"/>
      <c r="BO114" s="61"/>
      <c r="BP114" s="61"/>
      <c r="BQ114" s="67">
        <v>23.4</v>
      </c>
      <c r="BR114" s="61"/>
      <c r="BS114" s="61"/>
      <c r="BT114" s="61"/>
      <c r="BU114" s="61"/>
      <c r="BV114" s="61"/>
      <c r="BW114" s="61"/>
      <c r="BX114" s="1"/>
      <c r="BY114" s="1"/>
      <c r="BZ114" s="1"/>
      <c r="CA114" s="61"/>
      <c r="CB114" s="1"/>
      <c r="CC114" s="61"/>
      <c r="CD114" s="1"/>
      <c r="CE114" s="6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8"/>
      <c r="DM114" s="8"/>
      <c r="DN114" s="8"/>
    </row>
    <row r="115" spans="1:118" ht="12.95" hidden="1" customHeight="1">
      <c r="A115" s="91" t="s">
        <v>12</v>
      </c>
      <c r="B115" s="91" t="s">
        <v>13</v>
      </c>
      <c r="C115" s="267" t="s">
        <v>31</v>
      </c>
      <c r="D115" s="279"/>
      <c r="E115" s="155" t="s">
        <v>140</v>
      </c>
      <c r="F115" s="160" t="s">
        <v>169</v>
      </c>
      <c r="G115" s="6"/>
      <c r="H115" s="5" t="s">
        <v>16</v>
      </c>
      <c r="I115" s="23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1"/>
      <c r="AQ115" s="1"/>
      <c r="AR115" s="61"/>
      <c r="AS115" s="1"/>
      <c r="AT115" s="61"/>
      <c r="AU115" s="61"/>
      <c r="AV115" s="61"/>
      <c r="AW115" s="1"/>
      <c r="AX115" s="1"/>
      <c r="AY115" s="61"/>
      <c r="AZ115" s="61"/>
      <c r="BA115" s="61"/>
      <c r="BB115" s="61"/>
      <c r="BC115" s="61"/>
      <c r="BD115" s="1"/>
      <c r="BE115" s="1"/>
      <c r="BF115" s="61"/>
      <c r="BG115" s="61">
        <v>26</v>
      </c>
      <c r="BH115" s="61"/>
      <c r="BI115" s="61"/>
      <c r="BJ115" s="61"/>
      <c r="BK115" s="67"/>
      <c r="BL115" s="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1"/>
      <c r="BY115" s="1"/>
      <c r="BZ115" s="1"/>
      <c r="CA115" s="61"/>
      <c r="CB115" s="1"/>
      <c r="CC115" s="61"/>
      <c r="CD115" s="1"/>
      <c r="CE115" s="6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8"/>
      <c r="DM115" s="8"/>
      <c r="DN115" s="8"/>
    </row>
    <row r="116" spans="1:118" ht="12.75" hidden="1" customHeight="1">
      <c r="A116" s="91" t="s">
        <v>12</v>
      </c>
      <c r="B116" s="91" t="s">
        <v>13</v>
      </c>
      <c r="C116" s="267" t="s">
        <v>31</v>
      </c>
      <c r="D116" s="279"/>
      <c r="E116" s="155" t="s">
        <v>140</v>
      </c>
      <c r="F116" s="160" t="s">
        <v>170</v>
      </c>
      <c r="G116" s="6"/>
      <c r="H116" s="5" t="s">
        <v>16</v>
      </c>
      <c r="I116" s="23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1"/>
      <c r="AQ116" s="1"/>
      <c r="AR116" s="61"/>
      <c r="AS116" s="1"/>
      <c r="AT116" s="61"/>
      <c r="AU116" s="61"/>
      <c r="AV116" s="61"/>
      <c r="AW116" s="1"/>
      <c r="AX116" s="1"/>
      <c r="AY116" s="61"/>
      <c r="AZ116" s="61"/>
      <c r="BA116" s="61"/>
      <c r="BB116" s="61"/>
      <c r="BC116" s="61"/>
      <c r="BD116" s="1"/>
      <c r="BE116" s="1"/>
      <c r="BF116" s="61"/>
      <c r="BG116" s="61">
        <v>25</v>
      </c>
      <c r="BH116" s="61"/>
      <c r="BI116" s="61"/>
      <c r="BJ116" s="61"/>
      <c r="BK116" s="67"/>
      <c r="BL116" s="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1"/>
      <c r="BY116" s="1"/>
      <c r="BZ116" s="1"/>
      <c r="CA116" s="61"/>
      <c r="CB116" s="1"/>
      <c r="CC116" s="61"/>
      <c r="CD116" s="1"/>
      <c r="CE116" s="6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8"/>
      <c r="DM116" s="8"/>
      <c r="DN116" s="8"/>
    </row>
    <row r="117" spans="1:118" s="104" customFormat="1" ht="12.75" hidden="1" customHeight="1">
      <c r="A117" s="91" t="s">
        <v>12</v>
      </c>
      <c r="B117" s="91" t="s">
        <v>13</v>
      </c>
      <c r="C117" s="267" t="s">
        <v>31</v>
      </c>
      <c r="D117" s="279"/>
      <c r="E117" s="155" t="s">
        <v>140</v>
      </c>
      <c r="F117" s="160" t="s">
        <v>171</v>
      </c>
      <c r="G117" s="6"/>
      <c r="H117" s="5" t="s">
        <v>16</v>
      </c>
      <c r="I117" s="23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1"/>
      <c r="AQ117" s="1"/>
      <c r="AR117" s="61"/>
      <c r="AS117" s="1"/>
      <c r="AT117" s="61"/>
      <c r="AU117" s="61"/>
      <c r="AV117" s="61"/>
      <c r="AW117" s="1"/>
      <c r="AX117" s="1"/>
      <c r="AY117" s="61"/>
      <c r="AZ117" s="61"/>
      <c r="BA117" s="61"/>
      <c r="BB117" s="61"/>
      <c r="BC117" s="61"/>
      <c r="BD117" s="1"/>
      <c r="BE117" s="1"/>
      <c r="BF117" s="61"/>
      <c r="BG117" s="61">
        <v>25.8</v>
      </c>
      <c r="BH117" s="61"/>
      <c r="BI117" s="61"/>
      <c r="BJ117" s="61"/>
      <c r="BK117" s="67"/>
      <c r="BL117" s="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1"/>
      <c r="BY117" s="1"/>
      <c r="BZ117" s="1"/>
      <c r="CA117" s="61"/>
      <c r="CB117" s="1"/>
      <c r="CC117" s="61"/>
      <c r="CD117" s="1"/>
      <c r="CE117" s="6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8"/>
      <c r="DM117" s="8"/>
      <c r="DN117" s="8"/>
    </row>
    <row r="118" spans="1:118" s="104" customFormat="1" ht="12.95" hidden="1" customHeight="1">
      <c r="A118" s="96" t="s">
        <v>12</v>
      </c>
      <c r="B118" s="96" t="s">
        <v>13</v>
      </c>
      <c r="C118" s="269" t="s">
        <v>31</v>
      </c>
      <c r="D118" s="281">
        <v>53</v>
      </c>
      <c r="E118" s="157" t="s">
        <v>140</v>
      </c>
      <c r="F118" s="161" t="s">
        <v>172</v>
      </c>
      <c r="G118" s="102">
        <v>24</v>
      </c>
      <c r="H118" s="109" t="s">
        <v>16</v>
      </c>
      <c r="I118" s="232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8"/>
      <c r="AQ118" s="108"/>
      <c r="AR118" s="107"/>
      <c r="AS118" s="108"/>
      <c r="AT118" s="107"/>
      <c r="AU118" s="107"/>
      <c r="AV118" s="107"/>
      <c r="AW118" s="108"/>
      <c r="AX118" s="108"/>
      <c r="AY118" s="107"/>
      <c r="AZ118" s="107"/>
      <c r="BA118" s="107"/>
      <c r="BB118" s="107"/>
      <c r="BC118" s="107"/>
      <c r="BD118" s="108"/>
      <c r="BE118" s="108"/>
      <c r="BF118" s="107"/>
      <c r="BG118" s="107"/>
      <c r="BH118" s="107"/>
      <c r="BI118" s="107"/>
      <c r="BJ118" s="107">
        <v>23.6</v>
      </c>
      <c r="BK118" s="123"/>
      <c r="BL118" s="108"/>
      <c r="BM118" s="107"/>
      <c r="BN118" s="107"/>
      <c r="BO118" s="107"/>
      <c r="BP118" s="107"/>
      <c r="BQ118" s="123">
        <v>23.4</v>
      </c>
      <c r="BR118" s="107"/>
      <c r="BS118" s="107"/>
      <c r="BT118" s="107"/>
      <c r="BU118" s="107"/>
      <c r="BV118" s="107"/>
      <c r="BW118" s="107"/>
      <c r="BX118" s="107">
        <v>24.3</v>
      </c>
      <c r="BY118" s="108"/>
      <c r="BZ118" s="108"/>
      <c r="CA118" s="123">
        <v>23.8</v>
      </c>
      <c r="CB118" s="107"/>
      <c r="CC118" s="107"/>
      <c r="CD118" s="107"/>
      <c r="CE118" s="107"/>
      <c r="CF118" s="108"/>
      <c r="CG118" s="108"/>
      <c r="CH118" s="107"/>
      <c r="CI118" s="107"/>
      <c r="CJ118" s="107"/>
      <c r="CK118" s="107"/>
      <c r="CL118" s="107"/>
      <c r="CM118" s="108"/>
      <c r="CN118" s="108"/>
      <c r="CO118" s="107"/>
      <c r="CP118" s="108"/>
      <c r="CQ118" s="108"/>
      <c r="CR118" s="108"/>
      <c r="CS118" s="108"/>
      <c r="CT118" s="108"/>
      <c r="CU118" s="108"/>
      <c r="CV118" s="108"/>
      <c r="CW118" s="108"/>
      <c r="CX118" s="108"/>
      <c r="CY118" s="108"/>
      <c r="CZ118" s="108"/>
      <c r="DA118" s="108"/>
      <c r="DB118" s="108"/>
      <c r="DC118" s="108"/>
      <c r="DD118" s="108"/>
      <c r="DE118" s="108"/>
      <c r="DF118" s="108"/>
      <c r="DG118" s="108"/>
      <c r="DH118" s="108"/>
      <c r="DI118" s="108"/>
      <c r="DJ118" s="108"/>
      <c r="DK118" s="108"/>
      <c r="DL118" s="103"/>
      <c r="DM118" s="103"/>
      <c r="DN118" s="103"/>
    </row>
    <row r="119" spans="1:118" ht="13.35" hidden="1" customHeight="1">
      <c r="A119" s="91" t="s">
        <v>12</v>
      </c>
      <c r="B119" s="91"/>
      <c r="C119" s="267" t="s">
        <v>31</v>
      </c>
      <c r="D119" s="279">
        <v>39.83</v>
      </c>
      <c r="E119" s="155" t="s">
        <v>140</v>
      </c>
      <c r="F119" s="160" t="s">
        <v>173</v>
      </c>
      <c r="G119" s="6">
        <v>24.5</v>
      </c>
      <c r="H119" s="5" t="s">
        <v>174</v>
      </c>
      <c r="I119" s="23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1"/>
      <c r="AQ119" s="1"/>
      <c r="AR119" s="61"/>
      <c r="AS119" s="1"/>
      <c r="AT119" s="61"/>
      <c r="AU119" s="61"/>
      <c r="AV119" s="61"/>
      <c r="AW119" s="1"/>
      <c r="AX119" s="1"/>
      <c r="AY119" s="61"/>
      <c r="AZ119" s="61"/>
      <c r="BA119" s="61"/>
      <c r="BB119" s="61"/>
      <c r="BC119" s="61"/>
      <c r="BD119" s="1"/>
      <c r="BE119" s="1"/>
      <c r="BF119" s="61"/>
      <c r="BG119" s="61"/>
      <c r="BH119" s="61"/>
      <c r="BI119" s="61"/>
      <c r="BJ119" s="61">
        <v>24.2</v>
      </c>
      <c r="BK119" s="67"/>
      <c r="BL119" s="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>
        <v>25.1</v>
      </c>
      <c r="BY119" s="1"/>
      <c r="BZ119" s="1"/>
      <c r="CA119" s="61"/>
      <c r="CB119" s="61"/>
      <c r="CC119" s="61"/>
      <c r="CD119" s="61"/>
      <c r="CE119" s="61">
        <v>25.1</v>
      </c>
      <c r="CF119" s="1"/>
      <c r="CG119" s="1"/>
      <c r="CH119" s="61"/>
      <c r="CI119" s="61"/>
      <c r="CJ119" s="61"/>
      <c r="CK119" s="61"/>
      <c r="CL119" s="61"/>
      <c r="CM119" s="1"/>
      <c r="CN119" s="1"/>
      <c r="CO119" s="61"/>
      <c r="CP119" s="61" t="s">
        <v>175</v>
      </c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8"/>
      <c r="DM119" s="8"/>
      <c r="DN119" s="8"/>
    </row>
    <row r="120" spans="1:118" s="104" customFormat="1" ht="13.35" hidden="1" customHeight="1">
      <c r="A120" s="96" t="s">
        <v>12</v>
      </c>
      <c r="B120" s="96"/>
      <c r="C120" s="269" t="s">
        <v>31</v>
      </c>
      <c r="D120" s="281">
        <v>34.92</v>
      </c>
      <c r="E120" s="157" t="s">
        <v>140</v>
      </c>
      <c r="F120" s="161" t="s">
        <v>176</v>
      </c>
      <c r="G120" s="102">
        <v>24.5</v>
      </c>
      <c r="H120" s="109" t="s">
        <v>174</v>
      </c>
      <c r="I120" s="232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8"/>
      <c r="AQ120" s="108"/>
      <c r="AR120" s="107"/>
      <c r="AS120" s="108"/>
      <c r="AT120" s="107"/>
      <c r="AU120" s="107"/>
      <c r="AV120" s="107"/>
      <c r="AW120" s="108"/>
      <c r="AX120" s="108"/>
      <c r="AY120" s="107"/>
      <c r="AZ120" s="107"/>
      <c r="BA120" s="107"/>
      <c r="BB120" s="107"/>
      <c r="BC120" s="107"/>
      <c r="BD120" s="108"/>
      <c r="BE120" s="108"/>
      <c r="BF120" s="107"/>
      <c r="BG120" s="107"/>
      <c r="BH120" s="107"/>
      <c r="BI120" s="107"/>
      <c r="BJ120" s="107">
        <v>25.2</v>
      </c>
      <c r="BK120" s="123"/>
      <c r="BL120" s="108"/>
      <c r="BM120" s="107"/>
      <c r="BN120" s="107"/>
      <c r="BO120" s="107"/>
      <c r="BP120" s="107"/>
      <c r="BQ120" s="107"/>
      <c r="BR120" s="107"/>
      <c r="BS120" s="107"/>
      <c r="BT120" s="107"/>
      <c r="BU120" s="107"/>
      <c r="BV120" s="107"/>
      <c r="BW120" s="107"/>
      <c r="BX120" s="107">
        <v>26.1</v>
      </c>
      <c r="BY120" s="108"/>
      <c r="BZ120" s="108"/>
      <c r="CA120" s="107"/>
      <c r="CB120" s="107"/>
      <c r="CC120" s="107"/>
      <c r="CD120" s="107"/>
      <c r="CE120" s="107">
        <v>27.1</v>
      </c>
      <c r="CF120" s="108"/>
      <c r="CG120" s="108"/>
      <c r="CH120" s="107"/>
      <c r="CI120" s="107"/>
      <c r="CJ120" s="107"/>
      <c r="CK120" s="107"/>
      <c r="CL120" s="107"/>
      <c r="CM120" s="108"/>
      <c r="CN120" s="108"/>
      <c r="CO120" s="107"/>
      <c r="CP120" s="107"/>
      <c r="CQ120" s="108"/>
      <c r="CR120" s="108"/>
      <c r="CS120" s="108"/>
      <c r="CT120" s="108"/>
      <c r="CU120" s="108"/>
      <c r="CV120" s="108"/>
      <c r="CW120" s="108"/>
      <c r="CX120" s="108"/>
      <c r="CY120" s="108"/>
      <c r="CZ120" s="108"/>
      <c r="DA120" s="108"/>
      <c r="DB120" s="108"/>
      <c r="DC120" s="108"/>
      <c r="DD120" s="108"/>
      <c r="DE120" s="108"/>
      <c r="DF120" s="108"/>
      <c r="DG120" s="108"/>
      <c r="DH120" s="108"/>
      <c r="DI120" s="108"/>
      <c r="DJ120" s="108"/>
      <c r="DK120" s="108"/>
      <c r="DL120" s="103"/>
      <c r="DM120" s="103"/>
      <c r="DN120" s="103"/>
    </row>
    <row r="121" spans="1:118" ht="13.35" hidden="1" customHeight="1">
      <c r="A121" s="91" t="s">
        <v>12</v>
      </c>
      <c r="B121" s="91"/>
      <c r="C121" s="267" t="s">
        <v>31</v>
      </c>
      <c r="D121" s="279">
        <v>59.72</v>
      </c>
      <c r="E121" s="155" t="s">
        <v>140</v>
      </c>
      <c r="F121" s="160" t="s">
        <v>177</v>
      </c>
      <c r="G121" s="6">
        <v>22.5</v>
      </c>
      <c r="H121" s="5" t="s">
        <v>178</v>
      </c>
      <c r="I121" s="23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1"/>
      <c r="AQ121" s="1"/>
      <c r="AR121" s="61"/>
      <c r="AS121" s="1"/>
      <c r="AT121" s="61"/>
      <c r="AU121" s="61">
        <v>21</v>
      </c>
      <c r="AV121" s="61"/>
      <c r="AW121" s="1"/>
      <c r="AX121" s="1"/>
      <c r="AY121" s="61"/>
      <c r="AZ121" s="61"/>
      <c r="BA121" s="61"/>
      <c r="BB121" s="61"/>
      <c r="BC121" s="61"/>
      <c r="BD121" s="1"/>
      <c r="BE121" s="1"/>
      <c r="BF121" s="61"/>
      <c r="BG121" s="61">
        <v>23.8</v>
      </c>
      <c r="BH121" s="61">
        <v>23</v>
      </c>
      <c r="BI121" s="61"/>
      <c r="BJ121" s="61"/>
      <c r="BK121" s="67"/>
      <c r="BL121" s="1"/>
      <c r="BM121" s="61"/>
      <c r="BN121" s="61"/>
      <c r="BO121" s="221">
        <v>24.8</v>
      </c>
      <c r="BP121" s="61"/>
      <c r="BQ121" s="61"/>
      <c r="BR121" s="61">
        <v>25.1</v>
      </c>
      <c r="BS121" s="61"/>
      <c r="BT121" s="61"/>
      <c r="BU121" s="61"/>
      <c r="BV121" s="61"/>
      <c r="BW121" s="61"/>
      <c r="BX121" s="61">
        <v>25.2</v>
      </c>
      <c r="BY121" s="1"/>
      <c r="BZ121" s="1"/>
      <c r="CA121" s="61"/>
      <c r="CB121" s="61"/>
      <c r="CC121" s="61"/>
      <c r="CD121" s="61"/>
      <c r="CE121" s="61"/>
      <c r="CF121" s="1"/>
      <c r="CG121" s="1"/>
      <c r="CH121" s="61"/>
      <c r="CI121" s="61"/>
      <c r="CJ121" s="61"/>
      <c r="CK121" s="6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8"/>
      <c r="DM121" s="8"/>
      <c r="DN121" s="8"/>
    </row>
    <row r="122" spans="1:118" s="104" customFormat="1" ht="13.35" hidden="1" customHeight="1">
      <c r="A122" s="96" t="s">
        <v>12</v>
      </c>
      <c r="B122" s="96"/>
      <c r="C122" s="269" t="s">
        <v>31</v>
      </c>
      <c r="D122" s="281">
        <v>86.1</v>
      </c>
      <c r="E122" s="157" t="s">
        <v>140</v>
      </c>
      <c r="F122" s="161" t="s">
        <v>179</v>
      </c>
      <c r="G122" s="102">
        <v>24</v>
      </c>
      <c r="H122" s="109" t="s">
        <v>22</v>
      </c>
      <c r="I122" s="232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8"/>
      <c r="AQ122" s="108"/>
      <c r="AR122" s="107"/>
      <c r="AS122" s="108"/>
      <c r="AT122" s="107"/>
      <c r="AU122" s="107"/>
      <c r="AV122" s="107"/>
      <c r="AW122" s="108"/>
      <c r="AX122" s="108"/>
      <c r="AY122" s="107"/>
      <c r="AZ122" s="107"/>
      <c r="BA122" s="107"/>
      <c r="BB122" s="107"/>
      <c r="BC122" s="107">
        <v>20.6</v>
      </c>
      <c r="BD122" s="108"/>
      <c r="BE122" s="108"/>
      <c r="BF122" s="107"/>
      <c r="BG122" s="107"/>
      <c r="BH122" s="107"/>
      <c r="BI122" s="107"/>
      <c r="BJ122" s="107"/>
      <c r="BK122" s="123"/>
      <c r="BL122" s="108"/>
      <c r="BM122" s="107"/>
      <c r="BN122" s="107"/>
      <c r="BO122" s="107"/>
      <c r="BP122" s="107"/>
      <c r="BQ122" s="107"/>
      <c r="BR122" s="107"/>
      <c r="BS122" s="107"/>
      <c r="BT122" s="107"/>
      <c r="BU122" s="107"/>
      <c r="BV122" s="107"/>
      <c r="BW122" s="107"/>
      <c r="BX122" s="107"/>
      <c r="BY122" s="108"/>
      <c r="BZ122" s="108"/>
      <c r="CA122" s="107"/>
      <c r="CB122" s="107">
        <v>24.7</v>
      </c>
      <c r="CC122" s="107"/>
      <c r="CD122" s="107"/>
      <c r="CE122" s="107"/>
      <c r="CF122" s="108"/>
      <c r="CG122" s="108"/>
      <c r="CH122" s="107"/>
      <c r="CI122" s="107"/>
      <c r="CJ122" s="107"/>
      <c r="CK122" s="107"/>
      <c r="CL122" s="107"/>
      <c r="CM122" s="108"/>
      <c r="CN122" s="108"/>
      <c r="CO122" s="107"/>
      <c r="CP122" s="107"/>
      <c r="CQ122" s="108"/>
      <c r="CR122" s="108"/>
      <c r="CS122" s="108"/>
      <c r="CT122" s="108"/>
      <c r="CU122" s="108"/>
      <c r="CV122" s="108"/>
      <c r="CW122" s="108"/>
      <c r="CX122" s="108"/>
      <c r="CY122" s="108"/>
      <c r="CZ122" s="108"/>
      <c r="DA122" s="108"/>
      <c r="DB122" s="108"/>
      <c r="DC122" s="108"/>
      <c r="DD122" s="108"/>
      <c r="DE122" s="108"/>
      <c r="DF122" s="108"/>
      <c r="DG122" s="108"/>
      <c r="DH122" s="108"/>
      <c r="DI122" s="108"/>
      <c r="DJ122" s="108"/>
      <c r="DK122" s="108"/>
      <c r="DL122" s="103"/>
      <c r="DM122" s="103"/>
      <c r="DN122" s="103"/>
    </row>
    <row r="123" spans="1:118" s="104" customFormat="1" ht="13.35" hidden="1" customHeight="1">
      <c r="A123" s="96" t="s">
        <v>12</v>
      </c>
      <c r="B123" s="96"/>
      <c r="C123" s="269" t="s">
        <v>31</v>
      </c>
      <c r="D123" s="281"/>
      <c r="E123" s="157" t="s">
        <v>140</v>
      </c>
      <c r="F123" s="161" t="s">
        <v>180</v>
      </c>
      <c r="G123" s="102">
        <v>24</v>
      </c>
      <c r="H123" s="109" t="s">
        <v>22</v>
      </c>
      <c r="I123" s="232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8"/>
      <c r="AQ123" s="108"/>
      <c r="AR123" s="107"/>
      <c r="AS123" s="108"/>
      <c r="AT123" s="107"/>
      <c r="AU123" s="107"/>
      <c r="AV123" s="107"/>
      <c r="AW123" s="108"/>
      <c r="AX123" s="108"/>
      <c r="AY123" s="107"/>
      <c r="AZ123" s="107"/>
      <c r="BA123" s="107"/>
      <c r="BB123" s="107"/>
      <c r="BC123" s="107"/>
      <c r="BD123" s="108"/>
      <c r="BE123" s="108"/>
      <c r="BF123" s="107"/>
      <c r="BG123" s="107"/>
      <c r="BH123" s="107"/>
      <c r="BI123" s="107"/>
      <c r="BJ123" s="107"/>
      <c r="BK123" s="123"/>
      <c r="BL123" s="108"/>
      <c r="BM123" s="107"/>
      <c r="BN123" s="107"/>
      <c r="BO123" s="107"/>
      <c r="BP123" s="107"/>
      <c r="BQ123" s="107"/>
      <c r="BR123" s="107"/>
      <c r="BS123" s="107"/>
      <c r="BT123" s="107"/>
      <c r="BU123" s="107"/>
      <c r="BV123" s="107"/>
      <c r="BW123" s="107"/>
      <c r="BX123" s="107"/>
      <c r="BY123" s="108"/>
      <c r="BZ123" s="108"/>
      <c r="CA123" s="107"/>
      <c r="CB123" s="107"/>
      <c r="CC123" s="107"/>
      <c r="CD123" s="107"/>
      <c r="CE123" s="107"/>
      <c r="CF123" s="108"/>
      <c r="CG123" s="108"/>
      <c r="CH123" s="107"/>
      <c r="CI123" s="107"/>
      <c r="CJ123" s="107"/>
      <c r="CK123" s="107"/>
      <c r="CL123" s="107"/>
      <c r="CM123" s="108"/>
      <c r="CN123" s="108"/>
      <c r="CO123" s="107"/>
      <c r="CP123" s="107"/>
      <c r="CQ123" s="108"/>
      <c r="CR123" s="108"/>
      <c r="CS123" s="108"/>
      <c r="CT123" s="108"/>
      <c r="CU123" s="108"/>
      <c r="CV123" s="108"/>
      <c r="CW123" s="108"/>
      <c r="CX123" s="108"/>
      <c r="CY123" s="108"/>
      <c r="CZ123" s="108"/>
      <c r="DA123" s="108"/>
      <c r="DB123" s="108"/>
      <c r="DC123" s="108"/>
      <c r="DD123" s="108"/>
      <c r="DE123" s="108"/>
      <c r="DF123" s="108"/>
      <c r="DG123" s="108"/>
      <c r="DH123" s="108"/>
      <c r="DI123" s="108"/>
      <c r="DJ123" s="108"/>
      <c r="DK123" s="108"/>
      <c r="DL123" s="103"/>
      <c r="DM123" s="103"/>
      <c r="DN123" s="103"/>
    </row>
    <row r="124" spans="1:118" s="104" customFormat="1" ht="13.35" hidden="1" customHeight="1">
      <c r="A124" s="96" t="s">
        <v>12</v>
      </c>
      <c r="B124" s="96"/>
      <c r="C124" s="269" t="s">
        <v>31</v>
      </c>
      <c r="D124" s="281"/>
      <c r="E124" s="157" t="s">
        <v>140</v>
      </c>
      <c r="F124" s="161" t="s">
        <v>181</v>
      </c>
      <c r="G124" s="102">
        <v>24</v>
      </c>
      <c r="H124" s="109" t="s">
        <v>22</v>
      </c>
      <c r="I124" s="232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8"/>
      <c r="AQ124" s="108"/>
      <c r="AR124" s="107"/>
      <c r="AS124" s="108"/>
      <c r="AT124" s="107"/>
      <c r="AU124" s="107"/>
      <c r="AV124" s="107"/>
      <c r="AW124" s="108"/>
      <c r="AX124" s="108"/>
      <c r="AY124" s="107"/>
      <c r="AZ124" s="107"/>
      <c r="BA124" s="107"/>
      <c r="BB124" s="107"/>
      <c r="BC124" s="107"/>
      <c r="BD124" s="108"/>
      <c r="BE124" s="108"/>
      <c r="BF124" s="107"/>
      <c r="BG124" s="107"/>
      <c r="BH124" s="107"/>
      <c r="BI124" s="107"/>
      <c r="BJ124" s="107"/>
      <c r="BK124" s="123"/>
      <c r="BL124" s="108"/>
      <c r="BM124" s="107"/>
      <c r="BN124" s="107"/>
      <c r="BO124" s="107"/>
      <c r="BP124" s="107"/>
      <c r="BQ124" s="107"/>
      <c r="BR124" s="107"/>
      <c r="BS124" s="107"/>
      <c r="BT124" s="107"/>
      <c r="BU124" s="107"/>
      <c r="BV124" s="107"/>
      <c r="BW124" s="107"/>
      <c r="BX124" s="107"/>
      <c r="BY124" s="108"/>
      <c r="BZ124" s="108"/>
      <c r="CA124" s="107"/>
      <c r="CB124" s="107"/>
      <c r="CC124" s="107"/>
      <c r="CD124" s="107"/>
      <c r="CE124" s="107"/>
      <c r="CF124" s="108"/>
      <c r="CG124" s="108"/>
      <c r="CH124" s="107"/>
      <c r="CI124" s="107"/>
      <c r="CJ124" s="107"/>
      <c r="CK124" s="107"/>
      <c r="CL124" s="107"/>
      <c r="CM124" s="108"/>
      <c r="CN124" s="108"/>
      <c r="CO124" s="107"/>
      <c r="CP124" s="107"/>
      <c r="CQ124" s="108"/>
      <c r="CR124" s="108"/>
      <c r="CS124" s="108"/>
      <c r="CT124" s="108"/>
      <c r="CU124" s="108"/>
      <c r="CV124" s="108"/>
      <c r="CW124" s="108"/>
      <c r="CX124" s="108"/>
      <c r="CY124" s="108"/>
      <c r="CZ124" s="108"/>
      <c r="DA124" s="108"/>
      <c r="DB124" s="108"/>
      <c r="DC124" s="108"/>
      <c r="DD124" s="108"/>
      <c r="DE124" s="108"/>
      <c r="DF124" s="108"/>
      <c r="DG124" s="108"/>
      <c r="DH124" s="108"/>
      <c r="DI124" s="108"/>
      <c r="DJ124" s="108"/>
      <c r="DK124" s="108"/>
      <c r="DL124" s="103"/>
      <c r="DM124" s="103"/>
      <c r="DN124" s="103"/>
    </row>
    <row r="125" spans="1:118" ht="12.95" hidden="1" customHeight="1">
      <c r="A125" s="91" t="s">
        <v>12</v>
      </c>
      <c r="B125" s="91" t="s">
        <v>13</v>
      </c>
      <c r="C125" s="267" t="s">
        <v>31</v>
      </c>
      <c r="D125" s="279">
        <v>83.51</v>
      </c>
      <c r="E125" s="155" t="s">
        <v>140</v>
      </c>
      <c r="F125" s="160" t="s">
        <v>182</v>
      </c>
      <c r="G125" s="6">
        <v>24</v>
      </c>
      <c r="H125" s="5" t="s">
        <v>16</v>
      </c>
      <c r="I125" s="23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1"/>
      <c r="AQ125" s="1"/>
      <c r="AR125" s="61"/>
      <c r="AS125" s="1"/>
      <c r="AT125" s="61"/>
      <c r="AU125" s="61"/>
      <c r="AV125" s="61"/>
      <c r="AW125" s="1"/>
      <c r="AX125" s="1"/>
      <c r="AY125" s="61"/>
      <c r="AZ125" s="61"/>
      <c r="BA125" s="61"/>
      <c r="BB125" s="61">
        <v>23.1</v>
      </c>
      <c r="BC125" s="61"/>
      <c r="BD125" s="1"/>
      <c r="BE125" s="1"/>
      <c r="BF125" s="61"/>
      <c r="BG125" s="61"/>
      <c r="BH125" s="61"/>
      <c r="BI125" s="61"/>
      <c r="BJ125" s="67">
        <v>25.7</v>
      </c>
      <c r="BK125" s="67"/>
      <c r="BL125" s="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1"/>
      <c r="BZ125" s="1"/>
      <c r="CA125" s="61"/>
      <c r="CB125" s="1"/>
      <c r="CC125" s="61"/>
      <c r="CD125" s="1"/>
      <c r="CE125" s="6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8"/>
      <c r="DM125" s="8"/>
      <c r="DN125" s="8"/>
    </row>
    <row r="126" spans="1:118" ht="12.95" hidden="1" customHeight="1">
      <c r="A126" s="91" t="s">
        <v>12</v>
      </c>
      <c r="B126" s="91" t="s">
        <v>13</v>
      </c>
      <c r="C126" s="267" t="s">
        <v>31</v>
      </c>
      <c r="D126" s="279"/>
      <c r="E126" s="155" t="s">
        <v>140</v>
      </c>
      <c r="F126" s="160" t="s">
        <v>183</v>
      </c>
      <c r="G126" s="6">
        <v>24</v>
      </c>
      <c r="H126" s="5" t="s">
        <v>16</v>
      </c>
      <c r="I126" s="23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1"/>
      <c r="AQ126" s="1"/>
      <c r="AR126" s="61"/>
      <c r="AS126" s="1"/>
      <c r="AT126" s="61"/>
      <c r="AU126" s="61"/>
      <c r="AV126" s="61"/>
      <c r="AW126" s="1"/>
      <c r="AX126" s="1"/>
      <c r="AY126" s="61"/>
      <c r="AZ126" s="61"/>
      <c r="BA126" s="61"/>
      <c r="BB126" s="61"/>
      <c r="BC126" s="61"/>
      <c r="BD126" s="1"/>
      <c r="BE126" s="1"/>
      <c r="BF126" s="61"/>
      <c r="BG126" s="61"/>
      <c r="BH126" s="61"/>
      <c r="BI126" s="61"/>
      <c r="BJ126" s="61"/>
      <c r="BK126" s="67"/>
      <c r="BL126" s="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1"/>
      <c r="BZ126" s="1"/>
      <c r="CA126" s="61"/>
      <c r="CB126" s="1"/>
      <c r="CC126" s="61"/>
      <c r="CD126" s="1"/>
      <c r="CE126" s="6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8"/>
      <c r="DM126" s="8"/>
      <c r="DN126" s="8"/>
    </row>
    <row r="127" spans="1:118" ht="12.95" hidden="1" customHeight="1">
      <c r="A127" s="91" t="s">
        <v>12</v>
      </c>
      <c r="B127" s="91" t="s">
        <v>13</v>
      </c>
      <c r="C127" s="267" t="s">
        <v>31</v>
      </c>
      <c r="D127" s="279"/>
      <c r="E127" s="155" t="s">
        <v>140</v>
      </c>
      <c r="F127" s="160" t="s">
        <v>184</v>
      </c>
      <c r="G127" s="6">
        <v>24</v>
      </c>
      <c r="H127" s="5" t="s">
        <v>16</v>
      </c>
      <c r="I127" s="23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1"/>
      <c r="AQ127" s="1"/>
      <c r="AR127" s="61"/>
      <c r="AS127" s="1"/>
      <c r="AT127" s="61"/>
      <c r="AU127" s="61"/>
      <c r="AV127" s="61"/>
      <c r="AW127" s="1"/>
      <c r="AX127" s="1"/>
      <c r="AY127" s="61"/>
      <c r="AZ127" s="61"/>
      <c r="BA127" s="61"/>
      <c r="BB127" s="61"/>
      <c r="BC127" s="61"/>
      <c r="BD127" s="1"/>
      <c r="BE127" s="1"/>
      <c r="BF127" s="61"/>
      <c r="BG127" s="61"/>
      <c r="BH127" s="61"/>
      <c r="BI127" s="61">
        <v>24.7</v>
      </c>
      <c r="BJ127" s="61"/>
      <c r="BK127" s="67"/>
      <c r="BL127" s="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1"/>
      <c r="BZ127" s="1"/>
      <c r="CA127" s="61"/>
      <c r="CB127" s="1"/>
      <c r="CC127" s="61"/>
      <c r="CD127" s="1"/>
      <c r="CE127" s="6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8"/>
      <c r="DM127" s="8"/>
      <c r="DN127" s="8"/>
    </row>
    <row r="128" spans="1:118" ht="12.95" hidden="1" customHeight="1">
      <c r="A128" s="91" t="s">
        <v>12</v>
      </c>
      <c r="B128" s="91" t="s">
        <v>13</v>
      </c>
      <c r="C128" s="267" t="s">
        <v>31</v>
      </c>
      <c r="D128" s="279"/>
      <c r="E128" s="155" t="s">
        <v>140</v>
      </c>
      <c r="F128" s="160" t="s">
        <v>185</v>
      </c>
      <c r="G128" s="6">
        <v>24</v>
      </c>
      <c r="H128" s="5" t="s">
        <v>16</v>
      </c>
      <c r="I128" s="23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1"/>
      <c r="AQ128" s="1"/>
      <c r="AR128" s="61"/>
      <c r="AS128" s="1"/>
      <c r="AT128" s="61"/>
      <c r="AU128" s="61"/>
      <c r="AV128" s="61"/>
      <c r="AW128" s="1"/>
      <c r="AX128" s="1"/>
      <c r="AY128" s="61"/>
      <c r="AZ128" s="61"/>
      <c r="BA128" s="61"/>
      <c r="BB128" s="61"/>
      <c r="BC128" s="61"/>
      <c r="BD128" s="1"/>
      <c r="BE128" s="1"/>
      <c r="BF128" s="61"/>
      <c r="BG128" s="61"/>
      <c r="BH128" s="61"/>
      <c r="BI128" s="61">
        <v>26.2</v>
      </c>
      <c r="BJ128" s="61"/>
      <c r="BK128" s="67"/>
      <c r="BL128" s="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1"/>
      <c r="BZ128" s="1"/>
      <c r="CA128" s="61"/>
      <c r="CB128" s="1"/>
      <c r="CC128" s="61"/>
      <c r="CD128" s="1"/>
      <c r="CE128" s="6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8"/>
      <c r="DM128" s="8"/>
      <c r="DN128" s="8"/>
    </row>
    <row r="129" spans="1:118" s="104" customFormat="1" ht="12.95" hidden="1" customHeight="1">
      <c r="A129" s="96" t="s">
        <v>186</v>
      </c>
      <c r="B129" s="96" t="s">
        <v>13</v>
      </c>
      <c r="C129" s="269" t="s">
        <v>31</v>
      </c>
      <c r="D129" s="281">
        <v>33.39</v>
      </c>
      <c r="E129" s="157" t="s">
        <v>140</v>
      </c>
      <c r="F129" s="161" t="s">
        <v>187</v>
      </c>
      <c r="G129" s="102">
        <v>24</v>
      </c>
      <c r="H129" s="109" t="s">
        <v>16</v>
      </c>
      <c r="I129" s="232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8"/>
      <c r="AQ129" s="108"/>
      <c r="AR129" s="107"/>
      <c r="AS129" s="108"/>
      <c r="AT129" s="107"/>
      <c r="AU129" s="107"/>
      <c r="AV129" s="107"/>
      <c r="AW129" s="108"/>
      <c r="AX129" s="108"/>
      <c r="AY129" s="107"/>
      <c r="AZ129" s="107"/>
      <c r="BA129" s="107"/>
      <c r="BB129" s="107"/>
      <c r="BC129" s="107">
        <v>22.5</v>
      </c>
      <c r="BD129" s="108"/>
      <c r="BE129" s="108"/>
      <c r="BF129" s="107"/>
      <c r="BG129" s="107"/>
      <c r="BH129" s="107"/>
      <c r="BI129" s="107">
        <v>25.1</v>
      </c>
      <c r="BJ129" s="107"/>
      <c r="BK129" s="123"/>
      <c r="BL129" s="108"/>
      <c r="BM129" s="123">
        <v>22.9</v>
      </c>
      <c r="BN129" s="107"/>
      <c r="BO129" s="107"/>
      <c r="BP129" s="107"/>
      <c r="BQ129" s="107"/>
      <c r="BR129" s="107"/>
      <c r="BS129" s="107"/>
      <c r="BT129" s="107"/>
      <c r="BU129" s="107"/>
      <c r="BV129" s="107">
        <v>25.3</v>
      </c>
      <c r="BW129" s="107"/>
      <c r="BX129" s="107"/>
      <c r="BY129" s="108"/>
      <c r="BZ129" s="108"/>
      <c r="CA129" s="107"/>
      <c r="CB129" s="107"/>
      <c r="CC129" s="107"/>
      <c r="CD129" s="107"/>
      <c r="CE129" s="107"/>
      <c r="CF129" s="108"/>
      <c r="CG129" s="108"/>
      <c r="CH129" s="107"/>
      <c r="CI129" s="108"/>
      <c r="CJ129" s="108"/>
      <c r="CK129" s="108"/>
      <c r="CL129" s="108"/>
      <c r="CM129" s="108"/>
      <c r="CN129" s="108"/>
      <c r="CO129" s="108"/>
      <c r="CP129" s="108"/>
      <c r="CQ129" s="108"/>
      <c r="CR129" s="108"/>
      <c r="CS129" s="108"/>
      <c r="CT129" s="108"/>
      <c r="CU129" s="108"/>
      <c r="CV129" s="108"/>
      <c r="CW129" s="108"/>
      <c r="CX129" s="108"/>
      <c r="CY129" s="108"/>
      <c r="CZ129" s="108"/>
      <c r="DA129" s="108"/>
      <c r="DB129" s="108"/>
      <c r="DC129" s="108"/>
      <c r="DD129" s="108"/>
      <c r="DE129" s="108"/>
      <c r="DF129" s="108"/>
      <c r="DG129" s="108"/>
      <c r="DH129" s="108"/>
      <c r="DI129" s="108"/>
      <c r="DJ129" s="108"/>
      <c r="DK129" s="108"/>
      <c r="DL129" s="103"/>
      <c r="DM129" s="103"/>
      <c r="DN129" s="103"/>
    </row>
    <row r="130" spans="1:118" ht="12.95" hidden="1" customHeight="1">
      <c r="A130" s="91" t="s">
        <v>13</v>
      </c>
      <c r="B130" s="91" t="s">
        <v>13</v>
      </c>
      <c r="C130" s="267" t="s">
        <v>14</v>
      </c>
      <c r="D130" s="279">
        <v>7.58</v>
      </c>
      <c r="E130" s="155" t="s">
        <v>140</v>
      </c>
      <c r="F130" s="160" t="s">
        <v>188</v>
      </c>
      <c r="G130" s="6"/>
      <c r="H130" s="5" t="s">
        <v>16</v>
      </c>
      <c r="I130" s="23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1"/>
      <c r="AQ130" s="1"/>
      <c r="AR130" s="61"/>
      <c r="AS130" s="1"/>
      <c r="AT130" s="61"/>
      <c r="AU130" s="61"/>
      <c r="AV130" s="61"/>
      <c r="AW130" s="1"/>
      <c r="AX130" s="1"/>
      <c r="AY130" s="61"/>
      <c r="AZ130" s="61"/>
      <c r="BA130" s="61"/>
      <c r="BB130" s="61"/>
      <c r="BC130" s="61">
        <v>20.6</v>
      </c>
      <c r="BD130" s="1"/>
      <c r="BE130" s="1"/>
      <c r="BF130" s="61"/>
      <c r="BG130" s="61"/>
      <c r="BH130" s="61"/>
      <c r="BI130" s="61"/>
      <c r="BJ130" s="61">
        <v>23.1</v>
      </c>
      <c r="BK130" s="67"/>
      <c r="BL130" s="1"/>
      <c r="BM130" s="61"/>
      <c r="BN130" s="61"/>
      <c r="BO130" s="61">
        <v>24</v>
      </c>
      <c r="BP130" s="61"/>
      <c r="BQ130" s="61"/>
      <c r="BR130" s="61"/>
      <c r="BS130" s="61"/>
      <c r="BT130" s="61"/>
      <c r="BU130" s="61"/>
      <c r="BV130" s="61"/>
      <c r="BW130" s="61"/>
      <c r="BX130" s="1"/>
      <c r="BY130" s="1"/>
      <c r="BZ130" s="1"/>
      <c r="CA130" s="61"/>
      <c r="CB130" s="1"/>
      <c r="CC130" s="61"/>
      <c r="CD130" s="1"/>
      <c r="CE130" s="6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8"/>
      <c r="DM130" s="8"/>
      <c r="DN130" s="8"/>
    </row>
    <row r="131" spans="1:118" s="104" customFormat="1" ht="12.95" hidden="1" customHeight="1">
      <c r="A131" s="96" t="s">
        <v>12</v>
      </c>
      <c r="B131" s="96" t="s">
        <v>13</v>
      </c>
      <c r="C131" s="269" t="s">
        <v>14</v>
      </c>
      <c r="D131" s="281">
        <v>9.27</v>
      </c>
      <c r="E131" s="157" t="s">
        <v>140</v>
      </c>
      <c r="F131" s="161" t="s">
        <v>189</v>
      </c>
      <c r="G131" s="102"/>
      <c r="H131" s="109" t="s">
        <v>16</v>
      </c>
      <c r="I131" s="232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8"/>
      <c r="AQ131" s="108"/>
      <c r="AR131" s="107"/>
      <c r="AS131" s="108"/>
      <c r="AT131" s="107"/>
      <c r="AU131" s="107"/>
      <c r="AV131" s="107"/>
      <c r="AW131" s="108"/>
      <c r="AX131" s="108"/>
      <c r="AY131" s="107"/>
      <c r="AZ131" s="107"/>
      <c r="BA131" s="107"/>
      <c r="BB131" s="107"/>
      <c r="BC131" s="107">
        <v>21.6</v>
      </c>
      <c r="BD131" s="108"/>
      <c r="BE131" s="108"/>
      <c r="BF131" s="107"/>
      <c r="BG131" s="107"/>
      <c r="BH131" s="107"/>
      <c r="BI131" s="107"/>
      <c r="BJ131" s="107">
        <v>25.4</v>
      </c>
      <c r="BK131" s="123"/>
      <c r="BL131" s="108"/>
      <c r="BM131" s="107"/>
      <c r="BN131" s="107"/>
      <c r="BO131" s="107"/>
      <c r="BP131" s="107"/>
      <c r="BQ131" s="107"/>
      <c r="BR131" s="107"/>
      <c r="BS131" s="107"/>
      <c r="BT131" s="107"/>
      <c r="BU131" s="107"/>
      <c r="BV131" s="107"/>
      <c r="BW131" s="107"/>
      <c r="BX131" s="108"/>
      <c r="BY131" s="108"/>
      <c r="BZ131" s="108"/>
      <c r="CA131" s="107"/>
      <c r="CB131" s="108"/>
      <c r="CC131" s="107"/>
      <c r="CD131" s="108"/>
      <c r="CE131" s="107"/>
      <c r="CF131" s="108"/>
      <c r="CG131" s="108"/>
      <c r="CH131" s="108"/>
      <c r="CI131" s="108"/>
      <c r="CJ131" s="108"/>
      <c r="CK131" s="108"/>
      <c r="CL131" s="108"/>
      <c r="CM131" s="108"/>
      <c r="CN131" s="108"/>
      <c r="CO131" s="108"/>
      <c r="CP131" s="108"/>
      <c r="CQ131" s="108"/>
      <c r="CR131" s="108"/>
      <c r="CS131" s="108"/>
      <c r="CT131" s="108"/>
      <c r="CU131" s="108"/>
      <c r="CV131" s="108"/>
      <c r="CW131" s="108"/>
      <c r="CX131" s="108"/>
      <c r="CY131" s="108"/>
      <c r="CZ131" s="108"/>
      <c r="DA131" s="108"/>
      <c r="DB131" s="108"/>
      <c r="DC131" s="108"/>
      <c r="DD131" s="108"/>
      <c r="DE131" s="108"/>
      <c r="DF131" s="108"/>
      <c r="DG131" s="108"/>
      <c r="DH131" s="108"/>
      <c r="DI131" s="108"/>
      <c r="DJ131" s="108"/>
      <c r="DK131" s="108"/>
      <c r="DL131" s="103"/>
      <c r="DM131" s="103"/>
      <c r="DN131" s="103"/>
    </row>
    <row r="132" spans="1:118" ht="12.95" hidden="1" customHeight="1">
      <c r="A132" s="91" t="s">
        <v>12</v>
      </c>
      <c r="B132" s="91" t="s">
        <v>13</v>
      </c>
      <c r="C132" s="267" t="s">
        <v>14</v>
      </c>
      <c r="D132" s="279">
        <v>28.83</v>
      </c>
      <c r="E132" s="155" t="s">
        <v>140</v>
      </c>
      <c r="F132" s="405" t="s">
        <v>190</v>
      </c>
      <c r="G132" s="6">
        <v>22.5</v>
      </c>
      <c r="H132" s="5" t="s">
        <v>16</v>
      </c>
      <c r="I132" s="23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1"/>
      <c r="AQ132" s="1"/>
      <c r="AR132" s="61"/>
      <c r="AS132" s="1"/>
      <c r="AT132" s="61"/>
      <c r="AU132" s="61"/>
      <c r="AV132" s="61"/>
      <c r="AW132" s="1"/>
      <c r="AX132" s="1"/>
      <c r="AY132" s="61"/>
      <c r="AZ132" s="61"/>
      <c r="BA132" s="61"/>
      <c r="BB132" s="61"/>
      <c r="BC132" s="61"/>
      <c r="BD132" s="1"/>
      <c r="BE132" s="1"/>
      <c r="BF132" s="61">
        <v>23.6</v>
      </c>
      <c r="BG132" s="61"/>
      <c r="BH132" s="61"/>
      <c r="BI132" s="67">
        <v>25.1</v>
      </c>
      <c r="BJ132" s="61"/>
      <c r="BK132" s="67"/>
      <c r="BL132" s="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1"/>
      <c r="BY132" s="1"/>
      <c r="BZ132" s="1"/>
      <c r="CA132" s="61"/>
      <c r="CB132" s="1"/>
      <c r="CC132" s="61"/>
      <c r="CD132" s="1"/>
      <c r="CE132" s="6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8"/>
      <c r="DM132" s="8"/>
      <c r="DN132" s="8"/>
    </row>
    <row r="133" spans="1:118" s="104" customFormat="1" ht="12.95" hidden="1" customHeight="1">
      <c r="A133" s="96" t="s">
        <v>12</v>
      </c>
      <c r="B133" s="96" t="s">
        <v>13</v>
      </c>
      <c r="C133" s="269" t="s">
        <v>14</v>
      </c>
      <c r="D133" s="281">
        <v>6.97</v>
      </c>
      <c r="E133" s="157" t="s">
        <v>140</v>
      </c>
      <c r="F133" s="161" t="s">
        <v>191</v>
      </c>
      <c r="G133" s="102"/>
      <c r="H133" s="109" t="s">
        <v>16</v>
      </c>
      <c r="I133" s="232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8"/>
      <c r="AQ133" s="108"/>
      <c r="AR133" s="107"/>
      <c r="AS133" s="108"/>
      <c r="AT133" s="107"/>
      <c r="AU133" s="107"/>
      <c r="AV133" s="107"/>
      <c r="AW133" s="108"/>
      <c r="AX133" s="108"/>
      <c r="AY133" s="107"/>
      <c r="AZ133" s="107"/>
      <c r="BA133" s="107" t="s">
        <v>192</v>
      </c>
      <c r="BB133" s="107"/>
      <c r="BC133" s="107"/>
      <c r="BD133" s="108"/>
      <c r="BE133" s="108"/>
      <c r="BF133" s="107">
        <v>23.4</v>
      </c>
      <c r="BG133" s="107"/>
      <c r="BH133" s="107"/>
      <c r="BI133" s="107"/>
      <c r="BJ133" s="107"/>
      <c r="BK133" s="123"/>
      <c r="BL133" s="108"/>
      <c r="BM133" s="107"/>
      <c r="BN133" s="107"/>
      <c r="BO133" s="107"/>
      <c r="BP133" s="107"/>
      <c r="BQ133" s="448">
        <v>25.6</v>
      </c>
      <c r="BR133" s="107"/>
      <c r="BS133" s="107"/>
      <c r="BT133" s="107"/>
      <c r="BU133" s="107"/>
      <c r="BV133" s="107"/>
      <c r="BW133" s="107"/>
      <c r="BX133" s="107"/>
      <c r="BY133" s="108"/>
      <c r="BZ133" s="108"/>
      <c r="CA133" s="107"/>
      <c r="CB133" s="108"/>
      <c r="CC133" s="107"/>
      <c r="CD133" s="108"/>
      <c r="CE133" s="107"/>
      <c r="CF133" s="108"/>
      <c r="CG133" s="108"/>
      <c r="CH133" s="108"/>
      <c r="CI133" s="108"/>
      <c r="CJ133" s="108"/>
      <c r="CK133" s="108"/>
      <c r="CL133" s="108"/>
      <c r="CM133" s="108"/>
      <c r="CN133" s="108"/>
      <c r="CO133" s="108"/>
      <c r="CP133" s="108"/>
      <c r="CQ133" s="108"/>
      <c r="CR133" s="108"/>
      <c r="CS133" s="108"/>
      <c r="CT133" s="108"/>
      <c r="CU133" s="108"/>
      <c r="CV133" s="108"/>
      <c r="CW133" s="108"/>
      <c r="CX133" s="108"/>
      <c r="CY133" s="108"/>
      <c r="CZ133" s="108"/>
      <c r="DA133" s="108"/>
      <c r="DB133" s="108"/>
      <c r="DC133" s="108"/>
      <c r="DD133" s="108"/>
      <c r="DE133" s="108"/>
      <c r="DF133" s="108"/>
      <c r="DG133" s="108"/>
      <c r="DH133" s="108"/>
      <c r="DI133" s="108"/>
      <c r="DJ133" s="108"/>
      <c r="DK133" s="108"/>
      <c r="DL133" s="103"/>
      <c r="DM133" s="103"/>
      <c r="DN133" s="103"/>
    </row>
    <row r="134" spans="1:118" ht="12.95" hidden="1" customHeight="1">
      <c r="A134" s="91" t="s">
        <v>12</v>
      </c>
      <c r="B134" s="91" t="s">
        <v>13</v>
      </c>
      <c r="C134" s="267" t="s">
        <v>14</v>
      </c>
      <c r="D134" s="279">
        <v>17.14</v>
      </c>
      <c r="E134" s="155" t="s">
        <v>140</v>
      </c>
      <c r="F134" s="160" t="s">
        <v>193</v>
      </c>
      <c r="G134" s="6"/>
      <c r="H134" s="5" t="s">
        <v>16</v>
      </c>
      <c r="I134" s="23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1"/>
      <c r="AQ134" s="1"/>
      <c r="AR134" s="61"/>
      <c r="AS134" s="1"/>
      <c r="AT134" s="61"/>
      <c r="AU134" s="61"/>
      <c r="AV134" s="61"/>
      <c r="AW134" s="1"/>
      <c r="AX134" s="1"/>
      <c r="AY134" s="61"/>
      <c r="AZ134" s="61"/>
      <c r="BA134" s="61">
        <v>20</v>
      </c>
      <c r="BB134" s="61"/>
      <c r="BC134" s="61"/>
      <c r="BD134" s="1"/>
      <c r="BE134" s="1"/>
      <c r="BF134" s="61"/>
      <c r="BG134" s="61"/>
      <c r="BH134" s="61"/>
      <c r="BI134" s="61"/>
      <c r="BJ134" s="61">
        <v>23.1</v>
      </c>
      <c r="BK134" s="67"/>
      <c r="BL134" s="1"/>
      <c r="BM134" s="61"/>
      <c r="BN134" s="61"/>
      <c r="BO134" s="61"/>
      <c r="BP134" s="61"/>
      <c r="BQ134" s="61"/>
      <c r="BR134" s="61">
        <v>23.8</v>
      </c>
      <c r="BS134" s="61"/>
      <c r="BT134" s="61"/>
      <c r="BU134" s="61"/>
      <c r="BV134" s="67"/>
      <c r="BW134" s="61">
        <v>23.3</v>
      </c>
      <c r="BX134" s="61"/>
      <c r="BY134" s="1"/>
      <c r="BZ134" s="1"/>
      <c r="CA134" s="61"/>
      <c r="CB134" s="61"/>
      <c r="CC134" s="61">
        <v>23.7</v>
      </c>
      <c r="CD134" s="61"/>
      <c r="CE134" s="61"/>
      <c r="CF134" s="1"/>
      <c r="CG134" s="1"/>
      <c r="CH134" s="61"/>
      <c r="CI134" s="61"/>
      <c r="CJ134" s="61">
        <v>24</v>
      </c>
      <c r="CK134" s="61">
        <v>24.2</v>
      </c>
      <c r="CL134" s="61"/>
      <c r="CM134" s="1"/>
      <c r="CN134" s="1"/>
      <c r="CO134" s="6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8"/>
      <c r="DM134" s="8"/>
      <c r="DN134" s="8"/>
    </row>
    <row r="135" spans="1:118" s="104" customFormat="1" ht="13.35" hidden="1" customHeight="1">
      <c r="A135" s="96" t="s">
        <v>12</v>
      </c>
      <c r="B135" s="96"/>
      <c r="C135" s="269" t="s">
        <v>14</v>
      </c>
      <c r="D135" s="281">
        <v>52.85</v>
      </c>
      <c r="E135" s="157" t="s">
        <v>140</v>
      </c>
      <c r="F135" s="161" t="s">
        <v>194</v>
      </c>
      <c r="G135" s="102">
        <v>22.5</v>
      </c>
      <c r="H135" s="109" t="s">
        <v>195</v>
      </c>
      <c r="I135" s="232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317">
        <v>21</v>
      </c>
      <c r="AM135" s="107"/>
      <c r="AN135" s="107"/>
      <c r="AO135" s="107"/>
      <c r="AP135" s="108"/>
      <c r="AQ135" s="108"/>
      <c r="AR135" s="107"/>
      <c r="AS135" s="108"/>
      <c r="AT135" s="107"/>
      <c r="AU135" s="107"/>
      <c r="AV135" s="107"/>
      <c r="AW135" s="108"/>
      <c r="AX135" s="108"/>
      <c r="AY135" s="107"/>
      <c r="AZ135" s="107"/>
      <c r="BA135" s="107"/>
      <c r="BB135" s="107"/>
      <c r="BC135" s="107">
        <v>23</v>
      </c>
      <c r="BD135" s="108"/>
      <c r="BE135" s="108"/>
      <c r="BF135" s="107"/>
      <c r="BG135" s="107"/>
      <c r="BH135" s="107"/>
      <c r="BI135" s="107"/>
      <c r="BJ135" s="107"/>
      <c r="BK135" s="107">
        <v>26.4</v>
      </c>
      <c r="BL135" s="108"/>
      <c r="BM135" s="107"/>
      <c r="BN135" s="107"/>
      <c r="BO135" s="107"/>
      <c r="BP135" s="107"/>
      <c r="BQ135" s="107"/>
      <c r="BR135" s="107"/>
      <c r="BS135" s="107"/>
      <c r="BT135" s="107"/>
      <c r="BU135" s="107"/>
      <c r="BV135" s="107"/>
      <c r="BW135" s="107"/>
      <c r="BX135" s="108"/>
      <c r="BY135" s="108"/>
      <c r="BZ135" s="108"/>
      <c r="CA135" s="107"/>
      <c r="CB135" s="108"/>
      <c r="CC135" s="107"/>
      <c r="CD135" s="108"/>
      <c r="CE135" s="107"/>
      <c r="CF135" s="108"/>
      <c r="CG135" s="108"/>
      <c r="CH135" s="108"/>
      <c r="CI135" s="108"/>
      <c r="CJ135" s="108"/>
      <c r="CK135" s="108"/>
      <c r="CL135" s="108"/>
      <c r="CM135" s="108"/>
      <c r="CN135" s="108"/>
      <c r="CO135" s="108"/>
      <c r="CP135" s="108"/>
      <c r="CQ135" s="108"/>
      <c r="CR135" s="108"/>
      <c r="CS135" s="108"/>
      <c r="CT135" s="108"/>
      <c r="CU135" s="108"/>
      <c r="CV135" s="108"/>
      <c r="CW135" s="108"/>
      <c r="CX135" s="108"/>
      <c r="CY135" s="108"/>
      <c r="CZ135" s="108"/>
      <c r="DA135" s="108"/>
      <c r="DB135" s="108"/>
      <c r="DC135" s="108"/>
      <c r="DD135" s="108"/>
      <c r="DE135" s="108"/>
      <c r="DF135" s="108"/>
      <c r="DG135" s="108"/>
      <c r="DH135" s="108"/>
      <c r="DI135" s="108"/>
      <c r="DJ135" s="108"/>
      <c r="DK135" s="108"/>
      <c r="DL135" s="103"/>
      <c r="DM135" s="103"/>
      <c r="DN135" s="103"/>
    </row>
    <row r="136" spans="1:118" ht="13.35" hidden="1" customHeight="1">
      <c r="A136" s="91" t="s">
        <v>12</v>
      </c>
      <c r="B136" s="91" t="s">
        <v>13</v>
      </c>
      <c r="C136" s="267" t="s">
        <v>14</v>
      </c>
      <c r="D136" s="279">
        <v>44.56</v>
      </c>
      <c r="E136" s="155" t="s">
        <v>140</v>
      </c>
      <c r="F136" s="160" t="s">
        <v>196</v>
      </c>
      <c r="G136" s="6"/>
      <c r="H136" s="5" t="s">
        <v>94</v>
      </c>
      <c r="I136" s="23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1"/>
      <c r="AQ136" s="1"/>
      <c r="AR136" s="61"/>
      <c r="AS136" s="1"/>
      <c r="AT136" s="61"/>
      <c r="AU136" s="61"/>
      <c r="AV136" s="61"/>
      <c r="AW136" s="1"/>
      <c r="AX136" s="1"/>
      <c r="AY136" s="61"/>
      <c r="AZ136" s="61"/>
      <c r="BA136" s="61"/>
      <c r="BB136" s="61"/>
      <c r="BC136" s="61">
        <v>21.5</v>
      </c>
      <c r="BD136" s="1"/>
      <c r="BE136" s="1"/>
      <c r="BF136" s="61"/>
      <c r="BG136" s="61"/>
      <c r="BH136" s="61"/>
      <c r="BI136" s="61"/>
      <c r="BJ136" s="61"/>
      <c r="BK136" s="67"/>
      <c r="BL136" s="1"/>
      <c r="BM136" s="61"/>
      <c r="BN136" s="61">
        <v>24.8</v>
      </c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1"/>
      <c r="BZ136" s="1"/>
      <c r="CA136" s="61"/>
      <c r="CB136" s="61"/>
      <c r="CC136" s="61"/>
      <c r="CD136" s="61"/>
      <c r="CE136" s="61"/>
      <c r="CF136" s="1"/>
      <c r="CG136" s="1"/>
      <c r="CH136" s="61"/>
      <c r="CI136" s="61"/>
      <c r="CJ136" s="61"/>
      <c r="CK136" s="61"/>
      <c r="CL136" s="61"/>
      <c r="CM136" s="1"/>
      <c r="CN136" s="1"/>
      <c r="CO136" s="61"/>
      <c r="CP136" s="6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8"/>
      <c r="DM136" s="8"/>
      <c r="DN136" s="8"/>
    </row>
    <row r="137" spans="1:118" ht="13.35" hidden="1" customHeight="1">
      <c r="A137" s="91" t="s">
        <v>12</v>
      </c>
      <c r="B137" s="91" t="s">
        <v>13</v>
      </c>
      <c r="C137" s="267" t="s">
        <v>14</v>
      </c>
      <c r="D137" s="279"/>
      <c r="E137" s="155" t="s">
        <v>140</v>
      </c>
      <c r="F137" s="160" t="s">
        <v>197</v>
      </c>
      <c r="G137" s="6"/>
      <c r="H137" s="5" t="s">
        <v>94</v>
      </c>
      <c r="I137" s="23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1"/>
      <c r="AQ137" s="1"/>
      <c r="AR137" s="61"/>
      <c r="AS137" s="1"/>
      <c r="AT137" s="61"/>
      <c r="AU137" s="61"/>
      <c r="AV137" s="61"/>
      <c r="AW137" s="1"/>
      <c r="AX137" s="1"/>
      <c r="AY137" s="61"/>
      <c r="AZ137" s="61"/>
      <c r="BA137" s="61"/>
      <c r="BB137" s="61"/>
      <c r="BC137" s="61"/>
      <c r="BD137" s="1"/>
      <c r="BE137" s="1"/>
      <c r="BF137" s="61"/>
      <c r="BG137" s="61"/>
      <c r="BH137" s="61"/>
      <c r="BI137" s="61"/>
      <c r="BJ137" s="61"/>
      <c r="BK137" s="67"/>
      <c r="BL137" s="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1"/>
      <c r="BZ137" s="1"/>
      <c r="CA137" s="61"/>
      <c r="CB137" s="61">
        <v>24.6</v>
      </c>
      <c r="CC137" s="61"/>
      <c r="CD137" s="61"/>
      <c r="CE137" s="61"/>
      <c r="CF137" s="1"/>
      <c r="CG137" s="1"/>
      <c r="CH137" s="61"/>
      <c r="CI137" s="61"/>
      <c r="CJ137" s="61">
        <v>24.9</v>
      </c>
      <c r="CK137" s="61"/>
      <c r="CL137" s="61"/>
      <c r="CM137" s="1"/>
      <c r="CN137" s="1"/>
      <c r="CO137" s="61">
        <v>25.4</v>
      </c>
      <c r="CP137" s="6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8"/>
      <c r="DM137" s="8"/>
      <c r="DN137" s="8"/>
    </row>
    <row r="138" spans="1:118" ht="12.75" hidden="1" customHeight="1">
      <c r="A138" s="91" t="s">
        <v>12</v>
      </c>
      <c r="B138" s="91" t="s">
        <v>13</v>
      </c>
      <c r="C138" s="267" t="s">
        <v>14</v>
      </c>
      <c r="D138" s="279"/>
      <c r="E138" s="155" t="s">
        <v>140</v>
      </c>
      <c r="F138" s="160" t="s">
        <v>198</v>
      </c>
      <c r="G138" s="6"/>
      <c r="H138" s="5" t="s">
        <v>94</v>
      </c>
      <c r="I138" s="23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1"/>
      <c r="AQ138" s="1"/>
      <c r="AR138" s="61"/>
      <c r="AS138" s="1"/>
      <c r="AT138" s="61"/>
      <c r="AU138" s="61"/>
      <c r="AV138" s="61"/>
      <c r="AW138" s="1"/>
      <c r="AX138" s="1"/>
      <c r="AY138" s="61"/>
      <c r="AZ138" s="61"/>
      <c r="BA138" s="61"/>
      <c r="BB138" s="61"/>
      <c r="BC138" s="61"/>
      <c r="BD138" s="1"/>
      <c r="BE138" s="1"/>
      <c r="BF138" s="61"/>
      <c r="BG138" s="61"/>
      <c r="BH138" s="61"/>
      <c r="BI138" s="61"/>
      <c r="BJ138" s="61"/>
      <c r="BK138" s="67"/>
      <c r="BL138" s="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1"/>
      <c r="BZ138" s="1"/>
      <c r="CA138" s="61"/>
      <c r="CB138" s="61">
        <v>24.8</v>
      </c>
      <c r="CC138" s="61"/>
      <c r="CD138" s="61"/>
      <c r="CE138" s="61"/>
      <c r="CF138" s="1"/>
      <c r="CG138" s="1"/>
      <c r="CH138" s="61"/>
      <c r="CI138" s="61"/>
      <c r="CJ138" s="61">
        <v>24.6</v>
      </c>
      <c r="CK138" s="61"/>
      <c r="CL138" s="61"/>
      <c r="CM138" s="1"/>
      <c r="CN138" s="1"/>
      <c r="CO138" s="61">
        <v>25.5</v>
      </c>
      <c r="CP138" s="6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8"/>
      <c r="DM138" s="8"/>
      <c r="DN138" s="8"/>
    </row>
    <row r="139" spans="1:118" s="104" customFormat="1" ht="12.95" hidden="1" customHeight="1">
      <c r="A139" s="96" t="s">
        <v>12</v>
      </c>
      <c r="B139" s="96"/>
      <c r="C139" s="269" t="s">
        <v>14</v>
      </c>
      <c r="D139" s="281">
        <v>3.95</v>
      </c>
      <c r="E139" s="157" t="s">
        <v>140</v>
      </c>
      <c r="F139" s="161" t="s">
        <v>199</v>
      </c>
      <c r="G139" s="102"/>
      <c r="H139" s="109" t="s">
        <v>16</v>
      </c>
      <c r="I139" s="232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8"/>
      <c r="AQ139" s="108"/>
      <c r="AR139" s="107"/>
      <c r="AS139" s="108"/>
      <c r="AT139" s="107"/>
      <c r="AU139" s="107"/>
      <c r="AV139" s="107"/>
      <c r="AW139" s="108"/>
      <c r="AX139" s="108"/>
      <c r="AY139" s="107"/>
      <c r="AZ139" s="107"/>
      <c r="BA139" s="107"/>
      <c r="BB139" s="107"/>
      <c r="BC139" s="107"/>
      <c r="BD139" s="108"/>
      <c r="BE139" s="108"/>
      <c r="BF139" s="107"/>
      <c r="BG139" s="107"/>
      <c r="BH139" s="107"/>
      <c r="BI139" s="107"/>
      <c r="BJ139" s="107"/>
      <c r="BK139" s="123"/>
      <c r="BL139" s="108"/>
      <c r="BM139" s="107"/>
      <c r="BN139" s="107"/>
      <c r="BO139" s="107" t="s">
        <v>200</v>
      </c>
      <c r="BP139" s="107"/>
      <c r="BQ139" s="107"/>
      <c r="BR139" s="107"/>
      <c r="BS139" s="107"/>
      <c r="BT139" s="107"/>
      <c r="BU139" s="107"/>
      <c r="BV139" s="107"/>
      <c r="BW139" s="107"/>
      <c r="BX139" s="107"/>
      <c r="BY139" s="108"/>
      <c r="BZ139" s="108"/>
      <c r="CA139" s="107"/>
      <c r="CB139" s="107"/>
      <c r="CC139" s="107"/>
      <c r="CD139" s="108"/>
      <c r="CE139" s="107"/>
      <c r="CF139" s="108"/>
      <c r="CG139" s="108"/>
      <c r="CH139" s="108"/>
      <c r="CI139" s="108"/>
      <c r="CJ139" s="108"/>
      <c r="CK139" s="108"/>
      <c r="CL139" s="108"/>
      <c r="CM139" s="108"/>
      <c r="CN139" s="108"/>
      <c r="CO139" s="108"/>
      <c r="CP139" s="108"/>
      <c r="CQ139" s="108"/>
      <c r="CR139" s="108"/>
      <c r="CS139" s="108"/>
      <c r="CT139" s="108"/>
      <c r="CU139" s="108"/>
      <c r="CV139" s="108"/>
      <c r="CW139" s="108"/>
      <c r="CX139" s="108"/>
      <c r="CY139" s="108"/>
      <c r="CZ139" s="108"/>
      <c r="DA139" s="108"/>
      <c r="DB139" s="108"/>
      <c r="DC139" s="108"/>
      <c r="DD139" s="108"/>
      <c r="DE139" s="108"/>
      <c r="DF139" s="108"/>
      <c r="DG139" s="108"/>
      <c r="DH139" s="108"/>
      <c r="DI139" s="108"/>
      <c r="DJ139" s="108"/>
      <c r="DK139" s="108"/>
      <c r="DL139" s="103"/>
      <c r="DM139" s="103"/>
      <c r="DN139" s="103"/>
    </row>
    <row r="140" spans="1:118" ht="13.35" hidden="1" customHeight="1">
      <c r="A140" s="91" t="s">
        <v>12</v>
      </c>
      <c r="B140" s="91" t="s">
        <v>13</v>
      </c>
      <c r="C140" s="267" t="s">
        <v>14</v>
      </c>
      <c r="D140" s="279">
        <v>43.1</v>
      </c>
      <c r="E140" s="155" t="s">
        <v>140</v>
      </c>
      <c r="F140" s="160" t="s">
        <v>201</v>
      </c>
      <c r="G140" s="26" t="s">
        <v>202</v>
      </c>
      <c r="H140" s="5" t="s">
        <v>203</v>
      </c>
      <c r="I140" s="23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1"/>
      <c r="AQ140" s="1"/>
      <c r="AR140" s="61"/>
      <c r="AS140" s="1"/>
      <c r="AT140" s="61" t="s">
        <v>204</v>
      </c>
      <c r="AU140" s="61"/>
      <c r="AV140" s="61"/>
      <c r="AW140" s="1"/>
      <c r="AX140" s="1"/>
      <c r="AY140" s="61"/>
      <c r="AZ140" s="61"/>
      <c r="BA140" s="61"/>
      <c r="BB140" s="61"/>
      <c r="BC140" s="61"/>
      <c r="BD140" s="1"/>
      <c r="BE140" s="1"/>
      <c r="BF140" s="61"/>
      <c r="BG140" s="61"/>
      <c r="BH140" s="61"/>
      <c r="BI140" s="61"/>
      <c r="BJ140" s="61"/>
      <c r="BK140" s="67"/>
      <c r="BL140" s="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1"/>
      <c r="BZ140" s="1"/>
      <c r="CA140" s="61"/>
      <c r="CB140" s="61"/>
      <c r="CC140" s="61"/>
      <c r="CD140" s="61"/>
      <c r="CE140" s="61"/>
      <c r="CF140" s="1"/>
      <c r="CG140" s="1"/>
      <c r="CH140" s="61"/>
      <c r="CI140" s="61"/>
      <c r="CJ140" s="61"/>
      <c r="CK140" s="61"/>
      <c r="CL140" s="61"/>
      <c r="CM140" s="1"/>
      <c r="CN140" s="1"/>
      <c r="CO140" s="61"/>
      <c r="CP140" s="6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8"/>
      <c r="DM140" s="8"/>
      <c r="DN140" s="8"/>
    </row>
    <row r="141" spans="1:118" ht="13.35" hidden="1" customHeight="1">
      <c r="A141" s="91" t="s">
        <v>12</v>
      </c>
      <c r="B141" s="91" t="s">
        <v>13</v>
      </c>
      <c r="C141" s="267" t="s">
        <v>14</v>
      </c>
      <c r="D141" s="279"/>
      <c r="E141" s="155" t="s">
        <v>140</v>
      </c>
      <c r="F141" s="160" t="s">
        <v>205</v>
      </c>
      <c r="G141" s="26" t="s">
        <v>202</v>
      </c>
      <c r="H141" s="5" t="s">
        <v>203</v>
      </c>
      <c r="I141" s="23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1"/>
      <c r="AQ141" s="1"/>
      <c r="AR141" s="61"/>
      <c r="AS141" s="1"/>
      <c r="AT141" s="61"/>
      <c r="AU141" s="61"/>
      <c r="AV141" s="61"/>
      <c r="AW141" s="1"/>
      <c r="AX141" s="1"/>
      <c r="AY141" s="61"/>
      <c r="AZ141" s="61"/>
      <c r="BA141" s="61"/>
      <c r="BB141" s="61"/>
      <c r="BC141" s="61"/>
      <c r="BD141" s="1"/>
      <c r="BE141" s="1"/>
      <c r="BF141" s="61"/>
      <c r="BG141" s="61"/>
      <c r="BH141" s="61"/>
      <c r="BI141" s="61">
        <v>23.6</v>
      </c>
      <c r="BJ141" s="61"/>
      <c r="BK141" s="67"/>
      <c r="BL141" s="1"/>
      <c r="BM141" s="61"/>
      <c r="BN141" s="61"/>
      <c r="BO141" s="61"/>
      <c r="BP141" s="61"/>
      <c r="BQ141" s="61">
        <v>24.2</v>
      </c>
      <c r="BR141" s="61"/>
      <c r="BS141" s="61"/>
      <c r="BT141" s="61"/>
      <c r="BU141" s="61"/>
      <c r="BV141" s="61"/>
      <c r="BW141" s="61"/>
      <c r="BX141" s="61" t="s">
        <v>17</v>
      </c>
      <c r="BY141" s="1"/>
      <c r="BZ141" s="1"/>
      <c r="CA141" s="61"/>
      <c r="CB141" s="61"/>
      <c r="CC141" s="61" t="s">
        <v>206</v>
      </c>
      <c r="CD141" s="61"/>
      <c r="CE141" s="61"/>
      <c r="CF141" s="1"/>
      <c r="CG141" s="1"/>
      <c r="CH141" s="61"/>
      <c r="CI141" s="61">
        <v>24.4</v>
      </c>
      <c r="CJ141" s="61"/>
      <c r="CK141" s="61"/>
      <c r="CL141" s="61">
        <v>23.5</v>
      </c>
      <c r="CM141" s="1"/>
      <c r="CN141" s="1"/>
      <c r="CO141" s="61">
        <v>24.7</v>
      </c>
      <c r="CP141" s="6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8"/>
      <c r="DM141" s="8"/>
      <c r="DN141" s="8"/>
    </row>
    <row r="142" spans="1:118" ht="13.35" hidden="1" customHeight="1">
      <c r="A142" s="91" t="s">
        <v>12</v>
      </c>
      <c r="B142" s="91" t="s">
        <v>13</v>
      </c>
      <c r="C142" s="267" t="s">
        <v>14</v>
      </c>
      <c r="D142" s="279"/>
      <c r="E142" s="155" t="s">
        <v>140</v>
      </c>
      <c r="F142" s="160" t="s">
        <v>207</v>
      </c>
      <c r="G142" s="26" t="s">
        <v>202</v>
      </c>
      <c r="H142" s="5" t="s">
        <v>203</v>
      </c>
      <c r="I142" s="23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1"/>
      <c r="AQ142" s="1"/>
      <c r="AR142" s="61"/>
      <c r="AS142" s="1"/>
      <c r="AT142" s="61"/>
      <c r="AU142" s="61"/>
      <c r="AV142" s="61"/>
      <c r="AW142" s="1"/>
      <c r="AX142" s="1"/>
      <c r="AY142" s="61"/>
      <c r="AZ142" s="61"/>
      <c r="BA142" s="61"/>
      <c r="BB142" s="61"/>
      <c r="BC142" s="61"/>
      <c r="BD142" s="1"/>
      <c r="BE142" s="1"/>
      <c r="BF142" s="61"/>
      <c r="BG142" s="61"/>
      <c r="BH142" s="61"/>
      <c r="BI142" s="61">
        <v>23.6</v>
      </c>
      <c r="BJ142" s="61"/>
      <c r="BK142" s="67"/>
      <c r="BL142" s="1"/>
      <c r="BM142" s="61"/>
      <c r="BN142" s="61"/>
      <c r="BO142" s="61"/>
      <c r="BP142" s="61"/>
      <c r="BQ142" s="61">
        <v>24</v>
      </c>
      <c r="BR142" s="61"/>
      <c r="BS142" s="61"/>
      <c r="BT142" s="61"/>
      <c r="BU142" s="61"/>
      <c r="BV142" s="61"/>
      <c r="BW142" s="61"/>
      <c r="BX142" s="61" t="s">
        <v>208</v>
      </c>
      <c r="BY142" s="1"/>
      <c r="BZ142" s="1"/>
      <c r="CA142" s="61"/>
      <c r="CB142" s="61"/>
      <c r="CC142" s="61">
        <v>24.9</v>
      </c>
      <c r="CD142" s="61"/>
      <c r="CE142" s="61"/>
      <c r="CF142" s="1"/>
      <c r="CG142" s="1"/>
      <c r="CH142" s="61"/>
      <c r="CI142" s="61">
        <v>24.2</v>
      </c>
      <c r="CJ142" s="61"/>
      <c r="CK142" s="61"/>
      <c r="CL142" s="61">
        <v>23.5</v>
      </c>
      <c r="CM142" s="1"/>
      <c r="CN142" s="1"/>
      <c r="CO142" s="61">
        <v>25.2</v>
      </c>
      <c r="CP142" s="6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8"/>
      <c r="DM142" s="8"/>
      <c r="DN142" s="8"/>
    </row>
    <row r="143" spans="1:118" s="104" customFormat="1" ht="13.35" hidden="1" customHeight="1">
      <c r="A143" s="96" t="s">
        <v>12</v>
      </c>
      <c r="B143" s="96" t="s">
        <v>13</v>
      </c>
      <c r="C143" s="269" t="s">
        <v>14</v>
      </c>
      <c r="D143" s="281">
        <v>49.01</v>
      </c>
      <c r="E143" s="157" t="s">
        <v>140</v>
      </c>
      <c r="F143" s="161" t="s">
        <v>209</v>
      </c>
      <c r="G143" s="102"/>
      <c r="H143" s="109" t="s">
        <v>22</v>
      </c>
      <c r="I143" s="232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8"/>
      <c r="AQ143" s="108"/>
      <c r="AR143" s="107"/>
      <c r="AS143" s="108"/>
      <c r="AT143" s="107"/>
      <c r="AU143" s="107"/>
      <c r="AV143" s="107"/>
      <c r="AW143" s="108"/>
      <c r="AX143" s="108"/>
      <c r="AY143" s="107"/>
      <c r="AZ143" s="107"/>
      <c r="BA143" s="107"/>
      <c r="BB143" s="107"/>
      <c r="BC143" s="107"/>
      <c r="BD143" s="108">
        <v>20</v>
      </c>
      <c r="BE143" s="108"/>
      <c r="BF143" s="107"/>
      <c r="BG143" s="107"/>
      <c r="BH143" s="107"/>
      <c r="BI143" s="107"/>
      <c r="BJ143" s="107"/>
      <c r="BK143" s="123"/>
      <c r="BL143" s="108"/>
      <c r="BM143" s="107"/>
      <c r="BN143" s="107"/>
      <c r="BO143" s="107"/>
      <c r="BP143" s="107"/>
      <c r="BQ143" s="107"/>
      <c r="BR143" s="107"/>
      <c r="BS143" s="107"/>
      <c r="BT143" s="107"/>
      <c r="BU143" s="107" t="s">
        <v>210</v>
      </c>
      <c r="BV143" s="107"/>
      <c r="BW143" s="107"/>
      <c r="BX143" s="107"/>
      <c r="BY143" s="108"/>
      <c r="BZ143" s="108"/>
      <c r="CA143" s="107"/>
      <c r="CB143" s="107"/>
      <c r="CC143" s="107"/>
      <c r="CD143" s="107"/>
      <c r="CE143" s="107"/>
      <c r="CF143" s="108"/>
      <c r="CG143" s="108"/>
      <c r="CH143" s="107"/>
      <c r="CI143" s="107"/>
      <c r="CJ143" s="107"/>
      <c r="CK143" s="107"/>
      <c r="CL143" s="107"/>
      <c r="CM143" s="108"/>
      <c r="CN143" s="108"/>
      <c r="CO143" s="107"/>
      <c r="CP143" s="107"/>
      <c r="CQ143" s="108"/>
      <c r="CR143" s="108"/>
      <c r="CS143" s="108"/>
      <c r="CT143" s="108"/>
      <c r="CU143" s="108"/>
      <c r="CV143" s="108"/>
      <c r="CW143" s="108"/>
      <c r="CX143" s="108"/>
      <c r="CY143" s="108"/>
      <c r="CZ143" s="108"/>
      <c r="DA143" s="108"/>
      <c r="DB143" s="108"/>
      <c r="DC143" s="108"/>
      <c r="DD143" s="108"/>
      <c r="DE143" s="108"/>
      <c r="DF143" s="108"/>
      <c r="DG143" s="108"/>
      <c r="DH143" s="108"/>
      <c r="DI143" s="108"/>
      <c r="DJ143" s="108"/>
      <c r="DK143" s="108"/>
      <c r="DL143" s="103"/>
      <c r="DM143" s="103"/>
      <c r="DN143" s="103"/>
    </row>
    <row r="144" spans="1:118" s="104" customFormat="1" ht="13.35" hidden="1" customHeight="1">
      <c r="A144" s="96" t="s">
        <v>12</v>
      </c>
      <c r="B144" s="96" t="s">
        <v>13</v>
      </c>
      <c r="C144" s="269" t="s">
        <v>14</v>
      </c>
      <c r="D144" s="281"/>
      <c r="E144" s="157" t="s">
        <v>140</v>
      </c>
      <c r="F144" s="161" t="s">
        <v>211</v>
      </c>
      <c r="G144" s="102"/>
      <c r="H144" s="109" t="s">
        <v>22</v>
      </c>
      <c r="I144" s="232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8"/>
      <c r="AQ144" s="108"/>
      <c r="AR144" s="107"/>
      <c r="AS144" s="108"/>
      <c r="AT144" s="107"/>
      <c r="AU144" s="107"/>
      <c r="AV144" s="107"/>
      <c r="AW144" s="108"/>
      <c r="AX144" s="108"/>
      <c r="AY144" s="107"/>
      <c r="AZ144" s="107"/>
      <c r="BA144" s="107"/>
      <c r="BB144" s="107"/>
      <c r="BC144" s="107"/>
      <c r="BD144" s="108"/>
      <c r="BE144" s="108"/>
      <c r="BF144" s="107"/>
      <c r="BG144" s="107"/>
      <c r="BH144" s="107"/>
      <c r="BI144" s="107"/>
      <c r="BJ144" s="107"/>
      <c r="BK144" s="123"/>
      <c r="BL144" s="108"/>
      <c r="BM144" s="107">
        <v>23.5</v>
      </c>
      <c r="BN144" s="107"/>
      <c r="BO144" s="107"/>
      <c r="BP144" s="107"/>
      <c r="BQ144" s="107"/>
      <c r="BR144" s="107"/>
      <c r="BS144" s="107"/>
      <c r="BT144" s="107"/>
      <c r="BU144" s="107"/>
      <c r="BV144" s="107"/>
      <c r="BW144" s="107"/>
      <c r="BX144" s="107">
        <v>23.1</v>
      </c>
      <c r="BY144" s="108"/>
      <c r="BZ144" s="108"/>
      <c r="CA144" s="107"/>
      <c r="CB144" s="107"/>
      <c r="CC144" s="107">
        <v>23.6</v>
      </c>
      <c r="CD144" s="107"/>
      <c r="CE144" s="107"/>
      <c r="CF144" s="108"/>
      <c r="CG144" s="108"/>
      <c r="CH144" s="107">
        <v>23.7</v>
      </c>
      <c r="CI144" s="107"/>
      <c r="CJ144" s="107"/>
      <c r="CK144" s="107">
        <v>23.5</v>
      </c>
      <c r="CL144" s="107"/>
      <c r="CM144" s="108"/>
      <c r="CN144" s="108"/>
      <c r="CO144" s="107"/>
      <c r="CP144" s="107">
        <v>24.8</v>
      </c>
      <c r="CQ144" s="108"/>
      <c r="CR144" s="108"/>
      <c r="CS144" s="108"/>
      <c r="CT144" s="108"/>
      <c r="CU144" s="108"/>
      <c r="CV144" s="108"/>
      <c r="CW144" s="108"/>
      <c r="CX144" s="108"/>
      <c r="CY144" s="108"/>
      <c r="CZ144" s="108"/>
      <c r="DA144" s="108"/>
      <c r="DB144" s="108"/>
      <c r="DC144" s="108"/>
      <c r="DD144" s="108"/>
      <c r="DE144" s="108"/>
      <c r="DF144" s="108"/>
      <c r="DG144" s="108"/>
      <c r="DH144" s="108"/>
      <c r="DI144" s="108"/>
      <c r="DJ144" s="108"/>
      <c r="DK144" s="108"/>
      <c r="DL144" s="103"/>
      <c r="DM144" s="103"/>
      <c r="DN144" s="103"/>
    </row>
    <row r="145" spans="1:118" s="104" customFormat="1" ht="13.35" hidden="1" customHeight="1">
      <c r="A145" s="96" t="s">
        <v>12</v>
      </c>
      <c r="B145" s="96" t="s">
        <v>13</v>
      </c>
      <c r="C145" s="269" t="s">
        <v>14</v>
      </c>
      <c r="D145" s="281"/>
      <c r="E145" s="157" t="s">
        <v>140</v>
      </c>
      <c r="F145" s="161" t="s">
        <v>212</v>
      </c>
      <c r="G145" s="102"/>
      <c r="H145" s="109" t="s">
        <v>22</v>
      </c>
      <c r="I145" s="232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8"/>
      <c r="AQ145" s="108"/>
      <c r="AR145" s="107"/>
      <c r="AS145" s="108"/>
      <c r="AT145" s="107"/>
      <c r="AU145" s="107"/>
      <c r="AV145" s="107"/>
      <c r="AW145" s="108"/>
      <c r="AX145" s="108"/>
      <c r="AY145" s="107"/>
      <c r="AZ145" s="107"/>
      <c r="BA145" s="107"/>
      <c r="BB145" s="107"/>
      <c r="BC145" s="107"/>
      <c r="BD145" s="108"/>
      <c r="BE145" s="108"/>
      <c r="BF145" s="107"/>
      <c r="BG145" s="107"/>
      <c r="BH145" s="107"/>
      <c r="BI145" s="107"/>
      <c r="BJ145" s="107"/>
      <c r="BK145" s="123"/>
      <c r="BL145" s="108"/>
      <c r="BM145" s="107">
        <v>23.2</v>
      </c>
      <c r="BN145" s="107"/>
      <c r="BO145" s="107"/>
      <c r="BP145" s="107"/>
      <c r="BQ145" s="107"/>
      <c r="BR145" s="107"/>
      <c r="BS145" s="107"/>
      <c r="BT145" s="107"/>
      <c r="BU145" s="107"/>
      <c r="BV145" s="107"/>
      <c r="BW145" s="107"/>
      <c r="BX145" s="107">
        <v>22.4</v>
      </c>
      <c r="BY145" s="108"/>
      <c r="BZ145" s="108"/>
      <c r="CA145" s="107"/>
      <c r="CB145" s="107"/>
      <c r="CC145" s="107">
        <v>24</v>
      </c>
      <c r="CD145" s="107"/>
      <c r="CE145" s="107"/>
      <c r="CF145" s="108"/>
      <c r="CG145" s="108"/>
      <c r="CH145" s="107">
        <v>23.9</v>
      </c>
      <c r="CI145" s="107"/>
      <c r="CJ145" s="107"/>
      <c r="CK145" s="107">
        <v>24</v>
      </c>
      <c r="CL145" s="107"/>
      <c r="CM145" s="108"/>
      <c r="CN145" s="108"/>
      <c r="CO145" s="107"/>
      <c r="CP145" s="107">
        <v>24.6</v>
      </c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108"/>
      <c r="DD145" s="108"/>
      <c r="DE145" s="108"/>
      <c r="DF145" s="108"/>
      <c r="DG145" s="108"/>
      <c r="DH145" s="108"/>
      <c r="DI145" s="108"/>
      <c r="DJ145" s="108"/>
      <c r="DK145" s="108"/>
      <c r="DL145" s="103"/>
      <c r="DM145" s="103"/>
      <c r="DN145" s="103"/>
    </row>
    <row r="146" spans="1:118" ht="13.35" hidden="1" customHeight="1">
      <c r="A146" s="91" t="s">
        <v>12</v>
      </c>
      <c r="B146" s="91" t="s">
        <v>13</v>
      </c>
      <c r="C146" s="267" t="s">
        <v>14</v>
      </c>
      <c r="D146" s="279">
        <v>48.52</v>
      </c>
      <c r="E146" s="155" t="s">
        <v>140</v>
      </c>
      <c r="F146" s="160" t="s">
        <v>213</v>
      </c>
      <c r="G146" s="398"/>
      <c r="H146" s="5" t="s">
        <v>16</v>
      </c>
      <c r="I146" s="23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1"/>
      <c r="AQ146" s="1"/>
      <c r="AR146" s="61"/>
      <c r="AS146" s="1"/>
      <c r="AT146" s="61"/>
      <c r="AU146" s="61"/>
      <c r="AV146" s="61"/>
      <c r="AW146" s="1"/>
      <c r="AX146" s="1"/>
      <c r="AY146" s="61"/>
      <c r="AZ146" s="61"/>
      <c r="BA146" s="61"/>
      <c r="BB146" s="61">
        <v>22.5</v>
      </c>
      <c r="BC146" s="61"/>
      <c r="BD146" s="1"/>
      <c r="BE146" s="1"/>
      <c r="BF146" s="61"/>
      <c r="BG146" s="61"/>
      <c r="BH146" s="61"/>
      <c r="BI146" s="61"/>
      <c r="BJ146" s="61"/>
      <c r="BK146" s="61">
        <v>26</v>
      </c>
      <c r="BL146" s="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1"/>
      <c r="BZ146" s="1"/>
      <c r="CA146" s="61"/>
      <c r="CB146" s="1"/>
      <c r="CC146" s="61"/>
      <c r="CD146" s="1"/>
      <c r="CE146" s="6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8"/>
      <c r="DM146" s="8"/>
      <c r="DN146" s="8"/>
    </row>
    <row r="147" spans="1:118" ht="12.95" hidden="1" customHeight="1">
      <c r="A147" s="91" t="s">
        <v>13</v>
      </c>
      <c r="B147" s="91" t="s">
        <v>13</v>
      </c>
      <c r="C147" s="267" t="s">
        <v>14</v>
      </c>
      <c r="D147" s="279"/>
      <c r="E147" s="155" t="s">
        <v>140</v>
      </c>
      <c r="F147" s="160" t="s">
        <v>214</v>
      </c>
      <c r="G147" s="6"/>
      <c r="H147" s="5" t="s">
        <v>16</v>
      </c>
      <c r="I147" s="23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1"/>
      <c r="AQ147" s="1"/>
      <c r="AR147" s="61"/>
      <c r="AS147" s="1"/>
      <c r="AT147" s="61"/>
      <c r="AU147" s="61"/>
      <c r="AV147" s="61"/>
      <c r="AW147" s="1"/>
      <c r="AX147" s="1"/>
      <c r="AY147" s="61"/>
      <c r="AZ147" s="61"/>
      <c r="BA147" s="61"/>
      <c r="BB147" s="61"/>
      <c r="BC147" s="61"/>
      <c r="BD147" s="1"/>
      <c r="BE147" s="1"/>
      <c r="BF147" s="61"/>
      <c r="BG147" s="61"/>
      <c r="BH147" s="61"/>
      <c r="BI147" s="61"/>
      <c r="BJ147" s="61"/>
      <c r="BK147" s="67"/>
      <c r="BL147" s="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1"/>
      <c r="BY147" s="1"/>
      <c r="BZ147" s="1"/>
      <c r="CA147" s="61"/>
      <c r="CB147" s="1"/>
      <c r="CC147" s="61"/>
      <c r="CD147" s="1"/>
      <c r="CE147" s="6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8"/>
      <c r="DM147" s="8"/>
      <c r="DN147" s="8"/>
    </row>
    <row r="148" spans="1:118" ht="12.95" hidden="1" customHeight="1">
      <c r="A148" s="91" t="s">
        <v>12</v>
      </c>
      <c r="B148" s="91" t="s">
        <v>13</v>
      </c>
      <c r="C148" s="267" t="s">
        <v>14</v>
      </c>
      <c r="D148" s="279"/>
      <c r="E148" s="155" t="s">
        <v>140</v>
      </c>
      <c r="F148" s="160" t="s">
        <v>215</v>
      </c>
      <c r="G148" s="6"/>
      <c r="H148" s="5" t="s">
        <v>16</v>
      </c>
      <c r="I148" s="23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1"/>
      <c r="AQ148" s="1"/>
      <c r="AR148" s="61"/>
      <c r="AS148" s="1"/>
      <c r="AT148" s="61"/>
      <c r="AU148" s="61"/>
      <c r="AV148" s="61"/>
      <c r="AW148" s="1"/>
      <c r="AX148" s="1"/>
      <c r="AY148" s="61"/>
      <c r="AZ148" s="61"/>
      <c r="BA148" s="61"/>
      <c r="BB148" s="61"/>
      <c r="BC148" s="61"/>
      <c r="BD148" s="1"/>
      <c r="BE148" s="1"/>
      <c r="BF148" s="61"/>
      <c r="BG148" s="61"/>
      <c r="BH148" s="61"/>
      <c r="BI148" s="61"/>
      <c r="BJ148" s="61"/>
      <c r="BK148" s="67"/>
      <c r="BL148" s="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1"/>
      <c r="BZ148" s="1"/>
      <c r="CA148" s="61"/>
      <c r="CB148" s="1"/>
      <c r="CC148" s="61"/>
      <c r="CD148" s="1"/>
      <c r="CE148" s="6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8"/>
      <c r="DM148" s="8"/>
      <c r="DN148" s="8"/>
    </row>
    <row r="149" spans="1:118" s="104" customFormat="1" ht="13.35" hidden="1" customHeight="1">
      <c r="A149" s="96" t="s">
        <v>12</v>
      </c>
      <c r="B149" s="96"/>
      <c r="C149" s="269" t="s">
        <v>14</v>
      </c>
      <c r="D149" s="281">
        <v>83.49</v>
      </c>
      <c r="E149" s="157" t="s">
        <v>140</v>
      </c>
      <c r="F149" s="161" t="s">
        <v>216</v>
      </c>
      <c r="G149" s="102">
        <v>22.5</v>
      </c>
      <c r="H149" s="109" t="s">
        <v>217</v>
      </c>
      <c r="I149" s="232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8"/>
      <c r="AQ149" s="108"/>
      <c r="AR149" s="107"/>
      <c r="AS149" s="108"/>
      <c r="AT149" s="107"/>
      <c r="AU149" s="107"/>
      <c r="AV149" s="107"/>
      <c r="AW149" s="108"/>
      <c r="AX149" s="108"/>
      <c r="AY149" s="107"/>
      <c r="AZ149" s="107"/>
      <c r="BA149" s="107" t="s">
        <v>218</v>
      </c>
      <c r="BB149" s="107"/>
      <c r="BC149" s="107"/>
      <c r="BD149" s="108"/>
      <c r="BE149" s="108"/>
      <c r="BF149" s="107"/>
      <c r="BG149" s="107"/>
      <c r="BH149" s="107"/>
      <c r="BI149" s="107"/>
      <c r="BJ149" s="107"/>
      <c r="BK149" s="123"/>
      <c r="BL149" s="108"/>
      <c r="BM149" s="107">
        <v>25.1</v>
      </c>
      <c r="BN149" s="448">
        <v>25.6</v>
      </c>
      <c r="BO149" s="107"/>
      <c r="BP149" s="107"/>
      <c r="BQ149" s="107"/>
      <c r="BR149" s="107"/>
      <c r="BS149" s="107"/>
      <c r="BT149" s="107"/>
      <c r="BU149" s="107"/>
      <c r="BV149" s="107"/>
      <c r="BW149" s="107"/>
      <c r="BX149" s="107"/>
      <c r="BY149" s="108"/>
      <c r="BZ149" s="108"/>
      <c r="CA149" s="107"/>
      <c r="CB149" s="108"/>
      <c r="CC149" s="107"/>
      <c r="CD149" s="108"/>
      <c r="CE149" s="107"/>
      <c r="CF149" s="108"/>
      <c r="CG149" s="108"/>
      <c r="CH149" s="108"/>
      <c r="CI149" s="108"/>
      <c r="CJ149" s="108"/>
      <c r="CK149" s="108"/>
      <c r="CL149" s="108"/>
      <c r="CM149" s="108"/>
      <c r="CN149" s="108"/>
      <c r="CO149" s="108"/>
      <c r="CP149" s="108"/>
      <c r="CQ149" s="108"/>
      <c r="CR149" s="108"/>
      <c r="CS149" s="108"/>
      <c r="CT149" s="108"/>
      <c r="CU149" s="108"/>
      <c r="CV149" s="108"/>
      <c r="CW149" s="108"/>
      <c r="CX149" s="108"/>
      <c r="CY149" s="108"/>
      <c r="CZ149" s="108"/>
      <c r="DA149" s="108"/>
      <c r="DB149" s="108"/>
      <c r="DC149" s="108"/>
      <c r="DD149" s="108"/>
      <c r="DE149" s="108"/>
      <c r="DF149" s="108"/>
      <c r="DG149" s="108"/>
      <c r="DH149" s="108"/>
      <c r="DI149" s="108"/>
      <c r="DJ149" s="108"/>
      <c r="DK149" s="108"/>
      <c r="DL149" s="103"/>
      <c r="DM149" s="103"/>
      <c r="DN149" s="103"/>
    </row>
    <row r="150" spans="1:118" s="104" customFormat="1" ht="13.35" hidden="1" customHeight="1">
      <c r="A150" s="96" t="s">
        <v>12</v>
      </c>
      <c r="B150" s="96"/>
      <c r="C150" s="269" t="s">
        <v>14</v>
      </c>
      <c r="D150" s="281"/>
      <c r="E150" s="157" t="s">
        <v>140</v>
      </c>
      <c r="F150" s="161" t="s">
        <v>219</v>
      </c>
      <c r="G150" s="102">
        <v>22.5</v>
      </c>
      <c r="H150" s="109" t="s">
        <v>217</v>
      </c>
      <c r="I150" s="232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8"/>
      <c r="AQ150" s="108"/>
      <c r="AR150" s="107"/>
      <c r="AS150" s="108"/>
      <c r="AT150" s="107"/>
      <c r="AU150" s="107"/>
      <c r="AV150" s="107"/>
      <c r="AW150" s="108"/>
      <c r="AX150" s="108"/>
      <c r="AY150" s="107"/>
      <c r="AZ150" s="107"/>
      <c r="BA150" s="107"/>
      <c r="BB150" s="107"/>
      <c r="BC150" s="107"/>
      <c r="BD150" s="108"/>
      <c r="BE150" s="108"/>
      <c r="BF150" s="107"/>
      <c r="BG150" s="107"/>
      <c r="BH150" s="107"/>
      <c r="BI150" s="107"/>
      <c r="BJ150" s="107"/>
      <c r="BK150" s="123"/>
      <c r="BL150" s="108"/>
      <c r="BM150" s="107">
        <v>25.3</v>
      </c>
      <c r="BN150" s="107"/>
      <c r="BO150" s="107"/>
      <c r="BP150" s="107"/>
      <c r="BQ150" s="107"/>
      <c r="BR150" s="107"/>
      <c r="BS150" s="107"/>
      <c r="BT150" s="107"/>
      <c r="BU150" s="107"/>
      <c r="BV150" s="107"/>
      <c r="BW150" s="107"/>
      <c r="BX150" s="107"/>
      <c r="BY150" s="108"/>
      <c r="BZ150" s="108"/>
      <c r="CA150" s="107"/>
      <c r="CB150" s="108"/>
      <c r="CC150" s="107"/>
      <c r="CD150" s="108"/>
      <c r="CE150" s="107"/>
      <c r="CF150" s="108"/>
      <c r="CG150" s="108"/>
      <c r="CH150" s="108"/>
      <c r="CI150" s="108"/>
      <c r="CJ150" s="108"/>
      <c r="CK150" s="108"/>
      <c r="CL150" s="108"/>
      <c r="CM150" s="108"/>
      <c r="CN150" s="108"/>
      <c r="CO150" s="108"/>
      <c r="CP150" s="108"/>
      <c r="CQ150" s="108"/>
      <c r="CR150" s="108"/>
      <c r="CS150" s="108"/>
      <c r="CT150" s="108"/>
      <c r="CU150" s="108"/>
      <c r="CV150" s="108"/>
      <c r="CW150" s="108"/>
      <c r="CX150" s="108"/>
      <c r="CY150" s="108"/>
      <c r="CZ150" s="108"/>
      <c r="DA150" s="108"/>
      <c r="DB150" s="108"/>
      <c r="DC150" s="108"/>
      <c r="DD150" s="108"/>
      <c r="DE150" s="108"/>
      <c r="DF150" s="108"/>
      <c r="DG150" s="108"/>
      <c r="DH150" s="108"/>
      <c r="DI150" s="108"/>
      <c r="DJ150" s="108"/>
      <c r="DK150" s="108"/>
      <c r="DL150" s="103"/>
      <c r="DM150" s="103"/>
      <c r="DN150" s="103"/>
    </row>
    <row r="151" spans="1:118" s="104" customFormat="1" ht="13.35" hidden="1" customHeight="1">
      <c r="A151" s="96" t="s">
        <v>12</v>
      </c>
      <c r="B151" s="96"/>
      <c r="C151" s="269" t="s">
        <v>14</v>
      </c>
      <c r="D151" s="281"/>
      <c r="E151" s="157" t="s">
        <v>140</v>
      </c>
      <c r="F151" s="161" t="s">
        <v>220</v>
      </c>
      <c r="G151" s="102">
        <v>22.5</v>
      </c>
      <c r="H151" s="109" t="s">
        <v>217</v>
      </c>
      <c r="I151" s="232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8"/>
      <c r="AQ151" s="108"/>
      <c r="AR151" s="107"/>
      <c r="AS151" s="108"/>
      <c r="AT151" s="107"/>
      <c r="AU151" s="107"/>
      <c r="AV151" s="107"/>
      <c r="AW151" s="108"/>
      <c r="AX151" s="108"/>
      <c r="AY151" s="107"/>
      <c r="AZ151" s="107"/>
      <c r="BA151" s="107"/>
      <c r="BB151" s="107"/>
      <c r="BC151" s="107"/>
      <c r="BD151" s="108"/>
      <c r="BE151" s="108"/>
      <c r="BF151" s="107"/>
      <c r="BG151" s="107"/>
      <c r="BH151" s="107"/>
      <c r="BI151" s="107"/>
      <c r="BJ151" s="107"/>
      <c r="BK151" s="123"/>
      <c r="BL151" s="108"/>
      <c r="BM151" s="107">
        <v>24.9</v>
      </c>
      <c r="BN151" s="107"/>
      <c r="BO151" s="107"/>
      <c r="BP151" s="107"/>
      <c r="BQ151" s="107"/>
      <c r="BR151" s="107"/>
      <c r="BS151" s="107"/>
      <c r="BT151" s="107"/>
      <c r="BU151" s="107"/>
      <c r="BV151" s="107"/>
      <c r="BW151" s="107"/>
      <c r="BX151" s="107"/>
      <c r="BY151" s="108"/>
      <c r="BZ151" s="108"/>
      <c r="CA151" s="107"/>
      <c r="CB151" s="108"/>
      <c r="CC151" s="107"/>
      <c r="CD151" s="108"/>
      <c r="CE151" s="107"/>
      <c r="CF151" s="108"/>
      <c r="CG151" s="108"/>
      <c r="CH151" s="108"/>
      <c r="CI151" s="108"/>
      <c r="CJ151" s="108"/>
      <c r="CK151" s="108"/>
      <c r="CL151" s="108"/>
      <c r="CM151" s="108"/>
      <c r="CN151" s="108"/>
      <c r="CO151" s="108"/>
      <c r="CP151" s="108"/>
      <c r="CQ151" s="108"/>
      <c r="CR151" s="108"/>
      <c r="CS151" s="108"/>
      <c r="CT151" s="108"/>
      <c r="CU151" s="108"/>
      <c r="CV151" s="108"/>
      <c r="CW151" s="108"/>
      <c r="CX151" s="108"/>
      <c r="CY151" s="108"/>
      <c r="CZ151" s="108"/>
      <c r="DA151" s="108"/>
      <c r="DB151" s="108"/>
      <c r="DC151" s="108"/>
      <c r="DD151" s="108"/>
      <c r="DE151" s="108"/>
      <c r="DF151" s="108"/>
      <c r="DG151" s="108"/>
      <c r="DH151" s="108"/>
      <c r="DI151" s="108"/>
      <c r="DJ151" s="108"/>
      <c r="DK151" s="108"/>
      <c r="DL151" s="103"/>
      <c r="DM151" s="103"/>
      <c r="DN151" s="103"/>
    </row>
    <row r="152" spans="1:118" ht="12.95" hidden="1" customHeight="1">
      <c r="A152" s="91" t="s">
        <v>12</v>
      </c>
      <c r="B152" s="91" t="s">
        <v>13</v>
      </c>
      <c r="C152" s="267" t="s">
        <v>14</v>
      </c>
      <c r="D152" s="279">
        <v>22.17</v>
      </c>
      <c r="E152" s="155" t="s">
        <v>140</v>
      </c>
      <c r="F152" s="160" t="s">
        <v>221</v>
      </c>
      <c r="G152" s="6"/>
      <c r="H152" s="5" t="s">
        <v>16</v>
      </c>
      <c r="I152" s="23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1"/>
      <c r="AQ152" s="1"/>
      <c r="AR152" s="61"/>
      <c r="AS152" s="1"/>
      <c r="AT152" s="61"/>
      <c r="AU152" s="61"/>
      <c r="AV152" s="61"/>
      <c r="AW152" s="1"/>
      <c r="AX152" s="1"/>
      <c r="AY152" s="61"/>
      <c r="AZ152" s="61"/>
      <c r="BA152" s="61"/>
      <c r="BB152" s="61">
        <v>22.4</v>
      </c>
      <c r="BC152" s="61"/>
      <c r="BD152" s="1"/>
      <c r="BE152" s="1"/>
      <c r="BF152" s="61"/>
      <c r="BG152" s="67"/>
      <c r="BH152" s="61"/>
      <c r="BI152" s="61"/>
      <c r="BJ152" s="61"/>
      <c r="BK152" s="448">
        <v>25.7</v>
      </c>
      <c r="BL152" s="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1"/>
      <c r="BZ152" s="1"/>
      <c r="CA152" s="61"/>
      <c r="CB152" s="1"/>
      <c r="CC152" s="61"/>
      <c r="CD152" s="1"/>
      <c r="CE152" s="6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8"/>
      <c r="DM152" s="8"/>
      <c r="DN152" s="8"/>
    </row>
    <row r="153" spans="1:118" ht="12.95" hidden="1" customHeight="1">
      <c r="A153" s="91" t="s">
        <v>12</v>
      </c>
      <c r="B153" s="91" t="s">
        <v>13</v>
      </c>
      <c r="C153" s="267" t="s">
        <v>14</v>
      </c>
      <c r="D153" s="279"/>
      <c r="E153" s="155" t="s">
        <v>140</v>
      </c>
      <c r="F153" s="160" t="s">
        <v>222</v>
      </c>
      <c r="G153" s="6"/>
      <c r="H153" s="5" t="s">
        <v>16</v>
      </c>
      <c r="I153" s="23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1"/>
      <c r="AQ153" s="1"/>
      <c r="AR153" s="61"/>
      <c r="AS153" s="1"/>
      <c r="AT153" s="61"/>
      <c r="AU153" s="61"/>
      <c r="AV153" s="61"/>
      <c r="AW153" s="1"/>
      <c r="AX153" s="1"/>
      <c r="AY153" s="61"/>
      <c r="AZ153" s="61"/>
      <c r="BA153" s="61"/>
      <c r="BB153" s="61"/>
      <c r="BC153" s="61"/>
      <c r="BD153" s="1"/>
      <c r="BE153" s="1"/>
      <c r="BF153" s="61"/>
      <c r="BG153" s="61"/>
      <c r="BH153" s="61"/>
      <c r="BI153" s="61"/>
      <c r="BJ153" s="61"/>
      <c r="BK153" s="67"/>
      <c r="BL153" s="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1"/>
      <c r="BZ153" s="1"/>
      <c r="CA153" s="61"/>
      <c r="CB153" s="1"/>
      <c r="CC153" s="61"/>
      <c r="CD153" s="1"/>
      <c r="CE153" s="6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8"/>
      <c r="DM153" s="8"/>
      <c r="DN153" s="8"/>
    </row>
    <row r="154" spans="1:118" s="104" customFormat="1" ht="12.95" hidden="1" customHeight="1">
      <c r="A154" s="96" t="s">
        <v>12</v>
      </c>
      <c r="B154" s="96"/>
      <c r="C154" s="269" t="s">
        <v>14</v>
      </c>
      <c r="D154" s="281">
        <v>54.49</v>
      </c>
      <c r="E154" s="157" t="s">
        <v>140</v>
      </c>
      <c r="F154" s="161" t="s">
        <v>223</v>
      </c>
      <c r="G154" s="102"/>
      <c r="H154" s="109" t="s">
        <v>16</v>
      </c>
      <c r="I154" s="232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8"/>
      <c r="AQ154" s="108"/>
      <c r="AR154" s="107"/>
      <c r="AS154" s="108"/>
      <c r="AT154" s="107"/>
      <c r="AU154" s="107"/>
      <c r="AV154" s="107">
        <v>22.6</v>
      </c>
      <c r="AW154" s="108"/>
      <c r="AX154" s="108"/>
      <c r="AY154" s="107"/>
      <c r="AZ154" s="107"/>
      <c r="BA154" s="107"/>
      <c r="BB154" s="107">
        <v>23.6</v>
      </c>
      <c r="BC154" s="107"/>
      <c r="BD154" s="108"/>
      <c r="BE154" s="108"/>
      <c r="BF154" s="107"/>
      <c r="BG154" s="407">
        <v>24.3</v>
      </c>
      <c r="BH154" s="107"/>
      <c r="BI154" s="107"/>
      <c r="BJ154" s="107"/>
      <c r="BK154" s="123"/>
      <c r="BL154" s="108"/>
      <c r="BM154" s="108"/>
      <c r="BN154" s="107"/>
      <c r="BO154" s="108"/>
      <c r="BP154" s="108"/>
      <c r="BQ154" s="108"/>
      <c r="BR154" s="108"/>
      <c r="BS154" s="108"/>
      <c r="BT154" s="108"/>
      <c r="BU154" s="108"/>
      <c r="BV154" s="108"/>
      <c r="BW154" s="107"/>
      <c r="BX154" s="108"/>
      <c r="BY154" s="108"/>
      <c r="BZ154" s="108"/>
      <c r="CA154" s="107"/>
      <c r="CB154" s="108"/>
      <c r="CC154" s="107"/>
      <c r="CD154" s="108"/>
      <c r="CE154" s="107"/>
      <c r="CF154" s="108"/>
      <c r="CG154" s="108"/>
      <c r="CH154" s="108"/>
      <c r="CI154" s="108"/>
      <c r="CJ154" s="108"/>
      <c r="CK154" s="108"/>
      <c r="CL154" s="108"/>
      <c r="CM154" s="108"/>
      <c r="CN154" s="108"/>
      <c r="CO154" s="108"/>
      <c r="CP154" s="108"/>
      <c r="CQ154" s="108"/>
      <c r="CR154" s="108"/>
      <c r="CS154" s="108"/>
      <c r="CT154" s="108"/>
      <c r="CU154" s="108"/>
      <c r="CV154" s="108"/>
      <c r="CW154" s="108"/>
      <c r="CX154" s="108"/>
      <c r="CY154" s="108"/>
      <c r="CZ154" s="108"/>
      <c r="DA154" s="108"/>
      <c r="DB154" s="108"/>
      <c r="DC154" s="108"/>
      <c r="DD154" s="108"/>
      <c r="DE154" s="108"/>
      <c r="DF154" s="108"/>
      <c r="DG154" s="108"/>
      <c r="DH154" s="108"/>
      <c r="DI154" s="108"/>
      <c r="DJ154" s="108"/>
      <c r="DK154" s="108"/>
      <c r="DL154" s="103"/>
      <c r="DM154" s="103"/>
      <c r="DN154" s="103"/>
    </row>
    <row r="155" spans="1:118" ht="12.95" hidden="1" customHeight="1">
      <c r="A155" s="91" t="s">
        <v>12</v>
      </c>
      <c r="B155" s="91" t="s">
        <v>13</v>
      </c>
      <c r="C155" s="267" t="s">
        <v>14</v>
      </c>
      <c r="D155" s="279">
        <v>40.39</v>
      </c>
      <c r="E155" s="155" t="s">
        <v>140</v>
      </c>
      <c r="F155" s="160" t="s">
        <v>224</v>
      </c>
      <c r="G155" s="6"/>
      <c r="H155" s="5" t="s">
        <v>16</v>
      </c>
      <c r="I155" s="23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1"/>
      <c r="AQ155" s="1"/>
      <c r="AR155" s="61"/>
      <c r="AS155" s="1"/>
      <c r="AT155" s="61"/>
      <c r="AU155" s="61"/>
      <c r="AV155" s="61"/>
      <c r="AW155" s="1"/>
      <c r="AX155" s="1"/>
      <c r="AY155" s="61"/>
      <c r="AZ155" s="61"/>
      <c r="BA155" s="61"/>
      <c r="BB155" s="61">
        <v>22.3</v>
      </c>
      <c r="BC155" s="61"/>
      <c r="BD155" s="1"/>
      <c r="BE155" s="1"/>
      <c r="BF155" s="61"/>
      <c r="BG155" s="61"/>
      <c r="BH155" s="61"/>
      <c r="BI155" s="61"/>
      <c r="BJ155" s="61"/>
      <c r="BK155" s="67"/>
      <c r="BL155" s="1"/>
      <c r="BM155" s="448">
        <v>25.1</v>
      </c>
      <c r="BN155" s="61"/>
      <c r="BO155" s="61"/>
      <c r="BP155" s="452">
        <v>24.3</v>
      </c>
      <c r="BQ155" s="61"/>
      <c r="BR155" s="61"/>
      <c r="BS155" s="61"/>
      <c r="BT155" s="61"/>
      <c r="BU155" s="61"/>
      <c r="BV155" s="61"/>
      <c r="BW155" s="61"/>
      <c r="BX155" s="61"/>
      <c r="BY155" s="1"/>
      <c r="BZ155" s="1"/>
      <c r="CA155" s="61"/>
      <c r="CB155" s="61"/>
      <c r="CC155" s="61"/>
      <c r="CD155" s="1"/>
      <c r="CE155" s="6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8"/>
      <c r="DM155" s="8"/>
      <c r="DN155" s="8"/>
    </row>
    <row r="156" spans="1:118" ht="12.95" hidden="1" customHeight="1">
      <c r="A156" s="91" t="s">
        <v>12</v>
      </c>
      <c r="B156" s="91" t="s">
        <v>13</v>
      </c>
      <c r="C156" s="267" t="s">
        <v>14</v>
      </c>
      <c r="D156" s="279"/>
      <c r="E156" s="155" t="s">
        <v>140</v>
      </c>
      <c r="F156" s="160" t="s">
        <v>225</v>
      </c>
      <c r="G156" s="6"/>
      <c r="H156" s="5" t="s">
        <v>16</v>
      </c>
      <c r="I156" s="23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1"/>
      <c r="AQ156" s="1"/>
      <c r="AR156" s="61"/>
      <c r="AS156" s="1"/>
      <c r="AT156" s="61"/>
      <c r="AU156" s="61"/>
      <c r="AV156" s="61"/>
      <c r="AW156" s="1"/>
      <c r="AX156" s="1"/>
      <c r="AY156" s="61"/>
      <c r="AZ156" s="61"/>
      <c r="BA156" s="61"/>
      <c r="BB156" s="61"/>
      <c r="BC156" s="61"/>
      <c r="BD156" s="1"/>
      <c r="BE156" s="1"/>
      <c r="BF156" s="61"/>
      <c r="BG156" s="61"/>
      <c r="BH156" s="61"/>
      <c r="BI156" s="61"/>
      <c r="BJ156" s="61"/>
      <c r="BK156" s="67"/>
      <c r="BL156" s="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1"/>
      <c r="BZ156" s="1"/>
      <c r="CA156" s="61"/>
      <c r="CB156" s="61"/>
      <c r="CC156" s="61"/>
      <c r="CD156" s="1"/>
      <c r="CE156" s="6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8"/>
      <c r="DM156" s="8"/>
      <c r="DN156" s="8"/>
    </row>
    <row r="157" spans="1:118" ht="12.95" hidden="1" customHeight="1">
      <c r="A157" s="91" t="s">
        <v>12</v>
      </c>
      <c r="B157" s="91" t="s">
        <v>13</v>
      </c>
      <c r="C157" s="267" t="s">
        <v>14</v>
      </c>
      <c r="D157" s="279"/>
      <c r="E157" s="155" t="s">
        <v>140</v>
      </c>
      <c r="F157" s="160" t="s">
        <v>226</v>
      </c>
      <c r="G157" s="6"/>
      <c r="H157" s="5" t="s">
        <v>16</v>
      </c>
      <c r="I157" s="23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1"/>
      <c r="AQ157" s="1"/>
      <c r="AR157" s="61"/>
      <c r="AS157" s="1"/>
      <c r="AT157" s="61"/>
      <c r="AU157" s="61"/>
      <c r="AV157" s="61"/>
      <c r="AW157" s="1"/>
      <c r="AX157" s="1"/>
      <c r="AY157" s="61"/>
      <c r="AZ157" s="61"/>
      <c r="BA157" s="61"/>
      <c r="BB157" s="61"/>
      <c r="BC157" s="61"/>
      <c r="BD157" s="1"/>
      <c r="BE157" s="1"/>
      <c r="BF157" s="61"/>
      <c r="BG157" s="61"/>
      <c r="BH157" s="61"/>
      <c r="BI157" s="61"/>
      <c r="BJ157" s="61"/>
      <c r="BK157" s="67"/>
      <c r="BL157" s="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1"/>
      <c r="BZ157" s="1"/>
      <c r="CA157" s="61"/>
      <c r="CB157" s="61"/>
      <c r="CC157" s="61"/>
      <c r="CD157" s="1"/>
      <c r="CE157" s="6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8"/>
      <c r="DM157" s="8"/>
      <c r="DN157" s="8"/>
    </row>
    <row r="158" spans="1:118" s="104" customFormat="1" ht="12.95" hidden="1" customHeight="1">
      <c r="A158" s="96" t="s">
        <v>12</v>
      </c>
      <c r="B158" s="96" t="s">
        <v>13</v>
      </c>
      <c r="C158" s="269" t="s">
        <v>14</v>
      </c>
      <c r="D158" s="281">
        <v>34.83</v>
      </c>
      <c r="E158" s="157" t="s">
        <v>140</v>
      </c>
      <c r="F158" s="161" t="s">
        <v>66</v>
      </c>
      <c r="G158" s="102">
        <v>24</v>
      </c>
      <c r="H158" s="109" t="s">
        <v>16</v>
      </c>
      <c r="I158" s="232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8"/>
      <c r="AQ158" s="108"/>
      <c r="AR158" s="107"/>
      <c r="AS158" s="108"/>
      <c r="AT158" s="107"/>
      <c r="AU158" s="107"/>
      <c r="AV158" s="107"/>
      <c r="AW158" s="108"/>
      <c r="AX158" s="108"/>
      <c r="AY158" s="107"/>
      <c r="AZ158" s="107"/>
      <c r="BA158" s="107"/>
      <c r="BB158" s="107"/>
      <c r="BC158" s="107">
        <v>22</v>
      </c>
      <c r="BD158" s="108"/>
      <c r="BE158" s="108"/>
      <c r="BF158" s="107"/>
      <c r="BG158" s="107"/>
      <c r="BH158" s="107"/>
      <c r="BI158" s="107"/>
      <c r="BJ158" s="107"/>
      <c r="BK158" s="123"/>
      <c r="BL158" s="108"/>
      <c r="BM158" s="107"/>
      <c r="BN158" s="107"/>
      <c r="BO158" s="107"/>
      <c r="BP158" s="107"/>
      <c r="BQ158" s="107"/>
      <c r="BR158" s="107"/>
      <c r="BS158" s="107"/>
      <c r="BT158" s="107"/>
      <c r="BU158" s="107"/>
      <c r="BV158" s="107"/>
      <c r="BW158" s="107"/>
      <c r="BX158" s="108"/>
      <c r="BY158" s="108"/>
      <c r="BZ158" s="108"/>
      <c r="CA158" s="107"/>
      <c r="CB158" s="108"/>
      <c r="CC158" s="107"/>
      <c r="CD158" s="108"/>
      <c r="CE158" s="107"/>
      <c r="CF158" s="108"/>
      <c r="CG158" s="108"/>
      <c r="CH158" s="108"/>
      <c r="CI158" s="108"/>
      <c r="CJ158" s="108"/>
      <c r="CK158" s="108"/>
      <c r="CL158" s="108"/>
      <c r="CM158" s="108"/>
      <c r="CN158" s="108"/>
      <c r="CO158" s="108"/>
      <c r="CP158" s="108"/>
      <c r="CQ158" s="108"/>
      <c r="CR158" s="108"/>
      <c r="CS158" s="108"/>
      <c r="CT158" s="108"/>
      <c r="CU158" s="108"/>
      <c r="CV158" s="108"/>
      <c r="CW158" s="108"/>
      <c r="CX158" s="108"/>
      <c r="CY158" s="108"/>
      <c r="CZ158" s="108"/>
      <c r="DA158" s="108"/>
      <c r="DB158" s="108"/>
      <c r="DC158" s="108"/>
      <c r="DD158" s="108"/>
      <c r="DE158" s="108"/>
      <c r="DF158" s="108"/>
      <c r="DG158" s="108"/>
      <c r="DH158" s="108"/>
      <c r="DI158" s="108"/>
      <c r="DJ158" s="108"/>
      <c r="DK158" s="108"/>
      <c r="DL158" s="103"/>
      <c r="DM158" s="103"/>
      <c r="DN158" s="103"/>
    </row>
    <row r="159" spans="1:118" ht="12.95" hidden="1" customHeight="1">
      <c r="A159" s="91" t="s">
        <v>12</v>
      </c>
      <c r="B159" s="91" t="s">
        <v>13</v>
      </c>
      <c r="C159" s="267" t="s">
        <v>14</v>
      </c>
      <c r="D159" s="279">
        <v>11.29</v>
      </c>
      <c r="E159" s="155" t="s">
        <v>140</v>
      </c>
      <c r="F159" s="160" t="s">
        <v>227</v>
      </c>
      <c r="G159" s="6"/>
      <c r="H159" s="5" t="s">
        <v>16</v>
      </c>
      <c r="I159" s="23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1"/>
      <c r="AQ159" s="1"/>
      <c r="AR159" s="61"/>
      <c r="AS159" s="1"/>
      <c r="AT159" s="61"/>
      <c r="AU159" s="61"/>
      <c r="AV159" s="61"/>
      <c r="AW159" s="1"/>
      <c r="AX159" s="1"/>
      <c r="AY159" s="61"/>
      <c r="AZ159" s="61"/>
      <c r="BA159" s="61"/>
      <c r="BB159" s="61"/>
      <c r="BC159" s="61"/>
      <c r="BD159" s="1"/>
      <c r="BE159" s="1"/>
      <c r="BF159" s="61"/>
      <c r="BG159" s="61"/>
      <c r="BH159" s="61">
        <v>23.8</v>
      </c>
      <c r="BI159" s="61"/>
      <c r="BJ159" s="61"/>
      <c r="BK159" s="67"/>
      <c r="BL159" s="1"/>
      <c r="BM159" s="61"/>
      <c r="BN159" s="61"/>
      <c r="BO159" s="61"/>
      <c r="BP159" s="61"/>
      <c r="BQ159" s="61"/>
      <c r="BR159" s="61">
        <v>24.2</v>
      </c>
      <c r="BS159" s="61"/>
      <c r="BT159" s="61"/>
      <c r="BU159" s="61"/>
      <c r="BV159" s="61"/>
      <c r="BW159" s="61"/>
      <c r="BX159" s="67">
        <v>24</v>
      </c>
      <c r="BY159" s="1"/>
      <c r="BZ159" s="1"/>
      <c r="CA159" s="61"/>
      <c r="CB159" s="61"/>
      <c r="CC159" s="61"/>
      <c r="CD159" s="1"/>
      <c r="CE159" s="6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8"/>
      <c r="DM159" s="8"/>
      <c r="DN159" s="8"/>
    </row>
    <row r="160" spans="1:118" s="104" customFormat="1" ht="12.95" hidden="1" customHeight="1">
      <c r="A160" s="96" t="s">
        <v>12</v>
      </c>
      <c r="B160" s="96" t="s">
        <v>13</v>
      </c>
      <c r="C160" s="269" t="s">
        <v>14</v>
      </c>
      <c r="D160" s="281">
        <v>8.48</v>
      </c>
      <c r="E160" s="157" t="s">
        <v>140</v>
      </c>
      <c r="F160" s="161" t="s">
        <v>228</v>
      </c>
      <c r="G160" s="102"/>
      <c r="H160" s="109" t="s">
        <v>16</v>
      </c>
      <c r="I160" s="232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8"/>
      <c r="AQ160" s="108"/>
      <c r="AR160" s="107"/>
      <c r="AS160" s="108"/>
      <c r="AT160" s="107"/>
      <c r="AU160" s="107"/>
      <c r="AV160" s="107"/>
      <c r="AW160" s="108"/>
      <c r="AX160" s="108"/>
      <c r="AY160" s="107"/>
      <c r="AZ160" s="107"/>
      <c r="BA160" s="107"/>
      <c r="BB160" s="107"/>
      <c r="BC160" s="107"/>
      <c r="BD160" s="108"/>
      <c r="BE160" s="108"/>
      <c r="BF160" s="107"/>
      <c r="BG160" s="107"/>
      <c r="BH160" s="107">
        <v>23</v>
      </c>
      <c r="BI160" s="107"/>
      <c r="BJ160" s="107"/>
      <c r="BK160" s="123"/>
      <c r="BL160" s="108"/>
      <c r="BM160" s="107"/>
      <c r="BN160" s="107"/>
      <c r="BO160" s="107"/>
      <c r="BP160" s="107"/>
      <c r="BQ160" s="107"/>
      <c r="BR160" s="107">
        <v>24.5</v>
      </c>
      <c r="BS160" s="107"/>
      <c r="BT160" s="107"/>
      <c r="BU160" s="107"/>
      <c r="BV160" s="107"/>
      <c r="BW160" s="107"/>
      <c r="BX160" s="107"/>
      <c r="BY160" s="108"/>
      <c r="BZ160" s="108"/>
      <c r="CA160" s="107">
        <v>25.1</v>
      </c>
      <c r="CB160" s="107"/>
      <c r="CC160" s="107"/>
      <c r="CD160" s="108"/>
      <c r="CE160" s="107"/>
      <c r="CF160" s="108"/>
      <c r="CG160" s="108"/>
      <c r="CH160" s="108"/>
      <c r="CI160" s="108"/>
      <c r="CJ160" s="108"/>
      <c r="CK160" s="108"/>
      <c r="CL160" s="108"/>
      <c r="CM160" s="108"/>
      <c r="CN160" s="108"/>
      <c r="CO160" s="108"/>
      <c r="CP160" s="108"/>
      <c r="CQ160" s="108"/>
      <c r="CR160" s="108"/>
      <c r="CS160" s="108"/>
      <c r="CT160" s="108"/>
      <c r="CU160" s="108"/>
      <c r="CV160" s="108"/>
      <c r="CW160" s="108"/>
      <c r="CX160" s="108"/>
      <c r="CY160" s="108"/>
      <c r="CZ160" s="108"/>
      <c r="DA160" s="108"/>
      <c r="DB160" s="108"/>
      <c r="DC160" s="108"/>
      <c r="DD160" s="108"/>
      <c r="DE160" s="108"/>
      <c r="DF160" s="108"/>
      <c r="DG160" s="108"/>
      <c r="DH160" s="108"/>
      <c r="DI160" s="108"/>
      <c r="DJ160" s="108"/>
      <c r="DK160" s="108"/>
      <c r="DL160" s="103"/>
      <c r="DM160" s="103"/>
      <c r="DN160" s="103"/>
    </row>
    <row r="161" spans="1:118" ht="12.95" hidden="1" customHeight="1">
      <c r="A161" s="91" t="s">
        <v>12</v>
      </c>
      <c r="B161" s="91" t="s">
        <v>13</v>
      </c>
      <c r="C161" s="267" t="s">
        <v>14</v>
      </c>
      <c r="D161" s="279">
        <v>57.29</v>
      </c>
      <c r="E161" s="155" t="s">
        <v>140</v>
      </c>
      <c r="F161" s="160" t="s">
        <v>229</v>
      </c>
      <c r="G161" s="6"/>
      <c r="H161" s="5" t="s">
        <v>16</v>
      </c>
      <c r="I161" s="23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1"/>
      <c r="AQ161" s="1"/>
      <c r="AR161" s="61"/>
      <c r="AS161" s="1"/>
      <c r="AT161" s="61"/>
      <c r="AU161" s="61"/>
      <c r="AV161" s="61"/>
      <c r="AW161" s="1"/>
      <c r="AX161" s="1"/>
      <c r="AY161" s="61">
        <v>20</v>
      </c>
      <c r="AZ161" s="61"/>
      <c r="BA161" s="61"/>
      <c r="BB161" s="61"/>
      <c r="BC161" s="61"/>
      <c r="BD161" s="1"/>
      <c r="BE161" s="1"/>
      <c r="BF161" s="61"/>
      <c r="BG161" s="61"/>
      <c r="BH161" s="61"/>
      <c r="BI161" s="61"/>
      <c r="BJ161" s="61"/>
      <c r="BK161" s="67"/>
      <c r="BL161" s="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1"/>
      <c r="BZ161" s="1"/>
      <c r="CA161" s="61"/>
      <c r="CB161" s="61"/>
      <c r="CC161" s="61"/>
      <c r="CD161" s="61"/>
      <c r="CE161" s="61"/>
      <c r="CF161" s="1"/>
      <c r="CG161" s="1"/>
      <c r="CH161" s="61"/>
      <c r="CI161" s="61"/>
      <c r="CJ161" s="61"/>
      <c r="CK161" s="61"/>
      <c r="CL161" s="61"/>
      <c r="CM161" s="1"/>
      <c r="CN161" s="1"/>
      <c r="CO161" s="61"/>
      <c r="CP161" s="6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8"/>
      <c r="DM161" s="8"/>
      <c r="DN161" s="8"/>
    </row>
    <row r="162" spans="1:118" ht="12.95" hidden="1" customHeight="1">
      <c r="A162" s="91" t="s">
        <v>12</v>
      </c>
      <c r="B162" s="91" t="s">
        <v>13</v>
      </c>
      <c r="C162" s="267" t="s">
        <v>14</v>
      </c>
      <c r="D162" s="279"/>
      <c r="E162" s="155" t="s">
        <v>140</v>
      </c>
      <c r="F162" s="160" t="s">
        <v>230</v>
      </c>
      <c r="G162" s="6"/>
      <c r="H162" s="5" t="s">
        <v>16</v>
      </c>
      <c r="I162" s="23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1"/>
      <c r="AQ162" s="1"/>
      <c r="AR162" s="61"/>
      <c r="AS162" s="1"/>
      <c r="AT162" s="61"/>
      <c r="AU162" s="61"/>
      <c r="AV162" s="61"/>
      <c r="AW162" s="1"/>
      <c r="AX162" s="1"/>
      <c r="AY162" s="61"/>
      <c r="AZ162" s="61"/>
      <c r="BA162" s="61"/>
      <c r="BB162" s="61"/>
      <c r="BC162" s="61"/>
      <c r="BD162" s="1"/>
      <c r="BE162" s="1"/>
      <c r="BF162" s="61"/>
      <c r="BG162" s="61"/>
      <c r="BH162" s="61"/>
      <c r="BI162" s="61">
        <v>23.4</v>
      </c>
      <c r="BJ162" s="61"/>
      <c r="BK162" s="67"/>
      <c r="BL162" s="1"/>
      <c r="BM162" s="61"/>
      <c r="BN162" s="67">
        <v>23.5</v>
      </c>
      <c r="BO162" s="61"/>
      <c r="BP162" s="61"/>
      <c r="BQ162" s="61"/>
      <c r="BR162" s="61"/>
      <c r="BS162" s="61"/>
      <c r="BT162" s="61"/>
      <c r="BU162" s="61"/>
      <c r="BV162" s="61" t="s">
        <v>231</v>
      </c>
      <c r="BW162" s="61"/>
      <c r="BX162" s="61"/>
      <c r="BY162" s="1"/>
      <c r="BZ162" s="1"/>
      <c r="CA162" s="61"/>
      <c r="CB162" s="61"/>
      <c r="CC162" s="61"/>
      <c r="CD162" s="61">
        <v>23.6</v>
      </c>
      <c r="CE162" s="61"/>
      <c r="CF162" s="1"/>
      <c r="CG162" s="1"/>
      <c r="CH162" s="61"/>
      <c r="CI162" s="61">
        <v>23.6</v>
      </c>
      <c r="CJ162" s="61"/>
      <c r="CK162" s="61"/>
      <c r="CL162" s="61"/>
      <c r="CM162" s="1"/>
      <c r="CN162" s="1"/>
      <c r="CO162" s="61"/>
      <c r="CP162" s="6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8"/>
      <c r="DM162" s="8"/>
      <c r="DN162" s="8"/>
    </row>
    <row r="163" spans="1:118" ht="12.95" hidden="1" customHeight="1">
      <c r="A163" s="91" t="s">
        <v>12</v>
      </c>
      <c r="B163" s="91" t="s">
        <v>13</v>
      </c>
      <c r="C163" s="267" t="s">
        <v>14</v>
      </c>
      <c r="D163" s="279"/>
      <c r="E163" s="155" t="s">
        <v>140</v>
      </c>
      <c r="F163" s="160" t="s">
        <v>232</v>
      </c>
      <c r="G163" s="6"/>
      <c r="H163" s="5" t="s">
        <v>16</v>
      </c>
      <c r="I163" s="23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1"/>
      <c r="AQ163" s="1"/>
      <c r="AR163" s="61"/>
      <c r="AS163" s="1"/>
      <c r="AT163" s="61"/>
      <c r="AU163" s="61"/>
      <c r="AV163" s="61"/>
      <c r="AW163" s="1"/>
      <c r="AX163" s="1"/>
      <c r="AY163" s="61"/>
      <c r="AZ163" s="61"/>
      <c r="BA163" s="61"/>
      <c r="BB163" s="61"/>
      <c r="BC163" s="61"/>
      <c r="BD163" s="1"/>
      <c r="BE163" s="1"/>
      <c r="BF163" s="61"/>
      <c r="BG163" s="61"/>
      <c r="BH163" s="61"/>
      <c r="BI163" s="61">
        <v>23</v>
      </c>
      <c r="BJ163" s="61"/>
      <c r="BK163" s="67"/>
      <c r="BL163" s="1"/>
      <c r="BM163" s="61"/>
      <c r="BN163" s="67">
        <v>21.4</v>
      </c>
      <c r="BO163" s="61"/>
      <c r="BP163" s="61"/>
      <c r="BQ163" s="61"/>
      <c r="BR163" s="61"/>
      <c r="BS163" s="61"/>
      <c r="BT163" s="61"/>
      <c r="BU163" s="61"/>
      <c r="BV163" s="61" t="s">
        <v>233</v>
      </c>
      <c r="BW163" s="61"/>
      <c r="BX163" s="61"/>
      <c r="BY163" s="1"/>
      <c r="BZ163" s="1"/>
      <c r="CA163" s="61"/>
      <c r="CB163" s="61"/>
      <c r="CC163" s="61"/>
      <c r="CD163" s="61">
        <v>22.9</v>
      </c>
      <c r="CE163" s="61"/>
      <c r="CF163" s="1"/>
      <c r="CG163" s="1"/>
      <c r="CH163" s="61"/>
      <c r="CI163" s="61">
        <v>22.7</v>
      </c>
      <c r="CJ163" s="61"/>
      <c r="CK163" s="61"/>
      <c r="CL163" s="61"/>
      <c r="CM163" s="1"/>
      <c r="CN163" s="1"/>
      <c r="CO163" s="61"/>
      <c r="CP163" s="6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8"/>
      <c r="DM163" s="8"/>
      <c r="DN163" s="8"/>
    </row>
    <row r="164" spans="1:118" s="104" customFormat="1" ht="13.35" hidden="1" customHeight="1">
      <c r="A164" s="96" t="s">
        <v>12</v>
      </c>
      <c r="B164" s="96" t="s">
        <v>13</v>
      </c>
      <c r="C164" s="269" t="s">
        <v>31</v>
      </c>
      <c r="D164" s="281">
        <v>35.04</v>
      </c>
      <c r="E164" s="157" t="s">
        <v>140</v>
      </c>
      <c r="F164" s="161" t="s">
        <v>234</v>
      </c>
      <c r="G164" s="102">
        <v>23.5</v>
      </c>
      <c r="H164" s="109" t="s">
        <v>235</v>
      </c>
      <c r="I164" s="232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8"/>
      <c r="AQ164" s="108"/>
      <c r="AR164" s="107"/>
      <c r="AS164" s="108"/>
      <c r="AT164" s="107"/>
      <c r="AU164" s="107"/>
      <c r="AV164" s="107"/>
      <c r="AW164" s="108"/>
      <c r="AX164" s="108"/>
      <c r="AY164" s="107"/>
      <c r="AZ164" s="107"/>
      <c r="BA164" s="107"/>
      <c r="BB164" s="107"/>
      <c r="BC164" s="107"/>
      <c r="BD164" s="108"/>
      <c r="BE164" s="108"/>
      <c r="BF164" s="107"/>
      <c r="BG164" s="107"/>
      <c r="BH164" s="107">
        <v>22.4</v>
      </c>
      <c r="BI164" s="107"/>
      <c r="BJ164" s="107"/>
      <c r="BK164" s="123"/>
      <c r="BL164" s="108"/>
      <c r="BM164" s="107"/>
      <c r="BN164" s="107"/>
      <c r="BO164" s="107"/>
      <c r="BP164" s="107"/>
      <c r="BQ164" s="107"/>
      <c r="BR164" s="107"/>
      <c r="BS164" s="107"/>
      <c r="BT164" s="107"/>
      <c r="BU164" s="107">
        <v>25.2</v>
      </c>
      <c r="BV164" s="107"/>
      <c r="BW164" s="107"/>
      <c r="BX164" s="107"/>
      <c r="BY164" s="108"/>
      <c r="BZ164" s="108"/>
      <c r="CA164" s="107"/>
      <c r="CB164" s="107"/>
      <c r="CC164" s="107"/>
      <c r="CD164" s="107"/>
      <c r="CE164" s="107"/>
      <c r="CF164" s="108"/>
      <c r="CG164" s="108"/>
      <c r="CH164" s="107"/>
      <c r="CI164" s="107"/>
      <c r="CJ164" s="108"/>
      <c r="CK164" s="108"/>
      <c r="CL164" s="108"/>
      <c r="CM164" s="108"/>
      <c r="CN164" s="108"/>
      <c r="CO164" s="108"/>
      <c r="CP164" s="108"/>
      <c r="CQ164" s="108"/>
      <c r="CR164" s="108"/>
      <c r="CS164" s="108"/>
      <c r="CT164" s="108"/>
      <c r="CU164" s="108"/>
      <c r="CV164" s="108"/>
      <c r="CW164" s="108"/>
      <c r="CX164" s="108"/>
      <c r="CY164" s="108"/>
      <c r="CZ164" s="108"/>
      <c r="DA164" s="108"/>
      <c r="DB164" s="108"/>
      <c r="DC164" s="108"/>
      <c r="DD164" s="108"/>
      <c r="DE164" s="108"/>
      <c r="DF164" s="108"/>
      <c r="DG164" s="108"/>
      <c r="DH164" s="108"/>
      <c r="DI164" s="108"/>
      <c r="DJ164" s="108"/>
      <c r="DK164" s="108"/>
      <c r="DL164" s="103"/>
      <c r="DM164" s="103"/>
      <c r="DN164" s="103"/>
    </row>
    <row r="165" spans="1:118" ht="13.35" hidden="1" customHeight="1">
      <c r="A165" s="91" t="s">
        <v>12</v>
      </c>
      <c r="B165" s="91"/>
      <c r="C165" s="267" t="s">
        <v>31</v>
      </c>
      <c r="D165" s="279">
        <v>59.66</v>
      </c>
      <c r="E165" s="155" t="s">
        <v>140</v>
      </c>
      <c r="F165" s="160" t="s">
        <v>236</v>
      </c>
      <c r="G165" s="6">
        <v>24</v>
      </c>
      <c r="H165" s="5" t="s">
        <v>22</v>
      </c>
      <c r="I165" s="23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1"/>
      <c r="AQ165" s="1"/>
      <c r="AR165" s="61"/>
      <c r="AS165" s="1"/>
      <c r="AT165" s="61"/>
      <c r="AU165" s="61"/>
      <c r="AV165" s="61"/>
      <c r="AW165" s="1"/>
      <c r="AX165" s="1"/>
      <c r="AY165" s="61"/>
      <c r="AZ165" s="61"/>
      <c r="BA165" s="61"/>
      <c r="BB165" s="61"/>
      <c r="BC165" s="61"/>
      <c r="BD165" s="1"/>
      <c r="BE165" s="1"/>
      <c r="BF165" s="61">
        <v>24.8</v>
      </c>
      <c r="BG165" s="61"/>
      <c r="BH165" s="61"/>
      <c r="BI165" s="61"/>
      <c r="BJ165" s="61"/>
      <c r="BK165" s="67"/>
      <c r="BL165" s="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1"/>
      <c r="BZ165" s="1"/>
      <c r="CA165" s="61"/>
      <c r="CB165" s="1"/>
      <c r="CC165" s="61"/>
      <c r="CD165" s="1"/>
      <c r="CE165" s="6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8"/>
      <c r="DM165" s="8"/>
      <c r="DN165" s="8"/>
    </row>
    <row r="166" spans="1:118" s="104" customFormat="1" ht="13.35" hidden="1" customHeight="1">
      <c r="A166" s="96"/>
      <c r="B166" s="96"/>
      <c r="C166" s="269" t="s">
        <v>20</v>
      </c>
      <c r="D166" s="281">
        <v>14.33</v>
      </c>
      <c r="E166" s="157" t="s">
        <v>140</v>
      </c>
      <c r="F166" s="161" t="s">
        <v>237</v>
      </c>
      <c r="G166" s="102"/>
      <c r="H166" s="109"/>
      <c r="I166" s="232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8"/>
      <c r="AQ166" s="108"/>
      <c r="AR166" s="107"/>
      <c r="AS166" s="108"/>
      <c r="AT166" s="107"/>
      <c r="AU166" s="107"/>
      <c r="AV166" s="107"/>
      <c r="AW166" s="108"/>
      <c r="AX166" s="108"/>
      <c r="AY166" s="107"/>
      <c r="AZ166" s="107"/>
      <c r="BA166" s="107">
        <v>22.4</v>
      </c>
      <c r="BB166" s="107"/>
      <c r="BC166" s="107"/>
      <c r="BD166" s="108"/>
      <c r="BE166" s="108"/>
      <c r="BF166" s="107"/>
      <c r="BG166" s="107">
        <v>23.8</v>
      </c>
      <c r="BH166" s="107"/>
      <c r="BI166" s="107"/>
      <c r="BJ166" s="107"/>
      <c r="BK166" s="123"/>
      <c r="BL166" s="108"/>
      <c r="BM166" s="107"/>
      <c r="BN166" s="107"/>
      <c r="BO166" s="107"/>
      <c r="BP166" s="107">
        <v>25.7</v>
      </c>
      <c r="BQ166" s="107"/>
      <c r="BR166" s="107"/>
      <c r="BS166" s="107"/>
      <c r="BT166" s="107"/>
      <c r="BU166" s="107"/>
      <c r="BV166" s="107"/>
      <c r="BW166" s="107"/>
      <c r="BX166" s="107"/>
      <c r="BY166" s="108"/>
      <c r="BZ166" s="108"/>
      <c r="CA166" s="107"/>
      <c r="CB166" s="107">
        <v>25.3</v>
      </c>
      <c r="CC166" s="107"/>
      <c r="CD166" s="107"/>
      <c r="CE166" s="107"/>
      <c r="CF166" s="108"/>
      <c r="CG166" s="108"/>
      <c r="CH166" s="107"/>
      <c r="CI166" s="107"/>
      <c r="CJ166" s="107"/>
      <c r="CK166" s="107"/>
      <c r="CL166" s="107"/>
      <c r="CM166" s="108"/>
      <c r="CN166" s="108"/>
      <c r="CO166" s="107"/>
      <c r="CP166" s="107"/>
      <c r="CQ166" s="108"/>
      <c r="CR166" s="108"/>
      <c r="CS166" s="108"/>
      <c r="CT166" s="108"/>
      <c r="CU166" s="108"/>
      <c r="CV166" s="108"/>
      <c r="CW166" s="108"/>
      <c r="CX166" s="108"/>
      <c r="CY166" s="108"/>
      <c r="CZ166" s="108"/>
      <c r="DA166" s="108"/>
      <c r="DB166" s="108"/>
      <c r="DC166" s="108"/>
      <c r="DD166" s="108"/>
      <c r="DE166" s="108"/>
      <c r="DF166" s="108"/>
      <c r="DG166" s="108"/>
      <c r="DH166" s="108"/>
      <c r="DI166" s="108"/>
      <c r="DJ166" s="108"/>
      <c r="DK166" s="108"/>
      <c r="DL166" s="103"/>
      <c r="DM166" s="103"/>
      <c r="DN166" s="103"/>
    </row>
    <row r="167" spans="1:118" ht="13.35" hidden="1" customHeight="1">
      <c r="A167" s="91" t="s">
        <v>12</v>
      </c>
      <c r="B167" s="91"/>
      <c r="C167" s="267" t="s">
        <v>14</v>
      </c>
      <c r="D167" s="279">
        <v>64.31</v>
      </c>
      <c r="E167" s="155" t="s">
        <v>140</v>
      </c>
      <c r="F167" s="160" t="s">
        <v>238</v>
      </c>
      <c r="G167" s="6">
        <v>22.5</v>
      </c>
      <c r="H167" s="5" t="s">
        <v>239</v>
      </c>
      <c r="I167" s="23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1"/>
      <c r="AQ167" s="1"/>
      <c r="AR167" s="61"/>
      <c r="AS167" s="1"/>
      <c r="AT167" s="61"/>
      <c r="AU167" s="61"/>
      <c r="AV167" s="61"/>
      <c r="AW167" s="1"/>
      <c r="AX167" s="1"/>
      <c r="AY167" s="61"/>
      <c r="AZ167" s="61"/>
      <c r="BA167" s="61"/>
      <c r="BB167" s="61"/>
      <c r="BC167" s="61"/>
      <c r="BD167" s="1">
        <v>21.9</v>
      </c>
      <c r="BE167" s="1"/>
      <c r="BF167" s="61"/>
      <c r="BG167" s="61"/>
      <c r="BH167" s="61"/>
      <c r="BI167" s="61"/>
      <c r="BJ167" s="61"/>
      <c r="BK167" s="67"/>
      <c r="BL167" s="1"/>
      <c r="BM167" s="61"/>
      <c r="BN167" s="61">
        <v>24.8</v>
      </c>
      <c r="BO167" s="61">
        <v>25.1</v>
      </c>
      <c r="BP167" s="61"/>
      <c r="BQ167" s="61"/>
      <c r="BR167" s="61"/>
      <c r="BS167" s="61"/>
      <c r="BT167" s="61"/>
      <c r="BU167" s="61"/>
      <c r="BV167" s="61"/>
      <c r="BW167" s="61"/>
      <c r="BX167" s="61"/>
      <c r="BY167" s="1"/>
      <c r="BZ167" s="1"/>
      <c r="CA167" s="61"/>
      <c r="CB167" s="61"/>
      <c r="CC167" s="61"/>
      <c r="CD167" s="1"/>
      <c r="CE167" s="6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8"/>
      <c r="DM167" s="8"/>
      <c r="DN167" s="8"/>
    </row>
    <row r="168" spans="1:118" ht="13.35" hidden="1" customHeight="1">
      <c r="A168" s="91" t="s">
        <v>12</v>
      </c>
      <c r="B168" s="91"/>
      <c r="C168" s="267" t="s">
        <v>14</v>
      </c>
      <c r="D168" s="279"/>
      <c r="E168" s="155" t="s">
        <v>140</v>
      </c>
      <c r="F168" s="160" t="s">
        <v>240</v>
      </c>
      <c r="G168" s="6">
        <v>22.5</v>
      </c>
      <c r="H168" s="5" t="s">
        <v>239</v>
      </c>
      <c r="I168" s="23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1"/>
      <c r="AQ168" s="1"/>
      <c r="AR168" s="61"/>
      <c r="AS168" s="1"/>
      <c r="AT168" s="61"/>
      <c r="AU168" s="61"/>
      <c r="AV168" s="61"/>
      <c r="AW168" s="1"/>
      <c r="AX168" s="1"/>
      <c r="AY168" s="61"/>
      <c r="AZ168" s="61"/>
      <c r="BA168" s="61"/>
      <c r="BB168" s="61"/>
      <c r="BC168" s="61"/>
      <c r="BD168" s="1"/>
      <c r="BE168" s="1"/>
      <c r="BF168" s="61"/>
      <c r="BG168" s="61"/>
      <c r="BH168" s="61"/>
      <c r="BI168" s="61"/>
      <c r="BJ168" s="61"/>
      <c r="BK168" s="67"/>
      <c r="BL168" s="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1"/>
      <c r="BZ168" s="1"/>
      <c r="CA168" s="61"/>
      <c r="CB168" s="61"/>
      <c r="CC168" s="61"/>
      <c r="CD168" s="1"/>
      <c r="CE168" s="6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8"/>
      <c r="DM168" s="8"/>
      <c r="DN168" s="8"/>
    </row>
    <row r="169" spans="1:118" ht="13.35" hidden="1" customHeight="1">
      <c r="A169" s="91" t="s">
        <v>12</v>
      </c>
      <c r="B169" s="91"/>
      <c r="C169" s="267" t="s">
        <v>14</v>
      </c>
      <c r="D169" s="279"/>
      <c r="E169" s="155" t="s">
        <v>140</v>
      </c>
      <c r="F169" s="160" t="s">
        <v>241</v>
      </c>
      <c r="G169" s="6">
        <v>22.5</v>
      </c>
      <c r="H169" s="5" t="s">
        <v>239</v>
      </c>
      <c r="I169" s="23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1"/>
      <c r="AQ169" s="1"/>
      <c r="AR169" s="61"/>
      <c r="AS169" s="1"/>
      <c r="AT169" s="61"/>
      <c r="AU169" s="61"/>
      <c r="AV169" s="61"/>
      <c r="AW169" s="1"/>
      <c r="AX169" s="1"/>
      <c r="AY169" s="61"/>
      <c r="AZ169" s="61"/>
      <c r="BA169" s="61"/>
      <c r="BB169" s="61"/>
      <c r="BC169" s="61"/>
      <c r="BD169" s="1"/>
      <c r="BE169" s="1"/>
      <c r="BF169" s="61"/>
      <c r="BG169" s="61"/>
      <c r="BH169" s="61"/>
      <c r="BI169" s="61"/>
      <c r="BJ169" s="61"/>
      <c r="BK169" s="67"/>
      <c r="BL169" s="1"/>
      <c r="BM169" s="61"/>
      <c r="BN169" s="61">
        <v>25.1</v>
      </c>
      <c r="BO169" s="61"/>
      <c r="BP169" s="61"/>
      <c r="BQ169" s="61"/>
      <c r="BR169" s="61"/>
      <c r="BS169" s="61"/>
      <c r="BT169" s="61"/>
      <c r="BU169" s="61"/>
      <c r="BV169" s="61"/>
      <c r="BW169" s="61">
        <v>24.4</v>
      </c>
      <c r="BX169" s="61"/>
      <c r="BY169" s="1"/>
      <c r="BZ169" s="1"/>
      <c r="CA169" s="61"/>
      <c r="CB169" s="61"/>
      <c r="CC169" s="61"/>
      <c r="CD169" s="1"/>
      <c r="CE169" s="6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8"/>
      <c r="DM169" s="8"/>
      <c r="DN169" s="8"/>
    </row>
    <row r="170" spans="1:118" ht="13.35" hidden="1" customHeight="1">
      <c r="A170" s="91" t="s">
        <v>12</v>
      </c>
      <c r="B170" s="91"/>
      <c r="C170" s="267" t="s">
        <v>14</v>
      </c>
      <c r="D170" s="279"/>
      <c r="E170" s="155" t="s">
        <v>140</v>
      </c>
      <c r="F170" s="160" t="s">
        <v>242</v>
      </c>
      <c r="G170" s="6">
        <v>22.5</v>
      </c>
      <c r="H170" s="5" t="s">
        <v>239</v>
      </c>
      <c r="I170" s="23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1"/>
      <c r="AQ170" s="1"/>
      <c r="AR170" s="61"/>
      <c r="AS170" s="1"/>
      <c r="AT170" s="61"/>
      <c r="AU170" s="61"/>
      <c r="AV170" s="61"/>
      <c r="AW170" s="1"/>
      <c r="AX170" s="1"/>
      <c r="AY170" s="61"/>
      <c r="AZ170" s="61"/>
      <c r="BA170" s="61"/>
      <c r="BB170" s="61"/>
      <c r="BC170" s="61"/>
      <c r="BD170" s="1"/>
      <c r="BE170" s="1"/>
      <c r="BF170" s="61"/>
      <c r="BG170" s="61"/>
      <c r="BH170" s="61"/>
      <c r="BI170" s="61"/>
      <c r="BJ170" s="61"/>
      <c r="BK170" s="67"/>
      <c r="BL170" s="1"/>
      <c r="BM170" s="61"/>
      <c r="BN170" s="61">
        <v>25.1</v>
      </c>
      <c r="BO170" s="61"/>
      <c r="BP170" s="61"/>
      <c r="BQ170" s="61"/>
      <c r="BR170" s="61"/>
      <c r="BS170" s="61"/>
      <c r="BT170" s="61"/>
      <c r="BU170" s="61"/>
      <c r="BV170" s="61"/>
      <c r="BW170" s="61">
        <v>25.4</v>
      </c>
      <c r="BX170" s="61"/>
      <c r="BY170" s="1"/>
      <c r="BZ170" s="1"/>
      <c r="CA170" s="61"/>
      <c r="CB170" s="61"/>
      <c r="CC170" s="61"/>
      <c r="CD170" s="1"/>
      <c r="CE170" s="6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8"/>
      <c r="DM170" s="8"/>
      <c r="DN170" s="8"/>
    </row>
    <row r="171" spans="1:118" s="329" customFormat="1" ht="12.95" hidden="1" customHeight="1">
      <c r="A171" s="318" t="s">
        <v>12</v>
      </c>
      <c r="B171" s="318"/>
      <c r="C171" s="319" t="s">
        <v>31</v>
      </c>
      <c r="D171" s="320">
        <v>4.2300000000000004</v>
      </c>
      <c r="E171" s="321" t="s">
        <v>140</v>
      </c>
      <c r="F171" s="322" t="s">
        <v>243</v>
      </c>
      <c r="G171" s="323">
        <v>24</v>
      </c>
      <c r="H171" s="324" t="s">
        <v>16</v>
      </c>
      <c r="I171" s="325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  <c r="AI171" s="326"/>
      <c r="AJ171" s="326"/>
      <c r="AK171" s="326"/>
      <c r="AL171" s="326"/>
      <c r="AM171" s="326"/>
      <c r="AN171" s="326"/>
      <c r="AO171" s="326"/>
      <c r="AP171" s="327"/>
      <c r="AQ171" s="327"/>
      <c r="AR171" s="326"/>
      <c r="AS171" s="327"/>
      <c r="AT171" s="326"/>
      <c r="AU171" s="326"/>
      <c r="AV171" s="326"/>
      <c r="AW171" s="327"/>
      <c r="AX171" s="327"/>
      <c r="AY171" s="326"/>
      <c r="AZ171" s="326"/>
      <c r="BA171" s="326"/>
      <c r="BB171" s="326"/>
      <c r="BC171" s="326"/>
      <c r="BD171" s="327"/>
      <c r="BE171" s="327"/>
      <c r="BF171" s="326">
        <v>24</v>
      </c>
      <c r="BG171" s="326"/>
      <c r="BH171" s="326"/>
      <c r="BI171" s="326"/>
      <c r="BJ171" s="326"/>
      <c r="BK171" s="430"/>
      <c r="BL171" s="327"/>
      <c r="BM171" s="326"/>
      <c r="BN171" s="326"/>
      <c r="BO171" s="326"/>
      <c r="BP171" s="326"/>
      <c r="BQ171" s="326"/>
      <c r="BR171" s="326"/>
      <c r="BS171" s="326"/>
      <c r="BT171" s="326"/>
      <c r="BU171" s="326"/>
      <c r="BV171" s="326">
        <v>26.2</v>
      </c>
      <c r="BW171" s="326"/>
      <c r="BX171" s="326"/>
      <c r="BY171" s="327"/>
      <c r="BZ171" s="327"/>
      <c r="CA171" s="326"/>
      <c r="CB171" s="327"/>
      <c r="CC171" s="326"/>
      <c r="CD171" s="327"/>
      <c r="CE171" s="326"/>
      <c r="CF171" s="327"/>
      <c r="CG171" s="327"/>
      <c r="CH171" s="327"/>
      <c r="CI171" s="327"/>
      <c r="CJ171" s="327"/>
      <c r="CK171" s="327"/>
      <c r="CL171" s="327"/>
      <c r="CM171" s="327"/>
      <c r="CN171" s="327"/>
      <c r="CO171" s="327"/>
      <c r="CP171" s="327"/>
      <c r="CQ171" s="327"/>
      <c r="CR171" s="327"/>
      <c r="CS171" s="327"/>
      <c r="CT171" s="327"/>
      <c r="CU171" s="327"/>
      <c r="CV171" s="327"/>
      <c r="CW171" s="327"/>
      <c r="CX171" s="327"/>
      <c r="CY171" s="327"/>
      <c r="CZ171" s="327"/>
      <c r="DA171" s="327"/>
      <c r="DB171" s="327"/>
      <c r="DC171" s="327"/>
      <c r="DD171" s="327"/>
      <c r="DE171" s="327"/>
      <c r="DF171" s="327"/>
      <c r="DG171" s="327"/>
      <c r="DH171" s="327"/>
      <c r="DI171" s="327"/>
      <c r="DJ171" s="327"/>
      <c r="DK171" s="327"/>
      <c r="DL171" s="328"/>
      <c r="DM171" s="328"/>
      <c r="DN171" s="328"/>
    </row>
    <row r="172" spans="1:118" ht="12.95" hidden="1" customHeight="1">
      <c r="A172" s="91" t="s">
        <v>12</v>
      </c>
      <c r="B172" s="91"/>
      <c r="C172" s="267" t="s">
        <v>14</v>
      </c>
      <c r="D172" s="279">
        <v>18.59</v>
      </c>
      <c r="E172" s="179" t="s">
        <v>140</v>
      </c>
      <c r="F172" s="180" t="s">
        <v>244</v>
      </c>
      <c r="G172" s="181"/>
      <c r="H172" s="182" t="s">
        <v>16</v>
      </c>
      <c r="I172" s="233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13"/>
      <c r="AQ172" s="13"/>
      <c r="AR172" s="59"/>
      <c r="AS172" s="13"/>
      <c r="AT172" s="59">
        <v>21.6</v>
      </c>
      <c r="AU172" s="59"/>
      <c r="AV172" s="59"/>
      <c r="AW172" s="13"/>
      <c r="AX172" s="13"/>
      <c r="AY172" s="59"/>
      <c r="AZ172" s="59"/>
      <c r="BA172" s="59"/>
      <c r="BB172" s="59"/>
      <c r="BC172" s="59">
        <v>23</v>
      </c>
      <c r="BD172" s="13"/>
      <c r="BE172" s="13"/>
      <c r="BF172" s="59"/>
      <c r="BG172" s="59"/>
      <c r="BH172" s="59"/>
      <c r="BI172" s="59">
        <v>24.6</v>
      </c>
      <c r="BJ172" s="59"/>
      <c r="BK172" s="254"/>
      <c r="BL172" s="13"/>
      <c r="BM172" s="59"/>
      <c r="BN172" s="254">
        <v>24.7</v>
      </c>
      <c r="BO172" s="59"/>
      <c r="BP172" s="59"/>
      <c r="BQ172" s="59"/>
      <c r="BR172" s="451">
        <v>25.5</v>
      </c>
      <c r="BS172" s="59"/>
      <c r="BT172" s="59"/>
      <c r="BU172" s="59"/>
      <c r="BV172" s="59"/>
      <c r="BW172" s="59"/>
      <c r="BX172" s="59"/>
      <c r="BY172" s="13"/>
      <c r="BZ172" s="13"/>
      <c r="CA172" s="59"/>
      <c r="CB172" s="13"/>
      <c r="CC172" s="59"/>
      <c r="CD172" s="13"/>
      <c r="CE172" s="59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8"/>
      <c r="DM172" s="8"/>
      <c r="DN172" s="8"/>
    </row>
    <row r="173" spans="1:118" s="329" customFormat="1" ht="13.35" hidden="1" customHeight="1">
      <c r="A173" s="318" t="s">
        <v>12</v>
      </c>
      <c r="B173" s="318"/>
      <c r="C173" s="319" t="s">
        <v>31</v>
      </c>
      <c r="D173" s="320">
        <v>44</v>
      </c>
      <c r="E173" s="344" t="s">
        <v>140</v>
      </c>
      <c r="F173" s="345" t="s">
        <v>245</v>
      </c>
      <c r="G173" s="346">
        <v>24</v>
      </c>
      <c r="H173" s="347" t="s">
        <v>22</v>
      </c>
      <c r="I173" s="348"/>
      <c r="J173" s="349"/>
      <c r="K173" s="349"/>
      <c r="L173" s="349"/>
      <c r="M173" s="349"/>
      <c r="N173" s="349"/>
      <c r="O173" s="349"/>
      <c r="P173" s="349"/>
      <c r="Q173" s="349"/>
      <c r="R173" s="349"/>
      <c r="S173" s="349"/>
      <c r="T173" s="349"/>
      <c r="U173" s="349"/>
      <c r="V173" s="349"/>
      <c r="W173" s="349"/>
      <c r="X173" s="349"/>
      <c r="Y173" s="349"/>
      <c r="Z173" s="349"/>
      <c r="AA173" s="349"/>
      <c r="AB173" s="349"/>
      <c r="AC173" s="349"/>
      <c r="AD173" s="349"/>
      <c r="AE173" s="349"/>
      <c r="AF173" s="349"/>
      <c r="AG173" s="349"/>
      <c r="AH173" s="349"/>
      <c r="AI173" s="349"/>
      <c r="AJ173" s="349"/>
      <c r="AK173" s="349"/>
      <c r="AL173" s="349"/>
      <c r="AM173" s="349"/>
      <c r="AN173" s="349"/>
      <c r="AO173" s="349"/>
      <c r="AP173" s="350"/>
      <c r="AQ173" s="350"/>
      <c r="AR173" s="349"/>
      <c r="AS173" s="350"/>
      <c r="AT173" s="349"/>
      <c r="AU173" s="349"/>
      <c r="AV173" s="349"/>
      <c r="AW173" s="350"/>
      <c r="AX173" s="350"/>
      <c r="AY173" s="349"/>
      <c r="AZ173" s="349"/>
      <c r="BA173" s="349"/>
      <c r="BB173" s="349"/>
      <c r="BC173" s="349"/>
      <c r="BD173" s="350">
        <v>22</v>
      </c>
      <c r="BE173" s="350"/>
      <c r="BF173" s="349"/>
      <c r="BG173" s="349"/>
      <c r="BH173" s="349"/>
      <c r="BI173" s="349"/>
      <c r="BJ173" s="349"/>
      <c r="BK173" s="431"/>
      <c r="BL173" s="350"/>
      <c r="BM173" s="349"/>
      <c r="BN173" s="349"/>
      <c r="BO173" s="349"/>
      <c r="BP173" s="349">
        <v>24.8</v>
      </c>
      <c r="BQ173" s="349"/>
      <c r="BR173" s="349"/>
      <c r="BS173" s="349"/>
      <c r="BT173" s="349"/>
      <c r="BU173" s="349"/>
      <c r="BV173" s="349">
        <v>24.2</v>
      </c>
      <c r="BW173" s="431"/>
      <c r="BX173" s="431"/>
      <c r="BY173" s="350"/>
      <c r="BZ173" s="350"/>
      <c r="CA173" s="349"/>
      <c r="CB173" s="349"/>
      <c r="CC173" s="349"/>
      <c r="CD173" s="350"/>
      <c r="CE173" s="349"/>
      <c r="CF173" s="350"/>
      <c r="CG173" s="350"/>
      <c r="CH173" s="350"/>
      <c r="CI173" s="350"/>
      <c r="CJ173" s="350"/>
      <c r="CK173" s="350"/>
      <c r="CL173" s="350"/>
      <c r="CM173" s="350"/>
      <c r="CN173" s="350"/>
      <c r="CO173" s="350"/>
      <c r="CP173" s="350"/>
      <c r="CQ173" s="350"/>
      <c r="CR173" s="350"/>
      <c r="CS173" s="350"/>
      <c r="CT173" s="350"/>
      <c r="CU173" s="350"/>
      <c r="CV173" s="350"/>
      <c r="CW173" s="350"/>
      <c r="CX173" s="350"/>
      <c r="CY173" s="350"/>
      <c r="CZ173" s="350"/>
      <c r="DA173" s="350"/>
      <c r="DB173" s="350"/>
      <c r="DC173" s="350"/>
      <c r="DD173" s="350"/>
      <c r="DE173" s="350"/>
      <c r="DF173" s="350"/>
      <c r="DG173" s="350"/>
      <c r="DH173" s="350"/>
      <c r="DI173" s="350"/>
      <c r="DJ173" s="350"/>
      <c r="DK173" s="350"/>
      <c r="DL173" s="328"/>
      <c r="DM173" s="328"/>
      <c r="DN173" s="328"/>
    </row>
    <row r="174" spans="1:118" ht="13.35" hidden="1" customHeight="1">
      <c r="A174" s="90" t="s">
        <v>12</v>
      </c>
      <c r="B174" s="90"/>
      <c r="C174" s="266"/>
      <c r="D174" s="277"/>
      <c r="E174" s="278" t="s">
        <v>246</v>
      </c>
      <c r="F174" s="141" t="s">
        <v>247</v>
      </c>
      <c r="G174" s="257"/>
      <c r="H174" s="414" t="s">
        <v>11</v>
      </c>
      <c r="I174" s="225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  <c r="AI174" s="171"/>
      <c r="AJ174" s="171"/>
      <c r="AK174" s="171"/>
      <c r="AL174" s="171"/>
      <c r="AM174" s="171"/>
      <c r="AN174" s="171"/>
      <c r="AO174" s="171"/>
      <c r="AP174" s="172"/>
      <c r="AQ174" s="172"/>
      <c r="AR174" s="171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1"/>
      <c r="BC174" s="171"/>
      <c r="BD174" s="172"/>
      <c r="BE174" s="172"/>
      <c r="BF174" s="171"/>
      <c r="BG174" s="171"/>
      <c r="BH174" s="171"/>
      <c r="BI174" s="172"/>
      <c r="BJ174" s="171"/>
      <c r="BK174" s="427"/>
      <c r="BL174" s="172"/>
      <c r="BM174" s="171"/>
      <c r="BN174" s="171"/>
      <c r="BO174" s="171"/>
      <c r="BP174" s="171"/>
      <c r="BQ174" s="171"/>
      <c r="BR174" s="171"/>
      <c r="BS174" s="171"/>
      <c r="BT174" s="171"/>
      <c r="BU174" s="171"/>
      <c r="BV174" s="171"/>
      <c r="BW174" s="171"/>
      <c r="BX174" s="171"/>
      <c r="BY174" s="172"/>
      <c r="BZ174" s="172"/>
      <c r="CA174" s="171"/>
      <c r="CB174" s="171"/>
      <c r="CC174" s="172"/>
      <c r="CD174" s="171"/>
      <c r="CE174" s="171"/>
      <c r="CF174" s="172"/>
      <c r="CG174" s="172"/>
      <c r="CH174" s="171"/>
      <c r="CI174" s="172"/>
      <c r="CJ174" s="172"/>
      <c r="CK174" s="172"/>
      <c r="CL174" s="172"/>
      <c r="CM174" s="172"/>
      <c r="CN174" s="172"/>
      <c r="CO174" s="172"/>
      <c r="CP174" s="172"/>
      <c r="CQ174" s="172"/>
      <c r="CR174" s="172"/>
      <c r="CS174" s="172"/>
      <c r="CT174" s="172"/>
      <c r="CU174" s="172"/>
      <c r="CV174" s="172"/>
      <c r="CW174" s="172"/>
      <c r="CX174" s="172"/>
      <c r="CY174" s="172"/>
      <c r="CZ174" s="172"/>
      <c r="DA174" s="172"/>
      <c r="DB174" s="172"/>
      <c r="DC174" s="172"/>
      <c r="DD174" s="172"/>
      <c r="DE174" s="172"/>
      <c r="DF174" s="172"/>
      <c r="DG174" s="172"/>
      <c r="DH174" s="172"/>
      <c r="DI174" s="172"/>
      <c r="DJ174" s="172"/>
      <c r="DK174" s="172"/>
      <c r="DL174" s="8"/>
      <c r="DM174" s="8"/>
      <c r="DN174" s="8"/>
    </row>
    <row r="175" spans="1:118" ht="13.35" hidden="1" customHeight="1">
      <c r="A175" s="91" t="s">
        <v>12</v>
      </c>
      <c r="B175" s="91"/>
      <c r="C175" s="267" t="s">
        <v>31</v>
      </c>
      <c r="D175" s="279"/>
      <c r="E175" s="258" t="s">
        <v>248</v>
      </c>
      <c r="F175" s="259" t="s">
        <v>249</v>
      </c>
      <c r="G175" s="260"/>
      <c r="H175" s="265"/>
      <c r="I175" s="264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>
        <v>15.4</v>
      </c>
      <c r="AA175" s="261"/>
      <c r="AB175" s="261"/>
      <c r="AC175" s="261"/>
      <c r="AD175" s="261"/>
      <c r="AE175" s="261">
        <v>17.5</v>
      </c>
      <c r="AF175" s="261"/>
      <c r="AG175" s="261"/>
      <c r="AH175" s="261"/>
      <c r="AI175" s="261"/>
      <c r="AJ175" s="261"/>
      <c r="AK175" s="261"/>
      <c r="AL175" s="261"/>
      <c r="AM175" s="261"/>
      <c r="AN175" s="261"/>
      <c r="AO175" s="261"/>
      <c r="AP175" s="262"/>
      <c r="AQ175" s="262"/>
      <c r="AR175" s="261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1"/>
      <c r="BD175" s="262"/>
      <c r="BE175" s="262"/>
      <c r="BF175" s="261"/>
      <c r="BG175" s="262"/>
      <c r="BH175" s="261"/>
      <c r="BI175" s="262"/>
      <c r="BJ175" s="261"/>
      <c r="BK175" s="432"/>
      <c r="BL175" s="262"/>
      <c r="BM175" s="262"/>
      <c r="BN175" s="261"/>
      <c r="BO175" s="262"/>
      <c r="BP175" s="262"/>
      <c r="BQ175" s="262"/>
      <c r="BR175" s="262"/>
      <c r="BS175" s="262"/>
      <c r="BT175" s="262"/>
      <c r="BU175" s="262"/>
      <c r="BV175" s="262"/>
      <c r="BW175" s="432"/>
      <c r="BX175" s="263"/>
      <c r="BY175" s="262"/>
      <c r="BZ175" s="262"/>
      <c r="CA175" s="261"/>
      <c r="CB175" s="262"/>
      <c r="CC175" s="262"/>
      <c r="CD175" s="262"/>
      <c r="CE175" s="261"/>
      <c r="CF175" s="262"/>
      <c r="CG175" s="262"/>
      <c r="CH175" s="262"/>
      <c r="CI175" s="262"/>
      <c r="CJ175" s="262"/>
      <c r="CK175" s="262"/>
      <c r="CL175" s="262"/>
      <c r="CM175" s="262"/>
      <c r="CN175" s="262"/>
      <c r="CO175" s="262"/>
      <c r="CP175" s="262"/>
      <c r="CQ175" s="262"/>
      <c r="CR175" s="262"/>
      <c r="CS175" s="262"/>
      <c r="CT175" s="262"/>
      <c r="CU175" s="262"/>
      <c r="CV175" s="262"/>
      <c r="CW175" s="262"/>
      <c r="CX175" s="262"/>
      <c r="CY175" s="262"/>
      <c r="CZ175" s="262"/>
      <c r="DA175" s="262"/>
      <c r="DB175" s="262"/>
      <c r="DC175" s="262"/>
      <c r="DD175" s="262"/>
      <c r="DE175" s="262"/>
      <c r="DF175" s="262"/>
      <c r="DG175" s="262"/>
      <c r="DH175" s="262"/>
      <c r="DI175" s="262"/>
      <c r="DJ175" s="262"/>
      <c r="DK175" s="262"/>
      <c r="DL175" s="8"/>
      <c r="DM175" s="8"/>
      <c r="DN175" s="8"/>
    </row>
    <row r="176" spans="1:118" ht="13.35" hidden="1" customHeight="1">
      <c r="A176" s="90" t="s">
        <v>12</v>
      </c>
      <c r="B176" s="90"/>
      <c r="C176" s="266"/>
      <c r="D176" s="277"/>
      <c r="E176" s="278" t="s">
        <v>246</v>
      </c>
      <c r="F176" s="141" t="s">
        <v>250</v>
      </c>
      <c r="G176" s="169"/>
      <c r="H176" s="414" t="s">
        <v>11</v>
      </c>
      <c r="I176" s="225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  <c r="AK176" s="171"/>
      <c r="AL176" s="171"/>
      <c r="AM176" s="171"/>
      <c r="AN176" s="171"/>
      <c r="AO176" s="171"/>
      <c r="AP176" s="172"/>
      <c r="AQ176" s="172"/>
      <c r="AR176" s="171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1"/>
      <c r="BC176" s="171"/>
      <c r="BD176" s="172"/>
      <c r="BE176" s="172"/>
      <c r="BF176" s="171"/>
      <c r="BG176" s="171"/>
      <c r="BH176" s="171"/>
      <c r="BI176" s="172"/>
      <c r="BJ176" s="171"/>
      <c r="BK176" s="427"/>
      <c r="BL176" s="172"/>
      <c r="BM176" s="171"/>
      <c r="BN176" s="171"/>
      <c r="BO176" s="171"/>
      <c r="BP176" s="171"/>
      <c r="BQ176" s="171"/>
      <c r="BR176" s="171"/>
      <c r="BS176" s="171"/>
      <c r="BT176" s="171"/>
      <c r="BU176" s="171"/>
      <c r="BV176" s="171"/>
      <c r="BW176" s="171"/>
      <c r="BX176" s="171"/>
      <c r="BY176" s="172"/>
      <c r="BZ176" s="172"/>
      <c r="CA176" s="171"/>
      <c r="CB176" s="171"/>
      <c r="CC176" s="172"/>
      <c r="CD176" s="171"/>
      <c r="CE176" s="171"/>
      <c r="CF176" s="172"/>
      <c r="CG176" s="172"/>
      <c r="CH176" s="171"/>
      <c r="CI176" s="172"/>
      <c r="CJ176" s="172"/>
      <c r="CK176" s="172"/>
      <c r="CL176" s="172"/>
      <c r="CM176" s="172"/>
      <c r="CN176" s="172"/>
      <c r="CO176" s="172"/>
      <c r="CP176" s="172"/>
      <c r="CQ176" s="172"/>
      <c r="CR176" s="172"/>
      <c r="CS176" s="172"/>
      <c r="CT176" s="172"/>
      <c r="CU176" s="172"/>
      <c r="CV176" s="172"/>
      <c r="CW176" s="172"/>
      <c r="CX176" s="172"/>
      <c r="CY176" s="172"/>
      <c r="CZ176" s="172"/>
      <c r="DA176" s="172"/>
      <c r="DB176" s="172"/>
      <c r="DC176" s="172"/>
      <c r="DD176" s="172"/>
      <c r="DE176" s="172"/>
      <c r="DF176" s="172"/>
      <c r="DG176" s="172"/>
      <c r="DH176" s="172"/>
      <c r="DI176" s="172"/>
      <c r="DJ176" s="172"/>
      <c r="DK176" s="172"/>
      <c r="DL176" s="8"/>
      <c r="DM176" s="8"/>
      <c r="DN176" s="8"/>
    </row>
    <row r="177" spans="1:118" ht="13.35" hidden="1" customHeight="1">
      <c r="A177" s="91" t="s">
        <v>12</v>
      </c>
      <c r="B177" s="91" t="s">
        <v>13</v>
      </c>
      <c r="C177" s="267" t="s">
        <v>20</v>
      </c>
      <c r="D177" s="279">
        <v>38.4</v>
      </c>
      <c r="E177" s="190" t="s">
        <v>246</v>
      </c>
      <c r="F177" s="191" t="s">
        <v>251</v>
      </c>
      <c r="G177" s="192"/>
      <c r="H177" s="193"/>
      <c r="I177" s="228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72">
        <v>18</v>
      </c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>
        <v>20.9</v>
      </c>
      <c r="AI177" s="72"/>
      <c r="AJ177" s="72"/>
      <c r="AK177" s="72"/>
      <c r="AL177" s="72"/>
      <c r="AM177" s="72">
        <v>23.3</v>
      </c>
      <c r="AN177" s="72"/>
      <c r="AO177" s="72"/>
      <c r="AP177" s="36">
        <v>23.4</v>
      </c>
      <c r="AQ177" s="36"/>
      <c r="AR177" s="72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72"/>
      <c r="BD177" s="36"/>
      <c r="BE177" s="36"/>
      <c r="BF177" s="72"/>
      <c r="BG177" s="36"/>
      <c r="BH177" s="72"/>
      <c r="BI177" s="36"/>
      <c r="BJ177" s="72"/>
      <c r="BK177" s="402"/>
      <c r="BL177" s="36"/>
      <c r="BM177" s="36"/>
      <c r="BN177" s="72"/>
      <c r="BO177" s="36"/>
      <c r="BP177" s="36"/>
      <c r="BQ177" s="36"/>
      <c r="BR177" s="36"/>
      <c r="BS177" s="36"/>
      <c r="BT177" s="36"/>
      <c r="BU177" s="36"/>
      <c r="BV177" s="36"/>
      <c r="BW177" s="72"/>
      <c r="BX177" s="36"/>
      <c r="BY177" s="36"/>
      <c r="BZ177" s="36"/>
      <c r="CA177" s="72"/>
      <c r="CB177" s="36"/>
      <c r="CC177" s="36"/>
      <c r="CD177" s="36"/>
      <c r="CE177" s="72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8"/>
      <c r="DM177" s="8"/>
      <c r="DN177" s="8"/>
    </row>
    <row r="178" spans="1:118" ht="13.35" hidden="1" customHeight="1">
      <c r="A178" s="90" t="s">
        <v>12</v>
      </c>
      <c r="B178" s="90"/>
      <c r="C178" s="266"/>
      <c r="D178" s="413"/>
      <c r="E178" s="90" t="s">
        <v>252</v>
      </c>
      <c r="F178" s="141" t="s">
        <v>253</v>
      </c>
      <c r="G178" s="90"/>
      <c r="H178" s="415"/>
      <c r="I178" s="408"/>
      <c r="J178" s="14"/>
      <c r="K178" s="15"/>
      <c r="L178" s="90"/>
      <c r="M178" s="90"/>
      <c r="N178" s="98"/>
      <c r="O178" s="14"/>
      <c r="P178" s="15"/>
      <c r="Q178" s="90"/>
      <c r="R178" s="90"/>
      <c r="S178" s="98"/>
      <c r="T178" s="14"/>
      <c r="U178" s="15"/>
      <c r="V178" s="90"/>
      <c r="W178" s="90"/>
      <c r="X178" s="409"/>
      <c r="Y178" s="90"/>
      <c r="Z178" s="410"/>
      <c r="AA178" s="90"/>
      <c r="AB178" s="90"/>
      <c r="AC178" s="409"/>
      <c r="AD178" s="90"/>
      <c r="AE178" s="410"/>
      <c r="AF178" s="90"/>
      <c r="AG178" s="90"/>
      <c r="AH178" s="409"/>
      <c r="AI178" s="90"/>
      <c r="AJ178" s="410"/>
      <c r="AK178" s="90"/>
      <c r="AL178" s="90"/>
      <c r="AM178" s="411"/>
      <c r="AN178" s="412"/>
      <c r="AO178" s="412"/>
      <c r="AP178" s="90"/>
      <c r="AQ178" s="90"/>
      <c r="AR178" s="411"/>
      <c r="AS178" s="90"/>
      <c r="AT178" s="410"/>
      <c r="AU178" s="90"/>
      <c r="AV178" s="90"/>
      <c r="AW178" s="409"/>
      <c r="AX178" s="90"/>
      <c r="AY178" s="410"/>
      <c r="AZ178" s="90"/>
      <c r="BA178" s="90"/>
      <c r="BB178" s="411"/>
      <c r="BC178" s="412"/>
      <c r="BD178" s="410"/>
      <c r="BE178" s="90"/>
      <c r="BF178" s="412"/>
      <c r="BG178" s="411"/>
      <c r="BH178" s="412"/>
      <c r="BI178" s="410"/>
      <c r="BJ178" s="412"/>
      <c r="BK178" s="423"/>
      <c r="BL178" s="409"/>
      <c r="BM178" s="412"/>
      <c r="BN178" s="412"/>
      <c r="BO178" s="412"/>
      <c r="BP178" s="412"/>
      <c r="BQ178" s="411"/>
      <c r="BR178" s="412"/>
      <c r="BS178" s="412"/>
      <c r="BT178" s="412"/>
      <c r="BU178" s="412"/>
      <c r="BV178" s="411"/>
      <c r="BW178" s="412"/>
      <c r="BX178" s="412"/>
      <c r="BY178" s="90"/>
      <c r="BZ178" s="90"/>
      <c r="CA178" s="411"/>
      <c r="CB178" s="171"/>
      <c r="CC178" s="172"/>
      <c r="CD178" s="171"/>
      <c r="CE178" s="171"/>
      <c r="CF178" s="172"/>
      <c r="CG178" s="172"/>
      <c r="CH178" s="171"/>
      <c r="CI178" s="172"/>
      <c r="CJ178" s="172"/>
      <c r="CK178" s="172"/>
      <c r="CL178" s="172"/>
      <c r="CM178" s="172"/>
      <c r="CN178" s="172"/>
      <c r="CO178" s="172"/>
      <c r="CP178" s="172"/>
      <c r="CQ178" s="172"/>
      <c r="CR178" s="172"/>
      <c r="CS178" s="172"/>
      <c r="CT178" s="172"/>
      <c r="CU178" s="172"/>
      <c r="CV178" s="172"/>
      <c r="CW178" s="172"/>
      <c r="CX178" s="172"/>
      <c r="CY178" s="172"/>
      <c r="CZ178" s="172"/>
      <c r="DA178" s="172"/>
      <c r="DB178" s="172"/>
      <c r="DC178" s="172"/>
      <c r="DD178" s="172"/>
      <c r="DE178" s="172"/>
      <c r="DF178" s="172"/>
      <c r="DG178" s="172"/>
      <c r="DH178" s="172"/>
      <c r="DI178" s="172"/>
      <c r="DJ178" s="172"/>
      <c r="DK178" s="172"/>
      <c r="DL178" s="8"/>
      <c r="DM178" s="8"/>
      <c r="DN178" s="8"/>
    </row>
    <row r="179" spans="1:118" ht="13.35" hidden="1" customHeight="1">
      <c r="A179" s="91" t="s">
        <v>12</v>
      </c>
      <c r="B179" s="91"/>
      <c r="C179" s="267" t="s">
        <v>14</v>
      </c>
      <c r="D179" s="279">
        <v>4.51</v>
      </c>
      <c r="E179" s="190" t="s">
        <v>252</v>
      </c>
      <c r="F179" s="134" t="s">
        <v>249</v>
      </c>
      <c r="G179" s="192"/>
      <c r="H179" s="193" t="s">
        <v>254</v>
      </c>
      <c r="I179" s="233"/>
      <c r="J179" s="59"/>
      <c r="K179" s="59"/>
      <c r="L179" s="59"/>
      <c r="M179" s="59"/>
      <c r="N179" s="59"/>
      <c r="O179" s="59"/>
      <c r="P179" s="59"/>
      <c r="Q179" s="59"/>
      <c r="R179" s="59"/>
      <c r="S179" s="59">
        <v>21.6</v>
      </c>
      <c r="T179" s="59"/>
      <c r="U179" s="59">
        <v>21.1</v>
      </c>
      <c r="V179" s="59"/>
      <c r="W179" s="72"/>
      <c r="X179" s="72"/>
      <c r="Y179" s="72"/>
      <c r="Z179" s="72">
        <v>22.2</v>
      </c>
      <c r="AA179" s="72"/>
      <c r="AB179" s="72"/>
      <c r="AC179" s="72"/>
      <c r="AD179" s="72"/>
      <c r="AE179" s="402">
        <v>22.2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402">
        <v>24.2</v>
      </c>
      <c r="AP179" s="36"/>
      <c r="AQ179" s="36"/>
      <c r="AR179" s="72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72"/>
      <c r="BD179" s="36"/>
      <c r="BE179" s="36"/>
      <c r="BF179" s="72"/>
      <c r="BG179" s="36"/>
      <c r="BH179" s="72"/>
      <c r="BI179" s="36"/>
      <c r="BJ179" s="72"/>
      <c r="BK179" s="402"/>
      <c r="BL179" s="36"/>
      <c r="BM179" s="36"/>
      <c r="BN179" s="72"/>
      <c r="BO179" s="36"/>
      <c r="BP179" s="36"/>
      <c r="BQ179" s="36"/>
      <c r="BR179" s="36"/>
      <c r="BS179" s="36"/>
      <c r="BT179" s="36"/>
      <c r="BU179" s="36"/>
      <c r="BV179" s="36"/>
      <c r="BW179" s="72"/>
      <c r="BX179" s="36"/>
      <c r="BY179" s="36"/>
      <c r="BZ179" s="36"/>
      <c r="CA179" s="72"/>
      <c r="CB179" s="36"/>
      <c r="CC179" s="36"/>
      <c r="CD179" s="36"/>
      <c r="CE179" s="72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8"/>
      <c r="DM179" s="8"/>
      <c r="DN179" s="8"/>
    </row>
    <row r="180" spans="1:118" ht="13.35" hidden="1" customHeight="1">
      <c r="A180" s="90"/>
      <c r="B180" s="90"/>
      <c r="C180" s="266"/>
      <c r="D180" s="277"/>
      <c r="E180" s="278" t="s">
        <v>255</v>
      </c>
      <c r="F180" s="141" t="s">
        <v>256</v>
      </c>
      <c r="G180" s="169"/>
      <c r="H180" s="414" t="s">
        <v>11</v>
      </c>
      <c r="I180" s="225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  <c r="AI180" s="171"/>
      <c r="AJ180" s="171"/>
      <c r="AK180" s="171"/>
      <c r="AL180" s="171"/>
      <c r="AM180" s="171"/>
      <c r="AN180" s="171"/>
      <c r="AO180" s="171"/>
      <c r="AP180" s="331"/>
      <c r="AQ180" s="172"/>
      <c r="AR180" s="171"/>
      <c r="AS180" s="331"/>
      <c r="AT180" s="172"/>
      <c r="AU180" s="171"/>
      <c r="AV180" s="171"/>
      <c r="AW180" s="172"/>
      <c r="AX180" s="172"/>
      <c r="AY180" s="172"/>
      <c r="AZ180" s="172"/>
      <c r="BA180" s="172"/>
      <c r="BB180" s="171"/>
      <c r="BC180" s="171"/>
      <c r="BD180" s="172"/>
      <c r="BE180" s="172"/>
      <c r="BF180" s="171"/>
      <c r="BG180" s="171"/>
      <c r="BH180" s="171"/>
      <c r="BI180" s="172"/>
      <c r="BJ180" s="171"/>
      <c r="BK180" s="427"/>
      <c r="BL180" s="172"/>
      <c r="BM180" s="171"/>
      <c r="BN180" s="171"/>
      <c r="BO180" s="171"/>
      <c r="BP180" s="171"/>
      <c r="BQ180" s="171"/>
      <c r="BR180" s="171"/>
      <c r="BS180" s="171"/>
      <c r="BT180" s="171"/>
      <c r="BU180" s="171"/>
      <c r="BV180" s="171"/>
      <c r="BW180" s="171"/>
      <c r="BX180" s="171"/>
      <c r="BY180" s="172"/>
      <c r="BZ180" s="172"/>
      <c r="CA180" s="171"/>
      <c r="CB180" s="171"/>
      <c r="CC180" s="172"/>
      <c r="CD180" s="171"/>
      <c r="CE180" s="171"/>
      <c r="CF180" s="172"/>
      <c r="CG180" s="172"/>
      <c r="CH180" s="171"/>
      <c r="CI180" s="171"/>
      <c r="CJ180" s="171"/>
      <c r="CK180" s="171"/>
      <c r="CL180" s="171"/>
      <c r="CM180" s="172"/>
      <c r="CN180" s="172"/>
      <c r="CO180" s="171"/>
      <c r="CP180" s="171"/>
      <c r="CQ180" s="172"/>
      <c r="CR180" s="172"/>
      <c r="CS180" s="172"/>
      <c r="CT180" s="172"/>
      <c r="CU180" s="172"/>
      <c r="CV180" s="172"/>
      <c r="CW180" s="172"/>
      <c r="CX180" s="172"/>
      <c r="CY180" s="172"/>
      <c r="CZ180" s="172"/>
      <c r="DA180" s="172"/>
      <c r="DB180" s="172"/>
      <c r="DC180" s="172"/>
      <c r="DD180" s="172"/>
      <c r="DE180" s="172"/>
      <c r="DF180" s="172"/>
      <c r="DG180" s="172"/>
      <c r="DH180" s="172"/>
      <c r="DI180" s="172"/>
      <c r="DJ180" s="172"/>
      <c r="DK180" s="172"/>
      <c r="DL180" s="8"/>
      <c r="DM180" s="8"/>
      <c r="DN180" s="8"/>
    </row>
    <row r="181" spans="1:118" s="104" customFormat="1" ht="12.95" hidden="1" customHeight="1">
      <c r="A181" s="96" t="s">
        <v>12</v>
      </c>
      <c r="B181" s="96"/>
      <c r="C181" s="269" t="s">
        <v>31</v>
      </c>
      <c r="D181" s="281">
        <v>19.05</v>
      </c>
      <c r="E181" s="194" t="s">
        <v>255</v>
      </c>
      <c r="F181" s="195" t="s">
        <v>257</v>
      </c>
      <c r="G181" s="149"/>
      <c r="H181" s="142" t="s">
        <v>16</v>
      </c>
      <c r="I181" s="238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>
        <v>18</v>
      </c>
      <c r="AI181" s="111"/>
      <c r="AJ181" s="111"/>
      <c r="AK181" s="111"/>
      <c r="AL181" s="111"/>
      <c r="AM181" s="111"/>
      <c r="AN181" s="111"/>
      <c r="AO181" s="111"/>
      <c r="AP181" s="338"/>
      <c r="AQ181" s="112"/>
      <c r="AR181" s="111">
        <v>22.2</v>
      </c>
      <c r="AS181" s="338"/>
      <c r="AT181" s="112"/>
      <c r="AU181" s="111"/>
      <c r="AV181" s="114">
        <v>22.4</v>
      </c>
      <c r="AW181" s="112"/>
      <c r="AX181" s="112"/>
      <c r="AY181" s="112"/>
      <c r="AZ181" s="112"/>
      <c r="BA181" s="111">
        <v>22.8</v>
      </c>
      <c r="BB181" s="111"/>
      <c r="BC181" s="114">
        <v>24.3</v>
      </c>
      <c r="BD181" s="112"/>
      <c r="BE181" s="112"/>
      <c r="BF181" s="111"/>
      <c r="BG181" s="111"/>
      <c r="BH181" s="111"/>
      <c r="BI181" s="112"/>
      <c r="BJ181" s="111"/>
      <c r="BK181" s="114"/>
      <c r="BL181" s="112"/>
      <c r="BM181" s="112"/>
      <c r="BN181" s="111"/>
      <c r="BO181" s="112"/>
      <c r="BP181" s="112"/>
      <c r="BQ181" s="112"/>
      <c r="BR181" s="112"/>
      <c r="BS181" s="112"/>
      <c r="BT181" s="112"/>
      <c r="BU181" s="112"/>
      <c r="BV181" s="112"/>
      <c r="BW181" s="111"/>
      <c r="BX181" s="112"/>
      <c r="BY181" s="112"/>
      <c r="BZ181" s="112"/>
      <c r="CA181" s="111"/>
      <c r="CB181" s="112"/>
      <c r="CC181" s="112"/>
      <c r="CD181" s="112"/>
      <c r="CE181" s="111"/>
      <c r="CF181" s="112"/>
      <c r="CG181" s="112"/>
      <c r="CH181" s="112"/>
      <c r="CI181" s="112"/>
      <c r="CJ181" s="112"/>
      <c r="CK181" s="112"/>
      <c r="CL181" s="112"/>
      <c r="CM181" s="112"/>
      <c r="CN181" s="112"/>
      <c r="CO181" s="112"/>
      <c r="CP181" s="112"/>
      <c r="CQ181" s="112"/>
      <c r="CR181" s="112"/>
      <c r="CS181" s="112"/>
      <c r="CT181" s="112"/>
      <c r="CU181" s="112"/>
      <c r="CV181" s="112"/>
      <c r="CW181" s="112"/>
      <c r="CX181" s="112"/>
      <c r="CY181" s="112"/>
      <c r="CZ181" s="112"/>
      <c r="DA181" s="112"/>
      <c r="DB181" s="112"/>
      <c r="DC181" s="112"/>
      <c r="DD181" s="112"/>
      <c r="DE181" s="112"/>
      <c r="DF181" s="112"/>
      <c r="DG181" s="112"/>
      <c r="DH181" s="112"/>
      <c r="DI181" s="112"/>
      <c r="DJ181" s="112"/>
      <c r="DK181" s="112"/>
      <c r="DL181" s="103"/>
      <c r="DM181" s="103"/>
      <c r="DN181" s="103"/>
    </row>
    <row r="182" spans="1:118" ht="12.95" hidden="1" customHeight="1">
      <c r="A182" s="91" t="s">
        <v>12</v>
      </c>
      <c r="B182" s="91" t="s">
        <v>13</v>
      </c>
      <c r="C182" s="267" t="s">
        <v>31</v>
      </c>
      <c r="D182" s="279">
        <v>35.56</v>
      </c>
      <c r="E182" s="155" t="s">
        <v>255</v>
      </c>
      <c r="F182" s="160" t="s">
        <v>258</v>
      </c>
      <c r="G182" s="6">
        <v>24</v>
      </c>
      <c r="H182" s="3" t="s">
        <v>16</v>
      </c>
      <c r="I182" s="23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332"/>
      <c r="AQ182" s="1"/>
      <c r="AR182" s="61">
        <v>22.9</v>
      </c>
      <c r="AS182" s="332"/>
      <c r="AT182" s="1"/>
      <c r="AU182" s="61"/>
      <c r="AV182" s="61"/>
      <c r="AW182" s="1"/>
      <c r="AX182" s="1"/>
      <c r="AY182" s="1"/>
      <c r="AZ182" s="61">
        <v>22.6</v>
      </c>
      <c r="BA182" s="1"/>
      <c r="BB182" s="61"/>
      <c r="BC182" s="61"/>
      <c r="BD182" s="1"/>
      <c r="BE182" s="1"/>
      <c r="BF182" s="67">
        <v>24.4</v>
      </c>
      <c r="BG182" s="61"/>
      <c r="BH182" s="61"/>
      <c r="BI182" s="1"/>
      <c r="BJ182" s="61"/>
      <c r="BK182" s="67"/>
      <c r="BL182" s="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1"/>
      <c r="BY182" s="1"/>
      <c r="BZ182" s="1"/>
      <c r="CA182" s="61"/>
      <c r="CB182" s="1"/>
      <c r="CC182" s="1"/>
      <c r="CD182" s="1"/>
      <c r="CE182" s="6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8"/>
      <c r="DM182" s="8"/>
      <c r="DN182" s="8"/>
    </row>
    <row r="183" spans="1:118" ht="12.95" hidden="1" customHeight="1">
      <c r="A183" s="91" t="s">
        <v>12</v>
      </c>
      <c r="B183" s="91" t="s">
        <v>13</v>
      </c>
      <c r="C183" s="267" t="s">
        <v>31</v>
      </c>
      <c r="D183" s="279"/>
      <c r="E183" s="155" t="s">
        <v>255</v>
      </c>
      <c r="F183" s="160" t="s">
        <v>259</v>
      </c>
      <c r="G183" s="6">
        <v>24</v>
      </c>
      <c r="H183" s="3" t="s">
        <v>16</v>
      </c>
      <c r="I183" s="23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332"/>
      <c r="AQ183" s="1"/>
      <c r="AR183" s="61"/>
      <c r="AS183" s="332"/>
      <c r="AT183" s="1"/>
      <c r="AU183" s="61"/>
      <c r="AV183" s="61"/>
      <c r="AW183" s="1"/>
      <c r="AX183" s="1"/>
      <c r="AY183" s="1"/>
      <c r="AZ183" s="1"/>
      <c r="BA183" s="1"/>
      <c r="BB183" s="61"/>
      <c r="BC183" s="61"/>
      <c r="BD183" s="1"/>
      <c r="BE183" s="1"/>
      <c r="BF183" s="61"/>
      <c r="BG183" s="61"/>
      <c r="BH183" s="61"/>
      <c r="BI183" s="1"/>
      <c r="BJ183" s="61"/>
      <c r="BK183" s="67"/>
      <c r="BL183" s="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1"/>
      <c r="BY183" s="1"/>
      <c r="BZ183" s="1"/>
      <c r="CA183" s="61"/>
      <c r="CB183" s="1"/>
      <c r="CC183" s="1"/>
      <c r="CD183" s="1"/>
      <c r="CE183" s="6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8"/>
      <c r="DM183" s="8"/>
      <c r="DN183" s="8"/>
    </row>
    <row r="184" spans="1:118" ht="12.95" hidden="1" customHeight="1">
      <c r="A184" s="91" t="s">
        <v>12</v>
      </c>
      <c r="B184" s="91" t="s">
        <v>13</v>
      </c>
      <c r="C184" s="267" t="s">
        <v>31</v>
      </c>
      <c r="D184" s="279"/>
      <c r="E184" s="155" t="s">
        <v>255</v>
      </c>
      <c r="F184" s="160" t="s">
        <v>260</v>
      </c>
      <c r="G184" s="6">
        <v>24</v>
      </c>
      <c r="H184" s="3" t="s">
        <v>16</v>
      </c>
      <c r="I184" s="23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332"/>
      <c r="AQ184" s="1"/>
      <c r="AR184" s="61"/>
      <c r="AS184" s="332"/>
      <c r="AT184" s="1"/>
      <c r="AU184" s="61"/>
      <c r="AV184" s="61"/>
      <c r="AW184" s="1"/>
      <c r="AX184" s="1"/>
      <c r="AY184" s="1"/>
      <c r="AZ184" s="1"/>
      <c r="BA184" s="1"/>
      <c r="BB184" s="61"/>
      <c r="BC184" s="61"/>
      <c r="BD184" s="1"/>
      <c r="BE184" s="1"/>
      <c r="BF184" s="61"/>
      <c r="BG184" s="61"/>
      <c r="BH184" s="61"/>
      <c r="BI184" s="1"/>
      <c r="BJ184" s="61"/>
      <c r="BK184" s="67"/>
      <c r="BL184" s="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1"/>
      <c r="BY184" s="1"/>
      <c r="BZ184" s="1"/>
      <c r="CA184" s="61"/>
      <c r="CB184" s="1"/>
      <c r="CC184" s="1"/>
      <c r="CD184" s="1"/>
      <c r="CE184" s="6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8"/>
      <c r="DM184" s="8"/>
      <c r="DN184" s="8"/>
    </row>
    <row r="185" spans="1:118" ht="13.35" hidden="1" customHeight="1">
      <c r="A185" s="92" t="s">
        <v>12</v>
      </c>
      <c r="B185" s="96" t="s">
        <v>13</v>
      </c>
      <c r="C185" s="268" t="s">
        <v>14</v>
      </c>
      <c r="D185" s="280">
        <v>36.25</v>
      </c>
      <c r="E185" s="156" t="s">
        <v>255</v>
      </c>
      <c r="F185" s="159" t="s">
        <v>261</v>
      </c>
      <c r="G185" s="99"/>
      <c r="H185" s="100" t="s">
        <v>262</v>
      </c>
      <c r="I185" s="229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>
        <v>19</v>
      </c>
      <c r="AJ185" s="60"/>
      <c r="AK185" s="60"/>
      <c r="AL185" s="60"/>
      <c r="AM185" s="60"/>
      <c r="AN185" s="60"/>
      <c r="AO185" s="60"/>
      <c r="AP185" s="333"/>
      <c r="AQ185" s="2"/>
      <c r="AR185" s="60"/>
      <c r="AS185" s="333"/>
      <c r="AT185" s="2"/>
      <c r="AU185" s="60" t="s">
        <v>263</v>
      </c>
      <c r="AV185" s="60"/>
      <c r="AW185" s="2"/>
      <c r="AX185" s="2"/>
      <c r="AY185" s="2"/>
      <c r="AZ185" s="2"/>
      <c r="BA185" s="2"/>
      <c r="BB185" s="60"/>
      <c r="BC185" s="60"/>
      <c r="BD185" s="2"/>
      <c r="BE185" s="2"/>
      <c r="BF185" s="60"/>
      <c r="BG185" s="60"/>
      <c r="BH185" s="60"/>
      <c r="BI185" s="2"/>
      <c r="BJ185" s="60"/>
      <c r="BK185" s="66"/>
      <c r="BL185" s="2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2"/>
      <c r="BZ185" s="2"/>
      <c r="CA185" s="60"/>
      <c r="CB185" s="60"/>
      <c r="CC185" s="2"/>
      <c r="CD185" s="60"/>
      <c r="CE185" s="60"/>
      <c r="CF185" s="2"/>
      <c r="CG185" s="2"/>
      <c r="CH185" s="60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8"/>
      <c r="DM185" s="8"/>
      <c r="DN185" s="8"/>
    </row>
    <row r="186" spans="1:118" ht="13.35" hidden="1" customHeight="1">
      <c r="A186" s="92" t="s">
        <v>12</v>
      </c>
      <c r="B186" s="96" t="s">
        <v>13</v>
      </c>
      <c r="C186" s="268" t="s">
        <v>14</v>
      </c>
      <c r="D186" s="280"/>
      <c r="E186" s="156" t="s">
        <v>255</v>
      </c>
      <c r="F186" s="159" t="s">
        <v>264</v>
      </c>
      <c r="G186" s="99"/>
      <c r="H186" s="100" t="s">
        <v>262</v>
      </c>
      <c r="I186" s="229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333"/>
      <c r="AQ186" s="2"/>
      <c r="AR186" s="60"/>
      <c r="AS186" s="333"/>
      <c r="AT186" s="2"/>
      <c r="AU186" s="60"/>
      <c r="AV186" s="60"/>
      <c r="AW186" s="2"/>
      <c r="AX186" s="2"/>
      <c r="AY186" s="2"/>
      <c r="AZ186" s="2"/>
      <c r="BA186" s="2"/>
      <c r="BB186" s="60"/>
      <c r="BC186" s="60"/>
      <c r="BD186" s="2"/>
      <c r="BE186" s="2"/>
      <c r="BF186" s="60"/>
      <c r="BG186" s="60">
        <v>23.7</v>
      </c>
      <c r="BH186" s="60"/>
      <c r="BI186" s="2"/>
      <c r="BJ186" s="60"/>
      <c r="BK186" s="66"/>
      <c r="BL186" s="2"/>
      <c r="BM186" s="60"/>
      <c r="BN186" s="60"/>
      <c r="BO186" s="60">
        <v>24.4</v>
      </c>
      <c r="BP186" s="60"/>
      <c r="BQ186" s="60"/>
      <c r="BR186" s="60"/>
      <c r="BS186" s="60"/>
      <c r="BT186" s="60"/>
      <c r="BU186" s="60"/>
      <c r="BV186" s="60"/>
      <c r="BW186" s="60">
        <v>24.2</v>
      </c>
      <c r="BX186" s="60"/>
      <c r="BY186" s="2"/>
      <c r="BZ186" s="2"/>
      <c r="CA186" s="60"/>
      <c r="CB186" s="60"/>
      <c r="CC186" s="2"/>
      <c r="CD186" s="60"/>
      <c r="CE186" s="60"/>
      <c r="CF186" s="2"/>
      <c r="CG186" s="2"/>
      <c r="CH186" s="60">
        <v>25</v>
      </c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8"/>
      <c r="DM186" s="8"/>
      <c r="DN186" s="8"/>
    </row>
    <row r="187" spans="1:118" ht="13.35" hidden="1" customHeight="1">
      <c r="A187" s="92" t="s">
        <v>12</v>
      </c>
      <c r="B187" s="96" t="s">
        <v>13</v>
      </c>
      <c r="C187" s="268" t="s">
        <v>14</v>
      </c>
      <c r="D187" s="280"/>
      <c r="E187" s="156" t="s">
        <v>255</v>
      </c>
      <c r="F187" s="159" t="s">
        <v>265</v>
      </c>
      <c r="G187" s="99"/>
      <c r="H187" s="100" t="s">
        <v>262</v>
      </c>
      <c r="I187" s="229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333"/>
      <c r="AQ187" s="2"/>
      <c r="AR187" s="60"/>
      <c r="AS187" s="333"/>
      <c r="AT187" s="2"/>
      <c r="AU187" s="60"/>
      <c r="AV187" s="60"/>
      <c r="AW187" s="2"/>
      <c r="AX187" s="2"/>
      <c r="AY187" s="2"/>
      <c r="AZ187" s="2"/>
      <c r="BA187" s="2"/>
      <c r="BB187" s="60"/>
      <c r="BC187" s="60"/>
      <c r="BD187" s="2"/>
      <c r="BE187" s="2"/>
      <c r="BF187" s="60"/>
      <c r="BG187" s="60">
        <v>22.7</v>
      </c>
      <c r="BH187" s="60"/>
      <c r="BI187" s="2"/>
      <c r="BJ187" s="60"/>
      <c r="BK187" s="66"/>
      <c r="BL187" s="2"/>
      <c r="BM187" s="60"/>
      <c r="BN187" s="60"/>
      <c r="BO187" s="60">
        <v>24</v>
      </c>
      <c r="BP187" s="60"/>
      <c r="BQ187" s="60"/>
      <c r="BR187" s="60"/>
      <c r="BS187" s="60"/>
      <c r="BT187" s="60"/>
      <c r="BU187" s="60"/>
      <c r="BV187" s="60"/>
      <c r="BW187" s="60">
        <v>23.3</v>
      </c>
      <c r="BX187" s="60"/>
      <c r="BY187" s="2"/>
      <c r="BZ187" s="2"/>
      <c r="CA187" s="60"/>
      <c r="CB187" s="60"/>
      <c r="CC187" s="2"/>
      <c r="CD187" s="60"/>
      <c r="CE187" s="60"/>
      <c r="CF187" s="2"/>
      <c r="CG187" s="2"/>
      <c r="CH187" s="60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8"/>
      <c r="DM187" s="8"/>
      <c r="DN187" s="8"/>
    </row>
    <row r="188" spans="1:118" ht="13.35" hidden="1" customHeight="1">
      <c r="A188" s="91" t="s">
        <v>12</v>
      </c>
      <c r="B188" s="91" t="s">
        <v>13</v>
      </c>
      <c r="C188" s="267" t="s">
        <v>14</v>
      </c>
      <c r="D188" s="279">
        <f>15.1+15.31</f>
        <v>30.41</v>
      </c>
      <c r="E188" s="155" t="s">
        <v>255</v>
      </c>
      <c r="F188" s="160" t="s">
        <v>266</v>
      </c>
      <c r="G188" s="6">
        <v>24</v>
      </c>
      <c r="H188" s="5" t="s">
        <v>22</v>
      </c>
      <c r="I188" s="23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332"/>
      <c r="AQ188" s="1"/>
      <c r="AR188" s="61"/>
      <c r="AS188" s="332"/>
      <c r="AT188" s="1"/>
      <c r="AU188" s="61"/>
      <c r="AV188" s="61">
        <v>21.6</v>
      </c>
      <c r="AW188" s="1"/>
      <c r="AX188" s="1"/>
      <c r="AY188" s="1"/>
      <c r="AZ188" s="1"/>
      <c r="BA188" s="1"/>
      <c r="BB188" s="61"/>
      <c r="BC188" s="61"/>
      <c r="BD188" s="1"/>
      <c r="BE188" s="1"/>
      <c r="BF188" s="61"/>
      <c r="BG188" s="61"/>
      <c r="BH188" s="61"/>
      <c r="BI188" s="1"/>
      <c r="BJ188" s="61"/>
      <c r="BK188" s="67"/>
      <c r="BL188" s="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1"/>
      <c r="BZ188" s="1"/>
      <c r="CA188" s="61"/>
      <c r="CB188" s="61"/>
      <c r="CC188" s="1"/>
      <c r="CD188" s="61"/>
      <c r="CE188" s="61"/>
      <c r="CF188" s="1"/>
      <c r="CG188" s="1"/>
      <c r="CH188" s="61"/>
      <c r="CI188" s="61"/>
      <c r="CJ188" s="61"/>
      <c r="CK188" s="61"/>
      <c r="CL188" s="61"/>
      <c r="CM188" s="1"/>
      <c r="CN188" s="1"/>
      <c r="CO188" s="61"/>
      <c r="CP188" s="6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8"/>
      <c r="DM188" s="8"/>
      <c r="DN188" s="8"/>
    </row>
    <row r="189" spans="1:118" ht="13.35" hidden="1" customHeight="1">
      <c r="A189" s="91" t="s">
        <v>12</v>
      </c>
      <c r="B189" s="91" t="s">
        <v>13</v>
      </c>
      <c r="C189" s="267" t="s">
        <v>14</v>
      </c>
      <c r="D189" s="279"/>
      <c r="E189" s="155" t="s">
        <v>255</v>
      </c>
      <c r="F189" s="160" t="s">
        <v>267</v>
      </c>
      <c r="G189" s="6">
        <v>24</v>
      </c>
      <c r="H189" s="5" t="s">
        <v>22</v>
      </c>
      <c r="I189" s="23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332"/>
      <c r="AQ189" s="1"/>
      <c r="AR189" s="61"/>
      <c r="AS189" s="332"/>
      <c r="AT189" s="1"/>
      <c r="AU189" s="61"/>
      <c r="AV189" s="61"/>
      <c r="AW189" s="1"/>
      <c r="AX189" s="1"/>
      <c r="AY189" s="1"/>
      <c r="AZ189" s="1"/>
      <c r="BA189" s="1"/>
      <c r="BB189" s="61"/>
      <c r="BC189" s="61"/>
      <c r="BD189" s="1"/>
      <c r="BE189" s="1"/>
      <c r="BF189" s="61"/>
      <c r="BG189" s="61">
        <v>22.5</v>
      </c>
      <c r="BH189" s="61"/>
      <c r="BI189" s="1"/>
      <c r="BJ189" s="61"/>
      <c r="BK189" s="67"/>
      <c r="BL189" s="1"/>
      <c r="BM189" s="61"/>
      <c r="BN189" s="61"/>
      <c r="BO189" s="61">
        <v>23.5</v>
      </c>
      <c r="BP189" s="61"/>
      <c r="BQ189" s="61"/>
      <c r="BR189" s="61"/>
      <c r="BS189" s="61"/>
      <c r="BT189" s="61"/>
      <c r="BU189" s="61"/>
      <c r="BV189" s="61"/>
      <c r="BW189" s="61">
        <v>23.2</v>
      </c>
      <c r="BX189" s="61"/>
      <c r="BY189" s="1"/>
      <c r="BZ189" s="1"/>
      <c r="CA189" s="61"/>
      <c r="CB189" s="61"/>
      <c r="CC189" s="1"/>
      <c r="CD189" s="61">
        <v>23.5</v>
      </c>
      <c r="CE189" s="61"/>
      <c r="CF189" s="1"/>
      <c r="CG189" s="1"/>
      <c r="CH189" s="61"/>
      <c r="CI189" s="61"/>
      <c r="CJ189" s="61"/>
      <c r="CK189" s="61"/>
      <c r="CL189" s="61"/>
      <c r="CM189" s="1"/>
      <c r="CN189" s="1"/>
      <c r="CO189" s="61"/>
      <c r="CP189" s="6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8"/>
      <c r="DM189" s="8"/>
      <c r="DN189" s="8"/>
    </row>
    <row r="190" spans="1:118" ht="13.35" hidden="1" customHeight="1">
      <c r="A190" s="91" t="s">
        <v>12</v>
      </c>
      <c r="B190" s="91" t="s">
        <v>13</v>
      </c>
      <c r="C190" s="267" t="s">
        <v>14</v>
      </c>
      <c r="D190" s="279"/>
      <c r="E190" s="155" t="s">
        <v>255</v>
      </c>
      <c r="F190" s="160" t="s">
        <v>268</v>
      </c>
      <c r="G190" s="6">
        <v>24</v>
      </c>
      <c r="H190" s="5" t="s">
        <v>22</v>
      </c>
      <c r="I190" s="23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332"/>
      <c r="AQ190" s="1"/>
      <c r="AR190" s="61"/>
      <c r="AS190" s="332"/>
      <c r="AT190" s="1"/>
      <c r="AU190" s="61"/>
      <c r="AV190" s="61"/>
      <c r="AW190" s="1"/>
      <c r="AX190" s="1"/>
      <c r="AY190" s="1"/>
      <c r="AZ190" s="1"/>
      <c r="BA190" s="1"/>
      <c r="BB190" s="61"/>
      <c r="BC190" s="61"/>
      <c r="BD190" s="1"/>
      <c r="BE190" s="1"/>
      <c r="BF190" s="61"/>
      <c r="BG190" s="61">
        <v>23</v>
      </c>
      <c r="BH190" s="61"/>
      <c r="BI190" s="1"/>
      <c r="BJ190" s="61"/>
      <c r="BK190" s="67"/>
      <c r="BL190" s="1"/>
      <c r="BM190" s="61"/>
      <c r="BN190" s="61"/>
      <c r="BO190" s="61">
        <v>24</v>
      </c>
      <c r="BP190" s="61"/>
      <c r="BQ190" s="61"/>
      <c r="BR190" s="61"/>
      <c r="BS190" s="61"/>
      <c r="BT190" s="61"/>
      <c r="BU190" s="61"/>
      <c r="BV190" s="61"/>
      <c r="BW190" s="61">
        <v>23.2</v>
      </c>
      <c r="BX190" s="61"/>
      <c r="BY190" s="1"/>
      <c r="BZ190" s="1"/>
      <c r="CA190" s="61"/>
      <c r="CB190" s="61"/>
      <c r="CC190" s="1"/>
      <c r="CD190" s="61" t="s">
        <v>269</v>
      </c>
      <c r="CE190" s="61"/>
      <c r="CF190" s="1"/>
      <c r="CG190" s="1"/>
      <c r="CH190" s="61"/>
      <c r="CI190" s="61"/>
      <c r="CJ190" s="61"/>
      <c r="CK190" s="61"/>
      <c r="CL190" s="61"/>
      <c r="CM190" s="1"/>
      <c r="CN190" s="1"/>
      <c r="CO190" s="61"/>
      <c r="CP190" s="6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8"/>
      <c r="DM190" s="8"/>
      <c r="DN190" s="8"/>
    </row>
    <row r="191" spans="1:118" ht="13.35" hidden="1" customHeight="1">
      <c r="A191" s="92" t="s">
        <v>12</v>
      </c>
      <c r="B191" s="92"/>
      <c r="C191" s="268" t="s">
        <v>20</v>
      </c>
      <c r="D191" s="280"/>
      <c r="E191" s="175" t="s">
        <v>255</v>
      </c>
      <c r="F191" s="176" t="s">
        <v>63</v>
      </c>
      <c r="G191" s="177"/>
      <c r="H191" s="178" t="s">
        <v>270</v>
      </c>
      <c r="I191" s="227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342"/>
      <c r="AQ191" s="17"/>
      <c r="AR191" s="63"/>
      <c r="AS191" s="342">
        <v>20.2</v>
      </c>
      <c r="AT191" s="17"/>
      <c r="AU191" s="63"/>
      <c r="AV191" s="63"/>
      <c r="AW191" s="17"/>
      <c r="AX191" s="17"/>
      <c r="AY191" s="17"/>
      <c r="AZ191" s="17"/>
      <c r="BA191" s="17"/>
      <c r="BB191" s="63"/>
      <c r="BC191" s="63"/>
      <c r="BD191" s="17"/>
      <c r="BE191" s="17"/>
      <c r="BF191" s="63">
        <v>23.5</v>
      </c>
      <c r="BG191" s="63"/>
      <c r="BH191" s="63"/>
      <c r="BI191" s="17"/>
      <c r="BJ191" s="63"/>
      <c r="BK191" s="63">
        <v>25</v>
      </c>
      <c r="BL191" s="17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17"/>
      <c r="BY191" s="17"/>
      <c r="BZ191" s="17"/>
      <c r="CA191" s="63"/>
      <c r="CB191" s="17"/>
      <c r="CC191" s="17"/>
      <c r="CD191" s="17"/>
      <c r="CE191" s="63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8"/>
      <c r="DM191" s="8"/>
      <c r="DN191" s="8"/>
    </row>
    <row r="192" spans="1:118" ht="13.35" hidden="1" customHeight="1">
      <c r="A192" s="90" t="s">
        <v>12</v>
      </c>
      <c r="B192" s="90"/>
      <c r="C192" s="266"/>
      <c r="D192" s="277"/>
      <c r="E192" s="278" t="s">
        <v>271</v>
      </c>
      <c r="F192" s="141" t="s">
        <v>272</v>
      </c>
      <c r="G192" s="169"/>
      <c r="H192" s="170" t="s">
        <v>11</v>
      </c>
      <c r="I192" s="225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  <c r="AK192" s="171"/>
      <c r="AL192" s="171"/>
      <c r="AM192" s="171"/>
      <c r="AN192" s="171"/>
      <c r="AO192" s="171"/>
      <c r="AP192" s="172"/>
      <c r="AQ192" s="172"/>
      <c r="AR192" s="171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1"/>
      <c r="BC192" s="171"/>
      <c r="BD192" s="172"/>
      <c r="BE192" s="172"/>
      <c r="BF192" s="171"/>
      <c r="BG192" s="171"/>
      <c r="BH192" s="171"/>
      <c r="BI192" s="172"/>
      <c r="BJ192" s="171"/>
      <c r="BK192" s="427"/>
      <c r="BL192" s="172"/>
      <c r="BM192" s="171"/>
      <c r="BN192" s="171"/>
      <c r="BO192" s="171"/>
      <c r="BP192" s="171"/>
      <c r="BQ192" s="171"/>
      <c r="BR192" s="171"/>
      <c r="BS192" s="171"/>
      <c r="BT192" s="171"/>
      <c r="BU192" s="171"/>
      <c r="BV192" s="171"/>
      <c r="BW192" s="171"/>
      <c r="BX192" s="171"/>
      <c r="BY192" s="172"/>
      <c r="BZ192" s="172"/>
      <c r="CA192" s="171"/>
      <c r="CB192" s="171"/>
      <c r="CC192" s="172"/>
      <c r="CD192" s="171"/>
      <c r="CE192" s="171"/>
      <c r="CF192" s="172"/>
      <c r="CG192" s="172"/>
      <c r="CH192" s="171"/>
      <c r="CI192" s="172"/>
      <c r="CJ192" s="172"/>
      <c r="CK192" s="172"/>
      <c r="CL192" s="172"/>
      <c r="CM192" s="172"/>
      <c r="CN192" s="172"/>
      <c r="CO192" s="172"/>
      <c r="CP192" s="172"/>
      <c r="CQ192" s="172"/>
      <c r="CR192" s="172"/>
      <c r="CS192" s="172"/>
      <c r="CT192" s="172"/>
      <c r="CU192" s="172"/>
      <c r="CV192" s="172"/>
      <c r="CW192" s="172"/>
      <c r="CX192" s="172"/>
      <c r="CY192" s="172"/>
      <c r="CZ192" s="172"/>
      <c r="DA192" s="172"/>
      <c r="DB192" s="172"/>
      <c r="DC192" s="172"/>
      <c r="DD192" s="172"/>
      <c r="DE192" s="172"/>
      <c r="DF192" s="172"/>
      <c r="DG192" s="172"/>
      <c r="DH192" s="172"/>
      <c r="DI192" s="172"/>
      <c r="DJ192" s="172"/>
      <c r="DK192" s="172"/>
      <c r="DL192" s="8"/>
      <c r="DM192" s="8"/>
      <c r="DN192" s="8"/>
    </row>
    <row r="193" spans="1:118" ht="12.95" hidden="1" customHeight="1">
      <c r="A193" s="91" t="s">
        <v>12</v>
      </c>
      <c r="B193" s="91" t="s">
        <v>13</v>
      </c>
      <c r="C193" s="267" t="s">
        <v>20</v>
      </c>
      <c r="D193" s="279">
        <v>28.51</v>
      </c>
      <c r="E193" s="188" t="s">
        <v>271</v>
      </c>
      <c r="F193" s="166" t="s">
        <v>273</v>
      </c>
      <c r="G193" s="50"/>
      <c r="H193" s="55" t="s">
        <v>16</v>
      </c>
      <c r="I193" s="228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>
        <v>19.399999999999999</v>
      </c>
      <c r="AF193" s="64"/>
      <c r="AG193" s="64"/>
      <c r="AH193" s="64"/>
      <c r="AI193" s="64"/>
      <c r="AJ193" s="64"/>
      <c r="AK193" s="64"/>
      <c r="AL193" s="64">
        <v>21</v>
      </c>
      <c r="AM193" s="64"/>
      <c r="AN193" s="64"/>
      <c r="AO193" s="65"/>
      <c r="AP193" s="18">
        <v>23.2</v>
      </c>
      <c r="AQ193" s="18"/>
      <c r="AR193" s="65">
        <v>22.6</v>
      </c>
      <c r="AS193" s="18"/>
      <c r="AT193" s="18"/>
      <c r="AU193" s="139"/>
      <c r="AV193" s="18"/>
      <c r="AW193" s="18"/>
      <c r="AX193" s="18"/>
      <c r="AY193" s="18"/>
      <c r="AZ193" s="18"/>
      <c r="BA193" s="139"/>
      <c r="BB193" s="18"/>
      <c r="BC193" s="64"/>
      <c r="BD193" s="18"/>
      <c r="BE193" s="18"/>
      <c r="BF193" s="64"/>
      <c r="BG193" s="18"/>
      <c r="BH193" s="64"/>
      <c r="BI193" s="18"/>
      <c r="BJ193" s="64"/>
      <c r="BK193" s="65"/>
      <c r="BL193" s="18"/>
      <c r="BM193" s="18"/>
      <c r="BN193" s="64"/>
      <c r="BO193" s="18"/>
      <c r="BP193" s="18"/>
      <c r="BQ193" s="18"/>
      <c r="BR193" s="18"/>
      <c r="BS193" s="18"/>
      <c r="BT193" s="18"/>
      <c r="BU193" s="18"/>
      <c r="BV193" s="18"/>
      <c r="BW193" s="64"/>
      <c r="BX193" s="18"/>
      <c r="BY193" s="18"/>
      <c r="BZ193" s="18"/>
      <c r="CA193" s="64"/>
      <c r="CB193" s="18"/>
      <c r="CC193" s="18"/>
      <c r="CD193" s="18"/>
      <c r="CE193" s="64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8"/>
      <c r="DM193" s="8"/>
      <c r="DN193" s="8"/>
    </row>
    <row r="194" spans="1:118" ht="12.95" hidden="1" customHeight="1">
      <c r="A194" s="91" t="s">
        <v>12</v>
      </c>
      <c r="B194" s="91" t="s">
        <v>13</v>
      </c>
      <c r="C194" s="267" t="s">
        <v>20</v>
      </c>
      <c r="D194" s="279"/>
      <c r="E194" s="179" t="s">
        <v>271</v>
      </c>
      <c r="F194" s="180" t="s">
        <v>274</v>
      </c>
      <c r="G194" s="181"/>
      <c r="H194" s="182" t="s">
        <v>16</v>
      </c>
      <c r="I194" s="233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254"/>
      <c r="AP194" s="13"/>
      <c r="AQ194" s="13"/>
      <c r="AR194" s="59"/>
      <c r="AS194" s="13"/>
      <c r="AT194" s="13"/>
      <c r="AU194" s="138"/>
      <c r="AV194" s="13"/>
      <c r="AW194" s="13"/>
      <c r="AX194" s="13"/>
      <c r="AY194" s="13"/>
      <c r="AZ194" s="13"/>
      <c r="BA194" s="138"/>
      <c r="BB194" s="13"/>
      <c r="BC194" s="59"/>
      <c r="BD194" s="13"/>
      <c r="BE194" s="13"/>
      <c r="BF194" s="59"/>
      <c r="BG194" s="13"/>
      <c r="BH194" s="59"/>
      <c r="BI194" s="13"/>
      <c r="BJ194" s="59"/>
      <c r="BK194" s="254"/>
      <c r="BL194" s="13"/>
      <c r="BM194" s="13"/>
      <c r="BN194" s="59"/>
      <c r="BO194" s="13"/>
      <c r="BP194" s="13"/>
      <c r="BQ194" s="13"/>
      <c r="BR194" s="13"/>
      <c r="BS194" s="13"/>
      <c r="BT194" s="13"/>
      <c r="BU194" s="13"/>
      <c r="BV194" s="13"/>
      <c r="BW194" s="59"/>
      <c r="BX194" s="13"/>
      <c r="BY194" s="13"/>
      <c r="BZ194" s="13"/>
      <c r="CA194" s="59"/>
      <c r="CB194" s="13"/>
      <c r="CC194" s="13"/>
      <c r="CD194" s="13"/>
      <c r="CE194" s="59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8"/>
      <c r="DM194" s="8"/>
      <c r="DN194" s="8"/>
    </row>
    <row r="195" spans="1:118" ht="13.35" hidden="1" customHeight="1">
      <c r="A195" s="90" t="s">
        <v>12</v>
      </c>
      <c r="B195" s="90"/>
      <c r="C195" s="266"/>
      <c r="D195" s="277"/>
      <c r="E195" s="278" t="s">
        <v>275</v>
      </c>
      <c r="F195" s="141" t="s">
        <v>276</v>
      </c>
      <c r="G195" s="169"/>
      <c r="H195" s="170" t="s">
        <v>11</v>
      </c>
      <c r="I195" s="225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331"/>
      <c r="AQ195" s="172"/>
      <c r="AR195" s="171"/>
      <c r="AS195" s="171"/>
      <c r="AT195" s="171"/>
      <c r="AU195" s="172"/>
      <c r="AV195" s="171"/>
      <c r="AW195" s="171"/>
      <c r="AX195" s="172"/>
      <c r="AY195" s="172"/>
      <c r="AZ195" s="172"/>
      <c r="BA195" s="171"/>
      <c r="BB195" s="171"/>
      <c r="BC195" s="171"/>
      <c r="BD195" s="172"/>
      <c r="BE195" s="172"/>
      <c r="BF195" s="171"/>
      <c r="BG195" s="171"/>
      <c r="BH195" s="171"/>
      <c r="BI195" s="172"/>
      <c r="BJ195" s="171"/>
      <c r="BK195" s="427"/>
      <c r="BL195" s="172"/>
      <c r="BM195" s="171"/>
      <c r="BN195" s="171"/>
      <c r="BO195" s="171"/>
      <c r="BP195" s="171"/>
      <c r="BQ195" s="171"/>
      <c r="BR195" s="171"/>
      <c r="BS195" s="171"/>
      <c r="BT195" s="171"/>
      <c r="BU195" s="171"/>
      <c r="BV195" s="171"/>
      <c r="BW195" s="171"/>
      <c r="BX195" s="171"/>
      <c r="BY195" s="172"/>
      <c r="BZ195" s="172"/>
      <c r="CA195" s="171"/>
      <c r="CB195" s="171"/>
      <c r="CC195" s="172"/>
      <c r="CD195" s="171"/>
      <c r="CE195" s="171"/>
      <c r="CF195" s="172"/>
      <c r="CG195" s="172"/>
      <c r="CH195" s="171"/>
      <c r="CI195" s="172"/>
      <c r="CJ195" s="172"/>
      <c r="CK195" s="172"/>
      <c r="CL195" s="172"/>
      <c r="CM195" s="172"/>
      <c r="CN195" s="172"/>
      <c r="CO195" s="172"/>
      <c r="CP195" s="172"/>
      <c r="CQ195" s="172"/>
      <c r="CR195" s="172"/>
      <c r="CS195" s="172"/>
      <c r="CT195" s="172"/>
      <c r="CU195" s="172"/>
      <c r="CV195" s="172"/>
      <c r="CW195" s="172"/>
      <c r="CX195" s="172"/>
      <c r="CY195" s="172"/>
      <c r="CZ195" s="172"/>
      <c r="DA195" s="172"/>
      <c r="DB195" s="172"/>
      <c r="DC195" s="172"/>
      <c r="DD195" s="172"/>
      <c r="DE195" s="172"/>
      <c r="DF195" s="172"/>
      <c r="DG195" s="172"/>
      <c r="DH195" s="172"/>
      <c r="DI195" s="172"/>
      <c r="DJ195" s="172"/>
      <c r="DK195" s="172"/>
      <c r="DL195" s="8"/>
      <c r="DM195" s="8"/>
      <c r="DN195" s="8"/>
    </row>
    <row r="196" spans="1:118" ht="12.95" hidden="1" customHeight="1">
      <c r="A196" s="92" t="s">
        <v>12</v>
      </c>
      <c r="B196" s="96" t="s">
        <v>13</v>
      </c>
      <c r="C196" s="268" t="s">
        <v>31</v>
      </c>
      <c r="D196" s="280">
        <v>135.53</v>
      </c>
      <c r="E196" s="189" t="s">
        <v>275</v>
      </c>
      <c r="F196" s="168" t="s">
        <v>277</v>
      </c>
      <c r="G196" s="199" t="s">
        <v>278</v>
      </c>
      <c r="H196" s="135" t="s">
        <v>279</v>
      </c>
      <c r="I196" s="230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334"/>
      <c r="AQ196" s="16"/>
      <c r="AR196" s="62"/>
      <c r="AS196" s="62">
        <v>21.7</v>
      </c>
      <c r="AT196" s="62"/>
      <c r="AU196" s="399">
        <v>23</v>
      </c>
      <c r="AV196" s="62"/>
      <c r="AW196" s="62"/>
      <c r="AX196" s="16"/>
      <c r="AY196" s="16"/>
      <c r="AZ196" s="16"/>
      <c r="BA196" s="62"/>
      <c r="BB196" s="62"/>
      <c r="BC196" s="62">
        <v>24.6</v>
      </c>
      <c r="BD196" s="16"/>
      <c r="BE196" s="16"/>
      <c r="BF196" s="62"/>
      <c r="BG196" s="62"/>
      <c r="BH196" s="62">
        <v>26</v>
      </c>
      <c r="BI196" s="16"/>
      <c r="BJ196" s="62"/>
      <c r="BK196" s="316"/>
      <c r="BL196" s="16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16"/>
      <c r="BY196" s="16"/>
      <c r="BZ196" s="16"/>
      <c r="CA196" s="62"/>
      <c r="CB196" s="16"/>
      <c r="CC196" s="16"/>
      <c r="CD196" s="16"/>
      <c r="CE196" s="62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8"/>
      <c r="DM196" s="8"/>
      <c r="DN196" s="8"/>
    </row>
    <row r="197" spans="1:118" ht="12.95" hidden="1" customHeight="1">
      <c r="A197" s="92" t="s">
        <v>12</v>
      </c>
      <c r="B197" s="96" t="s">
        <v>13</v>
      </c>
      <c r="C197" s="268" t="s">
        <v>31</v>
      </c>
      <c r="D197" s="280"/>
      <c r="E197" s="156" t="s">
        <v>275</v>
      </c>
      <c r="F197" s="159" t="s">
        <v>280</v>
      </c>
      <c r="G197" s="19" t="s">
        <v>278</v>
      </c>
      <c r="H197" s="4" t="s">
        <v>279</v>
      </c>
      <c r="I197" s="229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333"/>
      <c r="AQ197" s="2"/>
      <c r="AR197" s="60"/>
      <c r="AS197" s="60"/>
      <c r="AT197" s="60"/>
      <c r="AU197" s="2"/>
      <c r="AV197" s="60"/>
      <c r="AW197" s="60"/>
      <c r="AX197" s="2"/>
      <c r="AY197" s="2"/>
      <c r="AZ197" s="2"/>
      <c r="BA197" s="60"/>
      <c r="BB197" s="60"/>
      <c r="BC197" s="60"/>
      <c r="BD197" s="2"/>
      <c r="BE197" s="2"/>
      <c r="BF197" s="60"/>
      <c r="BG197" s="60"/>
      <c r="BH197" s="60"/>
      <c r="BI197" s="2"/>
      <c r="BJ197" s="60"/>
      <c r="BK197" s="66"/>
      <c r="BL197" s="2"/>
      <c r="BM197" s="2"/>
      <c r="BN197" s="60"/>
      <c r="BO197" s="2"/>
      <c r="BP197" s="2"/>
      <c r="BQ197" s="2"/>
      <c r="BR197" s="2"/>
      <c r="BS197" s="2"/>
      <c r="BT197" s="2"/>
      <c r="BU197" s="2"/>
      <c r="BV197" s="2"/>
      <c r="BW197" s="60"/>
      <c r="BX197" s="2"/>
      <c r="BY197" s="2"/>
      <c r="BZ197" s="2"/>
      <c r="CA197" s="60"/>
      <c r="CB197" s="2"/>
      <c r="CC197" s="2"/>
      <c r="CD197" s="2"/>
      <c r="CE197" s="60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8"/>
      <c r="DM197" s="8"/>
      <c r="DN197" s="8"/>
    </row>
    <row r="198" spans="1:118" ht="12.95" hidden="1" customHeight="1">
      <c r="A198" s="92" t="s">
        <v>12</v>
      </c>
      <c r="B198" s="96" t="s">
        <v>13</v>
      </c>
      <c r="C198" s="268" t="s">
        <v>31</v>
      </c>
      <c r="D198" s="280"/>
      <c r="E198" s="156" t="s">
        <v>275</v>
      </c>
      <c r="F198" s="159" t="s">
        <v>281</v>
      </c>
      <c r="G198" s="19" t="s">
        <v>278</v>
      </c>
      <c r="H198" s="4" t="s">
        <v>279</v>
      </c>
      <c r="I198" s="229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333"/>
      <c r="AQ198" s="2"/>
      <c r="AR198" s="60"/>
      <c r="AS198" s="60"/>
      <c r="AT198" s="60"/>
      <c r="AU198" s="2"/>
      <c r="AV198" s="60"/>
      <c r="AW198" s="60"/>
      <c r="AX198" s="2"/>
      <c r="AY198" s="2"/>
      <c r="AZ198" s="2"/>
      <c r="BA198" s="60"/>
      <c r="BB198" s="60"/>
      <c r="BC198" s="60"/>
      <c r="BD198" s="2"/>
      <c r="BE198" s="2"/>
      <c r="BF198" s="60"/>
      <c r="BG198" s="60"/>
      <c r="BH198" s="60"/>
      <c r="BI198" s="2"/>
      <c r="BJ198" s="60"/>
      <c r="BK198" s="66"/>
      <c r="BL198" s="2"/>
      <c r="BM198" s="2"/>
      <c r="BN198" s="60"/>
      <c r="BO198" s="2"/>
      <c r="BP198" s="2"/>
      <c r="BQ198" s="2"/>
      <c r="BR198" s="2"/>
      <c r="BS198" s="2"/>
      <c r="BT198" s="2"/>
      <c r="BU198" s="2"/>
      <c r="BV198" s="2"/>
      <c r="BW198" s="60"/>
      <c r="BX198" s="2"/>
      <c r="BY198" s="2"/>
      <c r="BZ198" s="2"/>
      <c r="CA198" s="60"/>
      <c r="CB198" s="2"/>
      <c r="CC198" s="2"/>
      <c r="CD198" s="2"/>
      <c r="CE198" s="60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8"/>
      <c r="DM198" s="8"/>
      <c r="DN198" s="8"/>
    </row>
    <row r="199" spans="1:118" ht="12.95" hidden="1" customHeight="1">
      <c r="A199" s="92" t="s">
        <v>12</v>
      </c>
      <c r="B199" s="96" t="s">
        <v>13</v>
      </c>
      <c r="C199" s="268" t="s">
        <v>31</v>
      </c>
      <c r="D199" s="280"/>
      <c r="E199" s="156" t="s">
        <v>275</v>
      </c>
      <c r="F199" s="159" t="s">
        <v>282</v>
      </c>
      <c r="G199" s="19" t="s">
        <v>278</v>
      </c>
      <c r="H199" s="4" t="s">
        <v>279</v>
      </c>
      <c r="I199" s="229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333"/>
      <c r="AQ199" s="2"/>
      <c r="AR199" s="60"/>
      <c r="AS199" s="60"/>
      <c r="AT199" s="60"/>
      <c r="AU199" s="2"/>
      <c r="AV199" s="60"/>
      <c r="AW199" s="60"/>
      <c r="AX199" s="2"/>
      <c r="AY199" s="2"/>
      <c r="AZ199" s="2"/>
      <c r="BA199" s="60"/>
      <c r="BB199" s="60"/>
      <c r="BC199" s="60"/>
      <c r="BD199" s="2"/>
      <c r="BE199" s="2"/>
      <c r="BF199" s="60"/>
      <c r="BG199" s="60"/>
      <c r="BH199" s="60"/>
      <c r="BI199" s="2"/>
      <c r="BJ199" s="60"/>
      <c r="BK199" s="66"/>
      <c r="BL199" s="2"/>
      <c r="BM199" s="2"/>
      <c r="BN199" s="60"/>
      <c r="BO199" s="2"/>
      <c r="BP199" s="2"/>
      <c r="BQ199" s="2"/>
      <c r="BR199" s="2"/>
      <c r="BS199" s="2"/>
      <c r="BT199" s="2"/>
      <c r="BU199" s="2"/>
      <c r="BV199" s="2"/>
      <c r="BW199" s="60"/>
      <c r="BX199" s="2"/>
      <c r="BY199" s="2"/>
      <c r="BZ199" s="2"/>
      <c r="CA199" s="60"/>
      <c r="CB199" s="2"/>
      <c r="CC199" s="2"/>
      <c r="CD199" s="2"/>
      <c r="CE199" s="60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8"/>
      <c r="DM199" s="8"/>
      <c r="DN199" s="8"/>
    </row>
    <row r="200" spans="1:118" ht="13.35" hidden="1" customHeight="1">
      <c r="A200" s="91" t="s">
        <v>12</v>
      </c>
      <c r="B200" s="91" t="s">
        <v>13</v>
      </c>
      <c r="C200" s="267" t="s">
        <v>31</v>
      </c>
      <c r="D200" s="279">
        <v>72.66</v>
      </c>
      <c r="E200" s="155" t="s">
        <v>275</v>
      </c>
      <c r="F200" s="160" t="s">
        <v>283</v>
      </c>
      <c r="G200" s="6">
        <v>22.5</v>
      </c>
      <c r="H200" s="5" t="s">
        <v>284</v>
      </c>
      <c r="I200" s="23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>
        <v>18.5</v>
      </c>
      <c r="AI200" s="61"/>
      <c r="AJ200" s="61"/>
      <c r="AK200" s="61"/>
      <c r="AL200" s="61"/>
      <c r="AM200" s="61"/>
      <c r="AN200" s="61"/>
      <c r="AO200" s="61"/>
      <c r="AP200" s="332"/>
      <c r="AQ200" s="1"/>
      <c r="AR200" s="61"/>
      <c r="AS200" s="61">
        <v>21.4</v>
      </c>
      <c r="AT200" s="61"/>
      <c r="AU200" s="1"/>
      <c r="AV200" s="61"/>
      <c r="AW200" s="61"/>
      <c r="AX200" s="1"/>
      <c r="AY200" s="1"/>
      <c r="AZ200" s="61">
        <v>23.5</v>
      </c>
      <c r="BA200" s="61"/>
      <c r="BB200" s="67">
        <v>23.8</v>
      </c>
      <c r="BC200" s="61"/>
      <c r="BD200" s="1"/>
      <c r="BE200" s="1"/>
      <c r="BF200" s="61"/>
      <c r="BG200" s="61"/>
      <c r="BH200" s="61"/>
      <c r="BI200" s="1"/>
      <c r="BJ200" s="61"/>
      <c r="BK200" s="67"/>
      <c r="BL200" s="1"/>
      <c r="BM200" s="1"/>
      <c r="BN200" s="61"/>
      <c r="BO200" s="1"/>
      <c r="BP200" s="1"/>
      <c r="BQ200" s="1"/>
      <c r="BR200" s="1"/>
      <c r="BS200" s="1"/>
      <c r="BT200" s="1"/>
      <c r="BU200" s="1"/>
      <c r="BV200" s="1"/>
      <c r="BW200" s="61"/>
      <c r="BX200" s="1"/>
      <c r="BY200" s="1"/>
      <c r="BZ200" s="1"/>
      <c r="CA200" s="61"/>
      <c r="CB200" s="1"/>
      <c r="CC200" s="1"/>
      <c r="CD200" s="1"/>
      <c r="CE200" s="6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8"/>
      <c r="DM200" s="8"/>
      <c r="DN200" s="8"/>
    </row>
    <row r="201" spans="1:118" ht="13.35" hidden="1" customHeight="1">
      <c r="A201" s="91" t="s">
        <v>12</v>
      </c>
      <c r="B201" s="91" t="s">
        <v>13</v>
      </c>
      <c r="C201" s="267" t="s">
        <v>31</v>
      </c>
      <c r="D201" s="279"/>
      <c r="E201" s="155" t="s">
        <v>275</v>
      </c>
      <c r="F201" s="160" t="s">
        <v>285</v>
      </c>
      <c r="G201" s="6">
        <v>22.5</v>
      </c>
      <c r="H201" s="5" t="s">
        <v>284</v>
      </c>
      <c r="I201" s="23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332"/>
      <c r="AQ201" s="1"/>
      <c r="AR201" s="61"/>
      <c r="AS201" s="61"/>
      <c r="AT201" s="61"/>
      <c r="AU201" s="1"/>
      <c r="AV201" s="61"/>
      <c r="AW201" s="61"/>
      <c r="AX201" s="1"/>
      <c r="AY201" s="1"/>
      <c r="AZ201" s="1"/>
      <c r="BA201" s="61"/>
      <c r="BB201" s="61"/>
      <c r="BC201" s="61"/>
      <c r="BD201" s="1"/>
      <c r="BE201" s="1"/>
      <c r="BF201" s="61"/>
      <c r="BG201" s="61"/>
      <c r="BH201" s="61"/>
      <c r="BI201" s="1"/>
      <c r="BJ201" s="61"/>
      <c r="BK201" s="67"/>
      <c r="BL201" s="1"/>
      <c r="BM201" s="1"/>
      <c r="BN201" s="61"/>
      <c r="BO201" s="1"/>
      <c r="BP201" s="1"/>
      <c r="BQ201" s="1"/>
      <c r="BR201" s="1"/>
      <c r="BS201" s="1"/>
      <c r="BT201" s="1"/>
      <c r="BU201" s="1"/>
      <c r="BV201" s="1"/>
      <c r="BW201" s="61"/>
      <c r="BX201" s="1"/>
      <c r="BY201" s="1"/>
      <c r="BZ201" s="1"/>
      <c r="CA201" s="61"/>
      <c r="CB201" s="1"/>
      <c r="CC201" s="1"/>
      <c r="CD201" s="1"/>
      <c r="CE201" s="6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8"/>
      <c r="DM201" s="8"/>
      <c r="DN201" s="8"/>
    </row>
    <row r="202" spans="1:118" ht="13.35" hidden="1" customHeight="1">
      <c r="A202" s="91" t="s">
        <v>12</v>
      </c>
      <c r="B202" s="91" t="s">
        <v>13</v>
      </c>
      <c r="C202" s="267" t="s">
        <v>31</v>
      </c>
      <c r="D202" s="279"/>
      <c r="E202" s="155" t="s">
        <v>275</v>
      </c>
      <c r="F202" s="160" t="s">
        <v>286</v>
      </c>
      <c r="G202" s="6">
        <v>22.5</v>
      </c>
      <c r="H202" s="5" t="s">
        <v>284</v>
      </c>
      <c r="I202" s="23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332"/>
      <c r="AQ202" s="1"/>
      <c r="AR202" s="61"/>
      <c r="AS202" s="61"/>
      <c r="AT202" s="61"/>
      <c r="AU202" s="1"/>
      <c r="AV202" s="61"/>
      <c r="AW202" s="61"/>
      <c r="AX202" s="1"/>
      <c r="AY202" s="1"/>
      <c r="AZ202" s="1"/>
      <c r="BA202" s="61"/>
      <c r="BB202" s="61"/>
      <c r="BC202" s="61"/>
      <c r="BD202" s="1"/>
      <c r="BE202" s="1"/>
      <c r="BF202" s="61"/>
      <c r="BG202" s="61"/>
      <c r="BH202" s="61"/>
      <c r="BI202" s="1"/>
      <c r="BJ202" s="61"/>
      <c r="BK202" s="67"/>
      <c r="BL202" s="1"/>
      <c r="BM202" s="1"/>
      <c r="BN202" s="61"/>
      <c r="BO202" s="1"/>
      <c r="BP202" s="1"/>
      <c r="BQ202" s="1"/>
      <c r="BR202" s="1"/>
      <c r="BS202" s="1"/>
      <c r="BT202" s="1"/>
      <c r="BU202" s="1"/>
      <c r="BV202" s="1"/>
      <c r="BW202" s="61"/>
      <c r="BX202" s="1"/>
      <c r="BY202" s="1"/>
      <c r="BZ202" s="1"/>
      <c r="CA202" s="61"/>
      <c r="CB202" s="1"/>
      <c r="CC202" s="1"/>
      <c r="CD202" s="1"/>
      <c r="CE202" s="6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8"/>
      <c r="DM202" s="8"/>
      <c r="DN202" s="8"/>
    </row>
    <row r="203" spans="1:118" ht="13.35" hidden="1" customHeight="1">
      <c r="A203" s="92" t="s">
        <v>12</v>
      </c>
      <c r="B203" s="92"/>
      <c r="C203" s="268" t="s">
        <v>31</v>
      </c>
      <c r="D203" s="280">
        <v>38.44</v>
      </c>
      <c r="E203" s="156" t="s">
        <v>275</v>
      </c>
      <c r="F203" s="159" t="s">
        <v>287</v>
      </c>
      <c r="G203" s="7">
        <v>24</v>
      </c>
      <c r="H203" s="4" t="s">
        <v>22</v>
      </c>
      <c r="I203" s="229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333"/>
      <c r="AQ203" s="2"/>
      <c r="AR203" s="60"/>
      <c r="AS203" s="60"/>
      <c r="AT203" s="60"/>
      <c r="AU203" s="2"/>
      <c r="AV203" s="60"/>
      <c r="AW203" s="60"/>
      <c r="AX203" s="2"/>
      <c r="AY203" s="2"/>
      <c r="AZ203" s="2"/>
      <c r="BA203" s="60"/>
      <c r="BB203" s="60"/>
      <c r="BC203" s="60"/>
      <c r="BD203" s="2"/>
      <c r="BE203" s="2"/>
      <c r="BF203" s="60"/>
      <c r="BG203" s="60"/>
      <c r="BH203" s="60"/>
      <c r="BI203" s="2"/>
      <c r="BJ203" s="60"/>
      <c r="BK203" s="66"/>
      <c r="BL203" s="2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2"/>
      <c r="BZ203" s="2"/>
      <c r="CA203" s="60"/>
      <c r="CB203" s="60"/>
      <c r="CC203" s="2"/>
      <c r="CD203" s="2"/>
      <c r="CE203" s="60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8"/>
      <c r="DM203" s="8"/>
      <c r="DN203" s="8"/>
    </row>
    <row r="204" spans="1:118" ht="13.35" hidden="1" customHeight="1">
      <c r="A204" s="91" t="s">
        <v>12</v>
      </c>
      <c r="B204" s="91"/>
      <c r="C204" s="267" t="s">
        <v>31</v>
      </c>
      <c r="D204" s="279">
        <v>43.28</v>
      </c>
      <c r="E204" s="155" t="s">
        <v>275</v>
      </c>
      <c r="F204" s="160" t="s">
        <v>288</v>
      </c>
      <c r="G204" s="6">
        <v>24</v>
      </c>
      <c r="H204" s="5" t="s">
        <v>22</v>
      </c>
      <c r="I204" s="23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332"/>
      <c r="AQ204" s="1"/>
      <c r="AR204" s="61"/>
      <c r="AS204" s="61"/>
      <c r="AT204" s="61"/>
      <c r="AU204" s="1"/>
      <c r="AV204" s="61"/>
      <c r="AW204" s="61"/>
      <c r="AX204" s="1"/>
      <c r="AY204" s="1"/>
      <c r="AZ204" s="1"/>
      <c r="BA204" s="61"/>
      <c r="BB204" s="61"/>
      <c r="BC204" s="61"/>
      <c r="BD204" s="1"/>
      <c r="BE204" s="1"/>
      <c r="BF204" s="61"/>
      <c r="BG204" s="61"/>
      <c r="BH204" s="61"/>
      <c r="BI204" s="1"/>
      <c r="BJ204" s="61"/>
      <c r="BK204" s="67"/>
      <c r="BL204" s="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1"/>
      <c r="BZ204" s="1"/>
      <c r="CA204" s="61"/>
      <c r="CB204" s="61"/>
      <c r="CC204" s="1"/>
      <c r="CD204" s="1"/>
      <c r="CE204" s="6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8"/>
      <c r="DM204" s="8"/>
      <c r="DN204" s="8"/>
    </row>
    <row r="205" spans="1:118" ht="13.35" hidden="1" customHeight="1">
      <c r="A205" s="92" t="s">
        <v>12</v>
      </c>
      <c r="B205" s="92"/>
      <c r="C205" s="268" t="s">
        <v>31</v>
      </c>
      <c r="D205" s="280">
        <v>61.29</v>
      </c>
      <c r="E205" s="156" t="s">
        <v>275</v>
      </c>
      <c r="F205" s="159" t="s">
        <v>289</v>
      </c>
      <c r="G205" s="7">
        <v>24</v>
      </c>
      <c r="H205" s="4" t="s">
        <v>22</v>
      </c>
      <c r="I205" s="229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333"/>
      <c r="AQ205" s="2"/>
      <c r="AR205" s="60"/>
      <c r="AS205" s="60"/>
      <c r="AT205" s="60"/>
      <c r="AU205" s="2"/>
      <c r="AV205" s="60">
        <v>22.2</v>
      </c>
      <c r="AW205" s="60"/>
      <c r="AX205" s="2"/>
      <c r="AY205" s="2"/>
      <c r="AZ205" s="2"/>
      <c r="BA205" s="60"/>
      <c r="BB205" s="60"/>
      <c r="BC205" s="60">
        <v>23.6</v>
      </c>
      <c r="BD205" s="2"/>
      <c r="BE205" s="2"/>
      <c r="BF205" s="60"/>
      <c r="BG205" s="60"/>
      <c r="BH205" s="60"/>
      <c r="BI205" s="2"/>
      <c r="BJ205" s="60"/>
      <c r="BK205" s="66"/>
      <c r="BL205" s="2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2"/>
      <c r="BZ205" s="2"/>
      <c r="CA205" s="60"/>
      <c r="CB205" s="2"/>
      <c r="CC205" s="2"/>
      <c r="CD205" s="2"/>
      <c r="CE205" s="60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8"/>
      <c r="DM205" s="8"/>
      <c r="DN205" s="8"/>
    </row>
    <row r="206" spans="1:118" ht="13.35" hidden="1" customHeight="1">
      <c r="A206" s="91" t="s">
        <v>12</v>
      </c>
      <c r="B206" s="91"/>
      <c r="C206" s="267" t="s">
        <v>31</v>
      </c>
      <c r="D206" s="279">
        <v>67.8</v>
      </c>
      <c r="E206" s="155" t="s">
        <v>275</v>
      </c>
      <c r="F206" s="160" t="s">
        <v>290</v>
      </c>
      <c r="G206" s="6">
        <v>23</v>
      </c>
      <c r="H206" s="5" t="s">
        <v>291</v>
      </c>
      <c r="I206" s="23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>
        <v>19</v>
      </c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332"/>
      <c r="AQ206" s="1"/>
      <c r="AR206" s="61"/>
      <c r="AS206" s="61"/>
      <c r="AT206" s="61"/>
      <c r="AU206" s="1"/>
      <c r="AV206" s="61"/>
      <c r="AW206" s="61"/>
      <c r="AX206" s="1"/>
      <c r="AY206" s="1"/>
      <c r="AZ206" s="1"/>
      <c r="BA206" s="61"/>
      <c r="BB206" s="61"/>
      <c r="BC206" s="61"/>
      <c r="BD206" s="1"/>
      <c r="BE206" s="1"/>
      <c r="BF206" s="61"/>
      <c r="BG206" s="61"/>
      <c r="BH206" s="61"/>
      <c r="BI206" s="1"/>
      <c r="BJ206" s="61"/>
      <c r="BK206" s="67"/>
      <c r="BL206" s="1"/>
      <c r="BM206" s="1"/>
      <c r="BN206" s="61"/>
      <c r="BO206" s="1"/>
      <c r="BP206" s="1"/>
      <c r="BQ206" s="1"/>
      <c r="BR206" s="1"/>
      <c r="BS206" s="1"/>
      <c r="BT206" s="1"/>
      <c r="BU206" s="1"/>
      <c r="BV206" s="1"/>
      <c r="BW206" s="61"/>
      <c r="BX206" s="1"/>
      <c r="BY206" s="1"/>
      <c r="BZ206" s="1"/>
      <c r="CA206" s="61"/>
      <c r="CB206" s="1"/>
      <c r="CC206" s="1"/>
      <c r="CD206" s="1"/>
      <c r="CE206" s="6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8"/>
      <c r="DM206" s="8"/>
      <c r="DN206" s="8"/>
    </row>
    <row r="207" spans="1:118" s="104" customFormat="1" ht="13.35" hidden="1" customHeight="1">
      <c r="A207" s="96" t="s">
        <v>12</v>
      </c>
      <c r="B207" s="96" t="s">
        <v>13</v>
      </c>
      <c r="C207" s="269" t="s">
        <v>14</v>
      </c>
      <c r="D207" s="281">
        <v>21.75</v>
      </c>
      <c r="E207" s="157" t="s">
        <v>275</v>
      </c>
      <c r="F207" s="161" t="s">
        <v>292</v>
      </c>
      <c r="G207" s="102">
        <v>24.5</v>
      </c>
      <c r="H207" s="109" t="s">
        <v>293</v>
      </c>
      <c r="I207" s="232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337"/>
      <c r="AQ207" s="108"/>
      <c r="AR207" s="107"/>
      <c r="AS207" s="107"/>
      <c r="AT207" s="107"/>
      <c r="AU207" s="108"/>
      <c r="AV207" s="107"/>
      <c r="AW207" s="107"/>
      <c r="AX207" s="108"/>
      <c r="AY207" s="108"/>
      <c r="AZ207" s="108"/>
      <c r="BA207" s="107"/>
      <c r="BB207" s="107"/>
      <c r="BC207" s="107"/>
      <c r="BD207" s="108"/>
      <c r="BE207" s="108"/>
      <c r="BF207" s="107"/>
      <c r="BG207" s="107"/>
      <c r="BH207" s="107"/>
      <c r="BI207" s="108"/>
      <c r="BJ207" s="107"/>
      <c r="BK207" s="123"/>
      <c r="BL207" s="108"/>
      <c r="BM207" s="108"/>
      <c r="BN207" s="107"/>
      <c r="BO207" s="108"/>
      <c r="BP207" s="108"/>
      <c r="BQ207" s="108"/>
      <c r="BR207" s="108"/>
      <c r="BS207" s="108"/>
      <c r="BT207" s="108"/>
      <c r="BU207" s="108"/>
      <c r="BV207" s="108"/>
      <c r="BW207" s="107"/>
      <c r="BX207" s="108"/>
      <c r="BY207" s="108"/>
      <c r="BZ207" s="108"/>
      <c r="CA207" s="107"/>
      <c r="CB207" s="108"/>
      <c r="CC207" s="108"/>
      <c r="CD207" s="108"/>
      <c r="CE207" s="107"/>
      <c r="CF207" s="108"/>
      <c r="CG207" s="108"/>
      <c r="CH207" s="108"/>
      <c r="CI207" s="108"/>
      <c r="CJ207" s="108"/>
      <c r="CK207" s="108"/>
      <c r="CL207" s="108"/>
      <c r="CM207" s="108"/>
      <c r="CN207" s="108"/>
      <c r="CO207" s="108"/>
      <c r="CP207" s="108"/>
      <c r="CQ207" s="108"/>
      <c r="CR207" s="108"/>
      <c r="CS207" s="108"/>
      <c r="CT207" s="108"/>
      <c r="CU207" s="108"/>
      <c r="CV207" s="108"/>
      <c r="CW207" s="108"/>
      <c r="CX207" s="108"/>
      <c r="CY207" s="108"/>
      <c r="CZ207" s="108"/>
      <c r="DA207" s="108"/>
      <c r="DB207" s="108"/>
      <c r="DC207" s="108"/>
      <c r="DD207" s="108"/>
      <c r="DE207" s="108"/>
      <c r="DF207" s="108"/>
      <c r="DG207" s="108"/>
      <c r="DH207" s="108"/>
      <c r="DI207" s="108"/>
      <c r="DJ207" s="108"/>
      <c r="DK207" s="108"/>
      <c r="DL207" s="103"/>
      <c r="DM207" s="103"/>
      <c r="DN207" s="103"/>
    </row>
    <row r="208" spans="1:118" s="104" customFormat="1" ht="13.35" hidden="1" customHeight="1">
      <c r="A208" s="96" t="s">
        <v>12</v>
      </c>
      <c r="B208" s="96" t="s">
        <v>13</v>
      </c>
      <c r="C208" s="269" t="s">
        <v>14</v>
      </c>
      <c r="D208" s="281">
        <v>19.309999999999999</v>
      </c>
      <c r="E208" s="157" t="s">
        <v>275</v>
      </c>
      <c r="F208" s="161" t="s">
        <v>294</v>
      </c>
      <c r="G208" s="102">
        <v>24.5</v>
      </c>
      <c r="H208" s="109" t="s">
        <v>293</v>
      </c>
      <c r="I208" s="232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337"/>
      <c r="AQ208" s="108"/>
      <c r="AR208" s="107"/>
      <c r="AS208" s="107"/>
      <c r="AT208" s="107"/>
      <c r="AU208" s="108"/>
      <c r="AV208" s="107"/>
      <c r="AW208" s="107"/>
      <c r="AX208" s="108"/>
      <c r="AY208" s="108"/>
      <c r="AZ208" s="108"/>
      <c r="BA208" s="107"/>
      <c r="BB208" s="107"/>
      <c r="BC208" s="107"/>
      <c r="BD208" s="108"/>
      <c r="BE208" s="108"/>
      <c r="BF208" s="107"/>
      <c r="BG208" s="107"/>
      <c r="BH208" s="107"/>
      <c r="BI208" s="108"/>
      <c r="BJ208" s="107"/>
      <c r="BK208" s="123"/>
      <c r="BL208" s="108"/>
      <c r="BM208" s="108"/>
      <c r="BN208" s="107"/>
      <c r="BO208" s="108"/>
      <c r="BP208" s="108"/>
      <c r="BQ208" s="108"/>
      <c r="BR208" s="108"/>
      <c r="BS208" s="108"/>
      <c r="BT208" s="108"/>
      <c r="BU208" s="108"/>
      <c r="BV208" s="108"/>
      <c r="BW208" s="107"/>
      <c r="BX208" s="108"/>
      <c r="BY208" s="108"/>
      <c r="BZ208" s="108"/>
      <c r="CA208" s="107"/>
      <c r="CB208" s="108"/>
      <c r="CC208" s="108"/>
      <c r="CD208" s="108"/>
      <c r="CE208" s="107"/>
      <c r="CF208" s="108"/>
      <c r="CG208" s="108"/>
      <c r="CH208" s="108"/>
      <c r="CI208" s="108"/>
      <c r="CJ208" s="108"/>
      <c r="CK208" s="108"/>
      <c r="CL208" s="108"/>
      <c r="CM208" s="108"/>
      <c r="CN208" s="108"/>
      <c r="CO208" s="108"/>
      <c r="CP208" s="108"/>
      <c r="CQ208" s="108"/>
      <c r="CR208" s="108"/>
      <c r="CS208" s="108"/>
      <c r="CT208" s="108"/>
      <c r="CU208" s="108"/>
      <c r="CV208" s="108"/>
      <c r="CW208" s="108"/>
      <c r="CX208" s="108"/>
      <c r="CY208" s="108"/>
      <c r="CZ208" s="108"/>
      <c r="DA208" s="108"/>
      <c r="DB208" s="108"/>
      <c r="DC208" s="108"/>
      <c r="DD208" s="108"/>
      <c r="DE208" s="108"/>
      <c r="DF208" s="108"/>
      <c r="DG208" s="108"/>
      <c r="DH208" s="108"/>
      <c r="DI208" s="108"/>
      <c r="DJ208" s="108"/>
      <c r="DK208" s="108"/>
      <c r="DL208" s="103"/>
      <c r="DM208" s="103"/>
      <c r="DN208" s="103"/>
    </row>
    <row r="209" spans="1:118" s="104" customFormat="1" ht="13.35" hidden="1" customHeight="1">
      <c r="A209" s="96" t="s">
        <v>12</v>
      </c>
      <c r="B209" s="96" t="s">
        <v>13</v>
      </c>
      <c r="C209" s="269" t="s">
        <v>14</v>
      </c>
      <c r="D209" s="281"/>
      <c r="E209" s="157" t="s">
        <v>275</v>
      </c>
      <c r="F209" s="161" t="s">
        <v>295</v>
      </c>
      <c r="G209" s="102">
        <v>24.5</v>
      </c>
      <c r="H209" s="109" t="s">
        <v>293</v>
      </c>
      <c r="I209" s="232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337"/>
      <c r="AQ209" s="108"/>
      <c r="AR209" s="107"/>
      <c r="AS209" s="107"/>
      <c r="AT209" s="107"/>
      <c r="AU209" s="108"/>
      <c r="AV209" s="107">
        <v>24</v>
      </c>
      <c r="AW209" s="107"/>
      <c r="AX209" s="108"/>
      <c r="AY209" s="108"/>
      <c r="AZ209" s="108"/>
      <c r="BA209" s="107"/>
      <c r="BB209" s="107"/>
      <c r="BC209" s="107"/>
      <c r="BD209" s="108"/>
      <c r="BE209" s="108"/>
      <c r="BF209" s="107"/>
      <c r="BG209" s="107"/>
      <c r="BH209" s="107"/>
      <c r="BI209" s="108"/>
      <c r="BJ209" s="107"/>
      <c r="BK209" s="123"/>
      <c r="BL209" s="108"/>
      <c r="BM209" s="108"/>
      <c r="BN209" s="107"/>
      <c r="BO209" s="108"/>
      <c r="BP209" s="108"/>
      <c r="BQ209" s="108"/>
      <c r="BR209" s="108"/>
      <c r="BS209" s="108"/>
      <c r="BT209" s="108"/>
      <c r="BU209" s="108"/>
      <c r="BV209" s="108"/>
      <c r="BW209" s="107"/>
      <c r="BX209" s="108"/>
      <c r="BY209" s="108"/>
      <c r="BZ209" s="108"/>
      <c r="CA209" s="107"/>
      <c r="CB209" s="108"/>
      <c r="CC209" s="108"/>
      <c r="CD209" s="108"/>
      <c r="CE209" s="107"/>
      <c r="CF209" s="108"/>
      <c r="CG209" s="108"/>
      <c r="CH209" s="108"/>
      <c r="CI209" s="108"/>
      <c r="CJ209" s="108"/>
      <c r="CK209" s="108"/>
      <c r="CL209" s="108"/>
      <c r="CM209" s="108"/>
      <c r="CN209" s="108"/>
      <c r="CO209" s="108"/>
      <c r="CP209" s="108"/>
      <c r="CQ209" s="108"/>
      <c r="CR209" s="108"/>
      <c r="CS209" s="108"/>
      <c r="CT209" s="108"/>
      <c r="CU209" s="108"/>
      <c r="CV209" s="108"/>
      <c r="CW209" s="108"/>
      <c r="CX209" s="108"/>
      <c r="CY209" s="108"/>
      <c r="CZ209" s="108"/>
      <c r="DA209" s="108"/>
      <c r="DB209" s="108"/>
      <c r="DC209" s="108"/>
      <c r="DD209" s="108"/>
      <c r="DE209" s="108"/>
      <c r="DF209" s="108"/>
      <c r="DG209" s="108"/>
      <c r="DH209" s="108"/>
      <c r="DI209" s="108"/>
      <c r="DJ209" s="108"/>
      <c r="DK209" s="108"/>
      <c r="DL209" s="103"/>
      <c r="DM209" s="103"/>
      <c r="DN209" s="103"/>
    </row>
    <row r="210" spans="1:118" s="104" customFormat="1" ht="13.35" hidden="1" customHeight="1">
      <c r="A210" s="96" t="s">
        <v>12</v>
      </c>
      <c r="B210" s="96" t="s">
        <v>13</v>
      </c>
      <c r="C210" s="269" t="s">
        <v>14</v>
      </c>
      <c r="D210" s="281"/>
      <c r="E210" s="157" t="s">
        <v>275</v>
      </c>
      <c r="F210" s="161" t="s">
        <v>296</v>
      </c>
      <c r="G210" s="102">
        <v>24.5</v>
      </c>
      <c r="H210" s="109" t="s">
        <v>293</v>
      </c>
      <c r="I210" s="232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337"/>
      <c r="AQ210" s="108"/>
      <c r="AR210" s="107"/>
      <c r="AS210" s="107"/>
      <c r="AT210" s="107"/>
      <c r="AU210" s="108"/>
      <c r="AV210" s="107">
        <v>26</v>
      </c>
      <c r="AW210" s="107"/>
      <c r="AX210" s="108"/>
      <c r="AY210" s="108"/>
      <c r="AZ210" s="108"/>
      <c r="BA210" s="107"/>
      <c r="BB210" s="107"/>
      <c r="BC210" s="107"/>
      <c r="BD210" s="108"/>
      <c r="BE210" s="108"/>
      <c r="BF210" s="107"/>
      <c r="BG210" s="107"/>
      <c r="BH210" s="107"/>
      <c r="BI210" s="108"/>
      <c r="BJ210" s="107"/>
      <c r="BK210" s="123"/>
      <c r="BL210" s="108"/>
      <c r="BM210" s="108"/>
      <c r="BN210" s="107"/>
      <c r="BO210" s="108"/>
      <c r="BP210" s="108"/>
      <c r="BQ210" s="108"/>
      <c r="BR210" s="108"/>
      <c r="BS210" s="108"/>
      <c r="BT210" s="108"/>
      <c r="BU210" s="108"/>
      <c r="BV210" s="108"/>
      <c r="BW210" s="107"/>
      <c r="BX210" s="108"/>
      <c r="BY210" s="108"/>
      <c r="BZ210" s="108"/>
      <c r="CA210" s="107"/>
      <c r="CB210" s="108"/>
      <c r="CC210" s="108"/>
      <c r="CD210" s="108"/>
      <c r="CE210" s="107"/>
      <c r="CF210" s="108"/>
      <c r="CG210" s="108"/>
      <c r="CH210" s="108"/>
      <c r="CI210" s="108"/>
      <c r="CJ210" s="108"/>
      <c r="CK210" s="108"/>
      <c r="CL210" s="108"/>
      <c r="CM210" s="108"/>
      <c r="CN210" s="108"/>
      <c r="CO210" s="108"/>
      <c r="CP210" s="108"/>
      <c r="CQ210" s="108"/>
      <c r="CR210" s="108"/>
      <c r="CS210" s="108"/>
      <c r="CT210" s="108"/>
      <c r="CU210" s="108"/>
      <c r="CV210" s="108"/>
      <c r="CW210" s="108"/>
      <c r="CX210" s="108"/>
      <c r="CY210" s="108"/>
      <c r="CZ210" s="108"/>
      <c r="DA210" s="108"/>
      <c r="DB210" s="108"/>
      <c r="DC210" s="108"/>
      <c r="DD210" s="108"/>
      <c r="DE210" s="108"/>
      <c r="DF210" s="108"/>
      <c r="DG210" s="108"/>
      <c r="DH210" s="108"/>
      <c r="DI210" s="108"/>
      <c r="DJ210" s="108"/>
      <c r="DK210" s="108"/>
      <c r="DL210" s="103"/>
      <c r="DM210" s="103"/>
      <c r="DN210" s="103"/>
    </row>
    <row r="211" spans="1:118" s="104" customFormat="1" ht="13.35" hidden="1" customHeight="1">
      <c r="A211" s="96" t="s">
        <v>12</v>
      </c>
      <c r="B211" s="96" t="s">
        <v>13</v>
      </c>
      <c r="C211" s="269" t="s">
        <v>14</v>
      </c>
      <c r="D211" s="281"/>
      <c r="E211" s="157" t="s">
        <v>275</v>
      </c>
      <c r="F211" s="161" t="s">
        <v>297</v>
      </c>
      <c r="G211" s="102">
        <v>24.5</v>
      </c>
      <c r="H211" s="109" t="s">
        <v>293</v>
      </c>
      <c r="I211" s="232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337"/>
      <c r="AQ211" s="108"/>
      <c r="AR211" s="107"/>
      <c r="AS211" s="107"/>
      <c r="AT211" s="107"/>
      <c r="AU211" s="108"/>
      <c r="AV211" s="107"/>
      <c r="AW211" s="107"/>
      <c r="AX211" s="108"/>
      <c r="AY211" s="108"/>
      <c r="AZ211" s="108"/>
      <c r="BA211" s="107"/>
      <c r="BB211" s="107"/>
      <c r="BC211" s="107"/>
      <c r="BD211" s="108"/>
      <c r="BE211" s="108"/>
      <c r="BF211" s="107"/>
      <c r="BG211" s="107"/>
      <c r="BH211" s="107"/>
      <c r="BI211" s="108"/>
      <c r="BJ211" s="107"/>
      <c r="BK211" s="123"/>
      <c r="BL211" s="108"/>
      <c r="BM211" s="108"/>
      <c r="BN211" s="107"/>
      <c r="BO211" s="108"/>
      <c r="BP211" s="108"/>
      <c r="BQ211" s="108"/>
      <c r="BR211" s="108"/>
      <c r="BS211" s="108"/>
      <c r="BT211" s="108"/>
      <c r="BU211" s="108"/>
      <c r="BV211" s="108"/>
      <c r="BW211" s="107"/>
      <c r="BX211" s="108"/>
      <c r="BY211" s="108"/>
      <c r="BZ211" s="108"/>
      <c r="CA211" s="107"/>
      <c r="CB211" s="108"/>
      <c r="CC211" s="108"/>
      <c r="CD211" s="108"/>
      <c r="CE211" s="107"/>
      <c r="CF211" s="108"/>
      <c r="CG211" s="108"/>
      <c r="CH211" s="108"/>
      <c r="CI211" s="108"/>
      <c r="CJ211" s="108"/>
      <c r="CK211" s="108"/>
      <c r="CL211" s="108"/>
      <c r="CM211" s="108"/>
      <c r="CN211" s="108"/>
      <c r="CO211" s="108"/>
      <c r="CP211" s="108"/>
      <c r="CQ211" s="108"/>
      <c r="CR211" s="108"/>
      <c r="CS211" s="108"/>
      <c r="CT211" s="108"/>
      <c r="CU211" s="108"/>
      <c r="CV211" s="108"/>
      <c r="CW211" s="108"/>
      <c r="CX211" s="108"/>
      <c r="CY211" s="108"/>
      <c r="CZ211" s="108"/>
      <c r="DA211" s="108"/>
      <c r="DB211" s="108"/>
      <c r="DC211" s="108"/>
      <c r="DD211" s="108"/>
      <c r="DE211" s="108"/>
      <c r="DF211" s="108"/>
      <c r="DG211" s="108"/>
      <c r="DH211" s="108"/>
      <c r="DI211" s="108"/>
      <c r="DJ211" s="108"/>
      <c r="DK211" s="108"/>
      <c r="DL211" s="103"/>
      <c r="DM211" s="103"/>
      <c r="DN211" s="103"/>
    </row>
    <row r="212" spans="1:118" s="104" customFormat="1" ht="13.35" hidden="1" customHeight="1">
      <c r="A212" s="96" t="s">
        <v>12</v>
      </c>
      <c r="B212" s="96" t="s">
        <v>13</v>
      </c>
      <c r="C212" s="269" t="s">
        <v>14</v>
      </c>
      <c r="D212" s="281"/>
      <c r="E212" s="157" t="s">
        <v>275</v>
      </c>
      <c r="F212" s="161" t="s">
        <v>298</v>
      </c>
      <c r="G212" s="102">
        <v>24.5</v>
      </c>
      <c r="H212" s="109" t="s">
        <v>293</v>
      </c>
      <c r="I212" s="232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337"/>
      <c r="AQ212" s="108"/>
      <c r="AR212" s="107"/>
      <c r="AS212" s="107"/>
      <c r="AT212" s="107"/>
      <c r="AU212" s="108"/>
      <c r="AV212" s="107"/>
      <c r="AW212" s="107"/>
      <c r="AX212" s="108"/>
      <c r="AY212" s="108"/>
      <c r="AZ212" s="108"/>
      <c r="BA212" s="107"/>
      <c r="BB212" s="107"/>
      <c r="BC212" s="107"/>
      <c r="BD212" s="108"/>
      <c r="BE212" s="108"/>
      <c r="BF212" s="107"/>
      <c r="BG212" s="107"/>
      <c r="BH212" s="107"/>
      <c r="BI212" s="108"/>
      <c r="BJ212" s="107"/>
      <c r="BK212" s="123"/>
      <c r="BL212" s="108"/>
      <c r="BM212" s="108"/>
      <c r="BN212" s="107"/>
      <c r="BO212" s="108"/>
      <c r="BP212" s="108"/>
      <c r="BQ212" s="108"/>
      <c r="BR212" s="108"/>
      <c r="BS212" s="108"/>
      <c r="BT212" s="108"/>
      <c r="BU212" s="108"/>
      <c r="BV212" s="108"/>
      <c r="BW212" s="107"/>
      <c r="BX212" s="108"/>
      <c r="BY212" s="108"/>
      <c r="BZ212" s="108"/>
      <c r="CA212" s="107"/>
      <c r="CB212" s="108"/>
      <c r="CC212" s="108"/>
      <c r="CD212" s="108"/>
      <c r="CE212" s="107"/>
      <c r="CF212" s="108"/>
      <c r="CG212" s="108"/>
      <c r="CH212" s="108"/>
      <c r="CI212" s="108"/>
      <c r="CJ212" s="108"/>
      <c r="CK212" s="108"/>
      <c r="CL212" s="108"/>
      <c r="CM212" s="108"/>
      <c r="CN212" s="108"/>
      <c r="CO212" s="108"/>
      <c r="CP212" s="108"/>
      <c r="CQ212" s="108"/>
      <c r="CR212" s="108"/>
      <c r="CS212" s="108"/>
      <c r="CT212" s="108"/>
      <c r="CU212" s="108"/>
      <c r="CV212" s="108"/>
      <c r="CW212" s="108"/>
      <c r="CX212" s="108"/>
      <c r="CY212" s="108"/>
      <c r="CZ212" s="108"/>
      <c r="DA212" s="108"/>
      <c r="DB212" s="108"/>
      <c r="DC212" s="108"/>
      <c r="DD212" s="108"/>
      <c r="DE212" s="108"/>
      <c r="DF212" s="108"/>
      <c r="DG212" s="108"/>
      <c r="DH212" s="108"/>
      <c r="DI212" s="108"/>
      <c r="DJ212" s="108"/>
      <c r="DK212" s="108"/>
      <c r="DL212" s="103"/>
      <c r="DM212" s="103"/>
      <c r="DN212" s="103"/>
    </row>
    <row r="213" spans="1:118" ht="13.35" hidden="1" customHeight="1">
      <c r="A213" s="91" t="s">
        <v>12</v>
      </c>
      <c r="B213" s="91" t="s">
        <v>13</v>
      </c>
      <c r="C213" s="267" t="s">
        <v>14</v>
      </c>
      <c r="D213" s="279">
        <v>18.39</v>
      </c>
      <c r="E213" s="155" t="s">
        <v>275</v>
      </c>
      <c r="F213" s="160" t="s">
        <v>299</v>
      </c>
      <c r="G213" s="6"/>
      <c r="H213" s="5" t="s">
        <v>22</v>
      </c>
      <c r="I213" s="23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332"/>
      <c r="AQ213" s="1"/>
      <c r="AR213" s="61"/>
      <c r="AS213" s="61"/>
      <c r="AT213" s="61"/>
      <c r="AU213" s="1"/>
      <c r="AV213" s="61" t="s">
        <v>300</v>
      </c>
      <c r="AW213" s="61"/>
      <c r="AX213" s="1"/>
      <c r="AY213" s="1"/>
      <c r="AZ213" s="1"/>
      <c r="BA213" s="61"/>
      <c r="BB213" s="61"/>
      <c r="BC213" s="61"/>
      <c r="BD213" s="1"/>
      <c r="BE213" s="1"/>
      <c r="BF213" s="61"/>
      <c r="BG213" s="1"/>
      <c r="BH213" s="61"/>
      <c r="BI213" s="1"/>
      <c r="BJ213" s="61"/>
      <c r="BK213" s="67"/>
      <c r="BL213" s="1"/>
      <c r="BM213" s="1"/>
      <c r="BN213" s="61"/>
      <c r="BO213" s="1"/>
      <c r="BP213" s="1"/>
      <c r="BQ213" s="1"/>
      <c r="BR213" s="1"/>
      <c r="BS213" s="1"/>
      <c r="BT213" s="1"/>
      <c r="BU213" s="1"/>
      <c r="BV213" s="1"/>
      <c r="BW213" s="61"/>
      <c r="BX213" s="1"/>
      <c r="BY213" s="1"/>
      <c r="BZ213" s="1"/>
      <c r="CA213" s="61"/>
      <c r="CB213" s="1"/>
      <c r="CC213" s="1"/>
      <c r="CD213" s="1"/>
      <c r="CE213" s="6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8"/>
      <c r="DM213" s="8"/>
      <c r="DN213" s="8"/>
    </row>
    <row r="214" spans="1:118" ht="13.35" hidden="1" customHeight="1">
      <c r="A214" s="92" t="s">
        <v>12</v>
      </c>
      <c r="B214" s="96" t="s">
        <v>13</v>
      </c>
      <c r="C214" s="268" t="s">
        <v>14</v>
      </c>
      <c r="D214" s="280">
        <v>34.06</v>
      </c>
      <c r="E214" s="156" t="s">
        <v>275</v>
      </c>
      <c r="F214" s="159" t="s">
        <v>301</v>
      </c>
      <c r="G214" s="7">
        <v>24</v>
      </c>
      <c r="H214" s="4" t="s">
        <v>94</v>
      </c>
      <c r="I214" s="229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>
        <v>21.6</v>
      </c>
      <c r="AJ214" s="60"/>
      <c r="AK214" s="60"/>
      <c r="AL214" s="60"/>
      <c r="AM214" s="60"/>
      <c r="AN214" s="60"/>
      <c r="AO214" s="60"/>
      <c r="AP214" s="333"/>
      <c r="AQ214" s="2"/>
      <c r="AR214" s="60">
        <v>23.3</v>
      </c>
      <c r="AS214" s="60"/>
      <c r="AT214" s="60"/>
      <c r="AU214" s="2"/>
      <c r="AV214" s="60">
        <v>24.7</v>
      </c>
      <c r="AW214" s="60"/>
      <c r="AX214" s="2"/>
      <c r="AY214" s="2"/>
      <c r="AZ214" s="2"/>
      <c r="BA214" s="60"/>
      <c r="BB214" s="60" t="s">
        <v>167</v>
      </c>
      <c r="BC214" s="60"/>
      <c r="BD214" s="2"/>
      <c r="BE214" s="2"/>
      <c r="BF214" s="60">
        <v>26.2</v>
      </c>
      <c r="BG214" s="60"/>
      <c r="BH214" s="60"/>
      <c r="BI214" s="2"/>
      <c r="BJ214" s="60"/>
      <c r="BK214" s="66"/>
      <c r="BL214" s="2"/>
      <c r="BM214" s="2"/>
      <c r="BN214" s="60"/>
      <c r="BO214" s="2"/>
      <c r="BP214" s="2"/>
      <c r="BQ214" s="2"/>
      <c r="BR214" s="2"/>
      <c r="BS214" s="2"/>
      <c r="BT214" s="2"/>
      <c r="BU214" s="2"/>
      <c r="BV214" s="2"/>
      <c r="BW214" s="60"/>
      <c r="BX214" s="2"/>
      <c r="BY214" s="2"/>
      <c r="BZ214" s="2"/>
      <c r="CA214" s="60"/>
      <c r="CB214" s="2"/>
      <c r="CC214" s="2"/>
      <c r="CD214" s="2"/>
      <c r="CE214" s="60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8"/>
      <c r="DM214" s="8"/>
      <c r="DN214" s="8"/>
    </row>
    <row r="215" spans="1:118" ht="13.35" hidden="1" customHeight="1">
      <c r="A215" s="92" t="s">
        <v>12</v>
      </c>
      <c r="B215" s="96" t="s">
        <v>13</v>
      </c>
      <c r="C215" s="268" t="s">
        <v>14</v>
      </c>
      <c r="D215" s="280"/>
      <c r="E215" s="156" t="s">
        <v>275</v>
      </c>
      <c r="F215" s="159" t="s">
        <v>302</v>
      </c>
      <c r="G215" s="7">
        <v>24</v>
      </c>
      <c r="H215" s="4" t="s">
        <v>94</v>
      </c>
      <c r="I215" s="229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333"/>
      <c r="AQ215" s="2"/>
      <c r="AR215" s="60"/>
      <c r="AS215" s="60"/>
      <c r="AT215" s="60"/>
      <c r="AU215" s="2"/>
      <c r="AV215" s="60"/>
      <c r="AW215" s="60"/>
      <c r="AX215" s="2"/>
      <c r="AY215" s="2"/>
      <c r="AZ215" s="2"/>
      <c r="BA215" s="60"/>
      <c r="BB215" s="60"/>
      <c r="BC215" s="60"/>
      <c r="BD215" s="2"/>
      <c r="BE215" s="2"/>
      <c r="BF215" s="60"/>
      <c r="BG215" s="60"/>
      <c r="BH215" s="60"/>
      <c r="BI215" s="2"/>
      <c r="BJ215" s="60"/>
      <c r="BK215" s="66"/>
      <c r="BL215" s="2"/>
      <c r="BM215" s="2"/>
      <c r="BN215" s="60"/>
      <c r="BO215" s="2"/>
      <c r="BP215" s="2"/>
      <c r="BQ215" s="2"/>
      <c r="BR215" s="2"/>
      <c r="BS215" s="2"/>
      <c r="BT215" s="2"/>
      <c r="BU215" s="2"/>
      <c r="BV215" s="2"/>
      <c r="BW215" s="60"/>
      <c r="BX215" s="2"/>
      <c r="BY215" s="2"/>
      <c r="BZ215" s="2"/>
      <c r="CA215" s="60"/>
      <c r="CB215" s="2"/>
      <c r="CC215" s="2"/>
      <c r="CD215" s="2"/>
      <c r="CE215" s="60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8"/>
      <c r="DM215" s="8"/>
      <c r="DN215" s="8"/>
    </row>
    <row r="216" spans="1:118" ht="13.35" hidden="1" customHeight="1">
      <c r="A216" s="92" t="s">
        <v>12</v>
      </c>
      <c r="B216" s="96" t="s">
        <v>13</v>
      </c>
      <c r="C216" s="268" t="s">
        <v>14</v>
      </c>
      <c r="D216" s="280"/>
      <c r="E216" s="156" t="s">
        <v>275</v>
      </c>
      <c r="F216" s="159" t="s">
        <v>303</v>
      </c>
      <c r="G216" s="7">
        <v>24</v>
      </c>
      <c r="H216" s="4" t="s">
        <v>94</v>
      </c>
      <c r="I216" s="229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333"/>
      <c r="AQ216" s="2"/>
      <c r="AR216" s="60"/>
      <c r="AS216" s="60"/>
      <c r="AT216" s="60"/>
      <c r="AU216" s="2"/>
      <c r="AV216" s="60"/>
      <c r="AW216" s="60"/>
      <c r="AX216" s="2"/>
      <c r="AY216" s="2"/>
      <c r="AZ216" s="2"/>
      <c r="BA216" s="60"/>
      <c r="BB216" s="60"/>
      <c r="BC216" s="60"/>
      <c r="BD216" s="2"/>
      <c r="BE216" s="2"/>
      <c r="BF216" s="60"/>
      <c r="BG216" s="60"/>
      <c r="BH216" s="60"/>
      <c r="BI216" s="2"/>
      <c r="BJ216" s="60"/>
      <c r="BK216" s="66"/>
      <c r="BL216" s="2"/>
      <c r="BM216" s="2"/>
      <c r="BN216" s="60"/>
      <c r="BO216" s="2"/>
      <c r="BP216" s="2"/>
      <c r="BQ216" s="2"/>
      <c r="BR216" s="2"/>
      <c r="BS216" s="2"/>
      <c r="BT216" s="2"/>
      <c r="BU216" s="2"/>
      <c r="BV216" s="2"/>
      <c r="BW216" s="60"/>
      <c r="BX216" s="2"/>
      <c r="BY216" s="2"/>
      <c r="BZ216" s="2"/>
      <c r="CA216" s="60"/>
      <c r="CB216" s="2"/>
      <c r="CC216" s="2"/>
      <c r="CD216" s="2"/>
      <c r="CE216" s="60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8"/>
      <c r="DM216" s="8"/>
      <c r="DN216" s="8"/>
    </row>
    <row r="217" spans="1:118" ht="13.35" hidden="1" customHeight="1">
      <c r="A217" s="91" t="s">
        <v>12</v>
      </c>
      <c r="B217" s="91" t="s">
        <v>13</v>
      </c>
      <c r="C217" s="267" t="s">
        <v>14</v>
      </c>
      <c r="D217" s="279">
        <v>66.48</v>
      </c>
      <c r="E217" s="155" t="s">
        <v>275</v>
      </c>
      <c r="F217" s="160" t="s">
        <v>304</v>
      </c>
      <c r="G217" s="6">
        <v>24</v>
      </c>
      <c r="H217" s="5" t="s">
        <v>22</v>
      </c>
      <c r="I217" s="23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332">
        <v>21.6</v>
      </c>
      <c r="AQ217" s="1"/>
      <c r="AR217" s="61"/>
      <c r="AS217" s="61"/>
      <c r="AT217" s="61"/>
      <c r="AU217" s="1"/>
      <c r="AV217" s="61"/>
      <c r="AW217" s="61">
        <v>22.7</v>
      </c>
      <c r="AX217" s="1"/>
      <c r="AY217" s="1"/>
      <c r="AZ217" s="1"/>
      <c r="BA217" s="61">
        <v>23.2</v>
      </c>
      <c r="BB217" s="61"/>
      <c r="BC217" s="61"/>
      <c r="BD217" s="1"/>
      <c r="BE217" s="1"/>
      <c r="BF217" s="61"/>
      <c r="BG217" s="61">
        <v>24.7</v>
      </c>
      <c r="BH217" s="61"/>
      <c r="BI217" s="1"/>
      <c r="BJ217" s="61"/>
      <c r="BK217" s="67"/>
      <c r="BL217" s="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1"/>
      <c r="BY217" s="1"/>
      <c r="BZ217" s="1"/>
      <c r="CA217" s="61"/>
      <c r="CB217" s="1"/>
      <c r="CC217" s="1"/>
      <c r="CD217" s="1"/>
      <c r="CE217" s="6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8"/>
      <c r="DM217" s="8"/>
      <c r="DN217" s="8"/>
    </row>
    <row r="218" spans="1:118" ht="13.35" hidden="1" customHeight="1">
      <c r="A218" s="91" t="s">
        <v>12</v>
      </c>
      <c r="B218" s="91" t="s">
        <v>13</v>
      </c>
      <c r="C218" s="267" t="s">
        <v>14</v>
      </c>
      <c r="D218" s="279"/>
      <c r="E218" s="155" t="s">
        <v>275</v>
      </c>
      <c r="F218" s="160" t="s">
        <v>305</v>
      </c>
      <c r="G218" s="6">
        <v>24</v>
      </c>
      <c r="H218" s="5" t="s">
        <v>22</v>
      </c>
      <c r="I218" s="23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332"/>
      <c r="AQ218" s="1"/>
      <c r="AR218" s="61"/>
      <c r="AS218" s="61"/>
      <c r="AT218" s="61"/>
      <c r="AU218" s="1"/>
      <c r="AV218" s="61"/>
      <c r="AW218" s="61"/>
      <c r="AX218" s="1"/>
      <c r="AY218" s="1"/>
      <c r="AZ218" s="1"/>
      <c r="BA218" s="61"/>
      <c r="BB218" s="61"/>
      <c r="BC218" s="61"/>
      <c r="BD218" s="1"/>
      <c r="BE218" s="1"/>
      <c r="BF218" s="61"/>
      <c r="BG218" s="61"/>
      <c r="BH218" s="61"/>
      <c r="BI218" s="1"/>
      <c r="BJ218" s="61"/>
      <c r="BK218" s="67"/>
      <c r="BL218" s="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1"/>
      <c r="BY218" s="1"/>
      <c r="BZ218" s="1"/>
      <c r="CA218" s="61"/>
      <c r="CB218" s="1"/>
      <c r="CC218" s="1"/>
      <c r="CD218" s="1"/>
      <c r="CE218" s="6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8"/>
      <c r="DM218" s="8"/>
      <c r="DN218" s="8"/>
    </row>
    <row r="219" spans="1:118" ht="13.35" hidden="1" customHeight="1">
      <c r="A219" s="91" t="s">
        <v>12</v>
      </c>
      <c r="B219" s="91" t="s">
        <v>13</v>
      </c>
      <c r="C219" s="267" t="s">
        <v>14</v>
      </c>
      <c r="D219" s="279"/>
      <c r="E219" s="155" t="s">
        <v>275</v>
      </c>
      <c r="F219" s="160" t="s">
        <v>306</v>
      </c>
      <c r="G219" s="6">
        <v>24</v>
      </c>
      <c r="H219" s="5" t="s">
        <v>22</v>
      </c>
      <c r="I219" s="23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332"/>
      <c r="AQ219" s="1"/>
      <c r="AR219" s="61"/>
      <c r="AS219" s="61"/>
      <c r="AT219" s="61"/>
      <c r="AU219" s="1"/>
      <c r="AV219" s="61"/>
      <c r="AW219" s="61"/>
      <c r="AX219" s="1"/>
      <c r="AY219" s="1"/>
      <c r="AZ219" s="1"/>
      <c r="BA219" s="61"/>
      <c r="BB219" s="61"/>
      <c r="BC219" s="61"/>
      <c r="BD219" s="1"/>
      <c r="BE219" s="1"/>
      <c r="BF219" s="61"/>
      <c r="BG219" s="61"/>
      <c r="BH219" s="61"/>
      <c r="BI219" s="1"/>
      <c r="BJ219" s="61"/>
      <c r="BK219" s="67"/>
      <c r="BL219" s="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1"/>
      <c r="BY219" s="1"/>
      <c r="BZ219" s="1"/>
      <c r="CA219" s="61"/>
      <c r="CB219" s="1"/>
      <c r="CC219" s="1"/>
      <c r="CD219" s="1"/>
      <c r="CE219" s="6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8"/>
      <c r="DM219" s="8"/>
      <c r="DN219" s="8"/>
    </row>
    <row r="220" spans="1:118" s="104" customFormat="1" ht="13.35" hidden="1" customHeight="1">
      <c r="A220" s="96" t="s">
        <v>12</v>
      </c>
      <c r="B220" s="96" t="s">
        <v>13</v>
      </c>
      <c r="C220" s="269" t="s">
        <v>20</v>
      </c>
      <c r="D220" s="281">
        <v>16.3</v>
      </c>
      <c r="E220" s="157" t="s">
        <v>275</v>
      </c>
      <c r="F220" s="161" t="s">
        <v>307</v>
      </c>
      <c r="G220" s="102"/>
      <c r="H220" s="109"/>
      <c r="I220" s="232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337"/>
      <c r="AQ220" s="108"/>
      <c r="AR220" s="107"/>
      <c r="AS220" s="107">
        <v>21.8</v>
      </c>
      <c r="AT220" s="107"/>
      <c r="AU220" s="108"/>
      <c r="AV220" s="107"/>
      <c r="AW220" s="107"/>
      <c r="AX220" s="108"/>
      <c r="AY220" s="108"/>
      <c r="AZ220" s="108"/>
      <c r="BA220" s="107">
        <v>24.2</v>
      </c>
      <c r="BB220" s="107"/>
      <c r="BC220" s="107"/>
      <c r="BD220" s="108"/>
      <c r="BE220" s="108"/>
      <c r="BF220" s="107"/>
      <c r="BG220" s="107"/>
      <c r="BH220" s="107"/>
      <c r="BI220" s="108"/>
      <c r="BJ220" s="107"/>
      <c r="BK220" s="123"/>
      <c r="BL220" s="108"/>
      <c r="BM220" s="108"/>
      <c r="BN220" s="107"/>
      <c r="BO220" s="108"/>
      <c r="BP220" s="108"/>
      <c r="BQ220" s="108"/>
      <c r="BR220" s="108"/>
      <c r="BS220" s="108"/>
      <c r="BT220" s="108"/>
      <c r="BU220" s="108"/>
      <c r="BV220" s="108"/>
      <c r="BW220" s="107"/>
      <c r="BX220" s="108"/>
      <c r="BY220" s="108"/>
      <c r="BZ220" s="108"/>
      <c r="CA220" s="107"/>
      <c r="CB220" s="108"/>
      <c r="CC220" s="108"/>
      <c r="CD220" s="108"/>
      <c r="CE220" s="107"/>
      <c r="CF220" s="108"/>
      <c r="CG220" s="108"/>
      <c r="CH220" s="108"/>
      <c r="CI220" s="108"/>
      <c r="CJ220" s="108"/>
      <c r="CK220" s="108"/>
      <c r="CL220" s="108"/>
      <c r="CM220" s="108"/>
      <c r="CN220" s="108"/>
      <c r="CO220" s="108"/>
      <c r="CP220" s="108"/>
      <c r="CQ220" s="108"/>
      <c r="CR220" s="108"/>
      <c r="CS220" s="108"/>
      <c r="CT220" s="108"/>
      <c r="CU220" s="108"/>
      <c r="CV220" s="108"/>
      <c r="CW220" s="108"/>
      <c r="CX220" s="108"/>
      <c r="CY220" s="108"/>
      <c r="CZ220" s="108"/>
      <c r="DA220" s="108"/>
      <c r="DB220" s="108"/>
      <c r="DC220" s="108"/>
      <c r="DD220" s="108"/>
      <c r="DE220" s="108"/>
      <c r="DF220" s="108"/>
      <c r="DG220" s="108"/>
      <c r="DH220" s="108"/>
      <c r="DI220" s="108"/>
      <c r="DJ220" s="108"/>
      <c r="DK220" s="108"/>
      <c r="DL220" s="103"/>
      <c r="DM220" s="103"/>
      <c r="DN220" s="103"/>
    </row>
    <row r="221" spans="1:118" s="104" customFormat="1" ht="12.95" hidden="1" customHeight="1">
      <c r="A221" s="96" t="s">
        <v>12</v>
      </c>
      <c r="B221" s="96" t="s">
        <v>13</v>
      </c>
      <c r="C221" s="269" t="s">
        <v>20</v>
      </c>
      <c r="D221" s="281"/>
      <c r="E221" s="157" t="s">
        <v>275</v>
      </c>
      <c r="F221" s="161" t="s">
        <v>308</v>
      </c>
      <c r="G221" s="102"/>
      <c r="H221" s="109" t="s">
        <v>16</v>
      </c>
      <c r="I221" s="232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337"/>
      <c r="AQ221" s="108"/>
      <c r="AR221" s="107"/>
      <c r="AS221" s="107"/>
      <c r="AT221" s="107"/>
      <c r="AU221" s="108"/>
      <c r="AV221" s="107"/>
      <c r="AW221" s="107"/>
      <c r="AX221" s="108"/>
      <c r="AY221" s="108"/>
      <c r="AZ221" s="108"/>
      <c r="BA221" s="107"/>
      <c r="BB221" s="107"/>
      <c r="BC221" s="107"/>
      <c r="BD221" s="108"/>
      <c r="BE221" s="108"/>
      <c r="BF221" s="107"/>
      <c r="BG221" s="107"/>
      <c r="BH221" s="107"/>
      <c r="BI221" s="108"/>
      <c r="BJ221" s="107"/>
      <c r="BK221" s="123"/>
      <c r="BL221" s="108"/>
      <c r="BM221" s="108"/>
      <c r="BN221" s="107"/>
      <c r="BO221" s="108"/>
      <c r="BP221" s="108"/>
      <c r="BQ221" s="108"/>
      <c r="BR221" s="108"/>
      <c r="BS221" s="108"/>
      <c r="BT221" s="108"/>
      <c r="BU221" s="108"/>
      <c r="BV221" s="108"/>
      <c r="BW221" s="107"/>
      <c r="BX221" s="108"/>
      <c r="BY221" s="108"/>
      <c r="BZ221" s="108"/>
      <c r="CA221" s="107"/>
      <c r="CB221" s="108"/>
      <c r="CC221" s="108"/>
      <c r="CD221" s="108"/>
      <c r="CE221" s="107"/>
      <c r="CF221" s="108"/>
      <c r="CG221" s="108"/>
      <c r="CH221" s="108"/>
      <c r="CI221" s="108"/>
      <c r="CJ221" s="108"/>
      <c r="CK221" s="108"/>
      <c r="CL221" s="108"/>
      <c r="CM221" s="108"/>
      <c r="CN221" s="108"/>
      <c r="CO221" s="108"/>
      <c r="CP221" s="108"/>
      <c r="CQ221" s="108"/>
      <c r="CR221" s="108"/>
      <c r="CS221" s="108"/>
      <c r="CT221" s="108"/>
      <c r="CU221" s="108"/>
      <c r="CV221" s="108"/>
      <c r="CW221" s="108"/>
      <c r="CX221" s="108"/>
      <c r="CY221" s="108"/>
      <c r="CZ221" s="108"/>
      <c r="DA221" s="108"/>
      <c r="DB221" s="108"/>
      <c r="DC221" s="108"/>
      <c r="DD221" s="108"/>
      <c r="DE221" s="108"/>
      <c r="DF221" s="108"/>
      <c r="DG221" s="108"/>
      <c r="DH221" s="108"/>
      <c r="DI221" s="108"/>
      <c r="DJ221" s="108"/>
      <c r="DK221" s="108"/>
      <c r="DL221" s="103"/>
      <c r="DM221" s="103"/>
      <c r="DN221" s="103"/>
    </row>
    <row r="222" spans="1:118" s="104" customFormat="1" ht="12.95" hidden="1" customHeight="1">
      <c r="A222" s="96" t="s">
        <v>12</v>
      </c>
      <c r="B222" s="96" t="s">
        <v>13</v>
      </c>
      <c r="C222" s="269" t="s">
        <v>20</v>
      </c>
      <c r="D222" s="281"/>
      <c r="E222" s="157" t="s">
        <v>275</v>
      </c>
      <c r="F222" s="161" t="s">
        <v>309</v>
      </c>
      <c r="G222" s="102"/>
      <c r="H222" s="109" t="s">
        <v>16</v>
      </c>
      <c r="I222" s="232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337"/>
      <c r="AQ222" s="108"/>
      <c r="AR222" s="107"/>
      <c r="AS222" s="107"/>
      <c r="AT222" s="107"/>
      <c r="AU222" s="108"/>
      <c r="AV222" s="107"/>
      <c r="AW222" s="107"/>
      <c r="AX222" s="108"/>
      <c r="AY222" s="108"/>
      <c r="AZ222" s="108"/>
      <c r="BA222" s="107"/>
      <c r="BB222" s="107"/>
      <c r="BC222" s="107"/>
      <c r="BD222" s="108"/>
      <c r="BE222" s="108"/>
      <c r="BF222" s="107"/>
      <c r="BG222" s="107"/>
      <c r="BH222" s="107"/>
      <c r="BI222" s="108"/>
      <c r="BJ222" s="107"/>
      <c r="BK222" s="123"/>
      <c r="BL222" s="108"/>
      <c r="BM222" s="108"/>
      <c r="BN222" s="107"/>
      <c r="BO222" s="108"/>
      <c r="BP222" s="108"/>
      <c r="BQ222" s="108"/>
      <c r="BR222" s="108"/>
      <c r="BS222" s="108"/>
      <c r="BT222" s="108"/>
      <c r="BU222" s="108"/>
      <c r="BV222" s="108"/>
      <c r="BW222" s="107"/>
      <c r="BX222" s="108"/>
      <c r="BY222" s="108"/>
      <c r="BZ222" s="108"/>
      <c r="CA222" s="107"/>
      <c r="CB222" s="108"/>
      <c r="CC222" s="108"/>
      <c r="CD222" s="108"/>
      <c r="CE222" s="107"/>
      <c r="CF222" s="108"/>
      <c r="CG222" s="108"/>
      <c r="CH222" s="108"/>
      <c r="CI222" s="108"/>
      <c r="CJ222" s="108"/>
      <c r="CK222" s="108"/>
      <c r="CL222" s="108"/>
      <c r="CM222" s="108"/>
      <c r="CN222" s="108"/>
      <c r="CO222" s="108"/>
      <c r="CP222" s="108"/>
      <c r="CQ222" s="108"/>
      <c r="CR222" s="108"/>
      <c r="CS222" s="108"/>
      <c r="CT222" s="108"/>
      <c r="CU222" s="108"/>
      <c r="CV222" s="108"/>
      <c r="CW222" s="108"/>
      <c r="CX222" s="108"/>
      <c r="CY222" s="108"/>
      <c r="CZ222" s="108"/>
      <c r="DA222" s="108"/>
      <c r="DB222" s="108"/>
      <c r="DC222" s="108"/>
      <c r="DD222" s="108"/>
      <c r="DE222" s="108"/>
      <c r="DF222" s="108"/>
      <c r="DG222" s="108"/>
      <c r="DH222" s="108"/>
      <c r="DI222" s="108"/>
      <c r="DJ222" s="108"/>
      <c r="DK222" s="108"/>
      <c r="DL222" s="103"/>
      <c r="DM222" s="103"/>
      <c r="DN222" s="103"/>
    </row>
    <row r="223" spans="1:118" ht="13.35" hidden="1" customHeight="1">
      <c r="A223" s="91" t="s">
        <v>12</v>
      </c>
      <c r="B223" s="91"/>
      <c r="C223" s="267" t="s">
        <v>31</v>
      </c>
      <c r="D223" s="279"/>
      <c r="E223" s="155" t="s">
        <v>275</v>
      </c>
      <c r="F223" s="160" t="s">
        <v>310</v>
      </c>
      <c r="G223" s="6">
        <v>24.5</v>
      </c>
      <c r="H223" s="5" t="s">
        <v>311</v>
      </c>
      <c r="I223" s="23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294">
        <v>17.600000000000001</v>
      </c>
      <c r="AO223" s="61"/>
      <c r="AP223" s="332"/>
      <c r="AQ223" s="1"/>
      <c r="AR223" s="61"/>
      <c r="AS223" s="61"/>
      <c r="AT223" s="61">
        <v>20.5</v>
      </c>
      <c r="AU223" s="61">
        <v>19.8</v>
      </c>
      <c r="AV223" s="61"/>
      <c r="AW223" s="61"/>
      <c r="AX223" s="1"/>
      <c r="AY223" s="1"/>
      <c r="AZ223" s="1"/>
      <c r="BA223" s="61">
        <v>22.6</v>
      </c>
      <c r="BB223" s="61">
        <v>19.7</v>
      </c>
      <c r="BC223" s="61"/>
      <c r="BD223" s="1"/>
      <c r="BE223" s="1"/>
      <c r="BF223" s="61"/>
      <c r="BG223" s="61"/>
      <c r="BH223" s="61"/>
      <c r="BI223" s="1"/>
      <c r="BJ223" s="61"/>
      <c r="BK223" s="67"/>
      <c r="BL223" s="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1"/>
      <c r="BZ223" s="1"/>
      <c r="CA223" s="61"/>
      <c r="CB223" s="1"/>
      <c r="CC223" s="1"/>
      <c r="CD223" s="1"/>
      <c r="CE223" s="6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8"/>
      <c r="DM223" s="8"/>
      <c r="DN223" s="8"/>
    </row>
    <row r="224" spans="1:118" ht="13.35" hidden="1" customHeight="1">
      <c r="A224" s="91" t="s">
        <v>12</v>
      </c>
      <c r="B224" s="91"/>
      <c r="C224" s="267" t="s">
        <v>31</v>
      </c>
      <c r="D224" s="279"/>
      <c r="E224" s="155" t="s">
        <v>275</v>
      </c>
      <c r="F224" s="160" t="s">
        <v>312</v>
      </c>
      <c r="G224" s="6">
        <v>24.5</v>
      </c>
      <c r="H224" s="5" t="s">
        <v>311</v>
      </c>
      <c r="I224" s="23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332"/>
      <c r="AQ224" s="1"/>
      <c r="AR224" s="61"/>
      <c r="AS224" s="61"/>
      <c r="AT224" s="61"/>
      <c r="AU224" s="1"/>
      <c r="AV224" s="61"/>
      <c r="AW224" s="61"/>
      <c r="AX224" s="1"/>
      <c r="AY224" s="1"/>
      <c r="AZ224" s="1"/>
      <c r="BA224" s="61"/>
      <c r="BB224" s="61"/>
      <c r="BC224" s="61"/>
      <c r="BD224" s="1"/>
      <c r="BE224" s="1"/>
      <c r="BF224" s="61"/>
      <c r="BG224" s="61"/>
      <c r="BH224" s="61"/>
      <c r="BI224" s="1"/>
      <c r="BJ224" s="61"/>
      <c r="BK224" s="67"/>
      <c r="BL224" s="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1"/>
      <c r="BZ224" s="1"/>
      <c r="CA224" s="61"/>
      <c r="CB224" s="1"/>
      <c r="CC224" s="1"/>
      <c r="CD224" s="1"/>
      <c r="CE224" s="6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8"/>
      <c r="DM224" s="8"/>
      <c r="DN224" s="8"/>
    </row>
    <row r="225" spans="1:118" ht="13.35" hidden="1" customHeight="1">
      <c r="A225" s="91" t="s">
        <v>12</v>
      </c>
      <c r="B225" s="91"/>
      <c r="C225" s="267" t="s">
        <v>31</v>
      </c>
      <c r="D225" s="279">
        <v>34.08</v>
      </c>
      <c r="E225" s="155" t="s">
        <v>275</v>
      </c>
      <c r="F225" s="160" t="s">
        <v>313</v>
      </c>
      <c r="G225" s="6">
        <v>24.5</v>
      </c>
      <c r="H225" s="5" t="s">
        <v>311</v>
      </c>
      <c r="I225" s="23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332"/>
      <c r="AQ225" s="1"/>
      <c r="AR225" s="61"/>
      <c r="AS225" s="61"/>
      <c r="AT225" s="61">
        <v>20.5</v>
      </c>
      <c r="AU225" s="386">
        <v>19.8</v>
      </c>
      <c r="AV225" s="61"/>
      <c r="AW225" s="61"/>
      <c r="AX225" s="1"/>
      <c r="AY225" s="1"/>
      <c r="AZ225" s="1"/>
      <c r="BA225" s="61">
        <v>22.6</v>
      </c>
      <c r="BB225" s="400">
        <v>19.7</v>
      </c>
      <c r="BC225" s="61"/>
      <c r="BD225" s="1"/>
      <c r="BE225" s="1"/>
      <c r="BF225" s="61">
        <v>22.9</v>
      </c>
      <c r="BG225" s="61"/>
      <c r="BH225" s="61"/>
      <c r="BI225" s="1"/>
      <c r="BJ225" s="61"/>
      <c r="BK225" s="67"/>
      <c r="BL225" s="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1"/>
      <c r="BZ225" s="1"/>
      <c r="CA225" s="61"/>
      <c r="CB225" s="1"/>
      <c r="CC225" s="1"/>
      <c r="CD225" s="1"/>
      <c r="CE225" s="6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8"/>
      <c r="DM225" s="8"/>
      <c r="DN225" s="8"/>
    </row>
    <row r="226" spans="1:118" s="104" customFormat="1" ht="12.95" hidden="1" customHeight="1">
      <c r="A226" s="96" t="s">
        <v>12</v>
      </c>
      <c r="B226" s="96" t="s">
        <v>13</v>
      </c>
      <c r="C226" s="269" t="s">
        <v>31</v>
      </c>
      <c r="D226" s="281">
        <v>23.13</v>
      </c>
      <c r="E226" s="157" t="s">
        <v>275</v>
      </c>
      <c r="F226" s="161" t="s">
        <v>314</v>
      </c>
      <c r="G226" s="102">
        <v>24</v>
      </c>
      <c r="H226" s="109" t="s">
        <v>16</v>
      </c>
      <c r="I226" s="232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>
        <v>20</v>
      </c>
      <c r="AI226" s="107"/>
      <c r="AJ226" s="107"/>
      <c r="AK226" s="107"/>
      <c r="AL226" s="107"/>
      <c r="AM226" s="107"/>
      <c r="AN226" s="107"/>
      <c r="AO226" s="107"/>
      <c r="AP226" s="337"/>
      <c r="AQ226" s="108"/>
      <c r="AR226" s="107"/>
      <c r="AS226" s="107">
        <v>24.4</v>
      </c>
      <c r="AT226" s="123">
        <v>24</v>
      </c>
      <c r="AU226" s="108"/>
      <c r="AV226" s="107"/>
      <c r="AW226" s="107"/>
      <c r="AX226" s="108"/>
      <c r="AY226" s="108"/>
      <c r="AZ226" s="108"/>
      <c r="BA226" s="107"/>
      <c r="BB226" s="107"/>
      <c r="BC226" s="107"/>
      <c r="BD226" s="108"/>
      <c r="BE226" s="108"/>
      <c r="BF226" s="107"/>
      <c r="BG226" s="108"/>
      <c r="BH226" s="107"/>
      <c r="BI226" s="108"/>
      <c r="BJ226" s="107"/>
      <c r="BK226" s="123"/>
      <c r="BL226" s="108"/>
      <c r="BM226" s="108"/>
      <c r="BN226" s="107"/>
      <c r="BO226" s="108"/>
      <c r="BP226" s="108"/>
      <c r="BQ226" s="108"/>
      <c r="BR226" s="108"/>
      <c r="BS226" s="108"/>
      <c r="BT226" s="108"/>
      <c r="BU226" s="108"/>
      <c r="BV226" s="108"/>
      <c r="BW226" s="107"/>
      <c r="BX226" s="108"/>
      <c r="BY226" s="108"/>
      <c r="BZ226" s="108"/>
      <c r="CA226" s="107"/>
      <c r="CB226" s="108"/>
      <c r="CC226" s="108"/>
      <c r="CD226" s="108"/>
      <c r="CE226" s="107"/>
      <c r="CF226" s="108"/>
      <c r="CG226" s="108"/>
      <c r="CH226" s="108"/>
      <c r="CI226" s="108"/>
      <c r="CJ226" s="108"/>
      <c r="CK226" s="108"/>
      <c r="CL226" s="108"/>
      <c r="CM226" s="108"/>
      <c r="CN226" s="108"/>
      <c r="CO226" s="108"/>
      <c r="CP226" s="108"/>
      <c r="CQ226" s="108"/>
      <c r="CR226" s="108"/>
      <c r="CS226" s="108"/>
      <c r="CT226" s="108"/>
      <c r="CU226" s="108"/>
      <c r="CV226" s="108"/>
      <c r="CW226" s="108"/>
      <c r="CX226" s="108"/>
      <c r="CY226" s="108"/>
      <c r="CZ226" s="108"/>
      <c r="DA226" s="108"/>
      <c r="DB226" s="108"/>
      <c r="DC226" s="108"/>
      <c r="DD226" s="108"/>
      <c r="DE226" s="108"/>
      <c r="DF226" s="108"/>
      <c r="DG226" s="108"/>
      <c r="DH226" s="108"/>
      <c r="DI226" s="108"/>
      <c r="DJ226" s="108"/>
      <c r="DK226" s="108"/>
      <c r="DL226" s="103"/>
      <c r="DM226" s="103"/>
      <c r="DN226" s="103"/>
    </row>
    <row r="227" spans="1:118" s="104" customFormat="1" ht="13.35" hidden="1" customHeight="1">
      <c r="A227" s="96" t="s">
        <v>12</v>
      </c>
      <c r="B227" s="91"/>
      <c r="C227" s="269" t="s">
        <v>31</v>
      </c>
      <c r="D227" s="281">
        <v>58.41</v>
      </c>
      <c r="E227" s="157" t="s">
        <v>275</v>
      </c>
      <c r="F227" s="161" t="s">
        <v>315</v>
      </c>
      <c r="G227" s="102">
        <v>24.5</v>
      </c>
      <c r="H227" s="109" t="s">
        <v>174</v>
      </c>
      <c r="I227" s="23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337"/>
      <c r="AQ227" s="108"/>
      <c r="AR227" s="107"/>
      <c r="AS227" s="107"/>
      <c r="AT227" s="107"/>
      <c r="AU227" s="108"/>
      <c r="AV227" s="107"/>
      <c r="AW227" s="107"/>
      <c r="AX227" s="108"/>
      <c r="AY227" s="108"/>
      <c r="AZ227" s="108"/>
      <c r="BA227" s="107">
        <v>22.1</v>
      </c>
      <c r="BB227" s="107"/>
      <c r="BC227" s="107"/>
      <c r="BD227" s="108"/>
      <c r="BE227" s="108"/>
      <c r="BF227" s="107"/>
      <c r="BG227" s="107"/>
      <c r="BH227" s="107"/>
      <c r="BI227" s="108">
        <v>24.2</v>
      </c>
      <c r="BJ227" s="107"/>
      <c r="BK227" s="123"/>
      <c r="BL227" s="108"/>
      <c r="BM227" s="107"/>
      <c r="BN227" s="107"/>
      <c r="BO227" s="107"/>
      <c r="BP227" s="107"/>
      <c r="BQ227" s="107"/>
      <c r="BR227" s="107"/>
      <c r="BS227" s="107"/>
      <c r="BT227" s="107"/>
      <c r="BU227" s="107"/>
      <c r="BV227" s="107"/>
      <c r="BW227" s="107"/>
      <c r="BX227" s="107"/>
      <c r="BY227" s="108"/>
      <c r="BZ227" s="108"/>
      <c r="CA227" s="107"/>
      <c r="CB227" s="108"/>
      <c r="CC227" s="108"/>
      <c r="CD227" s="108"/>
      <c r="CE227" s="107"/>
      <c r="CF227" s="108"/>
      <c r="CG227" s="108"/>
      <c r="CH227" s="108"/>
      <c r="CI227" s="108"/>
      <c r="CJ227" s="108"/>
      <c r="CK227" s="108"/>
      <c r="CL227" s="108"/>
      <c r="CM227" s="108"/>
      <c r="CN227" s="108"/>
      <c r="CO227" s="108"/>
      <c r="CP227" s="108"/>
      <c r="CQ227" s="108"/>
      <c r="CR227" s="108"/>
      <c r="CS227" s="108"/>
      <c r="CT227" s="108"/>
      <c r="CU227" s="108"/>
      <c r="CV227" s="108"/>
      <c r="CW227" s="108"/>
      <c r="CX227" s="108"/>
      <c r="CY227" s="108"/>
      <c r="CZ227" s="108"/>
      <c r="DA227" s="108"/>
      <c r="DB227" s="108"/>
      <c r="DC227" s="108"/>
      <c r="DD227" s="108"/>
      <c r="DE227" s="108"/>
      <c r="DF227" s="108"/>
      <c r="DG227" s="108"/>
      <c r="DH227" s="108"/>
      <c r="DI227" s="108"/>
      <c r="DJ227" s="108"/>
      <c r="DK227" s="108"/>
      <c r="DL227" s="103"/>
      <c r="DM227" s="103"/>
      <c r="DN227" s="103"/>
    </row>
    <row r="228" spans="1:118" s="104" customFormat="1" ht="13.35" hidden="1" customHeight="1">
      <c r="A228" s="96" t="s">
        <v>12</v>
      </c>
      <c r="B228" s="91"/>
      <c r="C228" s="269" t="s">
        <v>31</v>
      </c>
      <c r="D228" s="281"/>
      <c r="E228" s="157" t="s">
        <v>275</v>
      </c>
      <c r="F228" s="161" t="s">
        <v>316</v>
      </c>
      <c r="G228" s="102">
        <v>24.5</v>
      </c>
      <c r="H228" s="109" t="s">
        <v>174</v>
      </c>
      <c r="I228" s="23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337"/>
      <c r="AQ228" s="108"/>
      <c r="AR228" s="107"/>
      <c r="AS228" s="107"/>
      <c r="AT228" s="107"/>
      <c r="AU228" s="108"/>
      <c r="AV228" s="107"/>
      <c r="AW228" s="107"/>
      <c r="AX228" s="108"/>
      <c r="AY228" s="108"/>
      <c r="AZ228" s="108"/>
      <c r="BA228" s="107"/>
      <c r="BB228" s="107"/>
      <c r="BC228" s="107"/>
      <c r="BD228" s="108"/>
      <c r="BE228" s="108"/>
      <c r="BF228" s="107"/>
      <c r="BG228" s="107"/>
      <c r="BH228" s="107"/>
      <c r="BI228" s="108"/>
      <c r="BJ228" s="107"/>
      <c r="BK228" s="123"/>
      <c r="BL228" s="108"/>
      <c r="BM228" s="107"/>
      <c r="BN228" s="107"/>
      <c r="BO228" s="107"/>
      <c r="BP228" s="107"/>
      <c r="BQ228" s="107"/>
      <c r="BR228" s="107"/>
      <c r="BS228" s="107"/>
      <c r="BT228" s="107"/>
      <c r="BU228" s="107"/>
      <c r="BV228" s="107"/>
      <c r="BW228" s="107"/>
      <c r="BX228" s="107"/>
      <c r="BY228" s="108"/>
      <c r="BZ228" s="108"/>
      <c r="CA228" s="107"/>
      <c r="CB228" s="108"/>
      <c r="CC228" s="108"/>
      <c r="CD228" s="108"/>
      <c r="CE228" s="107"/>
      <c r="CF228" s="108"/>
      <c r="CG228" s="108"/>
      <c r="CH228" s="108"/>
      <c r="CI228" s="108"/>
      <c r="CJ228" s="108"/>
      <c r="CK228" s="108"/>
      <c r="CL228" s="108"/>
      <c r="CM228" s="108"/>
      <c r="CN228" s="108"/>
      <c r="CO228" s="108"/>
      <c r="CP228" s="108"/>
      <c r="CQ228" s="108"/>
      <c r="CR228" s="108"/>
      <c r="CS228" s="108"/>
      <c r="CT228" s="108"/>
      <c r="CU228" s="108"/>
      <c r="CV228" s="108"/>
      <c r="CW228" s="108"/>
      <c r="CX228" s="108"/>
      <c r="CY228" s="108"/>
      <c r="CZ228" s="108"/>
      <c r="DA228" s="108"/>
      <c r="DB228" s="108"/>
      <c r="DC228" s="108"/>
      <c r="DD228" s="108"/>
      <c r="DE228" s="108"/>
      <c r="DF228" s="108"/>
      <c r="DG228" s="108"/>
      <c r="DH228" s="108"/>
      <c r="DI228" s="108"/>
      <c r="DJ228" s="108"/>
      <c r="DK228" s="108"/>
      <c r="DL228" s="103"/>
      <c r="DM228" s="103"/>
      <c r="DN228" s="103"/>
    </row>
    <row r="229" spans="1:118" ht="13.35" hidden="1" customHeight="1">
      <c r="A229" s="91" t="s">
        <v>12</v>
      </c>
      <c r="B229" s="96"/>
      <c r="C229" s="267" t="s">
        <v>31</v>
      </c>
      <c r="D229" s="279">
        <v>49.76</v>
      </c>
      <c r="E229" s="155" t="s">
        <v>275</v>
      </c>
      <c r="F229" s="160" t="s">
        <v>317</v>
      </c>
      <c r="G229" s="6">
        <v>24.5</v>
      </c>
      <c r="H229" s="5" t="s">
        <v>174</v>
      </c>
      <c r="I229" s="232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332"/>
      <c r="AQ229" s="1"/>
      <c r="AR229" s="61"/>
      <c r="AS229" s="61"/>
      <c r="AT229" s="61"/>
      <c r="AU229" s="1"/>
      <c r="AV229" s="61"/>
      <c r="AW229" s="61"/>
      <c r="AX229" s="1"/>
      <c r="AY229" s="1"/>
      <c r="AZ229" s="1"/>
      <c r="BA229" s="61">
        <v>21.7</v>
      </c>
      <c r="BB229" s="61"/>
      <c r="BC229" s="61"/>
      <c r="BD229" s="1"/>
      <c r="BE229" s="1"/>
      <c r="BF229" s="61"/>
      <c r="BG229" s="61"/>
      <c r="BH229" s="61"/>
      <c r="BI229" s="1">
        <v>23</v>
      </c>
      <c r="BJ229" s="61"/>
      <c r="BK229" s="67"/>
      <c r="BL229" s="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1"/>
      <c r="BZ229" s="1"/>
      <c r="CA229" s="61"/>
      <c r="CB229" s="61"/>
      <c r="CC229" s="1"/>
      <c r="CD229" s="1"/>
      <c r="CE229" s="6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8"/>
      <c r="DM229" s="8"/>
      <c r="DN229" s="8"/>
    </row>
    <row r="230" spans="1:118" ht="13.35" hidden="1" customHeight="1">
      <c r="A230" s="91" t="s">
        <v>12</v>
      </c>
      <c r="B230" s="96"/>
      <c r="C230" s="267" t="s">
        <v>31</v>
      </c>
      <c r="D230" s="279"/>
      <c r="E230" s="155" t="s">
        <v>275</v>
      </c>
      <c r="F230" s="160" t="s">
        <v>318</v>
      </c>
      <c r="G230" s="6">
        <v>24.5</v>
      </c>
      <c r="H230" s="5" t="s">
        <v>174</v>
      </c>
      <c r="I230" s="232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332"/>
      <c r="AQ230" s="1"/>
      <c r="AR230" s="61"/>
      <c r="AS230" s="61"/>
      <c r="AT230" s="61"/>
      <c r="AU230" s="1"/>
      <c r="AV230" s="61"/>
      <c r="AW230" s="61"/>
      <c r="AX230" s="1"/>
      <c r="AY230" s="1"/>
      <c r="AZ230" s="1"/>
      <c r="BA230" s="61"/>
      <c r="BB230" s="61"/>
      <c r="BC230" s="61"/>
      <c r="BD230" s="1"/>
      <c r="BE230" s="1"/>
      <c r="BF230" s="61"/>
      <c r="BG230" s="61"/>
      <c r="BH230" s="61"/>
      <c r="BI230" s="1"/>
      <c r="BJ230" s="61"/>
      <c r="BK230" s="67"/>
      <c r="BL230" s="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1"/>
      <c r="BZ230" s="1"/>
      <c r="CA230" s="61"/>
      <c r="CB230" s="1"/>
      <c r="CC230" s="1"/>
      <c r="CD230" s="1"/>
      <c r="CE230" s="6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8"/>
      <c r="DM230" s="8"/>
      <c r="DN230" s="8"/>
    </row>
    <row r="231" spans="1:118" ht="13.35" hidden="1" customHeight="1">
      <c r="A231" s="91" t="s">
        <v>12</v>
      </c>
      <c r="B231" s="96"/>
      <c r="C231" s="267" t="s">
        <v>31</v>
      </c>
      <c r="D231" s="279"/>
      <c r="E231" s="179" t="s">
        <v>275</v>
      </c>
      <c r="F231" s="180" t="s">
        <v>319</v>
      </c>
      <c r="G231" s="181">
        <v>24.5</v>
      </c>
      <c r="H231" s="182" t="s">
        <v>174</v>
      </c>
      <c r="I231" s="237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339"/>
      <c r="AQ231" s="13"/>
      <c r="AR231" s="59"/>
      <c r="AS231" s="59"/>
      <c r="AT231" s="59"/>
      <c r="AU231" s="13"/>
      <c r="AV231" s="59"/>
      <c r="AW231" s="59"/>
      <c r="AX231" s="13"/>
      <c r="AY231" s="13"/>
      <c r="AZ231" s="13"/>
      <c r="BA231" s="59"/>
      <c r="BB231" s="59"/>
      <c r="BC231" s="59"/>
      <c r="BD231" s="13"/>
      <c r="BE231" s="13"/>
      <c r="BF231" s="59"/>
      <c r="BG231" s="59"/>
      <c r="BH231" s="59"/>
      <c r="BI231" s="13"/>
      <c r="BJ231" s="59"/>
      <c r="BK231" s="254"/>
      <c r="BL231" s="13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13"/>
      <c r="BZ231" s="13"/>
      <c r="CA231" s="59"/>
      <c r="CB231" s="13"/>
      <c r="CC231" s="13"/>
      <c r="CD231" s="13"/>
      <c r="CE231" s="59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8"/>
      <c r="DM231" s="8"/>
      <c r="DN231" s="8"/>
    </row>
    <row r="232" spans="1:118" ht="13.35" hidden="1" customHeight="1">
      <c r="A232" s="90"/>
      <c r="B232" s="90"/>
      <c r="C232" s="266"/>
      <c r="D232" s="277"/>
      <c r="E232" s="278" t="s">
        <v>320</v>
      </c>
      <c r="F232" s="141" t="s">
        <v>321</v>
      </c>
      <c r="G232" s="169"/>
      <c r="H232" s="170" t="s">
        <v>11</v>
      </c>
      <c r="I232" s="225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/>
      <c r="AK232" s="171"/>
      <c r="AL232" s="171"/>
      <c r="AM232" s="171"/>
      <c r="AN232" s="171"/>
      <c r="AO232" s="171"/>
      <c r="AP232" s="172"/>
      <c r="AQ232" s="172"/>
      <c r="AR232" s="171"/>
      <c r="AS232" s="172"/>
      <c r="AT232" s="172"/>
      <c r="AU232" s="172"/>
      <c r="AV232" s="171"/>
      <c r="AW232" s="172"/>
      <c r="AX232" s="172"/>
      <c r="AY232" s="172"/>
      <c r="AZ232" s="172"/>
      <c r="BA232" s="172"/>
      <c r="BB232" s="171"/>
      <c r="BC232" s="171"/>
      <c r="BD232" s="172"/>
      <c r="BE232" s="172"/>
      <c r="BF232" s="171"/>
      <c r="BG232" s="171"/>
      <c r="BH232" s="171"/>
      <c r="BI232" s="172"/>
      <c r="BJ232" s="171"/>
      <c r="BK232" s="427"/>
      <c r="BL232" s="172"/>
      <c r="BM232" s="171"/>
      <c r="BN232" s="171"/>
      <c r="BO232" s="171"/>
      <c r="BP232" s="171"/>
      <c r="BQ232" s="171"/>
      <c r="BR232" s="171"/>
      <c r="BS232" s="171"/>
      <c r="BT232" s="171"/>
      <c r="BU232" s="171"/>
      <c r="BV232" s="171"/>
      <c r="BW232" s="171"/>
      <c r="BX232" s="171"/>
      <c r="BY232" s="172"/>
      <c r="BZ232" s="172"/>
      <c r="CA232" s="171"/>
      <c r="CB232" s="171"/>
      <c r="CC232" s="172"/>
      <c r="CD232" s="171"/>
      <c r="CE232" s="171"/>
      <c r="CF232" s="172"/>
      <c r="CG232" s="172"/>
      <c r="CH232" s="171"/>
      <c r="CI232" s="171"/>
      <c r="CJ232" s="171"/>
      <c r="CK232" s="171"/>
      <c r="CL232" s="171"/>
      <c r="CM232" s="172"/>
      <c r="CN232" s="172"/>
      <c r="CO232" s="171"/>
      <c r="CP232" s="171"/>
      <c r="CQ232" s="172"/>
      <c r="CR232" s="172"/>
      <c r="CS232" s="172"/>
      <c r="CT232" s="172"/>
      <c r="CU232" s="172"/>
      <c r="CV232" s="172"/>
      <c r="CW232" s="172"/>
      <c r="CX232" s="172"/>
      <c r="CY232" s="172"/>
      <c r="CZ232" s="172"/>
      <c r="DA232" s="172"/>
      <c r="DB232" s="172"/>
      <c r="DC232" s="172"/>
      <c r="DD232" s="172"/>
      <c r="DE232" s="172"/>
      <c r="DF232" s="172"/>
      <c r="DG232" s="172"/>
      <c r="DH232" s="172"/>
      <c r="DI232" s="172"/>
      <c r="DJ232" s="172"/>
      <c r="DK232" s="172"/>
      <c r="DL232" s="8"/>
      <c r="DM232" s="8"/>
      <c r="DN232" s="8"/>
    </row>
    <row r="233" spans="1:118" ht="12.95" hidden="1" customHeight="1">
      <c r="A233" s="91" t="s">
        <v>12</v>
      </c>
      <c r="B233" s="91" t="s">
        <v>13</v>
      </c>
      <c r="C233" s="267" t="s">
        <v>14</v>
      </c>
      <c r="D233" s="279">
        <v>4.6900000000000004</v>
      </c>
      <c r="E233" s="190" t="s">
        <v>320</v>
      </c>
      <c r="F233" s="191" t="s">
        <v>322</v>
      </c>
      <c r="G233" s="192"/>
      <c r="H233" s="193" t="s">
        <v>16</v>
      </c>
      <c r="I233" s="226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36"/>
      <c r="AQ233" s="36"/>
      <c r="AR233" s="72"/>
      <c r="AS233" s="36"/>
      <c r="AT233" s="36"/>
      <c r="AU233" s="36"/>
      <c r="AV233" s="72">
        <v>19.8</v>
      </c>
      <c r="AW233" s="36"/>
      <c r="AX233" s="36"/>
      <c r="AY233" s="36"/>
      <c r="AZ233" s="36"/>
      <c r="BA233" s="36"/>
      <c r="BB233" s="72"/>
      <c r="BC233" s="72"/>
      <c r="BD233" s="36">
        <v>22.2</v>
      </c>
      <c r="BE233" s="36"/>
      <c r="BF233" s="72"/>
      <c r="BG233" s="72"/>
      <c r="BH233" s="72"/>
      <c r="BI233" s="36"/>
      <c r="BJ233" s="72"/>
      <c r="BK233" s="72">
        <v>24.4</v>
      </c>
      <c r="BL233" s="36"/>
      <c r="BM233" s="72"/>
      <c r="BN233" s="72"/>
      <c r="BO233" s="402">
        <v>23.9</v>
      </c>
      <c r="BP233" s="402"/>
      <c r="BQ233" s="72"/>
      <c r="BR233" s="72"/>
      <c r="BS233" s="72"/>
      <c r="BT233" s="72"/>
      <c r="BU233" s="72"/>
      <c r="BV233" s="72"/>
      <c r="BW233" s="72"/>
      <c r="BX233" s="72"/>
      <c r="BY233" s="36"/>
      <c r="BZ233" s="36"/>
      <c r="CA233" s="72"/>
      <c r="CB233" s="72">
        <v>25.1</v>
      </c>
      <c r="CC233" s="36"/>
      <c r="CD233" s="72"/>
      <c r="CE233" s="72"/>
      <c r="CF233" s="36"/>
      <c r="CG233" s="36"/>
      <c r="CH233" s="72"/>
      <c r="CI233" s="72"/>
      <c r="CJ233" s="72"/>
      <c r="CK233" s="72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8"/>
      <c r="DM233" s="8"/>
      <c r="DN233" s="8"/>
    </row>
    <row r="234" spans="1:118" ht="13.35" hidden="1" customHeight="1">
      <c r="A234" s="90" t="s">
        <v>12</v>
      </c>
      <c r="B234" s="90"/>
      <c r="C234" s="266"/>
      <c r="D234" s="277"/>
      <c r="E234" s="278" t="s">
        <v>323</v>
      </c>
      <c r="F234" s="141" t="s">
        <v>324</v>
      </c>
      <c r="G234" s="169"/>
      <c r="H234" s="170" t="s">
        <v>11</v>
      </c>
      <c r="I234" s="225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  <c r="AK234" s="171"/>
      <c r="AL234" s="171"/>
      <c r="AM234" s="171"/>
      <c r="AN234" s="171"/>
      <c r="AO234" s="171"/>
      <c r="AP234" s="172"/>
      <c r="AQ234" s="172"/>
      <c r="AR234" s="171"/>
      <c r="AS234" s="172"/>
      <c r="AT234" s="171"/>
      <c r="AU234" s="172"/>
      <c r="AV234" s="172"/>
      <c r="AW234" s="172"/>
      <c r="AX234" s="172"/>
      <c r="AY234" s="171"/>
      <c r="AZ234" s="172"/>
      <c r="BA234" s="172"/>
      <c r="BB234" s="171"/>
      <c r="BC234" s="171"/>
      <c r="BD234" s="172"/>
      <c r="BE234" s="172"/>
      <c r="BF234" s="171"/>
      <c r="BG234" s="171"/>
      <c r="BH234" s="171"/>
      <c r="BI234" s="172"/>
      <c r="BJ234" s="171"/>
      <c r="BK234" s="427"/>
      <c r="BL234" s="172"/>
      <c r="BM234" s="171"/>
      <c r="BN234" s="171"/>
      <c r="BO234" s="171"/>
      <c r="BP234" s="171"/>
      <c r="BQ234" s="171"/>
      <c r="BR234" s="171"/>
      <c r="BS234" s="171"/>
      <c r="BT234" s="171"/>
      <c r="BU234" s="171"/>
      <c r="BV234" s="171"/>
      <c r="BW234" s="171"/>
      <c r="BX234" s="171"/>
      <c r="BY234" s="172"/>
      <c r="BZ234" s="172"/>
      <c r="CA234" s="171"/>
      <c r="CB234" s="171"/>
      <c r="CC234" s="172"/>
      <c r="CD234" s="171"/>
      <c r="CE234" s="171"/>
      <c r="CF234" s="172"/>
      <c r="CG234" s="172"/>
      <c r="CH234" s="171"/>
      <c r="CI234" s="172"/>
      <c r="CJ234" s="172"/>
      <c r="CK234" s="172"/>
      <c r="CL234" s="172"/>
      <c r="CM234" s="172"/>
      <c r="CN234" s="172"/>
      <c r="CO234" s="172"/>
      <c r="CP234" s="172"/>
      <c r="CQ234" s="172"/>
      <c r="CR234" s="172"/>
      <c r="CS234" s="172"/>
      <c r="CT234" s="172"/>
      <c r="CU234" s="172"/>
      <c r="CV234" s="172"/>
      <c r="CW234" s="172"/>
      <c r="CX234" s="172"/>
      <c r="CY234" s="172"/>
      <c r="CZ234" s="172"/>
      <c r="DA234" s="172"/>
      <c r="DB234" s="172"/>
      <c r="DC234" s="172"/>
      <c r="DD234" s="172"/>
      <c r="DE234" s="172"/>
      <c r="DF234" s="172"/>
      <c r="DG234" s="172"/>
      <c r="DH234" s="172"/>
      <c r="DI234" s="172"/>
      <c r="DJ234" s="172"/>
      <c r="DK234" s="172"/>
      <c r="DL234" s="8"/>
      <c r="DM234" s="8"/>
      <c r="DN234" s="8"/>
    </row>
    <row r="235" spans="1:118" ht="12.95" hidden="1" customHeight="1">
      <c r="A235" s="91" t="s">
        <v>12</v>
      </c>
      <c r="B235" s="91" t="s">
        <v>13</v>
      </c>
      <c r="C235" s="267" t="s">
        <v>14</v>
      </c>
      <c r="D235" s="279">
        <v>6.72</v>
      </c>
      <c r="E235" s="188" t="s">
        <v>323</v>
      </c>
      <c r="F235" s="166" t="s">
        <v>325</v>
      </c>
      <c r="G235" s="50"/>
      <c r="H235" s="55" t="s">
        <v>16</v>
      </c>
      <c r="I235" s="228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>
        <v>17.5</v>
      </c>
      <c r="AB235" s="64"/>
      <c r="AC235" s="64"/>
      <c r="AD235" s="64"/>
      <c r="AE235" s="64"/>
      <c r="AF235" s="64">
        <v>20.2</v>
      </c>
      <c r="AG235" s="64"/>
      <c r="AH235" s="65">
        <v>20.7</v>
      </c>
      <c r="AI235" s="64"/>
      <c r="AJ235" s="64"/>
      <c r="AK235" s="64"/>
      <c r="AL235" s="64"/>
      <c r="AM235" s="64"/>
      <c r="AN235" s="64"/>
      <c r="AO235" s="64"/>
      <c r="AP235" s="18"/>
      <c r="AQ235" s="18"/>
      <c r="AR235" s="64"/>
      <c r="AS235" s="139"/>
      <c r="AT235" s="64">
        <v>23</v>
      </c>
      <c r="AU235" s="18"/>
      <c r="AV235" s="18"/>
      <c r="AW235" s="18"/>
      <c r="AX235" s="18"/>
      <c r="AY235" s="64">
        <v>23.8</v>
      </c>
      <c r="AZ235" s="18"/>
      <c r="BA235" s="18"/>
      <c r="BB235" s="18"/>
      <c r="BC235" s="64"/>
      <c r="BD235" s="18"/>
      <c r="BE235" s="18"/>
      <c r="BF235" s="64"/>
      <c r="BG235" s="18"/>
      <c r="BH235" s="64"/>
      <c r="BI235" s="18"/>
      <c r="BJ235" s="64"/>
      <c r="BK235" s="65"/>
      <c r="BL235" s="18"/>
      <c r="BM235" s="18"/>
      <c r="BN235" s="64"/>
      <c r="BO235" s="18"/>
      <c r="BP235" s="18"/>
      <c r="BQ235" s="18"/>
      <c r="BR235" s="18"/>
      <c r="BS235" s="18"/>
      <c r="BT235" s="18"/>
      <c r="BU235" s="18"/>
      <c r="BV235" s="18"/>
      <c r="BW235" s="64"/>
      <c r="BX235" s="18"/>
      <c r="BY235" s="18"/>
      <c r="BZ235" s="18"/>
      <c r="CA235" s="64"/>
      <c r="CB235" s="18"/>
      <c r="CC235" s="18"/>
      <c r="CD235" s="18"/>
      <c r="CE235" s="64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8"/>
      <c r="DM235" s="8"/>
      <c r="DN235" s="8"/>
    </row>
    <row r="236" spans="1:118" ht="12.95" hidden="1" customHeight="1">
      <c r="A236" s="92" t="s">
        <v>12</v>
      </c>
      <c r="B236" s="96" t="s">
        <v>13</v>
      </c>
      <c r="C236" s="268" t="s">
        <v>14</v>
      </c>
      <c r="D236" s="280">
        <v>3.62</v>
      </c>
      <c r="E236" s="175" t="s">
        <v>323</v>
      </c>
      <c r="F236" s="176" t="s">
        <v>326</v>
      </c>
      <c r="G236" s="177"/>
      <c r="H236" s="178" t="s">
        <v>16</v>
      </c>
      <c r="I236" s="227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17">
        <v>24.6</v>
      </c>
      <c r="AQ236" s="17"/>
      <c r="AR236" s="217">
        <v>24.6</v>
      </c>
      <c r="AS236" s="17"/>
      <c r="AT236" s="63"/>
      <c r="AU236" s="17"/>
      <c r="AV236" s="17"/>
      <c r="AW236" s="17"/>
      <c r="AX236" s="17"/>
      <c r="AY236" s="17"/>
      <c r="AZ236" s="17"/>
      <c r="BA236" s="17"/>
      <c r="BB236" s="47"/>
      <c r="BC236" s="63"/>
      <c r="BD236" s="17"/>
      <c r="BE236" s="17"/>
      <c r="BF236" s="63"/>
      <c r="BG236" s="17"/>
      <c r="BH236" s="63"/>
      <c r="BI236" s="17"/>
      <c r="BJ236" s="63"/>
      <c r="BK236" s="217"/>
      <c r="BL236" s="17"/>
      <c r="BM236" s="17"/>
      <c r="BN236" s="63"/>
      <c r="BO236" s="17"/>
      <c r="BP236" s="17"/>
      <c r="BQ236" s="17"/>
      <c r="BR236" s="17"/>
      <c r="BS236" s="17"/>
      <c r="BT236" s="17"/>
      <c r="BU236" s="17"/>
      <c r="BV236" s="17"/>
      <c r="BW236" s="63"/>
      <c r="BX236" s="17"/>
      <c r="BY236" s="17"/>
      <c r="BZ236" s="17"/>
      <c r="CA236" s="63"/>
      <c r="CB236" s="17"/>
      <c r="CC236" s="17"/>
      <c r="CD236" s="17"/>
      <c r="CE236" s="63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8"/>
      <c r="DM236" s="8"/>
      <c r="DN236" s="8"/>
    </row>
    <row r="237" spans="1:118" ht="13.35" hidden="1" customHeight="1">
      <c r="A237" s="90" t="s">
        <v>12</v>
      </c>
      <c r="B237" s="90"/>
      <c r="C237" s="266"/>
      <c r="D237" s="277"/>
      <c r="E237" s="278" t="s">
        <v>327</v>
      </c>
      <c r="F237" s="141" t="s">
        <v>328</v>
      </c>
      <c r="G237" s="169"/>
      <c r="H237" s="170" t="s">
        <v>11</v>
      </c>
      <c r="I237" s="225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2"/>
      <c r="AQ237" s="172"/>
      <c r="AR237" s="171"/>
      <c r="AS237" s="172"/>
      <c r="AT237" s="172"/>
      <c r="AU237" s="172"/>
      <c r="AV237" s="172"/>
      <c r="AW237" s="172"/>
      <c r="AX237" s="172"/>
      <c r="AY237" s="172"/>
      <c r="AZ237" s="172"/>
      <c r="BA237" s="172"/>
      <c r="BB237" s="171"/>
      <c r="BC237" s="171"/>
      <c r="BD237" s="172"/>
      <c r="BE237" s="172"/>
      <c r="BF237" s="171"/>
      <c r="BG237" s="171"/>
      <c r="BH237" s="171"/>
      <c r="BI237" s="172"/>
      <c r="BJ237" s="171"/>
      <c r="BK237" s="427"/>
      <c r="BL237" s="172"/>
      <c r="BM237" s="171"/>
      <c r="BN237" s="171"/>
      <c r="BO237" s="171"/>
      <c r="BP237" s="171"/>
      <c r="BQ237" s="171"/>
      <c r="BR237" s="171"/>
      <c r="BS237" s="171"/>
      <c r="BT237" s="171"/>
      <c r="BU237" s="171"/>
      <c r="BV237" s="171"/>
      <c r="BW237" s="171"/>
      <c r="BX237" s="171"/>
      <c r="BY237" s="172"/>
      <c r="BZ237" s="172"/>
      <c r="CA237" s="171"/>
      <c r="CB237" s="171"/>
      <c r="CC237" s="172"/>
      <c r="CD237" s="171"/>
      <c r="CE237" s="171"/>
      <c r="CF237" s="172"/>
      <c r="CG237" s="172"/>
      <c r="CH237" s="171"/>
      <c r="CI237" s="172"/>
      <c r="CJ237" s="172"/>
      <c r="CK237" s="172"/>
      <c r="CL237" s="172"/>
      <c r="CM237" s="172"/>
      <c r="CN237" s="172"/>
      <c r="CO237" s="172"/>
      <c r="CP237" s="172"/>
      <c r="CQ237" s="172"/>
      <c r="CR237" s="172"/>
      <c r="CS237" s="172"/>
      <c r="CT237" s="172"/>
      <c r="CU237" s="172"/>
      <c r="CV237" s="172"/>
      <c r="CW237" s="172"/>
      <c r="CX237" s="172"/>
      <c r="CY237" s="172"/>
      <c r="CZ237" s="172"/>
      <c r="DA237" s="172"/>
      <c r="DB237" s="172"/>
      <c r="DC237" s="172"/>
      <c r="DD237" s="172"/>
      <c r="DE237" s="172"/>
      <c r="DF237" s="172"/>
      <c r="DG237" s="172"/>
      <c r="DH237" s="172"/>
      <c r="DI237" s="172"/>
      <c r="DJ237" s="172"/>
      <c r="DK237" s="172"/>
      <c r="DL237" s="8"/>
      <c r="DM237" s="8"/>
      <c r="DN237" s="8"/>
    </row>
    <row r="238" spans="1:118" ht="13.15" hidden="1" customHeight="1">
      <c r="A238" s="91" t="s">
        <v>12</v>
      </c>
      <c r="B238" s="91"/>
      <c r="C238" s="267" t="s">
        <v>31</v>
      </c>
      <c r="D238" s="284">
        <v>39.340000000000003</v>
      </c>
      <c r="E238" s="188" t="s">
        <v>327</v>
      </c>
      <c r="F238" s="166" t="s">
        <v>76</v>
      </c>
      <c r="G238" s="50"/>
      <c r="H238" s="55" t="s">
        <v>329</v>
      </c>
      <c r="I238" s="242"/>
      <c r="J238" s="70"/>
      <c r="K238" s="70" t="s">
        <v>330</v>
      </c>
      <c r="L238" s="69"/>
      <c r="M238" s="69"/>
      <c r="N238" s="69"/>
      <c r="O238" s="69"/>
      <c r="P238" s="69"/>
      <c r="Q238" s="69"/>
      <c r="R238" s="69"/>
      <c r="S238" s="69"/>
      <c r="T238" s="221">
        <v>17.5</v>
      </c>
      <c r="U238" s="69"/>
      <c r="V238" s="64"/>
      <c r="W238" s="69"/>
      <c r="X238" s="69"/>
      <c r="Y238" s="69"/>
      <c r="Z238" s="64" t="s">
        <v>331</v>
      </c>
      <c r="AA238" s="69"/>
      <c r="AB238" s="69"/>
      <c r="AC238" s="69"/>
      <c r="AD238" s="310">
        <v>21</v>
      </c>
      <c r="AE238" s="70"/>
      <c r="AF238" s="309">
        <v>22</v>
      </c>
      <c r="AG238" s="64"/>
      <c r="AH238" s="69"/>
      <c r="AI238" s="69"/>
      <c r="AJ238" s="69"/>
      <c r="AK238" s="69"/>
      <c r="AL238" s="69"/>
      <c r="AM238" s="69"/>
      <c r="AN238" s="69"/>
      <c r="AO238" s="69"/>
      <c r="AP238" s="28"/>
      <c r="AQ238" s="28"/>
      <c r="AR238" s="69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69"/>
      <c r="BD238" s="28"/>
      <c r="BE238" s="28"/>
      <c r="BF238" s="69"/>
      <c r="BG238" s="28"/>
      <c r="BH238" s="69"/>
      <c r="BI238" s="28"/>
      <c r="BJ238" s="69"/>
      <c r="BK238" s="433"/>
      <c r="BL238" s="28"/>
      <c r="BM238" s="28"/>
      <c r="BN238" s="69"/>
      <c r="BO238" s="28"/>
      <c r="BP238" s="28"/>
      <c r="BQ238" s="28"/>
      <c r="BR238" s="28"/>
      <c r="BS238" s="28"/>
      <c r="BT238" s="28"/>
      <c r="BU238" s="28"/>
      <c r="BV238" s="28"/>
      <c r="BW238" s="69"/>
      <c r="BX238" s="28"/>
      <c r="BY238" s="28"/>
      <c r="BZ238" s="28"/>
      <c r="CA238" s="69"/>
      <c r="CB238" s="28"/>
      <c r="CC238" s="28"/>
      <c r="CD238" s="28"/>
      <c r="CE238" s="69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8"/>
      <c r="DM238" s="8"/>
      <c r="DN238" s="8"/>
    </row>
    <row r="239" spans="1:118" ht="13.15" hidden="1" customHeight="1">
      <c r="A239" s="92" t="s">
        <v>12</v>
      </c>
      <c r="B239" s="92"/>
      <c r="C239" s="268" t="s">
        <v>20</v>
      </c>
      <c r="D239" s="280">
        <v>102.93</v>
      </c>
      <c r="E239" s="156" t="s">
        <v>327</v>
      </c>
      <c r="F239" s="159" t="s">
        <v>332</v>
      </c>
      <c r="G239" s="29">
        <v>19</v>
      </c>
      <c r="H239" s="4" t="s">
        <v>22</v>
      </c>
      <c r="I239" s="229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>
        <v>18.8</v>
      </c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2"/>
      <c r="AQ239" s="2"/>
      <c r="AR239" s="60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60"/>
      <c r="BD239" s="2"/>
      <c r="BE239" s="2"/>
      <c r="BF239" s="60"/>
      <c r="BG239" s="2"/>
      <c r="BH239" s="60"/>
      <c r="BI239" s="2"/>
      <c r="BJ239" s="60"/>
      <c r="BK239" s="66"/>
      <c r="BL239" s="2"/>
      <c r="BM239" s="2"/>
      <c r="BN239" s="60"/>
      <c r="BO239" s="2"/>
      <c r="BP239" s="2"/>
      <c r="BQ239" s="2"/>
      <c r="BR239" s="2"/>
      <c r="BS239" s="2"/>
      <c r="BT239" s="2"/>
      <c r="BU239" s="2"/>
      <c r="BV239" s="2"/>
      <c r="BW239" s="60"/>
      <c r="BX239" s="2"/>
      <c r="BY239" s="2"/>
      <c r="BZ239" s="2"/>
      <c r="CA239" s="60"/>
      <c r="CB239" s="2"/>
      <c r="CC239" s="2"/>
      <c r="CD239" s="2"/>
      <c r="CE239" s="60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8"/>
      <c r="DM239" s="8"/>
      <c r="DN239" s="8"/>
    </row>
    <row r="240" spans="1:118" ht="13.15" hidden="1" customHeight="1">
      <c r="A240" s="92" t="s">
        <v>12</v>
      </c>
      <c r="B240" s="92"/>
      <c r="C240" s="268" t="s">
        <v>20</v>
      </c>
      <c r="D240" s="280"/>
      <c r="E240" s="156" t="s">
        <v>327</v>
      </c>
      <c r="F240" s="159" t="s">
        <v>333</v>
      </c>
      <c r="G240" s="29">
        <v>19</v>
      </c>
      <c r="H240" s="4" t="s">
        <v>22</v>
      </c>
      <c r="I240" s="229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2"/>
      <c r="AQ240" s="2"/>
      <c r="AR240" s="60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60"/>
      <c r="BD240" s="2"/>
      <c r="BE240" s="2"/>
      <c r="BF240" s="60"/>
      <c r="BG240" s="2"/>
      <c r="BH240" s="60"/>
      <c r="BI240" s="2"/>
      <c r="BJ240" s="60"/>
      <c r="BK240" s="66"/>
      <c r="BL240" s="2"/>
      <c r="BM240" s="2"/>
      <c r="BN240" s="60"/>
      <c r="BO240" s="2"/>
      <c r="BP240" s="2"/>
      <c r="BQ240" s="2"/>
      <c r="BR240" s="2"/>
      <c r="BS240" s="2"/>
      <c r="BT240" s="2"/>
      <c r="BU240" s="2"/>
      <c r="BV240" s="2"/>
      <c r="BW240" s="60"/>
      <c r="BX240" s="2"/>
      <c r="BY240" s="2"/>
      <c r="BZ240" s="2"/>
      <c r="CA240" s="60"/>
      <c r="CB240" s="2"/>
      <c r="CC240" s="2"/>
      <c r="CD240" s="2"/>
      <c r="CE240" s="60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8"/>
      <c r="DM240" s="8"/>
      <c r="DN240" s="8"/>
    </row>
    <row r="241" spans="1:118" ht="13.15" hidden="1" customHeight="1">
      <c r="A241" s="92" t="s">
        <v>12</v>
      </c>
      <c r="B241" s="92"/>
      <c r="C241" s="268" t="s">
        <v>20</v>
      </c>
      <c r="D241" s="280"/>
      <c r="E241" s="156" t="s">
        <v>327</v>
      </c>
      <c r="F241" s="159" t="s">
        <v>334</v>
      </c>
      <c r="G241" s="29">
        <v>19</v>
      </c>
      <c r="H241" s="4" t="s">
        <v>22</v>
      </c>
      <c r="I241" s="229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>
        <v>20.3</v>
      </c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2"/>
      <c r="AQ241" s="2"/>
      <c r="AR241" s="60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60"/>
      <c r="BD241" s="2"/>
      <c r="BE241" s="2"/>
      <c r="BF241" s="60"/>
      <c r="BG241" s="2"/>
      <c r="BH241" s="60"/>
      <c r="BI241" s="2"/>
      <c r="BJ241" s="60"/>
      <c r="BK241" s="66"/>
      <c r="BL241" s="2"/>
      <c r="BM241" s="2"/>
      <c r="BN241" s="60"/>
      <c r="BO241" s="2"/>
      <c r="BP241" s="2"/>
      <c r="BQ241" s="2"/>
      <c r="BR241" s="2"/>
      <c r="BS241" s="2"/>
      <c r="BT241" s="2"/>
      <c r="BU241" s="2"/>
      <c r="BV241" s="2"/>
      <c r="BW241" s="60"/>
      <c r="BX241" s="2"/>
      <c r="BY241" s="2"/>
      <c r="BZ241" s="2"/>
      <c r="CA241" s="60"/>
      <c r="CB241" s="2"/>
      <c r="CC241" s="2"/>
      <c r="CD241" s="2"/>
      <c r="CE241" s="60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8"/>
      <c r="DM241" s="8"/>
      <c r="DN241" s="8"/>
    </row>
    <row r="242" spans="1:118" ht="13.15" hidden="1" customHeight="1">
      <c r="A242" s="92" t="s">
        <v>12</v>
      </c>
      <c r="B242" s="92"/>
      <c r="C242" s="268" t="s">
        <v>20</v>
      </c>
      <c r="D242" s="280"/>
      <c r="E242" s="156" t="s">
        <v>327</v>
      </c>
      <c r="F242" s="159" t="s">
        <v>335</v>
      </c>
      <c r="G242" s="29">
        <v>19</v>
      </c>
      <c r="H242" s="4" t="s">
        <v>22</v>
      </c>
      <c r="I242" s="229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>
        <v>18.7</v>
      </c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2"/>
      <c r="AQ242" s="2"/>
      <c r="AR242" s="60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60"/>
      <c r="BD242" s="2"/>
      <c r="BE242" s="2"/>
      <c r="BF242" s="60"/>
      <c r="BG242" s="2"/>
      <c r="BH242" s="60"/>
      <c r="BI242" s="2"/>
      <c r="BJ242" s="60"/>
      <c r="BK242" s="66"/>
      <c r="BL242" s="2"/>
      <c r="BM242" s="2"/>
      <c r="BN242" s="60"/>
      <c r="BO242" s="2"/>
      <c r="BP242" s="2"/>
      <c r="BQ242" s="2"/>
      <c r="BR242" s="2"/>
      <c r="BS242" s="2"/>
      <c r="BT242" s="2"/>
      <c r="BU242" s="2"/>
      <c r="BV242" s="2"/>
      <c r="BW242" s="60"/>
      <c r="BX242" s="2"/>
      <c r="BY242" s="2"/>
      <c r="BZ242" s="2"/>
      <c r="CA242" s="60"/>
      <c r="CB242" s="2"/>
      <c r="CC242" s="2"/>
      <c r="CD242" s="2"/>
      <c r="CE242" s="60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8"/>
      <c r="DM242" s="8"/>
      <c r="DN242" s="8"/>
    </row>
    <row r="243" spans="1:118" ht="13.35" hidden="1" customHeight="1">
      <c r="A243" s="91" t="s">
        <v>12</v>
      </c>
      <c r="B243" s="91"/>
      <c r="C243" s="267" t="s">
        <v>20</v>
      </c>
      <c r="D243" s="279">
        <v>33.450000000000003</v>
      </c>
      <c r="E243" s="155" t="s">
        <v>327</v>
      </c>
      <c r="F243" s="160" t="s">
        <v>336</v>
      </c>
      <c r="G243" s="6">
        <v>20</v>
      </c>
      <c r="H243" s="5" t="s">
        <v>22</v>
      </c>
      <c r="I243" s="23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>
        <v>18</v>
      </c>
      <c r="AH243" s="61"/>
      <c r="AI243" s="61"/>
      <c r="AJ243" s="61"/>
      <c r="AK243" s="61">
        <v>19.399999999999999</v>
      </c>
      <c r="AL243" s="61"/>
      <c r="AM243" s="61"/>
      <c r="AN243" s="61"/>
      <c r="AO243" s="61"/>
      <c r="AP243" s="1"/>
      <c r="AQ243" s="1"/>
      <c r="AR243" s="6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61"/>
      <c r="BD243" s="1"/>
      <c r="BE243" s="1"/>
      <c r="BF243" s="61"/>
      <c r="BG243" s="1"/>
      <c r="BH243" s="61"/>
      <c r="BI243" s="1"/>
      <c r="BJ243" s="61"/>
      <c r="BK243" s="67"/>
      <c r="BL243" s="1"/>
      <c r="BM243" s="1"/>
      <c r="BN243" s="61"/>
      <c r="BO243" s="1"/>
      <c r="BP243" s="1"/>
      <c r="BQ243" s="1"/>
      <c r="BR243" s="1"/>
      <c r="BS243" s="1"/>
      <c r="BT243" s="1"/>
      <c r="BU243" s="1"/>
      <c r="BV243" s="1"/>
      <c r="BW243" s="61"/>
      <c r="BX243" s="1"/>
      <c r="BY243" s="1"/>
      <c r="BZ243" s="1"/>
      <c r="CA243" s="61"/>
      <c r="CB243" s="1"/>
      <c r="CC243" s="1"/>
      <c r="CD243" s="1"/>
      <c r="CE243" s="6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8"/>
      <c r="DM243" s="8"/>
      <c r="DN243" s="8"/>
    </row>
    <row r="244" spans="1:118" s="104" customFormat="1" ht="12.95" hidden="1" customHeight="1">
      <c r="A244" s="96" t="s">
        <v>12</v>
      </c>
      <c r="B244" s="96" t="s">
        <v>13</v>
      </c>
      <c r="C244" s="269" t="s">
        <v>14</v>
      </c>
      <c r="D244" s="281">
        <v>9.75</v>
      </c>
      <c r="E244" s="157" t="s">
        <v>327</v>
      </c>
      <c r="F244" s="161" t="s">
        <v>337</v>
      </c>
      <c r="G244" s="102"/>
      <c r="H244" s="109" t="s">
        <v>16</v>
      </c>
      <c r="I244" s="232" t="s">
        <v>338</v>
      </c>
      <c r="J244" s="107"/>
      <c r="K244" s="107"/>
      <c r="L244" s="107"/>
      <c r="M244" s="107"/>
      <c r="N244" s="107"/>
      <c r="O244" s="107"/>
      <c r="P244" s="107"/>
      <c r="Q244" s="107"/>
      <c r="R244" s="107">
        <v>16.3</v>
      </c>
      <c r="S244" s="107"/>
      <c r="T244" s="107"/>
      <c r="U244" s="107"/>
      <c r="V244" s="107"/>
      <c r="W244" s="107"/>
      <c r="X244" s="107"/>
      <c r="Y244" s="107"/>
      <c r="Z244" s="107">
        <v>19.3</v>
      </c>
      <c r="AA244" s="107"/>
      <c r="AB244" s="107"/>
      <c r="AC244" s="107"/>
      <c r="AD244" s="123">
        <v>19.899999999999999</v>
      </c>
      <c r="AE244" s="107"/>
      <c r="AF244" s="107"/>
      <c r="AG244" s="123"/>
      <c r="AH244" s="107"/>
      <c r="AI244" s="107"/>
      <c r="AJ244" s="107"/>
      <c r="AK244" s="107">
        <v>21.8</v>
      </c>
      <c r="AL244" s="107"/>
      <c r="AM244" s="107"/>
      <c r="AN244" s="107"/>
      <c r="AO244" s="107"/>
      <c r="AP244" s="108"/>
      <c r="AQ244" s="108"/>
      <c r="AR244" s="107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7"/>
      <c r="BD244" s="108"/>
      <c r="BE244" s="108"/>
      <c r="BF244" s="107"/>
      <c r="BG244" s="108"/>
      <c r="BH244" s="107"/>
      <c r="BI244" s="108"/>
      <c r="BJ244" s="107"/>
      <c r="BK244" s="123"/>
      <c r="BL244" s="108"/>
      <c r="BM244" s="108"/>
      <c r="BN244" s="107"/>
      <c r="BO244" s="108"/>
      <c r="BP244" s="108"/>
      <c r="BQ244" s="108"/>
      <c r="BR244" s="108"/>
      <c r="BS244" s="108"/>
      <c r="BT244" s="108"/>
      <c r="BU244" s="108"/>
      <c r="BV244" s="108"/>
      <c r="BW244" s="107"/>
      <c r="BX244" s="108"/>
      <c r="BY244" s="108"/>
      <c r="BZ244" s="108"/>
      <c r="CA244" s="107"/>
      <c r="CB244" s="108"/>
      <c r="CC244" s="108"/>
      <c r="CD244" s="108"/>
      <c r="CE244" s="107"/>
      <c r="CF244" s="108"/>
      <c r="CG244" s="108"/>
      <c r="CH244" s="108"/>
      <c r="CI244" s="108"/>
      <c r="CJ244" s="108"/>
      <c r="CK244" s="108"/>
      <c r="CL244" s="108"/>
      <c r="CM244" s="108"/>
      <c r="CN244" s="108"/>
      <c r="CO244" s="108"/>
      <c r="CP244" s="108"/>
      <c r="CQ244" s="108"/>
      <c r="CR244" s="108"/>
      <c r="CS244" s="108"/>
      <c r="CT244" s="108"/>
      <c r="CU244" s="108"/>
      <c r="CV244" s="108"/>
      <c r="CW244" s="108"/>
      <c r="CX244" s="108"/>
      <c r="CY244" s="108"/>
      <c r="CZ244" s="108"/>
      <c r="DA244" s="108"/>
      <c r="DB244" s="108"/>
      <c r="DC244" s="108"/>
      <c r="DD244" s="108"/>
      <c r="DE244" s="108"/>
      <c r="DF244" s="108"/>
      <c r="DG244" s="108"/>
      <c r="DH244" s="108"/>
      <c r="DI244" s="108"/>
      <c r="DJ244" s="108"/>
      <c r="DK244" s="108"/>
      <c r="DL244" s="103"/>
      <c r="DM244" s="103"/>
      <c r="DN244" s="103"/>
    </row>
    <row r="245" spans="1:118" ht="13.35" hidden="1" customHeight="1">
      <c r="A245" s="91" t="s">
        <v>12</v>
      </c>
      <c r="B245" s="91" t="s">
        <v>13</v>
      </c>
      <c r="C245" s="267" t="s">
        <v>14</v>
      </c>
      <c r="D245" s="279">
        <v>42.4</v>
      </c>
      <c r="E245" s="155" t="s">
        <v>327</v>
      </c>
      <c r="F245" s="160" t="s">
        <v>339</v>
      </c>
      <c r="G245" s="6">
        <v>21.5</v>
      </c>
      <c r="H245" s="5" t="s">
        <v>291</v>
      </c>
      <c r="I245" s="23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 t="s">
        <v>340</v>
      </c>
      <c r="AE245" s="61"/>
      <c r="AF245" s="61"/>
      <c r="AG245" s="67"/>
      <c r="AH245" s="61"/>
      <c r="AI245" s="61"/>
      <c r="AJ245" s="61"/>
      <c r="AK245" s="61"/>
      <c r="AL245" s="61"/>
      <c r="AM245" s="61"/>
      <c r="AN245" s="61"/>
      <c r="AO245" s="61"/>
      <c r="AP245" s="1"/>
      <c r="AQ245" s="1"/>
      <c r="AR245" s="6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61"/>
      <c r="BD245" s="1"/>
      <c r="BE245" s="1"/>
      <c r="BF245" s="61"/>
      <c r="BG245" s="1"/>
      <c r="BH245" s="61"/>
      <c r="BI245" s="1"/>
      <c r="BJ245" s="61"/>
      <c r="BK245" s="67"/>
      <c r="BL245" s="1"/>
      <c r="BM245" s="1"/>
      <c r="BN245" s="61"/>
      <c r="BO245" s="1"/>
      <c r="BP245" s="1"/>
      <c r="BQ245" s="1"/>
      <c r="BR245" s="1"/>
      <c r="BS245" s="1"/>
      <c r="BT245" s="1"/>
      <c r="BU245" s="1"/>
      <c r="BV245" s="1"/>
      <c r="BW245" s="61"/>
      <c r="BX245" s="1"/>
      <c r="BY245" s="1"/>
      <c r="BZ245" s="1"/>
      <c r="CA245" s="61"/>
      <c r="CB245" s="1"/>
      <c r="CC245" s="1"/>
      <c r="CD245" s="1"/>
      <c r="CE245" s="6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8"/>
      <c r="DM245" s="8"/>
      <c r="DN245" s="8"/>
    </row>
    <row r="246" spans="1:118" ht="12.95" hidden="1" customHeight="1">
      <c r="A246" s="92" t="s">
        <v>12</v>
      </c>
      <c r="B246" s="297" t="s">
        <v>13</v>
      </c>
      <c r="C246" s="268" t="s">
        <v>20</v>
      </c>
      <c r="D246" s="280">
        <v>66.53</v>
      </c>
      <c r="E246" s="156" t="s">
        <v>327</v>
      </c>
      <c r="F246" s="159" t="s">
        <v>100</v>
      </c>
      <c r="G246" s="7"/>
      <c r="H246" s="4" t="s">
        <v>16</v>
      </c>
      <c r="I246" s="298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2"/>
      <c r="AQ246" s="2"/>
      <c r="AR246" s="60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60"/>
      <c r="BD246" s="2"/>
      <c r="BE246" s="2"/>
      <c r="BF246" s="60"/>
      <c r="BG246" s="2"/>
      <c r="BH246" s="60"/>
      <c r="BI246" s="2"/>
      <c r="BJ246" s="60"/>
      <c r="BK246" s="60"/>
      <c r="BL246" s="2"/>
      <c r="BM246" s="2"/>
      <c r="BN246" s="60"/>
      <c r="BO246" s="2"/>
      <c r="BP246" s="2"/>
      <c r="BQ246" s="2"/>
      <c r="BR246" s="2"/>
      <c r="BS246" s="2"/>
      <c r="BT246" s="2"/>
      <c r="BU246" s="2"/>
      <c r="BV246" s="2"/>
      <c r="BW246" s="60"/>
      <c r="BX246" s="2"/>
      <c r="BY246" s="2"/>
      <c r="BZ246" s="2"/>
      <c r="CA246" s="60"/>
      <c r="CB246" s="2"/>
      <c r="CC246" s="2"/>
      <c r="CD246" s="2"/>
      <c r="CE246" s="60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8"/>
      <c r="DM246" s="8"/>
      <c r="DN246" s="8"/>
    </row>
    <row r="247" spans="1:118" ht="12.95" hidden="1" customHeight="1">
      <c r="A247" s="92" t="s">
        <v>12</v>
      </c>
      <c r="B247" s="96" t="s">
        <v>13</v>
      </c>
      <c r="C247" s="268" t="s">
        <v>20</v>
      </c>
      <c r="D247" s="280"/>
      <c r="E247" s="156" t="s">
        <v>327</v>
      </c>
      <c r="F247" s="159" t="s">
        <v>341</v>
      </c>
      <c r="G247" s="7"/>
      <c r="H247" s="4" t="s">
        <v>16</v>
      </c>
      <c r="I247" s="229"/>
      <c r="J247" s="60"/>
      <c r="K247" s="60"/>
      <c r="L247" s="60"/>
      <c r="M247" s="60"/>
      <c r="N247" s="60"/>
      <c r="O247" s="60"/>
      <c r="P247" s="60"/>
      <c r="Q247" s="60">
        <v>7</v>
      </c>
      <c r="R247" s="60"/>
      <c r="S247" s="60"/>
      <c r="T247" s="60"/>
      <c r="U247" s="60"/>
      <c r="V247" s="60"/>
      <c r="W247" s="60"/>
      <c r="X247" s="60"/>
      <c r="Y247" s="60">
        <v>7.6</v>
      </c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2"/>
      <c r="AQ247" s="2"/>
      <c r="AR247" s="60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60"/>
      <c r="BD247" s="2"/>
      <c r="BE247" s="2"/>
      <c r="BF247" s="60"/>
      <c r="BG247" s="2"/>
      <c r="BH247" s="60"/>
      <c r="BI247" s="2"/>
      <c r="BJ247" s="60"/>
      <c r="BK247" s="66"/>
      <c r="BL247" s="2"/>
      <c r="BM247" s="2"/>
      <c r="BN247" s="60"/>
      <c r="BO247" s="2"/>
      <c r="BP247" s="2"/>
      <c r="BQ247" s="2"/>
      <c r="BR247" s="2"/>
      <c r="BS247" s="2"/>
      <c r="BT247" s="2"/>
      <c r="BU247" s="2"/>
      <c r="BV247" s="2"/>
      <c r="BW247" s="60"/>
      <c r="BX247" s="2"/>
      <c r="BY247" s="2"/>
      <c r="BZ247" s="2"/>
      <c r="CA247" s="60"/>
      <c r="CB247" s="2"/>
      <c r="CC247" s="2"/>
      <c r="CD247" s="2"/>
      <c r="CE247" s="60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8"/>
      <c r="DM247" s="8"/>
      <c r="DN247" s="8"/>
    </row>
    <row r="248" spans="1:118" ht="12.95" hidden="1" customHeight="1">
      <c r="A248" s="92" t="s">
        <v>12</v>
      </c>
      <c r="B248" s="96"/>
      <c r="C248" s="268" t="s">
        <v>20</v>
      </c>
      <c r="D248" s="280"/>
      <c r="E248" s="156" t="s">
        <v>327</v>
      </c>
      <c r="F248" s="159" t="s">
        <v>342</v>
      </c>
      <c r="G248" s="7"/>
      <c r="H248" s="4" t="s">
        <v>16</v>
      </c>
      <c r="I248" s="230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0"/>
      <c r="AG248" s="62"/>
      <c r="AH248" s="62" t="s">
        <v>343</v>
      </c>
      <c r="AI248" s="62"/>
      <c r="AJ248" s="62"/>
      <c r="AK248" s="62"/>
      <c r="AL248" s="62"/>
      <c r="AM248" s="62"/>
      <c r="AN248" s="62">
        <v>19</v>
      </c>
      <c r="AO248" s="62"/>
      <c r="AP248" s="16"/>
      <c r="AQ248" s="16"/>
      <c r="AR248" s="62"/>
      <c r="AS248" s="16">
        <v>20.399999999999999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62"/>
      <c r="BD248" s="16"/>
      <c r="BE248" s="16"/>
      <c r="BF248" s="62"/>
      <c r="BG248" s="16"/>
      <c r="BH248" s="62"/>
      <c r="BI248" s="16"/>
      <c r="BJ248" s="62"/>
      <c r="BK248" s="316"/>
      <c r="BL248" s="16"/>
      <c r="BM248" s="16"/>
      <c r="BN248" s="62"/>
      <c r="BO248" s="16"/>
      <c r="BP248" s="16"/>
      <c r="BQ248" s="16"/>
      <c r="BR248" s="16"/>
      <c r="BS248" s="16"/>
      <c r="BT248" s="16"/>
      <c r="BU248" s="16"/>
      <c r="BV248" s="16"/>
      <c r="BW248" s="62"/>
      <c r="BX248" s="16"/>
      <c r="BY248" s="16"/>
      <c r="BZ248" s="16"/>
      <c r="CA248" s="62"/>
      <c r="CB248" s="16"/>
      <c r="CC248" s="16"/>
      <c r="CD248" s="16"/>
      <c r="CE248" s="62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8"/>
      <c r="DM248" s="8"/>
      <c r="DN248" s="8"/>
    </row>
    <row r="249" spans="1:118" ht="12.95" hidden="1" customHeight="1">
      <c r="A249" s="92" t="s">
        <v>12</v>
      </c>
      <c r="B249" s="96" t="s">
        <v>13</v>
      </c>
      <c r="C249" s="268" t="s">
        <v>20</v>
      </c>
      <c r="D249" s="280"/>
      <c r="E249" s="156" t="s">
        <v>327</v>
      </c>
      <c r="F249" s="159" t="s">
        <v>344</v>
      </c>
      <c r="G249" s="7"/>
      <c r="H249" s="4" t="s">
        <v>16</v>
      </c>
      <c r="I249" s="230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>
        <v>19.8</v>
      </c>
      <c r="AC249" s="62"/>
      <c r="AD249" s="62"/>
      <c r="AE249" s="62"/>
      <c r="AF249" s="66">
        <v>20.3</v>
      </c>
      <c r="AG249" s="62"/>
      <c r="AH249" s="62"/>
      <c r="AI249" s="62"/>
      <c r="AJ249" s="62"/>
      <c r="AK249" s="62"/>
      <c r="AL249" s="62"/>
      <c r="AM249" s="62"/>
      <c r="AN249" s="62"/>
      <c r="AO249" s="62"/>
      <c r="AP249" s="16"/>
      <c r="AQ249" s="16"/>
      <c r="AR249" s="62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62"/>
      <c r="BD249" s="16"/>
      <c r="BE249" s="16"/>
      <c r="BF249" s="62"/>
      <c r="BG249" s="16"/>
      <c r="BH249" s="62"/>
      <c r="BI249" s="16"/>
      <c r="BJ249" s="62"/>
      <c r="BK249" s="316"/>
      <c r="BL249" s="16"/>
      <c r="BM249" s="16"/>
      <c r="BN249" s="62"/>
      <c r="BO249" s="16"/>
      <c r="BP249" s="16"/>
      <c r="BQ249" s="16"/>
      <c r="BR249" s="16"/>
      <c r="BS249" s="16"/>
      <c r="BT249" s="16"/>
      <c r="BU249" s="16"/>
      <c r="BV249" s="16"/>
      <c r="BW249" s="62"/>
      <c r="BX249" s="16"/>
      <c r="BY249" s="16"/>
      <c r="BZ249" s="16"/>
      <c r="CA249" s="62"/>
      <c r="CB249" s="16"/>
      <c r="CC249" s="16"/>
      <c r="CD249" s="16"/>
      <c r="CE249" s="62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8"/>
      <c r="DM249" s="8"/>
      <c r="DN249" s="8"/>
    </row>
    <row r="250" spans="1:118" ht="12.95" hidden="1" customHeight="1">
      <c r="A250" s="92" t="s">
        <v>12</v>
      </c>
      <c r="B250" s="96" t="s">
        <v>13</v>
      </c>
      <c r="C250" s="268" t="s">
        <v>20</v>
      </c>
      <c r="D250" s="280"/>
      <c r="E250" s="156" t="s">
        <v>327</v>
      </c>
      <c r="F250" s="159" t="s">
        <v>345</v>
      </c>
      <c r="G250" s="7"/>
      <c r="H250" s="4" t="s">
        <v>16</v>
      </c>
      <c r="I250" s="230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>
        <v>19</v>
      </c>
      <c r="Z250" s="62"/>
      <c r="AA250" s="62"/>
      <c r="AB250" s="62">
        <v>20.6</v>
      </c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16"/>
      <c r="AQ250" s="16"/>
      <c r="AR250" s="62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62"/>
      <c r="BD250" s="16"/>
      <c r="BE250" s="16"/>
      <c r="BF250" s="62"/>
      <c r="BG250" s="16"/>
      <c r="BH250" s="62"/>
      <c r="BI250" s="16"/>
      <c r="BJ250" s="62"/>
      <c r="BK250" s="316"/>
      <c r="BL250" s="16"/>
      <c r="BM250" s="16"/>
      <c r="BN250" s="62"/>
      <c r="BO250" s="16"/>
      <c r="BP250" s="16"/>
      <c r="BQ250" s="16"/>
      <c r="BR250" s="16"/>
      <c r="BS250" s="16"/>
      <c r="BT250" s="16"/>
      <c r="BU250" s="16"/>
      <c r="BV250" s="16"/>
      <c r="BW250" s="62"/>
      <c r="BX250" s="16"/>
      <c r="BY250" s="16"/>
      <c r="BZ250" s="16"/>
      <c r="CA250" s="62"/>
      <c r="CB250" s="16"/>
      <c r="CC250" s="16"/>
      <c r="CD250" s="16"/>
      <c r="CE250" s="62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8"/>
      <c r="DM250" s="8"/>
      <c r="DN250" s="8"/>
    </row>
    <row r="251" spans="1:118" ht="12.95" hidden="1" customHeight="1">
      <c r="A251" s="91" t="s">
        <v>12</v>
      </c>
      <c r="B251" s="91" t="s">
        <v>13</v>
      </c>
      <c r="C251" s="267" t="s">
        <v>14</v>
      </c>
      <c r="D251" s="279">
        <v>20.98</v>
      </c>
      <c r="E251" s="155" t="s">
        <v>327</v>
      </c>
      <c r="F251" s="160" t="s">
        <v>346</v>
      </c>
      <c r="G251" s="6">
        <v>20</v>
      </c>
      <c r="H251" s="5" t="s">
        <v>16</v>
      </c>
      <c r="I251" s="233"/>
      <c r="J251" s="59"/>
      <c r="K251" s="59"/>
      <c r="L251" s="59"/>
      <c r="M251" s="59"/>
      <c r="N251" s="59"/>
      <c r="O251" s="59"/>
      <c r="P251" s="59"/>
      <c r="Q251" s="59"/>
      <c r="R251" s="59">
        <v>18</v>
      </c>
      <c r="S251" s="59"/>
      <c r="T251" s="59"/>
      <c r="U251" s="59"/>
      <c r="V251" s="59"/>
      <c r="W251" s="59"/>
      <c r="X251" s="59"/>
      <c r="Y251" s="59">
        <v>19.600000000000001</v>
      </c>
      <c r="Z251" s="59"/>
      <c r="AA251" s="59"/>
      <c r="AB251" s="59"/>
      <c r="AC251" s="59"/>
      <c r="AD251" s="254">
        <v>20.2</v>
      </c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13"/>
      <c r="AQ251" s="13"/>
      <c r="AR251" s="59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59"/>
      <c r="BD251" s="13"/>
      <c r="BE251" s="13"/>
      <c r="BF251" s="59"/>
      <c r="BG251" s="13"/>
      <c r="BH251" s="59"/>
      <c r="BI251" s="13"/>
      <c r="BJ251" s="59"/>
      <c r="BK251" s="254"/>
      <c r="BL251" s="13"/>
      <c r="BM251" s="13"/>
      <c r="BN251" s="59"/>
      <c r="BO251" s="13"/>
      <c r="BP251" s="13"/>
      <c r="BQ251" s="13"/>
      <c r="BR251" s="13"/>
      <c r="BS251" s="13"/>
      <c r="BT251" s="13"/>
      <c r="BU251" s="13"/>
      <c r="BV251" s="13"/>
      <c r="BW251" s="59"/>
      <c r="BX251" s="13"/>
      <c r="BY251" s="13"/>
      <c r="BZ251" s="13"/>
      <c r="CA251" s="59"/>
      <c r="CB251" s="13"/>
      <c r="CC251" s="13"/>
      <c r="CD251" s="13"/>
      <c r="CE251" s="59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8"/>
      <c r="DM251" s="8"/>
      <c r="DN251" s="8"/>
    </row>
    <row r="252" spans="1:118" s="256" customFormat="1" ht="13.35" hidden="1" customHeight="1">
      <c r="A252" s="92" t="s">
        <v>12</v>
      </c>
      <c r="B252" s="92" t="s">
        <v>13</v>
      </c>
      <c r="C252" s="268" t="s">
        <v>20</v>
      </c>
      <c r="D252" s="280">
        <v>45.11</v>
      </c>
      <c r="E252" s="156" t="s">
        <v>327</v>
      </c>
      <c r="F252" s="159" t="s">
        <v>347</v>
      </c>
      <c r="G252" s="7">
        <v>22</v>
      </c>
      <c r="H252" s="4" t="s">
        <v>22</v>
      </c>
      <c r="I252" s="229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>
        <v>18.8</v>
      </c>
      <c r="Z252" s="60"/>
      <c r="AA252" s="60"/>
      <c r="AB252" s="60"/>
      <c r="AC252" s="60"/>
      <c r="AD252" s="60"/>
      <c r="AE252" s="60"/>
      <c r="AF252" s="60"/>
      <c r="AG252" s="60"/>
      <c r="AH252" s="60">
        <v>21.2</v>
      </c>
      <c r="AI252" s="60"/>
      <c r="AJ252" s="60"/>
      <c r="AK252" s="60"/>
      <c r="AL252" s="60"/>
      <c r="AM252" s="60"/>
      <c r="AN252" s="60"/>
      <c r="AO252" s="60"/>
      <c r="AP252" s="2"/>
      <c r="AQ252" s="2"/>
      <c r="AR252" s="60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60"/>
      <c r="BD252" s="2"/>
      <c r="BE252" s="2"/>
      <c r="BF252" s="60"/>
      <c r="BG252" s="2"/>
      <c r="BH252" s="60"/>
      <c r="BI252" s="2"/>
      <c r="BJ252" s="60"/>
      <c r="BK252" s="66"/>
      <c r="BL252" s="2"/>
      <c r="BM252" s="2"/>
      <c r="BN252" s="60"/>
      <c r="BO252" s="2"/>
      <c r="BP252" s="2"/>
      <c r="BQ252" s="2"/>
      <c r="BR252" s="2"/>
      <c r="BS252" s="2"/>
      <c r="BT252" s="2"/>
      <c r="BU252" s="2"/>
      <c r="BV252" s="2"/>
      <c r="BW252" s="60"/>
      <c r="BX252" s="2"/>
      <c r="BY252" s="2"/>
      <c r="BZ252" s="2"/>
      <c r="CA252" s="60"/>
      <c r="CB252" s="2"/>
      <c r="CC252" s="2"/>
      <c r="CD252" s="2"/>
      <c r="CE252" s="60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55"/>
      <c r="DM252" s="255"/>
      <c r="DN252" s="255"/>
    </row>
    <row r="253" spans="1:118" ht="13.35" hidden="1" customHeight="1">
      <c r="A253" s="91" t="s">
        <v>12</v>
      </c>
      <c r="B253" s="91" t="s">
        <v>13</v>
      </c>
      <c r="C253" s="267" t="s">
        <v>20</v>
      </c>
      <c r="D253" s="279">
        <v>34.89</v>
      </c>
      <c r="E253" s="179" t="s">
        <v>327</v>
      </c>
      <c r="F253" s="180" t="s">
        <v>348</v>
      </c>
      <c r="G253" s="181">
        <v>20</v>
      </c>
      <c r="H253" s="182"/>
      <c r="I253" s="233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 t="s">
        <v>349</v>
      </c>
      <c r="U253" s="59"/>
      <c r="V253" s="59"/>
      <c r="W253" s="59"/>
      <c r="X253" s="59"/>
      <c r="Y253" s="59"/>
      <c r="Z253" s="59"/>
      <c r="AA253" s="254">
        <v>19</v>
      </c>
      <c r="AB253" s="59"/>
      <c r="AC253" s="59"/>
      <c r="AD253" s="59"/>
      <c r="AE253" s="59"/>
      <c r="AF253" s="59">
        <v>20</v>
      </c>
      <c r="AG253" s="59"/>
      <c r="AH253" s="59">
        <v>19.399999999999999</v>
      </c>
      <c r="AI253" s="59"/>
      <c r="AJ253" s="59"/>
      <c r="AK253" s="254">
        <v>19.7</v>
      </c>
      <c r="AL253" s="59"/>
      <c r="AM253" s="59"/>
      <c r="AN253" s="59"/>
      <c r="AO253" s="59"/>
      <c r="AP253" s="13"/>
      <c r="AQ253" s="13"/>
      <c r="AR253" s="59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59"/>
      <c r="BD253" s="13"/>
      <c r="BE253" s="13"/>
      <c r="BF253" s="59"/>
      <c r="BG253" s="13"/>
      <c r="BH253" s="59"/>
      <c r="BI253" s="13"/>
      <c r="BJ253" s="59"/>
      <c r="BK253" s="254"/>
      <c r="BL253" s="13"/>
      <c r="BM253" s="13"/>
      <c r="BN253" s="59"/>
      <c r="BO253" s="13"/>
      <c r="BP253" s="13"/>
      <c r="BQ253" s="13"/>
      <c r="BR253" s="13"/>
      <c r="BS253" s="13"/>
      <c r="BT253" s="13"/>
      <c r="BU253" s="13"/>
      <c r="BV253" s="13"/>
      <c r="BW253" s="59"/>
      <c r="BX253" s="13"/>
      <c r="BY253" s="13"/>
      <c r="BZ253" s="13"/>
      <c r="CA253" s="59"/>
      <c r="CB253" s="13"/>
      <c r="CC253" s="13"/>
      <c r="CD253" s="13"/>
      <c r="CE253" s="59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8"/>
      <c r="DM253" s="8"/>
      <c r="DN253" s="8"/>
    </row>
    <row r="254" spans="1:118" ht="13.35" hidden="1" customHeight="1">
      <c r="A254" s="90" t="s">
        <v>12</v>
      </c>
      <c r="B254" s="90"/>
      <c r="C254" s="266"/>
      <c r="D254" s="277"/>
      <c r="E254" s="278" t="s">
        <v>350</v>
      </c>
      <c r="F254" s="141" t="s">
        <v>351</v>
      </c>
      <c r="G254" s="169"/>
      <c r="H254" s="170" t="s">
        <v>11</v>
      </c>
      <c r="I254" s="225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331"/>
      <c r="AQ254" s="172"/>
      <c r="AR254" s="171"/>
      <c r="AS254" s="331"/>
      <c r="AT254" s="171"/>
      <c r="AU254" s="171"/>
      <c r="AV254" s="172"/>
      <c r="AW254" s="172"/>
      <c r="AX254" s="172"/>
      <c r="AY254" s="171"/>
      <c r="AZ254" s="171"/>
      <c r="BA254" s="171"/>
      <c r="BB254" s="171"/>
      <c r="BC254" s="171"/>
      <c r="BD254" s="172"/>
      <c r="BE254" s="172"/>
      <c r="BF254" s="171"/>
      <c r="BG254" s="171"/>
      <c r="BH254" s="171"/>
      <c r="BI254" s="172"/>
      <c r="BJ254" s="171"/>
      <c r="BK254" s="427"/>
      <c r="BL254" s="172"/>
      <c r="BM254" s="171"/>
      <c r="BN254" s="171"/>
      <c r="BO254" s="171"/>
      <c r="BP254" s="171"/>
      <c r="BQ254" s="171"/>
      <c r="BR254" s="171"/>
      <c r="BS254" s="171"/>
      <c r="BT254" s="171"/>
      <c r="BU254" s="171"/>
      <c r="BV254" s="171"/>
      <c r="BW254" s="171"/>
      <c r="BX254" s="171"/>
      <c r="BY254" s="172"/>
      <c r="BZ254" s="172"/>
      <c r="CA254" s="171"/>
      <c r="CB254" s="171"/>
      <c r="CC254" s="172"/>
      <c r="CD254" s="171"/>
      <c r="CE254" s="171"/>
      <c r="CF254" s="172"/>
      <c r="CG254" s="172"/>
      <c r="CH254" s="171"/>
      <c r="CI254" s="172"/>
      <c r="CJ254" s="172"/>
      <c r="CK254" s="172"/>
      <c r="CL254" s="172"/>
      <c r="CM254" s="172"/>
      <c r="CN254" s="172"/>
      <c r="CO254" s="172"/>
      <c r="CP254" s="172"/>
      <c r="CQ254" s="172"/>
      <c r="CR254" s="172"/>
      <c r="CS254" s="172"/>
      <c r="CT254" s="172"/>
      <c r="CU254" s="172"/>
      <c r="CV254" s="172"/>
      <c r="CW254" s="172"/>
      <c r="CX254" s="172"/>
      <c r="CY254" s="172"/>
      <c r="CZ254" s="172"/>
      <c r="DA254" s="172"/>
      <c r="DB254" s="172"/>
      <c r="DC254" s="172"/>
      <c r="DD254" s="172"/>
      <c r="DE254" s="172"/>
      <c r="DF254" s="172"/>
      <c r="DG254" s="172"/>
      <c r="DH254" s="172"/>
      <c r="DI254" s="172"/>
      <c r="DJ254" s="172"/>
      <c r="DK254" s="172"/>
      <c r="DL254" s="8"/>
      <c r="DM254" s="8"/>
      <c r="DN254" s="8"/>
    </row>
    <row r="255" spans="1:118" ht="13.35" hidden="1" customHeight="1">
      <c r="A255" s="91" t="s">
        <v>12</v>
      </c>
      <c r="B255" s="95" t="s">
        <v>13</v>
      </c>
      <c r="C255" s="267" t="s">
        <v>20</v>
      </c>
      <c r="D255" s="279">
        <v>46</v>
      </c>
      <c r="E255" s="188" t="s">
        <v>350</v>
      </c>
      <c r="F255" s="166" t="s">
        <v>352</v>
      </c>
      <c r="G255" s="50">
        <v>18</v>
      </c>
      <c r="H255" s="55" t="s">
        <v>353</v>
      </c>
      <c r="I255" s="228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335">
        <v>23</v>
      </c>
      <c r="AQ255" s="18"/>
      <c r="AR255" s="64"/>
      <c r="AS255" s="335"/>
      <c r="AT255" s="64"/>
      <c r="AU255" s="64"/>
      <c r="AV255" s="18"/>
      <c r="AW255" s="18"/>
      <c r="AX255" s="18"/>
      <c r="AY255" s="64"/>
      <c r="AZ255" s="64"/>
      <c r="BA255" s="18"/>
      <c r="BB255" s="18"/>
      <c r="BC255" s="64"/>
      <c r="BD255" s="18"/>
      <c r="BE255" s="18"/>
      <c r="BF255" s="64"/>
      <c r="BG255" s="18"/>
      <c r="BH255" s="64"/>
      <c r="BI255" s="18"/>
      <c r="BJ255" s="64"/>
      <c r="BK255" s="65"/>
      <c r="BL255" s="18"/>
      <c r="BM255" s="18"/>
      <c r="BN255" s="64"/>
      <c r="BO255" s="18"/>
      <c r="BP255" s="18"/>
      <c r="BQ255" s="18"/>
      <c r="BR255" s="18"/>
      <c r="BS255" s="18"/>
      <c r="BT255" s="18"/>
      <c r="BU255" s="18"/>
      <c r="BV255" s="18"/>
      <c r="BW255" s="64"/>
      <c r="BX255" s="18"/>
      <c r="BY255" s="18"/>
      <c r="BZ255" s="18"/>
      <c r="CA255" s="64"/>
      <c r="CB255" s="18"/>
      <c r="CC255" s="18"/>
      <c r="CD255" s="18"/>
      <c r="CE255" s="64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8"/>
      <c r="DM255" s="8"/>
      <c r="DN255" s="8"/>
    </row>
    <row r="256" spans="1:118" ht="13.35" hidden="1" customHeight="1">
      <c r="A256" s="91" t="s">
        <v>12</v>
      </c>
      <c r="B256" s="95" t="s">
        <v>13</v>
      </c>
      <c r="C256" s="267" t="s">
        <v>20</v>
      </c>
      <c r="D256" s="279"/>
      <c r="E256" s="155" t="s">
        <v>350</v>
      </c>
      <c r="F256" s="160" t="s">
        <v>354</v>
      </c>
      <c r="G256" s="6">
        <v>18</v>
      </c>
      <c r="H256" s="5" t="s">
        <v>353</v>
      </c>
      <c r="I256" s="231"/>
      <c r="J256" s="61">
        <v>14.6</v>
      </c>
      <c r="K256" s="61"/>
      <c r="L256" s="61"/>
      <c r="M256" s="61"/>
      <c r="N256" s="61"/>
      <c r="O256" s="61"/>
      <c r="P256" s="61"/>
      <c r="Q256" s="61">
        <v>16.399999999999999</v>
      </c>
      <c r="R256" s="61"/>
      <c r="S256" s="61"/>
      <c r="T256" s="61"/>
      <c r="U256" s="61"/>
      <c r="V256" s="61"/>
      <c r="W256" s="61"/>
      <c r="X256" s="61">
        <v>17.399999999999999</v>
      </c>
      <c r="Y256" s="61"/>
      <c r="Z256" s="67">
        <v>17.8</v>
      </c>
      <c r="AA256" s="61"/>
      <c r="AB256" s="61"/>
      <c r="AC256" s="61"/>
      <c r="AD256" s="61"/>
      <c r="AE256" s="61"/>
      <c r="AF256" s="61"/>
      <c r="AG256" s="61"/>
      <c r="AH256" s="61">
        <v>20.100000000000001</v>
      </c>
      <c r="AI256" s="61"/>
      <c r="AJ256" s="61"/>
      <c r="AK256" s="61"/>
      <c r="AL256" s="67"/>
      <c r="AM256" s="61"/>
      <c r="AN256" s="61"/>
      <c r="AO256" s="61"/>
      <c r="AP256" s="332"/>
      <c r="AQ256" s="1"/>
      <c r="AR256" s="61"/>
      <c r="AS256" s="332"/>
      <c r="AT256" s="61"/>
      <c r="AU256" s="61"/>
      <c r="AV256" s="1"/>
      <c r="AW256" s="1"/>
      <c r="AX256" s="1"/>
      <c r="AY256" s="61"/>
      <c r="AZ256" s="61"/>
      <c r="BA256" s="1"/>
      <c r="BB256" s="1"/>
      <c r="BC256" s="61"/>
      <c r="BD256" s="1"/>
      <c r="BE256" s="1"/>
      <c r="BF256" s="61"/>
      <c r="BG256" s="1"/>
      <c r="BH256" s="61"/>
      <c r="BI256" s="1"/>
      <c r="BJ256" s="61"/>
      <c r="BK256" s="67"/>
      <c r="BL256" s="1"/>
      <c r="BM256" s="1"/>
      <c r="BN256" s="61"/>
      <c r="BO256" s="1"/>
      <c r="BP256" s="1"/>
      <c r="BQ256" s="1"/>
      <c r="BR256" s="1"/>
      <c r="BS256" s="1"/>
      <c r="BT256" s="1"/>
      <c r="BU256" s="1"/>
      <c r="BV256" s="1"/>
      <c r="BW256" s="61"/>
      <c r="BX256" s="1"/>
      <c r="BY256" s="1"/>
      <c r="BZ256" s="1"/>
      <c r="CA256" s="61"/>
      <c r="CB256" s="1"/>
      <c r="CC256" s="1"/>
      <c r="CD256" s="1"/>
      <c r="CE256" s="6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8"/>
      <c r="DM256" s="8"/>
      <c r="DN256" s="8"/>
    </row>
    <row r="257" spans="1:118" ht="13.35" hidden="1" customHeight="1">
      <c r="A257" s="91" t="s">
        <v>12</v>
      </c>
      <c r="B257" s="95" t="s">
        <v>13</v>
      </c>
      <c r="C257" s="267" t="s">
        <v>20</v>
      </c>
      <c r="D257" s="279"/>
      <c r="E257" s="155" t="s">
        <v>350</v>
      </c>
      <c r="F257" s="160" t="s">
        <v>355</v>
      </c>
      <c r="G257" s="6">
        <v>18</v>
      </c>
      <c r="H257" s="5" t="s">
        <v>353</v>
      </c>
      <c r="I257" s="231"/>
      <c r="J257" s="61">
        <v>13.5</v>
      </c>
      <c r="K257" s="61"/>
      <c r="L257" s="61"/>
      <c r="M257" s="61"/>
      <c r="N257" s="61"/>
      <c r="O257" s="61"/>
      <c r="P257" s="61"/>
      <c r="Q257" s="61">
        <v>15</v>
      </c>
      <c r="R257" s="61"/>
      <c r="S257" s="61"/>
      <c r="T257" s="61"/>
      <c r="U257" s="61"/>
      <c r="V257" s="61"/>
      <c r="W257" s="61"/>
      <c r="X257" s="61">
        <v>16</v>
      </c>
      <c r="Y257" s="61"/>
      <c r="Z257" s="67">
        <v>18</v>
      </c>
      <c r="AA257" s="61"/>
      <c r="AB257" s="61"/>
      <c r="AC257" s="61"/>
      <c r="AD257" s="61"/>
      <c r="AE257" s="61"/>
      <c r="AF257" s="61"/>
      <c r="AG257" s="61"/>
      <c r="AH257" s="61">
        <v>19.2</v>
      </c>
      <c r="AI257" s="61"/>
      <c r="AJ257" s="61"/>
      <c r="AK257" s="61"/>
      <c r="AL257" s="67"/>
      <c r="AM257" s="61"/>
      <c r="AN257" s="61"/>
      <c r="AO257" s="61"/>
      <c r="AP257" s="332"/>
      <c r="AQ257" s="1"/>
      <c r="AR257" s="61"/>
      <c r="AS257" s="332"/>
      <c r="AT257" s="61"/>
      <c r="AU257" s="61"/>
      <c r="AV257" s="1"/>
      <c r="AW257" s="1"/>
      <c r="AX257" s="1"/>
      <c r="AY257" s="61"/>
      <c r="AZ257" s="61"/>
      <c r="BA257" s="1"/>
      <c r="BB257" s="1"/>
      <c r="BC257" s="61"/>
      <c r="BD257" s="1"/>
      <c r="BE257" s="1"/>
      <c r="BF257" s="61"/>
      <c r="BG257" s="1"/>
      <c r="BH257" s="61"/>
      <c r="BI257" s="1"/>
      <c r="BJ257" s="61"/>
      <c r="BK257" s="67"/>
      <c r="BL257" s="1"/>
      <c r="BM257" s="1"/>
      <c r="BN257" s="61"/>
      <c r="BO257" s="1"/>
      <c r="BP257" s="1"/>
      <c r="BQ257" s="1"/>
      <c r="BR257" s="1"/>
      <c r="BS257" s="1"/>
      <c r="BT257" s="1"/>
      <c r="BU257" s="1"/>
      <c r="BV257" s="1"/>
      <c r="BW257" s="61"/>
      <c r="BX257" s="1"/>
      <c r="BY257" s="1"/>
      <c r="BZ257" s="1"/>
      <c r="CA257" s="61"/>
      <c r="CB257" s="1"/>
      <c r="CC257" s="1"/>
      <c r="CD257" s="1"/>
      <c r="CE257" s="6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8"/>
      <c r="DM257" s="8"/>
      <c r="DN257" s="8"/>
    </row>
    <row r="258" spans="1:118" ht="13.15" hidden="1" customHeight="1">
      <c r="A258" s="92" t="s">
        <v>12</v>
      </c>
      <c r="B258" s="97" t="s">
        <v>13</v>
      </c>
      <c r="C258" s="268" t="s">
        <v>20</v>
      </c>
      <c r="D258" s="280">
        <v>46.69</v>
      </c>
      <c r="E258" s="156" t="s">
        <v>350</v>
      </c>
      <c r="F258" s="159" t="s">
        <v>356</v>
      </c>
      <c r="G258" s="25"/>
      <c r="H258" s="30"/>
      <c r="I258" s="229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>
        <v>22</v>
      </c>
      <c r="Z258" s="60"/>
      <c r="AA258" s="60"/>
      <c r="AB258" s="60"/>
      <c r="AC258" s="60"/>
      <c r="AD258" s="60"/>
      <c r="AE258" s="60"/>
      <c r="AF258" s="60"/>
      <c r="AG258" s="60">
        <v>24.3</v>
      </c>
      <c r="AH258" s="66"/>
      <c r="AI258" s="60"/>
      <c r="AJ258" s="60"/>
      <c r="AK258" s="66">
        <v>24.7</v>
      </c>
      <c r="AL258" s="60"/>
      <c r="AM258" s="60"/>
      <c r="AN258" s="60"/>
      <c r="AO258" s="60"/>
      <c r="AP258" s="333"/>
      <c r="AQ258" s="2"/>
      <c r="AR258" s="60"/>
      <c r="AS258" s="333"/>
      <c r="AT258" s="60"/>
      <c r="AU258" s="60"/>
      <c r="AV258" s="2"/>
      <c r="AW258" s="2"/>
      <c r="AX258" s="2"/>
      <c r="AY258" s="2"/>
      <c r="AZ258" s="2"/>
      <c r="BA258" s="2"/>
      <c r="BB258" s="2"/>
      <c r="BC258" s="60"/>
      <c r="BD258" s="2"/>
      <c r="BE258" s="2"/>
      <c r="BF258" s="60"/>
      <c r="BG258" s="2"/>
      <c r="BH258" s="60"/>
      <c r="BI258" s="2"/>
      <c r="BJ258" s="60"/>
      <c r="BK258" s="66"/>
      <c r="BL258" s="2"/>
      <c r="BM258" s="2"/>
      <c r="BN258" s="60"/>
      <c r="BO258" s="2"/>
      <c r="BP258" s="2"/>
      <c r="BQ258" s="2"/>
      <c r="BR258" s="2"/>
      <c r="BS258" s="2"/>
      <c r="BT258" s="2"/>
      <c r="BU258" s="2"/>
      <c r="BV258" s="2"/>
      <c r="BW258" s="60"/>
      <c r="BX258" s="2"/>
      <c r="BY258" s="2"/>
      <c r="BZ258" s="2"/>
      <c r="CA258" s="60"/>
      <c r="CB258" s="2"/>
      <c r="CC258" s="2"/>
      <c r="CD258" s="2"/>
      <c r="CE258" s="60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8"/>
      <c r="DM258" s="8"/>
      <c r="DN258" s="8"/>
    </row>
    <row r="259" spans="1:118" ht="13.15" hidden="1" customHeight="1">
      <c r="A259" s="92" t="s">
        <v>12</v>
      </c>
      <c r="B259" s="97" t="s">
        <v>13</v>
      </c>
      <c r="C259" s="268" t="s">
        <v>20</v>
      </c>
      <c r="D259" s="280"/>
      <c r="E259" s="156" t="s">
        <v>350</v>
      </c>
      <c r="F259" s="159" t="s">
        <v>357</v>
      </c>
      <c r="G259" s="25"/>
      <c r="H259" s="30"/>
      <c r="I259" s="229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>
        <v>22</v>
      </c>
      <c r="Z259" s="60"/>
      <c r="AA259" s="60"/>
      <c r="AB259" s="60"/>
      <c r="AC259" s="60"/>
      <c r="AD259" s="60"/>
      <c r="AE259" s="60"/>
      <c r="AF259" s="60"/>
      <c r="AG259" s="60">
        <v>23.8</v>
      </c>
      <c r="AH259" s="66"/>
      <c r="AI259" s="60"/>
      <c r="AJ259" s="60"/>
      <c r="AK259" s="66">
        <v>24.7</v>
      </c>
      <c r="AL259" s="60"/>
      <c r="AM259" s="60"/>
      <c r="AN259" s="60"/>
      <c r="AO259" s="60"/>
      <c r="AP259" s="333"/>
      <c r="AQ259" s="2"/>
      <c r="AR259" s="60"/>
      <c r="AS259" s="333"/>
      <c r="AT259" s="60"/>
      <c r="AU259" s="60"/>
      <c r="AV259" s="2"/>
      <c r="AW259" s="2"/>
      <c r="AX259" s="2"/>
      <c r="AY259" s="2"/>
      <c r="AZ259" s="2"/>
      <c r="BA259" s="2"/>
      <c r="BB259" s="2"/>
      <c r="BC259" s="60"/>
      <c r="BD259" s="2"/>
      <c r="BE259" s="2"/>
      <c r="BF259" s="60"/>
      <c r="BG259" s="2"/>
      <c r="BH259" s="60"/>
      <c r="BI259" s="2"/>
      <c r="BJ259" s="60"/>
      <c r="BK259" s="66"/>
      <c r="BL259" s="2"/>
      <c r="BM259" s="2"/>
      <c r="BN259" s="60"/>
      <c r="BO259" s="2"/>
      <c r="BP259" s="2"/>
      <c r="BQ259" s="2"/>
      <c r="BR259" s="2"/>
      <c r="BS259" s="2"/>
      <c r="BT259" s="2"/>
      <c r="BU259" s="2"/>
      <c r="BV259" s="2"/>
      <c r="BW259" s="60"/>
      <c r="BX259" s="2"/>
      <c r="BY259" s="2"/>
      <c r="BZ259" s="2"/>
      <c r="CA259" s="60"/>
      <c r="CB259" s="2"/>
      <c r="CC259" s="2"/>
      <c r="CD259" s="2"/>
      <c r="CE259" s="60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8"/>
      <c r="DM259" s="8"/>
      <c r="DN259" s="8"/>
    </row>
    <row r="260" spans="1:118" ht="13.35" hidden="1" customHeight="1">
      <c r="A260" s="92" t="s">
        <v>12</v>
      </c>
      <c r="B260" s="97" t="s">
        <v>13</v>
      </c>
      <c r="C260" s="268" t="s">
        <v>20</v>
      </c>
      <c r="D260" s="280"/>
      <c r="E260" s="156" t="s">
        <v>350</v>
      </c>
      <c r="F260" s="159" t="s">
        <v>358</v>
      </c>
      <c r="G260" s="25"/>
      <c r="H260" s="30"/>
      <c r="I260" s="229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>
        <v>22</v>
      </c>
      <c r="Z260" s="60"/>
      <c r="AA260" s="60"/>
      <c r="AB260" s="60"/>
      <c r="AC260" s="60"/>
      <c r="AD260" s="60"/>
      <c r="AE260" s="60"/>
      <c r="AF260" s="60"/>
      <c r="AG260" s="60">
        <v>23.7</v>
      </c>
      <c r="AH260" s="60"/>
      <c r="AI260" s="60"/>
      <c r="AJ260" s="60"/>
      <c r="AK260" s="66">
        <v>25.3</v>
      </c>
      <c r="AL260" s="60"/>
      <c r="AM260" s="60"/>
      <c r="AN260" s="60"/>
      <c r="AO260" s="60"/>
      <c r="AP260" s="333"/>
      <c r="AQ260" s="2"/>
      <c r="AR260" s="60"/>
      <c r="AS260" s="333"/>
      <c r="AT260" s="60"/>
      <c r="AU260" s="60"/>
      <c r="AV260" s="2"/>
      <c r="AW260" s="2"/>
      <c r="AX260" s="2"/>
      <c r="AY260" s="2"/>
      <c r="AZ260" s="2"/>
      <c r="BA260" s="2"/>
      <c r="BB260" s="2"/>
      <c r="BC260" s="60"/>
      <c r="BD260" s="2"/>
      <c r="BE260" s="2"/>
      <c r="BF260" s="60"/>
      <c r="BG260" s="2"/>
      <c r="BH260" s="60"/>
      <c r="BI260" s="2"/>
      <c r="BJ260" s="60"/>
      <c r="BK260" s="66"/>
      <c r="BL260" s="2"/>
      <c r="BM260" s="2"/>
      <c r="BN260" s="60"/>
      <c r="BO260" s="2"/>
      <c r="BP260" s="2"/>
      <c r="BQ260" s="2"/>
      <c r="BR260" s="2"/>
      <c r="BS260" s="2"/>
      <c r="BT260" s="2"/>
      <c r="BU260" s="2"/>
      <c r="BV260" s="2"/>
      <c r="BW260" s="60"/>
      <c r="BX260" s="2"/>
      <c r="BY260" s="2"/>
      <c r="BZ260" s="2"/>
      <c r="CA260" s="60"/>
      <c r="CB260" s="2"/>
      <c r="CC260" s="2"/>
      <c r="CD260" s="2"/>
      <c r="CE260" s="60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8"/>
      <c r="DM260" s="8"/>
      <c r="DN260" s="8"/>
    </row>
    <row r="261" spans="1:118" ht="13.35" hidden="1" customHeight="1">
      <c r="A261" s="92" t="s">
        <v>12</v>
      </c>
      <c r="B261" s="97" t="s">
        <v>13</v>
      </c>
      <c r="C261" s="268" t="s">
        <v>20</v>
      </c>
      <c r="D261" s="280"/>
      <c r="E261" s="156" t="s">
        <v>350</v>
      </c>
      <c r="F261" s="159" t="s">
        <v>359</v>
      </c>
      <c r="G261" s="25"/>
      <c r="H261" s="30"/>
      <c r="I261" s="229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>
        <v>19.399999999999999</v>
      </c>
      <c r="Z261" s="60"/>
      <c r="AA261" s="60"/>
      <c r="AB261" s="60"/>
      <c r="AC261" s="60"/>
      <c r="AD261" s="60"/>
      <c r="AE261" s="60"/>
      <c r="AF261" s="60"/>
      <c r="AG261" s="60">
        <v>21.8</v>
      </c>
      <c r="AH261" s="60"/>
      <c r="AI261" s="60"/>
      <c r="AJ261" s="60"/>
      <c r="AK261" s="60"/>
      <c r="AL261" s="60"/>
      <c r="AM261" s="60"/>
      <c r="AN261" s="60"/>
      <c r="AO261" s="60"/>
      <c r="AP261" s="333"/>
      <c r="AQ261" s="2"/>
      <c r="AR261" s="60"/>
      <c r="AS261" s="333">
        <v>27.4</v>
      </c>
      <c r="AT261" s="60"/>
      <c r="AU261" s="60"/>
      <c r="AV261" s="2"/>
      <c r="AW261" s="2"/>
      <c r="AX261" s="2"/>
      <c r="AY261" s="2"/>
      <c r="AZ261" s="2"/>
      <c r="BA261" s="2"/>
      <c r="BB261" s="2"/>
      <c r="BC261" s="60"/>
      <c r="BD261" s="2"/>
      <c r="BE261" s="2"/>
      <c r="BF261" s="60"/>
      <c r="BG261" s="2"/>
      <c r="BH261" s="60"/>
      <c r="BI261" s="2"/>
      <c r="BJ261" s="60"/>
      <c r="BK261" s="66"/>
      <c r="BL261" s="2"/>
      <c r="BM261" s="2"/>
      <c r="BN261" s="60"/>
      <c r="BO261" s="2"/>
      <c r="BP261" s="2"/>
      <c r="BQ261" s="2"/>
      <c r="BR261" s="2"/>
      <c r="BS261" s="2"/>
      <c r="BT261" s="2"/>
      <c r="BU261" s="2"/>
      <c r="BV261" s="2"/>
      <c r="BW261" s="60"/>
      <c r="BX261" s="2"/>
      <c r="BY261" s="2"/>
      <c r="BZ261" s="2"/>
      <c r="CA261" s="60"/>
      <c r="CB261" s="2"/>
      <c r="CC261" s="2"/>
      <c r="CD261" s="2"/>
      <c r="CE261" s="60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8"/>
      <c r="DM261" s="8"/>
      <c r="DN261" s="8"/>
    </row>
    <row r="262" spans="1:118" ht="13.35" hidden="1" customHeight="1">
      <c r="A262" s="92" t="s">
        <v>12</v>
      </c>
      <c r="B262" s="97" t="s">
        <v>13</v>
      </c>
      <c r="C262" s="268" t="s">
        <v>20</v>
      </c>
      <c r="D262" s="280"/>
      <c r="E262" s="156" t="s">
        <v>350</v>
      </c>
      <c r="F262" s="159" t="s">
        <v>360</v>
      </c>
      <c r="G262" s="25"/>
      <c r="H262" s="30"/>
      <c r="I262" s="229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>
        <v>22.4</v>
      </c>
      <c r="AH262" s="60"/>
      <c r="AI262" s="60"/>
      <c r="AJ262" s="60"/>
      <c r="AK262" s="60"/>
      <c r="AL262" s="60"/>
      <c r="AM262" s="60"/>
      <c r="AN262" s="60"/>
      <c r="AO262" s="60"/>
      <c r="AP262" s="333"/>
      <c r="AQ262" s="2"/>
      <c r="AR262" s="60"/>
      <c r="AS262" s="333">
        <v>27.6</v>
      </c>
      <c r="AT262" s="60"/>
      <c r="AU262" s="60"/>
      <c r="AV262" s="2"/>
      <c r="AW262" s="2"/>
      <c r="AX262" s="2"/>
      <c r="AY262" s="2"/>
      <c r="AZ262" s="2"/>
      <c r="BA262" s="2"/>
      <c r="BB262" s="2"/>
      <c r="BC262" s="60"/>
      <c r="BD262" s="2"/>
      <c r="BE262" s="2"/>
      <c r="BF262" s="60"/>
      <c r="BG262" s="2"/>
      <c r="BH262" s="60"/>
      <c r="BI262" s="2"/>
      <c r="BJ262" s="60"/>
      <c r="BK262" s="66"/>
      <c r="BL262" s="2"/>
      <c r="BM262" s="2"/>
      <c r="BN262" s="60"/>
      <c r="BO262" s="2"/>
      <c r="BP262" s="2"/>
      <c r="BQ262" s="2"/>
      <c r="BR262" s="2"/>
      <c r="BS262" s="2"/>
      <c r="BT262" s="2"/>
      <c r="BU262" s="2"/>
      <c r="BV262" s="2"/>
      <c r="BW262" s="60"/>
      <c r="BX262" s="2"/>
      <c r="BY262" s="2"/>
      <c r="BZ262" s="2"/>
      <c r="CA262" s="60"/>
      <c r="CB262" s="2"/>
      <c r="CC262" s="2"/>
      <c r="CD262" s="2"/>
      <c r="CE262" s="60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8"/>
      <c r="DM262" s="8"/>
      <c r="DN262" s="8"/>
    </row>
    <row r="263" spans="1:118" ht="13.35" hidden="1" customHeight="1">
      <c r="A263" s="91" t="s">
        <v>12</v>
      </c>
      <c r="B263" s="91"/>
      <c r="C263" s="267" t="s">
        <v>20</v>
      </c>
      <c r="D263" s="279">
        <v>38.21</v>
      </c>
      <c r="E263" s="155" t="s">
        <v>350</v>
      </c>
      <c r="F263" s="160" t="s">
        <v>361</v>
      </c>
      <c r="G263" s="6"/>
      <c r="H263" s="5" t="s">
        <v>86</v>
      </c>
      <c r="I263" s="233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339"/>
      <c r="AQ263" s="13"/>
      <c r="AR263" s="59"/>
      <c r="AS263" s="339"/>
      <c r="AT263" s="59"/>
      <c r="AU263" s="59"/>
      <c r="AV263" s="13"/>
      <c r="AW263" s="13"/>
      <c r="AX263" s="13"/>
      <c r="AY263" s="13"/>
      <c r="AZ263" s="13"/>
      <c r="BA263" s="13"/>
      <c r="BB263" s="13"/>
      <c r="BC263" s="59"/>
      <c r="BD263" s="13"/>
      <c r="BE263" s="13"/>
      <c r="BF263" s="59"/>
      <c r="BG263" s="13"/>
      <c r="BH263" s="59"/>
      <c r="BI263" s="13"/>
      <c r="BJ263" s="59"/>
      <c r="BK263" s="254"/>
      <c r="BL263" s="13"/>
      <c r="BM263" s="13"/>
      <c r="BN263" s="59"/>
      <c r="BO263" s="13"/>
      <c r="BP263" s="13"/>
      <c r="BQ263" s="13"/>
      <c r="BR263" s="13"/>
      <c r="BS263" s="13"/>
      <c r="BT263" s="13"/>
      <c r="BU263" s="13"/>
      <c r="BV263" s="13"/>
      <c r="BW263" s="59"/>
      <c r="BX263" s="13"/>
      <c r="BY263" s="13"/>
      <c r="BZ263" s="13"/>
      <c r="CA263" s="59"/>
      <c r="CB263" s="13"/>
      <c r="CC263" s="13"/>
      <c r="CD263" s="13"/>
      <c r="CE263" s="59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8"/>
      <c r="DM263" s="8"/>
      <c r="DN263" s="8"/>
    </row>
    <row r="264" spans="1:118" s="104" customFormat="1" ht="13.35" hidden="1" customHeight="1">
      <c r="A264" s="96" t="s">
        <v>12</v>
      </c>
      <c r="B264" s="96"/>
      <c r="C264" s="269" t="s">
        <v>20</v>
      </c>
      <c r="D264" s="281">
        <v>9.48</v>
      </c>
      <c r="E264" s="157" t="s">
        <v>350</v>
      </c>
      <c r="F264" s="161" t="s">
        <v>362</v>
      </c>
      <c r="G264" s="102"/>
      <c r="H264" s="109" t="s">
        <v>86</v>
      </c>
      <c r="I264" s="237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336"/>
      <c r="AQ264" s="144"/>
      <c r="AR264" s="143"/>
      <c r="AS264" s="336"/>
      <c r="AT264" s="143"/>
      <c r="AU264" s="143"/>
      <c r="AV264" s="144"/>
      <c r="AW264" s="144"/>
      <c r="AX264" s="144"/>
      <c r="AY264" s="144"/>
      <c r="AZ264" s="144"/>
      <c r="BA264" s="144"/>
      <c r="BB264" s="144"/>
      <c r="BC264" s="143"/>
      <c r="BD264" s="144"/>
      <c r="BE264" s="144"/>
      <c r="BF264" s="143"/>
      <c r="BG264" s="144"/>
      <c r="BH264" s="143"/>
      <c r="BI264" s="144"/>
      <c r="BJ264" s="143"/>
      <c r="BK264" s="429"/>
      <c r="BL264" s="144"/>
      <c r="BM264" s="144"/>
      <c r="BN264" s="143"/>
      <c r="BO264" s="144"/>
      <c r="BP264" s="144"/>
      <c r="BQ264" s="144"/>
      <c r="BR264" s="144"/>
      <c r="BS264" s="144"/>
      <c r="BT264" s="144"/>
      <c r="BU264" s="144"/>
      <c r="BV264" s="144"/>
      <c r="BW264" s="143"/>
      <c r="BX264" s="144"/>
      <c r="BY264" s="144"/>
      <c r="BZ264" s="144"/>
      <c r="CA264" s="143"/>
      <c r="CB264" s="144"/>
      <c r="CC264" s="144"/>
      <c r="CD264" s="144"/>
      <c r="CE264" s="143"/>
      <c r="CF264" s="144"/>
      <c r="CG264" s="144"/>
      <c r="CH264" s="144"/>
      <c r="CI264" s="144"/>
      <c r="CJ264" s="144"/>
      <c r="CK264" s="144"/>
      <c r="CL264" s="144"/>
      <c r="CM264" s="144"/>
      <c r="CN264" s="144"/>
      <c r="CO264" s="144"/>
      <c r="CP264" s="144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  <c r="DD264" s="144"/>
      <c r="DE264" s="144"/>
      <c r="DF264" s="144"/>
      <c r="DG264" s="144"/>
      <c r="DH264" s="144"/>
      <c r="DI264" s="144"/>
      <c r="DJ264" s="144"/>
      <c r="DK264" s="144"/>
      <c r="DL264" s="103"/>
      <c r="DM264" s="103"/>
      <c r="DN264" s="103"/>
    </row>
    <row r="265" spans="1:118" ht="13.35" hidden="1" customHeight="1">
      <c r="A265" s="91" t="s">
        <v>12</v>
      </c>
      <c r="B265" s="91"/>
      <c r="C265" s="267" t="s">
        <v>20</v>
      </c>
      <c r="D265" s="279">
        <v>34.880000000000003</v>
      </c>
      <c r="E265" s="155" t="s">
        <v>350</v>
      </c>
      <c r="F265" s="160" t="s">
        <v>363</v>
      </c>
      <c r="G265" s="6"/>
      <c r="H265" s="5" t="s">
        <v>86</v>
      </c>
      <c r="I265" s="233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339"/>
      <c r="AQ265" s="13"/>
      <c r="AR265" s="59"/>
      <c r="AS265" s="339"/>
      <c r="AT265" s="59"/>
      <c r="AU265" s="59"/>
      <c r="AV265" s="13"/>
      <c r="AW265" s="13"/>
      <c r="AX265" s="13"/>
      <c r="AY265" s="59"/>
      <c r="AZ265" s="59"/>
      <c r="BA265" s="59"/>
      <c r="BB265" s="59"/>
      <c r="BC265" s="59"/>
      <c r="BD265" s="13"/>
      <c r="BE265" s="13"/>
      <c r="BF265" s="59"/>
      <c r="BG265" s="59"/>
      <c r="BH265" s="59"/>
      <c r="BI265" s="13"/>
      <c r="BJ265" s="59"/>
      <c r="BK265" s="254"/>
      <c r="BL265" s="13"/>
      <c r="BM265" s="13"/>
      <c r="BN265" s="59"/>
      <c r="BO265" s="13"/>
      <c r="BP265" s="13"/>
      <c r="BQ265" s="13"/>
      <c r="BR265" s="13"/>
      <c r="BS265" s="13"/>
      <c r="BT265" s="13"/>
      <c r="BU265" s="13"/>
      <c r="BV265" s="13"/>
      <c r="BW265" s="59"/>
      <c r="BX265" s="13"/>
      <c r="BY265" s="13"/>
      <c r="BZ265" s="13"/>
      <c r="CA265" s="59"/>
      <c r="CB265" s="13"/>
      <c r="CC265" s="13"/>
      <c r="CD265" s="13"/>
      <c r="CE265" s="59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8"/>
      <c r="DM265" s="8"/>
      <c r="DN265" s="8"/>
    </row>
    <row r="266" spans="1:118" ht="13.35" hidden="1" customHeight="1">
      <c r="A266" s="91" t="s">
        <v>12</v>
      </c>
      <c r="B266" s="91"/>
      <c r="C266" s="267" t="s">
        <v>20</v>
      </c>
      <c r="D266" s="279"/>
      <c r="E266" s="155" t="s">
        <v>350</v>
      </c>
      <c r="F266" s="160" t="s">
        <v>364</v>
      </c>
      <c r="G266" s="6"/>
      <c r="H266" s="5" t="s">
        <v>86</v>
      </c>
      <c r="I266" s="233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339"/>
      <c r="AQ266" s="13"/>
      <c r="AR266" s="59"/>
      <c r="AS266" s="339"/>
      <c r="AT266" s="59"/>
      <c r="AU266" s="59"/>
      <c r="AV266" s="13"/>
      <c r="AW266" s="13"/>
      <c r="AX266" s="13"/>
      <c r="AY266" s="59"/>
      <c r="AZ266" s="59"/>
      <c r="BA266" s="59"/>
      <c r="BB266" s="59"/>
      <c r="BC266" s="59"/>
      <c r="BD266" s="13"/>
      <c r="BE266" s="13"/>
      <c r="BF266" s="59"/>
      <c r="BG266" s="59"/>
      <c r="BH266" s="59"/>
      <c r="BI266" s="13"/>
      <c r="BJ266" s="59"/>
      <c r="BK266" s="254"/>
      <c r="BL266" s="13"/>
      <c r="BM266" s="13"/>
      <c r="BN266" s="59"/>
      <c r="BO266" s="13"/>
      <c r="BP266" s="13"/>
      <c r="BQ266" s="13"/>
      <c r="BR266" s="13"/>
      <c r="BS266" s="13"/>
      <c r="BT266" s="13"/>
      <c r="BU266" s="13"/>
      <c r="BV266" s="13"/>
      <c r="BW266" s="59"/>
      <c r="BX266" s="13"/>
      <c r="BY266" s="13"/>
      <c r="BZ266" s="13"/>
      <c r="CA266" s="59"/>
      <c r="CB266" s="13"/>
      <c r="CC266" s="13"/>
      <c r="CD266" s="13"/>
      <c r="CE266" s="59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8"/>
      <c r="DM266" s="8"/>
      <c r="DN266" s="8"/>
    </row>
    <row r="267" spans="1:118" ht="13.35" hidden="1" customHeight="1">
      <c r="A267" s="91" t="s">
        <v>12</v>
      </c>
      <c r="B267" s="91"/>
      <c r="C267" s="267" t="s">
        <v>20</v>
      </c>
      <c r="D267" s="279"/>
      <c r="E267" s="155" t="s">
        <v>350</v>
      </c>
      <c r="F267" s="160" t="s">
        <v>365</v>
      </c>
      <c r="G267" s="6"/>
      <c r="H267" s="5" t="s">
        <v>86</v>
      </c>
      <c r="I267" s="23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332"/>
      <c r="AQ267" s="1"/>
      <c r="AR267" s="61"/>
      <c r="AS267" s="332"/>
      <c r="AT267" s="61"/>
      <c r="AU267" s="61"/>
      <c r="AV267" s="1"/>
      <c r="AW267" s="1"/>
      <c r="AX267" s="1"/>
      <c r="AY267" s="61"/>
      <c r="AZ267" s="61"/>
      <c r="BA267" s="61"/>
      <c r="BB267" s="61"/>
      <c r="BC267" s="61"/>
      <c r="BD267" s="1"/>
      <c r="BE267" s="1"/>
      <c r="BF267" s="61"/>
      <c r="BG267" s="61"/>
      <c r="BH267" s="61"/>
      <c r="BI267" s="1"/>
      <c r="BJ267" s="61"/>
      <c r="BK267" s="67"/>
      <c r="BL267" s="1"/>
      <c r="BM267" s="1"/>
      <c r="BN267" s="61"/>
      <c r="BO267" s="1"/>
      <c r="BP267" s="1"/>
      <c r="BQ267" s="1"/>
      <c r="BR267" s="1"/>
      <c r="BS267" s="1"/>
      <c r="BT267" s="1"/>
      <c r="BU267" s="1"/>
      <c r="BV267" s="1"/>
      <c r="BW267" s="61"/>
      <c r="BX267" s="1"/>
      <c r="BY267" s="1"/>
      <c r="BZ267" s="1"/>
      <c r="CA267" s="61"/>
      <c r="CB267" s="1"/>
      <c r="CC267" s="1"/>
      <c r="CD267" s="1"/>
      <c r="CE267" s="6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8"/>
      <c r="DM267" s="8"/>
      <c r="DN267" s="8"/>
    </row>
    <row r="268" spans="1:118" s="104" customFormat="1" ht="13.35" hidden="1" customHeight="1">
      <c r="A268" s="96" t="s">
        <v>12</v>
      </c>
      <c r="B268" s="96"/>
      <c r="C268" s="269" t="s">
        <v>20</v>
      </c>
      <c r="D268" s="281">
        <v>9.64</v>
      </c>
      <c r="E268" s="157" t="s">
        <v>350</v>
      </c>
      <c r="F268" s="161" t="s">
        <v>366</v>
      </c>
      <c r="G268" s="102"/>
      <c r="H268" s="109" t="s">
        <v>86</v>
      </c>
      <c r="I268" s="232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337"/>
      <c r="AQ268" s="108"/>
      <c r="AR268" s="107"/>
      <c r="AS268" s="337"/>
      <c r="AT268" s="107"/>
      <c r="AU268" s="107"/>
      <c r="AV268" s="108"/>
      <c r="AW268" s="108"/>
      <c r="AX268" s="108"/>
      <c r="AY268" s="107"/>
      <c r="AZ268" s="107"/>
      <c r="BA268" s="108"/>
      <c r="BB268" s="108"/>
      <c r="BC268" s="107"/>
      <c r="BD268" s="108"/>
      <c r="BE268" s="108"/>
      <c r="BF268" s="107"/>
      <c r="BG268" s="108"/>
      <c r="BH268" s="107"/>
      <c r="BI268" s="108"/>
      <c r="BJ268" s="107"/>
      <c r="BK268" s="123"/>
      <c r="BL268" s="108"/>
      <c r="BM268" s="108"/>
      <c r="BN268" s="107"/>
      <c r="BO268" s="108"/>
      <c r="BP268" s="108"/>
      <c r="BQ268" s="108"/>
      <c r="BR268" s="108"/>
      <c r="BS268" s="108"/>
      <c r="BT268" s="108"/>
      <c r="BU268" s="108"/>
      <c r="BV268" s="108"/>
      <c r="BW268" s="107"/>
      <c r="BX268" s="108"/>
      <c r="BY268" s="108"/>
      <c r="BZ268" s="108"/>
      <c r="CA268" s="107"/>
      <c r="CB268" s="108"/>
      <c r="CC268" s="108"/>
      <c r="CD268" s="108"/>
      <c r="CE268" s="107"/>
      <c r="CF268" s="108"/>
      <c r="CG268" s="108"/>
      <c r="CH268" s="108"/>
      <c r="CI268" s="108"/>
      <c r="CJ268" s="108"/>
      <c r="CK268" s="108"/>
      <c r="CL268" s="108"/>
      <c r="CM268" s="108"/>
      <c r="CN268" s="108"/>
      <c r="CO268" s="108"/>
      <c r="CP268" s="108"/>
      <c r="CQ268" s="108"/>
      <c r="CR268" s="108"/>
      <c r="CS268" s="108"/>
      <c r="CT268" s="108"/>
      <c r="CU268" s="108"/>
      <c r="CV268" s="108"/>
      <c r="CW268" s="108"/>
      <c r="CX268" s="108"/>
      <c r="CY268" s="108"/>
      <c r="CZ268" s="108"/>
      <c r="DA268" s="108"/>
      <c r="DB268" s="108"/>
      <c r="DC268" s="108"/>
      <c r="DD268" s="108"/>
      <c r="DE268" s="108"/>
      <c r="DF268" s="108"/>
      <c r="DG268" s="108"/>
      <c r="DH268" s="108"/>
      <c r="DI268" s="108"/>
      <c r="DJ268" s="108"/>
      <c r="DK268" s="108"/>
      <c r="DL268" s="103"/>
      <c r="DM268" s="103"/>
      <c r="DN268" s="103"/>
    </row>
    <row r="269" spans="1:118" ht="13.35" hidden="1" customHeight="1">
      <c r="A269" s="91" t="s">
        <v>12</v>
      </c>
      <c r="B269" s="91"/>
      <c r="C269" s="267" t="s">
        <v>20</v>
      </c>
      <c r="D269" s="279">
        <v>15.18</v>
      </c>
      <c r="E269" s="155" t="s">
        <v>350</v>
      </c>
      <c r="F269" s="160" t="s">
        <v>367</v>
      </c>
      <c r="G269" s="6"/>
      <c r="H269" s="5" t="s">
        <v>86</v>
      </c>
      <c r="I269" s="231"/>
      <c r="J269" s="61">
        <v>15.6</v>
      </c>
      <c r="K269" s="61"/>
      <c r="L269" s="61"/>
      <c r="M269" s="61"/>
      <c r="N269" s="61"/>
      <c r="O269" s="61"/>
      <c r="P269" s="61"/>
      <c r="Q269" s="61">
        <v>17.8</v>
      </c>
      <c r="R269" s="61"/>
      <c r="S269" s="61"/>
      <c r="T269" s="67">
        <v>18.100000000000001</v>
      </c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332"/>
      <c r="AQ269" s="1"/>
      <c r="AR269" s="61"/>
      <c r="AS269" s="332"/>
      <c r="AT269" s="61"/>
      <c r="AU269" s="61"/>
      <c r="AV269" s="1"/>
      <c r="AW269" s="1"/>
      <c r="AX269" s="1"/>
      <c r="AY269" s="61"/>
      <c r="AZ269" s="61"/>
      <c r="BA269" s="1"/>
      <c r="BB269" s="1"/>
      <c r="BC269" s="61"/>
      <c r="BD269" s="1"/>
      <c r="BE269" s="1"/>
      <c r="BF269" s="61"/>
      <c r="BG269" s="1"/>
      <c r="BH269" s="61"/>
      <c r="BI269" s="1"/>
      <c r="BJ269" s="61"/>
      <c r="BK269" s="67"/>
      <c r="BL269" s="1"/>
      <c r="BM269" s="1"/>
      <c r="BN269" s="61"/>
      <c r="BO269" s="1"/>
      <c r="BP269" s="1"/>
      <c r="BQ269" s="1"/>
      <c r="BR269" s="1"/>
      <c r="BS269" s="1"/>
      <c r="BT269" s="1"/>
      <c r="BU269" s="1"/>
      <c r="BV269" s="1"/>
      <c r="BW269" s="61"/>
      <c r="BX269" s="1"/>
      <c r="BY269" s="1"/>
      <c r="BZ269" s="1"/>
      <c r="CA269" s="61"/>
      <c r="CB269" s="1"/>
      <c r="CC269" s="1"/>
      <c r="CD269" s="1"/>
      <c r="CE269" s="6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8"/>
      <c r="DM269" s="8"/>
      <c r="DN269" s="8"/>
    </row>
    <row r="270" spans="1:118" ht="13.35" hidden="1" customHeight="1">
      <c r="A270" s="91" t="s">
        <v>12</v>
      </c>
      <c r="B270" s="91"/>
      <c r="C270" s="267" t="s">
        <v>20</v>
      </c>
      <c r="D270" s="279"/>
      <c r="E270" s="155" t="s">
        <v>350</v>
      </c>
      <c r="F270" s="160" t="s">
        <v>368</v>
      </c>
      <c r="G270" s="6"/>
      <c r="H270" s="5" t="s">
        <v>86</v>
      </c>
      <c r="I270" s="23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>
        <v>18</v>
      </c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332"/>
      <c r="AQ270" s="1"/>
      <c r="AR270" s="61"/>
      <c r="AS270" s="332"/>
      <c r="AT270" s="61"/>
      <c r="AU270" s="61"/>
      <c r="AV270" s="1"/>
      <c r="AW270" s="1"/>
      <c r="AX270" s="1"/>
      <c r="AY270" s="61"/>
      <c r="AZ270" s="61"/>
      <c r="BA270" s="1"/>
      <c r="BB270" s="1"/>
      <c r="BC270" s="61"/>
      <c r="BD270" s="1"/>
      <c r="BE270" s="1"/>
      <c r="BF270" s="61"/>
      <c r="BG270" s="1"/>
      <c r="BH270" s="61"/>
      <c r="BI270" s="1"/>
      <c r="BJ270" s="61"/>
      <c r="BK270" s="67"/>
      <c r="BL270" s="1"/>
      <c r="BM270" s="1"/>
      <c r="BN270" s="61"/>
      <c r="BO270" s="1"/>
      <c r="BP270" s="1"/>
      <c r="BQ270" s="1"/>
      <c r="BR270" s="1"/>
      <c r="BS270" s="1"/>
      <c r="BT270" s="1"/>
      <c r="BU270" s="1"/>
      <c r="BV270" s="1"/>
      <c r="BW270" s="61"/>
      <c r="BX270" s="1"/>
      <c r="BY270" s="1"/>
      <c r="BZ270" s="1"/>
      <c r="CA270" s="61"/>
      <c r="CB270" s="1"/>
      <c r="CC270" s="1"/>
      <c r="CD270" s="1"/>
      <c r="CE270" s="6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8"/>
      <c r="DM270" s="8"/>
      <c r="DN270" s="8"/>
    </row>
    <row r="271" spans="1:118" ht="13.35" hidden="1" customHeight="1">
      <c r="A271" s="91" t="s">
        <v>12</v>
      </c>
      <c r="B271" s="91"/>
      <c r="C271" s="267" t="s">
        <v>20</v>
      </c>
      <c r="D271" s="279"/>
      <c r="E271" s="155" t="s">
        <v>350</v>
      </c>
      <c r="F271" s="160" t="s">
        <v>369</v>
      </c>
      <c r="G271" s="6"/>
      <c r="H271" s="5" t="s">
        <v>86</v>
      </c>
      <c r="I271" s="23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>
        <v>17.399999999999999</v>
      </c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332"/>
      <c r="AQ271" s="1"/>
      <c r="AR271" s="61"/>
      <c r="AS271" s="332"/>
      <c r="AT271" s="61"/>
      <c r="AU271" s="61"/>
      <c r="AV271" s="1"/>
      <c r="AW271" s="1"/>
      <c r="AX271" s="1"/>
      <c r="AY271" s="61"/>
      <c r="AZ271" s="61"/>
      <c r="BA271" s="1"/>
      <c r="BB271" s="1"/>
      <c r="BC271" s="61"/>
      <c r="BD271" s="1"/>
      <c r="BE271" s="1"/>
      <c r="BF271" s="61"/>
      <c r="BG271" s="1"/>
      <c r="BH271" s="61"/>
      <c r="BI271" s="1"/>
      <c r="BJ271" s="61"/>
      <c r="BK271" s="67"/>
      <c r="BL271" s="1"/>
      <c r="BM271" s="1"/>
      <c r="BN271" s="61"/>
      <c r="BO271" s="1"/>
      <c r="BP271" s="1"/>
      <c r="BQ271" s="1"/>
      <c r="BR271" s="1"/>
      <c r="BS271" s="1"/>
      <c r="BT271" s="1"/>
      <c r="BU271" s="1"/>
      <c r="BV271" s="1"/>
      <c r="BW271" s="61"/>
      <c r="BX271" s="1"/>
      <c r="BY271" s="1"/>
      <c r="BZ271" s="1"/>
      <c r="CA271" s="61"/>
      <c r="CB271" s="1"/>
      <c r="CC271" s="1"/>
      <c r="CD271" s="1"/>
      <c r="CE271" s="6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8"/>
      <c r="DM271" s="8"/>
      <c r="DN271" s="8"/>
    </row>
    <row r="272" spans="1:118" s="104" customFormat="1" ht="13.35" hidden="1" customHeight="1">
      <c r="A272" s="96" t="s">
        <v>12</v>
      </c>
      <c r="B272" s="96"/>
      <c r="C272" s="269" t="s">
        <v>20</v>
      </c>
      <c r="D272" s="281">
        <v>4.3</v>
      </c>
      <c r="E272" s="157" t="s">
        <v>350</v>
      </c>
      <c r="F272" s="161" t="s">
        <v>370</v>
      </c>
      <c r="G272" s="102"/>
      <c r="H272" s="109" t="s">
        <v>86</v>
      </c>
      <c r="I272" s="232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337"/>
      <c r="AQ272" s="108"/>
      <c r="AR272" s="107"/>
      <c r="AS272" s="337"/>
      <c r="AT272" s="107"/>
      <c r="AU272" s="107"/>
      <c r="AV272" s="108"/>
      <c r="AW272" s="108"/>
      <c r="AX272" s="108"/>
      <c r="AY272" s="107"/>
      <c r="AZ272" s="107"/>
      <c r="BA272" s="107"/>
      <c r="BB272" s="107"/>
      <c r="BC272" s="107"/>
      <c r="BD272" s="108"/>
      <c r="BE272" s="108"/>
      <c r="BF272" s="107"/>
      <c r="BG272" s="107"/>
      <c r="BH272" s="107"/>
      <c r="BI272" s="108"/>
      <c r="BJ272" s="107"/>
      <c r="BK272" s="123"/>
      <c r="BL272" s="108"/>
      <c r="BM272" s="108"/>
      <c r="BN272" s="107"/>
      <c r="BO272" s="108"/>
      <c r="BP272" s="108"/>
      <c r="BQ272" s="108"/>
      <c r="BR272" s="108"/>
      <c r="BS272" s="108"/>
      <c r="BT272" s="108"/>
      <c r="BU272" s="108"/>
      <c r="BV272" s="108"/>
      <c r="BW272" s="107"/>
      <c r="BX272" s="108"/>
      <c r="BY272" s="108"/>
      <c r="BZ272" s="108"/>
      <c r="CA272" s="107"/>
      <c r="CB272" s="108"/>
      <c r="CC272" s="108"/>
      <c r="CD272" s="108"/>
      <c r="CE272" s="107"/>
      <c r="CF272" s="108"/>
      <c r="CG272" s="108"/>
      <c r="CH272" s="108"/>
      <c r="CI272" s="108"/>
      <c r="CJ272" s="108"/>
      <c r="CK272" s="108"/>
      <c r="CL272" s="108"/>
      <c r="CM272" s="108"/>
      <c r="CN272" s="108"/>
      <c r="CO272" s="108"/>
      <c r="CP272" s="108"/>
      <c r="CQ272" s="108"/>
      <c r="CR272" s="108"/>
      <c r="CS272" s="108"/>
      <c r="CT272" s="108"/>
      <c r="CU272" s="108"/>
      <c r="CV272" s="108"/>
      <c r="CW272" s="108"/>
      <c r="CX272" s="108"/>
      <c r="CY272" s="108"/>
      <c r="CZ272" s="108"/>
      <c r="DA272" s="108"/>
      <c r="DB272" s="108"/>
      <c r="DC272" s="108"/>
      <c r="DD272" s="108"/>
      <c r="DE272" s="108"/>
      <c r="DF272" s="108"/>
      <c r="DG272" s="108"/>
      <c r="DH272" s="108"/>
      <c r="DI272" s="108"/>
      <c r="DJ272" s="108"/>
      <c r="DK272" s="108"/>
      <c r="DL272" s="103"/>
      <c r="DM272" s="103"/>
      <c r="DN272" s="103"/>
    </row>
    <row r="273" spans="1:118" ht="13.35" hidden="1" customHeight="1">
      <c r="A273" s="91" t="s">
        <v>12</v>
      </c>
      <c r="B273" s="91"/>
      <c r="C273" s="267" t="s">
        <v>20</v>
      </c>
      <c r="D273" s="279">
        <v>4.53</v>
      </c>
      <c r="E273" s="155" t="s">
        <v>350</v>
      </c>
      <c r="F273" s="160" t="s">
        <v>371</v>
      </c>
      <c r="G273" s="6"/>
      <c r="H273" s="5" t="s">
        <v>86</v>
      </c>
      <c r="I273" s="23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332"/>
      <c r="AQ273" s="1"/>
      <c r="AR273" s="61"/>
      <c r="AS273" s="332"/>
      <c r="AT273" s="61"/>
      <c r="AU273" s="61"/>
      <c r="AV273" s="1"/>
      <c r="AW273" s="1"/>
      <c r="AX273" s="1"/>
      <c r="AY273" s="1"/>
      <c r="AZ273" s="1"/>
      <c r="BA273" s="1"/>
      <c r="BB273" s="1"/>
      <c r="BC273" s="61"/>
      <c r="BD273" s="1"/>
      <c r="BE273" s="1"/>
      <c r="BF273" s="61"/>
      <c r="BG273" s="1"/>
      <c r="BH273" s="61"/>
      <c r="BI273" s="1"/>
      <c r="BJ273" s="61"/>
      <c r="BK273" s="67"/>
      <c r="BL273" s="1"/>
      <c r="BM273" s="1"/>
      <c r="BN273" s="61"/>
      <c r="BO273" s="1"/>
      <c r="BP273" s="1"/>
      <c r="BQ273" s="1"/>
      <c r="BR273" s="1"/>
      <c r="BS273" s="1"/>
      <c r="BT273" s="1"/>
      <c r="BU273" s="1"/>
      <c r="BV273" s="1"/>
      <c r="BW273" s="61"/>
      <c r="BX273" s="1"/>
      <c r="BY273" s="1"/>
      <c r="BZ273" s="1"/>
      <c r="CA273" s="61"/>
      <c r="CB273" s="1"/>
      <c r="CC273" s="1"/>
      <c r="CD273" s="1"/>
      <c r="CE273" s="6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8"/>
      <c r="DM273" s="8"/>
      <c r="DN273" s="8"/>
    </row>
    <row r="274" spans="1:118" ht="13.15" hidden="1" customHeight="1">
      <c r="A274" s="92" t="s">
        <v>12</v>
      </c>
      <c r="B274" s="92"/>
      <c r="C274" s="268" t="s">
        <v>14</v>
      </c>
      <c r="D274" s="280">
        <v>24.38</v>
      </c>
      <c r="E274" s="156" t="s">
        <v>350</v>
      </c>
      <c r="F274" s="159" t="s">
        <v>372</v>
      </c>
      <c r="G274" s="7">
        <v>23.5</v>
      </c>
      <c r="H274" s="4" t="s">
        <v>22</v>
      </c>
      <c r="I274" s="227"/>
      <c r="J274" s="63"/>
      <c r="K274" s="63">
        <v>15.3</v>
      </c>
      <c r="L274" s="63"/>
      <c r="M274" s="63"/>
      <c r="N274" s="63"/>
      <c r="O274" s="63"/>
      <c r="P274" s="63">
        <v>15.9</v>
      </c>
      <c r="Q274" s="63"/>
      <c r="R274" s="63"/>
      <c r="S274" s="63"/>
      <c r="T274" s="63">
        <v>16</v>
      </c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342"/>
      <c r="AQ274" s="17"/>
      <c r="AR274" s="63"/>
      <c r="AS274" s="342"/>
      <c r="AT274" s="63"/>
      <c r="AU274" s="63"/>
      <c r="AV274" s="17"/>
      <c r="AW274" s="17"/>
      <c r="AX274" s="17"/>
      <c r="AY274" s="17"/>
      <c r="AZ274" s="17"/>
      <c r="BA274" s="17"/>
      <c r="BB274" s="17"/>
      <c r="BC274" s="63"/>
      <c r="BD274" s="17"/>
      <c r="BE274" s="17"/>
      <c r="BF274" s="63"/>
      <c r="BG274" s="17"/>
      <c r="BH274" s="63"/>
      <c r="BI274" s="17"/>
      <c r="BJ274" s="63"/>
      <c r="BK274" s="217"/>
      <c r="BL274" s="17"/>
      <c r="BM274" s="17"/>
      <c r="BN274" s="63"/>
      <c r="BO274" s="17"/>
      <c r="BP274" s="17"/>
      <c r="BQ274" s="17"/>
      <c r="BR274" s="17"/>
      <c r="BS274" s="17"/>
      <c r="BT274" s="17"/>
      <c r="BU274" s="17"/>
      <c r="BV274" s="17"/>
      <c r="BW274" s="63"/>
      <c r="BX274" s="17"/>
      <c r="BY274" s="17"/>
      <c r="BZ274" s="17"/>
      <c r="CA274" s="63"/>
      <c r="CB274" s="17"/>
      <c r="CC274" s="17"/>
      <c r="CD274" s="17"/>
      <c r="CE274" s="63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8"/>
      <c r="DM274" s="8"/>
      <c r="DN274" s="8"/>
    </row>
    <row r="275" spans="1:118" ht="13.35" hidden="1" customHeight="1">
      <c r="A275" s="91" t="s">
        <v>12</v>
      </c>
      <c r="B275" s="91"/>
      <c r="C275" s="267" t="s">
        <v>20</v>
      </c>
      <c r="D275" s="279">
        <v>7.27</v>
      </c>
      <c r="E275" s="155" t="s">
        <v>350</v>
      </c>
      <c r="F275" s="160" t="s">
        <v>373</v>
      </c>
      <c r="G275" s="6"/>
      <c r="H275" s="5"/>
      <c r="I275" s="233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>
        <v>22.3</v>
      </c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339"/>
      <c r="AQ275" s="13"/>
      <c r="AR275" s="59"/>
      <c r="AS275" s="339">
        <v>22.8</v>
      </c>
      <c r="AT275" s="59"/>
      <c r="AU275" s="59"/>
      <c r="AV275" s="13"/>
      <c r="AW275" s="13"/>
      <c r="AX275" s="13"/>
      <c r="AY275" s="59">
        <v>23.2</v>
      </c>
      <c r="AZ275" s="59"/>
      <c r="BA275" s="59"/>
      <c r="BB275" s="59"/>
      <c r="BC275" s="59"/>
      <c r="BD275" s="13"/>
      <c r="BE275" s="13"/>
      <c r="BF275" s="59">
        <v>26.4</v>
      </c>
      <c r="BG275" s="59"/>
      <c r="BH275" s="59"/>
      <c r="BI275" s="13"/>
      <c r="BJ275" s="59"/>
      <c r="BK275" s="254"/>
      <c r="BL275" s="13"/>
      <c r="BM275" s="13"/>
      <c r="BN275" s="59"/>
      <c r="BO275" s="13"/>
      <c r="BP275" s="13"/>
      <c r="BQ275" s="13"/>
      <c r="BR275" s="13"/>
      <c r="BS275" s="13"/>
      <c r="BT275" s="13"/>
      <c r="BU275" s="13"/>
      <c r="BV275" s="13"/>
      <c r="BW275" s="59"/>
      <c r="BX275" s="13"/>
      <c r="BY275" s="13"/>
      <c r="BZ275" s="13"/>
      <c r="CA275" s="59"/>
      <c r="CB275" s="13"/>
      <c r="CC275" s="13"/>
      <c r="CD275" s="13"/>
      <c r="CE275" s="59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8"/>
      <c r="DM275" s="8"/>
      <c r="DN275" s="8"/>
    </row>
    <row r="276" spans="1:118" s="367" customFormat="1" ht="13.35" hidden="1" customHeight="1">
      <c r="A276" s="355" t="s">
        <v>12</v>
      </c>
      <c r="B276" s="355" t="s">
        <v>13</v>
      </c>
      <c r="C276" s="356" t="s">
        <v>20</v>
      </c>
      <c r="D276" s="357">
        <v>2.52</v>
      </c>
      <c r="E276" s="358" t="s">
        <v>350</v>
      </c>
      <c r="F276" s="359" t="s">
        <v>374</v>
      </c>
      <c r="G276" s="360"/>
      <c r="H276" s="361"/>
      <c r="I276" s="378"/>
      <c r="J276" s="379"/>
      <c r="K276" s="379"/>
      <c r="L276" s="379"/>
      <c r="M276" s="379"/>
      <c r="N276" s="379"/>
      <c r="O276" s="379"/>
      <c r="P276" s="379"/>
      <c r="Q276" s="379"/>
      <c r="R276" s="379"/>
      <c r="S276" s="379"/>
      <c r="T276" s="379"/>
      <c r="U276" s="379"/>
      <c r="V276" s="379"/>
      <c r="W276" s="379"/>
      <c r="X276" s="379"/>
      <c r="Y276" s="379"/>
      <c r="Z276" s="379"/>
      <c r="AA276" s="379"/>
      <c r="AB276" s="379"/>
      <c r="AC276" s="379"/>
      <c r="AD276" s="379"/>
      <c r="AE276" s="379"/>
      <c r="AF276" s="379"/>
      <c r="AG276" s="379"/>
      <c r="AH276" s="379"/>
      <c r="AI276" s="379"/>
      <c r="AJ276" s="379"/>
      <c r="AK276" s="379"/>
      <c r="AL276" s="379"/>
      <c r="AM276" s="379"/>
      <c r="AN276" s="379"/>
      <c r="AO276" s="379"/>
      <c r="AP276" s="380"/>
      <c r="AQ276" s="381"/>
      <c r="AR276" s="379"/>
      <c r="AS276" s="380">
        <v>24.1</v>
      </c>
      <c r="AT276" s="379"/>
      <c r="AU276" s="379"/>
      <c r="AV276" s="381"/>
      <c r="AW276" s="381"/>
      <c r="AX276" s="381"/>
      <c r="AY276" s="379"/>
      <c r="AZ276" s="379"/>
      <c r="BA276" s="381"/>
      <c r="BB276" s="381"/>
      <c r="BC276" s="379"/>
      <c r="BD276" s="381"/>
      <c r="BE276" s="381"/>
      <c r="BF276" s="379"/>
      <c r="BG276" s="381"/>
      <c r="BH276" s="379"/>
      <c r="BI276" s="381"/>
      <c r="BJ276" s="379"/>
      <c r="BK276" s="434"/>
      <c r="BL276" s="381"/>
      <c r="BM276" s="381"/>
      <c r="BN276" s="379"/>
      <c r="BO276" s="381"/>
      <c r="BP276" s="381"/>
      <c r="BQ276" s="381"/>
      <c r="BR276" s="381"/>
      <c r="BS276" s="381"/>
      <c r="BT276" s="381"/>
      <c r="BU276" s="381"/>
      <c r="BV276" s="381"/>
      <c r="BW276" s="379"/>
      <c r="BX276" s="381"/>
      <c r="BY276" s="381"/>
      <c r="BZ276" s="381"/>
      <c r="CA276" s="379"/>
      <c r="CB276" s="381"/>
      <c r="CC276" s="381"/>
      <c r="CD276" s="381"/>
      <c r="CE276" s="379"/>
      <c r="CF276" s="381"/>
      <c r="CG276" s="381"/>
      <c r="CH276" s="381"/>
      <c r="CI276" s="381"/>
      <c r="CJ276" s="381"/>
      <c r="CK276" s="381"/>
      <c r="CL276" s="381"/>
      <c r="CM276" s="381"/>
      <c r="CN276" s="381"/>
      <c r="CO276" s="381"/>
      <c r="CP276" s="381"/>
      <c r="CQ276" s="381"/>
      <c r="CR276" s="381"/>
      <c r="CS276" s="381"/>
      <c r="CT276" s="381"/>
      <c r="CU276" s="381"/>
      <c r="CV276" s="381"/>
      <c r="CW276" s="381"/>
      <c r="CX276" s="381"/>
      <c r="CY276" s="381"/>
      <c r="CZ276" s="381"/>
      <c r="DA276" s="381"/>
      <c r="DB276" s="381"/>
      <c r="DC276" s="381"/>
      <c r="DD276" s="381"/>
      <c r="DE276" s="381"/>
      <c r="DF276" s="381"/>
      <c r="DG276" s="381"/>
      <c r="DH276" s="381"/>
      <c r="DI276" s="381"/>
      <c r="DJ276" s="381"/>
      <c r="DK276" s="381"/>
      <c r="DL276" s="366"/>
      <c r="DM276" s="366"/>
      <c r="DN276" s="366"/>
    </row>
    <row r="277" spans="1:118" ht="13.35" hidden="1" customHeight="1">
      <c r="A277" s="91" t="s">
        <v>12</v>
      </c>
      <c r="B277" s="91"/>
      <c r="C277" s="267" t="s">
        <v>31</v>
      </c>
      <c r="D277" s="279">
        <v>42.9</v>
      </c>
      <c r="E277" s="155" t="s">
        <v>350</v>
      </c>
      <c r="F277" s="160" t="s">
        <v>375</v>
      </c>
      <c r="G277" s="6">
        <v>21.5</v>
      </c>
      <c r="H277" s="5" t="s">
        <v>376</v>
      </c>
      <c r="I277" s="23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>
        <v>15</v>
      </c>
      <c r="AE277" s="61"/>
      <c r="AF277" s="61"/>
      <c r="AG277" s="61"/>
      <c r="AH277" s="61"/>
      <c r="AI277" s="61"/>
      <c r="AJ277" s="61"/>
      <c r="AK277" s="61"/>
      <c r="AL277" s="61"/>
      <c r="AM277" s="61"/>
      <c r="AN277" s="61" t="s">
        <v>377</v>
      </c>
      <c r="AO277" s="61"/>
      <c r="AP277" s="332"/>
      <c r="AQ277" s="1"/>
      <c r="AR277" s="61"/>
      <c r="AS277" s="332">
        <v>18</v>
      </c>
      <c r="AT277" s="61"/>
      <c r="AU277" s="61"/>
      <c r="AV277" s="1"/>
      <c r="AW277" s="1"/>
      <c r="AX277" s="1"/>
      <c r="AY277" s="61"/>
      <c r="AZ277" s="61"/>
      <c r="BA277" s="61">
        <v>20.6</v>
      </c>
      <c r="BB277" s="61"/>
      <c r="BC277" s="61"/>
      <c r="BD277" s="1"/>
      <c r="BE277" s="1"/>
      <c r="BF277" s="61"/>
      <c r="BG277" s="61"/>
      <c r="BH277" s="61"/>
      <c r="BI277" s="1"/>
      <c r="BJ277" s="61"/>
      <c r="BK277" s="67"/>
      <c r="BL277" s="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1"/>
      <c r="BZ277" s="1"/>
      <c r="CA277" s="61"/>
      <c r="CB277" s="61"/>
      <c r="CC277" s="1"/>
      <c r="CD277" s="61"/>
      <c r="CE277" s="6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8"/>
      <c r="DM277" s="8"/>
      <c r="DN277" s="8"/>
    </row>
    <row r="278" spans="1:118" ht="13.35" hidden="1" customHeight="1">
      <c r="A278" s="91" t="s">
        <v>12</v>
      </c>
      <c r="B278" s="91"/>
      <c r="C278" s="267" t="s">
        <v>31</v>
      </c>
      <c r="D278" s="279"/>
      <c r="E278" s="155" t="s">
        <v>350</v>
      </c>
      <c r="F278" s="160" t="s">
        <v>378</v>
      </c>
      <c r="G278" s="6">
        <v>21.5</v>
      </c>
      <c r="H278" s="5" t="s">
        <v>376</v>
      </c>
      <c r="I278" s="23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332"/>
      <c r="AQ278" s="1"/>
      <c r="AR278" s="61"/>
      <c r="AS278" s="332"/>
      <c r="AT278" s="61"/>
      <c r="AU278" s="61"/>
      <c r="AV278" s="1"/>
      <c r="AW278" s="1"/>
      <c r="AX278" s="1"/>
      <c r="AY278" s="61"/>
      <c r="AZ278" s="61"/>
      <c r="BA278" s="61"/>
      <c r="BB278" s="61"/>
      <c r="BC278" s="61"/>
      <c r="BD278" s="1"/>
      <c r="BE278" s="1"/>
      <c r="BF278" s="61"/>
      <c r="BG278" s="61">
        <v>22.2</v>
      </c>
      <c r="BH278" s="61"/>
      <c r="BI278" s="1"/>
      <c r="BJ278" s="61"/>
      <c r="BK278" s="67"/>
      <c r="BL278" s="1"/>
      <c r="BM278" s="61"/>
      <c r="BN278" s="61">
        <v>24.2</v>
      </c>
      <c r="BO278" s="61"/>
      <c r="BP278" s="61"/>
      <c r="BQ278" s="61"/>
      <c r="BR278" s="61"/>
      <c r="BS278" s="61"/>
      <c r="BT278" s="61"/>
      <c r="BU278" s="61">
        <v>22.4</v>
      </c>
      <c r="BV278" s="61"/>
      <c r="BW278" s="61"/>
      <c r="BX278" s="61"/>
      <c r="BY278" s="1"/>
      <c r="BZ278" s="1"/>
      <c r="CA278" s="61"/>
      <c r="CB278" s="61"/>
      <c r="CC278" s="1"/>
      <c r="CD278" s="61"/>
      <c r="CE278" s="6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8"/>
      <c r="DM278" s="8"/>
      <c r="DN278" s="8"/>
    </row>
    <row r="279" spans="1:118" ht="13.35" hidden="1" customHeight="1">
      <c r="A279" s="91" t="s">
        <v>12</v>
      </c>
      <c r="B279" s="91"/>
      <c r="C279" s="267" t="s">
        <v>31</v>
      </c>
      <c r="D279" s="279"/>
      <c r="E279" s="155" t="s">
        <v>350</v>
      </c>
      <c r="F279" s="160" t="s">
        <v>379</v>
      </c>
      <c r="G279" s="6">
        <v>21.5</v>
      </c>
      <c r="H279" s="5" t="s">
        <v>376</v>
      </c>
      <c r="I279" s="23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332"/>
      <c r="AQ279" s="1"/>
      <c r="AR279" s="61"/>
      <c r="AS279" s="332"/>
      <c r="AT279" s="61"/>
      <c r="AU279" s="61"/>
      <c r="AV279" s="1"/>
      <c r="AW279" s="1"/>
      <c r="AX279" s="1"/>
      <c r="AY279" s="61"/>
      <c r="AZ279" s="61"/>
      <c r="BA279" s="61"/>
      <c r="BB279" s="61"/>
      <c r="BC279" s="61"/>
      <c r="BD279" s="1"/>
      <c r="BE279" s="1"/>
      <c r="BF279" s="61"/>
      <c r="BG279" s="61"/>
      <c r="BH279" s="61"/>
      <c r="BI279" s="1"/>
      <c r="BJ279" s="61"/>
      <c r="BK279" s="67"/>
      <c r="BL279" s="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1"/>
      <c r="BZ279" s="1"/>
      <c r="CA279" s="61"/>
      <c r="CB279" s="61"/>
      <c r="CC279" s="1"/>
      <c r="CD279" s="61"/>
      <c r="CE279" s="6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8"/>
      <c r="DM279" s="8"/>
      <c r="DN279" s="8"/>
    </row>
    <row r="280" spans="1:118" ht="13.35" hidden="1" customHeight="1">
      <c r="A280" s="91" t="s">
        <v>12</v>
      </c>
      <c r="B280" s="91"/>
      <c r="C280" s="267" t="s">
        <v>31</v>
      </c>
      <c r="D280" s="279"/>
      <c r="E280" s="155" t="s">
        <v>350</v>
      </c>
      <c r="F280" s="160" t="s">
        <v>380</v>
      </c>
      <c r="G280" s="6">
        <v>21.5</v>
      </c>
      <c r="H280" s="5" t="s">
        <v>376</v>
      </c>
      <c r="I280" s="23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332"/>
      <c r="AQ280" s="1"/>
      <c r="AR280" s="61"/>
      <c r="AS280" s="332"/>
      <c r="AT280" s="61"/>
      <c r="AU280" s="61"/>
      <c r="AV280" s="1"/>
      <c r="AW280" s="1"/>
      <c r="AX280" s="1"/>
      <c r="AY280" s="61"/>
      <c r="AZ280" s="61"/>
      <c r="BA280" s="61"/>
      <c r="BB280" s="61"/>
      <c r="BC280" s="61"/>
      <c r="BD280" s="1"/>
      <c r="BE280" s="1"/>
      <c r="BF280" s="61"/>
      <c r="BG280" s="61">
        <v>22</v>
      </c>
      <c r="BH280" s="61"/>
      <c r="BI280" s="1"/>
      <c r="BJ280" s="61"/>
      <c r="BK280" s="67"/>
      <c r="BL280" s="1"/>
      <c r="BM280" s="61"/>
      <c r="BN280" s="61">
        <v>23.8</v>
      </c>
      <c r="BO280" s="61"/>
      <c r="BP280" s="61"/>
      <c r="BQ280" s="61"/>
      <c r="BR280" s="61"/>
      <c r="BS280" s="61"/>
      <c r="BT280" s="61"/>
      <c r="BU280" s="61">
        <v>23.7</v>
      </c>
      <c r="BV280" s="61"/>
      <c r="BW280" s="61"/>
      <c r="BX280" s="61"/>
      <c r="BY280" s="1"/>
      <c r="BZ280" s="1"/>
      <c r="CA280" s="61"/>
      <c r="CB280" s="61"/>
      <c r="CC280" s="1"/>
      <c r="CD280" s="61"/>
      <c r="CE280" s="6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8"/>
      <c r="DM280" s="8"/>
      <c r="DN280" s="8"/>
    </row>
    <row r="281" spans="1:118" s="367" customFormat="1" ht="13.35" hidden="1" customHeight="1">
      <c r="A281" s="355" t="s">
        <v>12</v>
      </c>
      <c r="B281" s="355" t="s">
        <v>13</v>
      </c>
      <c r="C281" s="356" t="s">
        <v>20</v>
      </c>
      <c r="D281" s="357">
        <v>34.57</v>
      </c>
      <c r="E281" s="358" t="s">
        <v>350</v>
      </c>
      <c r="F281" s="359" t="s">
        <v>381</v>
      </c>
      <c r="G281" s="372" t="s">
        <v>382</v>
      </c>
      <c r="H281" s="361" t="s">
        <v>383</v>
      </c>
      <c r="I281" s="373"/>
      <c r="J281" s="374"/>
      <c r="K281" s="374"/>
      <c r="L281" s="374"/>
      <c r="M281" s="374"/>
      <c r="N281" s="374"/>
      <c r="O281" s="374"/>
      <c r="P281" s="374"/>
      <c r="Q281" s="374"/>
      <c r="R281" s="374"/>
      <c r="S281" s="374"/>
      <c r="T281" s="374"/>
      <c r="U281" s="374"/>
      <c r="V281" s="374"/>
      <c r="W281" s="374"/>
      <c r="X281" s="374"/>
      <c r="Y281" s="374">
        <v>18.899999999999999</v>
      </c>
      <c r="Z281" s="374"/>
      <c r="AA281" s="374"/>
      <c r="AB281" s="374"/>
      <c r="AC281" s="374"/>
      <c r="AD281" s="374"/>
      <c r="AE281" s="374"/>
      <c r="AF281" s="374"/>
      <c r="AG281" s="374"/>
      <c r="AH281" s="374">
        <v>21.4</v>
      </c>
      <c r="AI281" s="374"/>
      <c r="AJ281" s="374"/>
      <c r="AK281" s="374"/>
      <c r="AL281" s="374"/>
      <c r="AM281" s="374"/>
      <c r="AN281" s="374"/>
      <c r="AO281" s="374"/>
      <c r="AP281" s="376"/>
      <c r="AQ281" s="377"/>
      <c r="AR281" s="374"/>
      <c r="AS281" s="376">
        <v>25</v>
      </c>
      <c r="AT281" s="374"/>
      <c r="AU281" s="374"/>
      <c r="AV281" s="377"/>
      <c r="AW281" s="377"/>
      <c r="AX281" s="377"/>
      <c r="AY281" s="374"/>
      <c r="AZ281" s="374">
        <v>25.4</v>
      </c>
      <c r="BA281" s="374"/>
      <c r="BB281" s="374"/>
      <c r="BC281" s="374"/>
      <c r="BD281" s="377"/>
      <c r="BE281" s="377"/>
      <c r="BF281" s="374"/>
      <c r="BG281" s="374"/>
      <c r="BH281" s="374"/>
      <c r="BI281" s="377"/>
      <c r="BJ281" s="374"/>
      <c r="BK281" s="375"/>
      <c r="BL281" s="377"/>
      <c r="BM281" s="377"/>
      <c r="BN281" s="374"/>
      <c r="BO281" s="377"/>
      <c r="BP281" s="377"/>
      <c r="BQ281" s="377"/>
      <c r="BR281" s="377"/>
      <c r="BS281" s="377"/>
      <c r="BT281" s="377"/>
      <c r="BU281" s="377"/>
      <c r="BV281" s="377"/>
      <c r="BW281" s="374"/>
      <c r="BX281" s="377"/>
      <c r="BY281" s="377"/>
      <c r="BZ281" s="377"/>
      <c r="CA281" s="374"/>
      <c r="CB281" s="377"/>
      <c r="CC281" s="377"/>
      <c r="CD281" s="377"/>
      <c r="CE281" s="374"/>
      <c r="CF281" s="377"/>
      <c r="CG281" s="377"/>
      <c r="CH281" s="377"/>
      <c r="CI281" s="377"/>
      <c r="CJ281" s="377"/>
      <c r="CK281" s="377"/>
      <c r="CL281" s="377"/>
      <c r="CM281" s="377"/>
      <c r="CN281" s="377"/>
      <c r="CO281" s="377"/>
      <c r="CP281" s="377"/>
      <c r="CQ281" s="377"/>
      <c r="CR281" s="377"/>
      <c r="CS281" s="377"/>
      <c r="CT281" s="377"/>
      <c r="CU281" s="377"/>
      <c r="CV281" s="377"/>
      <c r="CW281" s="377"/>
      <c r="CX281" s="377"/>
      <c r="CY281" s="377"/>
      <c r="CZ281" s="377"/>
      <c r="DA281" s="377"/>
      <c r="DB281" s="377"/>
      <c r="DC281" s="377"/>
      <c r="DD281" s="377"/>
      <c r="DE281" s="377"/>
      <c r="DF281" s="377"/>
      <c r="DG281" s="377"/>
      <c r="DH281" s="377"/>
      <c r="DI281" s="377"/>
      <c r="DJ281" s="377"/>
      <c r="DK281" s="377"/>
      <c r="DL281" s="366"/>
      <c r="DM281" s="366"/>
      <c r="DN281" s="366"/>
    </row>
    <row r="282" spans="1:118" ht="13.35" hidden="1" customHeight="1">
      <c r="A282" s="91" t="s">
        <v>12</v>
      </c>
      <c r="B282" s="91" t="s">
        <v>13</v>
      </c>
      <c r="C282" s="267" t="s">
        <v>20</v>
      </c>
      <c r="D282" s="279">
        <v>45.71</v>
      </c>
      <c r="E282" s="155" t="s">
        <v>350</v>
      </c>
      <c r="F282" s="160" t="s">
        <v>384</v>
      </c>
      <c r="G282" s="6">
        <v>23.8</v>
      </c>
      <c r="H282" s="5" t="s">
        <v>383</v>
      </c>
      <c r="I282" s="228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>
        <v>15.8</v>
      </c>
      <c r="Y282" s="64"/>
      <c r="Z282" s="64"/>
      <c r="AA282" s="64"/>
      <c r="AB282" s="64"/>
      <c r="AC282" s="64"/>
      <c r="AD282" s="64"/>
      <c r="AE282" s="64"/>
      <c r="AF282" s="64"/>
      <c r="AG282" s="64"/>
      <c r="AH282" s="64">
        <v>20.5</v>
      </c>
      <c r="AI282" s="64"/>
      <c r="AJ282" s="64"/>
      <c r="AK282" s="64"/>
      <c r="AL282" s="64"/>
      <c r="AM282" s="64"/>
      <c r="AN282" s="64"/>
      <c r="AO282" s="64"/>
      <c r="AP282" s="335"/>
      <c r="AQ282" s="18"/>
      <c r="AR282" s="64"/>
      <c r="AS282" s="335"/>
      <c r="AT282" s="65"/>
      <c r="AU282" s="64"/>
      <c r="AV282" s="18"/>
      <c r="AW282" s="18"/>
      <c r="AX282" s="18"/>
      <c r="AY282" s="64"/>
      <c r="AZ282" s="64">
        <v>25.5</v>
      </c>
      <c r="BA282" s="64"/>
      <c r="BB282" s="64"/>
      <c r="BC282" s="64"/>
      <c r="BD282" s="18">
        <v>25.8</v>
      </c>
      <c r="BE282" s="18"/>
      <c r="BF282" s="64"/>
      <c r="BG282" s="64"/>
      <c r="BH282" s="64"/>
      <c r="BI282" s="18"/>
      <c r="BJ282" s="64"/>
      <c r="BK282" s="65"/>
      <c r="BL282" s="18"/>
      <c r="BM282" s="18"/>
      <c r="BN282" s="64"/>
      <c r="BO282" s="18"/>
      <c r="BP282" s="18"/>
      <c r="BQ282" s="18"/>
      <c r="BR282" s="18"/>
      <c r="BS282" s="18"/>
      <c r="BT282" s="18"/>
      <c r="BU282" s="18"/>
      <c r="BV282" s="18"/>
      <c r="BW282" s="64"/>
      <c r="BX282" s="18"/>
      <c r="BY282" s="18"/>
      <c r="BZ282" s="18"/>
      <c r="CA282" s="64"/>
      <c r="CB282" s="18"/>
      <c r="CC282" s="18"/>
      <c r="CD282" s="18"/>
      <c r="CE282" s="64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8"/>
      <c r="DM282" s="8"/>
      <c r="DN282" s="8"/>
    </row>
    <row r="283" spans="1:118" ht="13.35" hidden="1" customHeight="1">
      <c r="A283" s="91" t="s">
        <v>12</v>
      </c>
      <c r="B283" s="91"/>
      <c r="C283" s="267" t="s">
        <v>20</v>
      </c>
      <c r="D283" s="279">
        <v>45.71</v>
      </c>
      <c r="E283" s="155" t="s">
        <v>350</v>
      </c>
      <c r="F283" s="160" t="s">
        <v>385</v>
      </c>
      <c r="G283" s="6">
        <v>23.8</v>
      </c>
      <c r="H283" s="5" t="s">
        <v>383</v>
      </c>
      <c r="I283" s="228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>
        <v>21.1</v>
      </c>
      <c r="AN283" s="64"/>
      <c r="AO283" s="64"/>
      <c r="AP283" s="335"/>
      <c r="AQ283" s="18"/>
      <c r="AR283" s="64"/>
      <c r="AS283" s="335"/>
      <c r="AT283" s="65"/>
      <c r="AU283" s="64"/>
      <c r="AV283" s="18"/>
      <c r="AW283" s="18"/>
      <c r="AX283" s="18"/>
      <c r="AY283" s="64"/>
      <c r="AZ283" s="64"/>
      <c r="BA283" s="64"/>
      <c r="BB283" s="64"/>
      <c r="BC283" s="64"/>
      <c r="BD283" s="18"/>
      <c r="BE283" s="18"/>
      <c r="BF283" s="64"/>
      <c r="BG283" s="64"/>
      <c r="BH283" s="64"/>
      <c r="BI283" s="18"/>
      <c r="BJ283" s="64"/>
      <c r="BK283" s="65"/>
      <c r="BL283" s="18"/>
      <c r="BM283" s="18"/>
      <c r="BN283" s="64"/>
      <c r="BO283" s="18"/>
      <c r="BP283" s="18"/>
      <c r="BQ283" s="18"/>
      <c r="BR283" s="18"/>
      <c r="BS283" s="18"/>
      <c r="BT283" s="18"/>
      <c r="BU283" s="18"/>
      <c r="BV283" s="18"/>
      <c r="BW283" s="64"/>
      <c r="BX283" s="18"/>
      <c r="BY283" s="18"/>
      <c r="BZ283" s="18"/>
      <c r="CA283" s="64"/>
      <c r="CB283" s="18"/>
      <c r="CC283" s="18"/>
      <c r="CD283" s="18"/>
      <c r="CE283" s="64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8"/>
      <c r="DM283" s="8"/>
      <c r="DN283" s="8"/>
    </row>
    <row r="284" spans="1:118" ht="13.35" hidden="1" customHeight="1">
      <c r="A284" s="91" t="s">
        <v>12</v>
      </c>
      <c r="B284" s="91"/>
      <c r="C284" s="267" t="s">
        <v>20</v>
      </c>
      <c r="D284" s="279">
        <v>45.71</v>
      </c>
      <c r="E284" s="155" t="s">
        <v>350</v>
      </c>
      <c r="F284" s="160" t="s">
        <v>386</v>
      </c>
      <c r="G284" s="6">
        <v>23.8</v>
      </c>
      <c r="H284" s="5" t="s">
        <v>383</v>
      </c>
      <c r="I284" s="228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>
        <v>21</v>
      </c>
      <c r="AN284" s="64"/>
      <c r="AO284" s="64"/>
      <c r="AP284" s="335"/>
      <c r="AQ284" s="18"/>
      <c r="AR284" s="64"/>
      <c r="AS284" s="335"/>
      <c r="AT284" s="65"/>
      <c r="AU284" s="64"/>
      <c r="AV284" s="18"/>
      <c r="AW284" s="18"/>
      <c r="AX284" s="18"/>
      <c r="AY284" s="64"/>
      <c r="AZ284" s="64"/>
      <c r="BA284" s="64"/>
      <c r="BB284" s="64"/>
      <c r="BC284" s="64"/>
      <c r="BD284" s="18"/>
      <c r="BE284" s="18"/>
      <c r="BF284" s="64"/>
      <c r="BG284" s="64"/>
      <c r="BH284" s="64"/>
      <c r="BI284" s="18"/>
      <c r="BJ284" s="64"/>
      <c r="BK284" s="65"/>
      <c r="BL284" s="18"/>
      <c r="BM284" s="18"/>
      <c r="BN284" s="64"/>
      <c r="BO284" s="18"/>
      <c r="BP284" s="18"/>
      <c r="BQ284" s="18"/>
      <c r="BR284" s="18"/>
      <c r="BS284" s="18"/>
      <c r="BT284" s="18"/>
      <c r="BU284" s="18"/>
      <c r="BV284" s="18"/>
      <c r="BW284" s="64"/>
      <c r="BX284" s="18"/>
      <c r="BY284" s="18"/>
      <c r="BZ284" s="18"/>
      <c r="CA284" s="64"/>
      <c r="CB284" s="18"/>
      <c r="CC284" s="18"/>
      <c r="CD284" s="18"/>
      <c r="CE284" s="64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8"/>
      <c r="DM284" s="8"/>
      <c r="DN284" s="8"/>
    </row>
    <row r="285" spans="1:118" s="367" customFormat="1" ht="13.35" hidden="1" customHeight="1">
      <c r="A285" s="355" t="s">
        <v>12</v>
      </c>
      <c r="B285" s="355"/>
      <c r="C285" s="356" t="s">
        <v>14</v>
      </c>
      <c r="D285" s="357">
        <v>18.41</v>
      </c>
      <c r="E285" s="358" t="s">
        <v>350</v>
      </c>
      <c r="F285" s="359" t="s">
        <v>387</v>
      </c>
      <c r="G285" s="372" t="s">
        <v>388</v>
      </c>
      <c r="H285" s="361" t="s">
        <v>389</v>
      </c>
      <c r="I285" s="373" t="s">
        <v>390</v>
      </c>
      <c r="J285" s="374"/>
      <c r="K285" s="374"/>
      <c r="L285" s="374"/>
      <c r="M285" s="374"/>
      <c r="N285" s="374"/>
      <c r="O285" s="374"/>
      <c r="P285" s="374">
        <v>16.399999999999999</v>
      </c>
      <c r="Q285" s="374"/>
      <c r="R285" s="374"/>
      <c r="S285" s="374">
        <v>17</v>
      </c>
      <c r="T285" s="375">
        <v>17.600000000000001</v>
      </c>
      <c r="U285" s="374"/>
      <c r="V285" s="374"/>
      <c r="W285" s="374"/>
      <c r="X285" s="375">
        <v>17.399999999999999</v>
      </c>
      <c r="Y285" s="374"/>
      <c r="Z285" s="374"/>
      <c r="AA285" s="374"/>
      <c r="AB285" s="374"/>
      <c r="AC285" s="374"/>
      <c r="AD285" s="374"/>
      <c r="AE285" s="374"/>
      <c r="AF285" s="374"/>
      <c r="AG285" s="374"/>
      <c r="AH285" s="374"/>
      <c r="AI285" s="374"/>
      <c r="AJ285" s="374"/>
      <c r="AK285" s="374"/>
      <c r="AL285" s="374"/>
      <c r="AM285" s="374"/>
      <c r="AN285" s="374"/>
      <c r="AO285" s="374"/>
      <c r="AP285" s="376"/>
      <c r="AQ285" s="377"/>
      <c r="AR285" s="374"/>
      <c r="AS285" s="376"/>
      <c r="AT285" s="374"/>
      <c r="AU285" s="374"/>
      <c r="AV285" s="377"/>
      <c r="AW285" s="377"/>
      <c r="AX285" s="377"/>
      <c r="AY285" s="374"/>
      <c r="AZ285" s="374"/>
      <c r="BA285" s="377"/>
      <c r="BB285" s="377"/>
      <c r="BC285" s="374"/>
      <c r="BD285" s="377"/>
      <c r="BE285" s="377"/>
      <c r="BF285" s="374"/>
      <c r="BG285" s="377"/>
      <c r="BH285" s="374"/>
      <c r="BI285" s="377"/>
      <c r="BJ285" s="374"/>
      <c r="BK285" s="375"/>
      <c r="BL285" s="377"/>
      <c r="BM285" s="377"/>
      <c r="BN285" s="374"/>
      <c r="BO285" s="377"/>
      <c r="BP285" s="377"/>
      <c r="BQ285" s="377"/>
      <c r="BR285" s="377"/>
      <c r="BS285" s="377"/>
      <c r="BT285" s="377"/>
      <c r="BU285" s="377"/>
      <c r="BV285" s="377"/>
      <c r="BW285" s="374"/>
      <c r="BX285" s="377"/>
      <c r="BY285" s="377"/>
      <c r="BZ285" s="377"/>
      <c r="CA285" s="374"/>
      <c r="CB285" s="377"/>
      <c r="CC285" s="377"/>
      <c r="CD285" s="377"/>
      <c r="CE285" s="374"/>
      <c r="CF285" s="377"/>
      <c r="CG285" s="377"/>
      <c r="CH285" s="377"/>
      <c r="CI285" s="377"/>
      <c r="CJ285" s="377"/>
      <c r="CK285" s="377"/>
      <c r="CL285" s="377"/>
      <c r="CM285" s="377"/>
      <c r="CN285" s="377"/>
      <c r="CO285" s="377"/>
      <c r="CP285" s="377"/>
      <c r="CQ285" s="377"/>
      <c r="CR285" s="377"/>
      <c r="CS285" s="377"/>
      <c r="CT285" s="377"/>
      <c r="CU285" s="377"/>
      <c r="CV285" s="377"/>
      <c r="CW285" s="377"/>
      <c r="CX285" s="377"/>
      <c r="CY285" s="377"/>
      <c r="CZ285" s="377"/>
      <c r="DA285" s="377"/>
      <c r="DB285" s="377"/>
      <c r="DC285" s="377"/>
      <c r="DD285" s="377"/>
      <c r="DE285" s="377"/>
      <c r="DF285" s="377"/>
      <c r="DG285" s="377"/>
      <c r="DH285" s="377"/>
      <c r="DI285" s="377"/>
      <c r="DJ285" s="377"/>
      <c r="DK285" s="377"/>
      <c r="DL285" s="366"/>
      <c r="DM285" s="366"/>
      <c r="DN285" s="366"/>
    </row>
    <row r="286" spans="1:118" ht="13.35" hidden="1" customHeight="1">
      <c r="A286" s="91" t="s">
        <v>12</v>
      </c>
      <c r="B286" s="91" t="s">
        <v>13</v>
      </c>
      <c r="C286" s="267" t="s">
        <v>14</v>
      </c>
      <c r="D286" s="279">
        <v>23.24</v>
      </c>
      <c r="E286" s="155" t="s">
        <v>350</v>
      </c>
      <c r="F286" s="160" t="s">
        <v>391</v>
      </c>
      <c r="G286" s="6">
        <v>18</v>
      </c>
      <c r="H286" s="5" t="s">
        <v>130</v>
      </c>
      <c r="I286" s="226" t="s">
        <v>392</v>
      </c>
      <c r="J286" s="72"/>
      <c r="K286" s="72"/>
      <c r="L286" s="72"/>
      <c r="M286" s="72"/>
      <c r="N286" s="72">
        <v>16.8</v>
      </c>
      <c r="O286" s="72"/>
      <c r="P286" s="295" t="s">
        <v>393</v>
      </c>
      <c r="Q286" s="353"/>
      <c r="R286" s="295" t="s">
        <v>394</v>
      </c>
      <c r="S286" s="72"/>
      <c r="T286" s="353" t="s">
        <v>395</v>
      </c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>
        <v>24.8</v>
      </c>
      <c r="AO286" s="72"/>
      <c r="AP286" s="354"/>
      <c r="AQ286" s="36"/>
      <c r="AR286" s="72"/>
      <c r="AS286" s="354"/>
      <c r="AT286" s="72"/>
      <c r="AU286" s="72"/>
      <c r="AV286" s="36"/>
      <c r="AW286" s="36"/>
      <c r="AX286" s="36"/>
      <c r="AY286" s="72"/>
      <c r="AZ286" s="72"/>
      <c r="BA286" s="36"/>
      <c r="BB286" s="36"/>
      <c r="BC286" s="72"/>
      <c r="BD286" s="36"/>
      <c r="BE286" s="36"/>
      <c r="BF286" s="72"/>
      <c r="BG286" s="36"/>
      <c r="BH286" s="72"/>
      <c r="BI286" s="36"/>
      <c r="BJ286" s="72"/>
      <c r="BK286" s="402"/>
      <c r="BL286" s="36"/>
      <c r="BM286" s="36"/>
      <c r="BN286" s="72"/>
      <c r="BO286" s="36"/>
      <c r="BP286" s="36"/>
      <c r="BQ286" s="36"/>
      <c r="BR286" s="36"/>
      <c r="BS286" s="36"/>
      <c r="BT286" s="36"/>
      <c r="BU286" s="36"/>
      <c r="BV286" s="36"/>
      <c r="BW286" s="72"/>
      <c r="BX286" s="36"/>
      <c r="BY286" s="36"/>
      <c r="BZ286" s="36"/>
      <c r="CA286" s="72"/>
      <c r="CB286" s="36"/>
      <c r="CC286" s="36"/>
      <c r="CD286" s="36"/>
      <c r="CE286" s="72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8"/>
      <c r="DM286" s="8"/>
      <c r="DN286" s="8"/>
    </row>
    <row r="287" spans="1:118" s="367" customFormat="1" ht="13.35" hidden="1" customHeight="1">
      <c r="A287" s="355" t="s">
        <v>12</v>
      </c>
      <c r="B287" s="355"/>
      <c r="C287" s="356" t="s">
        <v>31</v>
      </c>
      <c r="D287" s="357">
        <v>87.24</v>
      </c>
      <c r="E287" s="358" t="s">
        <v>350</v>
      </c>
      <c r="F287" s="359" t="s">
        <v>396</v>
      </c>
      <c r="G287" s="360">
        <v>23.5</v>
      </c>
      <c r="H287" s="361" t="s">
        <v>22</v>
      </c>
      <c r="I287" s="362"/>
      <c r="J287" s="363"/>
      <c r="K287" s="363"/>
      <c r="L287" s="363"/>
      <c r="M287" s="363"/>
      <c r="N287" s="363"/>
      <c r="O287" s="363"/>
      <c r="P287" s="363"/>
      <c r="Q287" s="363"/>
      <c r="R287" s="363"/>
      <c r="S287" s="363"/>
      <c r="T287" s="363"/>
      <c r="U287" s="363"/>
      <c r="V287" s="363"/>
      <c r="W287" s="363"/>
      <c r="X287" s="363"/>
      <c r="Y287" s="363"/>
      <c r="Z287" s="363"/>
      <c r="AA287" s="363"/>
      <c r="AB287" s="363"/>
      <c r="AC287" s="363"/>
      <c r="AD287" s="363"/>
      <c r="AE287" s="363"/>
      <c r="AF287" s="363"/>
      <c r="AG287" s="363"/>
      <c r="AH287" s="363"/>
      <c r="AI287" s="363"/>
      <c r="AJ287" s="363"/>
      <c r="AK287" s="363"/>
      <c r="AL287" s="363"/>
      <c r="AM287" s="363"/>
      <c r="AN287" s="363"/>
      <c r="AO287" s="363"/>
      <c r="AP287" s="364"/>
      <c r="AQ287" s="365"/>
      <c r="AR287" s="363"/>
      <c r="AS287" s="364"/>
      <c r="AT287" s="363"/>
      <c r="AU287" s="363"/>
      <c r="AV287" s="365"/>
      <c r="AW287" s="365"/>
      <c r="AX287" s="365"/>
      <c r="AY287" s="363"/>
      <c r="AZ287" s="363"/>
      <c r="BA287" s="363"/>
      <c r="BB287" s="363"/>
      <c r="BC287" s="363"/>
      <c r="BD287" s="365"/>
      <c r="BE287" s="365"/>
      <c r="BF287" s="363"/>
      <c r="BG287" s="363"/>
      <c r="BH287" s="363"/>
      <c r="BI287" s="365"/>
      <c r="BJ287" s="363"/>
      <c r="BK287" s="435"/>
      <c r="BL287" s="365"/>
      <c r="BM287" s="363"/>
      <c r="BN287" s="363"/>
      <c r="BO287" s="363"/>
      <c r="BP287" s="363"/>
      <c r="BQ287" s="363"/>
      <c r="BR287" s="363"/>
      <c r="BS287" s="363"/>
      <c r="BT287" s="363"/>
      <c r="BU287" s="363"/>
      <c r="BV287" s="363"/>
      <c r="BW287" s="363"/>
      <c r="BX287" s="365"/>
      <c r="BY287" s="365"/>
      <c r="BZ287" s="365"/>
      <c r="CA287" s="363"/>
      <c r="CB287" s="365"/>
      <c r="CC287" s="365"/>
      <c r="CD287" s="365"/>
      <c r="CE287" s="363"/>
      <c r="CF287" s="365"/>
      <c r="CG287" s="365"/>
      <c r="CH287" s="365"/>
      <c r="CI287" s="365"/>
      <c r="CJ287" s="365"/>
      <c r="CK287" s="365"/>
      <c r="CL287" s="365"/>
      <c r="CM287" s="365"/>
      <c r="CN287" s="365"/>
      <c r="CO287" s="365"/>
      <c r="CP287" s="365"/>
      <c r="CQ287" s="365"/>
      <c r="CR287" s="365"/>
      <c r="CS287" s="365"/>
      <c r="CT287" s="365"/>
      <c r="CU287" s="365"/>
      <c r="CV287" s="365"/>
      <c r="CW287" s="365"/>
      <c r="CX287" s="365"/>
      <c r="CY287" s="365"/>
      <c r="CZ287" s="365"/>
      <c r="DA287" s="365"/>
      <c r="DB287" s="365"/>
      <c r="DC287" s="365"/>
      <c r="DD287" s="365"/>
      <c r="DE287" s="365"/>
      <c r="DF287" s="365"/>
      <c r="DG287" s="365"/>
      <c r="DH287" s="365"/>
      <c r="DI287" s="365"/>
      <c r="DJ287" s="365"/>
      <c r="DK287" s="365"/>
      <c r="DL287" s="366"/>
      <c r="DM287" s="366"/>
      <c r="DN287" s="366"/>
    </row>
    <row r="288" spans="1:118" s="367" customFormat="1" ht="13.35" hidden="1" customHeight="1">
      <c r="A288" s="355" t="s">
        <v>12</v>
      </c>
      <c r="B288" s="355"/>
      <c r="C288" s="356" t="s">
        <v>31</v>
      </c>
      <c r="D288" s="357"/>
      <c r="E288" s="358" t="s">
        <v>350</v>
      </c>
      <c r="F288" s="359" t="s">
        <v>397</v>
      </c>
      <c r="G288" s="360">
        <v>23.5</v>
      </c>
      <c r="H288" s="361" t="s">
        <v>22</v>
      </c>
      <c r="I288" s="362"/>
      <c r="J288" s="363"/>
      <c r="K288" s="363"/>
      <c r="L288" s="363"/>
      <c r="M288" s="363"/>
      <c r="N288" s="363"/>
      <c r="O288" s="363"/>
      <c r="P288" s="363"/>
      <c r="Q288" s="363"/>
      <c r="R288" s="363"/>
      <c r="S288" s="363"/>
      <c r="T288" s="363"/>
      <c r="U288" s="363"/>
      <c r="V288" s="363"/>
      <c r="W288" s="363"/>
      <c r="X288" s="363"/>
      <c r="Y288" s="363"/>
      <c r="Z288" s="363"/>
      <c r="AA288" s="363"/>
      <c r="AB288" s="363"/>
      <c r="AC288" s="363"/>
      <c r="AD288" s="363"/>
      <c r="AE288" s="363"/>
      <c r="AF288" s="363"/>
      <c r="AG288" s="363"/>
      <c r="AH288" s="363"/>
      <c r="AI288" s="363"/>
      <c r="AJ288" s="363"/>
      <c r="AK288" s="363"/>
      <c r="AL288" s="363"/>
      <c r="AM288" s="363"/>
      <c r="AN288" s="363"/>
      <c r="AO288" s="363"/>
      <c r="AP288" s="364"/>
      <c r="AQ288" s="365"/>
      <c r="AR288" s="363"/>
      <c r="AS288" s="364"/>
      <c r="AT288" s="363"/>
      <c r="AU288" s="363"/>
      <c r="AV288" s="365"/>
      <c r="AW288" s="365"/>
      <c r="AX288" s="365"/>
      <c r="AY288" s="363"/>
      <c r="AZ288" s="363"/>
      <c r="BA288" s="363"/>
      <c r="BB288" s="363"/>
      <c r="BC288" s="363"/>
      <c r="BD288" s="365"/>
      <c r="BE288" s="365"/>
      <c r="BF288" s="363"/>
      <c r="BG288" s="363"/>
      <c r="BH288" s="363"/>
      <c r="BI288" s="365"/>
      <c r="BJ288" s="363"/>
      <c r="BK288" s="435"/>
      <c r="BL288" s="365"/>
      <c r="BM288" s="363"/>
      <c r="BN288" s="363"/>
      <c r="BO288" s="363"/>
      <c r="BP288" s="363"/>
      <c r="BQ288" s="363"/>
      <c r="BR288" s="363"/>
      <c r="BS288" s="363"/>
      <c r="BT288" s="363"/>
      <c r="BU288" s="363"/>
      <c r="BV288" s="363"/>
      <c r="BW288" s="363"/>
      <c r="BX288" s="365"/>
      <c r="BY288" s="365"/>
      <c r="BZ288" s="365"/>
      <c r="CA288" s="363"/>
      <c r="CB288" s="365"/>
      <c r="CC288" s="365"/>
      <c r="CD288" s="365"/>
      <c r="CE288" s="363"/>
      <c r="CF288" s="365"/>
      <c r="CG288" s="365"/>
      <c r="CH288" s="365"/>
      <c r="CI288" s="365"/>
      <c r="CJ288" s="365"/>
      <c r="CK288" s="365"/>
      <c r="CL288" s="365"/>
      <c r="CM288" s="365"/>
      <c r="CN288" s="365"/>
      <c r="CO288" s="365"/>
      <c r="CP288" s="365"/>
      <c r="CQ288" s="365"/>
      <c r="CR288" s="365"/>
      <c r="CS288" s="365"/>
      <c r="CT288" s="365"/>
      <c r="CU288" s="365"/>
      <c r="CV288" s="365"/>
      <c r="CW288" s="365"/>
      <c r="CX288" s="365"/>
      <c r="CY288" s="365"/>
      <c r="CZ288" s="365"/>
      <c r="DA288" s="365"/>
      <c r="DB288" s="365"/>
      <c r="DC288" s="365"/>
      <c r="DD288" s="365"/>
      <c r="DE288" s="365"/>
      <c r="DF288" s="365"/>
      <c r="DG288" s="365"/>
      <c r="DH288" s="365"/>
      <c r="DI288" s="365"/>
      <c r="DJ288" s="365"/>
      <c r="DK288" s="365"/>
      <c r="DL288" s="366"/>
      <c r="DM288" s="366"/>
      <c r="DN288" s="366"/>
    </row>
    <row r="289" spans="1:118" s="367" customFormat="1" ht="13.35" hidden="1" customHeight="1">
      <c r="A289" s="355" t="s">
        <v>12</v>
      </c>
      <c r="B289" s="355"/>
      <c r="C289" s="356" t="s">
        <v>31</v>
      </c>
      <c r="D289" s="357"/>
      <c r="E289" s="358" t="s">
        <v>350</v>
      </c>
      <c r="F289" s="359" t="s">
        <v>398</v>
      </c>
      <c r="G289" s="360">
        <v>23.5</v>
      </c>
      <c r="H289" s="361" t="s">
        <v>22</v>
      </c>
      <c r="I289" s="362"/>
      <c r="J289" s="363"/>
      <c r="K289" s="363"/>
      <c r="L289" s="363"/>
      <c r="M289" s="363"/>
      <c r="N289" s="363"/>
      <c r="O289" s="363"/>
      <c r="P289" s="363"/>
      <c r="Q289" s="363"/>
      <c r="R289" s="363"/>
      <c r="S289" s="363"/>
      <c r="T289" s="363"/>
      <c r="U289" s="363"/>
      <c r="V289" s="363"/>
      <c r="W289" s="363"/>
      <c r="X289" s="363"/>
      <c r="Y289" s="363"/>
      <c r="Z289" s="363"/>
      <c r="AA289" s="363"/>
      <c r="AB289" s="363"/>
      <c r="AC289" s="363"/>
      <c r="AD289" s="363"/>
      <c r="AE289" s="363"/>
      <c r="AF289" s="363"/>
      <c r="AG289" s="363">
        <v>15.6</v>
      </c>
      <c r="AH289" s="363"/>
      <c r="AI289" s="363"/>
      <c r="AJ289" s="363"/>
      <c r="AK289" s="363"/>
      <c r="AL289" s="363"/>
      <c r="AM289" s="363"/>
      <c r="AN289" s="363"/>
      <c r="AO289" s="363"/>
      <c r="AP289" s="364"/>
      <c r="AQ289" s="365"/>
      <c r="AR289" s="363"/>
      <c r="AS289" s="364"/>
      <c r="AT289" s="363"/>
      <c r="AU289" s="363">
        <v>18</v>
      </c>
      <c r="AV289" s="365"/>
      <c r="AW289" s="365"/>
      <c r="AX289" s="365"/>
      <c r="AY289" s="363"/>
      <c r="AZ289" s="363"/>
      <c r="BA289" s="363">
        <v>19.7</v>
      </c>
      <c r="BB289" s="363"/>
      <c r="BC289" s="363"/>
      <c r="BD289" s="365"/>
      <c r="BE289" s="365"/>
      <c r="BF289" s="363"/>
      <c r="BG289" s="363"/>
      <c r="BH289" s="363">
        <v>22.4</v>
      </c>
      <c r="BI289" s="365"/>
      <c r="BJ289" s="363"/>
      <c r="BK289" s="435"/>
      <c r="BL289" s="365"/>
      <c r="BM289" s="363"/>
      <c r="BN289" s="363"/>
      <c r="BO289" s="363"/>
      <c r="BP289" s="363"/>
      <c r="BQ289" s="363"/>
      <c r="BR289" s="363"/>
      <c r="BS289" s="363"/>
      <c r="BT289" s="363"/>
      <c r="BU289" s="363"/>
      <c r="BV289" s="363"/>
      <c r="BW289" s="363"/>
      <c r="BX289" s="365"/>
      <c r="BY289" s="365"/>
      <c r="BZ289" s="365"/>
      <c r="CA289" s="363"/>
      <c r="CB289" s="365"/>
      <c r="CC289" s="365"/>
      <c r="CD289" s="365"/>
      <c r="CE289" s="363"/>
      <c r="CF289" s="365"/>
      <c r="CG289" s="365"/>
      <c r="CH289" s="365"/>
      <c r="CI289" s="365"/>
      <c r="CJ289" s="365"/>
      <c r="CK289" s="365"/>
      <c r="CL289" s="365"/>
      <c r="CM289" s="365"/>
      <c r="CN289" s="365"/>
      <c r="CO289" s="365"/>
      <c r="CP289" s="365"/>
      <c r="CQ289" s="365"/>
      <c r="CR289" s="365"/>
      <c r="CS289" s="365"/>
      <c r="CT289" s="365"/>
      <c r="CU289" s="365"/>
      <c r="CV289" s="365"/>
      <c r="CW289" s="365"/>
      <c r="CX289" s="365"/>
      <c r="CY289" s="365"/>
      <c r="CZ289" s="365"/>
      <c r="DA289" s="365"/>
      <c r="DB289" s="365"/>
      <c r="DC289" s="365"/>
      <c r="DD289" s="365"/>
      <c r="DE289" s="365"/>
      <c r="DF289" s="365"/>
      <c r="DG289" s="365"/>
      <c r="DH289" s="365"/>
      <c r="DI289" s="365"/>
      <c r="DJ289" s="365"/>
      <c r="DK289" s="365"/>
      <c r="DL289" s="366"/>
      <c r="DM289" s="366"/>
      <c r="DN289" s="366"/>
    </row>
    <row r="290" spans="1:118" s="367" customFormat="1" ht="13.35" hidden="1" customHeight="1">
      <c r="A290" s="355" t="s">
        <v>12</v>
      </c>
      <c r="B290" s="355"/>
      <c r="C290" s="356" t="s">
        <v>31</v>
      </c>
      <c r="D290" s="357"/>
      <c r="E290" s="368" t="s">
        <v>350</v>
      </c>
      <c r="F290" s="369" t="s">
        <v>399</v>
      </c>
      <c r="G290" s="370">
        <v>23.5</v>
      </c>
      <c r="H290" s="371" t="s">
        <v>22</v>
      </c>
      <c r="I290" s="362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3"/>
      <c r="V290" s="363"/>
      <c r="W290" s="363"/>
      <c r="X290" s="363"/>
      <c r="Y290" s="363"/>
      <c r="Z290" s="363"/>
      <c r="AA290" s="363"/>
      <c r="AB290" s="363"/>
      <c r="AC290" s="363"/>
      <c r="AD290" s="363"/>
      <c r="AE290" s="363"/>
      <c r="AF290" s="363"/>
      <c r="AG290" s="363">
        <v>16</v>
      </c>
      <c r="AH290" s="363"/>
      <c r="AI290" s="363"/>
      <c r="AJ290" s="363"/>
      <c r="AK290" s="363"/>
      <c r="AL290" s="363"/>
      <c r="AM290" s="363"/>
      <c r="AN290" s="363"/>
      <c r="AO290" s="363"/>
      <c r="AP290" s="364"/>
      <c r="AQ290" s="365"/>
      <c r="AR290" s="363"/>
      <c r="AS290" s="364"/>
      <c r="AT290" s="363"/>
      <c r="AU290" s="363">
        <v>18.600000000000001</v>
      </c>
      <c r="AV290" s="365"/>
      <c r="AW290" s="365"/>
      <c r="AX290" s="365"/>
      <c r="AY290" s="363"/>
      <c r="AZ290" s="363"/>
      <c r="BA290" s="363">
        <v>19.899999999999999</v>
      </c>
      <c r="BB290" s="363"/>
      <c r="BC290" s="363"/>
      <c r="BD290" s="365"/>
      <c r="BE290" s="365"/>
      <c r="BF290" s="363"/>
      <c r="BG290" s="363"/>
      <c r="BH290" s="363">
        <v>21.6</v>
      </c>
      <c r="BI290" s="365"/>
      <c r="BJ290" s="363"/>
      <c r="BK290" s="435"/>
      <c r="BL290" s="365"/>
      <c r="BM290" s="363"/>
      <c r="BN290" s="363"/>
      <c r="BO290" s="363"/>
      <c r="BP290" s="363"/>
      <c r="BQ290" s="363"/>
      <c r="BR290" s="363"/>
      <c r="BS290" s="363"/>
      <c r="BT290" s="363"/>
      <c r="BU290" s="363"/>
      <c r="BV290" s="363"/>
      <c r="BW290" s="363"/>
      <c r="BX290" s="365"/>
      <c r="BY290" s="365"/>
      <c r="BZ290" s="365"/>
      <c r="CA290" s="363"/>
      <c r="CB290" s="365"/>
      <c r="CC290" s="365"/>
      <c r="CD290" s="365"/>
      <c r="CE290" s="363"/>
      <c r="CF290" s="365"/>
      <c r="CG290" s="365"/>
      <c r="CH290" s="365"/>
      <c r="CI290" s="365"/>
      <c r="CJ290" s="365"/>
      <c r="CK290" s="365"/>
      <c r="CL290" s="365"/>
      <c r="CM290" s="365"/>
      <c r="CN290" s="365"/>
      <c r="CO290" s="365"/>
      <c r="CP290" s="365"/>
      <c r="CQ290" s="365"/>
      <c r="CR290" s="365"/>
      <c r="CS290" s="365"/>
      <c r="CT290" s="365"/>
      <c r="CU290" s="365"/>
      <c r="CV290" s="365"/>
      <c r="CW290" s="365"/>
      <c r="CX290" s="365"/>
      <c r="CY290" s="365"/>
      <c r="CZ290" s="365"/>
      <c r="DA290" s="365"/>
      <c r="DB290" s="365"/>
      <c r="DC290" s="365"/>
      <c r="DD290" s="365"/>
      <c r="DE290" s="365"/>
      <c r="DF290" s="365"/>
      <c r="DG290" s="365"/>
      <c r="DH290" s="365"/>
      <c r="DI290" s="365"/>
      <c r="DJ290" s="365"/>
      <c r="DK290" s="365"/>
      <c r="DL290" s="366"/>
      <c r="DM290" s="366"/>
      <c r="DN290" s="366"/>
    </row>
    <row r="291" spans="1:118" ht="13.35" hidden="1" customHeight="1">
      <c r="A291" s="90"/>
      <c r="B291" s="90"/>
      <c r="C291" s="266"/>
      <c r="D291" s="277"/>
      <c r="E291" s="278" t="s">
        <v>400</v>
      </c>
      <c r="F291" s="141" t="s">
        <v>401</v>
      </c>
      <c r="G291" s="169"/>
      <c r="H291" s="170" t="s">
        <v>11</v>
      </c>
      <c r="I291" s="225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331"/>
      <c r="AQ291" s="172"/>
      <c r="AR291" s="171"/>
      <c r="AS291" s="331"/>
      <c r="AT291" s="171"/>
      <c r="AU291" s="172"/>
      <c r="AV291" s="172"/>
      <c r="AW291" s="171"/>
      <c r="AX291" s="172"/>
      <c r="AY291" s="172"/>
      <c r="AZ291" s="172"/>
      <c r="BA291" s="171"/>
      <c r="BB291" s="171"/>
      <c r="BC291" s="171"/>
      <c r="BD291" s="172"/>
      <c r="BE291" s="172"/>
      <c r="BF291" s="171"/>
      <c r="BG291" s="171"/>
      <c r="BH291" s="171"/>
      <c r="BI291" s="172"/>
      <c r="BJ291" s="171"/>
      <c r="BK291" s="427"/>
      <c r="BL291" s="172"/>
      <c r="BM291" s="171"/>
      <c r="BN291" s="171"/>
      <c r="BO291" s="171"/>
      <c r="BP291" s="171"/>
      <c r="BQ291" s="171"/>
      <c r="BR291" s="171"/>
      <c r="BS291" s="171"/>
      <c r="BT291" s="171"/>
      <c r="BU291" s="171"/>
      <c r="BV291" s="171"/>
      <c r="BW291" s="171"/>
      <c r="BX291" s="171"/>
      <c r="BY291" s="172"/>
      <c r="BZ291" s="172"/>
      <c r="CA291" s="171"/>
      <c r="CB291" s="171"/>
      <c r="CC291" s="172"/>
      <c r="CD291" s="171"/>
      <c r="CE291" s="171"/>
      <c r="CF291" s="172"/>
      <c r="CG291" s="172"/>
      <c r="CH291" s="171"/>
      <c r="CI291" s="171"/>
      <c r="CJ291" s="171"/>
      <c r="CK291" s="171"/>
      <c r="CL291" s="171"/>
      <c r="CM291" s="172"/>
      <c r="CN291" s="172"/>
      <c r="CO291" s="171"/>
      <c r="CP291" s="171"/>
      <c r="CQ291" s="172"/>
      <c r="CR291" s="172"/>
      <c r="CS291" s="172"/>
      <c r="CT291" s="172"/>
      <c r="CU291" s="172"/>
      <c r="CV291" s="172"/>
      <c r="CW291" s="172"/>
      <c r="CX291" s="172"/>
      <c r="CY291" s="172"/>
      <c r="CZ291" s="172"/>
      <c r="DA291" s="172"/>
      <c r="DB291" s="172"/>
      <c r="DC291" s="172"/>
      <c r="DD291" s="172"/>
      <c r="DE291" s="172"/>
      <c r="DF291" s="172"/>
      <c r="DG291" s="172"/>
      <c r="DH291" s="172"/>
      <c r="DI291" s="172"/>
      <c r="DJ291" s="172"/>
      <c r="DK291" s="172"/>
      <c r="DL291" s="8"/>
      <c r="DM291" s="8"/>
      <c r="DN291" s="8"/>
    </row>
    <row r="292" spans="1:118" ht="12.95" hidden="1" customHeight="1">
      <c r="A292" s="91" t="s">
        <v>12</v>
      </c>
      <c r="B292" s="91" t="s">
        <v>13</v>
      </c>
      <c r="C292" s="267" t="s">
        <v>31</v>
      </c>
      <c r="D292" s="279">
        <v>4.97</v>
      </c>
      <c r="E292" s="188" t="s">
        <v>400</v>
      </c>
      <c r="F292" s="166" t="s">
        <v>402</v>
      </c>
      <c r="G292" s="50">
        <v>24.5</v>
      </c>
      <c r="H292" s="55" t="s">
        <v>16</v>
      </c>
      <c r="I292" s="228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335"/>
      <c r="AQ292" s="18"/>
      <c r="AR292" s="64"/>
      <c r="AS292" s="335"/>
      <c r="AT292" s="64"/>
      <c r="AU292" s="18"/>
      <c r="AV292" s="18"/>
      <c r="AW292" s="64"/>
      <c r="AX292" s="18"/>
      <c r="AY292" s="18"/>
      <c r="AZ292" s="18"/>
      <c r="BA292" s="64"/>
      <c r="BB292" s="64"/>
      <c r="BC292" s="64"/>
      <c r="BD292" s="18"/>
      <c r="BE292" s="18"/>
      <c r="BF292" s="64">
        <v>24</v>
      </c>
      <c r="BG292" s="64"/>
      <c r="BH292" s="64"/>
      <c r="BI292" s="18"/>
      <c r="BJ292" s="64"/>
      <c r="BK292" s="65"/>
      <c r="BL292" s="18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18"/>
      <c r="BY292" s="18"/>
      <c r="BZ292" s="18"/>
      <c r="CA292" s="64"/>
      <c r="CB292" s="18"/>
      <c r="CC292" s="18"/>
      <c r="CD292" s="18"/>
      <c r="CE292" s="64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  <c r="DG292" s="18"/>
      <c r="DH292" s="18"/>
      <c r="DI292" s="18"/>
      <c r="DJ292" s="18"/>
      <c r="DK292" s="18"/>
      <c r="DL292" s="8"/>
      <c r="DM292" s="8"/>
      <c r="DN292" s="8"/>
    </row>
    <row r="293" spans="1:118" ht="12.95" hidden="1" customHeight="1">
      <c r="A293" s="92" t="s">
        <v>12</v>
      </c>
      <c r="B293" s="96" t="s">
        <v>13</v>
      </c>
      <c r="C293" s="268" t="s">
        <v>31</v>
      </c>
      <c r="D293" s="280">
        <v>12.29</v>
      </c>
      <c r="E293" s="156" t="s">
        <v>400</v>
      </c>
      <c r="F293" s="159" t="s">
        <v>403</v>
      </c>
      <c r="G293" s="7">
        <v>24.5</v>
      </c>
      <c r="H293" s="4" t="s">
        <v>16</v>
      </c>
      <c r="I293" s="229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333"/>
      <c r="AQ293" s="2"/>
      <c r="AR293" s="60"/>
      <c r="AS293" s="333"/>
      <c r="AT293" s="60"/>
      <c r="AU293" s="2"/>
      <c r="AV293" s="2"/>
      <c r="AW293" s="60"/>
      <c r="AX293" s="2"/>
      <c r="AY293" s="2"/>
      <c r="AZ293" s="2"/>
      <c r="BA293" s="60"/>
      <c r="BB293" s="60"/>
      <c r="BC293" s="60"/>
      <c r="BD293" s="2"/>
      <c r="BE293" s="2"/>
      <c r="BF293" s="60">
        <v>24.2</v>
      </c>
      <c r="BG293" s="60"/>
      <c r="BH293" s="60"/>
      <c r="BI293" s="2"/>
      <c r="BJ293" s="60"/>
      <c r="BK293" s="66"/>
      <c r="BL293" s="2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2"/>
      <c r="BY293" s="2"/>
      <c r="BZ293" s="2"/>
      <c r="CA293" s="60"/>
      <c r="CB293" s="2"/>
      <c r="CC293" s="2"/>
      <c r="CD293" s="2"/>
      <c r="CE293" s="60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8"/>
      <c r="DM293" s="8"/>
      <c r="DN293" s="8"/>
    </row>
    <row r="294" spans="1:118" ht="12.95" hidden="1" customHeight="1">
      <c r="A294" s="91" t="s">
        <v>12</v>
      </c>
      <c r="B294" s="91" t="s">
        <v>13</v>
      </c>
      <c r="C294" s="267" t="s">
        <v>31</v>
      </c>
      <c r="D294" s="279">
        <v>16.22</v>
      </c>
      <c r="E294" s="155" t="s">
        <v>400</v>
      </c>
      <c r="F294" s="160" t="s">
        <v>404</v>
      </c>
      <c r="G294" s="6">
        <v>24.5</v>
      </c>
      <c r="H294" s="5" t="s">
        <v>16</v>
      </c>
      <c r="I294" s="23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332"/>
      <c r="AQ294" s="1"/>
      <c r="AR294" s="61"/>
      <c r="AS294" s="332"/>
      <c r="AT294" s="61"/>
      <c r="AU294" s="1"/>
      <c r="AV294" s="61">
        <v>21.6</v>
      </c>
      <c r="AW294" s="61"/>
      <c r="AX294" s="1"/>
      <c r="AY294" s="1"/>
      <c r="AZ294" s="1"/>
      <c r="BA294" s="61"/>
      <c r="BB294" s="61"/>
      <c r="BC294" s="61"/>
      <c r="BD294" s="1"/>
      <c r="BE294" s="1"/>
      <c r="BF294" s="61">
        <v>24.5</v>
      </c>
      <c r="BG294" s="61"/>
      <c r="BH294" s="61"/>
      <c r="BI294" s="1"/>
      <c r="BJ294" s="67">
        <v>25</v>
      </c>
      <c r="BK294" s="67"/>
      <c r="BL294" s="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1"/>
      <c r="BY294" s="1"/>
      <c r="BZ294" s="1"/>
      <c r="CA294" s="61"/>
      <c r="CB294" s="1"/>
      <c r="CC294" s="1"/>
      <c r="CD294" s="1"/>
      <c r="CE294" s="6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8"/>
      <c r="DM294" s="8"/>
      <c r="DN294" s="8"/>
    </row>
    <row r="295" spans="1:118" s="104" customFormat="1" ht="13.35" hidden="1" customHeight="1">
      <c r="A295" s="96" t="s">
        <v>12</v>
      </c>
      <c r="B295" s="96" t="s">
        <v>13</v>
      </c>
      <c r="C295" s="269" t="s">
        <v>14</v>
      </c>
      <c r="D295" s="281">
        <v>57.07</v>
      </c>
      <c r="E295" s="157" t="s">
        <v>400</v>
      </c>
      <c r="F295" s="161" t="s">
        <v>405</v>
      </c>
      <c r="G295" s="102"/>
      <c r="H295" s="109" t="s">
        <v>94</v>
      </c>
      <c r="I295" s="232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>
        <v>15.4</v>
      </c>
      <c r="AG295" s="107"/>
      <c r="AH295" s="107"/>
      <c r="AI295" s="107"/>
      <c r="AJ295" s="107"/>
      <c r="AK295" s="107"/>
      <c r="AL295" s="107">
        <v>16.899999999999999</v>
      </c>
      <c r="AM295" s="107"/>
      <c r="AN295" s="107"/>
      <c r="AO295" s="107"/>
      <c r="AP295" s="337"/>
      <c r="AQ295" s="108"/>
      <c r="AR295" s="107"/>
      <c r="AS295" s="337"/>
      <c r="AT295" s="107"/>
      <c r="AU295" s="108"/>
      <c r="AV295" s="108"/>
      <c r="AW295" s="107">
        <v>19.5</v>
      </c>
      <c r="AX295" s="108"/>
      <c r="AY295" s="108"/>
      <c r="AZ295" s="108"/>
      <c r="BA295" s="107"/>
      <c r="BB295" s="107"/>
      <c r="BC295" s="107"/>
      <c r="BD295" s="108"/>
      <c r="BE295" s="108"/>
      <c r="BF295" s="107" t="s">
        <v>406</v>
      </c>
      <c r="BG295" s="107"/>
      <c r="BH295" s="107"/>
      <c r="BI295" s="108"/>
      <c r="BJ295" s="107"/>
      <c r="BK295" s="123"/>
      <c r="BL295" s="108"/>
      <c r="BM295" s="107">
        <v>23.2</v>
      </c>
      <c r="BN295" s="107"/>
      <c r="BO295" s="107"/>
      <c r="BP295" s="107"/>
      <c r="BQ295" s="107"/>
      <c r="BR295" s="107"/>
      <c r="BS295" s="107"/>
      <c r="BT295" s="107"/>
      <c r="BU295" s="107">
        <v>23.4</v>
      </c>
      <c r="BV295" s="107"/>
      <c r="BW295" s="107"/>
      <c r="BX295" s="107"/>
      <c r="BY295" s="108"/>
      <c r="BZ295" s="108"/>
      <c r="CA295" s="107"/>
      <c r="CB295" s="107"/>
      <c r="CC295" s="108"/>
      <c r="CD295" s="107"/>
      <c r="CE295" s="107"/>
      <c r="CF295" s="108"/>
      <c r="CG295" s="108"/>
      <c r="CH295" s="107"/>
      <c r="CI295" s="107"/>
      <c r="CJ295" s="107"/>
      <c r="CK295" s="107"/>
      <c r="CL295" s="107"/>
      <c r="CM295" s="108"/>
      <c r="CN295" s="108"/>
      <c r="CO295" s="107"/>
      <c r="CP295" s="107"/>
      <c r="CQ295" s="108"/>
      <c r="CR295" s="108"/>
      <c r="CS295" s="108"/>
      <c r="CT295" s="108"/>
      <c r="CU295" s="108"/>
      <c r="CV295" s="108"/>
      <c r="CW295" s="108"/>
      <c r="CX295" s="108"/>
      <c r="CY295" s="108"/>
      <c r="CZ295" s="108"/>
      <c r="DA295" s="108"/>
      <c r="DB295" s="108"/>
      <c r="DC295" s="108"/>
      <c r="DD295" s="108"/>
      <c r="DE295" s="108"/>
      <c r="DF295" s="108"/>
      <c r="DG295" s="108"/>
      <c r="DH295" s="108"/>
      <c r="DI295" s="108"/>
      <c r="DJ295" s="108"/>
      <c r="DK295" s="108"/>
      <c r="DL295" s="103"/>
      <c r="DM295" s="103"/>
      <c r="DN295" s="103"/>
    </row>
    <row r="296" spans="1:118" s="104" customFormat="1" ht="13.35" hidden="1" customHeight="1">
      <c r="A296" s="96" t="s">
        <v>12</v>
      </c>
      <c r="B296" s="96" t="s">
        <v>13</v>
      </c>
      <c r="C296" s="269" t="s">
        <v>14</v>
      </c>
      <c r="D296" s="281"/>
      <c r="E296" s="157" t="s">
        <v>400</v>
      </c>
      <c r="F296" s="161" t="s">
        <v>407</v>
      </c>
      <c r="G296" s="102"/>
      <c r="H296" s="109" t="s">
        <v>94</v>
      </c>
      <c r="I296" s="232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337"/>
      <c r="AQ296" s="108"/>
      <c r="AR296" s="107"/>
      <c r="AS296" s="337"/>
      <c r="AT296" s="107"/>
      <c r="AU296" s="108"/>
      <c r="AV296" s="108"/>
      <c r="AW296" s="107"/>
      <c r="AX296" s="108"/>
      <c r="AY296" s="108"/>
      <c r="AZ296" s="108"/>
      <c r="BA296" s="107"/>
      <c r="BB296" s="107"/>
      <c r="BC296" s="107"/>
      <c r="BD296" s="108"/>
      <c r="BE296" s="108"/>
      <c r="BF296" s="107"/>
      <c r="BG296" s="107"/>
      <c r="BH296" s="107"/>
      <c r="BI296" s="108"/>
      <c r="BJ296" s="107"/>
      <c r="BK296" s="123"/>
      <c r="BL296" s="108"/>
      <c r="BM296" s="107"/>
      <c r="BN296" s="107"/>
      <c r="BO296" s="107"/>
      <c r="BP296" s="107"/>
      <c r="BQ296" s="107"/>
      <c r="BR296" s="107"/>
      <c r="BS296" s="107"/>
      <c r="BT296" s="107"/>
      <c r="BU296" s="107"/>
      <c r="BV296" s="107"/>
      <c r="BW296" s="107"/>
      <c r="BX296" s="107"/>
      <c r="BY296" s="108"/>
      <c r="BZ296" s="108"/>
      <c r="CA296" s="107"/>
      <c r="CB296" s="107"/>
      <c r="CC296" s="108"/>
      <c r="CD296" s="107"/>
      <c r="CE296" s="107"/>
      <c r="CF296" s="108"/>
      <c r="CG296" s="108"/>
      <c r="CH296" s="107"/>
      <c r="CI296" s="107"/>
      <c r="CJ296" s="107"/>
      <c r="CK296" s="107"/>
      <c r="CL296" s="107"/>
      <c r="CM296" s="108"/>
      <c r="CN296" s="108"/>
      <c r="CO296" s="107"/>
      <c r="CP296" s="107"/>
      <c r="CQ296" s="108"/>
      <c r="CR296" s="108"/>
      <c r="CS296" s="108"/>
      <c r="CT296" s="108"/>
      <c r="CU296" s="108"/>
      <c r="CV296" s="108"/>
      <c r="CW296" s="108"/>
      <c r="CX296" s="108"/>
      <c r="CY296" s="108"/>
      <c r="CZ296" s="108"/>
      <c r="DA296" s="108"/>
      <c r="DB296" s="108"/>
      <c r="DC296" s="108"/>
      <c r="DD296" s="108"/>
      <c r="DE296" s="108"/>
      <c r="DF296" s="108"/>
      <c r="DG296" s="108"/>
      <c r="DH296" s="108"/>
      <c r="DI296" s="108"/>
      <c r="DJ296" s="108"/>
      <c r="DK296" s="108"/>
      <c r="DL296" s="103"/>
      <c r="DM296" s="103"/>
      <c r="DN296" s="103"/>
    </row>
    <row r="297" spans="1:118" s="104" customFormat="1" ht="13.35" hidden="1" customHeight="1">
      <c r="A297" s="96" t="s">
        <v>12</v>
      </c>
      <c r="B297" s="96" t="s">
        <v>13</v>
      </c>
      <c r="C297" s="269" t="s">
        <v>14</v>
      </c>
      <c r="D297" s="281"/>
      <c r="E297" s="157" t="s">
        <v>400</v>
      </c>
      <c r="F297" s="161" t="s">
        <v>408</v>
      </c>
      <c r="G297" s="102"/>
      <c r="H297" s="109" t="s">
        <v>94</v>
      </c>
      <c r="I297" s="232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337"/>
      <c r="AQ297" s="108"/>
      <c r="AR297" s="107"/>
      <c r="AS297" s="337"/>
      <c r="AT297" s="107"/>
      <c r="AU297" s="108"/>
      <c r="AV297" s="108"/>
      <c r="AW297" s="107"/>
      <c r="AX297" s="108"/>
      <c r="AY297" s="108"/>
      <c r="AZ297" s="108"/>
      <c r="BA297" s="107"/>
      <c r="BB297" s="107"/>
      <c r="BC297" s="107"/>
      <c r="BD297" s="108"/>
      <c r="BE297" s="108"/>
      <c r="BF297" s="107"/>
      <c r="BG297" s="107"/>
      <c r="BH297" s="107"/>
      <c r="BI297" s="108"/>
      <c r="BJ297" s="107"/>
      <c r="BK297" s="123"/>
      <c r="BL297" s="108"/>
      <c r="BM297" s="107"/>
      <c r="BN297" s="107"/>
      <c r="BO297" s="107"/>
      <c r="BP297" s="107"/>
      <c r="BQ297" s="107"/>
      <c r="BR297" s="107"/>
      <c r="BS297" s="107"/>
      <c r="BT297" s="107"/>
      <c r="BU297" s="107"/>
      <c r="BV297" s="107"/>
      <c r="BW297" s="107"/>
      <c r="BX297" s="107">
        <v>23.4</v>
      </c>
      <c r="BY297" s="108"/>
      <c r="BZ297" s="108"/>
      <c r="CA297" s="107"/>
      <c r="CB297" s="107"/>
      <c r="CC297" s="108"/>
      <c r="CD297" s="107">
        <v>23.5</v>
      </c>
      <c r="CE297" s="107"/>
      <c r="CF297" s="108"/>
      <c r="CG297" s="108"/>
      <c r="CH297" s="107"/>
      <c r="CI297" s="107" t="s">
        <v>409</v>
      </c>
      <c r="CJ297" s="107"/>
      <c r="CK297" s="107"/>
      <c r="CL297" s="107"/>
      <c r="CM297" s="108"/>
      <c r="CN297" s="108"/>
      <c r="CO297" s="107"/>
      <c r="CP297" s="107"/>
      <c r="CQ297" s="108"/>
      <c r="CR297" s="108"/>
      <c r="CS297" s="108"/>
      <c r="CT297" s="108"/>
      <c r="CU297" s="108"/>
      <c r="CV297" s="108"/>
      <c r="CW297" s="108"/>
      <c r="CX297" s="108"/>
      <c r="CY297" s="108"/>
      <c r="CZ297" s="108"/>
      <c r="DA297" s="108"/>
      <c r="DB297" s="108"/>
      <c r="DC297" s="108"/>
      <c r="DD297" s="108"/>
      <c r="DE297" s="108"/>
      <c r="DF297" s="108"/>
      <c r="DG297" s="108"/>
      <c r="DH297" s="108"/>
      <c r="DI297" s="108"/>
      <c r="DJ297" s="108"/>
      <c r="DK297" s="108"/>
      <c r="DL297" s="103"/>
      <c r="DM297" s="103"/>
      <c r="DN297" s="103"/>
    </row>
    <row r="298" spans="1:118" s="104" customFormat="1" ht="13.35" hidden="1" customHeight="1">
      <c r="A298" s="96" t="s">
        <v>12</v>
      </c>
      <c r="B298" s="96" t="s">
        <v>13</v>
      </c>
      <c r="C298" s="269" t="s">
        <v>14</v>
      </c>
      <c r="D298" s="281"/>
      <c r="E298" s="157" t="s">
        <v>400</v>
      </c>
      <c r="F298" s="161" t="s">
        <v>410</v>
      </c>
      <c r="G298" s="102"/>
      <c r="H298" s="109" t="s">
        <v>94</v>
      </c>
      <c r="I298" s="232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337"/>
      <c r="AQ298" s="108"/>
      <c r="AR298" s="107"/>
      <c r="AS298" s="337"/>
      <c r="AT298" s="107"/>
      <c r="AU298" s="108"/>
      <c r="AV298" s="108"/>
      <c r="AW298" s="107"/>
      <c r="AX298" s="108"/>
      <c r="AY298" s="108"/>
      <c r="AZ298" s="108"/>
      <c r="BA298" s="107"/>
      <c r="BB298" s="107"/>
      <c r="BC298" s="107"/>
      <c r="BD298" s="108"/>
      <c r="BE298" s="108"/>
      <c r="BF298" s="107"/>
      <c r="BG298" s="107"/>
      <c r="BH298" s="107"/>
      <c r="BI298" s="108"/>
      <c r="BJ298" s="107"/>
      <c r="BK298" s="123"/>
      <c r="BL298" s="108"/>
      <c r="BM298" s="107"/>
      <c r="BN298" s="107"/>
      <c r="BO298" s="107"/>
      <c r="BP298" s="107"/>
      <c r="BQ298" s="107"/>
      <c r="BR298" s="107"/>
      <c r="BS298" s="107"/>
      <c r="BT298" s="107"/>
      <c r="BU298" s="107"/>
      <c r="BV298" s="107"/>
      <c r="BW298" s="107"/>
      <c r="BX298" s="107">
        <v>22.8</v>
      </c>
      <c r="BY298" s="108"/>
      <c r="BZ298" s="108"/>
      <c r="CA298" s="107"/>
      <c r="CB298" s="107"/>
      <c r="CC298" s="108"/>
      <c r="CD298" s="107">
        <v>23.1</v>
      </c>
      <c r="CE298" s="107"/>
      <c r="CF298" s="108"/>
      <c r="CG298" s="108"/>
      <c r="CH298" s="107"/>
      <c r="CI298" s="107">
        <v>24.4</v>
      </c>
      <c r="CJ298" s="107"/>
      <c r="CK298" s="107"/>
      <c r="CL298" s="107"/>
      <c r="CM298" s="108"/>
      <c r="CN298" s="108"/>
      <c r="CO298" s="107"/>
      <c r="CP298" s="107"/>
      <c r="CQ298" s="108"/>
      <c r="CR298" s="108"/>
      <c r="CS298" s="108"/>
      <c r="CT298" s="108"/>
      <c r="CU298" s="108"/>
      <c r="CV298" s="108"/>
      <c r="CW298" s="108"/>
      <c r="CX298" s="108"/>
      <c r="CY298" s="108"/>
      <c r="CZ298" s="108"/>
      <c r="DA298" s="108"/>
      <c r="DB298" s="108"/>
      <c r="DC298" s="108"/>
      <c r="DD298" s="108"/>
      <c r="DE298" s="108"/>
      <c r="DF298" s="108"/>
      <c r="DG298" s="108"/>
      <c r="DH298" s="108"/>
      <c r="DI298" s="108"/>
      <c r="DJ298" s="108"/>
      <c r="DK298" s="108"/>
      <c r="DL298" s="103"/>
      <c r="DM298" s="103"/>
      <c r="DN298" s="103"/>
    </row>
    <row r="299" spans="1:118" ht="13.35" customHeight="1">
      <c r="A299" s="91" t="s">
        <v>12</v>
      </c>
      <c r="B299" s="91" t="s">
        <v>13</v>
      </c>
      <c r="C299" s="267" t="s">
        <v>14</v>
      </c>
      <c r="D299" s="279">
        <v>43.76</v>
      </c>
      <c r="E299" s="155" t="s">
        <v>400</v>
      </c>
      <c r="F299" s="160" t="s">
        <v>411</v>
      </c>
      <c r="G299" s="6">
        <v>24</v>
      </c>
      <c r="H299" s="5" t="s">
        <v>94</v>
      </c>
      <c r="I299" s="23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>
        <v>13.8</v>
      </c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>
        <v>17.7</v>
      </c>
      <c r="AO299" s="61"/>
      <c r="AP299" s="332"/>
      <c r="AQ299" s="1"/>
      <c r="AR299" s="61"/>
      <c r="AS299" s="332"/>
      <c r="AT299" s="61" t="s">
        <v>412</v>
      </c>
      <c r="AU299" s="1"/>
      <c r="AV299" s="1"/>
      <c r="AW299" s="61"/>
      <c r="AX299" s="1"/>
      <c r="AY299" s="1"/>
      <c r="AZ299" s="1"/>
      <c r="BA299" s="61">
        <v>20.3</v>
      </c>
      <c r="BB299" s="61"/>
      <c r="BC299" s="61"/>
      <c r="BD299" s="1"/>
      <c r="BE299" s="1"/>
      <c r="BF299" s="61"/>
      <c r="BG299" s="61"/>
      <c r="BH299" s="61"/>
      <c r="BI299" s="67">
        <v>23.6</v>
      </c>
      <c r="BJ299" s="61"/>
      <c r="BK299" s="67"/>
      <c r="BL299" s="1"/>
      <c r="BM299" s="61"/>
      <c r="BN299" s="67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1"/>
      <c r="BZ299" s="1"/>
      <c r="CA299" s="61"/>
      <c r="CB299" s="61"/>
      <c r="CC299" s="1"/>
      <c r="CD299" s="61"/>
      <c r="CE299" s="61"/>
      <c r="CF299" s="1"/>
      <c r="CG299" s="1"/>
      <c r="CH299" s="61"/>
      <c r="CI299" s="61"/>
      <c r="CJ299" s="61"/>
      <c r="CK299" s="61"/>
      <c r="CL299" s="61"/>
      <c r="CM299" s="1"/>
      <c r="CN299" s="1"/>
      <c r="CO299" s="6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8"/>
      <c r="DM299" s="8"/>
      <c r="DN299" s="8"/>
    </row>
    <row r="300" spans="1:118" ht="13.35" customHeight="1">
      <c r="A300" s="91" t="s">
        <v>12</v>
      </c>
      <c r="B300" s="91" t="s">
        <v>13</v>
      </c>
      <c r="C300" s="267" t="s">
        <v>14</v>
      </c>
      <c r="D300" s="279"/>
      <c r="E300" s="155" t="s">
        <v>400</v>
      </c>
      <c r="F300" s="160" t="s">
        <v>413</v>
      </c>
      <c r="G300" s="6">
        <v>24</v>
      </c>
      <c r="H300" s="5" t="s">
        <v>94</v>
      </c>
      <c r="I300" s="23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332"/>
      <c r="AQ300" s="1"/>
      <c r="AR300" s="61"/>
      <c r="AS300" s="332"/>
      <c r="AT300" s="61"/>
      <c r="AU300" s="1"/>
      <c r="AV300" s="1"/>
      <c r="AW300" s="61"/>
      <c r="AX300" s="1"/>
      <c r="AY300" s="1"/>
      <c r="AZ300" s="1"/>
      <c r="BA300" s="61"/>
      <c r="BB300" s="61"/>
      <c r="BC300" s="61"/>
      <c r="BD300" s="1"/>
      <c r="BE300" s="1"/>
      <c r="BF300" s="61"/>
      <c r="BG300" s="61"/>
      <c r="BH300" s="61"/>
      <c r="BI300" s="1"/>
      <c r="BJ300" s="61"/>
      <c r="BK300" s="67"/>
      <c r="BL300" s="1"/>
      <c r="BM300" s="61"/>
      <c r="BN300" s="61"/>
      <c r="BO300" s="61">
        <v>24</v>
      </c>
      <c r="BP300" s="61"/>
      <c r="BQ300" s="61"/>
      <c r="BR300" s="61"/>
      <c r="BS300" s="61"/>
      <c r="BT300" s="61"/>
      <c r="BU300" s="61"/>
      <c r="BV300" s="61"/>
      <c r="BW300" s="61"/>
      <c r="BX300" s="61"/>
      <c r="BY300" s="1"/>
      <c r="BZ300" s="1"/>
      <c r="CA300" s="61" t="s">
        <v>414</v>
      </c>
      <c r="CB300" s="61"/>
      <c r="CC300" s="1"/>
      <c r="CD300" s="61"/>
      <c r="CE300" s="61"/>
      <c r="CF300" s="1"/>
      <c r="CG300" s="1"/>
      <c r="CH300" s="61"/>
      <c r="CI300" s="61"/>
      <c r="CJ300" s="61"/>
      <c r="CK300" s="61"/>
      <c r="CL300" s="61"/>
      <c r="CM300" s="1"/>
      <c r="CN300" s="1"/>
      <c r="CO300" s="6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8"/>
      <c r="DM300" s="8"/>
      <c r="DN300" s="8"/>
    </row>
    <row r="301" spans="1:118" ht="13.35" customHeight="1">
      <c r="A301" s="91" t="s">
        <v>12</v>
      </c>
      <c r="B301" s="91" t="s">
        <v>13</v>
      </c>
      <c r="C301" s="267" t="s">
        <v>14</v>
      </c>
      <c r="D301" s="279"/>
      <c r="E301" s="155" t="s">
        <v>400</v>
      </c>
      <c r="F301" s="160" t="s">
        <v>415</v>
      </c>
      <c r="G301" s="6">
        <v>24</v>
      </c>
      <c r="H301" s="5" t="s">
        <v>94</v>
      </c>
      <c r="I301" s="23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332"/>
      <c r="AQ301" s="1"/>
      <c r="AR301" s="61"/>
      <c r="AS301" s="332"/>
      <c r="AT301" s="61"/>
      <c r="AU301" s="1"/>
      <c r="AV301" s="1"/>
      <c r="AW301" s="61"/>
      <c r="AX301" s="1"/>
      <c r="AY301" s="1"/>
      <c r="AZ301" s="1"/>
      <c r="BA301" s="61"/>
      <c r="BB301" s="61"/>
      <c r="BC301" s="61"/>
      <c r="BD301" s="1"/>
      <c r="BE301" s="1"/>
      <c r="BF301" s="61"/>
      <c r="BG301" s="61"/>
      <c r="BH301" s="61"/>
      <c r="BI301" s="1"/>
      <c r="BJ301" s="61"/>
      <c r="BK301" s="67"/>
      <c r="BL301" s="1"/>
      <c r="BM301" s="61"/>
      <c r="BN301" s="61"/>
      <c r="BO301" s="61" t="s">
        <v>300</v>
      </c>
      <c r="BP301" s="61"/>
      <c r="BQ301" s="61"/>
      <c r="BR301" s="61"/>
      <c r="BS301" s="61"/>
      <c r="BT301" s="61"/>
      <c r="BU301" s="61"/>
      <c r="BV301" s="61"/>
      <c r="BW301" s="61"/>
      <c r="BX301" s="61"/>
      <c r="BY301" s="1"/>
      <c r="BZ301" s="1"/>
      <c r="CA301" s="61" t="s">
        <v>416</v>
      </c>
      <c r="CB301" s="61"/>
      <c r="CC301" s="1"/>
      <c r="CD301" s="61"/>
      <c r="CE301" s="61"/>
      <c r="CF301" s="1"/>
      <c r="CG301" s="1"/>
      <c r="CH301" s="61"/>
      <c r="CI301" s="61"/>
      <c r="CJ301" s="61"/>
      <c r="CK301" s="61"/>
      <c r="CL301" s="61"/>
      <c r="CM301" s="1"/>
      <c r="CN301" s="1"/>
      <c r="CO301" s="6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8"/>
      <c r="DM301" s="8"/>
      <c r="DN301" s="8"/>
    </row>
    <row r="302" spans="1:118" ht="13.35" hidden="1" customHeight="1">
      <c r="A302" s="93" t="s">
        <v>12</v>
      </c>
      <c r="B302" s="96" t="s">
        <v>13</v>
      </c>
      <c r="C302" s="268" t="s">
        <v>14</v>
      </c>
      <c r="D302" s="280">
        <v>49.52</v>
      </c>
      <c r="E302" s="156" t="s">
        <v>400</v>
      </c>
      <c r="F302" s="165" t="s">
        <v>417</v>
      </c>
      <c r="G302" s="7">
        <v>24.5</v>
      </c>
      <c r="H302" s="4" t="s">
        <v>418</v>
      </c>
      <c r="I302" s="229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>
        <v>17.8</v>
      </c>
      <c r="AO302" s="60"/>
      <c r="AP302" s="343"/>
      <c r="AQ302" s="33"/>
      <c r="AR302" s="60"/>
      <c r="AS302" s="343"/>
      <c r="AT302" s="60"/>
      <c r="AU302" s="33"/>
      <c r="AV302" s="33"/>
      <c r="AW302" s="60">
        <v>20</v>
      </c>
      <c r="AX302" s="33"/>
      <c r="AY302" s="33"/>
      <c r="AZ302" s="33"/>
      <c r="BA302" s="60"/>
      <c r="BB302" s="60"/>
      <c r="BC302" s="60"/>
      <c r="BD302" s="33">
        <v>21.4</v>
      </c>
      <c r="BE302" s="33"/>
      <c r="BF302" s="60"/>
      <c r="BG302" s="60"/>
      <c r="BH302" s="60"/>
      <c r="BI302" s="33"/>
      <c r="BJ302" s="60"/>
      <c r="BK302" s="66"/>
      <c r="BL302" s="33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33"/>
      <c r="BZ302" s="33"/>
      <c r="CA302" s="60"/>
      <c r="CB302" s="60"/>
      <c r="CC302" s="33"/>
      <c r="CD302" s="33"/>
      <c r="CE302" s="60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4"/>
      <c r="DM302" s="34"/>
      <c r="DN302" s="34"/>
    </row>
    <row r="303" spans="1:118" s="35" customFormat="1" ht="13.35" hidden="1" customHeight="1">
      <c r="A303" s="93" t="s">
        <v>12</v>
      </c>
      <c r="B303" s="96" t="s">
        <v>13</v>
      </c>
      <c r="C303" s="268" t="s">
        <v>14</v>
      </c>
      <c r="D303" s="280"/>
      <c r="E303" s="156" t="s">
        <v>400</v>
      </c>
      <c r="F303" s="165" t="s">
        <v>419</v>
      </c>
      <c r="G303" s="7">
        <v>24.5</v>
      </c>
      <c r="H303" s="4" t="s">
        <v>418</v>
      </c>
      <c r="I303" s="229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343"/>
      <c r="AQ303" s="33"/>
      <c r="AR303" s="60"/>
      <c r="AS303" s="343"/>
      <c r="AT303" s="60"/>
      <c r="AU303" s="33"/>
      <c r="AV303" s="33"/>
      <c r="AW303" s="60"/>
      <c r="AX303" s="33"/>
      <c r="AY303" s="33"/>
      <c r="AZ303" s="33"/>
      <c r="BA303" s="60"/>
      <c r="BB303" s="60"/>
      <c r="BC303" s="60"/>
      <c r="BD303" s="33"/>
      <c r="BE303" s="33"/>
      <c r="BF303" s="60"/>
      <c r="BG303" s="60"/>
      <c r="BH303" s="60"/>
      <c r="BI303" s="33"/>
      <c r="BJ303" s="60"/>
      <c r="BK303" s="66"/>
      <c r="BL303" s="33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33"/>
      <c r="BZ303" s="33"/>
      <c r="CA303" s="60"/>
      <c r="CB303" s="60"/>
      <c r="CC303" s="33"/>
      <c r="CD303" s="33"/>
      <c r="CE303" s="60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4"/>
      <c r="DM303" s="34"/>
      <c r="DN303" s="34"/>
    </row>
    <row r="304" spans="1:118" s="35" customFormat="1" ht="13.35" hidden="1" customHeight="1">
      <c r="A304" s="93" t="s">
        <v>12</v>
      </c>
      <c r="B304" s="96" t="s">
        <v>13</v>
      </c>
      <c r="C304" s="268" t="s">
        <v>14</v>
      </c>
      <c r="D304" s="280"/>
      <c r="E304" s="156" t="s">
        <v>400</v>
      </c>
      <c r="F304" s="165" t="s">
        <v>420</v>
      </c>
      <c r="G304" s="7">
        <v>24.5</v>
      </c>
      <c r="H304" s="4" t="s">
        <v>418</v>
      </c>
      <c r="I304" s="229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>
        <v>15.1</v>
      </c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343"/>
      <c r="AQ304" s="33"/>
      <c r="AR304" s="60"/>
      <c r="AS304" s="343"/>
      <c r="AT304" s="60"/>
      <c r="AU304" s="33"/>
      <c r="AV304" s="33"/>
      <c r="AW304" s="60"/>
      <c r="AX304" s="33"/>
      <c r="AY304" s="33"/>
      <c r="AZ304" s="33"/>
      <c r="BA304" s="60"/>
      <c r="BB304" s="60"/>
      <c r="BC304" s="60"/>
      <c r="BD304" s="33"/>
      <c r="BE304" s="33"/>
      <c r="BF304" s="60"/>
      <c r="BG304" s="60"/>
      <c r="BH304" s="60"/>
      <c r="BI304" s="33"/>
      <c r="BJ304" s="60"/>
      <c r="BK304" s="66"/>
      <c r="BL304" s="33"/>
      <c r="BM304" s="66">
        <v>23.9</v>
      </c>
      <c r="BN304" s="60"/>
      <c r="BO304" s="66"/>
      <c r="BP304" s="60"/>
      <c r="BQ304" s="60"/>
      <c r="BR304" s="60"/>
      <c r="BS304" s="60"/>
      <c r="BT304" s="60"/>
      <c r="BU304" s="60"/>
      <c r="BV304" s="60"/>
      <c r="BW304" s="60"/>
      <c r="BX304" s="60"/>
      <c r="BY304" s="33"/>
      <c r="BZ304" s="33"/>
      <c r="CA304" s="60"/>
      <c r="CB304" s="60"/>
      <c r="CC304" s="33"/>
      <c r="CD304" s="33"/>
      <c r="CE304" s="60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4"/>
      <c r="DM304" s="34"/>
      <c r="DN304" s="34"/>
    </row>
    <row r="305" spans="1:118" s="35" customFormat="1" ht="13.35" hidden="1" customHeight="1">
      <c r="A305" s="93" t="s">
        <v>12</v>
      </c>
      <c r="B305" s="96" t="s">
        <v>13</v>
      </c>
      <c r="C305" s="268" t="s">
        <v>14</v>
      </c>
      <c r="D305" s="280"/>
      <c r="E305" s="156" t="s">
        <v>400</v>
      </c>
      <c r="F305" s="165" t="s">
        <v>421</v>
      </c>
      <c r="G305" s="7">
        <v>24.5</v>
      </c>
      <c r="H305" s="4" t="s">
        <v>418</v>
      </c>
      <c r="I305" s="229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>
        <v>15</v>
      </c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343"/>
      <c r="AQ305" s="33"/>
      <c r="AR305" s="60"/>
      <c r="AS305" s="343"/>
      <c r="AT305" s="60"/>
      <c r="AU305" s="33"/>
      <c r="AV305" s="33"/>
      <c r="AW305" s="60"/>
      <c r="AX305" s="33"/>
      <c r="AY305" s="33"/>
      <c r="AZ305" s="33"/>
      <c r="BA305" s="60"/>
      <c r="BB305" s="60"/>
      <c r="BC305" s="60"/>
      <c r="BD305" s="33"/>
      <c r="BE305" s="33"/>
      <c r="BF305" s="60"/>
      <c r="BG305" s="60"/>
      <c r="BH305" s="60"/>
      <c r="BI305" s="33"/>
      <c r="BJ305" s="60"/>
      <c r="BK305" s="66"/>
      <c r="BL305" s="33"/>
      <c r="BM305" s="66">
        <v>23.5</v>
      </c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33"/>
      <c r="BZ305" s="33"/>
      <c r="CA305" s="60"/>
      <c r="CB305" s="60"/>
      <c r="CC305" s="33"/>
      <c r="CD305" s="33"/>
      <c r="CE305" s="60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4"/>
      <c r="DM305" s="34"/>
      <c r="DN305" s="34"/>
    </row>
    <row r="306" spans="1:118" s="35" customFormat="1" ht="13.35" hidden="1" customHeight="1">
      <c r="A306" s="93" t="s">
        <v>12</v>
      </c>
      <c r="B306" s="96" t="s">
        <v>13</v>
      </c>
      <c r="C306" s="268" t="s">
        <v>14</v>
      </c>
      <c r="D306" s="280"/>
      <c r="E306" s="156" t="s">
        <v>400</v>
      </c>
      <c r="F306" s="165" t="s">
        <v>422</v>
      </c>
      <c r="G306" s="7">
        <v>24.5</v>
      </c>
      <c r="H306" s="4" t="s">
        <v>418</v>
      </c>
      <c r="I306" s="229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343"/>
      <c r="AQ306" s="33"/>
      <c r="AR306" s="60"/>
      <c r="AS306" s="343"/>
      <c r="AT306" s="60"/>
      <c r="AU306" s="33"/>
      <c r="AV306" s="33"/>
      <c r="AW306" s="60"/>
      <c r="AX306" s="33"/>
      <c r="AY306" s="33"/>
      <c r="AZ306" s="33"/>
      <c r="BA306" s="60"/>
      <c r="BB306" s="60"/>
      <c r="BC306" s="60"/>
      <c r="BD306" s="33"/>
      <c r="BE306" s="33"/>
      <c r="BF306" s="60"/>
      <c r="BG306" s="60"/>
      <c r="BH306" s="60"/>
      <c r="BI306" s="33"/>
      <c r="BJ306" s="60"/>
      <c r="BK306" s="66"/>
      <c r="BL306" s="33"/>
      <c r="BM306" s="60"/>
      <c r="BN306" s="60"/>
      <c r="BO306" s="66"/>
      <c r="BP306" s="60"/>
      <c r="BQ306" s="60"/>
      <c r="BR306" s="60"/>
      <c r="BS306" s="60"/>
      <c r="BT306" s="60"/>
      <c r="BU306" s="60"/>
      <c r="BV306" s="60"/>
      <c r="BW306" s="60"/>
      <c r="BX306" s="60"/>
      <c r="BY306" s="33"/>
      <c r="BZ306" s="33"/>
      <c r="CA306" s="60"/>
      <c r="CB306" s="60"/>
      <c r="CC306" s="33"/>
      <c r="CD306" s="33"/>
      <c r="CE306" s="60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4"/>
      <c r="DM306" s="34"/>
      <c r="DN306" s="34"/>
    </row>
    <row r="307" spans="1:118" s="35" customFormat="1" ht="12.95" hidden="1" customHeight="1">
      <c r="A307" s="91" t="s">
        <v>13</v>
      </c>
      <c r="B307" s="91" t="s">
        <v>13</v>
      </c>
      <c r="C307" s="267" t="s">
        <v>14</v>
      </c>
      <c r="D307" s="279">
        <v>7.08</v>
      </c>
      <c r="E307" s="155" t="s">
        <v>400</v>
      </c>
      <c r="F307" s="160" t="s">
        <v>423</v>
      </c>
      <c r="G307" s="6">
        <v>24.5</v>
      </c>
      <c r="H307" s="5" t="s">
        <v>16</v>
      </c>
      <c r="I307" s="23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>
        <v>14.3</v>
      </c>
      <c r="AE307" s="61"/>
      <c r="AF307" s="61"/>
      <c r="AG307" s="61"/>
      <c r="AH307" s="61"/>
      <c r="AI307" s="61"/>
      <c r="AJ307" s="61"/>
      <c r="AK307" s="61"/>
      <c r="AL307" s="61"/>
      <c r="AM307" s="61"/>
      <c r="AN307" s="61">
        <v>18.2</v>
      </c>
      <c r="AO307" s="61"/>
      <c r="AP307" s="332"/>
      <c r="AQ307" s="1"/>
      <c r="AR307" s="61"/>
      <c r="AS307" s="332"/>
      <c r="AT307" s="61"/>
      <c r="AU307" s="1"/>
      <c r="AV307" s="1"/>
      <c r="AW307" s="61">
        <v>20.5</v>
      </c>
      <c r="AX307" s="1"/>
      <c r="AY307" s="1"/>
      <c r="AZ307" s="1"/>
      <c r="BA307" s="61"/>
      <c r="BB307" s="61"/>
      <c r="BC307" s="61"/>
      <c r="BD307" s="1">
        <v>21</v>
      </c>
      <c r="BE307" s="1"/>
      <c r="BF307" s="61"/>
      <c r="BG307" s="61"/>
      <c r="BH307" s="61"/>
      <c r="BI307" s="1"/>
      <c r="BJ307" s="61"/>
      <c r="BK307" s="67"/>
      <c r="BL307" s="1"/>
      <c r="BM307" s="61"/>
      <c r="BN307" s="61">
        <v>23.7</v>
      </c>
      <c r="BO307" s="61"/>
      <c r="BP307" s="61"/>
      <c r="BQ307" s="61"/>
      <c r="BR307" s="61"/>
      <c r="BS307" s="61"/>
      <c r="BT307" s="61"/>
      <c r="BU307" s="61"/>
      <c r="BV307" s="61"/>
      <c r="BW307" s="61"/>
      <c r="BX307" s="1"/>
      <c r="BY307" s="1"/>
      <c r="BZ307" s="1"/>
      <c r="CA307" s="61"/>
      <c r="CB307" s="1"/>
      <c r="CC307" s="1"/>
      <c r="CD307" s="1"/>
      <c r="CE307" s="6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8"/>
      <c r="DM307" s="8"/>
      <c r="DN307" s="8"/>
    </row>
    <row r="308" spans="1:118" s="104" customFormat="1" ht="13.35" hidden="1" customHeight="1">
      <c r="A308" s="96" t="s">
        <v>12</v>
      </c>
      <c r="B308" s="96"/>
      <c r="C308" s="269" t="s">
        <v>20</v>
      </c>
      <c r="D308" s="281">
        <v>9.5500000000000007</v>
      </c>
      <c r="E308" s="183" t="s">
        <v>400</v>
      </c>
      <c r="F308" s="184" t="s">
        <v>424</v>
      </c>
      <c r="G308" s="185"/>
      <c r="H308" s="186" t="s">
        <v>270</v>
      </c>
      <c r="I308" s="237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>
        <v>17.600000000000001</v>
      </c>
      <c r="AP308" s="336"/>
      <c r="AQ308" s="144"/>
      <c r="AR308" s="143"/>
      <c r="AS308" s="336" t="s">
        <v>425</v>
      </c>
      <c r="AT308" s="143"/>
      <c r="AU308" s="144"/>
      <c r="AV308" s="144"/>
      <c r="AW308" s="143"/>
      <c r="AX308" s="144"/>
      <c r="AY308" s="144"/>
      <c r="AZ308" s="144"/>
      <c r="BA308" s="143">
        <v>21</v>
      </c>
      <c r="BB308" s="143"/>
      <c r="BC308" s="143"/>
      <c r="BD308" s="144"/>
      <c r="BE308" s="144"/>
      <c r="BF308" s="143"/>
      <c r="BG308" s="143">
        <v>23</v>
      </c>
      <c r="BH308" s="143"/>
      <c r="BI308" s="144"/>
      <c r="BJ308" s="143"/>
      <c r="BK308" s="429"/>
      <c r="BL308" s="144"/>
      <c r="BM308" s="143"/>
      <c r="BN308" s="143"/>
      <c r="BO308" s="143"/>
      <c r="BP308" s="143">
        <v>26.6</v>
      </c>
      <c r="BQ308" s="143"/>
      <c r="BR308" s="143"/>
      <c r="BS308" s="143"/>
      <c r="BT308" s="143"/>
      <c r="BU308" s="143"/>
      <c r="BV308" s="143"/>
      <c r="BW308" s="143"/>
      <c r="BX308" s="143"/>
      <c r="BY308" s="144"/>
      <c r="BZ308" s="144"/>
      <c r="CA308" s="143"/>
      <c r="CB308" s="143"/>
      <c r="CC308" s="144"/>
      <c r="CD308" s="144"/>
      <c r="CE308" s="143"/>
      <c r="CF308" s="144"/>
      <c r="CG308" s="144"/>
      <c r="CH308" s="144"/>
      <c r="CI308" s="144"/>
      <c r="CJ308" s="144"/>
      <c r="CK308" s="144"/>
      <c r="CL308" s="144"/>
      <c r="CM308" s="144"/>
      <c r="CN308" s="144"/>
      <c r="CO308" s="144"/>
      <c r="CP308" s="144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  <c r="DD308" s="144"/>
      <c r="DE308" s="144"/>
      <c r="DF308" s="144"/>
      <c r="DG308" s="144"/>
      <c r="DH308" s="144"/>
      <c r="DI308" s="144"/>
      <c r="DJ308" s="144"/>
      <c r="DK308" s="144"/>
      <c r="DL308" s="103"/>
      <c r="DM308" s="103"/>
      <c r="DN308" s="103"/>
    </row>
    <row r="309" spans="1:118" ht="13.35" hidden="1" customHeight="1">
      <c r="A309" s="90"/>
      <c r="B309" s="90"/>
      <c r="C309" s="266"/>
      <c r="D309" s="277"/>
      <c r="E309" s="278" t="s">
        <v>426</v>
      </c>
      <c r="F309" s="141" t="s">
        <v>427</v>
      </c>
      <c r="G309" s="169"/>
      <c r="H309" s="170" t="s">
        <v>11</v>
      </c>
      <c r="I309" s="225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2"/>
      <c r="AQ309" s="172"/>
      <c r="AR309" s="171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1"/>
      <c r="BC309" s="171"/>
      <c r="BD309" s="172"/>
      <c r="BE309" s="172"/>
      <c r="BF309" s="171"/>
      <c r="BG309" s="171"/>
      <c r="BH309" s="171"/>
      <c r="BI309" s="171"/>
      <c r="BJ309" s="171"/>
      <c r="BK309" s="427"/>
      <c r="BL309" s="172"/>
      <c r="BM309" s="171"/>
      <c r="BN309" s="171"/>
      <c r="BO309" s="171"/>
      <c r="BP309" s="171"/>
      <c r="BQ309" s="171"/>
      <c r="BR309" s="171"/>
      <c r="BS309" s="171"/>
      <c r="BT309" s="171"/>
      <c r="BU309" s="171"/>
      <c r="BV309" s="171"/>
      <c r="BW309" s="171"/>
      <c r="BX309" s="171"/>
      <c r="BY309" s="172"/>
      <c r="BZ309" s="172"/>
      <c r="CA309" s="171"/>
      <c r="CB309" s="171"/>
      <c r="CC309" s="171"/>
      <c r="CD309" s="171"/>
      <c r="CE309" s="171"/>
      <c r="CF309" s="172"/>
      <c r="CG309" s="172"/>
      <c r="CH309" s="171"/>
      <c r="CI309" s="171"/>
      <c r="CJ309" s="171"/>
      <c r="CK309" s="171"/>
      <c r="CL309" s="171"/>
      <c r="CM309" s="172"/>
      <c r="CN309" s="172"/>
      <c r="CO309" s="171"/>
      <c r="CP309" s="171"/>
      <c r="CQ309" s="172"/>
      <c r="CR309" s="172"/>
      <c r="CS309" s="172"/>
      <c r="CT309" s="172"/>
      <c r="CU309" s="172"/>
      <c r="CV309" s="172"/>
      <c r="CW309" s="172"/>
      <c r="CX309" s="172"/>
      <c r="CY309" s="172"/>
      <c r="CZ309" s="172"/>
      <c r="DA309" s="172"/>
      <c r="DB309" s="172"/>
      <c r="DC309" s="172"/>
      <c r="DD309" s="172"/>
      <c r="DE309" s="172"/>
      <c r="DF309" s="172"/>
      <c r="DG309" s="172"/>
      <c r="DH309" s="172"/>
      <c r="DI309" s="172"/>
      <c r="DJ309" s="172"/>
      <c r="DK309" s="172"/>
      <c r="DL309" s="8"/>
      <c r="DM309" s="8"/>
      <c r="DN309" s="8"/>
    </row>
    <row r="310" spans="1:118" ht="13.35" hidden="1" customHeight="1">
      <c r="A310" s="91"/>
      <c r="B310" s="91"/>
      <c r="C310" s="267" t="s">
        <v>31</v>
      </c>
      <c r="D310" s="285">
        <v>87.33</v>
      </c>
      <c r="E310" s="188" t="s">
        <v>426</v>
      </c>
      <c r="F310" s="132" t="s">
        <v>428</v>
      </c>
      <c r="G310" s="50">
        <v>24</v>
      </c>
      <c r="H310" s="55" t="s">
        <v>22</v>
      </c>
      <c r="I310" s="228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18"/>
      <c r="AQ310" s="18"/>
      <c r="AR310" s="64"/>
      <c r="AS310" s="18"/>
      <c r="AT310" s="18"/>
      <c r="AU310" s="18"/>
      <c r="AV310" s="18"/>
      <c r="AW310" s="18"/>
      <c r="AX310" s="18"/>
      <c r="AY310" s="18"/>
      <c r="AZ310" s="18"/>
      <c r="BA310" s="18"/>
      <c r="BB310" s="64"/>
      <c r="BC310" s="64"/>
      <c r="BD310" s="18"/>
      <c r="BE310" s="18"/>
      <c r="BF310" s="64"/>
      <c r="BG310" s="64"/>
      <c r="BH310" s="64"/>
      <c r="BI310" s="64"/>
      <c r="BJ310" s="64"/>
      <c r="BK310" s="65"/>
      <c r="BL310" s="18"/>
      <c r="BM310" s="64"/>
      <c r="BN310" s="64"/>
      <c r="BO310" s="64">
        <v>20</v>
      </c>
      <c r="BP310" s="64"/>
      <c r="BQ310" s="64"/>
      <c r="BR310" s="64"/>
      <c r="BS310" s="64"/>
      <c r="BT310" s="64"/>
      <c r="BU310" s="64"/>
      <c r="BV310" s="64"/>
      <c r="BW310" s="64"/>
      <c r="BX310" s="64"/>
      <c r="BY310" s="18"/>
      <c r="BZ310" s="18"/>
      <c r="CA310" s="64"/>
      <c r="CB310" s="64"/>
      <c r="CC310" s="64"/>
      <c r="CD310" s="64"/>
      <c r="CE310" s="456">
        <v>22.1</v>
      </c>
      <c r="CF310" s="18"/>
      <c r="CG310" s="18"/>
      <c r="CH310" s="64"/>
      <c r="CI310" s="64"/>
      <c r="CJ310" s="64"/>
      <c r="CK310" s="64"/>
      <c r="CL310" s="64" t="s">
        <v>429</v>
      </c>
      <c r="CM310" s="18"/>
      <c r="CN310" s="18"/>
      <c r="CO310" s="64"/>
      <c r="CP310" s="64"/>
      <c r="CQ310" s="18"/>
      <c r="CR310" s="18"/>
      <c r="CS310" s="18"/>
      <c r="CT310" s="18"/>
      <c r="CU310" s="18"/>
      <c r="CV310" s="18">
        <v>23.1</v>
      </c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8"/>
      <c r="DM310" s="8"/>
      <c r="DN310" s="8"/>
    </row>
    <row r="311" spans="1:118" ht="13.35" hidden="1" customHeight="1">
      <c r="A311" s="91"/>
      <c r="B311" s="91"/>
      <c r="C311" s="267" t="s">
        <v>31</v>
      </c>
      <c r="D311" s="285"/>
      <c r="E311" s="155" t="s">
        <v>426</v>
      </c>
      <c r="F311" s="12" t="s">
        <v>430</v>
      </c>
      <c r="G311" s="6">
        <v>24</v>
      </c>
      <c r="H311" s="5" t="s">
        <v>22</v>
      </c>
      <c r="I311" s="23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1"/>
      <c r="AQ311" s="1"/>
      <c r="AR311" s="61"/>
      <c r="AS311" s="1"/>
      <c r="AT311" s="1"/>
      <c r="AU311" s="1"/>
      <c r="AV311" s="1"/>
      <c r="AW311" s="1"/>
      <c r="AX311" s="1"/>
      <c r="AY311" s="1"/>
      <c r="AZ311" s="1"/>
      <c r="BA311" s="1"/>
      <c r="BB311" s="61"/>
      <c r="BC311" s="61"/>
      <c r="BD311" s="1"/>
      <c r="BE311" s="1"/>
      <c r="BF311" s="61"/>
      <c r="BG311" s="61"/>
      <c r="BH311" s="61"/>
      <c r="BI311" s="61"/>
      <c r="BJ311" s="61"/>
      <c r="BK311" s="67"/>
      <c r="BL311" s="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1"/>
      <c r="BZ311" s="1"/>
      <c r="CA311" s="61"/>
      <c r="CB311" s="61"/>
      <c r="CC311" s="61"/>
      <c r="CD311" s="61"/>
      <c r="CE311" s="61"/>
      <c r="CF311" s="1"/>
      <c r="CG311" s="1"/>
      <c r="CH311" s="61"/>
      <c r="CI311" s="61"/>
      <c r="CJ311" s="61"/>
      <c r="CK311" s="61"/>
      <c r="CL311" s="61">
        <v>22</v>
      </c>
      <c r="CM311" s="1"/>
      <c r="CN311" s="1"/>
      <c r="CO311" s="61">
        <v>23.1</v>
      </c>
      <c r="CP311" s="61"/>
      <c r="CQ311" s="1"/>
      <c r="CR311" s="1"/>
      <c r="CS311" s="1"/>
      <c r="CT311" s="1"/>
      <c r="CU311" s="1"/>
      <c r="CV311" s="1">
        <v>23.4</v>
      </c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8"/>
      <c r="DM311" s="8"/>
      <c r="DN311" s="8"/>
    </row>
    <row r="312" spans="1:118" ht="13.35" hidden="1" customHeight="1">
      <c r="A312" s="91"/>
      <c r="B312" s="91"/>
      <c r="C312" s="267" t="s">
        <v>31</v>
      </c>
      <c r="D312" s="285"/>
      <c r="E312" s="155" t="s">
        <v>426</v>
      </c>
      <c r="F312" s="12" t="s">
        <v>431</v>
      </c>
      <c r="G312" s="6">
        <v>24</v>
      </c>
      <c r="H312" s="5" t="s">
        <v>22</v>
      </c>
      <c r="I312" s="23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1"/>
      <c r="AQ312" s="1"/>
      <c r="AR312" s="61"/>
      <c r="AS312" s="1"/>
      <c r="AT312" s="1"/>
      <c r="AU312" s="1"/>
      <c r="AV312" s="1"/>
      <c r="AW312" s="1"/>
      <c r="AX312" s="1"/>
      <c r="AY312" s="1"/>
      <c r="AZ312" s="1"/>
      <c r="BA312" s="1"/>
      <c r="BB312" s="61"/>
      <c r="BC312" s="61"/>
      <c r="BD312" s="1"/>
      <c r="BE312" s="1"/>
      <c r="BF312" s="61"/>
      <c r="BG312" s="61"/>
      <c r="BH312" s="61"/>
      <c r="BI312" s="61"/>
      <c r="BJ312" s="61"/>
      <c r="BK312" s="67"/>
      <c r="BL312" s="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1"/>
      <c r="BZ312" s="1"/>
      <c r="CA312" s="61"/>
      <c r="CB312" s="61"/>
      <c r="CC312" s="61"/>
      <c r="CD312" s="61"/>
      <c r="CE312" s="61"/>
      <c r="CF312" s="1"/>
      <c r="CG312" s="1"/>
      <c r="CH312" s="61"/>
      <c r="CI312" s="61"/>
      <c r="CJ312" s="61"/>
      <c r="CK312" s="61"/>
      <c r="CL312" s="61" t="s">
        <v>432</v>
      </c>
      <c r="CM312" s="1"/>
      <c r="CN312" s="1"/>
      <c r="CO312" s="61">
        <v>22.8</v>
      </c>
      <c r="CP312" s="61"/>
      <c r="CQ312" s="1"/>
      <c r="CR312" s="1"/>
      <c r="CS312" s="1"/>
      <c r="CT312" s="1"/>
      <c r="CU312" s="1"/>
      <c r="CV312" s="1">
        <v>23.1</v>
      </c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8"/>
      <c r="DM312" s="8"/>
      <c r="DN312" s="8"/>
    </row>
    <row r="313" spans="1:118" s="104" customFormat="1" ht="13.35" hidden="1" customHeight="1">
      <c r="A313" s="96"/>
      <c r="B313" s="96"/>
      <c r="C313" s="269" t="s">
        <v>31</v>
      </c>
      <c r="D313" s="281">
        <v>53.76</v>
      </c>
      <c r="E313" s="157" t="s">
        <v>426</v>
      </c>
      <c r="F313" s="161" t="s">
        <v>433</v>
      </c>
      <c r="G313" s="102">
        <v>24</v>
      </c>
      <c r="H313" s="109" t="s">
        <v>22</v>
      </c>
      <c r="I313" s="232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8"/>
      <c r="AQ313" s="108"/>
      <c r="AR313" s="107"/>
      <c r="AS313" s="108"/>
      <c r="AT313" s="108"/>
      <c r="AU313" s="108"/>
      <c r="AV313" s="108"/>
      <c r="AW313" s="108"/>
      <c r="AX313" s="108"/>
      <c r="AY313" s="108"/>
      <c r="AZ313" s="108"/>
      <c r="BA313" s="108"/>
      <c r="BB313" s="107"/>
      <c r="BC313" s="107"/>
      <c r="BD313" s="108"/>
      <c r="BE313" s="108"/>
      <c r="BF313" s="107"/>
      <c r="BG313" s="107"/>
      <c r="BH313" s="107"/>
      <c r="BI313" s="107"/>
      <c r="BJ313" s="107"/>
      <c r="BK313" s="123"/>
      <c r="BL313" s="108"/>
      <c r="BM313" s="107"/>
      <c r="BN313" s="107"/>
      <c r="BO313" s="107">
        <v>20.6</v>
      </c>
      <c r="BP313" s="107"/>
      <c r="BQ313" s="107"/>
      <c r="BR313" s="107"/>
      <c r="BS313" s="107"/>
      <c r="BT313" s="107"/>
      <c r="BU313" s="107"/>
      <c r="BV313" s="107"/>
      <c r="BW313" s="107"/>
      <c r="BX313" s="107"/>
      <c r="BY313" s="108"/>
      <c r="BZ313" s="108"/>
      <c r="CA313" s="107"/>
      <c r="CB313" s="107"/>
      <c r="CC313" s="107"/>
      <c r="CD313" s="107"/>
      <c r="CE313" s="107"/>
      <c r="CF313" s="108"/>
      <c r="CG313" s="108"/>
      <c r="CH313" s="107">
        <v>22.2</v>
      </c>
      <c r="CI313" s="107"/>
      <c r="CJ313" s="107"/>
      <c r="CK313" s="107"/>
      <c r="CL313" s="107"/>
      <c r="CM313" s="108"/>
      <c r="CN313" s="108"/>
      <c r="CO313" s="107"/>
      <c r="CP313" s="107"/>
      <c r="CQ313" s="108"/>
      <c r="CR313" s="108"/>
      <c r="CS313" s="108"/>
      <c r="CT313" s="108"/>
      <c r="CU313" s="108"/>
      <c r="CV313" s="108" t="s">
        <v>434</v>
      </c>
      <c r="CW313" s="108"/>
      <c r="CX313" s="108"/>
      <c r="CY313" s="108"/>
      <c r="CZ313" s="108"/>
      <c r="DA313" s="108"/>
      <c r="DB313" s="108"/>
      <c r="DC313" s="108"/>
      <c r="DD313" s="108"/>
      <c r="DE313" s="108"/>
      <c r="DF313" s="108"/>
      <c r="DG313" s="108"/>
      <c r="DH313" s="108"/>
      <c r="DI313" s="108"/>
      <c r="DJ313" s="108"/>
      <c r="DK313" s="108"/>
      <c r="DL313" s="103"/>
      <c r="DM313" s="103"/>
      <c r="DN313" s="103"/>
    </row>
    <row r="314" spans="1:118" ht="13.35" hidden="1" customHeight="1">
      <c r="A314" s="91"/>
      <c r="B314" s="91" t="s">
        <v>13</v>
      </c>
      <c r="C314" s="267" t="s">
        <v>31</v>
      </c>
      <c r="D314" s="279">
        <v>14.84</v>
      </c>
      <c r="E314" s="155" t="s">
        <v>426</v>
      </c>
      <c r="F314" s="160" t="s">
        <v>435</v>
      </c>
      <c r="G314" s="6">
        <v>24</v>
      </c>
      <c r="H314" s="5" t="s">
        <v>436</v>
      </c>
      <c r="I314" s="23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1"/>
      <c r="AQ314" s="1"/>
      <c r="AR314" s="61"/>
      <c r="AS314" s="1"/>
      <c r="AT314" s="1"/>
      <c r="AU314" s="1"/>
      <c r="AV314" s="1">
        <v>20.2</v>
      </c>
      <c r="AW314" s="1"/>
      <c r="AX314" s="1"/>
      <c r="AY314" s="1"/>
      <c r="AZ314" s="1"/>
      <c r="BA314" s="1"/>
      <c r="BB314" s="61"/>
      <c r="BC314" s="61"/>
      <c r="BD314" s="1"/>
      <c r="BE314" s="1"/>
      <c r="BF314" s="61"/>
      <c r="BG314" s="61"/>
      <c r="BH314" s="61"/>
      <c r="BI314" s="61">
        <v>22.3</v>
      </c>
      <c r="BJ314" s="61"/>
      <c r="BK314" s="67"/>
      <c r="BL314" s="1"/>
      <c r="BM314" s="61"/>
      <c r="BN314" s="61"/>
      <c r="BO314" s="61"/>
      <c r="BP314" s="61"/>
      <c r="BQ314" s="61">
        <v>22.1</v>
      </c>
      <c r="BR314" s="61"/>
      <c r="BS314" s="61"/>
      <c r="BT314" s="61"/>
      <c r="BU314" s="61"/>
      <c r="BV314" s="61"/>
      <c r="BW314" s="61"/>
      <c r="BX314" s="61"/>
      <c r="BY314" s="1"/>
      <c r="BZ314" s="1"/>
      <c r="CA314" s="455">
        <v>22.7</v>
      </c>
      <c r="CB314" s="61"/>
      <c r="CC314" s="61"/>
      <c r="CD314" s="61"/>
      <c r="CE314" s="61"/>
      <c r="CF314" s="1"/>
      <c r="CG314" s="1"/>
      <c r="CH314" s="61"/>
      <c r="CI314" s="61">
        <v>23</v>
      </c>
      <c r="CJ314" s="61"/>
      <c r="CK314" s="61"/>
      <c r="CL314" s="61"/>
      <c r="CM314" s="1"/>
      <c r="CN314" s="1"/>
      <c r="CO314" s="61">
        <v>24.3</v>
      </c>
      <c r="CP314" s="6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8"/>
      <c r="DM314" s="8"/>
      <c r="DN314" s="8"/>
    </row>
    <row r="315" spans="1:118" s="104" customFormat="1" ht="12.95" hidden="1" customHeight="1">
      <c r="A315" s="96" t="s">
        <v>12</v>
      </c>
      <c r="B315" s="96" t="s">
        <v>13</v>
      </c>
      <c r="C315" s="269" t="s">
        <v>14</v>
      </c>
      <c r="D315" s="281">
        <v>26.02</v>
      </c>
      <c r="E315" s="157" t="s">
        <v>426</v>
      </c>
      <c r="F315" s="161" t="s">
        <v>437</v>
      </c>
      <c r="G315" s="102">
        <v>24</v>
      </c>
      <c r="H315" s="109" t="s">
        <v>438</v>
      </c>
      <c r="I315" s="232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8"/>
      <c r="AQ315" s="108"/>
      <c r="AR315" s="107"/>
      <c r="AS315" s="108"/>
      <c r="AT315" s="108"/>
      <c r="AU315" s="108"/>
      <c r="AV315" s="108"/>
      <c r="AW315" s="108"/>
      <c r="AX315" s="108"/>
      <c r="AY315" s="108"/>
      <c r="AZ315" s="108"/>
      <c r="BA315" s="107">
        <v>21</v>
      </c>
      <c r="BB315" s="107"/>
      <c r="BC315" s="107"/>
      <c r="BD315" s="108"/>
      <c r="BE315" s="108"/>
      <c r="BF315" s="107"/>
      <c r="BG315" s="107"/>
      <c r="BH315" s="107">
        <v>20</v>
      </c>
      <c r="BI315" s="107"/>
      <c r="BJ315" s="107"/>
      <c r="BK315" s="123"/>
      <c r="BL315" s="108"/>
      <c r="BM315" s="107"/>
      <c r="BN315" s="107"/>
      <c r="BO315" s="107"/>
      <c r="BP315" s="107">
        <v>20.6</v>
      </c>
      <c r="BQ315" s="107"/>
      <c r="BR315" s="107"/>
      <c r="BS315" s="107"/>
      <c r="BT315" s="107"/>
      <c r="BU315" s="107" t="s">
        <v>439</v>
      </c>
      <c r="BV315" s="107"/>
      <c r="BW315" s="107"/>
      <c r="BX315" s="107"/>
      <c r="BY315" s="108"/>
      <c r="BZ315" s="108"/>
      <c r="CA315" s="107"/>
      <c r="CB315" s="107"/>
      <c r="CC315" s="107" t="s">
        <v>440</v>
      </c>
      <c r="CD315" s="107"/>
      <c r="CE315" s="107"/>
      <c r="CF315" s="108"/>
      <c r="CG315" s="108"/>
      <c r="CH315" s="107"/>
      <c r="CI315" s="107"/>
      <c r="CJ315" s="107">
        <v>23</v>
      </c>
      <c r="CK315" s="123">
        <v>23.7</v>
      </c>
      <c r="CL315" s="107"/>
      <c r="CM315" s="108"/>
      <c r="CN315" s="108"/>
      <c r="CO315" s="107"/>
      <c r="CP315" s="107"/>
      <c r="CQ315" s="108"/>
      <c r="CR315" s="108"/>
      <c r="CS315" s="108"/>
      <c r="CT315" s="108"/>
      <c r="CU315" s="108"/>
      <c r="CV315" s="108"/>
      <c r="CW315" s="108"/>
      <c r="CX315" s="108"/>
      <c r="CY315" s="108"/>
      <c r="CZ315" s="108"/>
      <c r="DA315" s="108"/>
      <c r="DB315" s="108"/>
      <c r="DC315" s="108"/>
      <c r="DD315" s="108"/>
      <c r="DE315" s="108"/>
      <c r="DF315" s="108"/>
      <c r="DG315" s="108"/>
      <c r="DH315" s="108"/>
      <c r="DI315" s="108"/>
      <c r="DJ315" s="108"/>
      <c r="DK315" s="108"/>
      <c r="DL315" s="103"/>
      <c r="DM315" s="103"/>
      <c r="DN315" s="103"/>
    </row>
    <row r="316" spans="1:118" ht="13.35" hidden="1" customHeight="1">
      <c r="A316" s="91"/>
      <c r="B316" s="91"/>
      <c r="C316" s="267" t="s">
        <v>14</v>
      </c>
      <c r="D316" s="279">
        <v>21.4</v>
      </c>
      <c r="E316" s="155" t="s">
        <v>426</v>
      </c>
      <c r="F316" s="160" t="s">
        <v>441</v>
      </c>
      <c r="G316" s="6">
        <v>24</v>
      </c>
      <c r="H316" s="5" t="s">
        <v>22</v>
      </c>
      <c r="I316" s="23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1"/>
      <c r="AQ316" s="1"/>
      <c r="AR316" s="61"/>
      <c r="AS316" s="1"/>
      <c r="AT316" s="1"/>
      <c r="AU316" s="1"/>
      <c r="AV316" s="1"/>
      <c r="AW316" s="1"/>
      <c r="AX316" s="1"/>
      <c r="AY316" s="1"/>
      <c r="AZ316" s="1"/>
      <c r="BA316" s="1"/>
      <c r="BB316" s="61"/>
      <c r="BC316" s="61"/>
      <c r="BD316" s="1"/>
      <c r="BE316" s="1"/>
      <c r="BF316" s="61"/>
      <c r="BG316" s="61"/>
      <c r="BH316" s="61"/>
      <c r="BI316" s="61"/>
      <c r="BJ316" s="61">
        <v>20.2</v>
      </c>
      <c r="BK316" s="67"/>
      <c r="BL316" s="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1"/>
      <c r="BZ316" s="1"/>
      <c r="CA316" s="61"/>
      <c r="CB316" s="455">
        <v>20.100000000000001</v>
      </c>
      <c r="CC316" s="61"/>
      <c r="CD316" s="61"/>
      <c r="CE316" s="61"/>
      <c r="CF316" s="1"/>
      <c r="CG316" s="1"/>
      <c r="CH316" s="61" t="s">
        <v>439</v>
      </c>
      <c r="CI316" s="61"/>
      <c r="CJ316" s="61"/>
      <c r="CK316" s="61"/>
      <c r="CL316" s="61"/>
      <c r="CM316" s="1"/>
      <c r="CN316" s="1"/>
      <c r="CO316" s="61">
        <v>21.6</v>
      </c>
      <c r="CP316" s="61"/>
      <c r="CQ316" s="1"/>
      <c r="CR316" s="1"/>
      <c r="CS316" s="1">
        <v>22.6</v>
      </c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8"/>
      <c r="DM316" s="8"/>
      <c r="DN316" s="8"/>
    </row>
    <row r="317" spans="1:118" s="104" customFormat="1" ht="12.95" hidden="1" customHeight="1">
      <c r="A317" s="96"/>
      <c r="B317" s="96" t="s">
        <v>13</v>
      </c>
      <c r="C317" s="269" t="s">
        <v>14</v>
      </c>
      <c r="D317" s="281">
        <v>6.32</v>
      </c>
      <c r="E317" s="157" t="s">
        <v>426</v>
      </c>
      <c r="F317" s="161" t="s">
        <v>442</v>
      </c>
      <c r="G317" s="102">
        <v>24</v>
      </c>
      <c r="H317" s="109" t="s">
        <v>16</v>
      </c>
      <c r="I317" s="232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8"/>
      <c r="AQ317" s="108"/>
      <c r="AR317" s="107"/>
      <c r="AS317" s="108"/>
      <c r="AT317" s="108"/>
      <c r="AU317" s="108"/>
      <c r="AV317" s="108"/>
      <c r="AW317" s="108"/>
      <c r="AX317" s="108"/>
      <c r="AY317" s="108"/>
      <c r="AZ317" s="108"/>
      <c r="BA317" s="108"/>
      <c r="BB317" s="107"/>
      <c r="BC317" s="107"/>
      <c r="BD317" s="108"/>
      <c r="BE317" s="108"/>
      <c r="BF317" s="107"/>
      <c r="BG317" s="107"/>
      <c r="BH317" s="107">
        <v>20.8</v>
      </c>
      <c r="BI317" s="107"/>
      <c r="BJ317" s="107"/>
      <c r="BK317" s="123"/>
      <c r="BL317" s="108"/>
      <c r="BM317" s="107"/>
      <c r="BN317" s="107"/>
      <c r="BO317" s="107"/>
      <c r="BP317" s="107"/>
      <c r="BQ317" s="107"/>
      <c r="BR317" s="107"/>
      <c r="BS317" s="107"/>
      <c r="BT317" s="107"/>
      <c r="BU317" s="107"/>
      <c r="BV317" s="107"/>
      <c r="BW317" s="107"/>
      <c r="BX317" s="107"/>
      <c r="BY317" s="108"/>
      <c r="BZ317" s="108"/>
      <c r="CA317" s="107"/>
      <c r="CB317" s="455">
        <v>22.3</v>
      </c>
      <c r="CC317" s="107"/>
      <c r="CD317" s="107"/>
      <c r="CE317" s="107"/>
      <c r="CF317" s="113"/>
      <c r="CG317" s="108"/>
      <c r="CH317" s="107"/>
      <c r="CI317" s="107"/>
      <c r="CJ317" s="107" t="s">
        <v>429</v>
      </c>
      <c r="CK317" s="107"/>
      <c r="CL317" s="107"/>
      <c r="CM317" s="108"/>
      <c r="CN317" s="108"/>
      <c r="CO317" s="107"/>
      <c r="CP317" s="107"/>
      <c r="CQ317" s="108"/>
      <c r="CR317" s="108"/>
      <c r="CS317" s="108"/>
      <c r="CT317" s="108"/>
      <c r="CU317" s="108"/>
      <c r="CV317" s="108"/>
      <c r="CW317" s="108"/>
      <c r="CX317" s="108"/>
      <c r="CY317" s="108"/>
      <c r="CZ317" s="108"/>
      <c r="DA317" s="108"/>
      <c r="DB317" s="108"/>
      <c r="DC317" s="108"/>
      <c r="DD317" s="108"/>
      <c r="DE317" s="108"/>
      <c r="DF317" s="108"/>
      <c r="DG317" s="108"/>
      <c r="DH317" s="108"/>
      <c r="DI317" s="108"/>
      <c r="DJ317" s="108"/>
      <c r="DK317" s="108"/>
      <c r="DL317" s="103"/>
      <c r="DM317" s="103"/>
      <c r="DN317" s="103"/>
    </row>
    <row r="318" spans="1:118" s="104" customFormat="1" ht="12.95" hidden="1" customHeight="1">
      <c r="A318" s="96"/>
      <c r="B318" s="96"/>
      <c r="C318" s="269"/>
      <c r="D318" s="281"/>
      <c r="E318" s="157" t="s">
        <v>426</v>
      </c>
      <c r="F318" s="161" t="s">
        <v>443</v>
      </c>
      <c r="G318" s="102">
        <v>24</v>
      </c>
      <c r="H318" s="109" t="s">
        <v>16</v>
      </c>
      <c r="I318" s="232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8"/>
      <c r="AQ318" s="108"/>
      <c r="AR318" s="107"/>
      <c r="AS318" s="108"/>
      <c r="AT318" s="108"/>
      <c r="AU318" s="108"/>
      <c r="AV318" s="108"/>
      <c r="AW318" s="108"/>
      <c r="AX318" s="108"/>
      <c r="AY318" s="108"/>
      <c r="AZ318" s="108"/>
      <c r="BA318" s="108"/>
      <c r="BB318" s="107"/>
      <c r="BC318" s="107"/>
      <c r="BD318" s="108"/>
      <c r="BE318" s="108"/>
      <c r="BF318" s="107"/>
      <c r="BG318" s="107"/>
      <c r="BH318" s="107"/>
      <c r="BI318" s="107"/>
      <c r="BJ318" s="107"/>
      <c r="BK318" s="123"/>
      <c r="BL318" s="108"/>
      <c r="BM318" s="107"/>
      <c r="BN318" s="107"/>
      <c r="BO318" s="107"/>
      <c r="BP318" s="107"/>
      <c r="BQ318" s="107"/>
      <c r="BR318" s="107"/>
      <c r="BS318" s="107"/>
      <c r="BT318" s="107"/>
      <c r="BU318" s="107"/>
      <c r="BV318" s="107"/>
      <c r="BW318" s="107"/>
      <c r="BX318" s="107"/>
      <c r="BY318" s="108"/>
      <c r="BZ318" s="108"/>
      <c r="CA318" s="107"/>
      <c r="CB318" s="455"/>
      <c r="CC318" s="107"/>
      <c r="CD318" s="107"/>
      <c r="CE318" s="107"/>
      <c r="CF318" s="113"/>
      <c r="CG318" s="108"/>
      <c r="CH318" s="107"/>
      <c r="CI318" s="107"/>
      <c r="CJ318" s="107"/>
      <c r="CK318" s="107">
        <v>23.7</v>
      </c>
      <c r="CL318" s="107"/>
      <c r="CM318" s="108"/>
      <c r="CN318" s="108"/>
      <c r="CO318" s="107"/>
      <c r="CP318" s="107">
        <v>24.7</v>
      </c>
      <c r="CQ318" s="108"/>
      <c r="CR318" s="108"/>
      <c r="CS318" s="108">
        <v>23</v>
      </c>
      <c r="CT318" s="108"/>
      <c r="CU318" s="108"/>
      <c r="CV318" s="108"/>
      <c r="CW318" s="108"/>
      <c r="CX318" s="108"/>
      <c r="CY318" s="108"/>
      <c r="CZ318" s="108"/>
      <c r="DA318" s="108"/>
      <c r="DB318" s="108"/>
      <c r="DC318" s="108"/>
      <c r="DD318" s="108"/>
      <c r="DE318" s="108"/>
      <c r="DF318" s="108"/>
      <c r="DG318" s="108"/>
      <c r="DH318" s="108"/>
      <c r="DI318" s="108"/>
      <c r="DJ318" s="108"/>
      <c r="DK318" s="108"/>
      <c r="DL318" s="103"/>
      <c r="DM318" s="103"/>
      <c r="DN318" s="103"/>
    </row>
    <row r="319" spans="1:118" s="104" customFormat="1" ht="12.95" hidden="1" customHeight="1">
      <c r="A319" s="96"/>
      <c r="B319" s="96"/>
      <c r="C319" s="269"/>
      <c r="D319" s="281"/>
      <c r="E319" s="157" t="s">
        <v>426</v>
      </c>
      <c r="F319" s="161" t="s">
        <v>444</v>
      </c>
      <c r="G319" s="102">
        <v>24</v>
      </c>
      <c r="H319" s="109" t="s">
        <v>16</v>
      </c>
      <c r="I319" s="232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8"/>
      <c r="AQ319" s="108"/>
      <c r="AR319" s="107"/>
      <c r="AS319" s="108"/>
      <c r="AT319" s="108"/>
      <c r="AU319" s="108"/>
      <c r="AV319" s="108"/>
      <c r="AW319" s="108"/>
      <c r="AX319" s="108"/>
      <c r="AY319" s="108"/>
      <c r="AZ319" s="108"/>
      <c r="BA319" s="108"/>
      <c r="BB319" s="107"/>
      <c r="BC319" s="107"/>
      <c r="BD319" s="108"/>
      <c r="BE319" s="108"/>
      <c r="BF319" s="107"/>
      <c r="BG319" s="107"/>
      <c r="BH319" s="107"/>
      <c r="BI319" s="107"/>
      <c r="BJ319" s="107"/>
      <c r="BK319" s="123"/>
      <c r="BL319" s="108"/>
      <c r="BM319" s="107"/>
      <c r="BN319" s="107"/>
      <c r="BO319" s="107"/>
      <c r="BP319" s="107"/>
      <c r="BQ319" s="107"/>
      <c r="BR319" s="107"/>
      <c r="BS319" s="107"/>
      <c r="BT319" s="107"/>
      <c r="BU319" s="107"/>
      <c r="BV319" s="107"/>
      <c r="BW319" s="107"/>
      <c r="BX319" s="107"/>
      <c r="BY319" s="108"/>
      <c r="BZ319" s="108"/>
      <c r="CA319" s="107"/>
      <c r="CB319" s="455"/>
      <c r="CC319" s="107"/>
      <c r="CD319" s="107"/>
      <c r="CE319" s="107"/>
      <c r="CF319" s="113"/>
      <c r="CG319" s="108"/>
      <c r="CH319" s="107"/>
      <c r="CI319" s="107"/>
      <c r="CJ319" s="107"/>
      <c r="CK319" s="107">
        <v>20.7</v>
      </c>
      <c r="CL319" s="107"/>
      <c r="CM319" s="108"/>
      <c r="CN319" s="108"/>
      <c r="CO319" s="107"/>
      <c r="CP319" s="107">
        <v>22</v>
      </c>
      <c r="CQ319" s="108"/>
      <c r="CR319" s="108"/>
      <c r="CS319" s="108">
        <v>21.8</v>
      </c>
      <c r="CT319" s="108"/>
      <c r="CU319" s="108"/>
      <c r="CV319" s="108"/>
      <c r="CW319" s="108"/>
      <c r="CX319" s="108"/>
      <c r="CY319" s="108"/>
      <c r="CZ319" s="108"/>
      <c r="DA319" s="108"/>
      <c r="DB319" s="108"/>
      <c r="DC319" s="108"/>
      <c r="DD319" s="108"/>
      <c r="DE319" s="108"/>
      <c r="DF319" s="108"/>
      <c r="DG319" s="108"/>
      <c r="DH319" s="108"/>
      <c r="DI319" s="108"/>
      <c r="DJ319" s="108"/>
      <c r="DK319" s="108"/>
      <c r="DL319" s="103"/>
      <c r="DM319" s="103"/>
      <c r="DN319" s="103"/>
    </row>
    <row r="320" spans="1:118" ht="13.35" hidden="1" customHeight="1">
      <c r="A320" s="91" t="s">
        <v>12</v>
      </c>
      <c r="B320" s="91"/>
      <c r="C320" s="267" t="s">
        <v>31</v>
      </c>
      <c r="D320" s="279">
        <v>15</v>
      </c>
      <c r="E320" s="155" t="s">
        <v>426</v>
      </c>
      <c r="F320" s="160" t="s">
        <v>445</v>
      </c>
      <c r="G320" s="6"/>
      <c r="H320" s="5" t="s">
        <v>446</v>
      </c>
      <c r="I320" s="23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1"/>
      <c r="AQ320" s="1"/>
      <c r="AR320" s="61"/>
      <c r="AS320" s="1"/>
      <c r="AT320" s="1"/>
      <c r="AU320" s="1"/>
      <c r="AV320" s="1"/>
      <c r="AW320" s="1"/>
      <c r="AX320" s="1"/>
      <c r="AY320" s="1"/>
      <c r="AZ320" s="1"/>
      <c r="BA320" s="1"/>
      <c r="BB320" s="61"/>
      <c r="BC320" s="61"/>
      <c r="BD320" s="1"/>
      <c r="BE320" s="1"/>
      <c r="BF320" s="61"/>
      <c r="BG320" s="61"/>
      <c r="BH320" s="61"/>
      <c r="BI320" s="61">
        <v>22.2</v>
      </c>
      <c r="BJ320" s="61"/>
      <c r="BK320" s="67"/>
      <c r="BL320" s="1"/>
      <c r="BM320" s="61"/>
      <c r="BN320" s="61"/>
      <c r="BO320" s="61"/>
      <c r="BP320" s="61"/>
      <c r="BQ320" s="61">
        <v>22.7</v>
      </c>
      <c r="BR320" s="61"/>
      <c r="BS320" s="61"/>
      <c r="BT320" s="61"/>
      <c r="BU320" s="61"/>
      <c r="BV320" s="61"/>
      <c r="BW320" s="61"/>
      <c r="BX320" s="61"/>
      <c r="BY320" s="1"/>
      <c r="BZ320" s="1"/>
      <c r="CA320" s="61">
        <v>24.2</v>
      </c>
      <c r="CB320" s="61"/>
      <c r="CC320" s="61"/>
      <c r="CD320" s="61"/>
      <c r="CE320" s="61"/>
      <c r="CF320" s="1"/>
      <c r="CG320" s="1"/>
      <c r="CH320" s="61"/>
      <c r="CI320" s="61">
        <v>23.2</v>
      </c>
      <c r="CJ320" s="61"/>
      <c r="CK320" s="6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8"/>
      <c r="DM320" s="8"/>
      <c r="DN320" s="8"/>
    </row>
    <row r="321" spans="1:118" s="104" customFormat="1" ht="13.35" hidden="1" customHeight="1">
      <c r="A321" s="96"/>
      <c r="B321" s="96" t="s">
        <v>13</v>
      </c>
      <c r="C321" s="269" t="s">
        <v>31</v>
      </c>
      <c r="D321" s="281">
        <v>4.9800000000000004</v>
      </c>
      <c r="E321" s="183" t="s">
        <v>426</v>
      </c>
      <c r="F321" s="209" t="s">
        <v>447</v>
      </c>
      <c r="G321" s="185"/>
      <c r="H321" s="186" t="s">
        <v>235</v>
      </c>
      <c r="I321" s="237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4"/>
      <c r="AQ321" s="144"/>
      <c r="AR321" s="143"/>
      <c r="AS321" s="144"/>
      <c r="AT321" s="144"/>
      <c r="AU321" s="144"/>
      <c r="AV321" s="144"/>
      <c r="AW321" s="144"/>
      <c r="AX321" s="144"/>
      <c r="AY321" s="144"/>
      <c r="AZ321" s="144"/>
      <c r="BA321" s="144"/>
      <c r="BB321" s="143"/>
      <c r="BC321" s="143"/>
      <c r="BD321" s="144"/>
      <c r="BE321" s="144"/>
      <c r="BF321" s="143"/>
      <c r="BG321" s="143"/>
      <c r="BH321" s="143"/>
      <c r="BI321" s="143">
        <v>20</v>
      </c>
      <c r="BJ321" s="143"/>
      <c r="BK321" s="429"/>
      <c r="BL321" s="144"/>
      <c r="BM321" s="143"/>
      <c r="BN321" s="143"/>
      <c r="BO321" s="143"/>
      <c r="BP321" s="143"/>
      <c r="BQ321" s="143"/>
      <c r="BR321" s="143"/>
      <c r="BS321" s="143"/>
      <c r="BT321" s="143"/>
      <c r="BU321" s="143"/>
      <c r="BV321" s="143"/>
      <c r="BW321" s="143">
        <v>20.8</v>
      </c>
      <c r="BX321" s="143"/>
      <c r="BY321" s="144"/>
      <c r="BZ321" s="144"/>
      <c r="CA321" s="143"/>
      <c r="CB321" s="143"/>
      <c r="CC321" s="143"/>
      <c r="CD321" s="143"/>
      <c r="CE321" s="454">
        <v>22.5</v>
      </c>
      <c r="CF321" s="144"/>
      <c r="CG321" s="144"/>
      <c r="CH321" s="143"/>
      <c r="CI321" s="143"/>
      <c r="CJ321" s="143">
        <v>23</v>
      </c>
      <c r="CK321" s="143"/>
      <c r="CL321" s="143"/>
      <c r="CM321" s="144"/>
      <c r="CN321" s="144"/>
      <c r="CO321" s="143" t="s">
        <v>448</v>
      </c>
      <c r="CP321" s="143"/>
      <c r="CQ321" s="144"/>
      <c r="CR321" s="144"/>
      <c r="CS321" s="144"/>
      <c r="CT321" s="144"/>
      <c r="CU321" s="144"/>
      <c r="CV321" s="144">
        <v>24.1</v>
      </c>
      <c r="CW321" s="144"/>
      <c r="CX321" s="144"/>
      <c r="CY321" s="144"/>
      <c r="CZ321" s="144"/>
      <c r="DA321" s="144"/>
      <c r="DB321" s="144"/>
      <c r="DC321" s="144"/>
      <c r="DD321" s="144"/>
      <c r="DE321" s="144"/>
      <c r="DF321" s="144"/>
      <c r="DG321" s="144"/>
      <c r="DH321" s="144"/>
      <c r="DI321" s="144"/>
      <c r="DJ321" s="144"/>
      <c r="DK321" s="144"/>
      <c r="DL321" s="103"/>
      <c r="DM321" s="103"/>
      <c r="DN321" s="103"/>
    </row>
    <row r="322" spans="1:118" ht="13.35" hidden="1" customHeight="1">
      <c r="A322" s="90" t="s">
        <v>12</v>
      </c>
      <c r="B322" s="90"/>
      <c r="C322" s="266"/>
      <c r="D322" s="277"/>
      <c r="E322" s="278" t="s">
        <v>449</v>
      </c>
      <c r="F322" s="141" t="s">
        <v>450</v>
      </c>
      <c r="G322" s="169"/>
      <c r="H322" s="170" t="s">
        <v>11</v>
      </c>
      <c r="I322" s="225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171"/>
      <c r="AI322" s="171"/>
      <c r="AJ322" s="171"/>
      <c r="AK322" s="171"/>
      <c r="AL322" s="171"/>
      <c r="AM322" s="171"/>
      <c r="AN322" s="171"/>
      <c r="AO322" s="171"/>
      <c r="AP322" s="172"/>
      <c r="AQ322" s="172"/>
      <c r="AR322" s="171"/>
      <c r="AS322" s="172"/>
      <c r="AT322" s="172"/>
      <c r="AU322" s="172"/>
      <c r="AV322" s="172"/>
      <c r="AW322" s="172"/>
      <c r="AX322" s="172"/>
      <c r="AY322" s="172"/>
      <c r="AZ322" s="172"/>
      <c r="BA322" s="172"/>
      <c r="BB322" s="171"/>
      <c r="BC322" s="171"/>
      <c r="BD322" s="172"/>
      <c r="BE322" s="172"/>
      <c r="BF322" s="171"/>
      <c r="BG322" s="171"/>
      <c r="BH322" s="171"/>
      <c r="BI322" s="172"/>
      <c r="BJ322" s="171"/>
      <c r="BK322" s="427"/>
      <c r="BL322" s="172"/>
      <c r="BM322" s="171"/>
      <c r="BN322" s="171"/>
      <c r="BO322" s="171"/>
      <c r="BP322" s="171"/>
      <c r="BQ322" s="171"/>
      <c r="BR322" s="171"/>
      <c r="BS322" s="171"/>
      <c r="BT322" s="171"/>
      <c r="BU322" s="171"/>
      <c r="BV322" s="171"/>
      <c r="BW322" s="171"/>
      <c r="BX322" s="171"/>
      <c r="BY322" s="172"/>
      <c r="BZ322" s="172"/>
      <c r="CA322" s="171"/>
      <c r="CB322" s="171"/>
      <c r="CC322" s="172"/>
      <c r="CD322" s="171"/>
      <c r="CE322" s="171"/>
      <c r="CF322" s="172"/>
      <c r="CG322" s="172"/>
      <c r="CH322" s="171"/>
      <c r="CI322" s="172"/>
      <c r="CJ322" s="172"/>
      <c r="CK322" s="172"/>
      <c r="CL322" s="172"/>
      <c r="CM322" s="172"/>
      <c r="CN322" s="172"/>
      <c r="CO322" s="172"/>
      <c r="CP322" s="172"/>
      <c r="CQ322" s="172"/>
      <c r="CR322" s="172"/>
      <c r="CS322" s="172"/>
      <c r="CT322" s="172"/>
      <c r="CU322" s="172"/>
      <c r="CV322" s="172"/>
      <c r="CW322" s="172"/>
      <c r="CX322" s="172"/>
      <c r="CY322" s="172"/>
      <c r="CZ322" s="172"/>
      <c r="DA322" s="172"/>
      <c r="DB322" s="172"/>
      <c r="DC322" s="172"/>
      <c r="DD322" s="172"/>
      <c r="DE322" s="172"/>
      <c r="DF322" s="172"/>
      <c r="DG322" s="172"/>
      <c r="DH322" s="172"/>
      <c r="DI322" s="172"/>
      <c r="DJ322" s="172"/>
      <c r="DK322" s="172"/>
      <c r="DL322" s="8"/>
      <c r="DM322" s="8"/>
      <c r="DN322" s="8"/>
    </row>
    <row r="323" spans="1:118" ht="12.95" hidden="1" customHeight="1">
      <c r="A323" s="91" t="s">
        <v>12</v>
      </c>
      <c r="B323" s="91" t="s">
        <v>13</v>
      </c>
      <c r="C323" s="267" t="s">
        <v>14</v>
      </c>
      <c r="D323" s="279">
        <v>10.029999999999999</v>
      </c>
      <c r="E323" s="188" t="s">
        <v>449</v>
      </c>
      <c r="F323" s="132" t="s">
        <v>451</v>
      </c>
      <c r="G323" s="200">
        <v>17.5</v>
      </c>
      <c r="H323" s="55" t="s">
        <v>16</v>
      </c>
      <c r="I323" s="228"/>
      <c r="J323" s="64"/>
      <c r="K323" s="64"/>
      <c r="L323" s="64"/>
      <c r="M323" s="64"/>
      <c r="N323" s="64"/>
      <c r="O323" s="64"/>
      <c r="P323" s="64"/>
      <c r="Q323" s="64"/>
      <c r="R323" s="64">
        <v>16.2</v>
      </c>
      <c r="S323" s="64"/>
      <c r="T323" s="65"/>
      <c r="U323" s="64"/>
      <c r="V323" s="64"/>
      <c r="W323" s="65">
        <v>17.2</v>
      </c>
      <c r="X323" s="65"/>
      <c r="Y323" s="64"/>
      <c r="Z323" s="64"/>
      <c r="AA323" s="65">
        <v>18.399999999999999</v>
      </c>
      <c r="AB323" s="64">
        <v>18.2</v>
      </c>
      <c r="AC323" s="64"/>
      <c r="AD323" s="201"/>
      <c r="AE323" s="65">
        <v>17.3</v>
      </c>
      <c r="AF323" s="296" t="s">
        <v>452</v>
      </c>
      <c r="AG323" s="64"/>
      <c r="AH323" s="64"/>
      <c r="AI323" s="64"/>
      <c r="AJ323" s="64"/>
      <c r="AK323" s="64"/>
      <c r="AL323" s="64"/>
      <c r="AM323" s="64"/>
      <c r="AN323" s="64"/>
      <c r="AO323" s="65"/>
      <c r="AP323" s="18"/>
      <c r="AQ323" s="18"/>
      <c r="AR323" s="64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64"/>
      <c r="BD323" s="18"/>
      <c r="BE323" s="18"/>
      <c r="BF323" s="64"/>
      <c r="BG323" s="18"/>
      <c r="BH323" s="64"/>
      <c r="BI323" s="18"/>
      <c r="BJ323" s="64"/>
      <c r="BK323" s="65"/>
      <c r="BL323" s="18"/>
      <c r="BM323" s="18"/>
      <c r="BN323" s="64"/>
      <c r="BO323" s="18"/>
      <c r="BP323" s="18"/>
      <c r="BQ323" s="18"/>
      <c r="BR323" s="18"/>
      <c r="BS323" s="18"/>
      <c r="BT323" s="18"/>
      <c r="BU323" s="18"/>
      <c r="BV323" s="18"/>
      <c r="BW323" s="64"/>
      <c r="BX323" s="18"/>
      <c r="BY323" s="18"/>
      <c r="BZ323" s="18"/>
      <c r="CA323" s="64"/>
      <c r="CB323" s="18"/>
      <c r="CC323" s="18"/>
      <c r="CD323" s="18"/>
      <c r="CE323" s="64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18"/>
      <c r="DI323" s="18"/>
      <c r="DJ323" s="18"/>
      <c r="DK323" s="18"/>
      <c r="DL323" s="8"/>
      <c r="DM323" s="8"/>
      <c r="DN323" s="8"/>
    </row>
    <row r="324" spans="1:118" ht="12.95" hidden="1" customHeight="1">
      <c r="A324" s="92" t="s">
        <v>12</v>
      </c>
      <c r="B324" s="96" t="s">
        <v>13</v>
      </c>
      <c r="C324" s="268" t="s">
        <v>14</v>
      </c>
      <c r="D324" s="280">
        <v>16.87</v>
      </c>
      <c r="E324" s="156" t="s">
        <v>449</v>
      </c>
      <c r="F324" s="159" t="s">
        <v>453</v>
      </c>
      <c r="G324" s="7"/>
      <c r="H324" s="4" t="s">
        <v>16</v>
      </c>
      <c r="I324" s="243"/>
      <c r="J324" s="71"/>
      <c r="K324" s="71"/>
      <c r="L324" s="71"/>
      <c r="M324" s="71"/>
      <c r="N324" s="71"/>
      <c r="O324" s="71"/>
      <c r="P324" s="71"/>
      <c r="Q324" s="71"/>
      <c r="R324" s="71">
        <v>15.6</v>
      </c>
      <c r="S324" s="71"/>
      <c r="T324" s="71"/>
      <c r="U324" s="71"/>
      <c r="V324" s="71"/>
      <c r="W324" s="153">
        <v>16.3</v>
      </c>
      <c r="X324" s="71"/>
      <c r="Y324" s="71"/>
      <c r="Z324" s="71"/>
      <c r="AA324" s="71"/>
      <c r="AB324" s="71"/>
      <c r="AC324" s="71"/>
      <c r="AD324" s="153">
        <v>17</v>
      </c>
      <c r="AE324" s="153"/>
      <c r="AF324" s="71"/>
      <c r="AG324" s="71"/>
      <c r="AH324" s="71"/>
      <c r="AI324" s="71"/>
      <c r="AJ324" s="71"/>
      <c r="AK324" s="71"/>
      <c r="AL324" s="71"/>
      <c r="AM324" s="71"/>
      <c r="AN324" s="71"/>
      <c r="AO324" s="153"/>
      <c r="AP324" s="31"/>
      <c r="AQ324" s="31"/>
      <c r="AR324" s="153">
        <v>20.9</v>
      </c>
      <c r="AS324" s="31">
        <v>20</v>
      </c>
      <c r="AT324" s="31"/>
      <c r="AU324" s="31"/>
      <c r="AV324" s="32"/>
      <c r="AW324" s="31"/>
      <c r="AX324" s="31"/>
      <c r="AY324" s="31"/>
      <c r="AZ324" s="31"/>
      <c r="BA324" s="31"/>
      <c r="BB324" s="71"/>
      <c r="BC324" s="71"/>
      <c r="BD324" s="31"/>
      <c r="BE324" s="31"/>
      <c r="BF324" s="71"/>
      <c r="BG324" s="71"/>
      <c r="BH324" s="71"/>
      <c r="BI324" s="31"/>
      <c r="BJ324" s="71"/>
      <c r="BK324" s="153"/>
      <c r="BL324" s="31"/>
      <c r="BM324" s="71"/>
      <c r="BN324" s="71"/>
      <c r="BO324" s="71"/>
      <c r="BP324" s="71"/>
      <c r="BQ324" s="71"/>
      <c r="BR324" s="71"/>
      <c r="BS324" s="71"/>
      <c r="BT324" s="71"/>
      <c r="BU324" s="71"/>
      <c r="BV324" s="71"/>
      <c r="BW324" s="71"/>
      <c r="BX324" s="31"/>
      <c r="BY324" s="31"/>
      <c r="BZ324" s="31"/>
      <c r="CA324" s="71"/>
      <c r="CB324" s="31"/>
      <c r="CC324" s="31"/>
      <c r="CD324" s="31"/>
      <c r="CE324" s="7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8"/>
      <c r="DM324" s="8"/>
      <c r="DN324" s="8"/>
    </row>
    <row r="325" spans="1:118" ht="12.95" hidden="1" customHeight="1">
      <c r="A325" s="92" t="s">
        <v>12</v>
      </c>
      <c r="B325" s="96" t="s">
        <v>13</v>
      </c>
      <c r="C325" s="268" t="s">
        <v>14</v>
      </c>
      <c r="D325" s="280"/>
      <c r="E325" s="156" t="s">
        <v>449</v>
      </c>
      <c r="F325" s="159" t="s">
        <v>454</v>
      </c>
      <c r="G325" s="7"/>
      <c r="H325" s="4" t="s">
        <v>16</v>
      </c>
      <c r="I325" s="229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2"/>
      <c r="AQ325" s="2"/>
      <c r="AR325" s="60"/>
      <c r="AS325" s="2"/>
      <c r="AT325" s="2"/>
      <c r="AU325" s="2"/>
      <c r="AV325" s="2"/>
      <c r="AW325" s="2"/>
      <c r="AX325" s="2"/>
      <c r="AY325" s="2"/>
      <c r="AZ325" s="2"/>
      <c r="BA325" s="2"/>
      <c r="BB325" s="60"/>
      <c r="BC325" s="60"/>
      <c r="BD325" s="2"/>
      <c r="BE325" s="2"/>
      <c r="BF325" s="60"/>
      <c r="BG325" s="60"/>
      <c r="BH325" s="60"/>
      <c r="BI325" s="2"/>
      <c r="BJ325" s="60"/>
      <c r="BK325" s="66"/>
      <c r="BL325" s="2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2"/>
      <c r="BY325" s="2"/>
      <c r="BZ325" s="2"/>
      <c r="CA325" s="60"/>
      <c r="CB325" s="2"/>
      <c r="CC325" s="2"/>
      <c r="CD325" s="2"/>
      <c r="CE325" s="60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8"/>
      <c r="DM325" s="8"/>
      <c r="DN325" s="8"/>
    </row>
    <row r="326" spans="1:118" ht="12.95" hidden="1" customHeight="1">
      <c r="A326" s="92" t="s">
        <v>12</v>
      </c>
      <c r="B326" s="96" t="s">
        <v>13</v>
      </c>
      <c r="C326" s="268" t="s">
        <v>14</v>
      </c>
      <c r="D326" s="280"/>
      <c r="E326" s="156" t="s">
        <v>449</v>
      </c>
      <c r="F326" s="159" t="s">
        <v>455</v>
      </c>
      <c r="G326" s="7"/>
      <c r="H326" s="4" t="s">
        <v>16</v>
      </c>
      <c r="I326" s="229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6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2"/>
      <c r="AQ326" s="2"/>
      <c r="AR326" s="60"/>
      <c r="AS326" s="2"/>
      <c r="AT326" s="2"/>
      <c r="AU326" s="2"/>
      <c r="AV326" s="2"/>
      <c r="AW326" s="2"/>
      <c r="AX326" s="2"/>
      <c r="AY326" s="2"/>
      <c r="AZ326" s="2"/>
      <c r="BA326" s="2"/>
      <c r="BB326" s="60"/>
      <c r="BC326" s="60"/>
      <c r="BD326" s="2"/>
      <c r="BE326" s="2"/>
      <c r="BF326" s="60"/>
      <c r="BG326" s="60"/>
      <c r="BH326" s="60"/>
      <c r="BI326" s="2"/>
      <c r="BJ326" s="60"/>
      <c r="BK326" s="66"/>
      <c r="BL326" s="2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2"/>
      <c r="BY326" s="2"/>
      <c r="BZ326" s="2"/>
      <c r="CA326" s="60"/>
      <c r="CB326" s="2"/>
      <c r="CC326" s="2"/>
      <c r="CD326" s="2"/>
      <c r="CE326" s="60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8"/>
      <c r="DM326" s="8"/>
      <c r="DN326" s="8"/>
    </row>
    <row r="327" spans="1:118" ht="13.35" hidden="1" customHeight="1">
      <c r="A327" s="91" t="s">
        <v>12</v>
      </c>
      <c r="B327" s="91"/>
      <c r="C327" s="267" t="s">
        <v>20</v>
      </c>
      <c r="D327" s="279"/>
      <c r="E327" s="179" t="s">
        <v>449</v>
      </c>
      <c r="F327" s="180" t="s">
        <v>63</v>
      </c>
      <c r="G327" s="181"/>
      <c r="H327" s="182"/>
      <c r="I327" s="233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13"/>
      <c r="AQ327" s="13"/>
      <c r="AR327" s="59"/>
      <c r="AS327" s="13"/>
      <c r="AT327" s="13"/>
      <c r="AU327" s="13"/>
      <c r="AV327" s="13"/>
      <c r="AW327" s="13"/>
      <c r="AX327" s="13"/>
      <c r="AY327" s="13"/>
      <c r="AZ327" s="13"/>
      <c r="BA327" s="13"/>
      <c r="BB327" s="59"/>
      <c r="BC327" s="59"/>
      <c r="BD327" s="13"/>
      <c r="BE327" s="13"/>
      <c r="BF327" s="59"/>
      <c r="BG327" s="59"/>
      <c r="BH327" s="59"/>
      <c r="BI327" s="13"/>
      <c r="BJ327" s="59"/>
      <c r="BK327" s="59">
        <v>22.8</v>
      </c>
      <c r="BL327" s="13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  <c r="BY327" s="13"/>
      <c r="BZ327" s="13"/>
      <c r="CA327" s="59"/>
      <c r="CB327" s="59"/>
      <c r="CC327" s="13"/>
      <c r="CD327" s="59"/>
      <c r="CE327" s="59"/>
      <c r="CF327" s="13"/>
      <c r="CG327" s="13"/>
      <c r="CH327" s="59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8"/>
      <c r="DM327" s="8"/>
      <c r="DN327" s="8"/>
    </row>
    <row r="328" spans="1:118" ht="13.35" hidden="1" customHeight="1">
      <c r="A328" s="90" t="s">
        <v>12</v>
      </c>
      <c r="B328" s="90"/>
      <c r="C328" s="266"/>
      <c r="D328" s="277"/>
      <c r="E328" s="278" t="s">
        <v>456</v>
      </c>
      <c r="F328" s="141" t="s">
        <v>457</v>
      </c>
      <c r="G328" s="169"/>
      <c r="H328" s="170" t="s">
        <v>11</v>
      </c>
      <c r="I328" s="225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1"/>
      <c r="AH328" s="171"/>
      <c r="AI328" s="171"/>
      <c r="AJ328" s="171"/>
      <c r="AK328" s="171"/>
      <c r="AL328" s="171"/>
      <c r="AM328" s="171"/>
      <c r="AN328" s="171"/>
      <c r="AO328" s="171"/>
      <c r="AP328" s="172"/>
      <c r="AQ328" s="172"/>
      <c r="AR328" s="171"/>
      <c r="AS328" s="172"/>
      <c r="AT328" s="172"/>
      <c r="AU328" s="172"/>
      <c r="AV328" s="171"/>
      <c r="AW328" s="172"/>
      <c r="AX328" s="172"/>
      <c r="AY328" s="172"/>
      <c r="AZ328" s="172"/>
      <c r="BA328" s="172"/>
      <c r="BB328" s="171"/>
      <c r="BC328" s="171"/>
      <c r="BD328" s="172"/>
      <c r="BE328" s="172"/>
      <c r="BF328" s="171"/>
      <c r="BG328" s="171"/>
      <c r="BH328" s="171"/>
      <c r="BI328" s="172"/>
      <c r="BJ328" s="171"/>
      <c r="BK328" s="427"/>
      <c r="BL328" s="172"/>
      <c r="BM328" s="171"/>
      <c r="BN328" s="171"/>
      <c r="BO328" s="171"/>
      <c r="BP328" s="171"/>
      <c r="BQ328" s="171"/>
      <c r="BR328" s="171"/>
      <c r="BS328" s="171"/>
      <c r="BT328" s="171"/>
      <c r="BU328" s="171"/>
      <c r="BV328" s="171"/>
      <c r="BW328" s="171"/>
      <c r="BX328" s="171"/>
      <c r="BY328" s="172"/>
      <c r="BZ328" s="172"/>
      <c r="CA328" s="171"/>
      <c r="CB328" s="171"/>
      <c r="CC328" s="172"/>
      <c r="CD328" s="171"/>
      <c r="CE328" s="171"/>
      <c r="CF328" s="172"/>
      <c r="CG328" s="172"/>
      <c r="CH328" s="171"/>
      <c r="CI328" s="172"/>
      <c r="CJ328" s="172"/>
      <c r="CK328" s="172"/>
      <c r="CL328" s="172"/>
      <c r="CM328" s="172"/>
      <c r="CN328" s="172"/>
      <c r="CO328" s="172"/>
      <c r="CP328" s="172"/>
      <c r="CQ328" s="172"/>
      <c r="CR328" s="172"/>
      <c r="CS328" s="172"/>
      <c r="CT328" s="172"/>
      <c r="CU328" s="172"/>
      <c r="CV328" s="172"/>
      <c r="CW328" s="172"/>
      <c r="CX328" s="172"/>
      <c r="CY328" s="172"/>
      <c r="CZ328" s="172"/>
      <c r="DA328" s="172"/>
      <c r="DB328" s="172"/>
      <c r="DC328" s="172"/>
      <c r="DD328" s="172"/>
      <c r="DE328" s="172"/>
      <c r="DF328" s="172"/>
      <c r="DG328" s="172"/>
      <c r="DH328" s="172"/>
      <c r="DI328" s="172"/>
      <c r="DJ328" s="172"/>
      <c r="DK328" s="172"/>
      <c r="DL328" s="8"/>
      <c r="DM328" s="8"/>
      <c r="DN328" s="8"/>
    </row>
    <row r="329" spans="1:118" ht="13.15" hidden="1" customHeight="1">
      <c r="A329" s="91" t="s">
        <v>12</v>
      </c>
      <c r="B329" s="91"/>
      <c r="C329" s="267" t="s">
        <v>31</v>
      </c>
      <c r="D329" s="279">
        <v>50.74</v>
      </c>
      <c r="E329" s="188" t="s">
        <v>456</v>
      </c>
      <c r="F329" s="132" t="s">
        <v>458</v>
      </c>
      <c r="G329" s="50">
        <v>20.5</v>
      </c>
      <c r="H329" s="55" t="s">
        <v>459</v>
      </c>
      <c r="I329" s="228"/>
      <c r="J329" s="128">
        <v>8.5</v>
      </c>
      <c r="K329" s="64"/>
      <c r="L329" s="64"/>
      <c r="M329" s="64"/>
      <c r="N329" s="64"/>
      <c r="O329" s="64"/>
      <c r="P329" s="64"/>
      <c r="Q329" s="64"/>
      <c r="R329" s="64"/>
      <c r="S329" s="64"/>
      <c r="T329" s="222">
        <v>15</v>
      </c>
      <c r="U329" s="64"/>
      <c r="V329" s="64"/>
      <c r="W329" s="64"/>
      <c r="X329" s="64"/>
      <c r="Y329" s="64"/>
      <c r="Z329" s="222">
        <v>16</v>
      </c>
      <c r="AA329" s="64">
        <v>18.600000000000001</v>
      </c>
      <c r="AB329" s="64"/>
      <c r="AC329" s="64"/>
      <c r="AD329" s="64"/>
      <c r="AE329" s="64"/>
      <c r="AF329" s="310">
        <v>18</v>
      </c>
      <c r="AG329" s="64">
        <v>18.5</v>
      </c>
      <c r="AH329" s="64"/>
      <c r="AI329" s="64"/>
      <c r="AJ329" s="64"/>
      <c r="AK329" s="64"/>
      <c r="AL329" s="64"/>
      <c r="AM329" s="64" t="s">
        <v>204</v>
      </c>
      <c r="AN329" s="310">
        <v>21.7</v>
      </c>
      <c r="AO329" s="64"/>
      <c r="AP329" s="18"/>
      <c r="AQ329" s="18"/>
      <c r="AR329" s="64"/>
      <c r="AS329" s="18"/>
      <c r="AT329" s="18"/>
      <c r="AU329" s="18"/>
      <c r="AV329" s="64"/>
      <c r="AW329" s="18"/>
      <c r="AX329" s="18"/>
      <c r="AY329" s="18"/>
      <c r="AZ329" s="18"/>
      <c r="BA329" s="18"/>
      <c r="BB329" s="18"/>
      <c r="BC329" s="64"/>
      <c r="BD329" s="18"/>
      <c r="BE329" s="18"/>
      <c r="BF329" s="64"/>
      <c r="BG329" s="18"/>
      <c r="BH329" s="64"/>
      <c r="BI329" s="18"/>
      <c r="BJ329" s="64"/>
      <c r="BK329" s="65"/>
      <c r="BL329" s="18"/>
      <c r="BM329" s="18"/>
      <c r="BN329" s="64"/>
      <c r="BO329" s="18"/>
      <c r="BP329" s="18"/>
      <c r="BQ329" s="18"/>
      <c r="BR329" s="18"/>
      <c r="BS329" s="18"/>
      <c r="BT329" s="18"/>
      <c r="BU329" s="18"/>
      <c r="BV329" s="18"/>
      <c r="BW329" s="64"/>
      <c r="BX329" s="18"/>
      <c r="BY329" s="18"/>
      <c r="BZ329" s="18"/>
      <c r="CA329" s="64"/>
      <c r="CB329" s="18"/>
      <c r="CC329" s="18"/>
      <c r="CD329" s="18"/>
      <c r="CE329" s="64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  <c r="DG329" s="18"/>
      <c r="DH329" s="18"/>
      <c r="DI329" s="18"/>
      <c r="DJ329" s="18"/>
      <c r="DK329" s="18"/>
      <c r="DL329" s="8"/>
      <c r="DM329" s="8"/>
      <c r="DN329" s="8"/>
    </row>
    <row r="330" spans="1:118" ht="13.15" hidden="1" customHeight="1">
      <c r="A330" s="92" t="s">
        <v>12</v>
      </c>
      <c r="B330" s="96" t="s">
        <v>13</v>
      </c>
      <c r="C330" s="268" t="s">
        <v>20</v>
      </c>
      <c r="D330" s="280">
        <v>252.55</v>
      </c>
      <c r="E330" s="156" t="s">
        <v>456</v>
      </c>
      <c r="F330" s="159" t="s">
        <v>460</v>
      </c>
      <c r="G330" s="19" t="s">
        <v>461</v>
      </c>
      <c r="H330" s="4" t="s">
        <v>22</v>
      </c>
      <c r="I330" s="230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>
        <v>18</v>
      </c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16"/>
      <c r="AQ330" s="16"/>
      <c r="AR330" s="62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62"/>
      <c r="BD330" s="16"/>
      <c r="BE330" s="16"/>
      <c r="BF330" s="62"/>
      <c r="BG330" s="16"/>
      <c r="BH330" s="62"/>
      <c r="BI330" s="16"/>
      <c r="BJ330" s="62"/>
      <c r="BK330" s="316"/>
      <c r="BL330" s="16"/>
      <c r="BM330" s="16"/>
      <c r="BN330" s="62"/>
      <c r="BO330" s="16"/>
      <c r="BP330" s="16"/>
      <c r="BQ330" s="16"/>
      <c r="BR330" s="16"/>
      <c r="BS330" s="16"/>
      <c r="BT330" s="16"/>
      <c r="BU330" s="16"/>
      <c r="BV330" s="16"/>
      <c r="BW330" s="62"/>
      <c r="BX330" s="16"/>
      <c r="BY330" s="16"/>
      <c r="BZ330" s="16"/>
      <c r="CA330" s="62"/>
      <c r="CB330" s="16"/>
      <c r="CC330" s="16"/>
      <c r="CD330" s="16"/>
      <c r="CE330" s="62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8"/>
      <c r="DM330" s="8"/>
      <c r="DN330" s="8"/>
    </row>
    <row r="331" spans="1:118" ht="13.15" hidden="1" customHeight="1">
      <c r="A331" s="92" t="s">
        <v>12</v>
      </c>
      <c r="B331" s="96"/>
      <c r="C331" s="268" t="s">
        <v>20</v>
      </c>
      <c r="D331" s="280"/>
      <c r="E331" s="156" t="s">
        <v>456</v>
      </c>
      <c r="F331" s="159" t="s">
        <v>462</v>
      </c>
      <c r="G331" s="19" t="s">
        <v>461</v>
      </c>
      <c r="H331" s="4" t="s">
        <v>22</v>
      </c>
      <c r="I331" s="230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>
        <v>18.600000000000001</v>
      </c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16"/>
      <c r="AQ331" s="16"/>
      <c r="AR331" s="62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62"/>
      <c r="BD331" s="16"/>
      <c r="BE331" s="16"/>
      <c r="BF331" s="62"/>
      <c r="BG331" s="16"/>
      <c r="BH331" s="62"/>
      <c r="BI331" s="16"/>
      <c r="BJ331" s="62"/>
      <c r="BK331" s="316"/>
      <c r="BL331" s="16"/>
      <c r="BM331" s="16"/>
      <c r="BN331" s="62"/>
      <c r="BO331" s="16"/>
      <c r="BP331" s="16"/>
      <c r="BQ331" s="16"/>
      <c r="BR331" s="16"/>
      <c r="BS331" s="16"/>
      <c r="BT331" s="16"/>
      <c r="BU331" s="16"/>
      <c r="BV331" s="16"/>
      <c r="BW331" s="62"/>
      <c r="BX331" s="16"/>
      <c r="BY331" s="16"/>
      <c r="BZ331" s="16"/>
      <c r="CA331" s="62"/>
      <c r="CB331" s="16"/>
      <c r="CC331" s="16"/>
      <c r="CD331" s="16"/>
      <c r="CE331" s="62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8"/>
      <c r="DM331" s="8"/>
      <c r="DN331" s="8"/>
    </row>
    <row r="332" spans="1:118" ht="13.15" hidden="1" customHeight="1">
      <c r="A332" s="92" t="s">
        <v>12</v>
      </c>
      <c r="B332" s="96"/>
      <c r="C332" s="268" t="s">
        <v>20</v>
      </c>
      <c r="D332" s="280"/>
      <c r="E332" s="156" t="s">
        <v>456</v>
      </c>
      <c r="F332" s="159" t="s">
        <v>463</v>
      </c>
      <c r="G332" s="19" t="s">
        <v>461</v>
      </c>
      <c r="H332" s="4" t="s">
        <v>22</v>
      </c>
      <c r="I332" s="230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>
        <v>18</v>
      </c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 t="s">
        <v>464</v>
      </c>
      <c r="AI332" s="62"/>
      <c r="AJ332" s="62"/>
      <c r="AK332" s="62"/>
      <c r="AL332" s="62"/>
      <c r="AM332" s="62"/>
      <c r="AN332" s="62"/>
      <c r="AO332" s="62"/>
      <c r="AP332" s="16"/>
      <c r="AQ332" s="16"/>
      <c r="AR332" s="62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62"/>
      <c r="BD332" s="16"/>
      <c r="BE332" s="16"/>
      <c r="BF332" s="62"/>
      <c r="BG332" s="16"/>
      <c r="BH332" s="62"/>
      <c r="BI332" s="16"/>
      <c r="BJ332" s="62"/>
      <c r="BK332" s="316"/>
      <c r="BL332" s="16"/>
      <c r="BM332" s="16"/>
      <c r="BN332" s="62"/>
      <c r="BO332" s="16"/>
      <c r="BP332" s="16"/>
      <c r="BQ332" s="16"/>
      <c r="BR332" s="16"/>
      <c r="BS332" s="16"/>
      <c r="BT332" s="16"/>
      <c r="BU332" s="16"/>
      <c r="BV332" s="16"/>
      <c r="BW332" s="62"/>
      <c r="BX332" s="16"/>
      <c r="BY332" s="16"/>
      <c r="BZ332" s="16"/>
      <c r="CA332" s="62"/>
      <c r="CB332" s="16"/>
      <c r="CC332" s="16"/>
      <c r="CD332" s="16"/>
      <c r="CE332" s="62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8"/>
      <c r="DM332" s="8"/>
      <c r="DN332" s="8"/>
    </row>
    <row r="333" spans="1:118" ht="13.15" hidden="1" customHeight="1">
      <c r="A333" s="92" t="s">
        <v>12</v>
      </c>
      <c r="B333" s="96"/>
      <c r="C333" s="268" t="s">
        <v>20</v>
      </c>
      <c r="D333" s="280"/>
      <c r="E333" s="156" t="s">
        <v>456</v>
      </c>
      <c r="F333" s="159" t="s">
        <v>465</v>
      </c>
      <c r="G333" s="19" t="s">
        <v>461</v>
      </c>
      <c r="H333" s="4" t="s">
        <v>22</v>
      </c>
      <c r="I333" s="230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>
        <v>16</v>
      </c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 t="s">
        <v>466</v>
      </c>
      <c r="AI333" s="62"/>
      <c r="AJ333" s="62"/>
      <c r="AK333" s="62"/>
      <c r="AL333" s="62"/>
      <c r="AM333" s="62"/>
      <c r="AN333" s="62"/>
      <c r="AO333" s="62"/>
      <c r="AP333" s="16"/>
      <c r="AQ333" s="16"/>
      <c r="AR333" s="62"/>
      <c r="AS333" s="16"/>
      <c r="AT333" s="16"/>
      <c r="AU333" s="16"/>
      <c r="AV333" s="62"/>
      <c r="AW333" s="16"/>
      <c r="AX333" s="16"/>
      <c r="AY333" s="16"/>
      <c r="AZ333" s="16"/>
      <c r="BA333" s="16"/>
      <c r="BB333" s="16"/>
      <c r="BC333" s="62"/>
      <c r="BD333" s="16"/>
      <c r="BE333" s="16"/>
      <c r="BF333" s="62"/>
      <c r="BG333" s="16"/>
      <c r="BH333" s="62"/>
      <c r="BI333" s="16"/>
      <c r="BJ333" s="62"/>
      <c r="BK333" s="316"/>
      <c r="BL333" s="16"/>
      <c r="BM333" s="16"/>
      <c r="BN333" s="62"/>
      <c r="BO333" s="16"/>
      <c r="BP333" s="16"/>
      <c r="BQ333" s="16"/>
      <c r="BR333" s="16"/>
      <c r="BS333" s="16"/>
      <c r="BT333" s="16"/>
      <c r="BU333" s="16"/>
      <c r="BV333" s="16"/>
      <c r="BW333" s="62"/>
      <c r="BX333" s="16"/>
      <c r="BY333" s="16"/>
      <c r="BZ333" s="16"/>
      <c r="CA333" s="62"/>
      <c r="CB333" s="16"/>
      <c r="CC333" s="16"/>
      <c r="CD333" s="16"/>
      <c r="CE333" s="62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8"/>
      <c r="DM333" s="8"/>
      <c r="DN333" s="8"/>
    </row>
    <row r="334" spans="1:118" ht="13.15" hidden="1" customHeight="1">
      <c r="A334" s="92" t="s">
        <v>12</v>
      </c>
      <c r="B334" s="96" t="s">
        <v>13</v>
      </c>
      <c r="C334" s="268" t="s">
        <v>20</v>
      </c>
      <c r="D334" s="280"/>
      <c r="E334" s="156" t="s">
        <v>456</v>
      </c>
      <c r="F334" s="159" t="s">
        <v>467</v>
      </c>
      <c r="G334" s="19" t="s">
        <v>461</v>
      </c>
      <c r="H334" s="4" t="s">
        <v>22</v>
      </c>
      <c r="I334" s="230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>
        <v>18.3</v>
      </c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16"/>
      <c r="AQ334" s="16"/>
      <c r="AR334" s="62"/>
      <c r="AS334" s="16"/>
      <c r="AT334" s="16"/>
      <c r="AU334" s="16"/>
      <c r="AV334" s="62"/>
      <c r="AW334" s="16"/>
      <c r="AX334" s="16"/>
      <c r="AY334" s="16"/>
      <c r="AZ334" s="16"/>
      <c r="BA334" s="16"/>
      <c r="BB334" s="16"/>
      <c r="BC334" s="62"/>
      <c r="BD334" s="16"/>
      <c r="BE334" s="16"/>
      <c r="BF334" s="62"/>
      <c r="BG334" s="16"/>
      <c r="BH334" s="62"/>
      <c r="BI334" s="16"/>
      <c r="BJ334" s="62"/>
      <c r="BK334" s="316"/>
      <c r="BL334" s="16"/>
      <c r="BM334" s="16"/>
      <c r="BN334" s="62"/>
      <c r="BO334" s="16"/>
      <c r="BP334" s="16"/>
      <c r="BQ334" s="16"/>
      <c r="BR334" s="16"/>
      <c r="BS334" s="16"/>
      <c r="BT334" s="16"/>
      <c r="BU334" s="16"/>
      <c r="BV334" s="16"/>
      <c r="BW334" s="62"/>
      <c r="BX334" s="16"/>
      <c r="BY334" s="16"/>
      <c r="BZ334" s="16"/>
      <c r="CA334" s="62"/>
      <c r="CB334" s="16"/>
      <c r="CC334" s="16"/>
      <c r="CD334" s="16"/>
      <c r="CE334" s="62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8"/>
      <c r="DM334" s="8"/>
      <c r="DN334" s="8"/>
    </row>
    <row r="335" spans="1:118" ht="12.95" hidden="1" customHeight="1">
      <c r="A335" s="91" t="s">
        <v>12</v>
      </c>
      <c r="B335" s="91" t="s">
        <v>13</v>
      </c>
      <c r="C335" s="267" t="s">
        <v>14</v>
      </c>
      <c r="D335" s="279">
        <v>47.71</v>
      </c>
      <c r="E335" s="155" t="s">
        <v>456</v>
      </c>
      <c r="F335" s="160" t="s">
        <v>468</v>
      </c>
      <c r="G335" s="6"/>
      <c r="H335" s="5" t="s">
        <v>16</v>
      </c>
      <c r="I335" s="228"/>
      <c r="J335" s="64"/>
      <c r="K335" s="64"/>
      <c r="L335" s="64"/>
      <c r="M335" s="64"/>
      <c r="N335" s="64"/>
      <c r="O335" s="64"/>
      <c r="P335" s="64"/>
      <c r="Q335" s="64" t="s">
        <v>469</v>
      </c>
      <c r="R335" s="64"/>
      <c r="S335" s="64"/>
      <c r="T335" s="64"/>
      <c r="U335" s="64"/>
      <c r="V335" s="64"/>
      <c r="W335" s="64">
        <v>17.100000000000001</v>
      </c>
      <c r="X335" s="64"/>
      <c r="Y335" s="64"/>
      <c r="Z335" s="64"/>
      <c r="AA335" s="64"/>
      <c r="AB335" s="64">
        <v>19.600000000000001</v>
      </c>
      <c r="AC335" s="64"/>
      <c r="AD335" s="64"/>
      <c r="AE335" s="64"/>
      <c r="AF335" s="64"/>
      <c r="AG335" s="65">
        <v>18.8</v>
      </c>
      <c r="AH335" s="64"/>
      <c r="AI335" s="64"/>
      <c r="AJ335" s="64"/>
      <c r="AK335" s="64" t="s">
        <v>263</v>
      </c>
      <c r="AL335" s="65">
        <v>21.3</v>
      </c>
      <c r="AM335" s="64"/>
      <c r="AN335" s="64"/>
      <c r="AO335" s="64"/>
      <c r="AP335" s="18"/>
      <c r="AQ335" s="18"/>
      <c r="AR335" s="64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64"/>
      <c r="BD335" s="18"/>
      <c r="BE335" s="18"/>
      <c r="BF335" s="64"/>
      <c r="BG335" s="18"/>
      <c r="BH335" s="64"/>
      <c r="BI335" s="18"/>
      <c r="BJ335" s="64"/>
      <c r="BK335" s="65"/>
      <c r="BL335" s="18"/>
      <c r="BM335" s="18"/>
      <c r="BN335" s="64"/>
      <c r="BO335" s="18"/>
      <c r="BP335" s="18"/>
      <c r="BQ335" s="18"/>
      <c r="BR335" s="18"/>
      <c r="BS335" s="18"/>
      <c r="BT335" s="18"/>
      <c r="BU335" s="18"/>
      <c r="BV335" s="18"/>
      <c r="BW335" s="64"/>
      <c r="BX335" s="18"/>
      <c r="BY335" s="18"/>
      <c r="BZ335" s="18"/>
      <c r="CA335" s="64"/>
      <c r="CB335" s="18"/>
      <c r="CC335" s="18"/>
      <c r="CD335" s="18"/>
      <c r="CE335" s="64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8"/>
      <c r="DM335" s="8"/>
      <c r="DN335" s="8"/>
    </row>
    <row r="336" spans="1:118" ht="12.95" hidden="1" customHeight="1">
      <c r="A336" s="91" t="s">
        <v>12</v>
      </c>
      <c r="B336" s="91" t="s">
        <v>13</v>
      </c>
      <c r="C336" s="267" t="s">
        <v>14</v>
      </c>
      <c r="D336" s="279"/>
      <c r="E336" s="155" t="s">
        <v>456</v>
      </c>
      <c r="F336" s="160" t="s">
        <v>470</v>
      </c>
      <c r="G336" s="6"/>
      <c r="H336" s="5" t="s">
        <v>16</v>
      </c>
      <c r="I336" s="231"/>
      <c r="J336" s="61"/>
      <c r="K336" s="61"/>
      <c r="L336" s="61"/>
      <c r="M336" s="61"/>
      <c r="N336" s="117"/>
      <c r="O336" s="118"/>
      <c r="P336" s="118"/>
      <c r="Q336" s="118" t="s">
        <v>471</v>
      </c>
      <c r="R336" s="118"/>
      <c r="S336" s="118"/>
      <c r="T336" s="119"/>
      <c r="U336" s="61"/>
      <c r="V336" s="61"/>
      <c r="W336" s="61">
        <v>17.600000000000001</v>
      </c>
      <c r="X336" s="61"/>
      <c r="Y336" s="61"/>
      <c r="Z336" s="61"/>
      <c r="AA336" s="61"/>
      <c r="AB336" s="61">
        <v>17.600000000000001</v>
      </c>
      <c r="AC336" s="61"/>
      <c r="AD336" s="61"/>
      <c r="AE336" s="61"/>
      <c r="AF336" s="61"/>
      <c r="AG336" s="67">
        <v>19.2</v>
      </c>
      <c r="AH336" s="61"/>
      <c r="AI336" s="61"/>
      <c r="AJ336" s="61"/>
      <c r="AK336" s="61" t="s">
        <v>472</v>
      </c>
      <c r="AL336" s="61"/>
      <c r="AM336" s="61"/>
      <c r="AN336" s="61"/>
      <c r="AO336" s="61"/>
      <c r="AP336" s="1"/>
      <c r="AQ336" s="1"/>
      <c r="AR336" s="6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61"/>
      <c r="BD336" s="1"/>
      <c r="BE336" s="1"/>
      <c r="BF336" s="61"/>
      <c r="BG336" s="1"/>
      <c r="BH336" s="61"/>
      <c r="BI336" s="1"/>
      <c r="BJ336" s="61"/>
      <c r="BK336" s="67"/>
      <c r="BL336" s="1"/>
      <c r="BM336" s="1"/>
      <c r="BN336" s="61"/>
      <c r="BO336" s="1"/>
      <c r="BP336" s="1"/>
      <c r="BQ336" s="1"/>
      <c r="BR336" s="1"/>
      <c r="BS336" s="1"/>
      <c r="BT336" s="1"/>
      <c r="BU336" s="1"/>
      <c r="BV336" s="1"/>
      <c r="BW336" s="61"/>
      <c r="BX336" s="1"/>
      <c r="BY336" s="1"/>
      <c r="BZ336" s="1"/>
      <c r="CA336" s="61"/>
      <c r="CB336" s="1"/>
      <c r="CC336" s="1"/>
      <c r="CD336" s="1"/>
      <c r="CE336" s="6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8"/>
      <c r="DM336" s="8"/>
      <c r="DN336" s="8"/>
    </row>
    <row r="337" spans="1:118" ht="12.95" hidden="1" customHeight="1">
      <c r="A337" s="96" t="s">
        <v>12</v>
      </c>
      <c r="B337" s="96" t="s">
        <v>13</v>
      </c>
      <c r="C337" s="269" t="s">
        <v>14</v>
      </c>
      <c r="D337" s="281">
        <v>49.45</v>
      </c>
      <c r="E337" s="157" t="s">
        <v>456</v>
      </c>
      <c r="F337" s="161" t="s">
        <v>473</v>
      </c>
      <c r="G337" s="102">
        <v>20</v>
      </c>
      <c r="H337" s="109" t="s">
        <v>16</v>
      </c>
      <c r="I337" s="232"/>
      <c r="J337" s="107"/>
      <c r="K337" s="107"/>
      <c r="L337" s="107"/>
      <c r="M337" s="107"/>
      <c r="N337" s="120"/>
      <c r="O337" s="121"/>
      <c r="P337" s="121"/>
      <c r="Q337" s="121"/>
      <c r="R337" s="121"/>
      <c r="S337" s="121"/>
      <c r="T337" s="122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23"/>
      <c r="AP337" s="108"/>
      <c r="AQ337" s="108"/>
      <c r="AR337" s="107"/>
      <c r="AS337" s="108"/>
      <c r="AT337" s="108"/>
      <c r="AU337" s="108"/>
      <c r="AV337" s="108"/>
      <c r="AW337" s="108"/>
      <c r="AX337" s="108"/>
      <c r="AY337" s="108"/>
      <c r="AZ337" s="108"/>
      <c r="BA337" s="108"/>
      <c r="BB337" s="108"/>
      <c r="BC337" s="107"/>
      <c r="BD337" s="108"/>
      <c r="BE337" s="108"/>
      <c r="BF337" s="107"/>
      <c r="BG337" s="108"/>
      <c r="BH337" s="107"/>
      <c r="BI337" s="108"/>
      <c r="BJ337" s="107"/>
      <c r="BK337" s="123"/>
      <c r="BL337" s="108"/>
      <c r="BM337" s="108"/>
      <c r="BN337" s="107"/>
      <c r="BO337" s="108"/>
      <c r="BP337" s="108"/>
      <c r="BQ337" s="108"/>
      <c r="BR337" s="108"/>
      <c r="BS337" s="108"/>
      <c r="BT337" s="108"/>
      <c r="BU337" s="108"/>
      <c r="BV337" s="108"/>
      <c r="BW337" s="107"/>
      <c r="BX337" s="108"/>
      <c r="BY337" s="108"/>
      <c r="BZ337" s="108"/>
      <c r="CA337" s="107"/>
      <c r="CB337" s="108"/>
      <c r="CC337" s="108"/>
      <c r="CD337" s="108"/>
      <c r="CE337" s="107"/>
      <c r="CF337" s="108"/>
      <c r="CG337" s="108"/>
      <c r="CH337" s="108"/>
      <c r="CI337" s="108"/>
      <c r="CJ337" s="108"/>
      <c r="CK337" s="108"/>
      <c r="CL337" s="108"/>
      <c r="CM337" s="108"/>
      <c r="CN337" s="108"/>
      <c r="CO337" s="108"/>
      <c r="CP337" s="108"/>
      <c r="CQ337" s="108"/>
      <c r="CR337" s="108"/>
      <c r="CS337" s="108"/>
      <c r="CT337" s="108"/>
      <c r="CU337" s="108"/>
      <c r="CV337" s="108"/>
      <c r="CW337" s="108"/>
      <c r="CX337" s="108"/>
      <c r="CY337" s="108"/>
      <c r="CZ337" s="108"/>
      <c r="DA337" s="108"/>
      <c r="DB337" s="108"/>
      <c r="DC337" s="108"/>
      <c r="DD337" s="108"/>
      <c r="DE337" s="108"/>
      <c r="DF337" s="108"/>
      <c r="DG337" s="108"/>
      <c r="DH337" s="108"/>
      <c r="DI337" s="108"/>
      <c r="DJ337" s="108"/>
      <c r="DK337" s="108"/>
      <c r="DL337" s="103"/>
      <c r="DM337" s="103"/>
      <c r="DN337" s="103"/>
    </row>
    <row r="338" spans="1:118" s="104" customFormat="1" ht="12.95" hidden="1" customHeight="1">
      <c r="A338" s="96" t="s">
        <v>12</v>
      </c>
      <c r="B338" s="96" t="s">
        <v>13</v>
      </c>
      <c r="C338" s="269" t="s">
        <v>14</v>
      </c>
      <c r="D338" s="281"/>
      <c r="E338" s="157" t="s">
        <v>456</v>
      </c>
      <c r="F338" s="161" t="s">
        <v>474</v>
      </c>
      <c r="G338" s="102">
        <v>20</v>
      </c>
      <c r="H338" s="109" t="s">
        <v>16</v>
      </c>
      <c r="I338" s="232"/>
      <c r="J338" s="107"/>
      <c r="K338" s="107"/>
      <c r="L338" s="123"/>
      <c r="M338" s="107"/>
      <c r="N338" s="120"/>
      <c r="O338" s="121"/>
      <c r="P338" s="124"/>
      <c r="Q338" s="121">
        <v>16</v>
      </c>
      <c r="R338" s="121"/>
      <c r="S338" s="121"/>
      <c r="T338" s="122"/>
      <c r="U338" s="107"/>
      <c r="V338" s="107"/>
      <c r="W338" s="107">
        <v>18.399999999999999</v>
      </c>
      <c r="X338" s="107"/>
      <c r="Y338" s="107"/>
      <c r="Z338" s="107"/>
      <c r="AA338" s="107">
        <v>19.600000000000001</v>
      </c>
      <c r="AB338" s="107"/>
      <c r="AC338" s="107"/>
      <c r="AD338" s="107"/>
      <c r="AE338" s="123">
        <v>20.2</v>
      </c>
      <c r="AF338" s="107"/>
      <c r="AG338" s="107">
        <v>20.6</v>
      </c>
      <c r="AH338" s="107"/>
      <c r="AI338" s="107"/>
      <c r="AJ338" s="107"/>
      <c r="AK338" s="107"/>
      <c r="AL338" s="107"/>
      <c r="AM338" s="107"/>
      <c r="AN338" s="107"/>
      <c r="AO338" s="107"/>
      <c r="AP338" s="108"/>
      <c r="AQ338" s="108"/>
      <c r="AR338" s="107"/>
      <c r="AS338" s="108"/>
      <c r="AT338" s="108"/>
      <c r="AU338" s="108"/>
      <c r="AV338" s="108"/>
      <c r="AW338" s="108"/>
      <c r="AX338" s="108"/>
      <c r="AY338" s="108"/>
      <c r="AZ338" s="108"/>
      <c r="BA338" s="108"/>
      <c r="BB338" s="108"/>
      <c r="BC338" s="107"/>
      <c r="BD338" s="108"/>
      <c r="BE338" s="108"/>
      <c r="BF338" s="107"/>
      <c r="BG338" s="108"/>
      <c r="BH338" s="107"/>
      <c r="BI338" s="108"/>
      <c r="BJ338" s="107"/>
      <c r="BK338" s="123"/>
      <c r="BL338" s="108"/>
      <c r="BM338" s="108"/>
      <c r="BN338" s="107"/>
      <c r="BO338" s="108"/>
      <c r="BP338" s="108"/>
      <c r="BQ338" s="108"/>
      <c r="BR338" s="108"/>
      <c r="BS338" s="108"/>
      <c r="BT338" s="108"/>
      <c r="BU338" s="108"/>
      <c r="BV338" s="108"/>
      <c r="BW338" s="107"/>
      <c r="BX338" s="108"/>
      <c r="BY338" s="108"/>
      <c r="BZ338" s="108"/>
      <c r="CA338" s="107"/>
      <c r="CB338" s="108"/>
      <c r="CC338" s="108"/>
      <c r="CD338" s="108"/>
      <c r="CE338" s="107"/>
      <c r="CF338" s="108"/>
      <c r="CG338" s="108"/>
      <c r="CH338" s="108"/>
      <c r="CI338" s="108"/>
      <c r="CJ338" s="108"/>
      <c r="CK338" s="108"/>
      <c r="CL338" s="108"/>
      <c r="CM338" s="108"/>
      <c r="CN338" s="108"/>
      <c r="CO338" s="108"/>
      <c r="CP338" s="108"/>
      <c r="CQ338" s="108"/>
      <c r="CR338" s="108"/>
      <c r="CS338" s="108"/>
      <c r="CT338" s="108"/>
      <c r="CU338" s="108"/>
      <c r="CV338" s="108"/>
      <c r="CW338" s="108"/>
      <c r="CX338" s="108"/>
      <c r="CY338" s="108"/>
      <c r="CZ338" s="108"/>
      <c r="DA338" s="108"/>
      <c r="DB338" s="108"/>
      <c r="DC338" s="108"/>
      <c r="DD338" s="108"/>
      <c r="DE338" s="108"/>
      <c r="DF338" s="108"/>
      <c r="DG338" s="108"/>
      <c r="DH338" s="108"/>
      <c r="DI338" s="108"/>
      <c r="DJ338" s="108"/>
      <c r="DK338" s="108"/>
      <c r="DL338" s="103"/>
      <c r="DM338" s="103"/>
      <c r="DN338" s="103"/>
    </row>
    <row r="339" spans="1:118" s="104" customFormat="1" ht="12.95" hidden="1" customHeight="1">
      <c r="A339" s="96" t="s">
        <v>12</v>
      </c>
      <c r="B339" s="96" t="s">
        <v>13</v>
      </c>
      <c r="C339" s="269" t="s">
        <v>14</v>
      </c>
      <c r="D339" s="281"/>
      <c r="E339" s="157" t="s">
        <v>456</v>
      </c>
      <c r="F339" s="161" t="s">
        <v>475</v>
      </c>
      <c r="G339" s="102">
        <v>20</v>
      </c>
      <c r="H339" s="109" t="s">
        <v>16</v>
      </c>
      <c r="I339" s="232"/>
      <c r="J339" s="107"/>
      <c r="K339" s="107"/>
      <c r="L339" s="107"/>
      <c r="M339" s="107"/>
      <c r="N339" s="120"/>
      <c r="O339" s="121"/>
      <c r="P339" s="124"/>
      <c r="Q339" s="121">
        <v>15.4</v>
      </c>
      <c r="R339" s="121"/>
      <c r="S339" s="121"/>
      <c r="T339" s="122"/>
      <c r="U339" s="107"/>
      <c r="V339" s="107"/>
      <c r="W339" s="107">
        <v>18.5</v>
      </c>
      <c r="X339" s="107"/>
      <c r="Y339" s="107"/>
      <c r="Z339" s="107"/>
      <c r="AA339" s="107">
        <v>19</v>
      </c>
      <c r="AB339" s="107"/>
      <c r="AC339" s="107"/>
      <c r="AD339" s="107"/>
      <c r="AE339" s="107">
        <v>19.8</v>
      </c>
      <c r="AF339" s="107"/>
      <c r="AG339" s="107">
        <v>19.399999999999999</v>
      </c>
      <c r="AH339" s="107"/>
      <c r="AI339" s="107"/>
      <c r="AJ339" s="107"/>
      <c r="AK339" s="107"/>
      <c r="AL339" s="107"/>
      <c r="AM339" s="107"/>
      <c r="AN339" s="107"/>
      <c r="AO339" s="107"/>
      <c r="AP339" s="108"/>
      <c r="AQ339" s="108"/>
      <c r="AR339" s="107"/>
      <c r="AS339" s="108"/>
      <c r="AT339" s="108"/>
      <c r="AU339" s="108"/>
      <c r="AV339" s="108"/>
      <c r="AW339" s="108"/>
      <c r="AX339" s="108"/>
      <c r="AY339" s="108"/>
      <c r="AZ339" s="108"/>
      <c r="BA339" s="108"/>
      <c r="BB339" s="108"/>
      <c r="BC339" s="107"/>
      <c r="BD339" s="108"/>
      <c r="BE339" s="108"/>
      <c r="BF339" s="107"/>
      <c r="BG339" s="108"/>
      <c r="BH339" s="107"/>
      <c r="BI339" s="108"/>
      <c r="BJ339" s="107"/>
      <c r="BK339" s="123"/>
      <c r="BL339" s="108"/>
      <c r="BM339" s="108"/>
      <c r="BN339" s="107"/>
      <c r="BO339" s="108"/>
      <c r="BP339" s="108"/>
      <c r="BQ339" s="108"/>
      <c r="BR339" s="108"/>
      <c r="BS339" s="108"/>
      <c r="BT339" s="108"/>
      <c r="BU339" s="108"/>
      <c r="BV339" s="108"/>
      <c r="BW339" s="107"/>
      <c r="BX339" s="108"/>
      <c r="BY339" s="108"/>
      <c r="BZ339" s="108"/>
      <c r="CA339" s="107"/>
      <c r="CB339" s="108"/>
      <c r="CC339" s="108"/>
      <c r="CD339" s="108"/>
      <c r="CE339" s="107"/>
      <c r="CF339" s="108"/>
      <c r="CG339" s="108"/>
      <c r="CH339" s="108"/>
      <c r="CI339" s="108"/>
      <c r="CJ339" s="108"/>
      <c r="CK339" s="108"/>
      <c r="CL339" s="108"/>
      <c r="CM339" s="108"/>
      <c r="CN339" s="108"/>
      <c r="CO339" s="108"/>
      <c r="CP339" s="108"/>
      <c r="CQ339" s="108"/>
      <c r="CR339" s="108"/>
      <c r="CS339" s="108"/>
      <c r="CT339" s="108"/>
      <c r="CU339" s="108"/>
      <c r="CV339" s="108"/>
      <c r="CW339" s="108"/>
      <c r="CX339" s="108"/>
      <c r="CY339" s="108"/>
      <c r="CZ339" s="108"/>
      <c r="DA339" s="108"/>
      <c r="DB339" s="108"/>
      <c r="DC339" s="108"/>
      <c r="DD339" s="108"/>
      <c r="DE339" s="108"/>
      <c r="DF339" s="108"/>
      <c r="DG339" s="108"/>
      <c r="DH339" s="108"/>
      <c r="DI339" s="108"/>
      <c r="DJ339" s="108"/>
      <c r="DK339" s="108"/>
      <c r="DL339" s="103"/>
      <c r="DM339" s="103"/>
      <c r="DN339" s="103"/>
    </row>
    <row r="340" spans="1:118" s="104" customFormat="1" ht="12.95" hidden="1" customHeight="1">
      <c r="A340" s="91" t="s">
        <v>12</v>
      </c>
      <c r="B340" s="91" t="s">
        <v>13</v>
      </c>
      <c r="C340" s="267" t="s">
        <v>14</v>
      </c>
      <c r="D340" s="279">
        <v>56.02</v>
      </c>
      <c r="E340" s="155" t="s">
        <v>456</v>
      </c>
      <c r="F340" s="160" t="s">
        <v>476</v>
      </c>
      <c r="G340" s="6"/>
      <c r="H340" s="5" t="s">
        <v>16</v>
      </c>
      <c r="I340" s="231"/>
      <c r="J340" s="61"/>
      <c r="K340" s="61"/>
      <c r="L340" s="61"/>
      <c r="M340" s="61"/>
      <c r="N340" s="61"/>
      <c r="O340" s="64"/>
      <c r="P340" s="65"/>
      <c r="Q340" s="64"/>
      <c r="R340" s="64"/>
      <c r="S340" s="64">
        <v>14.2</v>
      </c>
      <c r="T340" s="61"/>
      <c r="U340" s="61"/>
      <c r="V340" s="61"/>
      <c r="W340" s="61"/>
      <c r="X340" s="61"/>
      <c r="Y340" s="61"/>
      <c r="Z340" s="61"/>
      <c r="AA340" s="67"/>
      <c r="AB340" s="61"/>
      <c r="AC340" s="61"/>
      <c r="AD340" s="61"/>
      <c r="AE340" s="61">
        <v>17.5</v>
      </c>
      <c r="AF340" s="61"/>
      <c r="AG340" s="61"/>
      <c r="AH340" s="61"/>
      <c r="AI340" s="61"/>
      <c r="AJ340" s="61"/>
      <c r="AK340" s="61"/>
      <c r="AL340" s="61" t="s">
        <v>439</v>
      </c>
      <c r="AM340" s="67">
        <v>20.7</v>
      </c>
      <c r="AN340" s="61"/>
      <c r="AO340" s="61"/>
      <c r="AP340" s="1"/>
      <c r="AQ340" s="1"/>
      <c r="AR340" s="61"/>
      <c r="AS340" s="1"/>
      <c r="AT340" s="1"/>
      <c r="AU340" s="1"/>
      <c r="AV340" s="1"/>
      <c r="AW340" s="1"/>
      <c r="AX340" s="1"/>
      <c r="AY340" s="1"/>
      <c r="AZ340" s="21"/>
      <c r="BA340" s="1"/>
      <c r="BB340" s="1"/>
      <c r="BC340" s="61"/>
      <c r="BD340" s="1"/>
      <c r="BE340" s="1"/>
      <c r="BF340" s="61"/>
      <c r="BG340" s="1"/>
      <c r="BH340" s="61"/>
      <c r="BI340" s="1"/>
      <c r="BJ340" s="61"/>
      <c r="BK340" s="67"/>
      <c r="BL340" s="1"/>
      <c r="BM340" s="1"/>
      <c r="BN340" s="61"/>
      <c r="BO340" s="1"/>
      <c r="BP340" s="1"/>
      <c r="BQ340" s="1"/>
      <c r="BR340" s="1"/>
      <c r="BS340" s="1"/>
      <c r="BT340" s="1"/>
      <c r="BU340" s="1"/>
      <c r="BV340" s="1"/>
      <c r="BW340" s="61"/>
      <c r="BX340" s="1"/>
      <c r="BY340" s="1"/>
      <c r="BZ340" s="1"/>
      <c r="CA340" s="61"/>
      <c r="CB340" s="1"/>
      <c r="CC340" s="1"/>
      <c r="CD340" s="1"/>
      <c r="CE340" s="6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8"/>
      <c r="DM340" s="8"/>
      <c r="DN340" s="8"/>
    </row>
    <row r="341" spans="1:118" ht="12.95" hidden="1" customHeight="1">
      <c r="A341" s="91" t="s">
        <v>12</v>
      </c>
      <c r="B341" s="91" t="s">
        <v>13</v>
      </c>
      <c r="C341" s="267" t="s">
        <v>14</v>
      </c>
      <c r="D341" s="279"/>
      <c r="E341" s="155" t="s">
        <v>456</v>
      </c>
      <c r="F341" s="160" t="s">
        <v>477</v>
      </c>
      <c r="G341" s="6"/>
      <c r="H341" s="5" t="s">
        <v>16</v>
      </c>
      <c r="I341" s="231"/>
      <c r="J341" s="61"/>
      <c r="K341" s="61"/>
      <c r="L341" s="61"/>
      <c r="M341" s="61"/>
      <c r="N341" s="61"/>
      <c r="O341" s="61"/>
      <c r="P341" s="67"/>
      <c r="Q341" s="61"/>
      <c r="R341" s="61"/>
      <c r="S341" s="61">
        <v>14</v>
      </c>
      <c r="T341" s="61"/>
      <c r="U341" s="61"/>
      <c r="V341" s="61"/>
      <c r="W341" s="61"/>
      <c r="X341" s="61"/>
      <c r="Y341" s="61"/>
      <c r="Z341" s="61"/>
      <c r="AA341" s="67"/>
      <c r="AB341" s="61"/>
      <c r="AC341" s="61"/>
      <c r="AD341" s="61"/>
      <c r="AE341" s="61">
        <v>17.8</v>
      </c>
      <c r="AF341" s="61"/>
      <c r="AG341" s="61"/>
      <c r="AH341" s="61"/>
      <c r="AI341" s="61"/>
      <c r="AJ341" s="61"/>
      <c r="AK341" s="61"/>
      <c r="AL341" s="61" t="s">
        <v>478</v>
      </c>
      <c r="AM341" s="61">
        <v>20.6</v>
      </c>
      <c r="AN341" s="61"/>
      <c r="AO341" s="61"/>
      <c r="AP341" s="1"/>
      <c r="AQ341" s="1"/>
      <c r="AR341" s="61"/>
      <c r="AS341" s="1"/>
      <c r="AT341" s="1"/>
      <c r="AU341" s="1"/>
      <c r="AV341" s="1"/>
      <c r="AW341" s="1"/>
      <c r="AX341" s="1"/>
      <c r="AY341" s="1"/>
      <c r="AZ341" s="21"/>
      <c r="BA341" s="1"/>
      <c r="BB341" s="1"/>
      <c r="BC341" s="61"/>
      <c r="BD341" s="1"/>
      <c r="BE341" s="1"/>
      <c r="BF341" s="61"/>
      <c r="BG341" s="1"/>
      <c r="BH341" s="61"/>
      <c r="BI341" s="1"/>
      <c r="BJ341" s="61"/>
      <c r="BK341" s="67"/>
      <c r="BL341" s="1"/>
      <c r="BM341" s="1"/>
      <c r="BN341" s="61"/>
      <c r="BO341" s="1"/>
      <c r="BP341" s="1"/>
      <c r="BQ341" s="1"/>
      <c r="BR341" s="1"/>
      <c r="BS341" s="1"/>
      <c r="BT341" s="1"/>
      <c r="BU341" s="1"/>
      <c r="BV341" s="1"/>
      <c r="BW341" s="61"/>
      <c r="BX341" s="1"/>
      <c r="BY341" s="1"/>
      <c r="BZ341" s="1"/>
      <c r="CA341" s="61"/>
      <c r="CB341" s="1"/>
      <c r="CC341" s="1"/>
      <c r="CD341" s="1"/>
      <c r="CE341" s="6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8"/>
      <c r="DM341" s="8"/>
      <c r="DN341" s="8"/>
    </row>
    <row r="342" spans="1:118" ht="13.15" hidden="1" customHeight="1">
      <c r="A342" s="96" t="s">
        <v>12</v>
      </c>
      <c r="B342" s="96" t="s">
        <v>13</v>
      </c>
      <c r="C342" s="269" t="s">
        <v>14</v>
      </c>
      <c r="D342" s="281">
        <v>21.38</v>
      </c>
      <c r="E342" s="157" t="s">
        <v>456</v>
      </c>
      <c r="F342" s="161" t="s">
        <v>479</v>
      </c>
      <c r="G342" s="102">
        <v>21.5</v>
      </c>
      <c r="H342" s="109" t="s">
        <v>480</v>
      </c>
      <c r="I342" s="232"/>
      <c r="J342" s="107"/>
      <c r="K342" s="107"/>
      <c r="L342" s="107"/>
      <c r="M342" s="107"/>
      <c r="N342" s="107"/>
      <c r="O342" s="107"/>
      <c r="P342" s="107"/>
      <c r="Q342" s="107"/>
      <c r="R342" s="107">
        <v>16.8</v>
      </c>
      <c r="S342" s="107"/>
      <c r="T342" s="107"/>
      <c r="U342" s="107"/>
      <c r="V342" s="107"/>
      <c r="W342" s="107"/>
      <c r="X342" s="107"/>
      <c r="Y342" s="107">
        <v>20</v>
      </c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8"/>
      <c r="AQ342" s="108"/>
      <c r="AR342" s="107"/>
      <c r="AS342" s="108"/>
      <c r="AT342" s="108"/>
      <c r="AU342" s="108"/>
      <c r="AV342" s="108"/>
      <c r="AW342" s="108"/>
      <c r="AX342" s="108"/>
      <c r="AY342" s="108"/>
      <c r="AZ342" s="108"/>
      <c r="BA342" s="108"/>
      <c r="BB342" s="108"/>
      <c r="BC342" s="107"/>
      <c r="BD342" s="108"/>
      <c r="BE342" s="108"/>
      <c r="BF342" s="107"/>
      <c r="BG342" s="108"/>
      <c r="BH342" s="107"/>
      <c r="BI342" s="108"/>
      <c r="BJ342" s="107"/>
      <c r="BK342" s="123"/>
      <c r="BL342" s="108"/>
      <c r="BM342" s="108"/>
      <c r="BN342" s="107"/>
      <c r="BO342" s="108"/>
      <c r="BP342" s="108"/>
      <c r="BQ342" s="108"/>
      <c r="BR342" s="108"/>
      <c r="BS342" s="108"/>
      <c r="BT342" s="108"/>
      <c r="BU342" s="108"/>
      <c r="BV342" s="108"/>
      <c r="BW342" s="107"/>
      <c r="BX342" s="108"/>
      <c r="BY342" s="108"/>
      <c r="BZ342" s="108"/>
      <c r="CA342" s="107"/>
      <c r="CB342" s="108"/>
      <c r="CC342" s="108"/>
      <c r="CD342" s="108"/>
      <c r="CE342" s="107"/>
      <c r="CF342" s="108"/>
      <c r="CG342" s="108"/>
      <c r="CH342" s="108"/>
      <c r="CI342" s="108"/>
      <c r="CJ342" s="108"/>
      <c r="CK342" s="108"/>
      <c r="CL342" s="108"/>
      <c r="CM342" s="108"/>
      <c r="CN342" s="108"/>
      <c r="CO342" s="108"/>
      <c r="CP342" s="108"/>
      <c r="CQ342" s="108"/>
      <c r="CR342" s="108"/>
      <c r="CS342" s="108"/>
      <c r="CT342" s="108"/>
      <c r="CU342" s="108"/>
      <c r="CV342" s="108"/>
      <c r="CW342" s="108"/>
      <c r="CX342" s="108"/>
      <c r="CY342" s="108"/>
      <c r="CZ342" s="108"/>
      <c r="DA342" s="108"/>
      <c r="DB342" s="108"/>
      <c r="DC342" s="108"/>
      <c r="DD342" s="108"/>
      <c r="DE342" s="108"/>
      <c r="DF342" s="108"/>
      <c r="DG342" s="108"/>
      <c r="DH342" s="108"/>
      <c r="DI342" s="108"/>
      <c r="DJ342" s="108"/>
      <c r="DK342" s="108"/>
      <c r="DL342" s="103"/>
      <c r="DM342" s="103"/>
      <c r="DN342" s="103"/>
    </row>
    <row r="343" spans="1:118" s="104" customFormat="1" ht="13.15" hidden="1" customHeight="1">
      <c r="A343" s="96" t="s">
        <v>12</v>
      </c>
      <c r="B343" s="96" t="s">
        <v>13</v>
      </c>
      <c r="C343" s="269" t="s">
        <v>14</v>
      </c>
      <c r="D343" s="281"/>
      <c r="E343" s="157" t="s">
        <v>456</v>
      </c>
      <c r="F343" s="161" t="s">
        <v>481</v>
      </c>
      <c r="G343" s="102">
        <v>21.5</v>
      </c>
      <c r="H343" s="109" t="s">
        <v>480</v>
      </c>
      <c r="I343" s="232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8"/>
      <c r="AQ343" s="108"/>
      <c r="AR343" s="107"/>
      <c r="AS343" s="108"/>
      <c r="AT343" s="108"/>
      <c r="AU343" s="108"/>
      <c r="AV343" s="108"/>
      <c r="AW343" s="108"/>
      <c r="AX343" s="108"/>
      <c r="AY343" s="108"/>
      <c r="AZ343" s="108"/>
      <c r="BA343" s="108"/>
      <c r="BB343" s="108"/>
      <c r="BC343" s="107"/>
      <c r="BD343" s="108"/>
      <c r="BE343" s="108"/>
      <c r="BF343" s="107"/>
      <c r="BG343" s="108"/>
      <c r="BH343" s="107"/>
      <c r="BI343" s="108"/>
      <c r="BJ343" s="107"/>
      <c r="BK343" s="123"/>
      <c r="BL343" s="108"/>
      <c r="BM343" s="108"/>
      <c r="BN343" s="107"/>
      <c r="BO343" s="108"/>
      <c r="BP343" s="108"/>
      <c r="BQ343" s="108"/>
      <c r="BR343" s="108"/>
      <c r="BS343" s="108"/>
      <c r="BT343" s="108"/>
      <c r="BU343" s="108"/>
      <c r="BV343" s="108"/>
      <c r="BW343" s="107"/>
      <c r="BX343" s="108"/>
      <c r="BY343" s="108"/>
      <c r="BZ343" s="108"/>
      <c r="CA343" s="107"/>
      <c r="CB343" s="108"/>
      <c r="CC343" s="108"/>
      <c r="CD343" s="108"/>
      <c r="CE343" s="107"/>
      <c r="CF343" s="108"/>
      <c r="CG343" s="108"/>
      <c r="CH343" s="108"/>
      <c r="CI343" s="108"/>
      <c r="CJ343" s="108"/>
      <c r="CK343" s="108"/>
      <c r="CL343" s="108"/>
      <c r="CM343" s="108"/>
      <c r="CN343" s="108"/>
      <c r="CO343" s="108"/>
      <c r="CP343" s="108"/>
      <c r="CQ343" s="108"/>
      <c r="CR343" s="108"/>
      <c r="CS343" s="108"/>
      <c r="CT343" s="108"/>
      <c r="CU343" s="108"/>
      <c r="CV343" s="108"/>
      <c r="CW343" s="108"/>
      <c r="CX343" s="108"/>
      <c r="CY343" s="108"/>
      <c r="CZ343" s="108"/>
      <c r="DA343" s="108"/>
      <c r="DB343" s="108"/>
      <c r="DC343" s="108"/>
      <c r="DD343" s="108"/>
      <c r="DE343" s="108"/>
      <c r="DF343" s="108"/>
      <c r="DG343" s="108"/>
      <c r="DH343" s="108"/>
      <c r="DI343" s="108"/>
      <c r="DJ343" s="108"/>
      <c r="DK343" s="108"/>
      <c r="DL343" s="103"/>
      <c r="DM343" s="103"/>
      <c r="DN343" s="103"/>
    </row>
    <row r="344" spans="1:118" s="104" customFormat="1" ht="13.15" hidden="1" customHeight="1">
      <c r="A344" s="96" t="s">
        <v>12</v>
      </c>
      <c r="B344" s="96" t="s">
        <v>13</v>
      </c>
      <c r="C344" s="269" t="s">
        <v>14</v>
      </c>
      <c r="D344" s="281"/>
      <c r="E344" s="157" t="s">
        <v>456</v>
      </c>
      <c r="F344" s="161" t="s">
        <v>482</v>
      </c>
      <c r="G344" s="102">
        <v>21.5</v>
      </c>
      <c r="H344" s="109" t="s">
        <v>480</v>
      </c>
      <c r="I344" s="232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8"/>
      <c r="AQ344" s="108"/>
      <c r="AR344" s="107"/>
      <c r="AS344" s="108"/>
      <c r="AT344" s="108"/>
      <c r="AU344" s="108"/>
      <c r="AV344" s="108"/>
      <c r="AW344" s="108"/>
      <c r="AX344" s="108"/>
      <c r="AY344" s="108"/>
      <c r="AZ344" s="108"/>
      <c r="BA344" s="108"/>
      <c r="BB344" s="108"/>
      <c r="BC344" s="107"/>
      <c r="BD344" s="108"/>
      <c r="BE344" s="108"/>
      <c r="BF344" s="107"/>
      <c r="BG344" s="108"/>
      <c r="BH344" s="107"/>
      <c r="BI344" s="108"/>
      <c r="BJ344" s="107"/>
      <c r="BK344" s="123"/>
      <c r="BL344" s="108"/>
      <c r="BM344" s="108"/>
      <c r="BN344" s="107"/>
      <c r="BO344" s="108"/>
      <c r="BP344" s="108"/>
      <c r="BQ344" s="108"/>
      <c r="BR344" s="108"/>
      <c r="BS344" s="108"/>
      <c r="BT344" s="108"/>
      <c r="BU344" s="108"/>
      <c r="BV344" s="108"/>
      <c r="BW344" s="107"/>
      <c r="BX344" s="108"/>
      <c r="BY344" s="108"/>
      <c r="BZ344" s="108"/>
      <c r="CA344" s="107"/>
      <c r="CB344" s="108"/>
      <c r="CC344" s="108"/>
      <c r="CD344" s="108"/>
      <c r="CE344" s="107"/>
      <c r="CF344" s="108"/>
      <c r="CG344" s="108"/>
      <c r="CH344" s="108"/>
      <c r="CI344" s="108"/>
      <c r="CJ344" s="108"/>
      <c r="CK344" s="108"/>
      <c r="CL344" s="108"/>
      <c r="CM344" s="108"/>
      <c r="CN344" s="108"/>
      <c r="CO344" s="108"/>
      <c r="CP344" s="108"/>
      <c r="CQ344" s="108"/>
      <c r="CR344" s="108"/>
      <c r="CS344" s="108"/>
      <c r="CT344" s="108"/>
      <c r="CU344" s="108"/>
      <c r="CV344" s="108"/>
      <c r="CW344" s="108"/>
      <c r="CX344" s="108"/>
      <c r="CY344" s="108"/>
      <c r="CZ344" s="108"/>
      <c r="DA344" s="108"/>
      <c r="DB344" s="108"/>
      <c r="DC344" s="108"/>
      <c r="DD344" s="108"/>
      <c r="DE344" s="108"/>
      <c r="DF344" s="108"/>
      <c r="DG344" s="108"/>
      <c r="DH344" s="108"/>
      <c r="DI344" s="108"/>
      <c r="DJ344" s="108"/>
      <c r="DK344" s="108"/>
      <c r="DL344" s="103"/>
      <c r="DM344" s="103"/>
      <c r="DN344" s="103"/>
    </row>
    <row r="345" spans="1:118" s="104" customFormat="1" ht="12.95" hidden="1" customHeight="1">
      <c r="A345" s="91" t="s">
        <v>12</v>
      </c>
      <c r="B345" s="91"/>
      <c r="C345" s="267" t="s">
        <v>14</v>
      </c>
      <c r="D345" s="279">
        <v>7.06</v>
      </c>
      <c r="E345" s="155" t="s">
        <v>456</v>
      </c>
      <c r="F345" s="160" t="s">
        <v>102</v>
      </c>
      <c r="G345" s="6">
        <v>20</v>
      </c>
      <c r="H345" s="5" t="s">
        <v>16</v>
      </c>
      <c r="I345" s="231"/>
      <c r="J345" s="61"/>
      <c r="K345" s="61"/>
      <c r="L345" s="61"/>
      <c r="M345" s="61"/>
      <c r="N345" s="61"/>
      <c r="O345" s="61"/>
      <c r="P345" s="61"/>
      <c r="Q345" s="61"/>
      <c r="R345" s="61"/>
      <c r="S345" s="61">
        <v>14.6</v>
      </c>
      <c r="T345" s="61"/>
      <c r="U345" s="61"/>
      <c r="V345" s="61"/>
      <c r="W345" s="61"/>
      <c r="X345" s="61"/>
      <c r="Y345" s="61"/>
      <c r="Z345" s="61">
        <v>15.2</v>
      </c>
      <c r="AA345" s="61"/>
      <c r="AB345" s="61"/>
      <c r="AC345" s="61"/>
      <c r="AD345" s="61"/>
      <c r="AE345" s="61"/>
      <c r="AF345" s="61"/>
      <c r="AG345" s="61"/>
      <c r="AH345" s="61">
        <v>17</v>
      </c>
      <c r="AI345" s="61"/>
      <c r="AJ345" s="61"/>
      <c r="AK345" s="61"/>
      <c r="AL345" s="61"/>
      <c r="AM345" s="61"/>
      <c r="AN345" s="61"/>
      <c r="AO345" s="67">
        <v>19.3</v>
      </c>
      <c r="AP345" s="21"/>
      <c r="AQ345" s="1"/>
      <c r="AR345" s="61"/>
      <c r="AS345" s="1"/>
      <c r="AT345" s="1"/>
      <c r="AU345" s="1"/>
      <c r="AV345" s="61"/>
      <c r="AW345" s="1"/>
      <c r="AX345" s="1"/>
      <c r="AY345" s="1"/>
      <c r="AZ345" s="1"/>
      <c r="BA345" s="1"/>
      <c r="BB345" s="1"/>
      <c r="BC345" s="61"/>
      <c r="BD345" s="1"/>
      <c r="BE345" s="1"/>
      <c r="BF345" s="61"/>
      <c r="BG345" s="1"/>
      <c r="BH345" s="61"/>
      <c r="BI345" s="1"/>
      <c r="BJ345" s="61"/>
      <c r="BK345" s="67"/>
      <c r="BL345" s="1"/>
      <c r="BM345" s="1"/>
      <c r="BN345" s="61"/>
      <c r="BO345" s="1"/>
      <c r="BP345" s="1"/>
      <c r="BQ345" s="1"/>
      <c r="BR345" s="1"/>
      <c r="BS345" s="1"/>
      <c r="BT345" s="1"/>
      <c r="BU345" s="1"/>
      <c r="BV345" s="1"/>
      <c r="BW345" s="61"/>
      <c r="BX345" s="1"/>
      <c r="BY345" s="1"/>
      <c r="BZ345" s="1"/>
      <c r="CA345" s="61"/>
      <c r="CB345" s="1"/>
      <c r="CC345" s="1"/>
      <c r="CD345" s="1"/>
      <c r="CE345" s="6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8"/>
      <c r="DM345" s="8"/>
      <c r="DN345" s="8"/>
    </row>
    <row r="346" spans="1:118" ht="12.75" hidden="1" customHeight="1">
      <c r="A346" s="96" t="s">
        <v>12</v>
      </c>
      <c r="B346" s="96"/>
      <c r="C346" s="269" t="s">
        <v>20</v>
      </c>
      <c r="D346" s="281">
        <v>10.58</v>
      </c>
      <c r="E346" s="157" t="s">
        <v>456</v>
      </c>
      <c r="F346" s="161" t="s">
        <v>483</v>
      </c>
      <c r="G346" s="102"/>
      <c r="H346" s="109"/>
      <c r="I346" s="232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>
        <v>18.399999999999999</v>
      </c>
      <c r="T346" s="107"/>
      <c r="U346" s="107"/>
      <c r="V346" s="107"/>
      <c r="W346" s="107"/>
      <c r="X346" s="107"/>
      <c r="Y346" s="107"/>
      <c r="Z346" s="107"/>
      <c r="AA346" s="107">
        <v>19.8</v>
      </c>
      <c r="AB346" s="107"/>
      <c r="AC346" s="107"/>
      <c r="AD346" s="107"/>
      <c r="AE346" s="107"/>
      <c r="AF346" s="107"/>
      <c r="AG346" s="107">
        <v>20.100000000000001</v>
      </c>
      <c r="AH346" s="123"/>
      <c r="AI346" s="107"/>
      <c r="AJ346" s="107"/>
      <c r="AK346" s="107"/>
      <c r="AL346" s="107"/>
      <c r="AM346" s="107"/>
      <c r="AN346" s="107"/>
      <c r="AO346" s="107">
        <v>23.6</v>
      </c>
      <c r="AP346" s="108"/>
      <c r="AQ346" s="108"/>
      <c r="AR346" s="107"/>
      <c r="AS346" s="337">
        <v>23.4</v>
      </c>
      <c r="AT346" s="108"/>
      <c r="AU346" s="108"/>
      <c r="AV346" s="107"/>
      <c r="AW346" s="108"/>
      <c r="AX346" s="108"/>
      <c r="AY346" s="108"/>
      <c r="AZ346" s="108"/>
      <c r="BA346" s="108"/>
      <c r="BB346" s="108"/>
      <c r="BC346" s="107"/>
      <c r="BD346" s="108"/>
      <c r="BE346" s="108"/>
      <c r="BF346" s="107"/>
      <c r="BG346" s="108"/>
      <c r="BH346" s="107"/>
      <c r="BI346" s="108"/>
      <c r="BJ346" s="107"/>
      <c r="BK346" s="123"/>
      <c r="BL346" s="108"/>
      <c r="BM346" s="108"/>
      <c r="BN346" s="107"/>
      <c r="BO346" s="108"/>
      <c r="BP346" s="108"/>
      <c r="BQ346" s="108"/>
      <c r="BR346" s="108"/>
      <c r="BS346" s="108"/>
      <c r="BT346" s="108"/>
      <c r="BU346" s="108"/>
      <c r="BV346" s="108"/>
      <c r="BW346" s="107"/>
      <c r="BX346" s="108"/>
      <c r="BY346" s="108"/>
      <c r="BZ346" s="108"/>
      <c r="CA346" s="107"/>
      <c r="CB346" s="108"/>
      <c r="CC346" s="108"/>
      <c r="CD346" s="108"/>
      <c r="CE346" s="107"/>
      <c r="CF346" s="108"/>
      <c r="CG346" s="108"/>
      <c r="CH346" s="108"/>
      <c r="CI346" s="108"/>
      <c r="CJ346" s="108"/>
      <c r="CK346" s="108"/>
      <c r="CL346" s="108"/>
      <c r="CM346" s="108"/>
      <c r="CN346" s="108"/>
      <c r="CO346" s="108"/>
      <c r="CP346" s="108"/>
      <c r="CQ346" s="108"/>
      <c r="CR346" s="108"/>
      <c r="CS346" s="108"/>
      <c r="CT346" s="108"/>
      <c r="CU346" s="108"/>
      <c r="CV346" s="108"/>
      <c r="CW346" s="108"/>
      <c r="CX346" s="108"/>
      <c r="CY346" s="108"/>
      <c r="CZ346" s="108"/>
      <c r="DA346" s="108"/>
      <c r="DB346" s="108"/>
      <c r="DC346" s="108"/>
      <c r="DD346" s="108"/>
      <c r="DE346" s="108"/>
      <c r="DF346" s="108"/>
      <c r="DG346" s="108"/>
      <c r="DH346" s="108"/>
      <c r="DI346" s="108"/>
      <c r="DJ346" s="108"/>
      <c r="DK346" s="108"/>
      <c r="DL346" s="103"/>
      <c r="DM346" s="103"/>
      <c r="DN346" s="103"/>
    </row>
    <row r="347" spans="1:118" s="104" customFormat="1" ht="13.35" hidden="1" customHeight="1">
      <c r="A347" s="91" t="s">
        <v>12</v>
      </c>
      <c r="B347" s="91"/>
      <c r="C347" s="267" t="s">
        <v>20</v>
      </c>
      <c r="D347" s="279">
        <v>3.91</v>
      </c>
      <c r="E347" s="155" t="s">
        <v>456</v>
      </c>
      <c r="F347" s="160" t="s">
        <v>484</v>
      </c>
      <c r="G347" s="6"/>
      <c r="H347" s="5"/>
      <c r="I347" s="231"/>
      <c r="J347" s="61"/>
      <c r="K347" s="61"/>
      <c r="L347" s="61"/>
      <c r="M347" s="61"/>
      <c r="N347" s="61"/>
      <c r="O347" s="61"/>
      <c r="P347" s="61"/>
      <c r="Q347" s="61"/>
      <c r="R347" s="61"/>
      <c r="S347" s="61">
        <v>16.399999999999999</v>
      </c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>
        <v>17.399999999999999</v>
      </c>
      <c r="AH347" s="67"/>
      <c r="AI347" s="61"/>
      <c r="AJ347" s="61"/>
      <c r="AK347" s="61"/>
      <c r="AL347" s="61"/>
      <c r="AM347" s="61"/>
      <c r="AN347" s="61"/>
      <c r="AO347" s="61">
        <v>21.4</v>
      </c>
      <c r="AP347" s="1"/>
      <c r="AQ347" s="1"/>
      <c r="AR347" s="61"/>
      <c r="AS347" s="332">
        <v>22.2</v>
      </c>
      <c r="AT347" s="1"/>
      <c r="AU347" s="1"/>
      <c r="AV347" s="61"/>
      <c r="AW347" s="1"/>
      <c r="AX347" s="1"/>
      <c r="AY347" s="1"/>
      <c r="AZ347" s="1"/>
      <c r="BA347" s="1"/>
      <c r="BB347" s="1"/>
      <c r="BC347" s="61"/>
      <c r="BD347" s="1"/>
      <c r="BE347" s="1"/>
      <c r="BF347" s="61"/>
      <c r="BG347" s="1"/>
      <c r="BH347" s="61"/>
      <c r="BI347" s="1"/>
      <c r="BJ347" s="61"/>
      <c r="BK347" s="67"/>
      <c r="BL347" s="1"/>
      <c r="BM347" s="1"/>
      <c r="BN347" s="61"/>
      <c r="BO347" s="1"/>
      <c r="BP347" s="1"/>
      <c r="BQ347" s="1"/>
      <c r="BR347" s="1"/>
      <c r="BS347" s="1"/>
      <c r="BT347" s="1"/>
      <c r="BU347" s="1"/>
      <c r="BV347" s="1"/>
      <c r="BW347" s="61"/>
      <c r="BX347" s="1"/>
      <c r="BY347" s="1"/>
      <c r="BZ347" s="1"/>
      <c r="CA347" s="61"/>
      <c r="CB347" s="1"/>
      <c r="CC347" s="1"/>
      <c r="CD347" s="1"/>
      <c r="CE347" s="6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8"/>
      <c r="DM347" s="8"/>
      <c r="DN347" s="8"/>
    </row>
    <row r="348" spans="1:118" ht="13.35" hidden="1" customHeight="1">
      <c r="A348" s="91" t="s">
        <v>12</v>
      </c>
      <c r="B348" s="91"/>
      <c r="C348" s="267" t="s">
        <v>20</v>
      </c>
      <c r="D348" s="279"/>
      <c r="E348" s="179" t="s">
        <v>456</v>
      </c>
      <c r="F348" s="180" t="s">
        <v>63</v>
      </c>
      <c r="G348" s="181"/>
      <c r="H348" s="182"/>
      <c r="I348" s="233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>
        <v>17.600000000000001</v>
      </c>
      <c r="AH348" s="59"/>
      <c r="AI348" s="59"/>
      <c r="AJ348" s="59"/>
      <c r="AK348" s="59"/>
      <c r="AL348" s="59"/>
      <c r="AM348" s="59"/>
      <c r="AN348" s="59"/>
      <c r="AO348" s="59"/>
      <c r="AP348" s="13">
        <v>20.6</v>
      </c>
      <c r="AQ348" s="13"/>
      <c r="AR348" s="59"/>
      <c r="AS348" s="339"/>
      <c r="AT348" s="13"/>
      <c r="AU348" s="13"/>
      <c r="AV348" s="59">
        <v>20.8</v>
      </c>
      <c r="AW348" s="13"/>
      <c r="AX348" s="13"/>
      <c r="AY348" s="13"/>
      <c r="AZ348" s="13"/>
      <c r="BA348" s="13"/>
      <c r="BB348" s="13"/>
      <c r="BC348" s="59"/>
      <c r="BD348" s="13"/>
      <c r="BE348" s="13"/>
      <c r="BF348" s="59"/>
      <c r="BG348" s="13"/>
      <c r="BH348" s="59"/>
      <c r="BI348" s="13"/>
      <c r="BJ348" s="59"/>
      <c r="BK348" s="254"/>
      <c r="BL348" s="13"/>
      <c r="BM348" s="13"/>
      <c r="BN348" s="59"/>
      <c r="BO348" s="13"/>
      <c r="BP348" s="13"/>
      <c r="BQ348" s="13"/>
      <c r="BR348" s="13"/>
      <c r="BS348" s="13"/>
      <c r="BT348" s="13"/>
      <c r="BU348" s="13"/>
      <c r="BV348" s="13"/>
      <c r="BW348" s="59"/>
      <c r="BX348" s="13"/>
      <c r="BY348" s="13"/>
      <c r="BZ348" s="13"/>
      <c r="CA348" s="59"/>
      <c r="CB348" s="13"/>
      <c r="CC348" s="13"/>
      <c r="CD348" s="13"/>
      <c r="CE348" s="59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8"/>
      <c r="DM348" s="8"/>
      <c r="DN348" s="8"/>
    </row>
    <row r="349" spans="1:118" ht="13.35" hidden="1" customHeight="1">
      <c r="A349" s="90" t="s">
        <v>12</v>
      </c>
      <c r="B349" s="90"/>
      <c r="C349" s="266"/>
      <c r="D349" s="277"/>
      <c r="E349" s="278" t="s">
        <v>485</v>
      </c>
      <c r="F349" s="141" t="s">
        <v>486</v>
      </c>
      <c r="G349" s="169"/>
      <c r="H349" s="170" t="s">
        <v>11</v>
      </c>
      <c r="I349" s="225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171"/>
      <c r="AI349" s="171"/>
      <c r="AJ349" s="171"/>
      <c r="AK349" s="171"/>
      <c r="AL349" s="171"/>
      <c r="AM349" s="171"/>
      <c r="AN349" s="171"/>
      <c r="AO349" s="171"/>
      <c r="AP349" s="172"/>
      <c r="AQ349" s="172"/>
      <c r="AR349" s="171"/>
      <c r="AS349" s="172"/>
      <c r="AT349" s="172"/>
      <c r="AU349" s="172"/>
      <c r="AV349" s="172"/>
      <c r="AW349" s="172"/>
      <c r="AX349" s="172"/>
      <c r="AY349" s="172"/>
      <c r="AZ349" s="172"/>
      <c r="BA349" s="172"/>
      <c r="BB349" s="171"/>
      <c r="BC349" s="171"/>
      <c r="BD349" s="172"/>
      <c r="BE349" s="172"/>
      <c r="BF349" s="171"/>
      <c r="BG349" s="171"/>
      <c r="BH349" s="171"/>
      <c r="BI349" s="172"/>
      <c r="BJ349" s="171"/>
      <c r="BK349" s="427"/>
      <c r="BL349" s="172"/>
      <c r="BM349" s="171"/>
      <c r="BN349" s="171"/>
      <c r="BO349" s="171"/>
      <c r="BP349" s="171"/>
      <c r="BQ349" s="171"/>
      <c r="BR349" s="171"/>
      <c r="BS349" s="171"/>
      <c r="BT349" s="171"/>
      <c r="BU349" s="171"/>
      <c r="BV349" s="171"/>
      <c r="BW349" s="171"/>
      <c r="BX349" s="171"/>
      <c r="BY349" s="172"/>
      <c r="BZ349" s="172"/>
      <c r="CA349" s="171"/>
      <c r="CB349" s="171"/>
      <c r="CC349" s="172"/>
      <c r="CD349" s="171"/>
      <c r="CE349" s="171"/>
      <c r="CF349" s="172"/>
      <c r="CG349" s="172"/>
      <c r="CH349" s="171"/>
      <c r="CI349" s="172"/>
      <c r="CJ349" s="172"/>
      <c r="CK349" s="172"/>
      <c r="CL349" s="172"/>
      <c r="CM349" s="172"/>
      <c r="CN349" s="172"/>
      <c r="CO349" s="172"/>
      <c r="CP349" s="172"/>
      <c r="CQ349" s="172"/>
      <c r="CR349" s="172"/>
      <c r="CS349" s="172"/>
      <c r="CT349" s="172"/>
      <c r="CU349" s="172"/>
      <c r="CV349" s="172"/>
      <c r="CW349" s="172"/>
      <c r="CX349" s="172"/>
      <c r="CY349" s="172"/>
      <c r="CZ349" s="172"/>
      <c r="DA349" s="172"/>
      <c r="DB349" s="172"/>
      <c r="DC349" s="172"/>
      <c r="DD349" s="172"/>
      <c r="DE349" s="172"/>
      <c r="DF349" s="172"/>
      <c r="DG349" s="172"/>
      <c r="DH349" s="172"/>
      <c r="DI349" s="172"/>
      <c r="DJ349" s="172"/>
      <c r="DK349" s="172"/>
      <c r="DL349" s="8"/>
      <c r="DM349" s="8"/>
      <c r="DN349" s="8"/>
    </row>
    <row r="350" spans="1:118" ht="13.35" hidden="1" customHeight="1">
      <c r="A350" s="91" t="s">
        <v>12</v>
      </c>
      <c r="B350" s="91"/>
      <c r="C350" s="267" t="s">
        <v>20</v>
      </c>
      <c r="D350" s="279">
        <v>9.5500000000000007</v>
      </c>
      <c r="E350" s="190" t="s">
        <v>485</v>
      </c>
      <c r="F350" s="134" t="s">
        <v>487</v>
      </c>
      <c r="G350" s="192">
        <v>21</v>
      </c>
      <c r="H350" s="193" t="s">
        <v>22</v>
      </c>
      <c r="I350" s="226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36"/>
      <c r="AQ350" s="36"/>
      <c r="AR350" s="72"/>
      <c r="AS350" s="36"/>
      <c r="AT350" s="36"/>
      <c r="AU350" s="72">
        <v>20.2</v>
      </c>
      <c r="AV350" s="36"/>
      <c r="AW350" s="36"/>
      <c r="AX350" s="36"/>
      <c r="AY350" s="36"/>
      <c r="AZ350" s="36"/>
      <c r="BA350" s="36"/>
      <c r="BB350" s="72"/>
      <c r="BC350" s="72"/>
      <c r="BD350" s="36"/>
      <c r="BE350" s="36"/>
      <c r="BF350" s="72"/>
      <c r="BG350" s="72"/>
      <c r="BH350" s="72"/>
      <c r="BI350" s="36"/>
      <c r="BJ350" s="72"/>
      <c r="BK350" s="402"/>
      <c r="BL350" s="36"/>
      <c r="BM350" s="36"/>
      <c r="BN350" s="72"/>
      <c r="BO350" s="36"/>
      <c r="BP350" s="36"/>
      <c r="BQ350" s="36"/>
      <c r="BR350" s="36"/>
      <c r="BS350" s="36"/>
      <c r="BT350" s="36"/>
      <c r="BU350" s="36"/>
      <c r="BV350" s="36"/>
      <c r="BW350" s="72"/>
      <c r="BX350" s="36"/>
      <c r="BY350" s="36"/>
      <c r="BZ350" s="36"/>
      <c r="CA350" s="72"/>
      <c r="CB350" s="36"/>
      <c r="CC350" s="36"/>
      <c r="CD350" s="36"/>
      <c r="CE350" s="72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8"/>
      <c r="DM350" s="8"/>
      <c r="DN350" s="8"/>
    </row>
    <row r="351" spans="1:118" ht="13.35" hidden="1" customHeight="1">
      <c r="A351" s="90" t="s">
        <v>12</v>
      </c>
      <c r="B351" s="90"/>
      <c r="C351" s="266"/>
      <c r="D351" s="277"/>
      <c r="E351" s="278" t="s">
        <v>488</v>
      </c>
      <c r="F351" s="141" t="s">
        <v>489</v>
      </c>
      <c r="G351" s="169"/>
      <c r="H351" s="170" t="s">
        <v>11</v>
      </c>
      <c r="I351" s="225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  <c r="AG351" s="171"/>
      <c r="AH351" s="171"/>
      <c r="AI351" s="171"/>
      <c r="AJ351" s="171"/>
      <c r="AK351" s="171"/>
      <c r="AL351" s="171"/>
      <c r="AM351" s="171"/>
      <c r="AN351" s="171"/>
      <c r="AO351" s="171"/>
      <c r="AP351" s="172"/>
      <c r="AQ351" s="172"/>
      <c r="AR351" s="171"/>
      <c r="AS351" s="172"/>
      <c r="AT351" s="172"/>
      <c r="AU351" s="171"/>
      <c r="AV351" s="172"/>
      <c r="AW351" s="172"/>
      <c r="AX351" s="172"/>
      <c r="AY351" s="171"/>
      <c r="AZ351" s="171"/>
      <c r="BA351" s="172"/>
      <c r="BB351" s="171"/>
      <c r="BC351" s="171"/>
      <c r="BD351" s="172"/>
      <c r="BE351" s="172"/>
      <c r="BF351" s="171"/>
      <c r="BG351" s="171"/>
      <c r="BH351" s="171"/>
      <c r="BI351" s="172"/>
      <c r="BJ351" s="171"/>
      <c r="BK351" s="427"/>
      <c r="BL351" s="172"/>
      <c r="BM351" s="171"/>
      <c r="BN351" s="171"/>
      <c r="BO351" s="171"/>
      <c r="BP351" s="171"/>
      <c r="BQ351" s="171"/>
      <c r="BR351" s="171"/>
      <c r="BS351" s="171"/>
      <c r="BT351" s="171"/>
      <c r="BU351" s="171"/>
      <c r="BV351" s="171"/>
      <c r="BW351" s="171"/>
      <c r="BX351" s="171"/>
      <c r="BY351" s="172"/>
      <c r="BZ351" s="172"/>
      <c r="CA351" s="171"/>
      <c r="CB351" s="171"/>
      <c r="CC351" s="172"/>
      <c r="CD351" s="171"/>
      <c r="CE351" s="171"/>
      <c r="CF351" s="172"/>
      <c r="CG351" s="172"/>
      <c r="CH351" s="171"/>
      <c r="CI351" s="172"/>
      <c r="CJ351" s="172"/>
      <c r="CK351" s="172"/>
      <c r="CL351" s="172"/>
      <c r="CM351" s="172"/>
      <c r="CN351" s="172"/>
      <c r="CO351" s="172"/>
      <c r="CP351" s="172"/>
      <c r="CQ351" s="172"/>
      <c r="CR351" s="172"/>
      <c r="CS351" s="172"/>
      <c r="CT351" s="172"/>
      <c r="CU351" s="172"/>
      <c r="CV351" s="172"/>
      <c r="CW351" s="172"/>
      <c r="CX351" s="172"/>
      <c r="CY351" s="172"/>
      <c r="CZ351" s="172"/>
      <c r="DA351" s="172"/>
      <c r="DB351" s="172"/>
      <c r="DC351" s="172"/>
      <c r="DD351" s="172"/>
      <c r="DE351" s="172"/>
      <c r="DF351" s="172"/>
      <c r="DG351" s="172"/>
      <c r="DH351" s="172"/>
      <c r="DI351" s="172"/>
      <c r="DJ351" s="172"/>
      <c r="DK351" s="172"/>
      <c r="DL351" s="8"/>
      <c r="DM351" s="8"/>
      <c r="DN351" s="8"/>
    </row>
    <row r="352" spans="1:118" ht="12.95" hidden="1" customHeight="1">
      <c r="A352" s="91" t="s">
        <v>12</v>
      </c>
      <c r="B352" s="91" t="s">
        <v>13</v>
      </c>
      <c r="C352" s="267" t="s">
        <v>31</v>
      </c>
      <c r="D352" s="279">
        <v>60.52</v>
      </c>
      <c r="E352" s="188" t="s">
        <v>488</v>
      </c>
      <c r="F352" s="132" t="s">
        <v>490</v>
      </c>
      <c r="G352" s="50">
        <v>24</v>
      </c>
      <c r="H352" s="55" t="s">
        <v>491</v>
      </c>
      <c r="I352" s="228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18"/>
      <c r="AQ352" s="18"/>
      <c r="AR352" s="64"/>
      <c r="AS352" s="18"/>
      <c r="AT352" s="18"/>
      <c r="AU352" s="64"/>
      <c r="AV352" s="18"/>
      <c r="AW352" s="391"/>
      <c r="AX352" s="388"/>
      <c r="AY352" s="389"/>
      <c r="AZ352" s="118"/>
      <c r="BA352" s="388"/>
      <c r="BB352" s="397"/>
      <c r="BC352" s="64"/>
      <c r="BD352" s="18"/>
      <c r="BE352" s="18"/>
      <c r="BF352" s="64">
        <v>27.5</v>
      </c>
      <c r="BG352" s="64"/>
      <c r="BH352" s="64"/>
      <c r="BI352" s="18"/>
      <c r="BJ352" s="64"/>
      <c r="BK352" s="65"/>
      <c r="BL352" s="18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18"/>
      <c r="BY352" s="18"/>
      <c r="BZ352" s="18"/>
      <c r="CA352" s="64"/>
      <c r="CB352" s="18"/>
      <c r="CC352" s="18"/>
      <c r="CD352" s="18"/>
      <c r="CE352" s="64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/>
      <c r="DK352" s="18"/>
      <c r="DL352" s="8"/>
      <c r="DM352" s="8"/>
      <c r="DN352" s="8"/>
    </row>
    <row r="353" spans="1:118" ht="12.95" hidden="1" customHeight="1">
      <c r="A353" s="91" t="s">
        <v>12</v>
      </c>
      <c r="B353" s="91" t="s">
        <v>13</v>
      </c>
      <c r="C353" s="267" t="s">
        <v>31</v>
      </c>
      <c r="D353" s="279"/>
      <c r="E353" s="155" t="s">
        <v>488</v>
      </c>
      <c r="F353" s="160" t="s">
        <v>492</v>
      </c>
      <c r="G353" s="6">
        <v>24</v>
      </c>
      <c r="H353" s="5" t="s">
        <v>491</v>
      </c>
      <c r="I353" s="23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>
        <v>22</v>
      </c>
      <c r="AP353" s="1"/>
      <c r="AQ353" s="1"/>
      <c r="AR353" s="61"/>
      <c r="AS353" s="1"/>
      <c r="AT353" s="1"/>
      <c r="AU353" s="61">
        <v>23.3</v>
      </c>
      <c r="AV353" s="1"/>
      <c r="AW353" s="392"/>
      <c r="AX353" s="388"/>
      <c r="AY353" s="390">
        <v>23.2</v>
      </c>
      <c r="AZ353" s="118"/>
      <c r="BA353" s="388"/>
      <c r="BB353" s="119">
        <v>23.7</v>
      </c>
      <c r="BC353" s="61"/>
      <c r="BD353" s="1"/>
      <c r="BE353" s="1"/>
      <c r="BF353" s="61"/>
      <c r="BG353" s="61"/>
      <c r="BH353" s="61"/>
      <c r="BI353" s="1"/>
      <c r="BJ353" s="61"/>
      <c r="BK353" s="67"/>
      <c r="BL353" s="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1"/>
      <c r="BY353" s="1"/>
      <c r="BZ353" s="1"/>
      <c r="CA353" s="61"/>
      <c r="CB353" s="1"/>
      <c r="CC353" s="1"/>
      <c r="CD353" s="1"/>
      <c r="CE353" s="6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8"/>
      <c r="DM353" s="8"/>
      <c r="DN353" s="8"/>
    </row>
    <row r="354" spans="1:118" ht="12.95" hidden="1" customHeight="1">
      <c r="A354" s="91" t="s">
        <v>12</v>
      </c>
      <c r="B354" s="91" t="s">
        <v>13</v>
      </c>
      <c r="C354" s="267" t="s">
        <v>31</v>
      </c>
      <c r="D354" s="279"/>
      <c r="E354" s="155" t="s">
        <v>488</v>
      </c>
      <c r="F354" s="160" t="s">
        <v>493</v>
      </c>
      <c r="G354" s="6">
        <v>24</v>
      </c>
      <c r="H354" s="5" t="s">
        <v>491</v>
      </c>
      <c r="I354" s="23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1"/>
      <c r="AQ354" s="1"/>
      <c r="AR354" s="61"/>
      <c r="AS354" s="1"/>
      <c r="AT354" s="1"/>
      <c r="AU354" s="61"/>
      <c r="AV354" s="1"/>
      <c r="AW354" s="392"/>
      <c r="AX354" s="388"/>
      <c r="AY354" s="118"/>
      <c r="AZ354" s="118"/>
      <c r="BA354" s="388"/>
      <c r="BB354" s="119"/>
      <c r="BC354" s="61"/>
      <c r="BD354" s="1"/>
      <c r="BE354" s="1"/>
      <c r="BF354" s="61"/>
      <c r="BG354" s="61"/>
      <c r="BH354" s="61"/>
      <c r="BI354" s="1"/>
      <c r="BJ354" s="61"/>
      <c r="BK354" s="67"/>
      <c r="BL354" s="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1"/>
      <c r="BY354" s="1"/>
      <c r="BZ354" s="1"/>
      <c r="CA354" s="61"/>
      <c r="CB354" s="1"/>
      <c r="CC354" s="1"/>
      <c r="CD354" s="1"/>
      <c r="CE354" s="6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8"/>
      <c r="DM354" s="8"/>
      <c r="DN354" s="8"/>
    </row>
    <row r="355" spans="1:118" ht="12.95" hidden="1" customHeight="1">
      <c r="A355" s="91" t="s">
        <v>12</v>
      </c>
      <c r="B355" s="91" t="s">
        <v>13</v>
      </c>
      <c r="C355" s="267" t="s">
        <v>31</v>
      </c>
      <c r="D355" s="279"/>
      <c r="E355" s="155" t="s">
        <v>488</v>
      </c>
      <c r="F355" s="160" t="s">
        <v>494</v>
      </c>
      <c r="G355" s="6">
        <v>24</v>
      </c>
      <c r="H355" s="5" t="s">
        <v>491</v>
      </c>
      <c r="I355" s="23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>
        <v>20.3</v>
      </c>
      <c r="AP355" s="1"/>
      <c r="AQ355" s="1"/>
      <c r="AR355" s="61"/>
      <c r="AS355" s="1"/>
      <c r="AT355" s="1"/>
      <c r="AU355" s="61">
        <v>22.9</v>
      </c>
      <c r="AV355" s="1"/>
      <c r="AW355" s="1"/>
      <c r="AX355" s="18"/>
      <c r="AY355" s="64"/>
      <c r="AZ355" s="64"/>
      <c r="BA355" s="18"/>
      <c r="BB355" s="61">
        <v>24.1</v>
      </c>
      <c r="BC355" s="61"/>
      <c r="BD355" s="1"/>
      <c r="BE355" s="1"/>
      <c r="BF355" s="61"/>
      <c r="BG355" s="61"/>
      <c r="BH355" s="61"/>
      <c r="BI355" s="1"/>
      <c r="BJ355" s="61"/>
      <c r="BK355" s="67"/>
      <c r="BL355" s="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1"/>
      <c r="BY355" s="1"/>
      <c r="BZ355" s="1"/>
      <c r="CA355" s="61"/>
      <c r="CB355" s="1"/>
      <c r="CC355" s="1"/>
      <c r="CD355" s="1"/>
      <c r="CE355" s="6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8"/>
      <c r="DM355" s="8"/>
      <c r="DN355" s="8"/>
    </row>
    <row r="356" spans="1:118" ht="13.35" hidden="1" customHeight="1">
      <c r="A356" s="92" t="s">
        <v>12</v>
      </c>
      <c r="B356" s="92"/>
      <c r="C356" s="268" t="s">
        <v>14</v>
      </c>
      <c r="D356" s="280">
        <v>19.71</v>
      </c>
      <c r="E356" s="175" t="s">
        <v>488</v>
      </c>
      <c r="F356" s="176" t="s">
        <v>495</v>
      </c>
      <c r="G356" s="177">
        <v>24</v>
      </c>
      <c r="H356" s="178" t="s">
        <v>22</v>
      </c>
      <c r="I356" s="227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>
        <v>20.6</v>
      </c>
      <c r="AP356" s="17">
        <v>20.6</v>
      </c>
      <c r="AQ356" s="17"/>
      <c r="AR356" s="63"/>
      <c r="AS356" s="17"/>
      <c r="AT356" s="17"/>
      <c r="AU356" s="63"/>
      <c r="AV356" s="17"/>
      <c r="AW356" s="17"/>
      <c r="AX356" s="17"/>
      <c r="AY356" s="63"/>
      <c r="AZ356" s="63"/>
      <c r="BA356" s="17"/>
      <c r="BB356" s="63">
        <v>23.4</v>
      </c>
      <c r="BC356" s="63"/>
      <c r="BD356" s="17"/>
      <c r="BE356" s="17"/>
      <c r="BF356" s="63"/>
      <c r="BG356" s="63"/>
      <c r="BH356" s="63">
        <v>24.4</v>
      </c>
      <c r="BI356" s="17"/>
      <c r="BJ356" s="63"/>
      <c r="BK356" s="217"/>
      <c r="BL356" s="17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17"/>
      <c r="BY356" s="17"/>
      <c r="BZ356" s="17"/>
      <c r="CA356" s="63"/>
      <c r="CB356" s="17"/>
      <c r="CC356" s="17"/>
      <c r="CD356" s="17"/>
      <c r="CE356" s="63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8"/>
      <c r="DM356" s="8"/>
      <c r="DN356" s="8"/>
    </row>
    <row r="357" spans="1:118" ht="13.35" hidden="1" customHeight="1">
      <c r="A357" s="90" t="s">
        <v>12</v>
      </c>
      <c r="B357" s="90"/>
      <c r="C357" s="266"/>
      <c r="D357" s="277"/>
      <c r="E357" s="278" t="s">
        <v>496</v>
      </c>
      <c r="F357" s="141" t="s">
        <v>497</v>
      </c>
      <c r="G357" s="169"/>
      <c r="H357" s="170" t="s">
        <v>11</v>
      </c>
      <c r="I357" s="225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  <c r="AG357" s="171"/>
      <c r="AH357" s="171"/>
      <c r="AI357" s="171"/>
      <c r="AJ357" s="171"/>
      <c r="AK357" s="171"/>
      <c r="AL357" s="171"/>
      <c r="AM357" s="171"/>
      <c r="AN357" s="171"/>
      <c r="AO357" s="171"/>
      <c r="AP357" s="172"/>
      <c r="AQ357" s="172"/>
      <c r="AR357" s="171"/>
      <c r="AS357" s="172"/>
      <c r="AT357" s="172"/>
      <c r="AU357" s="172"/>
      <c r="AV357" s="172"/>
      <c r="AW357" s="172"/>
      <c r="AX357" s="172"/>
      <c r="AY357" s="172"/>
      <c r="AZ357" s="172"/>
      <c r="BA357" s="172"/>
      <c r="BB357" s="171"/>
      <c r="BC357" s="171"/>
      <c r="BD357" s="172"/>
      <c r="BE357" s="172"/>
      <c r="BF357" s="171"/>
      <c r="BG357" s="171"/>
      <c r="BH357" s="171"/>
      <c r="BI357" s="172"/>
      <c r="BJ357" s="171"/>
      <c r="BK357" s="427"/>
      <c r="BL357" s="172"/>
      <c r="BM357" s="171"/>
      <c r="BN357" s="171"/>
      <c r="BO357" s="171"/>
      <c r="BP357" s="171"/>
      <c r="BQ357" s="171"/>
      <c r="BR357" s="171"/>
      <c r="BS357" s="171"/>
      <c r="BT357" s="171"/>
      <c r="BU357" s="171"/>
      <c r="BV357" s="171"/>
      <c r="BW357" s="171"/>
      <c r="BX357" s="171"/>
      <c r="BY357" s="172"/>
      <c r="BZ357" s="172"/>
      <c r="CA357" s="171"/>
      <c r="CB357" s="171"/>
      <c r="CC357" s="172"/>
      <c r="CD357" s="171"/>
      <c r="CE357" s="171"/>
      <c r="CF357" s="172"/>
      <c r="CG357" s="172"/>
      <c r="CH357" s="171"/>
      <c r="CI357" s="172"/>
      <c r="CJ357" s="172"/>
      <c r="CK357" s="172"/>
      <c r="CL357" s="172"/>
      <c r="CM357" s="172"/>
      <c r="CN357" s="172"/>
      <c r="CO357" s="172"/>
      <c r="CP357" s="172"/>
      <c r="CQ357" s="172"/>
      <c r="CR357" s="172"/>
      <c r="CS357" s="172"/>
      <c r="CT357" s="172"/>
      <c r="CU357" s="172"/>
      <c r="CV357" s="172"/>
      <c r="CW357" s="172"/>
      <c r="CX357" s="172"/>
      <c r="CY357" s="172"/>
      <c r="CZ357" s="172"/>
      <c r="DA357" s="172"/>
      <c r="DB357" s="172"/>
      <c r="DC357" s="172"/>
      <c r="DD357" s="172"/>
      <c r="DE357" s="172"/>
      <c r="DF357" s="172"/>
      <c r="DG357" s="172"/>
      <c r="DH357" s="172"/>
      <c r="DI357" s="172"/>
      <c r="DJ357" s="172"/>
      <c r="DK357" s="172"/>
      <c r="DL357" s="8"/>
      <c r="DM357" s="8"/>
      <c r="DN357" s="8"/>
    </row>
    <row r="358" spans="1:118" ht="12.95" hidden="1" customHeight="1">
      <c r="A358" s="91" t="s">
        <v>12</v>
      </c>
      <c r="B358" s="91" t="s">
        <v>13</v>
      </c>
      <c r="C358" s="267" t="s">
        <v>14</v>
      </c>
      <c r="D358" s="279">
        <v>8.34</v>
      </c>
      <c r="E358" s="190" t="s">
        <v>496</v>
      </c>
      <c r="F358" s="134" t="s">
        <v>498</v>
      </c>
      <c r="G358" s="192">
        <v>26</v>
      </c>
      <c r="H358" s="187" t="s">
        <v>16</v>
      </c>
      <c r="I358" s="226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36"/>
      <c r="AQ358" s="36"/>
      <c r="AR358" s="72"/>
      <c r="AS358" s="36"/>
      <c r="AT358" s="36"/>
      <c r="AU358" s="36"/>
      <c r="AV358" s="36"/>
      <c r="AW358" s="36"/>
      <c r="AX358" s="36"/>
      <c r="AY358" s="36"/>
      <c r="AZ358" s="36"/>
      <c r="BA358" s="36"/>
      <c r="BB358" s="72"/>
      <c r="BC358" s="72"/>
      <c r="BD358" s="36"/>
      <c r="BE358" s="36"/>
      <c r="BF358" s="72"/>
      <c r="BG358" s="72"/>
      <c r="BH358" s="72"/>
      <c r="BI358" s="36"/>
      <c r="BJ358" s="72"/>
      <c r="BK358" s="402"/>
      <c r="BL358" s="36"/>
      <c r="BM358" s="449">
        <v>25</v>
      </c>
      <c r="BN358" s="72"/>
      <c r="BO358" s="402">
        <v>25</v>
      </c>
      <c r="BP358" s="402"/>
      <c r="BQ358" s="72"/>
      <c r="BR358" s="72"/>
      <c r="BS358" s="72"/>
      <c r="BT358" s="72"/>
      <c r="BU358" s="402"/>
      <c r="BV358" s="72"/>
      <c r="BW358" s="72"/>
      <c r="BX358" s="36"/>
      <c r="BY358" s="37"/>
      <c r="BZ358" s="36"/>
      <c r="CA358" s="72"/>
      <c r="CB358" s="36"/>
      <c r="CC358" s="36"/>
      <c r="CD358" s="36"/>
      <c r="CE358" s="72"/>
      <c r="CF358" s="36"/>
      <c r="CG358" s="36"/>
      <c r="CH358" s="36"/>
      <c r="CI358" s="37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8"/>
      <c r="DM358" s="8"/>
      <c r="DN358" s="8"/>
    </row>
    <row r="359" spans="1:118" ht="13.35" hidden="1" customHeight="1">
      <c r="A359" s="90"/>
      <c r="B359" s="90"/>
      <c r="C359" s="266"/>
      <c r="D359" s="277"/>
      <c r="E359" s="278" t="s">
        <v>499</v>
      </c>
      <c r="F359" s="141" t="s">
        <v>500</v>
      </c>
      <c r="G359" s="169"/>
      <c r="H359" s="170" t="s">
        <v>11</v>
      </c>
      <c r="I359" s="225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1"/>
      <c r="AK359" s="171"/>
      <c r="AL359" s="171"/>
      <c r="AM359" s="171"/>
      <c r="AN359" s="171"/>
      <c r="AO359" s="171"/>
      <c r="AP359" s="172"/>
      <c r="AQ359" s="172"/>
      <c r="AR359" s="171"/>
      <c r="AS359" s="172"/>
      <c r="AT359" s="172"/>
      <c r="AU359" s="172"/>
      <c r="AV359" s="171"/>
      <c r="AW359" s="171"/>
      <c r="AX359" s="172"/>
      <c r="AY359" s="171"/>
      <c r="AZ359" s="172"/>
      <c r="BA359" s="172"/>
      <c r="BB359" s="171"/>
      <c r="BC359" s="171"/>
      <c r="BD359" s="172"/>
      <c r="BE359" s="172"/>
      <c r="BF359" s="171"/>
      <c r="BG359" s="171"/>
      <c r="BH359" s="171"/>
      <c r="BI359" s="172"/>
      <c r="BJ359" s="171"/>
      <c r="BK359" s="427"/>
      <c r="BL359" s="172"/>
      <c r="BM359" s="171"/>
      <c r="BN359" s="171"/>
      <c r="BO359" s="171"/>
      <c r="BP359" s="171"/>
      <c r="BQ359" s="171"/>
      <c r="BR359" s="171"/>
      <c r="BS359" s="171"/>
      <c r="BT359" s="171"/>
      <c r="BU359" s="171"/>
      <c r="BV359" s="171"/>
      <c r="BW359" s="171"/>
      <c r="BX359" s="171"/>
      <c r="BY359" s="172"/>
      <c r="BZ359" s="172"/>
      <c r="CA359" s="171"/>
      <c r="CB359" s="171"/>
      <c r="CC359" s="171"/>
      <c r="CD359" s="171"/>
      <c r="CE359" s="171"/>
      <c r="CF359" s="172"/>
      <c r="CG359" s="172"/>
      <c r="CH359" s="171"/>
      <c r="CI359" s="171"/>
      <c r="CJ359" s="171"/>
      <c r="CK359" s="171"/>
      <c r="CL359" s="171"/>
      <c r="CM359" s="172"/>
      <c r="CN359" s="172"/>
      <c r="CO359" s="171"/>
      <c r="CP359" s="171"/>
      <c r="CQ359" s="172"/>
      <c r="CR359" s="172"/>
      <c r="CS359" s="172"/>
      <c r="CT359" s="172"/>
      <c r="CU359" s="172"/>
      <c r="CV359" s="172"/>
      <c r="CW359" s="172"/>
      <c r="CX359" s="172"/>
      <c r="CY359" s="172"/>
      <c r="CZ359" s="172"/>
      <c r="DA359" s="172"/>
      <c r="DB359" s="172"/>
      <c r="DC359" s="172"/>
      <c r="DD359" s="172"/>
      <c r="DE359" s="172"/>
      <c r="DF359" s="172"/>
      <c r="DG359" s="172"/>
      <c r="DH359" s="172"/>
      <c r="DI359" s="172"/>
      <c r="DJ359" s="172"/>
      <c r="DK359" s="172"/>
      <c r="DL359" s="8"/>
      <c r="DM359" s="8"/>
      <c r="DN359" s="8"/>
    </row>
    <row r="360" spans="1:118" s="53" customFormat="1" ht="13.35" hidden="1" customHeight="1">
      <c r="A360" s="91" t="s">
        <v>12</v>
      </c>
      <c r="B360" s="91"/>
      <c r="C360" s="267" t="s">
        <v>31</v>
      </c>
      <c r="D360" s="279">
        <v>22.59</v>
      </c>
      <c r="E360" s="188" t="s">
        <v>499</v>
      </c>
      <c r="F360" s="132" t="s">
        <v>501</v>
      </c>
      <c r="G360" s="54"/>
      <c r="H360" s="55"/>
      <c r="I360" s="228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18"/>
      <c r="AQ360" s="18"/>
      <c r="AR360" s="64"/>
      <c r="AS360" s="18"/>
      <c r="AT360" s="18"/>
      <c r="AU360" s="18"/>
      <c r="AV360" s="64"/>
      <c r="AW360" s="64"/>
      <c r="AX360" s="18"/>
      <c r="AY360" s="64"/>
      <c r="AZ360" s="18"/>
      <c r="BA360" s="18"/>
      <c r="BB360" s="64"/>
      <c r="BC360" s="64"/>
      <c r="BD360" s="18"/>
      <c r="BE360" s="18"/>
      <c r="BF360" s="64"/>
      <c r="BG360" s="64">
        <v>23.2</v>
      </c>
      <c r="BH360" s="64"/>
      <c r="BI360" s="18"/>
      <c r="BJ360" s="64"/>
      <c r="BK360" s="65"/>
      <c r="BL360" s="18"/>
      <c r="BM360" s="64"/>
      <c r="BN360" s="64">
        <v>24.2</v>
      </c>
      <c r="BO360" s="64"/>
      <c r="BP360" s="64"/>
      <c r="BQ360" s="64"/>
      <c r="BR360" s="64"/>
      <c r="BS360" s="64"/>
      <c r="BT360" s="64"/>
      <c r="BU360" s="64"/>
      <c r="BV360" s="64">
        <v>23.3</v>
      </c>
      <c r="BW360" s="64"/>
      <c r="BX360" s="64"/>
      <c r="BY360" s="18"/>
      <c r="BZ360" s="18"/>
      <c r="CA360" s="64"/>
      <c r="CB360" s="64">
        <v>23.8</v>
      </c>
      <c r="CC360" s="64"/>
      <c r="CD360" s="64"/>
      <c r="CE360" s="64"/>
      <c r="CF360" s="18"/>
      <c r="CG360" s="18"/>
      <c r="CH360" s="64"/>
      <c r="CI360" s="64"/>
      <c r="CJ360" s="64"/>
      <c r="CK360" s="64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  <c r="DG360" s="18"/>
      <c r="DH360" s="18"/>
      <c r="DI360" s="18"/>
      <c r="DJ360" s="18"/>
      <c r="DK360" s="18"/>
      <c r="DL360" s="52"/>
      <c r="DM360" s="52"/>
      <c r="DN360" s="52"/>
    </row>
    <row r="361" spans="1:118" ht="13.35" hidden="1" customHeight="1">
      <c r="A361" s="91" t="s">
        <v>12</v>
      </c>
      <c r="B361" s="91"/>
      <c r="C361" s="267" t="s">
        <v>31</v>
      </c>
      <c r="D361" s="279"/>
      <c r="E361" s="155" t="s">
        <v>499</v>
      </c>
      <c r="F361" s="166" t="s">
        <v>502</v>
      </c>
      <c r="G361" s="54"/>
      <c r="H361" s="55"/>
      <c r="I361" s="228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1"/>
      <c r="AN361" s="61"/>
      <c r="AO361" s="61"/>
      <c r="AP361" s="1"/>
      <c r="AQ361" s="1"/>
      <c r="AR361" s="61"/>
      <c r="AS361" s="1"/>
      <c r="AT361" s="1"/>
      <c r="AU361" s="1"/>
      <c r="AV361" s="61"/>
      <c r="AW361" s="61"/>
      <c r="AX361" s="1"/>
      <c r="AY361" s="61"/>
      <c r="AZ361" s="1"/>
      <c r="BA361" s="1"/>
      <c r="BB361" s="61">
        <v>22</v>
      </c>
      <c r="BC361" s="61"/>
      <c r="BD361" s="1"/>
      <c r="BE361" s="1"/>
      <c r="BF361" s="61"/>
      <c r="BG361" s="61"/>
      <c r="BH361" s="61"/>
      <c r="BI361" s="1"/>
      <c r="BJ361" s="61"/>
      <c r="BK361" s="67"/>
      <c r="BL361" s="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>
        <v>23.8</v>
      </c>
      <c r="BX361" s="61"/>
      <c r="BY361" s="1"/>
      <c r="BZ361" s="1"/>
      <c r="CA361" s="61"/>
      <c r="CB361" s="61"/>
      <c r="CC361" s="61"/>
      <c r="CD361" s="61"/>
      <c r="CE361" s="61"/>
      <c r="CF361" s="1"/>
      <c r="CG361" s="1"/>
      <c r="CH361" s="61"/>
      <c r="CI361" s="61"/>
      <c r="CJ361" s="61"/>
      <c r="CK361" s="6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8"/>
      <c r="DM361" s="8"/>
      <c r="DN361" s="8"/>
    </row>
    <row r="362" spans="1:118" ht="13.35" hidden="1" customHeight="1">
      <c r="A362" s="91" t="s">
        <v>12</v>
      </c>
      <c r="B362" s="91"/>
      <c r="C362" s="267" t="s">
        <v>31</v>
      </c>
      <c r="D362" s="279"/>
      <c r="E362" s="155" t="s">
        <v>499</v>
      </c>
      <c r="F362" s="160" t="s">
        <v>503</v>
      </c>
      <c r="G362" s="27"/>
      <c r="H362" s="5"/>
      <c r="I362" s="23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1"/>
      <c r="AQ362" s="1"/>
      <c r="AR362" s="61"/>
      <c r="AS362" s="1"/>
      <c r="AT362" s="1"/>
      <c r="AU362" s="1"/>
      <c r="AV362" s="61"/>
      <c r="AW362" s="61"/>
      <c r="AX362" s="1"/>
      <c r="AY362" s="61"/>
      <c r="AZ362" s="1"/>
      <c r="BA362" s="1"/>
      <c r="BB362" s="61">
        <v>20.8</v>
      </c>
      <c r="BC362" s="61"/>
      <c r="BD362" s="1"/>
      <c r="BE362" s="1"/>
      <c r="BF362" s="61"/>
      <c r="BG362" s="61"/>
      <c r="BH362" s="61"/>
      <c r="BI362" s="1"/>
      <c r="BJ362" s="61"/>
      <c r="BK362" s="67"/>
      <c r="BL362" s="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>
        <v>22.9</v>
      </c>
      <c r="BX362" s="61"/>
      <c r="BY362" s="1"/>
      <c r="BZ362" s="1"/>
      <c r="CA362" s="61"/>
      <c r="CB362" s="61"/>
      <c r="CC362" s="61"/>
      <c r="CD362" s="61"/>
      <c r="CE362" s="61"/>
      <c r="CF362" s="1"/>
      <c r="CG362" s="1"/>
      <c r="CH362" s="61"/>
      <c r="CI362" s="61"/>
      <c r="CJ362" s="61"/>
      <c r="CK362" s="6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8"/>
      <c r="DM362" s="8"/>
      <c r="DN362" s="8"/>
    </row>
    <row r="363" spans="1:118" ht="12.95" hidden="1" customHeight="1">
      <c r="A363" s="92" t="s">
        <v>12</v>
      </c>
      <c r="B363" s="96" t="s">
        <v>13</v>
      </c>
      <c r="C363" s="268" t="s">
        <v>14</v>
      </c>
      <c r="D363" s="280">
        <v>24.87</v>
      </c>
      <c r="E363" s="156" t="s">
        <v>499</v>
      </c>
      <c r="F363" s="131" t="s">
        <v>504</v>
      </c>
      <c r="G363" s="7"/>
      <c r="H363" s="4" t="s">
        <v>16</v>
      </c>
      <c r="I363" s="229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2"/>
      <c r="AQ363" s="2"/>
      <c r="AR363" s="60"/>
      <c r="AS363" s="2"/>
      <c r="AT363" s="2"/>
      <c r="AU363" s="2"/>
      <c r="AV363" s="60"/>
      <c r="AW363" s="60">
        <v>22</v>
      </c>
      <c r="AX363" s="2"/>
      <c r="AY363" s="60"/>
      <c r="AZ363" s="2"/>
      <c r="BA363" s="2"/>
      <c r="BB363" s="60"/>
      <c r="BC363" s="60"/>
      <c r="BD363" s="2"/>
      <c r="BE363" s="20"/>
      <c r="BF363" s="60"/>
      <c r="BG363" s="60">
        <v>23.2</v>
      </c>
      <c r="BH363" s="60"/>
      <c r="BI363" s="2"/>
      <c r="BJ363" s="60"/>
      <c r="BK363" s="66"/>
      <c r="BL363" s="2"/>
      <c r="BM363" s="60"/>
      <c r="BN363" s="61">
        <v>25.1</v>
      </c>
      <c r="BO363" s="61"/>
      <c r="BP363" s="67">
        <v>25.2</v>
      </c>
      <c r="BQ363" s="61"/>
      <c r="BR363" s="61"/>
      <c r="BS363" s="60"/>
      <c r="BT363" s="60"/>
      <c r="BU363" s="60">
        <v>24.8</v>
      </c>
      <c r="BV363" s="60"/>
      <c r="BW363" s="60"/>
      <c r="BX363" s="60"/>
      <c r="BY363" s="2"/>
      <c r="BZ363" s="2"/>
      <c r="CA363" s="60"/>
      <c r="CB363" s="60"/>
      <c r="CC363" s="60"/>
      <c r="CD363" s="60" t="s">
        <v>505</v>
      </c>
      <c r="CE363" s="66">
        <v>26</v>
      </c>
      <c r="CF363" s="2"/>
      <c r="CG363" s="2"/>
      <c r="CH363" s="60"/>
      <c r="CI363" s="60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8"/>
      <c r="DM363" s="8"/>
      <c r="DN363" s="8"/>
    </row>
    <row r="364" spans="1:118" ht="12.95" hidden="1" customHeight="1">
      <c r="A364" s="91" t="s">
        <v>12</v>
      </c>
      <c r="B364" s="91" t="s">
        <v>13</v>
      </c>
      <c r="C364" s="267" t="s">
        <v>14</v>
      </c>
      <c r="D364" s="279">
        <v>32.51</v>
      </c>
      <c r="E364" s="155" t="s">
        <v>499</v>
      </c>
      <c r="F364" s="160" t="s">
        <v>506</v>
      </c>
      <c r="G364" s="6">
        <v>24.5</v>
      </c>
      <c r="H364" s="5" t="s">
        <v>491</v>
      </c>
      <c r="I364" s="23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1"/>
      <c r="AQ364" s="1"/>
      <c r="AR364" s="61"/>
      <c r="AS364" s="1"/>
      <c r="AT364" s="1"/>
      <c r="AU364" s="1"/>
      <c r="AV364" s="61"/>
      <c r="AW364" s="61"/>
      <c r="AX364" s="1"/>
      <c r="AY364" s="61" t="s">
        <v>507</v>
      </c>
      <c r="AZ364" s="1"/>
      <c r="BA364" s="1"/>
      <c r="BB364" s="61"/>
      <c r="BC364" s="61"/>
      <c r="BD364" s="1"/>
      <c r="BE364" s="1"/>
      <c r="BF364" s="61"/>
      <c r="BG364" s="61"/>
      <c r="BH364" s="61">
        <v>22.1</v>
      </c>
      <c r="BI364" s="1"/>
      <c r="BJ364" s="61"/>
      <c r="BK364" s="67"/>
      <c r="BL364" s="1"/>
      <c r="BM364" s="61"/>
      <c r="BN364" s="61"/>
      <c r="BO364" s="61"/>
      <c r="BP364" s="61">
        <v>23.2</v>
      </c>
      <c r="BQ364" s="61"/>
      <c r="BR364" s="61"/>
      <c r="BS364" s="61"/>
      <c r="BT364" s="61"/>
      <c r="BU364" s="61"/>
      <c r="BV364" s="61"/>
      <c r="BW364" s="61"/>
      <c r="BX364" s="61"/>
      <c r="BY364" s="1"/>
      <c r="BZ364" s="1"/>
      <c r="CA364" s="61"/>
      <c r="CB364" s="61"/>
      <c r="CC364" s="61"/>
      <c r="CD364" s="61"/>
      <c r="CE364" s="61"/>
      <c r="CF364" s="1"/>
      <c r="CG364" s="1"/>
      <c r="CH364" s="61"/>
      <c r="CI364" s="61"/>
      <c r="CJ364" s="61"/>
      <c r="CK364" s="61"/>
      <c r="CL364" s="61"/>
      <c r="CM364" s="1"/>
      <c r="CN364" s="1"/>
      <c r="CO364" s="61"/>
      <c r="CP364" s="6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8"/>
      <c r="DM364" s="8"/>
      <c r="DN364" s="8"/>
    </row>
    <row r="365" spans="1:118" ht="12.95" hidden="1" customHeight="1">
      <c r="A365" s="91" t="s">
        <v>12</v>
      </c>
      <c r="B365" s="91" t="s">
        <v>13</v>
      </c>
      <c r="C365" s="267" t="s">
        <v>14</v>
      </c>
      <c r="D365" s="279"/>
      <c r="E365" s="155" t="s">
        <v>499</v>
      </c>
      <c r="F365" s="160" t="s">
        <v>508</v>
      </c>
      <c r="G365" s="6">
        <v>24.5</v>
      </c>
      <c r="H365" s="5" t="s">
        <v>491</v>
      </c>
      <c r="I365" s="23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1"/>
      <c r="AQ365" s="1"/>
      <c r="AR365" s="61"/>
      <c r="AS365" s="1"/>
      <c r="AT365" s="1"/>
      <c r="AU365" s="1"/>
      <c r="AV365" s="61"/>
      <c r="AW365" s="61"/>
      <c r="AX365" s="1"/>
      <c r="AY365" s="61"/>
      <c r="AZ365" s="1"/>
      <c r="BA365" s="1"/>
      <c r="BB365" s="61"/>
      <c r="BC365" s="61"/>
      <c r="BD365" s="1"/>
      <c r="BE365" s="1"/>
      <c r="BF365" s="61"/>
      <c r="BG365" s="61"/>
      <c r="BH365" s="61"/>
      <c r="BI365" s="1"/>
      <c r="BJ365" s="61"/>
      <c r="BK365" s="67"/>
      <c r="BL365" s="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>
        <v>23.8</v>
      </c>
      <c r="BW365" s="61"/>
      <c r="BX365" s="61"/>
      <c r="BY365" s="1"/>
      <c r="BZ365" s="1"/>
      <c r="CA365" s="61"/>
      <c r="CB365" s="61"/>
      <c r="CC365" s="61">
        <v>23.9</v>
      </c>
      <c r="CD365" s="61"/>
      <c r="CE365" s="61"/>
      <c r="CF365" s="1"/>
      <c r="CG365" s="1"/>
      <c r="CH365" s="61"/>
      <c r="CI365" s="61">
        <v>24.1</v>
      </c>
      <c r="CJ365" s="61"/>
      <c r="CK365" s="61"/>
      <c r="CL365" s="61">
        <v>25.2</v>
      </c>
      <c r="CM365" s="1"/>
      <c r="CN365" s="1"/>
      <c r="CO365" s="61"/>
      <c r="CP365" s="6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8"/>
      <c r="DM365" s="8"/>
      <c r="DN365" s="8"/>
    </row>
    <row r="366" spans="1:118" ht="12.95" hidden="1" customHeight="1">
      <c r="A366" s="91" t="s">
        <v>12</v>
      </c>
      <c r="B366" s="91" t="s">
        <v>13</v>
      </c>
      <c r="C366" s="267" t="s">
        <v>14</v>
      </c>
      <c r="D366" s="279"/>
      <c r="E366" s="155" t="s">
        <v>499</v>
      </c>
      <c r="F366" s="160" t="s">
        <v>509</v>
      </c>
      <c r="G366" s="6">
        <v>24.5</v>
      </c>
      <c r="H366" s="5" t="s">
        <v>491</v>
      </c>
      <c r="I366" s="23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1"/>
      <c r="AQ366" s="1"/>
      <c r="AR366" s="61"/>
      <c r="AS366" s="1"/>
      <c r="AT366" s="1"/>
      <c r="AU366" s="1"/>
      <c r="AV366" s="61"/>
      <c r="AW366" s="61"/>
      <c r="AX366" s="1"/>
      <c r="AY366" s="61"/>
      <c r="AZ366" s="1"/>
      <c r="BA366" s="1"/>
      <c r="BB366" s="61"/>
      <c r="BC366" s="61"/>
      <c r="BD366" s="1"/>
      <c r="BE366" s="1"/>
      <c r="BF366" s="61"/>
      <c r="BG366" s="61"/>
      <c r="BH366" s="61"/>
      <c r="BI366" s="1"/>
      <c r="BJ366" s="61"/>
      <c r="BK366" s="67"/>
      <c r="BL366" s="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>
        <v>22.9</v>
      </c>
      <c r="BW366" s="61"/>
      <c r="BX366" s="61"/>
      <c r="BY366" s="1"/>
      <c r="BZ366" s="1"/>
      <c r="CA366" s="61"/>
      <c r="CB366" s="61"/>
      <c r="CC366" s="61">
        <v>23.5</v>
      </c>
      <c r="CD366" s="61"/>
      <c r="CE366" s="61"/>
      <c r="CF366" s="1"/>
      <c r="CG366" s="1"/>
      <c r="CH366" s="61"/>
      <c r="CI366" s="61">
        <v>23.9</v>
      </c>
      <c r="CJ366" s="61"/>
      <c r="CK366" s="61"/>
      <c r="CL366" s="61">
        <v>23.6</v>
      </c>
      <c r="CM366" s="1"/>
      <c r="CN366" s="1"/>
      <c r="CO366" s="61"/>
      <c r="CP366" s="6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8"/>
      <c r="DM366" s="8"/>
      <c r="DN366" s="8"/>
    </row>
    <row r="367" spans="1:118" ht="13.35" hidden="1" customHeight="1">
      <c r="A367" s="92"/>
      <c r="B367" s="96" t="s">
        <v>13</v>
      </c>
      <c r="C367" s="268" t="s">
        <v>14</v>
      </c>
      <c r="D367" s="280">
        <v>19.55</v>
      </c>
      <c r="E367" s="175" t="s">
        <v>499</v>
      </c>
      <c r="F367" s="176" t="s">
        <v>510</v>
      </c>
      <c r="G367" s="177">
        <v>25</v>
      </c>
      <c r="H367" s="178" t="s">
        <v>94</v>
      </c>
      <c r="I367" s="227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17"/>
      <c r="AQ367" s="17"/>
      <c r="AR367" s="63"/>
      <c r="AS367" s="17"/>
      <c r="AT367" s="17"/>
      <c r="AU367" s="17"/>
      <c r="AV367" s="63"/>
      <c r="AW367" s="63">
        <v>20</v>
      </c>
      <c r="AX367" s="17"/>
      <c r="AY367" s="63"/>
      <c r="AZ367" s="17"/>
      <c r="BA367" s="17"/>
      <c r="BB367" s="63"/>
      <c r="BC367" s="63"/>
      <c r="BD367" s="17"/>
      <c r="BE367" s="17"/>
      <c r="BF367" s="63">
        <v>21</v>
      </c>
      <c r="BG367" s="63"/>
      <c r="BH367" s="63"/>
      <c r="BI367" s="17"/>
      <c r="BJ367" s="63"/>
      <c r="BK367" s="217"/>
      <c r="BL367" s="17"/>
      <c r="BM367" s="63"/>
      <c r="BN367" s="63">
        <v>22.2</v>
      </c>
      <c r="BO367" s="63"/>
      <c r="BP367" s="63"/>
      <c r="BQ367" s="63"/>
      <c r="BR367" s="63"/>
      <c r="BS367" s="63"/>
      <c r="BT367" s="63"/>
      <c r="BU367" s="63"/>
      <c r="BV367" s="63"/>
      <c r="BW367" s="63">
        <v>22.7</v>
      </c>
      <c r="BX367" s="63"/>
      <c r="BY367" s="17"/>
      <c r="BZ367" s="17"/>
      <c r="CA367" s="63"/>
      <c r="CB367" s="63"/>
      <c r="CC367" s="63"/>
      <c r="CD367" s="454">
        <v>22.9</v>
      </c>
      <c r="CE367" s="63"/>
      <c r="CF367" s="17"/>
      <c r="CG367" s="17"/>
      <c r="CH367" s="63" t="s">
        <v>208</v>
      </c>
      <c r="CI367" s="63"/>
      <c r="CJ367" s="63"/>
      <c r="CK367" s="63"/>
      <c r="CL367" s="63"/>
      <c r="CM367" s="17"/>
      <c r="CN367" s="17"/>
      <c r="CO367" s="63">
        <v>23.6</v>
      </c>
      <c r="CP367" s="63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8"/>
      <c r="DM367" s="8"/>
      <c r="DN367" s="8"/>
    </row>
    <row r="368" spans="1:118" ht="13.35" hidden="1" customHeight="1">
      <c r="A368" s="90"/>
      <c r="B368" s="90"/>
      <c r="C368" s="266"/>
      <c r="D368" s="277"/>
      <c r="E368" s="286" t="s">
        <v>511</v>
      </c>
      <c r="F368" s="141" t="s">
        <v>512</v>
      </c>
      <c r="G368" s="169"/>
      <c r="H368" s="170" t="s">
        <v>11</v>
      </c>
      <c r="I368" s="225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1"/>
      <c r="AG368" s="171"/>
      <c r="AH368" s="171"/>
      <c r="AI368" s="171"/>
      <c r="AJ368" s="171"/>
      <c r="AK368" s="171"/>
      <c r="AL368" s="171"/>
      <c r="AM368" s="171"/>
      <c r="AN368" s="171"/>
      <c r="AO368" s="171"/>
      <c r="AP368" s="172"/>
      <c r="AQ368" s="172"/>
      <c r="AR368" s="171"/>
      <c r="AS368" s="172"/>
      <c r="AT368" s="172"/>
      <c r="AU368" s="172"/>
      <c r="AV368" s="171"/>
      <c r="AW368" s="172"/>
      <c r="AX368" s="172"/>
      <c r="AY368" s="172"/>
      <c r="AZ368" s="171"/>
      <c r="BA368" s="172"/>
      <c r="BB368" s="171"/>
      <c r="BC368" s="171"/>
      <c r="BD368" s="172"/>
      <c r="BE368" s="172"/>
      <c r="BF368" s="171"/>
      <c r="BG368" s="171"/>
      <c r="BH368" s="171"/>
      <c r="BI368" s="172"/>
      <c r="BJ368" s="171"/>
      <c r="BK368" s="427"/>
      <c r="BL368" s="172"/>
      <c r="BM368" s="171"/>
      <c r="BN368" s="171"/>
      <c r="BO368" s="171"/>
      <c r="BP368" s="171"/>
      <c r="BQ368" s="171"/>
      <c r="BR368" s="171"/>
      <c r="BS368" s="171"/>
      <c r="BT368" s="171"/>
      <c r="BU368" s="171"/>
      <c r="BV368" s="171"/>
      <c r="BW368" s="171"/>
      <c r="BX368" s="171"/>
      <c r="BY368" s="172"/>
      <c r="BZ368" s="172"/>
      <c r="CA368" s="171"/>
      <c r="CB368" s="171"/>
      <c r="CC368" s="172"/>
      <c r="CD368" s="171"/>
      <c r="CE368" s="171"/>
      <c r="CF368" s="172"/>
      <c r="CG368" s="172"/>
      <c r="CH368" s="171"/>
      <c r="CI368" s="171"/>
      <c r="CJ368" s="171"/>
      <c r="CK368" s="171"/>
      <c r="CL368" s="171"/>
      <c r="CM368" s="172"/>
      <c r="CN368" s="172"/>
      <c r="CO368" s="171"/>
      <c r="CP368" s="171"/>
      <c r="CQ368" s="172"/>
      <c r="CR368" s="172"/>
      <c r="CS368" s="172"/>
      <c r="CT368" s="172"/>
      <c r="CU368" s="172"/>
      <c r="CV368" s="172"/>
      <c r="CW368" s="172"/>
      <c r="CX368" s="172"/>
      <c r="CY368" s="172"/>
      <c r="CZ368" s="172"/>
      <c r="DA368" s="172"/>
      <c r="DB368" s="172"/>
      <c r="DC368" s="172"/>
      <c r="DD368" s="172"/>
      <c r="DE368" s="172"/>
      <c r="DF368" s="172"/>
      <c r="DG368" s="172"/>
      <c r="DH368" s="172"/>
      <c r="DI368" s="172"/>
      <c r="DJ368" s="172"/>
      <c r="DK368" s="172"/>
      <c r="DL368" s="8"/>
      <c r="DM368" s="8"/>
      <c r="DN368" s="8"/>
    </row>
    <row r="369" spans="1:118" ht="12.95" hidden="1" customHeight="1">
      <c r="A369" s="91" t="s">
        <v>12</v>
      </c>
      <c r="B369" s="91" t="s">
        <v>13</v>
      </c>
      <c r="C369" s="267" t="s">
        <v>14</v>
      </c>
      <c r="D369" s="279">
        <v>20.260000000000002</v>
      </c>
      <c r="E369" s="188" t="s">
        <v>511</v>
      </c>
      <c r="F369" s="166" t="s">
        <v>513</v>
      </c>
      <c r="G369" s="50">
        <v>24.5</v>
      </c>
      <c r="H369" s="55" t="s">
        <v>16</v>
      </c>
      <c r="I369" s="228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>
        <v>20.2</v>
      </c>
      <c r="AJ369" s="64"/>
      <c r="AK369" s="64"/>
      <c r="AL369" s="64"/>
      <c r="AM369" s="64"/>
      <c r="AN369" s="64"/>
      <c r="AO369" s="64"/>
      <c r="AP369" s="18"/>
      <c r="AQ369" s="18"/>
      <c r="AR369" s="64"/>
      <c r="AS369" s="18"/>
      <c r="AT369" s="18"/>
      <c r="AU369" s="18"/>
      <c r="AV369" s="64">
        <v>21.2</v>
      </c>
      <c r="AW369" s="18"/>
      <c r="AX369" s="18"/>
      <c r="AY369" s="18"/>
      <c r="AZ369" s="64"/>
      <c r="BA369" s="18"/>
      <c r="BB369" s="64"/>
      <c r="BC369" s="64"/>
      <c r="BD369" s="18">
        <v>22.8</v>
      </c>
      <c r="BE369" s="18"/>
      <c r="BF369" s="64"/>
      <c r="BG369" s="64"/>
      <c r="BH369" s="64"/>
      <c r="BI369" s="18"/>
      <c r="BJ369" s="64">
        <v>22.1</v>
      </c>
      <c r="BK369" s="65"/>
      <c r="BL369" s="18"/>
      <c r="BM369" s="64"/>
      <c r="BN369" s="64"/>
      <c r="BO369" s="64"/>
      <c r="BP369" s="64">
        <v>22.7</v>
      </c>
      <c r="BQ369" s="64"/>
      <c r="BR369" s="64"/>
      <c r="BS369" s="64"/>
      <c r="BT369" s="64"/>
      <c r="BU369" s="64"/>
      <c r="BV369" s="64"/>
      <c r="BW369" s="65">
        <v>21.6</v>
      </c>
      <c r="BX369" s="64"/>
      <c r="BY369" s="139"/>
      <c r="BZ369" s="18"/>
      <c r="CA369" s="64"/>
      <c r="CB369" s="64"/>
      <c r="CC369" s="18"/>
      <c r="CD369" s="64">
        <v>23.1</v>
      </c>
      <c r="CE369" s="64"/>
      <c r="CF369" s="139"/>
      <c r="CG369" s="18"/>
      <c r="CH369" s="64"/>
      <c r="CI369" s="64"/>
      <c r="CJ369" s="64">
        <v>23.1</v>
      </c>
      <c r="CK369" s="64"/>
      <c r="CL369" s="65">
        <v>24.1</v>
      </c>
      <c r="CM369" s="18"/>
      <c r="CN369" s="18"/>
      <c r="CO369" s="64"/>
      <c r="CP369" s="64">
        <v>23.1</v>
      </c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  <c r="DG369" s="18"/>
      <c r="DH369" s="18"/>
      <c r="DI369" s="18"/>
      <c r="DJ369" s="18"/>
      <c r="DK369" s="18"/>
      <c r="DL369" s="8"/>
      <c r="DM369" s="8"/>
      <c r="DN369" s="8"/>
    </row>
    <row r="370" spans="1:118" s="104" customFormat="1" ht="13.35" hidden="1" customHeight="1">
      <c r="A370" s="96"/>
      <c r="B370" s="96" t="s">
        <v>13</v>
      </c>
      <c r="C370" s="269" t="s">
        <v>14</v>
      </c>
      <c r="D370" s="281">
        <v>22.37</v>
      </c>
      <c r="E370" s="210" t="s">
        <v>511</v>
      </c>
      <c r="F370" s="211" t="s">
        <v>339</v>
      </c>
      <c r="G370" s="212" t="s">
        <v>514</v>
      </c>
      <c r="H370" s="213" t="s">
        <v>515</v>
      </c>
      <c r="I370" s="244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145"/>
      <c r="AD370" s="145"/>
      <c r="AE370" s="145"/>
      <c r="AF370" s="145"/>
      <c r="AG370" s="145"/>
      <c r="AH370" s="145"/>
      <c r="AI370" s="145">
        <v>18.2</v>
      </c>
      <c r="AJ370" s="145"/>
      <c r="AK370" s="145"/>
      <c r="AL370" s="145"/>
      <c r="AM370" s="145"/>
      <c r="AN370" s="145"/>
      <c r="AO370" s="145"/>
      <c r="AP370" s="147"/>
      <c r="AQ370" s="147"/>
      <c r="AR370" s="145">
        <v>18.600000000000001</v>
      </c>
      <c r="AS370" s="147"/>
      <c r="AT370" s="147"/>
      <c r="AU370" s="147"/>
      <c r="AV370" s="145"/>
      <c r="AW370" s="147"/>
      <c r="AX370" s="147"/>
      <c r="AY370" s="145">
        <v>19.8</v>
      </c>
      <c r="AZ370" s="145"/>
      <c r="BA370" s="147"/>
      <c r="BB370" s="145"/>
      <c r="BC370" s="145"/>
      <c r="BD370" s="147"/>
      <c r="BE370" s="147"/>
      <c r="BF370" s="145"/>
      <c r="BG370" s="145">
        <v>21.8</v>
      </c>
      <c r="BH370" s="145"/>
      <c r="BI370" s="147"/>
      <c r="BJ370" s="145"/>
      <c r="BK370" s="436"/>
      <c r="BL370" s="147"/>
      <c r="BM370" s="145"/>
      <c r="BN370" s="145"/>
      <c r="BO370" s="145"/>
      <c r="BP370" s="145">
        <v>24</v>
      </c>
      <c r="BQ370" s="145"/>
      <c r="BR370" s="145"/>
      <c r="BS370" s="145"/>
      <c r="BT370" s="145"/>
      <c r="BU370" s="145"/>
      <c r="BV370" s="436">
        <v>22.4</v>
      </c>
      <c r="BW370" s="145"/>
      <c r="BX370" s="145"/>
      <c r="BY370" s="148"/>
      <c r="BZ370" s="147"/>
      <c r="CA370" s="145">
        <v>22.8</v>
      </c>
      <c r="CB370" s="145"/>
      <c r="CC370" s="147"/>
      <c r="CD370" s="145"/>
      <c r="CE370" s="145"/>
      <c r="CF370" s="148"/>
      <c r="CG370" s="147"/>
      <c r="CH370" s="145"/>
      <c r="CI370" s="145" t="s">
        <v>440</v>
      </c>
      <c r="CJ370" s="145"/>
      <c r="CK370" s="145"/>
      <c r="CL370" s="145"/>
      <c r="CM370" s="147"/>
      <c r="CN370" s="147"/>
      <c r="CO370" s="145"/>
      <c r="CP370" s="145"/>
      <c r="CQ370" s="147"/>
      <c r="CR370" s="147"/>
      <c r="CS370" s="147"/>
      <c r="CT370" s="147"/>
      <c r="CU370" s="147"/>
      <c r="CV370" s="147"/>
      <c r="CW370" s="147"/>
      <c r="CX370" s="147"/>
      <c r="CY370" s="147"/>
      <c r="CZ370" s="147"/>
      <c r="DA370" s="147"/>
      <c r="DB370" s="147"/>
      <c r="DC370" s="147"/>
      <c r="DD370" s="147"/>
      <c r="DE370" s="147"/>
      <c r="DF370" s="147"/>
      <c r="DG370" s="147"/>
      <c r="DH370" s="147"/>
      <c r="DI370" s="147"/>
      <c r="DJ370" s="147"/>
      <c r="DK370" s="147"/>
      <c r="DL370" s="103"/>
      <c r="DM370" s="103"/>
      <c r="DN370" s="103"/>
    </row>
    <row r="371" spans="1:118" ht="13.35" hidden="1" customHeight="1">
      <c r="A371" s="91" t="s">
        <v>12</v>
      </c>
      <c r="B371" s="91"/>
      <c r="C371" s="267" t="s">
        <v>20</v>
      </c>
      <c r="D371" s="279"/>
      <c r="E371" s="179" t="s">
        <v>511</v>
      </c>
      <c r="F371" s="180" t="s">
        <v>63</v>
      </c>
      <c r="G371" s="181"/>
      <c r="H371" s="182"/>
      <c r="I371" s="233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13"/>
      <c r="AQ371" s="13"/>
      <c r="AR371" s="59"/>
      <c r="AS371" s="13"/>
      <c r="AT371" s="13"/>
      <c r="AU371" s="13"/>
      <c r="AV371" s="59"/>
      <c r="AW371" s="13"/>
      <c r="AX371" s="13"/>
      <c r="AY371" s="13"/>
      <c r="AZ371" s="59"/>
      <c r="BA371" s="13"/>
      <c r="BB371" s="59"/>
      <c r="BC371" s="59"/>
      <c r="BD371" s="13"/>
      <c r="BE371" s="13"/>
      <c r="BF371" s="59"/>
      <c r="BG371" s="59"/>
      <c r="BH371" s="59"/>
      <c r="BI371" s="13"/>
      <c r="BJ371" s="59"/>
      <c r="BK371" s="59">
        <v>27.2</v>
      </c>
      <c r="BL371" s="13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13"/>
      <c r="BZ371" s="13"/>
      <c r="CA371" s="59"/>
      <c r="CB371" s="59"/>
      <c r="CC371" s="13"/>
      <c r="CD371" s="59"/>
      <c r="CE371" s="59"/>
      <c r="CF371" s="13"/>
      <c r="CG371" s="13"/>
      <c r="CH371" s="59"/>
      <c r="CI371" s="59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8"/>
      <c r="DM371" s="8"/>
      <c r="DN371" s="8"/>
    </row>
    <row r="372" spans="1:118" ht="13.35" hidden="1" customHeight="1">
      <c r="A372" s="90" t="s">
        <v>12</v>
      </c>
      <c r="B372" s="90"/>
      <c r="C372" s="266"/>
      <c r="D372" s="277"/>
      <c r="E372" s="278" t="s">
        <v>516</v>
      </c>
      <c r="F372" s="141" t="s">
        <v>517</v>
      </c>
      <c r="G372" s="169"/>
      <c r="H372" s="170" t="s">
        <v>11</v>
      </c>
      <c r="I372" s="225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  <c r="AG372" s="171"/>
      <c r="AH372" s="171"/>
      <c r="AI372" s="171"/>
      <c r="AJ372" s="171"/>
      <c r="AK372" s="171"/>
      <c r="AL372" s="171"/>
      <c r="AM372" s="171"/>
      <c r="AN372" s="171"/>
      <c r="AO372" s="171"/>
      <c r="AP372" s="172"/>
      <c r="AQ372" s="172"/>
      <c r="AR372" s="171"/>
      <c r="AS372" s="172"/>
      <c r="AT372" s="172"/>
      <c r="AU372" s="172"/>
      <c r="AV372" s="171"/>
      <c r="AW372" s="172"/>
      <c r="AX372" s="172"/>
      <c r="AY372" s="172"/>
      <c r="AZ372" s="172"/>
      <c r="BA372" s="172"/>
      <c r="BB372" s="171"/>
      <c r="BC372" s="171"/>
      <c r="BD372" s="172"/>
      <c r="BE372" s="172"/>
      <c r="BF372" s="171"/>
      <c r="BG372" s="171"/>
      <c r="BH372" s="171"/>
      <c r="BI372" s="172"/>
      <c r="BJ372" s="171"/>
      <c r="BK372" s="427"/>
      <c r="BL372" s="172"/>
      <c r="BM372" s="171"/>
      <c r="BN372" s="171"/>
      <c r="BO372" s="171"/>
      <c r="BP372" s="171"/>
      <c r="BQ372" s="171"/>
      <c r="BR372" s="171"/>
      <c r="BS372" s="171"/>
      <c r="BT372" s="171"/>
      <c r="BU372" s="171"/>
      <c r="BV372" s="171"/>
      <c r="BW372" s="171"/>
      <c r="BX372" s="171"/>
      <c r="BY372" s="172"/>
      <c r="BZ372" s="172"/>
      <c r="CA372" s="171"/>
      <c r="CB372" s="171"/>
      <c r="CC372" s="172"/>
      <c r="CD372" s="171"/>
      <c r="CE372" s="171"/>
      <c r="CF372" s="172"/>
      <c r="CG372" s="172"/>
      <c r="CH372" s="171"/>
      <c r="CI372" s="172"/>
      <c r="CJ372" s="172"/>
      <c r="CK372" s="172"/>
      <c r="CL372" s="172"/>
      <c r="CM372" s="172"/>
      <c r="CN372" s="172"/>
      <c r="CO372" s="172"/>
      <c r="CP372" s="172"/>
      <c r="CQ372" s="172"/>
      <c r="CR372" s="172"/>
      <c r="CS372" s="172"/>
      <c r="CT372" s="172"/>
      <c r="CU372" s="172"/>
      <c r="CV372" s="172"/>
      <c r="CW372" s="172"/>
      <c r="CX372" s="172"/>
      <c r="CY372" s="172"/>
      <c r="CZ372" s="172"/>
      <c r="DA372" s="172"/>
      <c r="DB372" s="172"/>
      <c r="DC372" s="172"/>
      <c r="DD372" s="172"/>
      <c r="DE372" s="172"/>
      <c r="DF372" s="172"/>
      <c r="DG372" s="172"/>
      <c r="DH372" s="172"/>
      <c r="DI372" s="172"/>
      <c r="DJ372" s="172"/>
      <c r="DK372" s="172"/>
      <c r="DL372" s="8"/>
      <c r="DM372" s="8"/>
      <c r="DN372" s="8"/>
    </row>
    <row r="373" spans="1:118" ht="13.35" hidden="1" customHeight="1">
      <c r="A373" s="91" t="s">
        <v>12</v>
      </c>
      <c r="B373" s="91" t="s">
        <v>13</v>
      </c>
      <c r="C373" s="267" t="s">
        <v>14</v>
      </c>
      <c r="D373" s="279">
        <v>20.25</v>
      </c>
      <c r="E373" s="190" t="s">
        <v>516</v>
      </c>
      <c r="F373" s="134" t="s">
        <v>518</v>
      </c>
      <c r="G373" s="192">
        <v>24</v>
      </c>
      <c r="H373" s="187" t="s">
        <v>235</v>
      </c>
      <c r="I373" s="226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>
        <v>18.600000000000001</v>
      </c>
      <c r="AJ373" s="72"/>
      <c r="AK373" s="72"/>
      <c r="AL373" s="72"/>
      <c r="AM373" s="72"/>
      <c r="AN373" s="72"/>
      <c r="AO373" s="72"/>
      <c r="AP373" s="36"/>
      <c r="AQ373" s="36"/>
      <c r="AR373" s="72"/>
      <c r="AS373" s="36"/>
      <c r="AT373" s="36"/>
      <c r="AU373" s="36"/>
      <c r="AV373" s="72">
        <v>21.3</v>
      </c>
      <c r="AW373" s="36"/>
      <c r="AX373" s="36"/>
      <c r="AY373" s="36"/>
      <c r="AZ373" s="36"/>
      <c r="BA373" s="36"/>
      <c r="BB373" s="72"/>
      <c r="BC373" s="72"/>
      <c r="BD373" s="36"/>
      <c r="BE373" s="36"/>
      <c r="BF373" s="72"/>
      <c r="BG373" s="72"/>
      <c r="BH373" s="72"/>
      <c r="BI373" s="36"/>
      <c r="BJ373" s="72"/>
      <c r="BK373" s="72">
        <v>24.1</v>
      </c>
      <c r="BL373" s="36"/>
      <c r="BM373" s="72"/>
      <c r="BN373" s="72"/>
      <c r="BO373" s="72"/>
      <c r="BP373" s="72"/>
      <c r="BQ373" s="72"/>
      <c r="BR373" s="72">
        <v>23.3</v>
      </c>
      <c r="BS373" s="72"/>
      <c r="BT373" s="72"/>
      <c r="BU373" s="72"/>
      <c r="BV373" s="72"/>
      <c r="BW373" s="72"/>
      <c r="BX373" s="72"/>
      <c r="BY373" s="36"/>
      <c r="BZ373" s="36"/>
      <c r="CA373" s="72">
        <v>23</v>
      </c>
      <c r="CB373" s="72"/>
      <c r="CC373" s="36"/>
      <c r="CD373" s="72"/>
      <c r="CE373" s="72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8"/>
      <c r="DM373" s="8"/>
      <c r="DN373" s="8"/>
    </row>
    <row r="374" spans="1:118" ht="13.35" hidden="1" customHeight="1">
      <c r="A374" s="90" t="s">
        <v>12</v>
      </c>
      <c r="B374" s="90"/>
      <c r="C374" s="266"/>
      <c r="D374" s="277"/>
      <c r="E374" s="278" t="s">
        <v>519</v>
      </c>
      <c r="F374" s="141" t="s">
        <v>520</v>
      </c>
      <c r="G374" s="169"/>
      <c r="H374" s="170" t="s">
        <v>11</v>
      </c>
      <c r="I374" s="225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/>
      <c r="AH374" s="171"/>
      <c r="AI374" s="171"/>
      <c r="AJ374" s="171"/>
      <c r="AK374" s="171"/>
      <c r="AL374" s="171"/>
      <c r="AM374" s="171"/>
      <c r="AN374" s="171"/>
      <c r="AO374" s="171"/>
      <c r="AP374" s="172"/>
      <c r="AQ374" s="172"/>
      <c r="AR374" s="171"/>
      <c r="AS374" s="172"/>
      <c r="AT374" s="172"/>
      <c r="AU374" s="172"/>
      <c r="AV374" s="172"/>
      <c r="AW374" s="172"/>
      <c r="AX374" s="172"/>
      <c r="AY374" s="172"/>
      <c r="AZ374" s="172"/>
      <c r="BA374" s="171"/>
      <c r="BB374" s="171"/>
      <c r="BC374" s="171"/>
      <c r="BD374" s="172"/>
      <c r="BE374" s="172"/>
      <c r="BF374" s="171"/>
      <c r="BG374" s="171"/>
      <c r="BH374" s="171"/>
      <c r="BI374" s="172"/>
      <c r="BJ374" s="171"/>
      <c r="BK374" s="427"/>
      <c r="BL374" s="172"/>
      <c r="BM374" s="171"/>
      <c r="BN374" s="171"/>
      <c r="BO374" s="171"/>
      <c r="BP374" s="171"/>
      <c r="BQ374" s="171"/>
      <c r="BR374" s="171"/>
      <c r="BS374" s="171"/>
      <c r="BT374" s="171"/>
      <c r="BU374" s="171"/>
      <c r="BV374" s="171"/>
      <c r="BW374" s="171"/>
      <c r="BX374" s="171"/>
      <c r="BY374" s="172"/>
      <c r="BZ374" s="172"/>
      <c r="CA374" s="171"/>
      <c r="CB374" s="171"/>
      <c r="CC374" s="172"/>
      <c r="CD374" s="171"/>
      <c r="CE374" s="171"/>
      <c r="CF374" s="172"/>
      <c r="CG374" s="172"/>
      <c r="CH374" s="171"/>
      <c r="CI374" s="172"/>
      <c r="CJ374" s="172"/>
      <c r="CK374" s="172"/>
      <c r="CL374" s="172"/>
      <c r="CM374" s="172"/>
      <c r="CN374" s="172"/>
      <c r="CO374" s="172"/>
      <c r="CP374" s="172"/>
      <c r="CQ374" s="172"/>
      <c r="CR374" s="172"/>
      <c r="CS374" s="172"/>
      <c r="CT374" s="172"/>
      <c r="CU374" s="172"/>
      <c r="CV374" s="172"/>
      <c r="CW374" s="172"/>
      <c r="CX374" s="172"/>
      <c r="CY374" s="172"/>
      <c r="CZ374" s="172"/>
      <c r="DA374" s="172"/>
      <c r="DB374" s="172"/>
      <c r="DC374" s="172"/>
      <c r="DD374" s="172"/>
      <c r="DE374" s="172"/>
      <c r="DF374" s="172"/>
      <c r="DG374" s="172"/>
      <c r="DH374" s="172"/>
      <c r="DI374" s="172"/>
      <c r="DJ374" s="172"/>
      <c r="DK374" s="172"/>
      <c r="DL374" s="8"/>
      <c r="DM374" s="8"/>
      <c r="DN374" s="8"/>
    </row>
    <row r="375" spans="1:118" ht="13.15" hidden="1" customHeight="1">
      <c r="A375" s="91" t="s">
        <v>12</v>
      </c>
      <c r="B375" s="91"/>
      <c r="C375" s="267" t="s">
        <v>31</v>
      </c>
      <c r="D375" s="279">
        <v>7.1</v>
      </c>
      <c r="E375" s="190" t="s">
        <v>519</v>
      </c>
      <c r="F375" s="134" t="s">
        <v>521</v>
      </c>
      <c r="G375" s="192">
        <v>21.5</v>
      </c>
      <c r="H375" s="187" t="s">
        <v>522</v>
      </c>
      <c r="I375" s="226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223">
        <v>16.899999999999999</v>
      </c>
      <c r="U375" s="72"/>
      <c r="V375" s="72"/>
      <c r="W375" s="72"/>
      <c r="X375" s="72"/>
      <c r="Y375" s="72"/>
      <c r="Z375" s="223">
        <v>21</v>
      </c>
      <c r="AA375" s="72"/>
      <c r="AB375" s="72"/>
      <c r="AC375" s="72"/>
      <c r="AD375" s="295" t="s">
        <v>523</v>
      </c>
      <c r="AE375" s="72"/>
      <c r="AF375" s="308">
        <v>21.1</v>
      </c>
      <c r="AG375" s="72"/>
      <c r="AH375" s="72"/>
      <c r="AI375" s="72"/>
      <c r="AJ375" s="72"/>
      <c r="AK375" s="72"/>
      <c r="AL375" s="72"/>
      <c r="AM375" s="72"/>
      <c r="AN375" s="72"/>
      <c r="AO375" s="72"/>
      <c r="AP375" s="36"/>
      <c r="AQ375" s="36"/>
      <c r="AR375" s="72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72"/>
      <c r="BD375" s="36"/>
      <c r="BE375" s="36"/>
      <c r="BF375" s="72"/>
      <c r="BG375" s="36"/>
      <c r="BH375" s="72"/>
      <c r="BI375" s="36"/>
      <c r="BJ375" s="72"/>
      <c r="BK375" s="402"/>
      <c r="BL375" s="36"/>
      <c r="BM375" s="36"/>
      <c r="BN375" s="72"/>
      <c r="BO375" s="36"/>
      <c r="BP375" s="36"/>
      <c r="BQ375" s="36"/>
      <c r="BR375" s="36"/>
      <c r="BS375" s="36"/>
      <c r="BT375" s="36"/>
      <c r="BU375" s="36"/>
      <c r="BV375" s="36"/>
      <c r="BW375" s="72"/>
      <c r="BX375" s="36"/>
      <c r="BY375" s="36"/>
      <c r="BZ375" s="36"/>
      <c r="CA375" s="72"/>
      <c r="CB375" s="36"/>
      <c r="CC375" s="36"/>
      <c r="CD375" s="36"/>
      <c r="CE375" s="72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8"/>
      <c r="DM375" s="8"/>
      <c r="DN375" s="8"/>
    </row>
    <row r="376" spans="1:118" ht="13.35" hidden="1" customHeight="1">
      <c r="A376" s="91" t="s">
        <v>12</v>
      </c>
      <c r="B376" s="91"/>
      <c r="C376" s="267" t="s">
        <v>20</v>
      </c>
      <c r="D376" s="279"/>
      <c r="E376" s="190" t="s">
        <v>519</v>
      </c>
      <c r="F376" s="134" t="s">
        <v>63</v>
      </c>
      <c r="G376" s="192"/>
      <c r="H376" s="187"/>
      <c r="I376" s="226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223"/>
      <c r="U376" s="72"/>
      <c r="V376" s="72"/>
      <c r="W376" s="72"/>
      <c r="X376" s="72"/>
      <c r="Y376" s="72"/>
      <c r="Z376" s="223"/>
      <c r="AA376" s="72"/>
      <c r="AB376" s="72"/>
      <c r="AC376" s="72"/>
      <c r="AD376" s="295">
        <v>23</v>
      </c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36">
        <v>23.8</v>
      </c>
      <c r="AQ376" s="36"/>
      <c r="AR376" s="72"/>
      <c r="AS376" s="36"/>
      <c r="AT376" s="36"/>
      <c r="AU376" s="36"/>
      <c r="AV376" s="36"/>
      <c r="AW376" s="36"/>
      <c r="AX376" s="36"/>
      <c r="AY376" s="36"/>
      <c r="AZ376" s="36"/>
      <c r="BA376" s="72">
        <v>24.9</v>
      </c>
      <c r="BB376" s="72"/>
      <c r="BC376" s="72"/>
      <c r="BD376" s="36"/>
      <c r="BE376" s="36"/>
      <c r="BF376" s="72"/>
      <c r="BG376" s="72"/>
      <c r="BH376" s="72"/>
      <c r="BI376" s="36"/>
      <c r="BJ376" s="72"/>
      <c r="BK376" s="402"/>
      <c r="BL376" s="36"/>
      <c r="BM376" s="72"/>
      <c r="BN376" s="72"/>
      <c r="BO376" s="72"/>
      <c r="BP376" s="72"/>
      <c r="BQ376" s="72"/>
      <c r="BR376" s="72"/>
      <c r="BS376" s="72"/>
      <c r="BT376" s="72"/>
      <c r="BU376" s="72"/>
      <c r="BV376" s="72"/>
      <c r="BW376" s="72"/>
      <c r="BX376" s="36"/>
      <c r="BY376" s="36"/>
      <c r="BZ376" s="36"/>
      <c r="CA376" s="72"/>
      <c r="CB376" s="36"/>
      <c r="CC376" s="36"/>
      <c r="CD376" s="36"/>
      <c r="CE376" s="72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8"/>
      <c r="DM376" s="8"/>
      <c r="DN376" s="8"/>
    </row>
    <row r="377" spans="1:118" ht="13.35" hidden="1" customHeight="1">
      <c r="A377" s="90" t="s">
        <v>12</v>
      </c>
      <c r="B377" s="90"/>
      <c r="C377" s="266"/>
      <c r="D377" s="277"/>
      <c r="E377" s="278" t="s">
        <v>524</v>
      </c>
      <c r="F377" s="141" t="s">
        <v>525</v>
      </c>
      <c r="G377" s="169"/>
      <c r="H377" s="170" t="s">
        <v>11</v>
      </c>
      <c r="I377" s="225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171"/>
      <c r="AI377" s="171"/>
      <c r="AJ377" s="171"/>
      <c r="AK377" s="171"/>
      <c r="AL377" s="171"/>
      <c r="AM377" s="171"/>
      <c r="AN377" s="171"/>
      <c r="AO377" s="171"/>
      <c r="AP377" s="172"/>
      <c r="AQ377" s="172"/>
      <c r="AR377" s="171"/>
      <c r="AS377" s="172"/>
      <c r="AT377" s="171"/>
      <c r="AU377" s="172"/>
      <c r="AV377" s="171"/>
      <c r="AW377" s="172"/>
      <c r="AX377" s="172"/>
      <c r="AY377" s="171"/>
      <c r="AZ377" s="172"/>
      <c r="BA377" s="171"/>
      <c r="BB377" s="171"/>
      <c r="BC377" s="171"/>
      <c r="BD377" s="172"/>
      <c r="BE377" s="172"/>
      <c r="BF377" s="171"/>
      <c r="BG377" s="171"/>
      <c r="BH377" s="171"/>
      <c r="BI377" s="172"/>
      <c r="BJ377" s="171"/>
      <c r="BK377" s="427"/>
      <c r="BL377" s="172"/>
      <c r="BM377" s="171"/>
      <c r="BN377" s="171"/>
      <c r="BO377" s="171"/>
      <c r="BP377" s="171"/>
      <c r="BQ377" s="171"/>
      <c r="BR377" s="171"/>
      <c r="BS377" s="171"/>
      <c r="BT377" s="171"/>
      <c r="BU377" s="171"/>
      <c r="BV377" s="171"/>
      <c r="BW377" s="171"/>
      <c r="BX377" s="171"/>
      <c r="BY377" s="172"/>
      <c r="BZ377" s="172"/>
      <c r="CA377" s="171"/>
      <c r="CB377" s="171"/>
      <c r="CC377" s="172"/>
      <c r="CD377" s="171"/>
      <c r="CE377" s="171"/>
      <c r="CF377" s="172"/>
      <c r="CG377" s="172"/>
      <c r="CH377" s="171"/>
      <c r="CI377" s="172"/>
      <c r="CJ377" s="172"/>
      <c r="CK377" s="172"/>
      <c r="CL377" s="172"/>
      <c r="CM377" s="172"/>
      <c r="CN377" s="172"/>
      <c r="CO377" s="172"/>
      <c r="CP377" s="172"/>
      <c r="CQ377" s="172"/>
      <c r="CR377" s="172"/>
      <c r="CS377" s="172"/>
      <c r="CT377" s="172"/>
      <c r="CU377" s="172"/>
      <c r="CV377" s="172"/>
      <c r="CW377" s="172"/>
      <c r="CX377" s="172"/>
      <c r="CY377" s="172"/>
      <c r="CZ377" s="172"/>
      <c r="DA377" s="172"/>
      <c r="DB377" s="172"/>
      <c r="DC377" s="172"/>
      <c r="DD377" s="172"/>
      <c r="DE377" s="172"/>
      <c r="DF377" s="172"/>
      <c r="DG377" s="172"/>
      <c r="DH377" s="172"/>
      <c r="DI377" s="172"/>
      <c r="DJ377" s="172"/>
      <c r="DK377" s="172"/>
      <c r="DL377" s="8"/>
      <c r="DM377" s="8"/>
      <c r="DN377" s="8"/>
    </row>
    <row r="378" spans="1:118" ht="12.95" hidden="1" customHeight="1">
      <c r="A378" s="92" t="s">
        <v>13</v>
      </c>
      <c r="B378" s="96" t="s">
        <v>13</v>
      </c>
      <c r="C378" s="268" t="s">
        <v>20</v>
      </c>
      <c r="D378" s="280">
        <v>10.11</v>
      </c>
      <c r="E378" s="189" t="s">
        <v>524</v>
      </c>
      <c r="F378" s="133" t="s">
        <v>526</v>
      </c>
      <c r="G378" s="29"/>
      <c r="H378" s="135" t="s">
        <v>16</v>
      </c>
      <c r="I378" s="230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>
        <v>17</v>
      </c>
      <c r="AF378" s="62"/>
      <c r="AG378" s="62"/>
      <c r="AH378" s="62"/>
      <c r="AI378" s="62"/>
      <c r="AJ378" s="62"/>
      <c r="AK378" s="62"/>
      <c r="AL378" s="62">
        <v>24.2</v>
      </c>
      <c r="AM378" s="62"/>
      <c r="AN378" s="316">
        <v>24.7</v>
      </c>
      <c r="AO378" s="62"/>
      <c r="AP378" s="16"/>
      <c r="AQ378" s="16"/>
      <c r="AR378" s="62"/>
      <c r="AS378" s="16"/>
      <c r="AT378" s="62"/>
      <c r="AU378" s="16"/>
      <c r="AV378" s="316">
        <v>25.8</v>
      </c>
      <c r="AW378" s="16"/>
      <c r="AX378" s="16"/>
      <c r="AY378" s="62"/>
      <c r="AZ378" s="16"/>
      <c r="BA378" s="62"/>
      <c r="BB378" s="62"/>
      <c r="BC378" s="316"/>
      <c r="BD378" s="16"/>
      <c r="BE378" s="16"/>
      <c r="BF378" s="62"/>
      <c r="BG378" s="62"/>
      <c r="BH378" s="316"/>
      <c r="BI378" s="16"/>
      <c r="BJ378" s="62"/>
      <c r="BK378" s="316"/>
      <c r="BL378" s="16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16"/>
      <c r="BY378" s="16"/>
      <c r="BZ378" s="16"/>
      <c r="CA378" s="62"/>
      <c r="CB378" s="16"/>
      <c r="CC378" s="16"/>
      <c r="CD378" s="16"/>
      <c r="CE378" s="62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8"/>
      <c r="DM378" s="8"/>
      <c r="DN378" s="8"/>
    </row>
    <row r="379" spans="1:118" ht="13.35" hidden="1" customHeight="1">
      <c r="A379" s="91" t="s">
        <v>12</v>
      </c>
      <c r="B379" s="91"/>
      <c r="C379" s="267" t="s">
        <v>20</v>
      </c>
      <c r="D379" s="279">
        <v>10.61</v>
      </c>
      <c r="E379" s="155" t="s">
        <v>524</v>
      </c>
      <c r="F379" s="160" t="s">
        <v>527</v>
      </c>
      <c r="G379" s="6">
        <v>24</v>
      </c>
      <c r="H379" s="5" t="s">
        <v>22</v>
      </c>
      <c r="I379" s="23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1"/>
      <c r="AQ379" s="1"/>
      <c r="AR379" s="61"/>
      <c r="AS379" s="1"/>
      <c r="AT379" s="61">
        <v>22.6</v>
      </c>
      <c r="AU379" s="1"/>
      <c r="AV379" s="61"/>
      <c r="AW379" s="1"/>
      <c r="AX379" s="1"/>
      <c r="AY379" s="61"/>
      <c r="AZ379" s="1"/>
      <c r="BA379" s="61"/>
      <c r="BB379" s="61"/>
      <c r="BC379" s="61"/>
      <c r="BD379" s="1"/>
      <c r="BE379" s="1"/>
      <c r="BF379" s="61"/>
      <c r="BG379" s="61"/>
      <c r="BH379" s="61"/>
      <c r="BI379" s="1"/>
      <c r="BJ379" s="61"/>
      <c r="BK379" s="67"/>
      <c r="BL379" s="1"/>
      <c r="BM379" s="1"/>
      <c r="BN379" s="61"/>
      <c r="BO379" s="1"/>
      <c r="BP379" s="1"/>
      <c r="BQ379" s="1"/>
      <c r="BR379" s="1"/>
      <c r="BS379" s="1"/>
      <c r="BT379" s="1"/>
      <c r="BU379" s="1"/>
      <c r="BV379" s="1"/>
      <c r="BW379" s="61"/>
      <c r="BX379" s="1"/>
      <c r="BY379" s="1"/>
      <c r="BZ379" s="1"/>
      <c r="CA379" s="61"/>
      <c r="CB379" s="1"/>
      <c r="CC379" s="1"/>
      <c r="CD379" s="1"/>
      <c r="CE379" s="6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8"/>
      <c r="DM379" s="8"/>
      <c r="DN379" s="8"/>
    </row>
    <row r="380" spans="1:118" ht="13.15" hidden="1" customHeight="1">
      <c r="A380" s="92" t="s">
        <v>12</v>
      </c>
      <c r="B380" s="92"/>
      <c r="C380" s="268" t="s">
        <v>14</v>
      </c>
      <c r="D380" s="280"/>
      <c r="E380" s="156" t="s">
        <v>524</v>
      </c>
      <c r="F380" s="159" t="s">
        <v>95</v>
      </c>
      <c r="G380" s="7"/>
      <c r="H380" s="4"/>
      <c r="I380" s="229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>
        <v>16.600000000000001</v>
      </c>
      <c r="AB380" s="60"/>
      <c r="AC380" s="60">
        <v>18.399999999999999</v>
      </c>
      <c r="AD380" s="60"/>
      <c r="AE380" s="60"/>
      <c r="AF380" s="60"/>
      <c r="AG380" s="60"/>
      <c r="AH380" s="60"/>
      <c r="AI380" s="60">
        <v>18.600000000000001</v>
      </c>
      <c r="AJ380" s="60"/>
      <c r="AK380" s="60">
        <v>21.4</v>
      </c>
      <c r="AL380" s="60"/>
      <c r="AM380" s="60"/>
      <c r="AN380" s="60"/>
      <c r="AO380" s="60"/>
      <c r="AP380" s="2"/>
      <c r="AQ380" s="2"/>
      <c r="AR380" s="60"/>
      <c r="AS380" s="2"/>
      <c r="AT380" s="60"/>
      <c r="AU380" s="2"/>
      <c r="AV380" s="60"/>
      <c r="AW380" s="2"/>
      <c r="AX380" s="2"/>
      <c r="AY380" s="2"/>
      <c r="AZ380" s="2"/>
      <c r="BA380" s="2"/>
      <c r="BB380" s="2"/>
      <c r="BC380" s="60"/>
      <c r="BD380" s="2"/>
      <c r="BE380" s="2"/>
      <c r="BF380" s="60"/>
      <c r="BG380" s="2"/>
      <c r="BH380" s="60"/>
      <c r="BI380" s="2"/>
      <c r="BJ380" s="60"/>
      <c r="BK380" s="66"/>
      <c r="BL380" s="2"/>
      <c r="BM380" s="2"/>
      <c r="BN380" s="60"/>
      <c r="BO380" s="2"/>
      <c r="BP380" s="2"/>
      <c r="BQ380" s="2"/>
      <c r="BR380" s="2"/>
      <c r="BS380" s="2"/>
      <c r="BT380" s="2"/>
      <c r="BU380" s="2"/>
      <c r="BV380" s="2"/>
      <c r="BW380" s="60"/>
      <c r="BX380" s="2"/>
      <c r="BY380" s="2"/>
      <c r="BZ380" s="2"/>
      <c r="CA380" s="60"/>
      <c r="CB380" s="2"/>
      <c r="CC380" s="2"/>
      <c r="CD380" s="2"/>
      <c r="CE380" s="60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8"/>
      <c r="DM380" s="8"/>
      <c r="DN380" s="8"/>
    </row>
    <row r="381" spans="1:118" ht="13.15" hidden="1" customHeight="1">
      <c r="A381" s="91" t="s">
        <v>12</v>
      </c>
      <c r="B381" s="91"/>
      <c r="C381" s="267" t="s">
        <v>14</v>
      </c>
      <c r="D381" s="279">
        <v>38.380000000000003</v>
      </c>
      <c r="E381" s="155" t="s">
        <v>524</v>
      </c>
      <c r="F381" s="160" t="s">
        <v>528</v>
      </c>
      <c r="G381" s="6" t="s">
        <v>529</v>
      </c>
      <c r="H381" s="5" t="s">
        <v>530</v>
      </c>
      <c r="I381" s="231"/>
      <c r="J381" s="61"/>
      <c r="K381" s="61"/>
      <c r="L381" s="61"/>
      <c r="M381" s="61"/>
      <c r="N381" s="61"/>
      <c r="O381" s="61"/>
      <c r="P381" s="61"/>
      <c r="Q381" s="129">
        <v>15</v>
      </c>
      <c r="R381" s="61"/>
      <c r="S381" s="61"/>
      <c r="T381" s="129"/>
      <c r="U381" s="61"/>
      <c r="V381" s="61"/>
      <c r="W381" s="221">
        <v>20.100000000000001</v>
      </c>
      <c r="X381" s="61"/>
      <c r="Y381" s="61"/>
      <c r="Z381" s="221">
        <v>18</v>
      </c>
      <c r="AA381" s="61"/>
      <c r="AB381" s="61"/>
      <c r="AC381" s="61"/>
      <c r="AD381" s="61"/>
      <c r="AE381" s="61">
        <v>21.3</v>
      </c>
      <c r="AF381" s="61" t="s">
        <v>531</v>
      </c>
      <c r="AG381" s="61"/>
      <c r="AH381" s="61"/>
      <c r="AI381" s="61"/>
      <c r="AJ381" s="67"/>
      <c r="AK381" s="61"/>
      <c r="AL381" s="61">
        <v>23.6</v>
      </c>
      <c r="AM381" s="61"/>
      <c r="AN381" s="61">
        <v>23.2</v>
      </c>
      <c r="AO381" s="61"/>
      <c r="AP381" s="1"/>
      <c r="AQ381" s="1"/>
      <c r="AR381" s="61"/>
      <c r="AS381" s="1"/>
      <c r="AT381" s="61"/>
      <c r="AU381" s="1"/>
      <c r="AV381" s="61"/>
      <c r="AW381" s="1"/>
      <c r="AX381" s="1"/>
      <c r="AY381" s="1"/>
      <c r="AZ381" s="1"/>
      <c r="BA381" s="1"/>
      <c r="BB381" s="1"/>
      <c r="BC381" s="61"/>
      <c r="BD381" s="1"/>
      <c r="BE381" s="1"/>
      <c r="BF381" s="61"/>
      <c r="BG381" s="1"/>
      <c r="BH381" s="61"/>
      <c r="BI381" s="1"/>
      <c r="BJ381" s="61"/>
      <c r="BK381" s="67"/>
      <c r="BL381" s="1"/>
      <c r="BM381" s="1"/>
      <c r="BN381" s="61"/>
      <c r="BO381" s="1"/>
      <c r="BP381" s="1"/>
      <c r="BQ381" s="1"/>
      <c r="BR381" s="1"/>
      <c r="BS381" s="1"/>
      <c r="BT381" s="1"/>
      <c r="BU381" s="1"/>
      <c r="BV381" s="1"/>
      <c r="BW381" s="61"/>
      <c r="BX381" s="1"/>
      <c r="BY381" s="1"/>
      <c r="BZ381" s="1"/>
      <c r="CA381" s="61"/>
      <c r="CB381" s="1"/>
      <c r="CC381" s="1"/>
      <c r="CD381" s="1"/>
      <c r="CE381" s="6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8"/>
      <c r="DM381" s="8"/>
      <c r="DN381" s="8"/>
    </row>
    <row r="382" spans="1:118" ht="13.15" hidden="1" customHeight="1">
      <c r="A382" s="92" t="s">
        <v>12</v>
      </c>
      <c r="B382" s="92"/>
      <c r="C382" s="268" t="s">
        <v>14</v>
      </c>
      <c r="D382" s="280">
        <v>16.13</v>
      </c>
      <c r="E382" s="156" t="s">
        <v>524</v>
      </c>
      <c r="F382" s="159" t="s">
        <v>532</v>
      </c>
      <c r="G382" s="7">
        <v>22</v>
      </c>
      <c r="H382" s="4" t="s">
        <v>533</v>
      </c>
      <c r="I382" s="229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>
        <v>18.2</v>
      </c>
      <c r="Z382" s="60"/>
      <c r="AA382" s="60"/>
      <c r="AB382" s="60"/>
      <c r="AC382" s="60"/>
      <c r="AD382" s="60"/>
      <c r="AE382" s="60"/>
      <c r="AF382" s="60">
        <v>20.2</v>
      </c>
      <c r="AG382" s="60"/>
      <c r="AH382" s="60"/>
      <c r="AI382" s="60"/>
      <c r="AJ382" s="66"/>
      <c r="AK382" s="60"/>
      <c r="AL382" s="60"/>
      <c r="AM382" s="314"/>
      <c r="AN382" s="60"/>
      <c r="AO382" s="60"/>
      <c r="AP382" s="2"/>
      <c r="AQ382" s="2"/>
      <c r="AR382" s="60"/>
      <c r="AS382" s="2"/>
      <c r="AT382" s="60"/>
      <c r="AU382" s="2"/>
      <c r="AV382" s="60"/>
      <c r="AW382" s="2"/>
      <c r="AX382" s="2"/>
      <c r="AY382" s="2"/>
      <c r="AZ382" s="2"/>
      <c r="BA382" s="2"/>
      <c r="BB382" s="2"/>
      <c r="BC382" s="60"/>
      <c r="BD382" s="2"/>
      <c r="BE382" s="2"/>
      <c r="BF382" s="60"/>
      <c r="BG382" s="2"/>
      <c r="BH382" s="60"/>
      <c r="BI382" s="2"/>
      <c r="BJ382" s="60"/>
      <c r="BK382" s="66"/>
      <c r="BL382" s="2"/>
      <c r="BM382" s="2"/>
      <c r="BN382" s="60"/>
      <c r="BO382" s="2"/>
      <c r="BP382" s="2"/>
      <c r="BQ382" s="2"/>
      <c r="BR382" s="2"/>
      <c r="BS382" s="2"/>
      <c r="BT382" s="2"/>
      <c r="BU382" s="2"/>
      <c r="BV382" s="2"/>
      <c r="BW382" s="60"/>
      <c r="BX382" s="2"/>
      <c r="BY382" s="2"/>
      <c r="BZ382" s="2"/>
      <c r="CA382" s="60"/>
      <c r="CB382" s="2"/>
      <c r="CC382" s="2"/>
      <c r="CD382" s="2"/>
      <c r="CE382" s="60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8"/>
      <c r="DM382" s="8"/>
      <c r="DN382" s="8"/>
    </row>
    <row r="383" spans="1:118" ht="13.15" hidden="1" customHeight="1">
      <c r="A383" s="92" t="s">
        <v>12</v>
      </c>
      <c r="B383" s="92"/>
      <c r="C383" s="268" t="s">
        <v>14</v>
      </c>
      <c r="D383" s="280">
        <v>11.78</v>
      </c>
      <c r="E383" s="156" t="s">
        <v>524</v>
      </c>
      <c r="F383" s="159" t="s">
        <v>534</v>
      </c>
      <c r="G383" s="7">
        <v>22</v>
      </c>
      <c r="H383" s="4" t="s">
        <v>533</v>
      </c>
      <c r="I383" s="229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>
        <v>18</v>
      </c>
      <c r="Z383" s="60"/>
      <c r="AA383" s="60"/>
      <c r="AB383" s="60"/>
      <c r="AC383" s="60"/>
      <c r="AD383" s="60"/>
      <c r="AE383" s="60"/>
      <c r="AF383" s="60">
        <v>20.6</v>
      </c>
      <c r="AG383" s="60"/>
      <c r="AH383" s="60"/>
      <c r="AI383" s="60"/>
      <c r="AJ383" s="66"/>
      <c r="AK383" s="60"/>
      <c r="AL383" s="60"/>
      <c r="AM383" s="314"/>
      <c r="AN383" s="60"/>
      <c r="AO383" s="60"/>
      <c r="AP383" s="2"/>
      <c r="AQ383" s="2"/>
      <c r="AR383" s="60"/>
      <c r="AS383" s="2"/>
      <c r="AT383" s="60"/>
      <c r="AU383" s="2"/>
      <c r="AV383" s="60"/>
      <c r="AW383" s="2"/>
      <c r="AX383" s="2"/>
      <c r="AY383" s="2"/>
      <c r="AZ383" s="2"/>
      <c r="BA383" s="2"/>
      <c r="BB383" s="2"/>
      <c r="BC383" s="60"/>
      <c r="BD383" s="2"/>
      <c r="BE383" s="2"/>
      <c r="BF383" s="60"/>
      <c r="BG383" s="2"/>
      <c r="BH383" s="60"/>
      <c r="BI383" s="2"/>
      <c r="BJ383" s="60"/>
      <c r="BK383" s="66"/>
      <c r="BL383" s="2"/>
      <c r="BM383" s="2"/>
      <c r="BN383" s="60"/>
      <c r="BO383" s="2"/>
      <c r="BP383" s="2"/>
      <c r="BQ383" s="2"/>
      <c r="BR383" s="2"/>
      <c r="BS383" s="2"/>
      <c r="BT383" s="2"/>
      <c r="BU383" s="2"/>
      <c r="BV383" s="2"/>
      <c r="BW383" s="60"/>
      <c r="BX383" s="2"/>
      <c r="BY383" s="2"/>
      <c r="BZ383" s="2"/>
      <c r="CA383" s="60"/>
      <c r="CB383" s="2"/>
      <c r="CC383" s="2"/>
      <c r="CD383" s="2"/>
      <c r="CE383" s="60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8"/>
      <c r="DM383" s="8"/>
      <c r="DN383" s="8"/>
    </row>
    <row r="384" spans="1:118" ht="12.75" hidden="1" customHeight="1">
      <c r="A384" s="44" t="s">
        <v>12</v>
      </c>
      <c r="C384" s="267" t="s">
        <v>20</v>
      </c>
      <c r="D384" s="299"/>
      <c r="E384" s="306" t="s">
        <v>524</v>
      </c>
      <c r="F384" s="307" t="s">
        <v>63</v>
      </c>
      <c r="G384" s="301"/>
      <c r="H384" s="300"/>
      <c r="I384" s="302"/>
      <c r="J384" s="303"/>
      <c r="K384" s="304"/>
      <c r="L384" s="304"/>
      <c r="M384" s="304"/>
      <c r="N384" s="304"/>
      <c r="O384" s="304"/>
      <c r="P384" s="304"/>
      <c r="Q384" s="304"/>
      <c r="R384" s="304"/>
      <c r="S384" s="304"/>
      <c r="T384" s="304"/>
      <c r="U384" s="304"/>
      <c r="V384" s="304"/>
      <c r="W384" s="304"/>
      <c r="X384" s="304"/>
      <c r="Y384" s="304"/>
      <c r="Z384" s="304"/>
      <c r="AA384" s="304"/>
      <c r="AB384" s="304"/>
      <c r="AC384" s="304"/>
      <c r="AD384" s="304"/>
      <c r="AE384" s="304"/>
      <c r="AF384" s="304"/>
      <c r="AG384" s="61">
        <v>21</v>
      </c>
      <c r="AH384" s="304"/>
      <c r="AI384" s="304"/>
      <c r="AJ384" s="304"/>
      <c r="AK384" s="304"/>
      <c r="AL384" s="304"/>
      <c r="AM384" s="304"/>
      <c r="AN384" s="304"/>
      <c r="AO384" s="304"/>
      <c r="AP384" s="305">
        <v>23.2</v>
      </c>
      <c r="AQ384" s="305"/>
      <c r="AR384" s="304"/>
      <c r="AS384" s="305"/>
      <c r="AT384" s="304"/>
      <c r="AU384" s="305"/>
      <c r="AV384" s="304"/>
      <c r="AW384" s="305"/>
      <c r="AX384" s="305"/>
      <c r="AY384" s="304"/>
      <c r="AZ384" s="305"/>
      <c r="BA384" s="304">
        <v>26.5</v>
      </c>
      <c r="BB384" s="304"/>
      <c r="BC384" s="304"/>
      <c r="BD384" s="305"/>
      <c r="BE384" s="305"/>
      <c r="BF384" s="304"/>
      <c r="BG384" s="304"/>
      <c r="BH384" s="304"/>
      <c r="BI384" s="305"/>
      <c r="BJ384" s="304"/>
      <c r="BK384" s="437"/>
      <c r="BL384" s="305"/>
      <c r="BM384" s="305"/>
      <c r="BN384" s="304"/>
      <c r="BO384" s="305"/>
      <c r="BP384" s="305"/>
      <c r="BQ384" s="305"/>
      <c r="BR384" s="305"/>
      <c r="BS384" s="305"/>
      <c r="BT384" s="305"/>
      <c r="BU384" s="305"/>
      <c r="BV384" s="305"/>
      <c r="BW384" s="304"/>
      <c r="BX384" s="305"/>
      <c r="BY384" s="305"/>
      <c r="BZ384" s="305"/>
      <c r="CA384" s="304"/>
      <c r="CB384" s="305"/>
      <c r="CC384" s="305"/>
      <c r="CD384" s="305"/>
      <c r="CE384" s="304"/>
      <c r="CF384" s="305"/>
      <c r="CG384" s="305"/>
      <c r="CH384" s="305"/>
      <c r="CI384" s="305"/>
      <c r="CJ384" s="305"/>
      <c r="CK384" s="305"/>
      <c r="CL384" s="305"/>
      <c r="CM384" s="305"/>
      <c r="CN384" s="305"/>
      <c r="CO384" s="305"/>
      <c r="CP384" s="305"/>
      <c r="CQ384" s="305"/>
      <c r="CR384" s="305"/>
      <c r="CS384" s="305"/>
      <c r="CT384" s="305"/>
      <c r="CU384" s="305"/>
      <c r="CV384" s="305"/>
      <c r="CW384" s="305"/>
      <c r="CX384" s="305"/>
      <c r="CY384" s="305"/>
      <c r="CZ384" s="305"/>
      <c r="DA384" s="305"/>
      <c r="DB384" s="305"/>
      <c r="DC384" s="305"/>
      <c r="DD384" s="305"/>
      <c r="DE384" s="305"/>
      <c r="DF384" s="305"/>
      <c r="DG384" s="305"/>
      <c r="DH384" s="305"/>
      <c r="DI384" s="305"/>
      <c r="DJ384" s="305"/>
      <c r="DK384" s="305"/>
    </row>
    <row r="385" spans="1:118" ht="12.75" hidden="1" customHeight="1">
      <c r="A385" s="91" t="s">
        <v>12</v>
      </c>
      <c r="D385" s="299">
        <v>19.350000000000001</v>
      </c>
      <c r="E385" s="306" t="s">
        <v>524</v>
      </c>
      <c r="F385" s="307" t="s">
        <v>535</v>
      </c>
      <c r="G385" s="301"/>
      <c r="H385" s="300"/>
      <c r="I385" s="302"/>
      <c r="J385" s="303"/>
      <c r="K385" s="304"/>
      <c r="L385" s="304"/>
      <c r="M385" s="304"/>
      <c r="N385" s="304"/>
      <c r="O385" s="304"/>
      <c r="P385" s="304"/>
      <c r="Q385" s="304"/>
      <c r="R385" s="304"/>
      <c r="S385" s="304"/>
      <c r="T385" s="304"/>
      <c r="U385" s="304"/>
      <c r="V385" s="304"/>
      <c r="W385" s="304"/>
      <c r="X385" s="304"/>
      <c r="Y385" s="304"/>
      <c r="Z385" s="304"/>
      <c r="AA385" s="304"/>
      <c r="AB385" s="304"/>
      <c r="AC385" s="304"/>
      <c r="AD385" s="304"/>
      <c r="AE385" s="304"/>
      <c r="AF385" s="304"/>
      <c r="AG385" s="61"/>
      <c r="AH385" s="304"/>
      <c r="AI385" s="304"/>
      <c r="AJ385" s="304"/>
      <c r="AK385" s="304">
        <v>20</v>
      </c>
      <c r="AL385" s="304"/>
      <c r="AM385" s="304"/>
      <c r="AN385" s="304"/>
      <c r="AO385" s="304"/>
      <c r="AP385" s="305"/>
      <c r="AQ385" s="305"/>
      <c r="AR385" s="389">
        <v>20.8</v>
      </c>
      <c r="AS385" s="395">
        <v>21.2</v>
      </c>
      <c r="AT385" s="389"/>
      <c r="AU385" s="396"/>
      <c r="AV385" s="389"/>
      <c r="AW385" s="396"/>
      <c r="AX385" s="396"/>
      <c r="AY385" s="395">
        <v>22.2</v>
      </c>
      <c r="AZ385" s="396"/>
      <c r="BA385" s="389"/>
      <c r="BB385" s="389"/>
      <c r="BC385" s="389"/>
      <c r="BD385" s="396"/>
      <c r="BE385" s="396"/>
      <c r="BF385" s="389">
        <v>24.6</v>
      </c>
      <c r="BG385" s="389"/>
      <c r="BH385" s="389"/>
      <c r="BI385" s="396"/>
      <c r="BJ385" s="389"/>
      <c r="BK385" s="395"/>
      <c r="BL385" s="396"/>
      <c r="BM385" s="396"/>
      <c r="BN385" s="389"/>
      <c r="BO385" s="396"/>
      <c r="BP385" s="396"/>
      <c r="BQ385" s="396"/>
      <c r="BR385" s="396"/>
      <c r="BS385" s="396"/>
      <c r="BT385" s="396"/>
      <c r="BU385" s="396"/>
      <c r="BV385" s="396"/>
      <c r="BW385" s="389"/>
      <c r="BX385" s="396"/>
      <c r="BY385" s="396"/>
      <c r="BZ385" s="396"/>
      <c r="CA385" s="389"/>
      <c r="CB385" s="396"/>
      <c r="CC385" s="396"/>
      <c r="CD385" s="396"/>
      <c r="CE385" s="389"/>
      <c r="CF385" s="396"/>
      <c r="CG385" s="396"/>
      <c r="CH385" s="396"/>
      <c r="CI385" s="396"/>
      <c r="CJ385" s="396"/>
      <c r="CK385" s="396"/>
      <c r="CL385" s="396"/>
      <c r="CM385" s="396"/>
      <c r="CN385" s="396"/>
      <c r="CO385" s="396"/>
      <c r="CP385" s="396"/>
      <c r="CQ385" s="396"/>
      <c r="CR385" s="396"/>
      <c r="CS385" s="396"/>
      <c r="CT385" s="396"/>
      <c r="CU385" s="396"/>
      <c r="CV385" s="396"/>
      <c r="CW385" s="396"/>
      <c r="CX385" s="396"/>
      <c r="CY385" s="396"/>
      <c r="CZ385" s="396"/>
      <c r="DA385" s="396"/>
      <c r="DB385" s="396"/>
      <c r="DC385" s="396"/>
      <c r="DD385" s="396"/>
      <c r="DE385" s="396"/>
      <c r="DF385" s="396"/>
      <c r="DG385" s="396"/>
      <c r="DH385" s="396"/>
      <c r="DI385" s="396"/>
      <c r="DJ385" s="396"/>
      <c r="DK385" s="396"/>
    </row>
    <row r="386" spans="1:118" ht="13.35" hidden="1" customHeight="1">
      <c r="A386" s="90"/>
      <c r="B386" s="90"/>
      <c r="C386" s="266"/>
      <c r="D386" s="277"/>
      <c r="E386" s="278" t="s">
        <v>536</v>
      </c>
      <c r="F386" s="141" t="s">
        <v>537</v>
      </c>
      <c r="G386" s="169"/>
      <c r="H386" s="170" t="s">
        <v>11</v>
      </c>
      <c r="I386" s="225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  <c r="AG386" s="171"/>
      <c r="AH386" s="171"/>
      <c r="AI386" s="171"/>
      <c r="AJ386" s="171"/>
      <c r="AK386" s="171"/>
      <c r="AL386" s="171"/>
      <c r="AM386" s="171"/>
      <c r="AN386" s="171"/>
      <c r="AO386" s="171"/>
      <c r="AP386" s="172"/>
      <c r="AQ386" s="172"/>
      <c r="AR386" s="171"/>
      <c r="AS386" s="171"/>
      <c r="AT386" s="171"/>
      <c r="AU386" s="171"/>
      <c r="AV386" s="171"/>
      <c r="AW386" s="171"/>
      <c r="AX386" s="172"/>
      <c r="AY386" s="171"/>
      <c r="AZ386" s="171"/>
      <c r="BA386" s="171"/>
      <c r="BB386" s="171"/>
      <c r="BC386" s="171"/>
      <c r="BD386" s="172"/>
      <c r="BE386" s="172"/>
      <c r="BF386" s="171"/>
      <c r="BG386" s="171"/>
      <c r="BH386" s="171"/>
      <c r="BI386" s="171"/>
      <c r="BJ386" s="171"/>
      <c r="BK386" s="427"/>
      <c r="BL386" s="172"/>
      <c r="BM386" s="171"/>
      <c r="BN386" s="171"/>
      <c r="BO386" s="171"/>
      <c r="BP386" s="171"/>
      <c r="BQ386" s="171"/>
      <c r="BR386" s="171"/>
      <c r="BS386" s="171"/>
      <c r="BT386" s="171"/>
      <c r="BU386" s="171"/>
      <c r="BV386" s="171"/>
      <c r="BW386" s="171"/>
      <c r="BX386" s="171"/>
      <c r="BY386" s="172"/>
      <c r="BZ386" s="172"/>
      <c r="CA386" s="171"/>
      <c r="CB386" s="171"/>
      <c r="CC386" s="171"/>
      <c r="CD386" s="171"/>
      <c r="CE386" s="171"/>
      <c r="CF386" s="172"/>
      <c r="CG386" s="172"/>
      <c r="CH386" s="171"/>
      <c r="CI386" s="171"/>
      <c r="CJ386" s="171"/>
      <c r="CK386" s="171"/>
      <c r="CL386" s="171"/>
      <c r="CM386" s="172"/>
      <c r="CN386" s="172"/>
      <c r="CO386" s="171"/>
      <c r="CP386" s="171"/>
      <c r="CQ386" s="172"/>
      <c r="CR386" s="172"/>
      <c r="CS386" s="172"/>
      <c r="CT386" s="172"/>
      <c r="CU386" s="172"/>
      <c r="CV386" s="172"/>
      <c r="CW386" s="172"/>
      <c r="CX386" s="172"/>
      <c r="CY386" s="172"/>
      <c r="CZ386" s="172"/>
      <c r="DA386" s="172"/>
      <c r="DB386" s="172"/>
      <c r="DC386" s="172"/>
      <c r="DD386" s="172"/>
      <c r="DE386" s="172"/>
      <c r="DF386" s="172"/>
      <c r="DG386" s="172"/>
      <c r="DH386" s="172"/>
      <c r="DI386" s="172"/>
      <c r="DJ386" s="172"/>
      <c r="DK386" s="172"/>
      <c r="DL386" s="8"/>
      <c r="DM386" s="8"/>
      <c r="DN386" s="8"/>
    </row>
    <row r="387" spans="1:118" s="53" customFormat="1" ht="13.35" hidden="1" customHeight="1">
      <c r="A387" s="91" t="s">
        <v>13</v>
      </c>
      <c r="B387" s="91"/>
      <c r="C387" s="267" t="s">
        <v>14</v>
      </c>
      <c r="D387" s="279"/>
      <c r="E387" s="197" t="s">
        <v>536</v>
      </c>
      <c r="F387" s="202" t="s">
        <v>538</v>
      </c>
      <c r="G387" s="56"/>
      <c r="H387" s="51"/>
      <c r="I387" s="245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64"/>
      <c r="AO387" s="73"/>
      <c r="AP387" s="140"/>
      <c r="AQ387" s="146"/>
      <c r="AR387" s="73"/>
      <c r="AS387" s="73"/>
      <c r="AT387" s="73"/>
      <c r="AU387" s="383"/>
      <c r="AV387" s="73"/>
      <c r="AW387" s="73"/>
      <c r="AX387" s="146"/>
      <c r="AY387" s="387">
        <v>20.9</v>
      </c>
      <c r="AZ387" s="73"/>
      <c r="BA387" s="73"/>
      <c r="BB387" s="387">
        <v>22.1</v>
      </c>
      <c r="BC387" s="73"/>
      <c r="BD387" s="146"/>
      <c r="BE387" s="146"/>
      <c r="BF387" s="73"/>
      <c r="BG387" s="73"/>
      <c r="BH387" s="387">
        <v>24.9</v>
      </c>
      <c r="BI387" s="73"/>
      <c r="BJ387" s="73"/>
      <c r="BK387" s="387"/>
      <c r="BL387" s="146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146"/>
      <c r="BY387" s="146"/>
      <c r="BZ387" s="146"/>
      <c r="CA387" s="73"/>
      <c r="CB387" s="146"/>
      <c r="CC387" s="73"/>
      <c r="CD387" s="146"/>
      <c r="CE387" s="73"/>
      <c r="CF387" s="146"/>
      <c r="CG387" s="146"/>
      <c r="CH387" s="146"/>
      <c r="CI387" s="146"/>
      <c r="CJ387" s="146"/>
      <c r="CK387" s="146"/>
      <c r="CL387" s="146"/>
      <c r="CM387" s="146"/>
      <c r="CN387" s="146"/>
      <c r="CO387" s="146"/>
      <c r="CP387" s="146"/>
      <c r="CQ387" s="146"/>
      <c r="CR387" s="146"/>
      <c r="CS387" s="146"/>
      <c r="CT387" s="146"/>
      <c r="CU387" s="146"/>
      <c r="CV387" s="146"/>
      <c r="CW387" s="146"/>
      <c r="CX387" s="146"/>
      <c r="CY387" s="146"/>
      <c r="CZ387" s="146"/>
      <c r="DA387" s="146"/>
      <c r="DB387" s="146"/>
      <c r="DC387" s="146"/>
      <c r="DD387" s="146"/>
      <c r="DE387" s="146"/>
      <c r="DF387" s="146"/>
      <c r="DG387" s="146"/>
      <c r="DH387" s="146"/>
      <c r="DI387" s="146"/>
      <c r="DJ387" s="146"/>
      <c r="DK387" s="146"/>
      <c r="DL387" s="52"/>
      <c r="DM387" s="52"/>
      <c r="DN387" s="52"/>
    </row>
    <row r="388" spans="1:118" ht="13.35" hidden="1" customHeight="1">
      <c r="A388" s="91"/>
      <c r="B388" s="91"/>
      <c r="C388" s="267" t="s">
        <v>14</v>
      </c>
      <c r="D388" s="279"/>
      <c r="E388" s="154" t="s">
        <v>536</v>
      </c>
      <c r="F388" s="167" t="s">
        <v>539</v>
      </c>
      <c r="G388" s="56"/>
      <c r="H388" s="51"/>
      <c r="I388" s="245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315"/>
      <c r="AN388" s="315"/>
      <c r="AO388" s="315"/>
      <c r="AP388" s="38"/>
      <c r="AQ388" s="38"/>
      <c r="AR388" s="315"/>
      <c r="AS388" s="315"/>
      <c r="AT388" s="315"/>
      <c r="AU388" s="315"/>
      <c r="AV388" s="315"/>
      <c r="AW388" s="315"/>
      <c r="AX388" s="38"/>
      <c r="AY388" s="315"/>
      <c r="AZ388" s="315"/>
      <c r="BA388" s="315"/>
      <c r="BB388" s="315"/>
      <c r="BC388" s="315"/>
      <c r="BD388" s="38"/>
      <c r="BE388" s="38"/>
      <c r="BF388" s="315"/>
      <c r="BG388" s="315"/>
      <c r="BH388" s="315"/>
      <c r="BI388" s="315"/>
      <c r="BJ388" s="416"/>
      <c r="BK388" s="438"/>
      <c r="BL388" s="38"/>
      <c r="BM388" s="315"/>
      <c r="BN388" s="315"/>
      <c r="BO388" s="406"/>
      <c r="BP388" s="315"/>
      <c r="BQ388" s="315"/>
      <c r="BR388" s="406"/>
      <c r="BS388" s="315"/>
      <c r="BT388" s="315">
        <v>21.8</v>
      </c>
      <c r="BU388" s="315"/>
      <c r="BV388" s="315"/>
      <c r="BW388" s="315"/>
      <c r="BX388" s="315"/>
      <c r="BY388" s="38"/>
      <c r="BZ388" s="38"/>
      <c r="CA388" s="315"/>
      <c r="CB388" s="315"/>
      <c r="CC388" s="315"/>
      <c r="CD388" s="315"/>
      <c r="CE388" s="315"/>
      <c r="CF388" s="38"/>
      <c r="CG388" s="38"/>
      <c r="CH388" s="315"/>
      <c r="CI388" s="315"/>
      <c r="CJ388" s="438">
        <v>22.2</v>
      </c>
      <c r="CK388" s="315"/>
      <c r="CL388" s="315"/>
      <c r="CM388" s="38"/>
      <c r="CN388" s="38"/>
      <c r="CO388" s="315"/>
      <c r="CP388" s="315"/>
      <c r="CQ388" s="38"/>
      <c r="CR388" s="38"/>
      <c r="CS388" s="38"/>
      <c r="CT388" s="38"/>
      <c r="CU388" s="38"/>
      <c r="CV388" s="38"/>
      <c r="CW388" s="38"/>
      <c r="CX388" s="38"/>
      <c r="CY388" s="38"/>
      <c r="CZ388" s="38"/>
      <c r="DA388" s="38"/>
      <c r="DB388" s="38"/>
      <c r="DC388" s="38"/>
      <c r="DD388" s="38"/>
      <c r="DE388" s="38"/>
      <c r="DF388" s="38"/>
      <c r="DG388" s="38"/>
      <c r="DH388" s="38"/>
      <c r="DI388" s="38"/>
      <c r="DJ388" s="38"/>
      <c r="DK388" s="38"/>
      <c r="DL388" s="8"/>
      <c r="DM388" s="8"/>
      <c r="DN388" s="8"/>
    </row>
    <row r="389" spans="1:118" ht="12.95" hidden="1" customHeight="1">
      <c r="A389" s="92" t="s">
        <v>12</v>
      </c>
      <c r="B389" s="96" t="s">
        <v>13</v>
      </c>
      <c r="C389" s="268" t="s">
        <v>31</v>
      </c>
      <c r="D389" s="280">
        <v>17.14</v>
      </c>
      <c r="E389" s="156" t="s">
        <v>536</v>
      </c>
      <c r="F389" s="159" t="s">
        <v>540</v>
      </c>
      <c r="G389" s="7">
        <v>22.5</v>
      </c>
      <c r="H389" s="4" t="s">
        <v>16</v>
      </c>
      <c r="I389" s="246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39"/>
      <c r="AQ389" s="39"/>
      <c r="AR389" s="74"/>
      <c r="AS389" s="74"/>
      <c r="AT389" s="74"/>
      <c r="AU389" s="74"/>
      <c r="AV389" s="74"/>
      <c r="AW389" s="74"/>
      <c r="AX389" s="39"/>
      <c r="AY389" s="60">
        <v>21</v>
      </c>
      <c r="AZ389" s="74"/>
      <c r="BA389" s="74"/>
      <c r="BB389" s="74"/>
      <c r="BC389" s="74"/>
      <c r="BD389" s="39"/>
      <c r="BE389" s="39"/>
      <c r="BF389" s="74"/>
      <c r="BG389" s="74" t="s">
        <v>541</v>
      </c>
      <c r="BH389" s="74"/>
      <c r="BI389" s="74"/>
      <c r="BJ389" s="74"/>
      <c r="BK389" s="418"/>
      <c r="BL389" s="39"/>
      <c r="BM389" s="74"/>
      <c r="BN389" s="74"/>
      <c r="BO389" s="74">
        <v>23.3</v>
      </c>
      <c r="BP389" s="66"/>
      <c r="BQ389" s="418">
        <v>23.4</v>
      </c>
      <c r="BR389" s="74"/>
      <c r="BS389" s="74"/>
      <c r="BT389" s="74"/>
      <c r="BU389" s="74"/>
      <c r="BV389" s="74"/>
      <c r="BW389" s="74"/>
      <c r="BX389" s="74"/>
      <c r="BY389" s="39"/>
      <c r="BZ389" s="39"/>
      <c r="CA389" s="74"/>
      <c r="CB389" s="39"/>
      <c r="CC389" s="74"/>
      <c r="CD389" s="39"/>
      <c r="CE389" s="74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8"/>
      <c r="DM389" s="8"/>
      <c r="DN389" s="8"/>
    </row>
    <row r="390" spans="1:118" ht="12.95" hidden="1" customHeight="1">
      <c r="A390" s="91" t="s">
        <v>12</v>
      </c>
      <c r="B390" s="91" t="s">
        <v>13</v>
      </c>
      <c r="C390" s="267" t="s">
        <v>31</v>
      </c>
      <c r="D390" s="279">
        <v>11.79</v>
      </c>
      <c r="E390" s="155" t="s">
        <v>536</v>
      </c>
      <c r="F390" s="160" t="s">
        <v>542</v>
      </c>
      <c r="G390" s="6">
        <v>22.5</v>
      </c>
      <c r="H390" s="5" t="s">
        <v>16</v>
      </c>
      <c r="I390" s="23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1"/>
      <c r="AQ390" s="1"/>
      <c r="AR390" s="61"/>
      <c r="AS390" s="61"/>
      <c r="AT390" s="61"/>
      <c r="AU390" s="61"/>
      <c r="AV390" s="61"/>
      <c r="AW390" s="61"/>
      <c r="AX390" s="1"/>
      <c r="AY390" s="61">
        <v>22.5</v>
      </c>
      <c r="AZ390" s="61"/>
      <c r="BA390" s="61"/>
      <c r="BB390" s="67">
        <v>22.3</v>
      </c>
      <c r="BC390" s="61"/>
      <c r="BD390" s="1"/>
      <c r="BE390" s="1"/>
      <c r="BF390" s="61"/>
      <c r="BG390" s="67" t="s">
        <v>17</v>
      </c>
      <c r="BH390" s="61"/>
      <c r="BI390" s="61"/>
      <c r="BJ390" s="61"/>
      <c r="BK390" s="67"/>
      <c r="BL390" s="1"/>
      <c r="BM390" s="61"/>
      <c r="BN390" s="61"/>
      <c r="BO390" s="61">
        <v>24.8</v>
      </c>
      <c r="BP390" s="61"/>
      <c r="BQ390" s="67">
        <v>24.3</v>
      </c>
      <c r="BR390" s="61"/>
      <c r="BS390" s="61"/>
      <c r="BT390" s="61"/>
      <c r="BU390" s="61"/>
      <c r="BV390" s="61"/>
      <c r="BW390" s="61"/>
      <c r="BX390" s="61"/>
      <c r="BY390" s="1"/>
      <c r="BZ390" s="1"/>
      <c r="CA390" s="61"/>
      <c r="CB390" s="1"/>
      <c r="CC390" s="61"/>
      <c r="CD390" s="1"/>
      <c r="CE390" s="6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8"/>
      <c r="DM390" s="8"/>
      <c r="DN390" s="8"/>
    </row>
    <row r="391" spans="1:118" s="426" customFormat="1" ht="12.95" hidden="1" customHeight="1">
      <c r="A391" s="450" t="s">
        <v>12</v>
      </c>
      <c r="B391" s="419" t="s">
        <v>13</v>
      </c>
      <c r="C391" s="420" t="s">
        <v>31</v>
      </c>
      <c r="D391" s="424">
        <v>29.27</v>
      </c>
      <c r="E391" s="421" t="s">
        <v>536</v>
      </c>
      <c r="F391" s="445" t="s">
        <v>543</v>
      </c>
      <c r="G391" s="422"/>
      <c r="H391" s="446" t="s">
        <v>16</v>
      </c>
      <c r="I391" s="418"/>
      <c r="J391" s="418"/>
      <c r="K391" s="418"/>
      <c r="L391" s="418"/>
      <c r="M391" s="418"/>
      <c r="N391" s="418"/>
      <c r="O391" s="418"/>
      <c r="P391" s="418"/>
      <c r="Q391" s="418"/>
      <c r="R391" s="418"/>
      <c r="S391" s="418"/>
      <c r="T391" s="418"/>
      <c r="U391" s="418"/>
      <c r="V391" s="418"/>
      <c r="W391" s="418"/>
      <c r="X391" s="418"/>
      <c r="Y391" s="418"/>
      <c r="Z391" s="418"/>
      <c r="AA391" s="418"/>
      <c r="AB391" s="418"/>
      <c r="AC391" s="418"/>
      <c r="AD391" s="418"/>
      <c r="AE391" s="418"/>
      <c r="AF391" s="418"/>
      <c r="AG391" s="418"/>
      <c r="AH391" s="418"/>
      <c r="AI391" s="418"/>
      <c r="AJ391" s="418"/>
      <c r="AK391" s="418"/>
      <c r="AL391" s="418"/>
      <c r="AM391" s="418"/>
      <c r="AN391" s="418"/>
      <c r="AO391" s="418"/>
      <c r="AP391" s="418"/>
      <c r="AQ391" s="418"/>
      <c r="AR391" s="418"/>
      <c r="AS391" s="418"/>
      <c r="AT391" s="418"/>
      <c r="AU391" s="418"/>
      <c r="AV391" s="418"/>
      <c r="AW391" s="418"/>
      <c r="AX391" s="418"/>
      <c r="AY391" s="418"/>
      <c r="AZ391" s="418"/>
      <c r="BA391" s="418"/>
      <c r="BB391" s="418">
        <v>21.7</v>
      </c>
      <c r="BC391" s="418"/>
      <c r="BD391" s="418"/>
      <c r="BE391" s="418"/>
      <c r="BF391" s="418"/>
      <c r="BG391" s="418"/>
      <c r="BH391" s="418"/>
      <c r="BI391" s="418"/>
      <c r="BJ391" s="74"/>
      <c r="BK391" s="418">
        <v>23.6</v>
      </c>
      <c r="BL391" s="418"/>
      <c r="BM391" s="418"/>
      <c r="BN391" s="66"/>
      <c r="BO391" s="418"/>
      <c r="BP391" s="418"/>
      <c r="BQ391" s="418"/>
      <c r="BR391" s="418"/>
      <c r="BS391" s="418"/>
      <c r="BT391" s="418"/>
      <c r="BU391" s="418"/>
      <c r="BV391" s="418"/>
      <c r="BW391" s="66"/>
      <c r="BX391" s="66"/>
      <c r="BY391" s="418"/>
      <c r="BZ391" s="418"/>
      <c r="CA391" s="418"/>
      <c r="CB391" s="418"/>
      <c r="CC391" s="418"/>
      <c r="CD391" s="418"/>
      <c r="CE391" s="418"/>
      <c r="CF391" s="418"/>
      <c r="CG391" s="418"/>
      <c r="CH391" s="418"/>
      <c r="CI391" s="418"/>
      <c r="CJ391" s="418"/>
      <c r="CK391" s="418"/>
      <c r="CL391" s="418"/>
      <c r="CM391" s="418"/>
      <c r="CN391" s="418"/>
      <c r="CO391" s="418"/>
      <c r="CP391" s="418"/>
      <c r="CQ391" s="418"/>
      <c r="CR391" s="418"/>
      <c r="CS391" s="418"/>
      <c r="CT391" s="418"/>
      <c r="CU391" s="418"/>
      <c r="CV391" s="418"/>
      <c r="CW391" s="418"/>
      <c r="CX391" s="418"/>
      <c r="CY391" s="418"/>
      <c r="CZ391" s="418"/>
      <c r="DA391" s="418"/>
      <c r="DB391" s="418"/>
      <c r="DC391" s="418"/>
      <c r="DD391" s="418"/>
      <c r="DE391" s="418"/>
      <c r="DF391" s="418"/>
      <c r="DG391" s="418"/>
      <c r="DH391" s="418"/>
      <c r="DI391" s="418"/>
      <c r="DJ391" s="418"/>
      <c r="DK391" s="418"/>
      <c r="DL391" s="425"/>
      <c r="DM391" s="425"/>
      <c r="DN391" s="425"/>
    </row>
    <row r="392" spans="1:118" ht="12.95" hidden="1" customHeight="1">
      <c r="A392" s="92" t="s">
        <v>12</v>
      </c>
      <c r="B392" s="96" t="s">
        <v>13</v>
      </c>
      <c r="C392" s="268" t="s">
        <v>31</v>
      </c>
      <c r="D392" s="280"/>
      <c r="E392" s="156" t="s">
        <v>536</v>
      </c>
      <c r="F392" s="159" t="s">
        <v>544</v>
      </c>
      <c r="G392" s="7"/>
      <c r="H392" s="4" t="s">
        <v>16</v>
      </c>
      <c r="I392" s="246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39"/>
      <c r="AQ392" s="39"/>
      <c r="AR392" s="74"/>
      <c r="AS392" s="74"/>
      <c r="AT392" s="74"/>
      <c r="AU392" s="74"/>
      <c r="AV392" s="74"/>
      <c r="AW392" s="74"/>
      <c r="AX392" s="39"/>
      <c r="AY392" s="74"/>
      <c r="AZ392" s="74"/>
      <c r="BA392" s="74"/>
      <c r="BB392" s="74"/>
      <c r="BC392" s="74"/>
      <c r="BD392" s="39"/>
      <c r="BE392" s="39"/>
      <c r="BF392" s="74"/>
      <c r="BG392" s="60">
        <v>23</v>
      </c>
      <c r="BH392" s="74"/>
      <c r="BI392" s="74"/>
      <c r="BJ392" s="74"/>
      <c r="BK392" s="66"/>
      <c r="BL392" s="39"/>
      <c r="BM392" s="74"/>
      <c r="BN392" s="447">
        <v>24.7</v>
      </c>
      <c r="BO392" s="66"/>
      <c r="BP392" s="74"/>
      <c r="BQ392" s="74"/>
      <c r="BR392" s="74"/>
      <c r="BS392" s="74"/>
      <c r="BT392" s="74"/>
      <c r="BU392" s="74"/>
      <c r="BV392" s="74"/>
      <c r="BW392" s="74"/>
      <c r="BX392" s="39"/>
      <c r="BY392" s="39"/>
      <c r="BZ392" s="39"/>
      <c r="CA392" s="74"/>
      <c r="CB392" s="39"/>
      <c r="CC392" s="74"/>
      <c r="CD392" s="39"/>
      <c r="CE392" s="74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8"/>
      <c r="DM392" s="8"/>
      <c r="DN392" s="8"/>
    </row>
    <row r="393" spans="1:118" ht="12.95" hidden="1" customHeight="1">
      <c r="A393" s="92" t="s">
        <v>12</v>
      </c>
      <c r="B393" s="96" t="s">
        <v>13</v>
      </c>
      <c r="C393" s="268" t="s">
        <v>31</v>
      </c>
      <c r="D393" s="280"/>
      <c r="E393" s="156" t="s">
        <v>536</v>
      </c>
      <c r="F393" s="159" t="s">
        <v>545</v>
      </c>
      <c r="G393" s="7"/>
      <c r="H393" s="4" t="s">
        <v>16</v>
      </c>
      <c r="I393" s="246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39"/>
      <c r="AQ393" s="39"/>
      <c r="AR393" s="74"/>
      <c r="AS393" s="74"/>
      <c r="AT393" s="74"/>
      <c r="AU393" s="74"/>
      <c r="AV393" s="74"/>
      <c r="AW393" s="74"/>
      <c r="AX393" s="39"/>
      <c r="AY393" s="74"/>
      <c r="AZ393" s="74"/>
      <c r="BA393" s="74"/>
      <c r="BB393" s="74"/>
      <c r="BC393" s="74"/>
      <c r="BD393" s="39"/>
      <c r="BE393" s="39"/>
      <c r="BF393" s="74"/>
      <c r="BG393" s="74">
        <v>22.8</v>
      </c>
      <c r="BH393" s="74"/>
      <c r="BI393" s="74"/>
      <c r="BJ393" s="74"/>
      <c r="BK393" s="418"/>
      <c r="BL393" s="39"/>
      <c r="BM393" s="74"/>
      <c r="BN393" s="447">
        <v>24.5</v>
      </c>
      <c r="BO393" s="74"/>
      <c r="BP393" s="74"/>
      <c r="BQ393" s="74"/>
      <c r="BR393" s="74"/>
      <c r="BS393" s="74"/>
      <c r="BT393" s="74"/>
      <c r="BU393" s="74"/>
      <c r="BV393" s="74"/>
      <c r="BW393" s="74"/>
      <c r="BX393" s="39"/>
      <c r="BY393" s="39"/>
      <c r="BZ393" s="39"/>
      <c r="CA393" s="74"/>
      <c r="CB393" s="39"/>
      <c r="CC393" s="74"/>
      <c r="CD393" s="39"/>
      <c r="CE393" s="74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8"/>
      <c r="DM393" s="8"/>
      <c r="DN393" s="8"/>
    </row>
    <row r="394" spans="1:118" ht="13.35" hidden="1" customHeight="1">
      <c r="A394" s="91" t="s">
        <v>13</v>
      </c>
      <c r="B394" s="91"/>
      <c r="C394" s="267" t="s">
        <v>14</v>
      </c>
      <c r="D394" s="284"/>
      <c r="E394" s="154" t="s">
        <v>536</v>
      </c>
      <c r="F394" s="160" t="s">
        <v>546</v>
      </c>
      <c r="G394" s="6"/>
      <c r="H394" s="5"/>
      <c r="I394" s="247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6"/>
      <c r="AQ394" s="126"/>
      <c r="AR394" s="125"/>
      <c r="AS394" s="125"/>
      <c r="AT394" s="75">
        <v>20.399999999999999</v>
      </c>
      <c r="AU394" s="125"/>
      <c r="AV394" s="125"/>
      <c r="AW394" s="125"/>
      <c r="AX394" s="126"/>
      <c r="AY394" s="125"/>
      <c r="AZ394" s="125">
        <v>21.5</v>
      </c>
      <c r="BA394" s="125"/>
      <c r="BB394" s="125"/>
      <c r="BC394" s="125"/>
      <c r="BD394" s="126"/>
      <c r="BE394" s="126"/>
      <c r="BF394" s="125"/>
      <c r="BG394" s="125"/>
      <c r="BH394" s="125"/>
      <c r="BI394" s="61"/>
      <c r="BJ394" s="75">
        <v>26.7</v>
      </c>
      <c r="BK394" s="439"/>
      <c r="BL394" s="126"/>
      <c r="BM394" s="125"/>
      <c r="BN394" s="125"/>
      <c r="BO394" s="125"/>
      <c r="BP394" s="125"/>
      <c r="BQ394" s="125"/>
      <c r="BR394" s="125"/>
      <c r="BS394" s="125"/>
      <c r="BT394" s="125"/>
      <c r="BU394" s="125"/>
      <c r="BV394" s="125"/>
      <c r="BW394" s="125"/>
      <c r="BX394" s="126"/>
      <c r="BY394" s="126"/>
      <c r="BZ394" s="126"/>
      <c r="CA394" s="125"/>
      <c r="CB394" s="126"/>
      <c r="CC394" s="125"/>
      <c r="CD394" s="126"/>
      <c r="CE394" s="125"/>
      <c r="CF394" s="126"/>
      <c r="CG394" s="126"/>
      <c r="CH394" s="126"/>
      <c r="CI394" s="126"/>
      <c r="CJ394" s="126"/>
      <c r="CK394" s="126"/>
      <c r="CL394" s="126"/>
      <c r="CM394" s="126"/>
      <c r="CN394" s="126"/>
      <c r="CO394" s="126"/>
      <c r="CP394" s="126"/>
      <c r="CQ394" s="126"/>
      <c r="CR394" s="126"/>
      <c r="CS394" s="126"/>
      <c r="CT394" s="126"/>
      <c r="CU394" s="126"/>
      <c r="CV394" s="126"/>
      <c r="CW394" s="126"/>
      <c r="CX394" s="126"/>
      <c r="CY394" s="126"/>
      <c r="CZ394" s="126"/>
      <c r="DA394" s="126"/>
      <c r="DB394" s="126"/>
      <c r="DC394" s="126"/>
      <c r="DD394" s="126"/>
      <c r="DE394" s="126"/>
      <c r="DF394" s="126"/>
      <c r="DG394" s="126"/>
      <c r="DH394" s="126"/>
      <c r="DI394" s="126"/>
      <c r="DJ394" s="126"/>
      <c r="DK394" s="126"/>
      <c r="DL394" s="8"/>
      <c r="DM394" s="8"/>
      <c r="DN394" s="8"/>
    </row>
    <row r="395" spans="1:118" ht="13.35" hidden="1" customHeight="1">
      <c r="A395" s="91" t="s">
        <v>13</v>
      </c>
      <c r="B395" s="91"/>
      <c r="C395" s="267" t="s">
        <v>14</v>
      </c>
      <c r="D395" s="284"/>
      <c r="E395" s="154" t="s">
        <v>536</v>
      </c>
      <c r="F395" s="160" t="s">
        <v>547</v>
      </c>
      <c r="G395" s="6"/>
      <c r="H395" s="5"/>
      <c r="I395" s="247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6"/>
      <c r="AQ395" s="126"/>
      <c r="AR395" s="125"/>
      <c r="AS395" s="125"/>
      <c r="AT395" s="75">
        <v>21.3</v>
      </c>
      <c r="AU395" s="125"/>
      <c r="AV395" s="125"/>
      <c r="AW395" s="125"/>
      <c r="AX395" s="126"/>
      <c r="AY395" s="125"/>
      <c r="AZ395" s="393">
        <v>21</v>
      </c>
      <c r="BA395" s="125"/>
      <c r="BB395" s="125"/>
      <c r="BC395" s="125"/>
      <c r="BD395" s="126"/>
      <c r="BE395" s="126"/>
      <c r="BF395" s="125"/>
      <c r="BG395" s="125"/>
      <c r="BH395" s="125"/>
      <c r="BI395" s="75"/>
      <c r="BJ395" s="61">
        <v>27.4</v>
      </c>
      <c r="BK395" s="439">
        <v>25.9</v>
      </c>
      <c r="BL395" s="126"/>
      <c r="BM395" s="125"/>
      <c r="BN395" s="125"/>
      <c r="BO395" s="125"/>
      <c r="BP395" s="125"/>
      <c r="BQ395" s="125"/>
      <c r="BR395" s="125"/>
      <c r="BS395" s="125"/>
      <c r="BT395" s="125"/>
      <c r="BU395" s="125"/>
      <c r="BV395" s="125"/>
      <c r="BW395" s="125"/>
      <c r="BX395" s="126"/>
      <c r="BY395" s="126"/>
      <c r="BZ395" s="126"/>
      <c r="CA395" s="125"/>
      <c r="CB395" s="126"/>
      <c r="CC395" s="125"/>
      <c r="CD395" s="126"/>
      <c r="CE395" s="125"/>
      <c r="CF395" s="126"/>
      <c r="CG395" s="126"/>
      <c r="CH395" s="126"/>
      <c r="CI395" s="126"/>
      <c r="CJ395" s="126"/>
      <c r="CK395" s="126"/>
      <c r="CL395" s="126"/>
      <c r="CM395" s="126"/>
      <c r="CN395" s="126"/>
      <c r="CO395" s="126"/>
      <c r="CP395" s="126"/>
      <c r="CQ395" s="126"/>
      <c r="CR395" s="126"/>
      <c r="CS395" s="126"/>
      <c r="CT395" s="126"/>
      <c r="CU395" s="126"/>
      <c r="CV395" s="126"/>
      <c r="CW395" s="126"/>
      <c r="CX395" s="126"/>
      <c r="CY395" s="126"/>
      <c r="CZ395" s="126"/>
      <c r="DA395" s="126"/>
      <c r="DB395" s="126"/>
      <c r="DC395" s="126"/>
      <c r="DD395" s="126"/>
      <c r="DE395" s="126"/>
      <c r="DF395" s="126"/>
      <c r="DG395" s="126"/>
      <c r="DH395" s="126"/>
      <c r="DI395" s="126"/>
      <c r="DJ395" s="126"/>
      <c r="DK395" s="126"/>
      <c r="DL395" s="8"/>
      <c r="DM395" s="8"/>
      <c r="DN395" s="8"/>
    </row>
    <row r="396" spans="1:118" ht="13.35" hidden="1" customHeight="1">
      <c r="A396" s="91" t="s">
        <v>13</v>
      </c>
      <c r="B396" s="91"/>
      <c r="C396" s="267" t="s">
        <v>14</v>
      </c>
      <c r="D396" s="284"/>
      <c r="E396" s="154" t="s">
        <v>536</v>
      </c>
      <c r="F396" s="160" t="s">
        <v>548</v>
      </c>
      <c r="G396" s="6"/>
      <c r="H396" s="5"/>
      <c r="I396" s="247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6"/>
      <c r="AQ396" s="126"/>
      <c r="AR396" s="125"/>
      <c r="AS396" s="125"/>
      <c r="AT396" s="75"/>
      <c r="AU396" s="125"/>
      <c r="AV396" s="125"/>
      <c r="AW396" s="125"/>
      <c r="AX396" s="126"/>
      <c r="AY396" s="125"/>
      <c r="AZ396" s="125"/>
      <c r="BA396" s="125"/>
      <c r="BB396" s="125"/>
      <c r="BC396" s="125"/>
      <c r="BD396" s="126"/>
      <c r="BE396" s="126"/>
      <c r="BF396" s="125"/>
      <c r="BG396" s="125"/>
      <c r="BH396" s="125"/>
      <c r="BI396" s="75"/>
      <c r="BJ396" s="75"/>
      <c r="BL396" s="126"/>
      <c r="BM396" s="125"/>
      <c r="BN396" s="125"/>
      <c r="BO396" s="125"/>
      <c r="BP396" s="125"/>
      <c r="BQ396" s="125"/>
      <c r="BR396" s="125"/>
      <c r="BS396" s="125"/>
      <c r="BT396" s="125"/>
      <c r="BU396" s="125"/>
      <c r="BV396" s="125"/>
      <c r="BW396" s="125"/>
      <c r="BX396" s="126"/>
      <c r="BY396" s="126"/>
      <c r="BZ396" s="126"/>
      <c r="CA396" s="125"/>
      <c r="CB396" s="126"/>
      <c r="CC396" s="125"/>
      <c r="CD396" s="126"/>
      <c r="CE396" s="125"/>
      <c r="CF396" s="126"/>
      <c r="CG396" s="126"/>
      <c r="CH396" s="126"/>
      <c r="CI396" s="126"/>
      <c r="CJ396" s="126"/>
      <c r="CK396" s="126"/>
      <c r="CL396" s="126"/>
      <c r="CM396" s="126"/>
      <c r="CN396" s="126"/>
      <c r="CO396" s="126"/>
      <c r="CP396" s="126"/>
      <c r="CQ396" s="126"/>
      <c r="CR396" s="126"/>
      <c r="CS396" s="126"/>
      <c r="CT396" s="126"/>
      <c r="CU396" s="126"/>
      <c r="CV396" s="126"/>
      <c r="CW396" s="126"/>
      <c r="CX396" s="126"/>
      <c r="CY396" s="126"/>
      <c r="CZ396" s="126"/>
      <c r="DA396" s="126"/>
      <c r="DB396" s="126"/>
      <c r="DC396" s="126"/>
      <c r="DD396" s="126"/>
      <c r="DE396" s="126"/>
      <c r="DF396" s="126"/>
      <c r="DG396" s="126"/>
      <c r="DH396" s="126"/>
      <c r="DI396" s="126"/>
      <c r="DJ396" s="126"/>
      <c r="DK396" s="126"/>
      <c r="DL396" s="8"/>
      <c r="DM396" s="8"/>
      <c r="DN396" s="8"/>
    </row>
    <row r="397" spans="1:118" ht="13.35" hidden="1" customHeight="1">
      <c r="A397" s="91" t="s">
        <v>13</v>
      </c>
      <c r="B397" s="91"/>
      <c r="C397" s="267" t="s">
        <v>14</v>
      </c>
      <c r="D397" s="284"/>
      <c r="E397" s="154" t="s">
        <v>536</v>
      </c>
      <c r="F397" s="160" t="s">
        <v>549</v>
      </c>
      <c r="G397" s="6"/>
      <c r="H397" s="5"/>
      <c r="I397" s="247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6"/>
      <c r="AQ397" s="126"/>
      <c r="AR397" s="125"/>
      <c r="AS397" s="125"/>
      <c r="AT397" s="75"/>
      <c r="AU397" s="125"/>
      <c r="AV397" s="125"/>
      <c r="AW397" s="125"/>
      <c r="AX397" s="126"/>
      <c r="AY397" s="125"/>
      <c r="AZ397" s="125"/>
      <c r="BA397" s="125"/>
      <c r="BB397" s="125"/>
      <c r="BC397" s="125"/>
      <c r="BD397" s="126"/>
      <c r="BE397" s="126"/>
      <c r="BF397" s="125"/>
      <c r="BG397" s="125"/>
      <c r="BH397" s="125"/>
      <c r="BI397" s="61"/>
      <c r="BJ397" s="75"/>
      <c r="BK397" s="439"/>
      <c r="BL397" s="126"/>
      <c r="BM397" s="125"/>
      <c r="BN397" s="125"/>
      <c r="BO397" s="125"/>
      <c r="BP397" s="125"/>
      <c r="BQ397" s="125"/>
      <c r="BR397" s="125"/>
      <c r="BS397" s="125"/>
      <c r="BT397" s="125"/>
      <c r="BU397" s="125"/>
      <c r="BV397" s="125"/>
      <c r="BW397" s="125"/>
      <c r="BX397" s="126"/>
      <c r="BY397" s="126"/>
      <c r="BZ397" s="126"/>
      <c r="CA397" s="125"/>
      <c r="CB397" s="126"/>
      <c r="CC397" s="125"/>
      <c r="CD397" s="126"/>
      <c r="CE397" s="125"/>
      <c r="CF397" s="126"/>
      <c r="CG397" s="126"/>
      <c r="CH397" s="126"/>
      <c r="CI397" s="126"/>
      <c r="CJ397" s="126"/>
      <c r="CK397" s="126"/>
      <c r="CL397" s="126"/>
      <c r="CM397" s="126"/>
      <c r="CN397" s="126"/>
      <c r="CO397" s="126"/>
      <c r="CP397" s="126"/>
      <c r="CQ397" s="126"/>
      <c r="CR397" s="126"/>
      <c r="CS397" s="126"/>
      <c r="CT397" s="126"/>
      <c r="CU397" s="126"/>
      <c r="CV397" s="126"/>
      <c r="CW397" s="126"/>
      <c r="CX397" s="126"/>
      <c r="CY397" s="126"/>
      <c r="CZ397" s="126"/>
      <c r="DA397" s="126"/>
      <c r="DB397" s="126"/>
      <c r="DC397" s="126"/>
      <c r="DD397" s="126"/>
      <c r="DE397" s="126"/>
      <c r="DF397" s="126"/>
      <c r="DG397" s="126"/>
      <c r="DH397" s="126"/>
      <c r="DI397" s="126"/>
      <c r="DJ397" s="126"/>
      <c r="DK397" s="126"/>
      <c r="DL397" s="8"/>
      <c r="DM397" s="8"/>
      <c r="DN397" s="8"/>
    </row>
    <row r="398" spans="1:118" ht="13.35" hidden="1" customHeight="1">
      <c r="A398" s="91" t="s">
        <v>13</v>
      </c>
      <c r="B398" s="91"/>
      <c r="C398" s="267" t="s">
        <v>14</v>
      </c>
      <c r="D398" s="284"/>
      <c r="E398" s="154" t="s">
        <v>536</v>
      </c>
      <c r="F398" s="160" t="s">
        <v>550</v>
      </c>
      <c r="G398" s="6"/>
      <c r="H398" s="5"/>
      <c r="I398" s="247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/>
      <c r="AO398" s="125"/>
      <c r="AP398" s="126"/>
      <c r="AQ398" s="126"/>
      <c r="AR398" s="125"/>
      <c r="AS398" s="125"/>
      <c r="AT398" s="75"/>
      <c r="AU398" s="125"/>
      <c r="AV398" s="125"/>
      <c r="AW398" s="125"/>
      <c r="AX398" s="126"/>
      <c r="AY398" s="125"/>
      <c r="AZ398" s="125"/>
      <c r="BA398" s="125"/>
      <c r="BB398" s="125"/>
      <c r="BC398" s="125"/>
      <c r="BD398" s="126"/>
      <c r="BE398" s="126"/>
      <c r="BF398" s="125"/>
      <c r="BG398" s="125"/>
      <c r="BH398" s="125"/>
      <c r="BI398" s="75"/>
      <c r="BJ398" s="75"/>
      <c r="BK398" s="439"/>
      <c r="BL398" s="126"/>
      <c r="BM398" s="125"/>
      <c r="BN398" s="125"/>
      <c r="BO398" s="125"/>
      <c r="BP398" s="125"/>
      <c r="BQ398" s="125"/>
      <c r="BR398" s="125"/>
      <c r="BS398" s="125"/>
      <c r="BT398" s="125"/>
      <c r="BU398" s="125"/>
      <c r="BV398" s="125"/>
      <c r="BW398" s="125"/>
      <c r="BX398" s="126"/>
      <c r="BY398" s="126"/>
      <c r="BZ398" s="126"/>
      <c r="CA398" s="125"/>
      <c r="CB398" s="126"/>
      <c r="CC398" s="125"/>
      <c r="CD398" s="126"/>
      <c r="CE398" s="125"/>
      <c r="CF398" s="126"/>
      <c r="CG398" s="126"/>
      <c r="CH398" s="126"/>
      <c r="CI398" s="126"/>
      <c r="CJ398" s="126"/>
      <c r="CK398" s="126"/>
      <c r="CL398" s="126"/>
      <c r="CM398" s="126"/>
      <c r="CN398" s="126"/>
      <c r="CO398" s="126"/>
      <c r="CP398" s="126"/>
      <c r="CQ398" s="126"/>
      <c r="CR398" s="126"/>
      <c r="CS398" s="126"/>
      <c r="CT398" s="126"/>
      <c r="CU398" s="126"/>
      <c r="CV398" s="126"/>
      <c r="CW398" s="126"/>
      <c r="CX398" s="126"/>
      <c r="CY398" s="126"/>
      <c r="CZ398" s="126"/>
      <c r="DA398" s="126"/>
      <c r="DB398" s="126"/>
      <c r="DC398" s="126"/>
      <c r="DD398" s="126"/>
      <c r="DE398" s="126"/>
      <c r="DF398" s="126"/>
      <c r="DG398" s="126"/>
      <c r="DH398" s="126"/>
      <c r="DI398" s="126"/>
      <c r="DJ398" s="126"/>
      <c r="DK398" s="126"/>
      <c r="DL398" s="8"/>
      <c r="DM398" s="8"/>
      <c r="DN398" s="8"/>
    </row>
    <row r="399" spans="1:118" ht="13.35" hidden="1" customHeight="1">
      <c r="A399" s="91" t="s">
        <v>13</v>
      </c>
      <c r="B399" s="91"/>
      <c r="C399" s="267" t="s">
        <v>14</v>
      </c>
      <c r="D399" s="284"/>
      <c r="E399" s="154" t="s">
        <v>536</v>
      </c>
      <c r="F399" s="160" t="s">
        <v>551</v>
      </c>
      <c r="G399" s="6"/>
      <c r="H399" s="5"/>
      <c r="I399" s="247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6"/>
      <c r="AQ399" s="126"/>
      <c r="AR399" s="125"/>
      <c r="AS399" s="125"/>
      <c r="AT399" s="75">
        <v>19.7</v>
      </c>
      <c r="AU399" s="125"/>
      <c r="AV399" s="125"/>
      <c r="AW399" s="125"/>
      <c r="AX399" s="126"/>
      <c r="AY399" s="125"/>
      <c r="AZ399" s="125">
        <v>21.5</v>
      </c>
      <c r="BA399" s="125"/>
      <c r="BB399" s="125"/>
      <c r="BC399" s="393">
        <v>20</v>
      </c>
      <c r="BD399" s="126"/>
      <c r="BE399" s="126"/>
      <c r="BF399" s="125"/>
      <c r="BG399" s="125"/>
      <c r="BH399" s="125"/>
      <c r="BI399" s="125"/>
      <c r="BJ399" s="75">
        <v>26.3</v>
      </c>
      <c r="BK399" s="67">
        <v>25</v>
      </c>
      <c r="BL399" s="126"/>
      <c r="BM399" s="125"/>
      <c r="BN399" s="125"/>
      <c r="BO399" s="125"/>
      <c r="BP399" s="125"/>
      <c r="BQ399" s="125"/>
      <c r="BR399" s="125"/>
      <c r="BS399" s="125"/>
      <c r="BT399" s="125"/>
      <c r="BU399" s="125"/>
      <c r="BV399" s="125"/>
      <c r="BW399" s="125"/>
      <c r="BX399" s="126"/>
      <c r="BY399" s="126"/>
      <c r="BZ399" s="126"/>
      <c r="CA399" s="125"/>
      <c r="CB399" s="126"/>
      <c r="CC399" s="125"/>
      <c r="CD399" s="126"/>
      <c r="CE399" s="125"/>
      <c r="CF399" s="126"/>
      <c r="CG399" s="126"/>
      <c r="CH399" s="126"/>
      <c r="CI399" s="126"/>
      <c r="CJ399" s="126"/>
      <c r="CK399" s="126"/>
      <c r="CL399" s="126"/>
      <c r="CM399" s="126"/>
      <c r="CN399" s="126"/>
      <c r="CO399" s="126"/>
      <c r="CP399" s="126"/>
      <c r="CQ399" s="126"/>
      <c r="CR399" s="126"/>
      <c r="CS399" s="126"/>
      <c r="CT399" s="126"/>
      <c r="CU399" s="126"/>
      <c r="CV399" s="126"/>
      <c r="CW399" s="126"/>
      <c r="CX399" s="126"/>
      <c r="CY399" s="126"/>
      <c r="CZ399" s="126"/>
      <c r="DA399" s="126"/>
      <c r="DB399" s="126"/>
      <c r="DC399" s="126"/>
      <c r="DD399" s="126"/>
      <c r="DE399" s="126"/>
      <c r="DF399" s="126"/>
      <c r="DG399" s="126"/>
      <c r="DH399" s="126"/>
      <c r="DI399" s="126"/>
      <c r="DJ399" s="126"/>
      <c r="DK399" s="126"/>
      <c r="DL399" s="8"/>
      <c r="DM399" s="8"/>
      <c r="DN399" s="8"/>
    </row>
    <row r="400" spans="1:118" ht="12.95" hidden="1" customHeight="1">
      <c r="A400" s="92" t="s">
        <v>12</v>
      </c>
      <c r="B400" s="96" t="s">
        <v>13</v>
      </c>
      <c r="C400" s="268" t="s">
        <v>31</v>
      </c>
      <c r="D400" s="280">
        <v>42.2</v>
      </c>
      <c r="E400" s="156" t="s">
        <v>536</v>
      </c>
      <c r="F400" s="159" t="s">
        <v>552</v>
      </c>
      <c r="G400" s="7"/>
      <c r="H400" s="4" t="s">
        <v>16</v>
      </c>
      <c r="I400" s="246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39"/>
      <c r="AQ400" s="39"/>
      <c r="AR400" s="74"/>
      <c r="AS400" s="74"/>
      <c r="AT400" s="74"/>
      <c r="AU400" s="74"/>
      <c r="AV400" s="74">
        <v>18.7</v>
      </c>
      <c r="AW400" s="74"/>
      <c r="AX400" s="39"/>
      <c r="AY400" s="74"/>
      <c r="AZ400" s="60"/>
      <c r="BA400" s="74">
        <v>19.100000000000001</v>
      </c>
      <c r="BB400" s="74">
        <v>19.8</v>
      </c>
      <c r="BC400" s="74"/>
      <c r="BD400" s="39"/>
      <c r="BE400" s="48"/>
      <c r="BF400" s="74"/>
      <c r="BG400" s="74"/>
      <c r="BH400" s="74"/>
      <c r="BI400" s="74"/>
      <c r="BJ400" s="74"/>
      <c r="BK400" s="418"/>
      <c r="BL400" s="39"/>
      <c r="BM400" s="74"/>
      <c r="BN400" s="74"/>
      <c r="BO400" s="74">
        <v>23.2</v>
      </c>
      <c r="BP400" s="74"/>
      <c r="BQ400" s="74"/>
      <c r="BR400" s="74"/>
      <c r="BS400" s="60"/>
      <c r="BT400" s="74"/>
      <c r="BU400" s="74"/>
      <c r="BV400" s="74"/>
      <c r="BW400" s="74"/>
      <c r="BX400" s="74"/>
      <c r="BY400" s="39"/>
      <c r="BZ400" s="39"/>
      <c r="CA400" s="74"/>
      <c r="CB400" s="74"/>
      <c r="CC400" s="74">
        <v>23.9</v>
      </c>
      <c r="CD400" s="74"/>
      <c r="CE400" s="74">
        <v>24.1</v>
      </c>
      <c r="CF400" s="39"/>
      <c r="CG400" s="39"/>
      <c r="CH400" s="74"/>
      <c r="CI400" s="74"/>
      <c r="CJ400" s="74"/>
      <c r="CK400" s="74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  <c r="DI400" s="39"/>
      <c r="DJ400" s="39"/>
      <c r="DK400" s="39"/>
      <c r="DL400" s="8"/>
      <c r="DM400" s="8"/>
      <c r="DN400" s="8"/>
    </row>
    <row r="401" spans="1:118" ht="12.95" hidden="1" customHeight="1">
      <c r="A401" s="92" t="s">
        <v>12</v>
      </c>
      <c r="B401" s="96" t="s">
        <v>13</v>
      </c>
      <c r="C401" s="268" t="s">
        <v>31</v>
      </c>
      <c r="D401" s="280"/>
      <c r="E401" s="156" t="s">
        <v>536</v>
      </c>
      <c r="F401" s="159" t="s">
        <v>553</v>
      </c>
      <c r="G401" s="7"/>
      <c r="H401" s="4" t="s">
        <v>16</v>
      </c>
      <c r="I401" s="246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39"/>
      <c r="AQ401" s="39"/>
      <c r="AR401" s="74"/>
      <c r="AS401" s="74"/>
      <c r="AT401" s="74"/>
      <c r="AU401" s="74"/>
      <c r="AV401" s="74"/>
      <c r="AW401" s="74"/>
      <c r="AX401" s="39"/>
      <c r="AY401" s="74"/>
      <c r="AZ401" s="74"/>
      <c r="BA401" s="74"/>
      <c r="BB401" s="74"/>
      <c r="BC401" s="74"/>
      <c r="BD401" s="39"/>
      <c r="BE401" s="39"/>
      <c r="BF401" s="74"/>
      <c r="BG401" s="74"/>
      <c r="BH401" s="74"/>
      <c r="BI401" s="74">
        <v>22.4</v>
      </c>
      <c r="BJ401" s="74"/>
      <c r="BK401" s="418"/>
      <c r="BL401" s="39"/>
      <c r="BM401" s="74"/>
      <c r="BN401" s="74"/>
      <c r="BO401" s="74"/>
      <c r="BP401" s="74"/>
      <c r="BQ401" s="74"/>
      <c r="BR401" s="74"/>
      <c r="BS401" s="74"/>
      <c r="BT401" s="74"/>
      <c r="BU401" s="60">
        <v>24</v>
      </c>
      <c r="BV401" s="74"/>
      <c r="BW401" s="74"/>
      <c r="BX401" s="74"/>
      <c r="BY401" s="39"/>
      <c r="BZ401" s="39"/>
      <c r="CA401" s="74"/>
      <c r="CB401" s="74"/>
      <c r="CC401" s="74"/>
      <c r="CD401" s="74"/>
      <c r="CE401" s="74"/>
      <c r="CF401" s="39"/>
      <c r="CG401" s="39"/>
      <c r="CH401" s="74"/>
      <c r="CI401" s="74"/>
      <c r="CJ401" s="74"/>
      <c r="CK401" s="74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  <c r="DI401" s="39"/>
      <c r="DJ401" s="39"/>
      <c r="DK401" s="39"/>
      <c r="DL401" s="8"/>
      <c r="DM401" s="8"/>
      <c r="DN401" s="8"/>
    </row>
    <row r="402" spans="1:118" ht="12.95" hidden="1" customHeight="1">
      <c r="A402" s="92" t="s">
        <v>12</v>
      </c>
      <c r="B402" s="96" t="s">
        <v>13</v>
      </c>
      <c r="C402" s="268" t="s">
        <v>31</v>
      </c>
      <c r="D402" s="280"/>
      <c r="E402" s="156" t="s">
        <v>536</v>
      </c>
      <c r="F402" s="159" t="s">
        <v>554</v>
      </c>
      <c r="G402" s="7"/>
      <c r="H402" s="4" t="s">
        <v>16</v>
      </c>
      <c r="I402" s="246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39"/>
      <c r="AQ402" s="39"/>
      <c r="AR402" s="74"/>
      <c r="AS402" s="74"/>
      <c r="AT402" s="74"/>
      <c r="AU402" s="74"/>
      <c r="AV402" s="74"/>
      <c r="AW402" s="74"/>
      <c r="AX402" s="39"/>
      <c r="AY402" s="74"/>
      <c r="AZ402" s="74"/>
      <c r="BA402" s="74"/>
      <c r="BB402" s="74"/>
      <c r="BC402" s="74"/>
      <c r="BD402" s="39"/>
      <c r="BE402" s="39"/>
      <c r="BF402" s="74"/>
      <c r="BG402" s="74"/>
      <c r="BH402" s="74"/>
      <c r="BI402" s="74">
        <v>21.6</v>
      </c>
      <c r="BJ402" s="74"/>
      <c r="BK402" s="418"/>
      <c r="BL402" s="39"/>
      <c r="BM402" s="74"/>
      <c r="BN402" s="74"/>
      <c r="BO402" s="74"/>
      <c r="BP402" s="74"/>
      <c r="BQ402" s="74"/>
      <c r="BR402" s="74"/>
      <c r="BS402" s="74"/>
      <c r="BT402" s="74"/>
      <c r="BU402" s="74">
        <v>23.1</v>
      </c>
      <c r="BV402" s="74"/>
      <c r="BW402" s="74"/>
      <c r="BX402" s="74"/>
      <c r="BY402" s="39"/>
      <c r="BZ402" s="39"/>
      <c r="CA402" s="74"/>
      <c r="CB402" s="74"/>
      <c r="CC402" s="74"/>
      <c r="CD402" s="74"/>
      <c r="CE402" s="74"/>
      <c r="CF402" s="39"/>
      <c r="CG402" s="39"/>
      <c r="CH402" s="74"/>
      <c r="CI402" s="74"/>
      <c r="CJ402" s="74"/>
      <c r="CK402" s="74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  <c r="DI402" s="39"/>
      <c r="DJ402" s="39"/>
      <c r="DK402" s="39"/>
      <c r="DL402" s="8"/>
      <c r="DM402" s="8"/>
      <c r="DN402" s="8"/>
    </row>
    <row r="403" spans="1:118" ht="12.95" hidden="1" customHeight="1">
      <c r="A403" s="91" t="s">
        <v>12</v>
      </c>
      <c r="B403" s="91" t="s">
        <v>13</v>
      </c>
      <c r="C403" s="267" t="s">
        <v>31</v>
      </c>
      <c r="D403" s="279">
        <v>79.94</v>
      </c>
      <c r="E403" s="155" t="s">
        <v>536</v>
      </c>
      <c r="F403" s="158" t="s">
        <v>555</v>
      </c>
      <c r="G403" s="49" t="s">
        <v>556</v>
      </c>
      <c r="H403" s="3" t="s">
        <v>557</v>
      </c>
      <c r="I403" s="241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22"/>
      <c r="AQ403" s="22"/>
      <c r="AR403" s="68"/>
      <c r="AS403" s="68"/>
      <c r="AT403" s="68"/>
      <c r="AU403" s="68"/>
      <c r="AV403" s="68">
        <v>20</v>
      </c>
      <c r="AW403" s="68"/>
      <c r="AX403" s="22"/>
      <c r="AY403" s="68"/>
      <c r="AZ403" s="68"/>
      <c r="BA403" s="68"/>
      <c r="BB403" s="68"/>
      <c r="BC403" s="68">
        <v>21.6</v>
      </c>
      <c r="BD403" s="22"/>
      <c r="BE403" s="22"/>
      <c r="BF403" s="68"/>
      <c r="BG403" s="68"/>
      <c r="BH403" s="68"/>
      <c r="BI403" s="68"/>
      <c r="BJ403" s="68"/>
      <c r="BK403" s="406"/>
      <c r="BL403" s="22"/>
      <c r="BM403" s="448">
        <v>24.4</v>
      </c>
      <c r="BN403" s="68"/>
      <c r="BO403" s="68"/>
      <c r="BP403" s="68"/>
      <c r="BQ403" s="406">
        <v>24.3</v>
      </c>
      <c r="BR403" s="68"/>
      <c r="BS403" s="68"/>
      <c r="BT403" s="68"/>
      <c r="BU403" s="68"/>
      <c r="BV403" s="68"/>
      <c r="BW403" s="68"/>
      <c r="BX403" s="68"/>
      <c r="BY403" s="22"/>
      <c r="BZ403" s="22"/>
      <c r="CA403" s="68"/>
      <c r="CB403" s="22"/>
      <c r="CC403" s="68"/>
      <c r="CD403" s="22"/>
      <c r="CE403" s="68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8"/>
      <c r="DM403" s="8"/>
      <c r="DN403" s="8"/>
    </row>
    <row r="404" spans="1:118" ht="12.95" hidden="1" customHeight="1">
      <c r="A404" s="91" t="s">
        <v>12</v>
      </c>
      <c r="B404" s="91" t="s">
        <v>13</v>
      </c>
      <c r="C404" s="267" t="s">
        <v>31</v>
      </c>
      <c r="D404" s="279"/>
      <c r="E404" s="155" t="s">
        <v>536</v>
      </c>
      <c r="F404" s="158" t="s">
        <v>558</v>
      </c>
      <c r="G404" s="49" t="s">
        <v>556</v>
      </c>
      <c r="H404" s="3" t="s">
        <v>557</v>
      </c>
      <c r="I404" s="241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22"/>
      <c r="AQ404" s="22"/>
      <c r="AR404" s="68"/>
      <c r="AS404" s="68"/>
      <c r="AT404" s="68"/>
      <c r="AU404" s="68"/>
      <c r="AV404" s="68"/>
      <c r="AW404" s="68"/>
      <c r="AX404" s="22"/>
      <c r="AY404" s="68"/>
      <c r="AZ404" s="68"/>
      <c r="BA404" s="68"/>
      <c r="BB404" s="68"/>
      <c r="BC404" s="68"/>
      <c r="BD404" s="22"/>
      <c r="BE404" s="22"/>
      <c r="BF404" s="68"/>
      <c r="BG404" s="68"/>
      <c r="BH404" s="68"/>
      <c r="BI404" s="68"/>
      <c r="BJ404" s="68"/>
      <c r="BK404" s="406"/>
      <c r="BL404" s="22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  <c r="BW404" s="68"/>
      <c r="BX404" s="68"/>
      <c r="BY404" s="22"/>
      <c r="BZ404" s="22"/>
      <c r="CA404" s="68"/>
      <c r="CB404" s="22"/>
      <c r="CC404" s="68"/>
      <c r="CD404" s="22"/>
      <c r="CE404" s="68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8"/>
      <c r="DM404" s="8"/>
      <c r="DN404" s="8"/>
    </row>
    <row r="405" spans="1:118" ht="12.95" hidden="1" customHeight="1">
      <c r="A405" s="91" t="s">
        <v>12</v>
      </c>
      <c r="B405" s="91" t="s">
        <v>13</v>
      </c>
      <c r="C405" s="267" t="s">
        <v>31</v>
      </c>
      <c r="D405" s="279"/>
      <c r="E405" s="155" t="s">
        <v>536</v>
      </c>
      <c r="F405" s="158" t="s">
        <v>559</v>
      </c>
      <c r="G405" s="49" t="s">
        <v>556</v>
      </c>
      <c r="H405" s="3" t="s">
        <v>557</v>
      </c>
      <c r="I405" s="241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22"/>
      <c r="AQ405" s="22"/>
      <c r="AR405" s="68"/>
      <c r="AS405" s="68"/>
      <c r="AT405" s="68"/>
      <c r="AU405" s="68"/>
      <c r="AV405" s="68"/>
      <c r="AW405" s="68"/>
      <c r="AX405" s="22"/>
      <c r="AY405" s="68"/>
      <c r="AZ405" s="68"/>
      <c r="BA405" s="68"/>
      <c r="BB405" s="68"/>
      <c r="BC405" s="68"/>
      <c r="BD405" s="22"/>
      <c r="BE405" s="22"/>
      <c r="BF405" s="68"/>
      <c r="BG405" s="68"/>
      <c r="BH405" s="68"/>
      <c r="BI405" s="68"/>
      <c r="BJ405" s="68"/>
      <c r="BK405" s="406"/>
      <c r="BL405" s="22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  <c r="BW405" s="68"/>
      <c r="BX405" s="68"/>
      <c r="BY405" s="22"/>
      <c r="BZ405" s="22"/>
      <c r="CA405" s="68"/>
      <c r="CB405" s="22"/>
      <c r="CC405" s="68"/>
      <c r="CD405" s="22"/>
      <c r="CE405" s="68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8"/>
      <c r="DM405" s="8"/>
      <c r="DN405" s="8"/>
    </row>
    <row r="406" spans="1:118" s="104" customFormat="1" ht="12.95" hidden="1" customHeight="1">
      <c r="A406" s="96" t="s">
        <v>12</v>
      </c>
      <c r="B406" s="96" t="s">
        <v>13</v>
      </c>
      <c r="C406" s="269" t="s">
        <v>14</v>
      </c>
      <c r="D406" s="281">
        <v>9.27</v>
      </c>
      <c r="E406" s="157" t="s">
        <v>536</v>
      </c>
      <c r="F406" s="161" t="s">
        <v>560</v>
      </c>
      <c r="G406" s="102">
        <v>25</v>
      </c>
      <c r="H406" s="109" t="s">
        <v>16</v>
      </c>
      <c r="I406" s="248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  <c r="AG406" s="130"/>
      <c r="AH406" s="130"/>
      <c r="AI406" s="130"/>
      <c r="AJ406" s="130"/>
      <c r="AK406" s="130"/>
      <c r="AL406" s="130"/>
      <c r="AM406" s="130"/>
      <c r="AN406" s="130"/>
      <c r="AO406" s="130"/>
      <c r="AP406" s="214"/>
      <c r="AQ406" s="214"/>
      <c r="AR406" s="130"/>
      <c r="AS406" s="130"/>
      <c r="AT406" s="130">
        <v>18.8</v>
      </c>
      <c r="AU406" s="130"/>
      <c r="AV406" s="130"/>
      <c r="AW406" s="130"/>
      <c r="AX406" s="214"/>
      <c r="AY406" s="130"/>
      <c r="AZ406" s="130"/>
      <c r="BA406" s="130"/>
      <c r="BB406" s="130"/>
      <c r="BC406" s="130"/>
      <c r="BD406" s="214"/>
      <c r="BE406" s="214"/>
      <c r="BF406" s="107">
        <v>21</v>
      </c>
      <c r="BG406" s="130"/>
      <c r="BH406" s="130"/>
      <c r="BI406" s="130"/>
      <c r="BJ406" s="130"/>
      <c r="BK406" s="404"/>
      <c r="BL406" s="214"/>
      <c r="BM406" s="130"/>
      <c r="BN406" s="130"/>
      <c r="BO406" s="130">
        <v>23.6</v>
      </c>
      <c r="BP406" s="404">
        <v>23.6</v>
      </c>
      <c r="BQ406" s="130"/>
      <c r="BR406" s="130"/>
      <c r="BS406" s="130"/>
      <c r="BT406" s="130"/>
      <c r="BU406" s="130"/>
      <c r="BV406" s="130"/>
      <c r="BW406" s="130"/>
      <c r="BX406" s="214"/>
      <c r="BY406" s="214"/>
      <c r="BZ406" s="214"/>
      <c r="CA406" s="130"/>
      <c r="CB406" s="214"/>
      <c r="CC406" s="130"/>
      <c r="CD406" s="214"/>
      <c r="CE406" s="130"/>
      <c r="CF406" s="214"/>
      <c r="CG406" s="214"/>
      <c r="CH406" s="214"/>
      <c r="CI406" s="214"/>
      <c r="CJ406" s="214"/>
      <c r="CK406" s="214"/>
      <c r="CL406" s="214"/>
      <c r="CM406" s="214"/>
      <c r="CN406" s="214"/>
      <c r="CO406" s="214"/>
      <c r="CP406" s="214"/>
      <c r="CQ406" s="214"/>
      <c r="CR406" s="214"/>
      <c r="CS406" s="214"/>
      <c r="CT406" s="214"/>
      <c r="CU406" s="214"/>
      <c r="CV406" s="214"/>
      <c r="CW406" s="214"/>
      <c r="CX406" s="214"/>
      <c r="CY406" s="214"/>
      <c r="CZ406" s="214"/>
      <c r="DA406" s="214"/>
      <c r="DB406" s="214"/>
      <c r="DC406" s="214"/>
      <c r="DD406" s="214"/>
      <c r="DE406" s="214"/>
      <c r="DF406" s="214"/>
      <c r="DG406" s="214"/>
      <c r="DH406" s="214"/>
      <c r="DI406" s="214"/>
      <c r="DJ406" s="214"/>
      <c r="DK406" s="214"/>
      <c r="DL406" s="103"/>
      <c r="DM406" s="103"/>
      <c r="DN406" s="103"/>
    </row>
    <row r="407" spans="1:118" s="104" customFormat="1" ht="12.95" hidden="1" customHeight="1">
      <c r="A407" s="96" t="s">
        <v>12</v>
      </c>
      <c r="B407" s="96" t="s">
        <v>13</v>
      </c>
      <c r="C407" s="269" t="s">
        <v>14</v>
      </c>
      <c r="D407" s="281"/>
      <c r="E407" s="157" t="s">
        <v>536</v>
      </c>
      <c r="F407" s="195" t="s">
        <v>561</v>
      </c>
      <c r="G407" s="102">
        <v>25</v>
      </c>
      <c r="H407" s="109" t="s">
        <v>16</v>
      </c>
      <c r="I407" s="249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  <c r="AA407" s="215"/>
      <c r="AB407" s="215"/>
      <c r="AC407" s="215"/>
      <c r="AD407" s="215"/>
      <c r="AE407" s="215"/>
      <c r="AF407" s="215"/>
      <c r="AG407" s="215"/>
      <c r="AH407" s="215"/>
      <c r="AI407" s="215"/>
      <c r="AJ407" s="215"/>
      <c r="AK407" s="215"/>
      <c r="AL407" s="215"/>
      <c r="AM407" s="215"/>
      <c r="AN407" s="215"/>
      <c r="AO407" s="215"/>
      <c r="AP407" s="216"/>
      <c r="AQ407" s="216"/>
      <c r="AR407" s="215"/>
      <c r="AS407" s="215"/>
      <c r="AT407" s="215"/>
      <c r="AU407" s="215"/>
      <c r="AV407" s="215"/>
      <c r="AW407" s="215"/>
      <c r="AX407" s="216"/>
      <c r="AY407" s="215"/>
      <c r="AZ407" s="215"/>
      <c r="BA407" s="215"/>
      <c r="BB407" s="215"/>
      <c r="BC407" s="215"/>
      <c r="BD407" s="216"/>
      <c r="BE407" s="216"/>
      <c r="BF407" s="215"/>
      <c r="BG407" s="215"/>
      <c r="BH407" s="215"/>
      <c r="BI407" s="215"/>
      <c r="BJ407" s="215"/>
      <c r="BK407" s="441"/>
      <c r="BL407" s="216"/>
      <c r="BM407" s="215"/>
      <c r="BN407" s="215"/>
      <c r="BO407" s="215"/>
      <c r="BP407" s="215"/>
      <c r="BQ407" s="215"/>
      <c r="BR407" s="215"/>
      <c r="BS407" s="215"/>
      <c r="BT407" s="215"/>
      <c r="BU407" s="215"/>
      <c r="BV407" s="215"/>
      <c r="BW407" s="215"/>
      <c r="BX407" s="216"/>
      <c r="BY407" s="216"/>
      <c r="BZ407" s="216"/>
      <c r="CA407" s="215"/>
      <c r="CB407" s="216"/>
      <c r="CC407" s="215"/>
      <c r="CD407" s="216"/>
      <c r="CE407" s="215"/>
      <c r="CF407" s="216"/>
      <c r="CG407" s="216"/>
      <c r="CH407" s="216"/>
      <c r="CI407" s="216"/>
      <c r="CJ407" s="216"/>
      <c r="CK407" s="216"/>
      <c r="CL407" s="216"/>
      <c r="CM407" s="216"/>
      <c r="CN407" s="216"/>
      <c r="CO407" s="216"/>
      <c r="CP407" s="216"/>
      <c r="CQ407" s="216"/>
      <c r="CR407" s="216"/>
      <c r="CS407" s="216"/>
      <c r="CT407" s="216"/>
      <c r="CU407" s="216"/>
      <c r="CV407" s="216"/>
      <c r="CW407" s="216"/>
      <c r="CX407" s="216"/>
      <c r="CY407" s="216"/>
      <c r="CZ407" s="216"/>
      <c r="DA407" s="216"/>
      <c r="DB407" s="216"/>
      <c r="DC407" s="216"/>
      <c r="DD407" s="216"/>
      <c r="DE407" s="216"/>
      <c r="DF407" s="216"/>
      <c r="DG407" s="216"/>
      <c r="DH407" s="216"/>
      <c r="DI407" s="216"/>
      <c r="DJ407" s="216"/>
      <c r="DK407" s="216"/>
      <c r="DL407" s="103"/>
      <c r="DM407" s="103"/>
      <c r="DN407" s="103"/>
    </row>
    <row r="408" spans="1:118" s="104" customFormat="1" ht="12.95" hidden="1" customHeight="1">
      <c r="A408" s="96" t="s">
        <v>12</v>
      </c>
      <c r="B408" s="96" t="s">
        <v>13</v>
      </c>
      <c r="C408" s="269" t="s">
        <v>14</v>
      </c>
      <c r="D408" s="281"/>
      <c r="E408" s="157" t="s">
        <v>536</v>
      </c>
      <c r="F408" s="101" t="s">
        <v>562</v>
      </c>
      <c r="G408" s="102">
        <v>25</v>
      </c>
      <c r="H408" s="109" t="s">
        <v>16</v>
      </c>
      <c r="I408" s="248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30"/>
      <c r="AK408" s="130"/>
      <c r="AL408" s="130"/>
      <c r="AM408" s="130"/>
      <c r="AN408" s="130"/>
      <c r="AO408" s="130"/>
      <c r="AP408" s="214"/>
      <c r="AQ408" s="214"/>
      <c r="AR408" s="130"/>
      <c r="AS408" s="130"/>
      <c r="AT408" s="130"/>
      <c r="AU408" s="130"/>
      <c r="AV408" s="130"/>
      <c r="AW408" s="130"/>
      <c r="AX408" s="214"/>
      <c r="AY408" s="130"/>
      <c r="AZ408" s="130"/>
      <c r="BA408" s="130"/>
      <c r="BB408" s="130"/>
      <c r="BC408" s="130"/>
      <c r="BD408" s="214"/>
      <c r="BE408" s="214"/>
      <c r="BF408" s="130"/>
      <c r="BG408" s="130"/>
      <c r="BH408" s="130"/>
      <c r="BI408" s="130"/>
      <c r="BJ408" s="130"/>
      <c r="BK408" s="404"/>
      <c r="BL408" s="214"/>
      <c r="BM408" s="130"/>
      <c r="BN408" s="130"/>
      <c r="BO408" s="130"/>
      <c r="BP408" s="130"/>
      <c r="BQ408" s="130"/>
      <c r="BR408" s="130"/>
      <c r="BS408" s="130"/>
      <c r="BT408" s="130"/>
      <c r="BU408" s="130"/>
      <c r="BV408" s="130"/>
      <c r="BW408" s="130"/>
      <c r="BX408" s="214"/>
      <c r="BY408" s="214"/>
      <c r="BZ408" s="214"/>
      <c r="CA408" s="130"/>
      <c r="CB408" s="214"/>
      <c r="CC408" s="130"/>
      <c r="CD408" s="214"/>
      <c r="CE408" s="130"/>
      <c r="CF408" s="214"/>
      <c r="CG408" s="214"/>
      <c r="CH408" s="214"/>
      <c r="CI408" s="214"/>
      <c r="CJ408" s="214"/>
      <c r="CK408" s="214"/>
      <c r="CL408" s="214"/>
      <c r="CM408" s="214"/>
      <c r="CN408" s="214"/>
      <c r="CO408" s="214"/>
      <c r="CP408" s="214"/>
      <c r="CQ408" s="214"/>
      <c r="CR408" s="214"/>
      <c r="CS408" s="214"/>
      <c r="CT408" s="214"/>
      <c r="CU408" s="214"/>
      <c r="CV408" s="214"/>
      <c r="CW408" s="214"/>
      <c r="CX408" s="214"/>
      <c r="CY408" s="214"/>
      <c r="CZ408" s="214"/>
      <c r="DA408" s="214"/>
      <c r="DB408" s="214"/>
      <c r="DC408" s="214"/>
      <c r="DD408" s="214"/>
      <c r="DE408" s="214"/>
      <c r="DF408" s="214"/>
      <c r="DG408" s="214"/>
      <c r="DH408" s="214"/>
      <c r="DI408" s="214"/>
      <c r="DJ408" s="214"/>
      <c r="DK408" s="214"/>
      <c r="DL408" s="103"/>
      <c r="DM408" s="103"/>
      <c r="DN408" s="103"/>
    </row>
    <row r="409" spans="1:118" ht="12.95" hidden="1" customHeight="1">
      <c r="A409" s="91" t="s">
        <v>12</v>
      </c>
      <c r="B409" s="91" t="s">
        <v>13</v>
      </c>
      <c r="C409" s="267" t="s">
        <v>14</v>
      </c>
      <c r="D409" s="279">
        <v>8.07</v>
      </c>
      <c r="E409" s="155" t="s">
        <v>536</v>
      </c>
      <c r="F409" s="12" t="s">
        <v>563</v>
      </c>
      <c r="G409" s="6"/>
      <c r="H409" s="5" t="s">
        <v>16</v>
      </c>
      <c r="I409" s="250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40"/>
      <c r="AQ409" s="40"/>
      <c r="AR409" s="75"/>
      <c r="AS409" s="75"/>
      <c r="AT409" s="75"/>
      <c r="AU409" s="75"/>
      <c r="AV409" s="75"/>
      <c r="AW409" s="75"/>
      <c r="AX409" s="40"/>
      <c r="AY409" s="75">
        <v>22.7</v>
      </c>
      <c r="AZ409" s="75"/>
      <c r="BA409" s="75"/>
      <c r="BB409" s="75"/>
      <c r="BC409" s="61"/>
      <c r="BD409" s="40"/>
      <c r="BE409" s="40"/>
      <c r="BF409" s="75">
        <v>24.2</v>
      </c>
      <c r="BG409" s="75"/>
      <c r="BH409" s="75"/>
      <c r="BI409" s="75"/>
      <c r="BJ409" s="75"/>
      <c r="BK409" s="439"/>
      <c r="BL409" s="40"/>
      <c r="BM409" s="21"/>
      <c r="BN409" s="75"/>
      <c r="BO409" s="40"/>
      <c r="BP409" s="40"/>
      <c r="BQ409" s="40"/>
      <c r="BR409" s="40"/>
      <c r="BS409" s="40"/>
      <c r="BT409" s="40"/>
      <c r="BU409" s="40"/>
      <c r="BV409" s="40"/>
      <c r="BW409" s="75"/>
      <c r="BX409" s="40"/>
      <c r="BY409" s="40"/>
      <c r="BZ409" s="40"/>
      <c r="CA409" s="75"/>
      <c r="CB409" s="40"/>
      <c r="CC409" s="75"/>
      <c r="CD409" s="40"/>
      <c r="CE409" s="75"/>
      <c r="CF409" s="40"/>
      <c r="CG409" s="40"/>
      <c r="CH409" s="40"/>
      <c r="CI409" s="40"/>
      <c r="CJ409" s="40"/>
      <c r="CK409" s="40"/>
      <c r="CL409" s="40"/>
      <c r="CM409" s="40"/>
      <c r="CN409" s="40"/>
      <c r="CO409" s="40"/>
      <c r="CP409" s="40"/>
      <c r="CQ409" s="40"/>
      <c r="CR409" s="40"/>
      <c r="CS409" s="40"/>
      <c r="CT409" s="40"/>
      <c r="CU409" s="40"/>
      <c r="CV409" s="40"/>
      <c r="CW409" s="40"/>
      <c r="CX409" s="40"/>
      <c r="CY409" s="40"/>
      <c r="CZ409" s="40"/>
      <c r="DA409" s="40"/>
      <c r="DB409" s="40"/>
      <c r="DC409" s="40"/>
      <c r="DD409" s="40"/>
      <c r="DE409" s="40"/>
      <c r="DF409" s="40"/>
      <c r="DG409" s="40"/>
      <c r="DH409" s="40"/>
      <c r="DI409" s="40"/>
      <c r="DJ409" s="40"/>
      <c r="DK409" s="40"/>
      <c r="DL409" s="8"/>
      <c r="DM409" s="8"/>
      <c r="DN409" s="8"/>
    </row>
    <row r="410" spans="1:118" ht="13.35" hidden="1" customHeight="1">
      <c r="A410" s="94" t="s">
        <v>12</v>
      </c>
      <c r="B410" s="94"/>
      <c r="C410" s="270" t="s">
        <v>14</v>
      </c>
      <c r="D410" s="287"/>
      <c r="E410" s="156" t="s">
        <v>536</v>
      </c>
      <c r="F410" s="131" t="s">
        <v>95</v>
      </c>
      <c r="G410" s="41"/>
      <c r="H410" s="42"/>
      <c r="I410" s="251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39"/>
      <c r="AQ410" s="43"/>
      <c r="AR410" s="76"/>
      <c r="AS410" s="76"/>
      <c r="AT410" s="76"/>
      <c r="AU410" s="76"/>
      <c r="AV410" s="76"/>
      <c r="AW410" s="76">
        <v>20</v>
      </c>
      <c r="AX410" s="43"/>
      <c r="AY410" s="76"/>
      <c r="AZ410" s="60"/>
      <c r="BA410" s="76"/>
      <c r="BB410" s="66"/>
      <c r="BC410" s="76"/>
      <c r="BD410" s="43"/>
      <c r="BE410" s="43"/>
      <c r="BF410" s="66">
        <v>21.7</v>
      </c>
      <c r="BG410" s="76"/>
      <c r="BH410" s="76"/>
      <c r="BI410" s="76"/>
      <c r="BJ410" s="417" t="s">
        <v>564</v>
      </c>
      <c r="BK410" s="442"/>
      <c r="BL410" s="43"/>
      <c r="BM410" s="76"/>
      <c r="BN410" s="76"/>
      <c r="BO410" s="76">
        <v>23.8</v>
      </c>
      <c r="BP410" s="76"/>
      <c r="BQ410" s="66">
        <v>23.4</v>
      </c>
      <c r="BR410" s="76"/>
      <c r="BS410" s="76"/>
      <c r="BT410" s="76"/>
      <c r="BU410" s="76"/>
      <c r="BV410" s="76"/>
      <c r="BW410" s="76"/>
      <c r="BX410" s="76"/>
      <c r="BY410" s="43"/>
      <c r="BZ410" s="43"/>
      <c r="CA410" s="60">
        <v>23.6</v>
      </c>
      <c r="CB410" s="76"/>
      <c r="CC410" s="76"/>
      <c r="CD410" s="76"/>
      <c r="CE410" s="453" t="s">
        <v>565</v>
      </c>
      <c r="CF410" s="43"/>
      <c r="CG410" s="43"/>
      <c r="CH410" s="76"/>
      <c r="CI410" s="76"/>
      <c r="CJ410" s="76"/>
      <c r="CK410" s="76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  <c r="CV410" s="43"/>
      <c r="CW410" s="43"/>
      <c r="CX410" s="43"/>
      <c r="CY410" s="43"/>
      <c r="CZ410" s="43"/>
      <c r="DA410" s="43"/>
      <c r="DB410" s="43"/>
      <c r="DC410" s="43"/>
      <c r="DD410" s="43"/>
      <c r="DE410" s="43"/>
      <c r="DF410" s="43"/>
      <c r="DG410" s="43"/>
      <c r="DH410" s="43"/>
      <c r="DI410" s="43"/>
      <c r="DJ410" s="43"/>
      <c r="DK410" s="43"/>
    </row>
    <row r="411" spans="1:118" ht="12.95" hidden="1" customHeight="1">
      <c r="A411" s="91" t="s">
        <v>12</v>
      </c>
      <c r="B411" s="91" t="s">
        <v>13</v>
      </c>
      <c r="C411" s="267" t="s">
        <v>14</v>
      </c>
      <c r="D411" s="279">
        <v>28.79</v>
      </c>
      <c r="E411" s="155" t="s">
        <v>536</v>
      </c>
      <c r="F411" s="160" t="s">
        <v>566</v>
      </c>
      <c r="G411" s="6">
        <v>25</v>
      </c>
      <c r="H411" s="5" t="s">
        <v>16</v>
      </c>
      <c r="I411" s="23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 t="s">
        <v>567</v>
      </c>
      <c r="AG411" s="61"/>
      <c r="AH411" s="61"/>
      <c r="AI411" s="61"/>
      <c r="AJ411" s="61"/>
      <c r="AK411" s="61"/>
      <c r="AL411" s="61" t="s">
        <v>568</v>
      </c>
      <c r="AM411" s="61"/>
      <c r="AN411" s="61"/>
      <c r="AO411" s="61"/>
      <c r="AP411" s="1"/>
      <c r="AQ411" s="1"/>
      <c r="AR411" s="61"/>
      <c r="AS411" s="61"/>
      <c r="AT411" s="61"/>
      <c r="AU411" s="61"/>
      <c r="AV411" s="61"/>
      <c r="AW411" s="61"/>
      <c r="AX411" s="1"/>
      <c r="AY411" s="61"/>
      <c r="AZ411" s="61"/>
      <c r="BA411" s="61"/>
      <c r="BB411" s="61"/>
      <c r="BC411" s="61"/>
      <c r="BD411" s="1"/>
      <c r="BE411" s="1"/>
      <c r="BF411" s="61"/>
      <c r="BG411" s="1"/>
      <c r="BH411" s="61"/>
      <c r="BI411" s="21"/>
      <c r="BJ411" s="61"/>
      <c r="BK411" s="67"/>
      <c r="BL411" s="1"/>
      <c r="BM411" s="21"/>
      <c r="BN411" s="61"/>
      <c r="BO411" s="1"/>
      <c r="BP411" s="1"/>
      <c r="BQ411" s="1"/>
      <c r="BR411" s="1"/>
      <c r="BS411" s="1"/>
      <c r="BT411" s="1"/>
      <c r="BU411" s="1"/>
      <c r="BV411" s="1"/>
      <c r="BW411" s="61"/>
      <c r="BX411" s="1"/>
      <c r="BY411" s="1"/>
      <c r="BZ411" s="1"/>
      <c r="CA411" s="61"/>
      <c r="CB411" s="1"/>
      <c r="CC411" s="61"/>
      <c r="CD411" s="1"/>
      <c r="CE411" s="6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8"/>
      <c r="DM411" s="8"/>
      <c r="DN411" s="8"/>
    </row>
    <row r="412" spans="1:118" ht="12.95" hidden="1" customHeight="1">
      <c r="A412" s="91" t="s">
        <v>12</v>
      </c>
      <c r="B412" s="91" t="s">
        <v>13</v>
      </c>
      <c r="C412" s="267" t="s">
        <v>14</v>
      </c>
      <c r="D412" s="279"/>
      <c r="E412" s="155" t="s">
        <v>536</v>
      </c>
      <c r="F412" s="160" t="s">
        <v>569</v>
      </c>
      <c r="G412" s="6">
        <v>25</v>
      </c>
      <c r="H412" s="5" t="s">
        <v>16</v>
      </c>
      <c r="I412" s="23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>
        <v>14.2</v>
      </c>
      <c r="Y412" s="61"/>
      <c r="Z412" s="61"/>
      <c r="AA412" s="61"/>
      <c r="AB412" s="61"/>
      <c r="AC412" s="61"/>
      <c r="AD412" s="61"/>
      <c r="AE412" s="61"/>
      <c r="AF412" s="67"/>
      <c r="AG412" s="61"/>
      <c r="AH412" s="61"/>
      <c r="AI412" s="61"/>
      <c r="AJ412" s="61"/>
      <c r="AK412" s="61"/>
      <c r="AL412" s="61"/>
      <c r="AM412" s="61">
        <v>17.399999999999999</v>
      </c>
      <c r="AN412" s="61"/>
      <c r="AO412" s="61"/>
      <c r="AP412" s="1"/>
      <c r="AQ412" s="1"/>
      <c r="AR412" s="61">
        <v>18.7</v>
      </c>
      <c r="AS412" s="61"/>
      <c r="AT412" s="61"/>
      <c r="AU412" s="61" t="s">
        <v>49</v>
      </c>
      <c r="AV412" s="61"/>
      <c r="AW412" s="61"/>
      <c r="AX412" s="1"/>
      <c r="AY412" s="61"/>
      <c r="AZ412" s="61"/>
      <c r="BA412" s="61"/>
      <c r="BB412" s="61"/>
      <c r="BC412" s="61"/>
      <c r="BD412" s="1"/>
      <c r="BE412" s="1"/>
      <c r="BF412" s="61"/>
      <c r="BG412" s="1"/>
      <c r="BH412" s="61"/>
      <c r="BI412" s="1"/>
      <c r="BJ412" s="61"/>
      <c r="BK412" s="67"/>
      <c r="BL412" s="1"/>
      <c r="BM412" s="1"/>
      <c r="BN412" s="61"/>
      <c r="BO412" s="1"/>
      <c r="BP412" s="1"/>
      <c r="BQ412" s="1"/>
      <c r="BR412" s="1"/>
      <c r="BS412" s="1"/>
      <c r="BT412" s="1"/>
      <c r="BU412" s="1"/>
      <c r="BV412" s="1"/>
      <c r="BW412" s="61"/>
      <c r="BX412" s="1"/>
      <c r="BY412" s="1"/>
      <c r="BZ412" s="1"/>
      <c r="CA412" s="61"/>
      <c r="CB412" s="1"/>
      <c r="CC412" s="61"/>
      <c r="CD412" s="1"/>
      <c r="CE412" s="6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8"/>
      <c r="DM412" s="8"/>
      <c r="DN412" s="8"/>
    </row>
    <row r="413" spans="1:118" ht="12.95" hidden="1" customHeight="1">
      <c r="A413" s="91" t="s">
        <v>12</v>
      </c>
      <c r="B413" s="91" t="s">
        <v>13</v>
      </c>
      <c r="C413" s="267" t="s">
        <v>14</v>
      </c>
      <c r="D413" s="279"/>
      <c r="E413" s="155" t="s">
        <v>536</v>
      </c>
      <c r="F413" s="160" t="s">
        <v>570</v>
      </c>
      <c r="G413" s="6">
        <v>25</v>
      </c>
      <c r="H413" s="5" t="s">
        <v>16</v>
      </c>
      <c r="I413" s="23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>
        <v>13.5</v>
      </c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>
        <v>17</v>
      </c>
      <c r="AN413" s="61"/>
      <c r="AO413" s="61"/>
      <c r="AP413" s="1">
        <v>17.7</v>
      </c>
      <c r="AQ413" s="1"/>
      <c r="AR413" s="61"/>
      <c r="AS413" s="61"/>
      <c r="AT413" s="61"/>
      <c r="AU413" s="61">
        <v>17.2</v>
      </c>
      <c r="AV413" s="61"/>
      <c r="AW413" s="61"/>
      <c r="AX413" s="1"/>
      <c r="AY413" s="61"/>
      <c r="AZ413" s="61"/>
      <c r="BA413" s="61"/>
      <c r="BB413" s="61"/>
      <c r="BC413" s="61"/>
      <c r="BD413" s="1"/>
      <c r="BE413" s="1"/>
      <c r="BF413" s="61"/>
      <c r="BG413" s="1"/>
      <c r="BH413" s="61"/>
      <c r="BI413" s="1"/>
      <c r="BJ413" s="61"/>
      <c r="BK413" s="67"/>
      <c r="BL413" s="1"/>
      <c r="BM413" s="1"/>
      <c r="BN413" s="61"/>
      <c r="BO413" s="1"/>
      <c r="BP413" s="1"/>
      <c r="BQ413" s="1"/>
      <c r="BR413" s="1"/>
      <c r="BS413" s="1"/>
      <c r="BT413" s="1"/>
      <c r="BU413" s="1"/>
      <c r="BV413" s="1"/>
      <c r="BW413" s="61"/>
      <c r="BX413" s="1"/>
      <c r="BY413" s="1"/>
      <c r="BZ413" s="1"/>
      <c r="CA413" s="61"/>
      <c r="CB413" s="1"/>
      <c r="CC413" s="61"/>
      <c r="CD413" s="1"/>
      <c r="CE413" s="6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8"/>
      <c r="DM413" s="8"/>
      <c r="DN413" s="8"/>
    </row>
    <row r="414" spans="1:118" s="104" customFormat="1" ht="12.95" hidden="1" customHeight="1">
      <c r="A414" s="96" t="s">
        <v>12</v>
      </c>
      <c r="B414" s="96" t="s">
        <v>13</v>
      </c>
      <c r="C414" s="269" t="s">
        <v>14</v>
      </c>
      <c r="D414" s="281">
        <v>27.8</v>
      </c>
      <c r="E414" s="157" t="s">
        <v>536</v>
      </c>
      <c r="F414" s="161" t="s">
        <v>571</v>
      </c>
      <c r="G414" s="102"/>
      <c r="H414" s="109" t="s">
        <v>16</v>
      </c>
      <c r="I414" s="232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8"/>
      <c r="AQ414" s="108"/>
      <c r="AR414" s="107"/>
      <c r="AS414" s="107">
        <v>21.5</v>
      </c>
      <c r="AT414" s="107"/>
      <c r="AU414" s="107"/>
      <c r="AV414" s="107"/>
      <c r="AW414" s="107"/>
      <c r="AX414" s="108"/>
      <c r="AY414" s="107"/>
      <c r="AZ414" s="107"/>
      <c r="BA414" s="107"/>
      <c r="BB414" s="123">
        <v>24.2</v>
      </c>
      <c r="BC414" s="107"/>
      <c r="BD414" s="108"/>
      <c r="BE414" s="108"/>
      <c r="BF414" s="107"/>
      <c r="BG414" s="107"/>
      <c r="BH414" s="107"/>
      <c r="BI414" s="108"/>
      <c r="BJ414" s="107"/>
      <c r="BK414" s="123"/>
      <c r="BL414" s="108"/>
      <c r="BM414" s="108"/>
      <c r="BN414" s="107"/>
      <c r="BO414" s="108"/>
      <c r="BP414" s="108"/>
      <c r="BQ414" s="108"/>
      <c r="BR414" s="108"/>
      <c r="BS414" s="108"/>
      <c r="BT414" s="108"/>
      <c r="BU414" s="108"/>
      <c r="BV414" s="108"/>
      <c r="BW414" s="107"/>
      <c r="BX414" s="108"/>
      <c r="BY414" s="108"/>
      <c r="BZ414" s="108"/>
      <c r="CA414" s="107"/>
      <c r="CB414" s="108"/>
      <c r="CC414" s="107"/>
      <c r="CD414" s="108"/>
      <c r="CE414" s="107"/>
      <c r="CF414" s="108"/>
      <c r="CG414" s="108"/>
      <c r="CH414" s="108"/>
      <c r="CI414" s="108"/>
      <c r="CJ414" s="108"/>
      <c r="CK414" s="108"/>
      <c r="CL414" s="108"/>
      <c r="CM414" s="108"/>
      <c r="CN414" s="108"/>
      <c r="CO414" s="108"/>
      <c r="CP414" s="108"/>
      <c r="CQ414" s="108"/>
      <c r="CR414" s="108"/>
      <c r="CS414" s="108"/>
      <c r="CT414" s="108"/>
      <c r="CU414" s="108"/>
      <c r="CV414" s="108"/>
      <c r="CW414" s="108"/>
      <c r="CX414" s="108"/>
      <c r="CY414" s="108"/>
      <c r="CZ414" s="108"/>
      <c r="DA414" s="108"/>
      <c r="DB414" s="108"/>
      <c r="DC414" s="108"/>
      <c r="DD414" s="108"/>
      <c r="DE414" s="108"/>
      <c r="DF414" s="108"/>
      <c r="DG414" s="108"/>
      <c r="DH414" s="108"/>
      <c r="DI414" s="108"/>
      <c r="DJ414" s="108"/>
      <c r="DK414" s="108"/>
      <c r="DL414" s="103"/>
      <c r="DM414" s="103"/>
      <c r="DN414" s="103"/>
    </row>
    <row r="415" spans="1:118" s="104" customFormat="1" ht="12.95" hidden="1" customHeight="1">
      <c r="A415" s="96" t="s">
        <v>12</v>
      </c>
      <c r="B415" s="96" t="s">
        <v>13</v>
      </c>
      <c r="C415" s="269" t="s">
        <v>14</v>
      </c>
      <c r="D415" s="281"/>
      <c r="E415" s="157" t="s">
        <v>536</v>
      </c>
      <c r="F415" s="161" t="s">
        <v>572</v>
      </c>
      <c r="G415" s="102"/>
      <c r="H415" s="109" t="s">
        <v>16</v>
      </c>
      <c r="I415" s="232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8"/>
      <c r="AQ415" s="108"/>
      <c r="AR415" s="107"/>
      <c r="AS415" s="107"/>
      <c r="AT415" s="107"/>
      <c r="AU415" s="107"/>
      <c r="AV415" s="107"/>
      <c r="AW415" s="107"/>
      <c r="AX415" s="108"/>
      <c r="AY415" s="107">
        <v>22.4</v>
      </c>
      <c r="AZ415" s="107"/>
      <c r="BA415" s="107"/>
      <c r="BB415" s="107"/>
      <c r="BC415" s="107"/>
      <c r="BD415" s="108"/>
      <c r="BE415" s="108"/>
      <c r="BF415" s="107"/>
      <c r="BG415" s="123"/>
      <c r="BH415" s="107"/>
      <c r="BI415" s="108"/>
      <c r="BJ415" s="107"/>
      <c r="BK415" s="123"/>
      <c r="BL415" s="108"/>
      <c r="BM415" s="108"/>
      <c r="BN415" s="107"/>
      <c r="BO415" s="108"/>
      <c r="BP415" s="108"/>
      <c r="BQ415" s="108"/>
      <c r="BR415" s="108"/>
      <c r="BS415" s="108"/>
      <c r="BT415" s="108"/>
      <c r="BU415" s="113"/>
      <c r="BV415" s="108"/>
      <c r="BW415" s="107"/>
      <c r="BX415" s="108"/>
      <c r="BY415" s="108"/>
      <c r="BZ415" s="108"/>
      <c r="CA415" s="107"/>
      <c r="CB415" s="108"/>
      <c r="CC415" s="107"/>
      <c r="CD415" s="108"/>
      <c r="CE415" s="107"/>
      <c r="CF415" s="108"/>
      <c r="CG415" s="108"/>
      <c r="CH415" s="108"/>
      <c r="CI415" s="108"/>
      <c r="CJ415" s="108"/>
      <c r="CK415" s="108"/>
      <c r="CL415" s="108"/>
      <c r="CM415" s="108"/>
      <c r="CN415" s="108"/>
      <c r="CO415" s="108"/>
      <c r="CP415" s="108"/>
      <c r="CQ415" s="108"/>
      <c r="CR415" s="108"/>
      <c r="CS415" s="108"/>
      <c r="CT415" s="108"/>
      <c r="CU415" s="108"/>
      <c r="CV415" s="108"/>
      <c r="CW415" s="108"/>
      <c r="CX415" s="108"/>
      <c r="CY415" s="108"/>
      <c r="CZ415" s="108"/>
      <c r="DA415" s="108"/>
      <c r="DB415" s="108"/>
      <c r="DC415" s="108"/>
      <c r="DD415" s="108"/>
      <c r="DE415" s="108"/>
      <c r="DF415" s="108"/>
      <c r="DG415" s="108"/>
      <c r="DH415" s="108"/>
      <c r="DI415" s="108"/>
      <c r="DJ415" s="108"/>
      <c r="DK415" s="108"/>
      <c r="DL415" s="103"/>
      <c r="DM415" s="103"/>
      <c r="DN415" s="103"/>
    </row>
    <row r="416" spans="1:118" s="104" customFormat="1" ht="12.95" hidden="1" customHeight="1">
      <c r="A416" s="96" t="s">
        <v>12</v>
      </c>
      <c r="B416" s="96" t="s">
        <v>13</v>
      </c>
      <c r="C416" s="269" t="s">
        <v>14</v>
      </c>
      <c r="D416" s="281"/>
      <c r="E416" s="157" t="s">
        <v>536</v>
      </c>
      <c r="F416" s="161" t="s">
        <v>573</v>
      </c>
      <c r="G416" s="102"/>
      <c r="H416" s="109" t="s">
        <v>16</v>
      </c>
      <c r="I416" s="232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8"/>
      <c r="AQ416" s="108"/>
      <c r="AR416" s="107"/>
      <c r="AS416" s="107"/>
      <c r="AT416" s="107"/>
      <c r="AU416" s="107"/>
      <c r="AV416" s="107"/>
      <c r="AW416" s="107"/>
      <c r="AX416" s="108"/>
      <c r="AY416" s="107"/>
      <c r="AZ416" s="107"/>
      <c r="BA416" s="107"/>
      <c r="BB416" s="107"/>
      <c r="BC416" s="107"/>
      <c r="BD416" s="108"/>
      <c r="BE416" s="108"/>
      <c r="BF416" s="107"/>
      <c r="BG416" s="107"/>
      <c r="BH416" s="107"/>
      <c r="BI416" s="108"/>
      <c r="BJ416" s="107"/>
      <c r="BK416" s="123"/>
      <c r="BL416" s="108"/>
      <c r="BM416" s="108"/>
      <c r="BN416" s="107"/>
      <c r="BO416" s="108"/>
      <c r="BP416" s="108"/>
      <c r="BQ416" s="108"/>
      <c r="BR416" s="108"/>
      <c r="BS416" s="108"/>
      <c r="BT416" s="108"/>
      <c r="BU416" s="108"/>
      <c r="BV416" s="108"/>
      <c r="BW416" s="107"/>
      <c r="BX416" s="108"/>
      <c r="BY416" s="108"/>
      <c r="BZ416" s="108"/>
      <c r="CA416" s="107"/>
      <c r="CB416" s="108"/>
      <c r="CC416" s="107"/>
      <c r="CD416" s="108"/>
      <c r="CE416" s="107"/>
      <c r="CF416" s="108"/>
      <c r="CG416" s="108"/>
      <c r="CH416" s="108"/>
      <c r="CI416" s="108"/>
      <c r="CJ416" s="108"/>
      <c r="CK416" s="108"/>
      <c r="CL416" s="108"/>
      <c r="CM416" s="108"/>
      <c r="CN416" s="108"/>
      <c r="CO416" s="108"/>
      <c r="CP416" s="108"/>
      <c r="CQ416" s="108"/>
      <c r="CR416" s="108"/>
      <c r="CS416" s="108"/>
      <c r="CT416" s="108"/>
      <c r="CU416" s="108"/>
      <c r="CV416" s="108"/>
      <c r="CW416" s="108"/>
      <c r="CX416" s="108"/>
      <c r="CY416" s="108"/>
      <c r="CZ416" s="108"/>
      <c r="DA416" s="108"/>
      <c r="DB416" s="108"/>
      <c r="DC416" s="108"/>
      <c r="DD416" s="108"/>
      <c r="DE416" s="108"/>
      <c r="DF416" s="108"/>
      <c r="DG416" s="108"/>
      <c r="DH416" s="108"/>
      <c r="DI416" s="108"/>
      <c r="DJ416" s="108"/>
      <c r="DK416" s="108"/>
      <c r="DL416" s="103"/>
      <c r="DM416" s="103"/>
      <c r="DN416" s="103"/>
    </row>
    <row r="417" spans="1:118" s="104" customFormat="1" ht="12.95" hidden="1" customHeight="1">
      <c r="A417" s="96" t="s">
        <v>12</v>
      </c>
      <c r="B417" s="96" t="s">
        <v>13</v>
      </c>
      <c r="C417" s="269" t="s">
        <v>14</v>
      </c>
      <c r="D417" s="281"/>
      <c r="E417" s="157" t="s">
        <v>536</v>
      </c>
      <c r="F417" s="161" t="s">
        <v>574</v>
      </c>
      <c r="G417" s="102"/>
      <c r="H417" s="109" t="s">
        <v>16</v>
      </c>
      <c r="I417" s="232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8"/>
      <c r="AQ417" s="108"/>
      <c r="AR417" s="107"/>
      <c r="AS417" s="107"/>
      <c r="AT417" s="107"/>
      <c r="AU417" s="107"/>
      <c r="AV417" s="107"/>
      <c r="AW417" s="107"/>
      <c r="AX417" s="108"/>
      <c r="AY417" s="107"/>
      <c r="AZ417" s="107"/>
      <c r="BA417" s="107"/>
      <c r="BB417" s="107"/>
      <c r="BC417" s="107"/>
      <c r="BD417" s="108"/>
      <c r="BE417" s="108"/>
      <c r="BF417" s="107"/>
      <c r="BG417" s="107"/>
      <c r="BH417" s="107"/>
      <c r="BI417" s="108"/>
      <c r="BJ417" s="107"/>
      <c r="BK417" s="123"/>
      <c r="BL417" s="108"/>
      <c r="BM417" s="108"/>
      <c r="BN417" s="107"/>
      <c r="BO417" s="108"/>
      <c r="BP417" s="108"/>
      <c r="BQ417" s="108"/>
      <c r="BR417" s="108"/>
      <c r="BS417" s="108"/>
      <c r="BT417" s="108"/>
      <c r="BU417" s="108"/>
      <c r="BV417" s="108"/>
      <c r="BW417" s="107"/>
      <c r="BX417" s="108"/>
      <c r="BY417" s="108"/>
      <c r="BZ417" s="108"/>
      <c r="CA417" s="107"/>
      <c r="CB417" s="108"/>
      <c r="CC417" s="107"/>
      <c r="CD417" s="108"/>
      <c r="CE417" s="107"/>
      <c r="CF417" s="108"/>
      <c r="CG417" s="108"/>
      <c r="CH417" s="108"/>
      <c r="CI417" s="108"/>
      <c r="CJ417" s="108"/>
      <c r="CK417" s="108"/>
      <c r="CL417" s="108"/>
      <c r="CM417" s="108"/>
      <c r="CN417" s="108"/>
      <c r="CO417" s="108"/>
      <c r="CP417" s="108"/>
      <c r="CQ417" s="108"/>
      <c r="CR417" s="108"/>
      <c r="CS417" s="108"/>
      <c r="CT417" s="108"/>
      <c r="CU417" s="108"/>
      <c r="CV417" s="108"/>
      <c r="CW417" s="108"/>
      <c r="CX417" s="108"/>
      <c r="CY417" s="108"/>
      <c r="CZ417" s="108"/>
      <c r="DA417" s="108"/>
      <c r="DB417" s="108"/>
      <c r="DC417" s="108"/>
      <c r="DD417" s="108"/>
      <c r="DE417" s="108"/>
      <c r="DF417" s="108"/>
      <c r="DG417" s="108"/>
      <c r="DH417" s="108"/>
      <c r="DI417" s="108"/>
      <c r="DJ417" s="108"/>
      <c r="DK417" s="108"/>
      <c r="DL417" s="103"/>
      <c r="DM417" s="103"/>
      <c r="DN417" s="103"/>
    </row>
    <row r="418" spans="1:118" s="104" customFormat="1" ht="12.95" hidden="1" customHeight="1">
      <c r="A418" s="96" t="s">
        <v>12</v>
      </c>
      <c r="B418" s="96" t="s">
        <v>13</v>
      </c>
      <c r="C418" s="269" t="s">
        <v>14</v>
      </c>
      <c r="D418" s="281"/>
      <c r="E418" s="157" t="s">
        <v>536</v>
      </c>
      <c r="F418" s="161" t="s">
        <v>575</v>
      </c>
      <c r="G418" s="102"/>
      <c r="H418" s="109" t="s">
        <v>16</v>
      </c>
      <c r="I418" s="232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8"/>
      <c r="AQ418" s="108"/>
      <c r="AR418" s="107"/>
      <c r="AS418" s="107"/>
      <c r="AT418" s="107"/>
      <c r="AU418" s="107"/>
      <c r="AV418" s="107"/>
      <c r="AW418" s="107"/>
      <c r="AX418" s="108"/>
      <c r="AY418" s="107" t="s">
        <v>576</v>
      </c>
      <c r="AZ418" s="107"/>
      <c r="BA418" s="107"/>
      <c r="BB418" s="107"/>
      <c r="BC418" s="107"/>
      <c r="BD418" s="108"/>
      <c r="BE418" s="108"/>
      <c r="BF418" s="107"/>
      <c r="BG418" s="107"/>
      <c r="BH418" s="107"/>
      <c r="BI418" s="108"/>
      <c r="BJ418" s="107"/>
      <c r="BK418" s="123"/>
      <c r="BL418" s="108"/>
      <c r="BM418" s="108"/>
      <c r="BN418" s="107"/>
      <c r="BO418" s="108"/>
      <c r="BP418" s="108"/>
      <c r="BQ418" s="108"/>
      <c r="BR418" s="108"/>
      <c r="BS418" s="108"/>
      <c r="BT418" s="108"/>
      <c r="BU418" s="113"/>
      <c r="BV418" s="108"/>
      <c r="BW418" s="107"/>
      <c r="BX418" s="108"/>
      <c r="BY418" s="108"/>
      <c r="BZ418" s="108"/>
      <c r="CA418" s="107"/>
      <c r="CB418" s="108"/>
      <c r="CC418" s="107"/>
      <c r="CD418" s="108"/>
      <c r="CE418" s="107"/>
      <c r="CF418" s="108"/>
      <c r="CG418" s="108"/>
      <c r="CH418" s="108"/>
      <c r="CI418" s="108"/>
      <c r="CJ418" s="108"/>
      <c r="CK418" s="108"/>
      <c r="CL418" s="108"/>
      <c r="CM418" s="108"/>
      <c r="CN418" s="108"/>
      <c r="CO418" s="108"/>
      <c r="CP418" s="108"/>
      <c r="CQ418" s="108"/>
      <c r="CR418" s="108"/>
      <c r="CS418" s="108"/>
      <c r="CT418" s="108"/>
      <c r="CU418" s="108"/>
      <c r="CV418" s="108"/>
      <c r="CW418" s="108"/>
      <c r="CX418" s="108"/>
      <c r="CY418" s="108"/>
      <c r="CZ418" s="108"/>
      <c r="DA418" s="108"/>
      <c r="DB418" s="108"/>
      <c r="DC418" s="108"/>
      <c r="DD418" s="108"/>
      <c r="DE418" s="108"/>
      <c r="DF418" s="108"/>
      <c r="DG418" s="108"/>
      <c r="DH418" s="108"/>
      <c r="DI418" s="108"/>
      <c r="DJ418" s="108"/>
      <c r="DK418" s="108"/>
      <c r="DL418" s="103"/>
      <c r="DM418" s="103"/>
      <c r="DN418" s="103"/>
    </row>
    <row r="419" spans="1:118" ht="13.35" hidden="1" customHeight="1">
      <c r="A419" s="91" t="s">
        <v>12</v>
      </c>
      <c r="B419" s="91"/>
      <c r="C419" s="267" t="s">
        <v>20</v>
      </c>
      <c r="D419" s="279"/>
      <c r="E419" s="155" t="s">
        <v>536</v>
      </c>
      <c r="F419" s="160" t="s">
        <v>63</v>
      </c>
      <c r="G419" s="6"/>
      <c r="H419" s="5"/>
      <c r="I419" s="23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1"/>
      <c r="AQ419" s="1"/>
      <c r="AR419" s="61"/>
      <c r="AS419" s="61"/>
      <c r="AT419" s="61"/>
      <c r="AU419" s="61"/>
      <c r="AV419" s="61"/>
      <c r="AW419" s="61"/>
      <c r="AX419" s="1"/>
      <c r="AY419" s="61"/>
      <c r="AZ419" s="61"/>
      <c r="BA419" s="61"/>
      <c r="BB419" s="61"/>
      <c r="BC419" s="61"/>
      <c r="BD419" s="1"/>
      <c r="BE419" s="1"/>
      <c r="BF419" s="61"/>
      <c r="BG419" s="61"/>
      <c r="BH419" s="61"/>
      <c r="BI419" s="61"/>
      <c r="BJ419" s="61"/>
      <c r="BK419" s="61">
        <v>25.8</v>
      </c>
      <c r="BL419" s="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1"/>
      <c r="BZ419" s="1"/>
      <c r="CA419" s="61"/>
      <c r="CB419" s="1"/>
      <c r="CC419" s="61"/>
      <c r="CD419" s="1"/>
      <c r="CE419" s="6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8"/>
      <c r="DM419" s="8"/>
      <c r="DN419" s="8"/>
    </row>
    <row r="420" spans="1:118" ht="13.35" hidden="1" customHeight="1">
      <c r="A420" s="92" t="s">
        <v>12</v>
      </c>
      <c r="B420" s="92"/>
      <c r="C420" s="268" t="s">
        <v>20</v>
      </c>
      <c r="D420" s="280"/>
      <c r="E420" s="156" t="s">
        <v>536</v>
      </c>
      <c r="F420" s="159" t="s">
        <v>63</v>
      </c>
      <c r="G420" s="7"/>
      <c r="H420" s="4"/>
      <c r="I420" s="246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39"/>
      <c r="AQ420" s="39"/>
      <c r="AR420" s="74"/>
      <c r="AS420" s="74"/>
      <c r="AT420" s="74"/>
      <c r="AU420" s="74"/>
      <c r="AV420" s="74"/>
      <c r="AW420" s="74"/>
      <c r="AX420" s="39"/>
      <c r="AY420" s="74"/>
      <c r="AZ420" s="74"/>
      <c r="BA420" s="74"/>
      <c r="BB420" s="74"/>
      <c r="BC420" s="74"/>
      <c r="BD420" s="39"/>
      <c r="BE420" s="39"/>
      <c r="BF420" s="74"/>
      <c r="BG420" s="74"/>
      <c r="BH420" s="74"/>
      <c r="BI420" s="74"/>
      <c r="BJ420" s="74"/>
      <c r="BK420" s="418"/>
      <c r="BL420" s="39"/>
      <c r="BM420" s="74"/>
      <c r="BN420" s="74"/>
      <c r="BO420" s="74"/>
      <c r="BP420" s="74"/>
      <c r="BQ420" s="74"/>
      <c r="BR420" s="74"/>
      <c r="BS420" s="74"/>
      <c r="BT420" s="74"/>
      <c r="BU420" s="74"/>
      <c r="BV420" s="60"/>
      <c r="BW420" s="74"/>
      <c r="BX420" s="74"/>
      <c r="BY420" s="39"/>
      <c r="BZ420" s="39"/>
      <c r="CA420" s="74"/>
      <c r="CB420" s="39"/>
      <c r="CC420" s="74"/>
      <c r="CD420" s="39"/>
      <c r="CE420" s="74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  <c r="DI420" s="39"/>
      <c r="DJ420" s="39"/>
      <c r="DK420" s="39"/>
      <c r="DL420" s="8"/>
      <c r="DM420" s="8"/>
      <c r="DN420" s="8"/>
    </row>
    <row r="421" spans="1:118" ht="12.95" hidden="1" customHeight="1">
      <c r="A421" s="91" t="s">
        <v>12</v>
      </c>
      <c r="B421" s="96" t="s">
        <v>13</v>
      </c>
      <c r="C421" s="267" t="s">
        <v>14</v>
      </c>
      <c r="D421" s="279">
        <v>4.72</v>
      </c>
      <c r="E421" s="155" t="s">
        <v>536</v>
      </c>
      <c r="F421" s="160" t="s">
        <v>577</v>
      </c>
      <c r="G421" s="6">
        <v>25</v>
      </c>
      <c r="H421" s="5" t="s">
        <v>16</v>
      </c>
      <c r="I421" s="246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40"/>
      <c r="AQ421" s="40"/>
      <c r="AR421" s="75"/>
      <c r="AS421" s="75"/>
      <c r="AT421" s="75"/>
      <c r="AU421" s="75"/>
      <c r="AV421" s="75"/>
      <c r="AW421" s="75">
        <v>21.7</v>
      </c>
      <c r="AX421" s="40"/>
      <c r="AY421" s="75"/>
      <c r="AZ421" s="75"/>
      <c r="BA421" s="75"/>
      <c r="BB421" s="75"/>
      <c r="BC421" s="61">
        <v>22</v>
      </c>
      <c r="BD421" s="40"/>
      <c r="BE421" s="40"/>
      <c r="BF421" s="75"/>
      <c r="BG421" s="75"/>
      <c r="BH421" s="75"/>
      <c r="BI421" s="75"/>
      <c r="BJ421" s="75"/>
      <c r="BK421" s="439"/>
      <c r="BL421" s="40"/>
      <c r="BM421" s="75"/>
      <c r="BN421" s="75"/>
      <c r="BO421" s="75">
        <v>25.1</v>
      </c>
      <c r="BP421" s="75"/>
      <c r="BQ421" s="75"/>
      <c r="BR421" s="75"/>
      <c r="BS421" s="75"/>
      <c r="BT421" s="75"/>
      <c r="BU421" s="75"/>
      <c r="BV421" s="75"/>
      <c r="BW421" s="75"/>
      <c r="BX421" s="40"/>
      <c r="BY421" s="40"/>
      <c r="BZ421" s="40"/>
      <c r="CA421" s="75"/>
      <c r="CB421" s="40"/>
      <c r="CC421" s="75"/>
      <c r="CD421" s="40"/>
      <c r="CE421" s="75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  <c r="CW421" s="40"/>
      <c r="CX421" s="40"/>
      <c r="CY421" s="40"/>
      <c r="CZ421" s="40"/>
      <c r="DA421" s="40"/>
      <c r="DB421" s="40"/>
      <c r="DC421" s="40"/>
      <c r="DD421" s="40"/>
      <c r="DE421" s="40"/>
      <c r="DF421" s="40"/>
      <c r="DG421" s="40"/>
      <c r="DH421" s="40"/>
      <c r="DI421" s="40"/>
      <c r="DJ421" s="40"/>
      <c r="DK421" s="40"/>
      <c r="DL421" s="8"/>
      <c r="DM421" s="8"/>
      <c r="DN421" s="8"/>
    </row>
    <row r="422" spans="1:118" s="104" customFormat="1" ht="12.95" hidden="1" customHeight="1">
      <c r="A422" s="96" t="s">
        <v>12</v>
      </c>
      <c r="B422" s="91" t="s">
        <v>13</v>
      </c>
      <c r="C422" s="269" t="s">
        <v>14</v>
      </c>
      <c r="D422" s="281">
        <v>7.16</v>
      </c>
      <c r="E422" s="157" t="s">
        <v>536</v>
      </c>
      <c r="F422" s="161" t="s">
        <v>578</v>
      </c>
      <c r="G422" s="102">
        <v>25</v>
      </c>
      <c r="H422" s="109" t="s">
        <v>16</v>
      </c>
      <c r="I422" s="250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  <c r="AG422" s="130"/>
      <c r="AH422" s="130"/>
      <c r="AI422" s="130"/>
      <c r="AJ422" s="130"/>
      <c r="AK422" s="130"/>
      <c r="AL422" s="130"/>
      <c r="AM422" s="130"/>
      <c r="AN422" s="130"/>
      <c r="AO422" s="130"/>
      <c r="AP422" s="214"/>
      <c r="AQ422" s="214"/>
      <c r="AR422" s="130"/>
      <c r="AS422" s="130"/>
      <c r="AT422" s="130"/>
      <c r="AU422" s="130"/>
      <c r="AV422" s="130"/>
      <c r="AW422" s="130">
        <v>23.4</v>
      </c>
      <c r="AX422" s="214"/>
      <c r="AY422" s="130"/>
      <c r="AZ422" s="130"/>
      <c r="BA422" s="130"/>
      <c r="BB422" s="130"/>
      <c r="BC422" s="130">
        <v>24.2</v>
      </c>
      <c r="BD422" s="214"/>
      <c r="BE422" s="214"/>
      <c r="BF422" s="107">
        <v>24</v>
      </c>
      <c r="BG422" s="404">
        <v>24.4</v>
      </c>
      <c r="BH422" s="130"/>
      <c r="BI422" s="130"/>
      <c r="BJ422" s="130"/>
      <c r="BK422" s="404"/>
      <c r="BL422" s="214"/>
      <c r="BM422" s="123"/>
      <c r="BN422" s="130"/>
      <c r="BO422" s="130"/>
      <c r="BP422" s="130"/>
      <c r="BQ422" s="130"/>
      <c r="BR422" s="130"/>
      <c r="BS422" s="130"/>
      <c r="BT422" s="130"/>
      <c r="BU422" s="130"/>
      <c r="BV422" s="130"/>
      <c r="BW422" s="130"/>
      <c r="BX422" s="214"/>
      <c r="BY422" s="214"/>
      <c r="BZ422" s="214"/>
      <c r="CA422" s="130"/>
      <c r="CB422" s="214"/>
      <c r="CC422" s="130"/>
      <c r="CD422" s="214"/>
      <c r="CE422" s="130"/>
      <c r="CF422" s="214"/>
      <c r="CG422" s="214"/>
      <c r="CH422" s="214"/>
      <c r="CI422" s="214"/>
      <c r="CJ422" s="214"/>
      <c r="CK422" s="214"/>
      <c r="CL422" s="214"/>
      <c r="CM422" s="214"/>
      <c r="CN422" s="214"/>
      <c r="CO422" s="214"/>
      <c r="CP422" s="214"/>
      <c r="CQ422" s="214"/>
      <c r="CR422" s="214"/>
      <c r="CS422" s="214"/>
      <c r="CT422" s="214"/>
      <c r="CU422" s="214"/>
      <c r="CV422" s="214"/>
      <c r="CW422" s="214"/>
      <c r="CX422" s="214"/>
      <c r="CY422" s="214"/>
      <c r="CZ422" s="214"/>
      <c r="DA422" s="214"/>
      <c r="DB422" s="214"/>
      <c r="DC422" s="214"/>
      <c r="DD422" s="214"/>
      <c r="DE422" s="214"/>
      <c r="DF422" s="214"/>
      <c r="DG422" s="214"/>
      <c r="DH422" s="214"/>
      <c r="DI422" s="214"/>
      <c r="DJ422" s="214"/>
      <c r="DK422" s="214"/>
      <c r="DL422" s="103"/>
      <c r="DM422" s="103"/>
      <c r="DN422" s="103"/>
    </row>
    <row r="423" spans="1:118" ht="13.35" hidden="1" customHeight="1">
      <c r="A423" s="91" t="s">
        <v>12</v>
      </c>
      <c r="B423" s="96"/>
      <c r="C423" s="267" t="s">
        <v>31</v>
      </c>
      <c r="D423" s="279">
        <v>11.4</v>
      </c>
      <c r="E423" s="155" t="s">
        <v>536</v>
      </c>
      <c r="F423" s="160" t="s">
        <v>579</v>
      </c>
      <c r="G423" s="6">
        <v>21.5</v>
      </c>
      <c r="H423" s="5"/>
      <c r="I423" s="232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61"/>
      <c r="X423" s="61"/>
      <c r="Y423" s="61"/>
      <c r="Z423" s="61"/>
      <c r="AA423" s="61"/>
      <c r="AB423" s="61"/>
      <c r="AC423" s="61"/>
      <c r="AD423" s="61"/>
      <c r="AE423" s="61"/>
      <c r="AF423" s="61">
        <v>17</v>
      </c>
      <c r="AG423" s="61"/>
      <c r="AH423" s="61"/>
      <c r="AI423" s="61"/>
      <c r="AJ423" s="61"/>
      <c r="AK423" s="61"/>
      <c r="AL423" s="61"/>
      <c r="AM423" s="61">
        <v>19.399999999999999</v>
      </c>
      <c r="AN423" s="61"/>
      <c r="AO423" s="61"/>
      <c r="AP423" s="1"/>
      <c r="AQ423" s="1"/>
      <c r="AR423" s="61"/>
      <c r="AS423" s="61">
        <v>19.8</v>
      </c>
      <c r="AT423" s="61"/>
      <c r="AU423" s="61"/>
      <c r="AV423" s="61"/>
      <c r="AW423" s="61"/>
      <c r="AX423" s="1"/>
      <c r="AY423" s="61"/>
      <c r="AZ423" s="67">
        <v>21.3</v>
      </c>
      <c r="BA423" s="61"/>
      <c r="BB423" s="61"/>
      <c r="BC423" s="67"/>
      <c r="BD423" s="1"/>
      <c r="BE423" s="1"/>
      <c r="BF423" s="61"/>
      <c r="BG423" s="1"/>
      <c r="BH423" s="61"/>
      <c r="BI423" s="1"/>
      <c r="BJ423" s="61"/>
      <c r="BK423" s="67"/>
      <c r="BL423" s="1"/>
      <c r="BM423" s="1"/>
      <c r="BN423" s="61"/>
      <c r="BO423" s="1"/>
      <c r="BP423" s="1"/>
      <c r="BQ423" s="1"/>
      <c r="BR423" s="1"/>
      <c r="BS423" s="1"/>
      <c r="BT423" s="1"/>
      <c r="BU423" s="1"/>
      <c r="BV423" s="1"/>
      <c r="BW423" s="61"/>
      <c r="BX423" s="1"/>
      <c r="BY423" s="1"/>
      <c r="BZ423" s="1"/>
      <c r="CA423" s="61"/>
      <c r="CB423" s="1"/>
      <c r="CC423" s="61"/>
      <c r="CD423" s="1"/>
      <c r="CE423" s="6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8"/>
      <c r="DM423" s="8"/>
      <c r="DN423" s="8"/>
    </row>
  </sheetData>
  <autoFilter ref="A3:DN423" xr:uid="{00000000-0001-0000-0000-000000000000}">
    <filterColumn colId="5">
      <filters>
        <filter val="LaPrima - BLK 4"/>
        <filter val="LaPrima - BLK 4- N"/>
        <filter val="LaPrima - BLK 4- S"/>
      </filters>
    </filterColumn>
  </autoFilter>
  <mergeCells count="1">
    <mergeCell ref="D2:E2"/>
  </mergeCells>
  <phoneticPr fontId="2" type="noConversion"/>
  <conditionalFormatting sqref="A3:C3 E3:XFD3">
    <cfRule type="timePeriod" dxfId="1" priority="1" timePeriod="today">
      <formula>FLOOR(A3,1)=TODAY()</formula>
    </cfRule>
    <cfRule type="timePeriod" dxfId="0" priority="2" timePeriod="today">
      <formula>FLOOR(A3,1)=TODAY()</formula>
    </cfRule>
  </conditionalFormatting>
  <pageMargins left="0.25" right="0.25" top="0.75" bottom="0.75" header="0.3" footer="0.3"/>
  <pageSetup paperSize="5" scale="98" fitToHeight="0" orientation="landscape" r:id="rId1"/>
  <headerFooter>
    <oddHeader>&amp;R&amp;D  &amp;T   &amp;P of &amp;N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CD5A-6F6E-B544-A7DC-7DD268761856}">
  <dimension ref="A1"/>
  <sheetViews>
    <sheetView zoomScaleNormal="60" zoomScaleSheetLayoutView="100" workbookViewId="0"/>
  </sheetViews>
  <sheetFormatPr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C7B57AA89494D97AD7F9C7AAF1FA3" ma:contentTypeVersion="16" ma:contentTypeDescription="Create a new document." ma:contentTypeScope="" ma:versionID="4313d4ab32d6d4540f8041b2aa693d8d">
  <xsd:schema xmlns:xsd="http://www.w3.org/2001/XMLSchema" xmlns:xs="http://www.w3.org/2001/XMLSchema" xmlns:p="http://schemas.microsoft.com/office/2006/metadata/properties" xmlns:ns2="cb8885cf-f7c3-4147-88f7-3374f51e527d" xmlns:ns3="511187d4-c97d-4bf4-be43-fdc87f977711" targetNamespace="http://schemas.microsoft.com/office/2006/metadata/properties" ma:root="true" ma:fieldsID="d0dfc401f6734609a8618b374b30967c" ns2:_="" ns3:_="">
    <xsd:import namespace="cb8885cf-f7c3-4147-88f7-3374f51e527d"/>
    <xsd:import namespace="511187d4-c97d-4bf4-be43-fdc87f977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85cf-f7c3-4147-88f7-3374f51e5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d0f0cfe-34f2-4a06-ab4d-e9186d0c4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187d4-c97d-4bf4-be43-fdc87f9777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f4c2a93-347a-421d-be59-f3ab58ab7dff}" ma:internalName="TaxCatchAll" ma:showField="CatchAllData" ma:web="511187d4-c97d-4bf4-be43-fdc87f977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1187d4-c97d-4bf4-be43-fdc87f977711" xsi:nil="true"/>
    <lcf76f155ced4ddcb4097134ff3c332f xmlns="cb8885cf-f7c3-4147-88f7-3374f51e527d">
      <Terms xmlns="http://schemas.microsoft.com/office/infopath/2007/PartnerControls"/>
    </lcf76f155ced4ddcb4097134ff3c332f>
    <SharedWithUsers xmlns="511187d4-c97d-4bf4-be43-fdc87f977711">
      <UserInfo>
        <DisplayName>Aaron Lange</DisplayName>
        <AccountId>12</AccountId>
        <AccountType/>
      </UserInfo>
      <UserInfo>
        <DisplayName>Vanessa Ocegueda</DisplayName>
        <AccountId>93</AccountId>
        <AccountType/>
      </UserInfo>
      <UserInfo>
        <DisplayName>Brenda Sandoval</DisplayName>
        <AccountId>23</AccountId>
        <AccountType/>
      </UserInfo>
      <UserInfo>
        <DisplayName>Maria Zumkeller</DisplayName>
        <AccountId>103</AccountId>
        <AccountType/>
      </UserInfo>
      <UserInfo>
        <DisplayName>Alyssa Drake</DisplayName>
        <AccountId>17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8EAF4B2-72D8-40C3-ABD8-6EF060E83827}"/>
</file>

<file path=customXml/itemProps2.xml><?xml version="1.0" encoding="utf-8"?>
<ds:datastoreItem xmlns:ds="http://schemas.openxmlformats.org/officeDocument/2006/customXml" ds:itemID="{4984CA51-95EC-4500-8CA4-C7EBFF79517B}"/>
</file>

<file path=customXml/itemProps3.xml><?xml version="1.0" encoding="utf-8"?>
<ds:datastoreItem xmlns:ds="http://schemas.openxmlformats.org/officeDocument/2006/customXml" ds:itemID="{98EED5E8-252C-4FBF-A296-FA70FD327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Drake</dc:creator>
  <cp:keywords/>
  <dc:description/>
  <cp:lastModifiedBy>Aaron Lange</cp:lastModifiedBy>
  <cp:revision/>
  <dcterms:created xsi:type="dcterms:W3CDTF">2016-08-23T20:59:19Z</dcterms:created>
  <dcterms:modified xsi:type="dcterms:W3CDTF">2024-08-02T21:24:19Z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0x010100049C7B57AA89494D97AD7F9C7AAF1FA3</vt:lpwstr>
  </property>
  <property fmtid="{D5CDD505-2E9C-101B-9397-08002B2CF9AE}" pid="3" name="MediaServiceImageTags">
    <vt:lpwstr/>
  </property>
</Properties>
</file>