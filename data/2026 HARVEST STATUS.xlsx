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ngetwins.sharepoint.com/sites/VineyardOps/Shared Documents/2026 Harvest/"/>
    </mc:Choice>
  </mc:AlternateContent>
  <xr:revisionPtr revIDLastSave="2441" documentId="6_{8E3412F2-9C26-4EEF-AB02-951074F9AED7}" xr6:coauthVersionLast="47" xr6:coauthVersionMax="47" xr10:uidLastSave="{255559BC-9913-4494-A4FC-0F3AA6F4DC4E}"/>
  <bookViews>
    <workbookView xWindow="-108" yWindow="-108" windowWidth="23256" windowHeight="13896" activeTab="1" xr2:uid="{00000000-000D-0000-FFFF-FFFF00000000}"/>
  </bookViews>
  <sheets>
    <sheet name="Summary" sheetId="97" r:id="rId1"/>
    <sheet name="Row Counts" sheetId="3" r:id="rId2"/>
    <sheet name="Sheet1" sheetId="100" state="hidden" r:id="rId3"/>
    <sheet name="Stats" sheetId="98" state="hidden" r:id="rId4"/>
    <sheet name="Source List" sheetId="92" state="hidden" r:id="rId5"/>
  </sheets>
  <definedNames>
    <definedName name="_xlnm._FilterDatabase" localSheetId="1" hidden="1">'Row Counts'!$A$2:$R$641</definedName>
    <definedName name="_xlnm._FilterDatabase" localSheetId="4" hidden="1">'Source List'!$A$34:$B$52</definedName>
    <definedName name="_xlnm.Print_Area" localSheetId="0">Summary!$A$1:$U$93</definedName>
    <definedName name="_xlnm.Print_Titles" localSheetId="0">Summary!$1:$11</definedName>
  </definedNames>
  <calcPr calcId="191028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9" i="3" l="1"/>
  <c r="C152" i="3" a="1"/>
  <c r="C152" i="3" s="1"/>
  <c r="D152" i="3" a="1"/>
  <c r="D152" i="3" s="1"/>
  <c r="G152" i="3" s="1"/>
  <c r="M152" i="3"/>
  <c r="C153" i="3" a="1"/>
  <c r="C153" i="3" s="1"/>
  <c r="D153" i="3" a="1"/>
  <c r="D153" i="3" s="1"/>
  <c r="G153" i="3" s="1"/>
  <c r="M153" i="3"/>
  <c r="C154" i="3" a="1"/>
  <c r="C154" i="3" s="1"/>
  <c r="D154" i="3" a="1"/>
  <c r="D154" i="3" s="1"/>
  <c r="M154" i="3"/>
  <c r="M155" i="3"/>
  <c r="Q2" i="97"/>
  <c r="K2" i="97"/>
  <c r="H2" i="97"/>
  <c r="G2" i="97"/>
  <c r="D5" i="97"/>
  <c r="D8" i="97"/>
  <c r="D7" i="97"/>
  <c r="D6" i="97"/>
  <c r="R6" i="97"/>
  <c r="R5" i="97"/>
  <c r="L19" i="97"/>
  <c r="K9" i="97"/>
  <c r="K5" i="97"/>
  <c r="K8" i="97"/>
  <c r="K7" i="97"/>
  <c r="K6" i="97"/>
  <c r="R8" i="97"/>
  <c r="R7" i="97"/>
  <c r="C137" i="3" a="1"/>
  <c r="C137" i="3" s="1"/>
  <c r="D137" i="3" a="1"/>
  <c r="D137" i="3" s="1"/>
  <c r="G137" i="3" s="1"/>
  <c r="M137" i="3"/>
  <c r="F124" i="3"/>
  <c r="C126" i="3" a="1"/>
  <c r="C126" i="3" s="1"/>
  <c r="D126" i="3" a="1"/>
  <c r="D126" i="3" s="1"/>
  <c r="G126" i="3" s="1"/>
  <c r="M126" i="3"/>
  <c r="F127" i="3"/>
  <c r="M116" i="3"/>
  <c r="M115" i="3"/>
  <c r="D116" i="3"/>
  <c r="G116" i="3" s="1"/>
  <c r="C115" i="3" a="1"/>
  <c r="C115" i="3" s="1"/>
  <c r="G115" i="3" s="1"/>
  <c r="C116" i="3" a="1"/>
  <c r="C116" i="3" s="1"/>
  <c r="M122" i="3"/>
  <c r="M119" i="3"/>
  <c r="D60" i="3" a="1"/>
  <c r="D60" i="3" s="1"/>
  <c r="C60" i="3" a="1"/>
  <c r="C60" i="3" s="1"/>
  <c r="G76" i="3"/>
  <c r="M110" i="3"/>
  <c r="M109" i="3"/>
  <c r="M108" i="3"/>
  <c r="M105" i="3"/>
  <c r="F102" i="3"/>
  <c r="M96" i="3"/>
  <c r="E101" i="3"/>
  <c r="D101" i="3" a="1"/>
  <c r="D101" i="3" s="1"/>
  <c r="C101" i="3" a="1"/>
  <c r="C101" i="3" s="1"/>
  <c r="D100" i="3" a="1"/>
  <c r="D100" i="3" s="1"/>
  <c r="C100" i="3" a="1"/>
  <c r="C100" i="3" s="1"/>
  <c r="E99" i="3"/>
  <c r="D99" i="3" a="1"/>
  <c r="D99" i="3" s="1"/>
  <c r="C99" i="3" a="1"/>
  <c r="C99" i="3" s="1"/>
  <c r="D98" i="3" a="1"/>
  <c r="D98" i="3" s="1"/>
  <c r="C98" i="3" a="1"/>
  <c r="C98" i="3" s="1"/>
  <c r="M94" i="3"/>
  <c r="M93" i="3"/>
  <c r="M92" i="3"/>
  <c r="C75" i="3" a="1"/>
  <c r="C75" i="3" s="1"/>
  <c r="D75" i="3" a="1"/>
  <c r="D75" i="3" s="1"/>
  <c r="E75" i="3" s="1"/>
  <c r="K86" i="3"/>
  <c r="K82" i="3"/>
  <c r="C78" i="3" a="1"/>
  <c r="C78" i="3" s="1"/>
  <c r="D78" i="3" a="1"/>
  <c r="D78" i="3" s="1"/>
  <c r="C79" i="3" a="1"/>
  <c r="C79" i="3" s="1"/>
  <c r="D79" i="3" a="1"/>
  <c r="D79" i="3" s="1"/>
  <c r="C49" i="3" a="1"/>
  <c r="C49" i="3" s="1"/>
  <c r="D49" i="3" a="1"/>
  <c r="D49" i="3" s="1"/>
  <c r="M49" i="3"/>
  <c r="C50" i="3" a="1"/>
  <c r="C50" i="3" s="1"/>
  <c r="D50" i="3" a="1"/>
  <c r="D50" i="3" s="1"/>
  <c r="M50" i="3"/>
  <c r="F51" i="3"/>
  <c r="C37" i="3" a="1"/>
  <c r="C37" i="3" s="1"/>
  <c r="D37" i="3" a="1"/>
  <c r="D37" i="3" s="1"/>
  <c r="G37" i="3" s="1"/>
  <c r="E50" i="3" l="1"/>
  <c r="H50" i="3" s="1"/>
  <c r="J50" i="3" s="1"/>
  <c r="N50" i="3" s="1"/>
  <c r="G50" i="3"/>
  <c r="I50" i="3" s="1"/>
  <c r="D48" i="3"/>
  <c r="G48" i="3" s="1"/>
  <c r="G49" i="3"/>
  <c r="G154" i="3"/>
  <c r="G60" i="3"/>
  <c r="G101" i="3"/>
  <c r="G100" i="3"/>
  <c r="G99" i="3"/>
  <c r="G98" i="3"/>
  <c r="L18" i="97"/>
  <c r="S49" i="97"/>
  <c r="S43" i="97"/>
  <c r="F25" i="3"/>
  <c r="F19" i="3"/>
  <c r="F8" i="3"/>
  <c r="E5" i="3"/>
  <c r="M111" i="3"/>
  <c r="M123" i="3"/>
  <c r="M125" i="3"/>
  <c r="M130" i="3"/>
  <c r="M131" i="3"/>
  <c r="M135" i="3"/>
  <c r="M136" i="3"/>
  <c r="M139" i="3"/>
  <c r="M140" i="3"/>
  <c r="M141" i="3"/>
  <c r="M143" i="3"/>
  <c r="M144" i="3"/>
  <c r="M145" i="3"/>
  <c r="M149" i="3"/>
  <c r="M151" i="3"/>
  <c r="M157" i="3"/>
  <c r="M158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D4" i="3" a="1"/>
  <c r="D4" i="3" s="1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 s="1"/>
  <c r="D30" i="3" a="1"/>
  <c r="D30" i="3" s="1"/>
  <c r="D31" i="3" a="1"/>
  <c r="D31" i="3" s="1"/>
  <c r="D32" i="3" a="1"/>
  <c r="D32" i="3" s="1"/>
  <c r="F32" i="3" s="1"/>
  <c r="D33" i="3" a="1"/>
  <c r="D33" i="3" s="1"/>
  <c r="D34" i="3" a="1"/>
  <c r="D34" i="3" s="1"/>
  <c r="D35" i="3" a="1"/>
  <c r="D35" i="3" s="1"/>
  <c r="D36" i="3" a="1"/>
  <c r="D36" i="3" s="1"/>
  <c r="D38" i="3" a="1"/>
  <c r="D38" i="3" s="1"/>
  <c r="D39" i="3" a="1"/>
  <c r="D39" i="3" s="1"/>
  <c r="D40" i="3" a="1"/>
  <c r="D40" i="3" s="1"/>
  <c r="D41" i="3" a="1"/>
  <c r="D41" i="3" s="1"/>
  <c r="D42" i="3" a="1"/>
  <c r="D42" i="3" s="1"/>
  <c r="D43" i="3" a="1"/>
  <c r="D43" i="3" s="1"/>
  <c r="D44" i="3" a="1"/>
  <c r="D44" i="3" s="1"/>
  <c r="D45" i="3" a="1"/>
  <c r="D45" i="3" s="1"/>
  <c r="D46" i="3" a="1"/>
  <c r="D46" i="3" s="1"/>
  <c r="D47" i="3" a="1"/>
  <c r="D47" i="3" s="1"/>
  <c r="D51" i="3" a="1"/>
  <c r="D51" i="3" s="1"/>
  <c r="D52" i="3" a="1"/>
  <c r="D52" i="3" s="1"/>
  <c r="D53" i="3" a="1"/>
  <c r="D53" i="3" s="1"/>
  <c r="D54" i="3" a="1"/>
  <c r="D54" i="3" s="1"/>
  <c r="E54" i="3" s="1"/>
  <c r="D55" i="3" a="1"/>
  <c r="D55" i="3" s="1"/>
  <c r="D56" i="3" a="1"/>
  <c r="D56" i="3" s="1"/>
  <c r="D57" i="3" a="1"/>
  <c r="D57" i="3" s="1"/>
  <c r="D59" i="3" a="1"/>
  <c r="D59" i="3" s="1"/>
  <c r="D61" i="3" a="1"/>
  <c r="D61" i="3" s="1"/>
  <c r="D62" i="3" a="1"/>
  <c r="D62" i="3" s="1"/>
  <c r="D63" i="3" a="1"/>
  <c r="D63" i="3" s="1"/>
  <c r="D64" i="3" a="1"/>
  <c r="D64" i="3" s="1"/>
  <c r="D65" i="3" a="1"/>
  <c r="D65" i="3" s="1"/>
  <c r="D67" i="3" a="1"/>
  <c r="D67" i="3" s="1"/>
  <c r="D68" i="3" a="1"/>
  <c r="D68" i="3" s="1"/>
  <c r="D69" i="3" a="1"/>
  <c r="D69" i="3" s="1"/>
  <c r="F69" i="3" s="1"/>
  <c r="D70" i="3" a="1"/>
  <c r="D70" i="3" s="1"/>
  <c r="D71" i="3" a="1"/>
  <c r="D71" i="3" s="1"/>
  <c r="D72" i="3" a="1"/>
  <c r="D72" i="3" s="1"/>
  <c r="E72" i="3" s="1"/>
  <c r="D73" i="3" a="1"/>
  <c r="D73" i="3" s="1"/>
  <c r="D74" i="3" a="1"/>
  <c r="D74" i="3" s="1"/>
  <c r="D77" i="3" a="1"/>
  <c r="D77" i="3" s="1"/>
  <c r="D80" i="3" a="1"/>
  <c r="D80" i="3" s="1"/>
  <c r="D81" i="3" a="1"/>
  <c r="D81" i="3" s="1"/>
  <c r="D82" i="3" a="1"/>
  <c r="D82" i="3" s="1"/>
  <c r="D83" i="3" a="1"/>
  <c r="D83" i="3" s="1"/>
  <c r="D84" i="3" a="1"/>
  <c r="D84" i="3" s="1"/>
  <c r="D85" i="3" a="1"/>
  <c r="D85" i="3" s="1"/>
  <c r="D86" i="3" a="1"/>
  <c r="D86" i="3" s="1"/>
  <c r="D87" i="3" a="1"/>
  <c r="D87" i="3" s="1"/>
  <c r="D88" i="3" a="1"/>
  <c r="D88" i="3" s="1"/>
  <c r="D89" i="3" a="1"/>
  <c r="D89" i="3" s="1"/>
  <c r="D90" i="3" a="1"/>
  <c r="D90" i="3" s="1"/>
  <c r="D91" i="3" a="1"/>
  <c r="D91" i="3" s="1"/>
  <c r="D92" i="3" a="1"/>
  <c r="D92" i="3" s="1"/>
  <c r="D93" i="3" a="1"/>
  <c r="D93" i="3" s="1"/>
  <c r="D94" i="3" a="1"/>
  <c r="D94" i="3" s="1"/>
  <c r="D95" i="3" a="1"/>
  <c r="D95" i="3" s="1"/>
  <c r="D96" i="3" a="1"/>
  <c r="D96" i="3" s="1"/>
  <c r="D97" i="3" a="1"/>
  <c r="D97" i="3" s="1"/>
  <c r="D102" i="3" a="1"/>
  <c r="D102" i="3" s="1"/>
  <c r="D103" i="3" a="1"/>
  <c r="D103" i="3" s="1"/>
  <c r="D104" i="3" a="1"/>
  <c r="D104" i="3" s="1"/>
  <c r="D105" i="3" a="1"/>
  <c r="D105" i="3" s="1"/>
  <c r="D106" i="3" a="1"/>
  <c r="D106" i="3" s="1"/>
  <c r="D107" i="3" a="1"/>
  <c r="D107" i="3" s="1"/>
  <c r="D108" i="3" a="1"/>
  <c r="D108" i="3" s="1"/>
  <c r="D109" i="3" a="1"/>
  <c r="D109" i="3" s="1"/>
  <c r="D110" i="3" a="1"/>
  <c r="D110" i="3" s="1"/>
  <c r="D111" i="3" a="1"/>
  <c r="D111" i="3" s="1"/>
  <c r="D112" i="3" a="1"/>
  <c r="D112" i="3" s="1"/>
  <c r="D113" i="3" a="1"/>
  <c r="D113" i="3" s="1"/>
  <c r="D114" i="3" a="1"/>
  <c r="D114" i="3" s="1"/>
  <c r="D117" i="3" a="1"/>
  <c r="D117" i="3" s="1"/>
  <c r="D118" i="3" a="1"/>
  <c r="D118" i="3" s="1"/>
  <c r="D119" i="3" a="1"/>
  <c r="D119" i="3" s="1"/>
  <c r="D120" i="3" a="1"/>
  <c r="D120" i="3" s="1"/>
  <c r="D121" i="3" a="1"/>
  <c r="D121" i="3" s="1"/>
  <c r="D122" i="3" a="1"/>
  <c r="D122" i="3" s="1"/>
  <c r="D123" i="3" a="1"/>
  <c r="D123" i="3" s="1"/>
  <c r="D125" i="3" a="1"/>
  <c r="D125" i="3" s="1"/>
  <c r="D124" i="3" s="1"/>
  <c r="D127" i="3" a="1"/>
  <c r="D127" i="3" s="1"/>
  <c r="D128" i="3" a="1"/>
  <c r="D128" i="3" s="1"/>
  <c r="D129" i="3" a="1"/>
  <c r="D129" i="3" s="1"/>
  <c r="D130" i="3" a="1"/>
  <c r="D130" i="3" s="1"/>
  <c r="D131" i="3" a="1"/>
  <c r="D131" i="3" s="1"/>
  <c r="D132" i="3" a="1"/>
  <c r="D132" i="3" s="1"/>
  <c r="D133" i="3" a="1"/>
  <c r="D133" i="3" s="1"/>
  <c r="D134" i="3" a="1"/>
  <c r="D134" i="3" s="1"/>
  <c r="D135" i="3" a="1"/>
  <c r="D135" i="3" s="1"/>
  <c r="D136" i="3" a="1"/>
  <c r="D136" i="3" s="1"/>
  <c r="D138" i="3" a="1"/>
  <c r="D138" i="3" s="1"/>
  <c r="D139" i="3" a="1"/>
  <c r="D139" i="3" s="1"/>
  <c r="D140" i="3" a="1"/>
  <c r="D140" i="3" s="1"/>
  <c r="D141" i="3" a="1"/>
  <c r="D141" i="3" s="1"/>
  <c r="D142" i="3" a="1"/>
  <c r="D142" i="3" s="1"/>
  <c r="D143" i="3" a="1"/>
  <c r="D143" i="3" s="1"/>
  <c r="D144" i="3" a="1"/>
  <c r="D144" i="3" s="1"/>
  <c r="D145" i="3" a="1"/>
  <c r="D145" i="3" s="1"/>
  <c r="D147" i="3" a="1"/>
  <c r="D147" i="3" s="1"/>
  <c r="D148" i="3" a="1"/>
  <c r="D148" i="3" s="1"/>
  <c r="D149" i="3" a="1"/>
  <c r="D149" i="3" s="1"/>
  <c r="D150" i="3" a="1"/>
  <c r="D150" i="3" s="1"/>
  <c r="D151" i="3" a="1"/>
  <c r="D151" i="3" s="1"/>
  <c r="D155" i="3" a="1"/>
  <c r="D155" i="3" s="1"/>
  <c r="D156" i="3" a="1"/>
  <c r="D156" i="3" s="1"/>
  <c r="D157" i="3" a="1"/>
  <c r="D157" i="3" s="1"/>
  <c r="D158" i="3" a="1"/>
  <c r="D158" i="3" s="1"/>
  <c r="D159" i="3" a="1"/>
  <c r="D159" i="3" s="1"/>
  <c r="D160" i="3" a="1"/>
  <c r="D160" i="3" s="1"/>
  <c r="D161" i="3" a="1"/>
  <c r="D161" i="3" s="1"/>
  <c r="D162" i="3" a="1"/>
  <c r="D162" i="3" s="1"/>
  <c r="D163" i="3" a="1"/>
  <c r="D163" i="3" s="1"/>
  <c r="D164" i="3" a="1"/>
  <c r="D164" i="3" s="1"/>
  <c r="D165" i="3" a="1"/>
  <c r="D165" i="3" s="1"/>
  <c r="D166" i="3" a="1"/>
  <c r="D166" i="3" s="1"/>
  <c r="D167" i="3" a="1"/>
  <c r="D167" i="3" s="1"/>
  <c r="D168" i="3" a="1"/>
  <c r="D168" i="3" s="1"/>
  <c r="D169" i="3" a="1"/>
  <c r="D169" i="3" s="1"/>
  <c r="D170" i="3" a="1"/>
  <c r="D170" i="3" s="1"/>
  <c r="D171" i="3" a="1"/>
  <c r="D171" i="3" s="1"/>
  <c r="D172" i="3" a="1"/>
  <c r="D172" i="3" s="1"/>
  <c r="D173" i="3" a="1"/>
  <c r="D173" i="3" s="1"/>
  <c r="D174" i="3" a="1"/>
  <c r="D174" i="3" s="1"/>
  <c r="D175" i="3" a="1"/>
  <c r="D175" i="3" s="1"/>
  <c r="D176" i="3" a="1"/>
  <c r="D176" i="3" s="1"/>
  <c r="D177" i="3" a="1"/>
  <c r="D177" i="3" s="1"/>
  <c r="D178" i="3" a="1"/>
  <c r="D178" i="3" s="1"/>
  <c r="D179" i="3" a="1"/>
  <c r="D179" i="3" s="1"/>
  <c r="D180" i="3" a="1"/>
  <c r="D180" i="3" s="1"/>
  <c r="D181" i="3" a="1"/>
  <c r="D181" i="3" s="1"/>
  <c r="D182" i="3" a="1"/>
  <c r="D182" i="3" s="1"/>
  <c r="D183" i="3" a="1"/>
  <c r="D183" i="3" s="1"/>
  <c r="D184" i="3" a="1"/>
  <c r="D184" i="3" s="1"/>
  <c r="D185" i="3" a="1"/>
  <c r="D185" i="3" s="1"/>
  <c r="D186" i="3" a="1"/>
  <c r="D186" i="3" s="1"/>
  <c r="D187" i="3" a="1"/>
  <c r="D187" i="3" s="1"/>
  <c r="D188" i="3" a="1"/>
  <c r="D188" i="3" s="1"/>
  <c r="D189" i="3" a="1"/>
  <c r="D189" i="3" s="1"/>
  <c r="D190" i="3" a="1"/>
  <c r="D190" i="3" s="1"/>
  <c r="D191" i="3" a="1"/>
  <c r="D191" i="3" s="1"/>
  <c r="D192" i="3" a="1"/>
  <c r="D192" i="3" s="1"/>
  <c r="D193" i="3" a="1"/>
  <c r="D193" i="3" s="1"/>
  <c r="D194" i="3" a="1"/>
  <c r="D194" i="3" s="1"/>
  <c r="D195" i="3" a="1"/>
  <c r="D195" i="3" s="1"/>
  <c r="D196" i="3" a="1"/>
  <c r="D196" i="3" s="1"/>
  <c r="D197" i="3" a="1"/>
  <c r="D197" i="3" s="1"/>
  <c r="D198" i="3" a="1"/>
  <c r="D198" i="3" s="1"/>
  <c r="D199" i="3" a="1"/>
  <c r="D199" i="3" s="1"/>
  <c r="D200" i="3" a="1"/>
  <c r="D200" i="3" s="1"/>
  <c r="D201" i="3" a="1"/>
  <c r="D201" i="3" s="1"/>
  <c r="D202" i="3" a="1"/>
  <c r="D202" i="3" s="1"/>
  <c r="D203" i="3" a="1"/>
  <c r="D203" i="3" s="1"/>
  <c r="D204" i="3" a="1"/>
  <c r="D204" i="3" s="1"/>
  <c r="D205" i="3" a="1"/>
  <c r="D205" i="3" s="1"/>
  <c r="D206" i="3" a="1"/>
  <c r="D206" i="3" s="1"/>
  <c r="D207" i="3" a="1"/>
  <c r="D207" i="3" s="1"/>
  <c r="D208" i="3" a="1"/>
  <c r="D208" i="3" s="1"/>
  <c r="D209" i="3" a="1"/>
  <c r="D209" i="3" s="1"/>
  <c r="D210" i="3" a="1"/>
  <c r="D210" i="3"/>
  <c r="D211" i="3" a="1"/>
  <c r="D211" i="3" s="1"/>
  <c r="D212" i="3" a="1"/>
  <c r="D212" i="3" s="1"/>
  <c r="D213" i="3" a="1"/>
  <c r="D213" i="3" s="1"/>
  <c r="D214" i="3" a="1"/>
  <c r="D214" i="3" s="1"/>
  <c r="D215" i="3" a="1"/>
  <c r="D215" i="3" s="1"/>
  <c r="D216" i="3" a="1"/>
  <c r="D216" i="3" s="1"/>
  <c r="D217" i="3" a="1"/>
  <c r="D217" i="3" s="1"/>
  <c r="D218" i="3" a="1"/>
  <c r="D218" i="3" s="1"/>
  <c r="D219" i="3" a="1"/>
  <c r="D219" i="3" s="1"/>
  <c r="D220" i="3" a="1"/>
  <c r="D220" i="3" s="1"/>
  <c r="D221" i="3" a="1"/>
  <c r="D221" i="3" s="1"/>
  <c r="D222" i="3" a="1"/>
  <c r="D222" i="3" s="1"/>
  <c r="D223" i="3" a="1"/>
  <c r="D223" i="3" s="1"/>
  <c r="D224" i="3" a="1"/>
  <c r="D224" i="3" s="1"/>
  <c r="D225" i="3" a="1"/>
  <c r="D225" i="3" s="1"/>
  <c r="D226" i="3" a="1"/>
  <c r="D226" i="3" s="1"/>
  <c r="D227" i="3" a="1"/>
  <c r="D227" i="3" s="1"/>
  <c r="D228" i="3" a="1"/>
  <c r="D228" i="3" s="1"/>
  <c r="D229" i="3" a="1"/>
  <c r="D229" i="3" s="1"/>
  <c r="D230" i="3" a="1"/>
  <c r="D230" i="3" s="1"/>
  <c r="D231" i="3" a="1"/>
  <c r="D231" i="3" s="1"/>
  <c r="D232" i="3" a="1"/>
  <c r="D232" i="3" s="1"/>
  <c r="D233" i="3" a="1"/>
  <c r="D233" i="3" s="1"/>
  <c r="D234" i="3" a="1"/>
  <c r="D234" i="3" s="1"/>
  <c r="D235" i="3" a="1"/>
  <c r="D235" i="3" s="1"/>
  <c r="D236" i="3" a="1"/>
  <c r="D236" i="3" s="1"/>
  <c r="D237" i="3" a="1"/>
  <c r="D237" i="3" s="1"/>
  <c r="D238" i="3" a="1"/>
  <c r="D238" i="3" s="1"/>
  <c r="D239" i="3" a="1"/>
  <c r="D239" i="3" s="1"/>
  <c r="D240" i="3" a="1"/>
  <c r="D240" i="3"/>
  <c r="D241" i="3" a="1"/>
  <c r="D241" i="3" s="1"/>
  <c r="D242" i="3" a="1"/>
  <c r="D242" i="3" s="1"/>
  <c r="D243" i="3" a="1"/>
  <c r="D243" i="3" s="1"/>
  <c r="D244" i="3" a="1"/>
  <c r="D244" i="3" s="1"/>
  <c r="D245" i="3" a="1"/>
  <c r="D245" i="3" s="1"/>
  <c r="D246" i="3" a="1"/>
  <c r="D246" i="3" s="1"/>
  <c r="D247" i="3" a="1"/>
  <c r="D247" i="3" s="1"/>
  <c r="D248" i="3" a="1"/>
  <c r="D248" i="3" s="1"/>
  <c r="D249" i="3" a="1"/>
  <c r="D249" i="3" s="1"/>
  <c r="D250" i="3" a="1"/>
  <c r="D250" i="3" s="1"/>
  <c r="D251" i="3" a="1"/>
  <c r="D251" i="3" s="1"/>
  <c r="D252" i="3" a="1"/>
  <c r="D252" i="3" s="1"/>
  <c r="D253" i="3" a="1"/>
  <c r="D253" i="3" s="1"/>
  <c r="D254" i="3" a="1"/>
  <c r="D254" i="3"/>
  <c r="D255" i="3" a="1"/>
  <c r="D255" i="3" s="1"/>
  <c r="D256" i="3" a="1"/>
  <c r="D256" i="3" s="1"/>
  <c r="D257" i="3" a="1"/>
  <c r="D257" i="3" s="1"/>
  <c r="D258" i="3" a="1"/>
  <c r="D258" i="3" s="1"/>
  <c r="D259" i="3" a="1"/>
  <c r="D259" i="3" s="1"/>
  <c r="D260" i="3" a="1"/>
  <c r="D260" i="3" s="1"/>
  <c r="D261" i="3" a="1"/>
  <c r="D261" i="3" s="1"/>
  <c r="D262" i="3" a="1"/>
  <c r="D262" i="3" s="1"/>
  <c r="D263" i="3" a="1"/>
  <c r="D263" i="3" s="1"/>
  <c r="D264" i="3" a="1"/>
  <c r="D264" i="3" s="1"/>
  <c r="D265" i="3" a="1"/>
  <c r="D265" i="3" s="1"/>
  <c r="D266" i="3" a="1"/>
  <c r="D266" i="3" s="1"/>
  <c r="D267" i="3" a="1"/>
  <c r="D267" i="3" s="1"/>
  <c r="D268" i="3" a="1"/>
  <c r="D268" i="3" s="1"/>
  <c r="D269" i="3" a="1"/>
  <c r="D269" i="3" s="1"/>
  <c r="D270" i="3" a="1"/>
  <c r="D270" i="3" s="1"/>
  <c r="D271" i="3" a="1"/>
  <c r="D271" i="3" s="1"/>
  <c r="D272" i="3" a="1"/>
  <c r="D272" i="3" s="1"/>
  <c r="D273" i="3" a="1"/>
  <c r="D273" i="3" s="1"/>
  <c r="D274" i="3" a="1"/>
  <c r="D274" i="3" s="1"/>
  <c r="D275" i="3" a="1"/>
  <c r="D275" i="3" s="1"/>
  <c r="D276" i="3" a="1"/>
  <c r="D276" i="3" s="1"/>
  <c r="D277" i="3" a="1"/>
  <c r="D277" i="3" s="1"/>
  <c r="D278" i="3" a="1"/>
  <c r="D278" i="3" s="1"/>
  <c r="D279" i="3" a="1"/>
  <c r="D279" i="3" s="1"/>
  <c r="D280" i="3" a="1"/>
  <c r="D280" i="3" s="1"/>
  <c r="D281" i="3" a="1"/>
  <c r="D281" i="3" s="1"/>
  <c r="D282" i="3" a="1"/>
  <c r="D282" i="3" s="1"/>
  <c r="D283" i="3" a="1"/>
  <c r="D283" i="3" s="1"/>
  <c r="D284" i="3" a="1"/>
  <c r="D284" i="3" s="1"/>
  <c r="D285" i="3" a="1"/>
  <c r="D285" i="3" s="1"/>
  <c r="D286" i="3" a="1"/>
  <c r="D286" i="3" s="1"/>
  <c r="D287" i="3" a="1"/>
  <c r="D287" i="3" s="1"/>
  <c r="D288" i="3" a="1"/>
  <c r="D288" i="3" s="1"/>
  <c r="D289" i="3" a="1"/>
  <c r="D289" i="3" s="1"/>
  <c r="D290" i="3" a="1"/>
  <c r="D290" i="3" s="1"/>
  <c r="D291" i="3" a="1"/>
  <c r="D291" i="3" s="1"/>
  <c r="D292" i="3" a="1"/>
  <c r="D292" i="3" s="1"/>
  <c r="D293" i="3" a="1"/>
  <c r="D293" i="3" s="1"/>
  <c r="D294" i="3" a="1"/>
  <c r="D294" i="3" s="1"/>
  <c r="D295" i="3" a="1"/>
  <c r="D295" i="3" s="1"/>
  <c r="D296" i="3" a="1"/>
  <c r="D296" i="3" s="1"/>
  <c r="D297" i="3" a="1"/>
  <c r="D297" i="3" s="1"/>
  <c r="D298" i="3" a="1"/>
  <c r="D298" i="3" s="1"/>
  <c r="D299" i="3" a="1"/>
  <c r="D299" i="3" s="1"/>
  <c r="D300" i="3" a="1"/>
  <c r="D300" i="3" s="1"/>
  <c r="D301" i="3" a="1"/>
  <c r="D301" i="3" s="1"/>
  <c r="D302" i="3" a="1"/>
  <c r="D302" i="3" s="1"/>
  <c r="D303" i="3" a="1"/>
  <c r="D303" i="3" s="1"/>
  <c r="D304" i="3" a="1"/>
  <c r="D304" i="3" s="1"/>
  <c r="D305" i="3" a="1"/>
  <c r="D305" i="3" s="1"/>
  <c r="D306" i="3" a="1"/>
  <c r="D306" i="3" s="1"/>
  <c r="D307" i="3" a="1"/>
  <c r="D307" i="3" s="1"/>
  <c r="D308" i="3" a="1"/>
  <c r="D308" i="3" s="1"/>
  <c r="D309" i="3" a="1"/>
  <c r="D309" i="3" s="1"/>
  <c r="D310" i="3" a="1"/>
  <c r="D310" i="3" s="1"/>
  <c r="D311" i="3" a="1"/>
  <c r="D311" i="3" s="1"/>
  <c r="D312" i="3" a="1"/>
  <c r="D312" i="3" s="1"/>
  <c r="D313" i="3" a="1"/>
  <c r="D313" i="3" s="1"/>
  <c r="D314" i="3" a="1"/>
  <c r="D314" i="3" s="1"/>
  <c r="D315" i="3" a="1"/>
  <c r="D315" i="3" s="1"/>
  <c r="D316" i="3" a="1"/>
  <c r="D316" i="3" s="1"/>
  <c r="D317" i="3" a="1"/>
  <c r="D317" i="3" s="1"/>
  <c r="D318" i="3" a="1"/>
  <c r="D318" i="3" s="1"/>
  <c r="D319" i="3" a="1"/>
  <c r="D319" i="3" s="1"/>
  <c r="D320" i="3" a="1"/>
  <c r="D320" i="3" s="1"/>
  <c r="D321" i="3" a="1"/>
  <c r="D321" i="3" s="1"/>
  <c r="D322" i="3" a="1"/>
  <c r="D322" i="3" s="1"/>
  <c r="D323" i="3" a="1"/>
  <c r="D323" i="3" s="1"/>
  <c r="D324" i="3" a="1"/>
  <c r="D324" i="3" s="1"/>
  <c r="D325" i="3" a="1"/>
  <c r="D325" i="3" s="1"/>
  <c r="D326" i="3" a="1"/>
  <c r="D326" i="3" s="1"/>
  <c r="D327" i="3" a="1"/>
  <c r="D327" i="3" s="1"/>
  <c r="D328" i="3" a="1"/>
  <c r="D328" i="3" s="1"/>
  <c r="D329" i="3" a="1"/>
  <c r="D329" i="3" s="1"/>
  <c r="D330" i="3" a="1"/>
  <c r="D330" i="3" s="1"/>
  <c r="D331" i="3" a="1"/>
  <c r="D331" i="3" s="1"/>
  <c r="D332" i="3" a="1"/>
  <c r="D332" i="3" s="1"/>
  <c r="D333" i="3" a="1"/>
  <c r="D333" i="3" s="1"/>
  <c r="D334" i="3" a="1"/>
  <c r="D334" i="3" s="1"/>
  <c r="D335" i="3" a="1"/>
  <c r="D335" i="3" s="1"/>
  <c r="D336" i="3" a="1"/>
  <c r="D336" i="3" s="1"/>
  <c r="D337" i="3" a="1"/>
  <c r="D337" i="3" s="1"/>
  <c r="D338" i="3" a="1"/>
  <c r="D338" i="3" s="1"/>
  <c r="D339" i="3" a="1"/>
  <c r="D339" i="3" s="1"/>
  <c r="D340" i="3" a="1"/>
  <c r="D340" i="3" s="1"/>
  <c r="D341" i="3" a="1"/>
  <c r="D341" i="3" s="1"/>
  <c r="D342" i="3" a="1"/>
  <c r="D342" i="3" s="1"/>
  <c r="D343" i="3" a="1"/>
  <c r="D343" i="3" s="1"/>
  <c r="D344" i="3" a="1"/>
  <c r="D344" i="3" s="1"/>
  <c r="D345" i="3" a="1"/>
  <c r="D345" i="3" s="1"/>
  <c r="D346" i="3" a="1"/>
  <c r="D346" i="3" s="1"/>
  <c r="D347" i="3" a="1"/>
  <c r="D347" i="3" s="1"/>
  <c r="D348" i="3" a="1"/>
  <c r="D348" i="3" s="1"/>
  <c r="D349" i="3" a="1"/>
  <c r="D349" i="3" s="1"/>
  <c r="D350" i="3" a="1"/>
  <c r="D350" i="3" s="1"/>
  <c r="D351" i="3" a="1"/>
  <c r="D351" i="3" s="1"/>
  <c r="D352" i="3" a="1"/>
  <c r="D352" i="3" s="1"/>
  <c r="D353" i="3" a="1"/>
  <c r="D353" i="3" s="1"/>
  <c r="D354" i="3" a="1"/>
  <c r="D354" i="3" s="1"/>
  <c r="D355" i="3" a="1"/>
  <c r="D355" i="3" s="1"/>
  <c r="D356" i="3" a="1"/>
  <c r="D356" i="3" s="1"/>
  <c r="D357" i="3" a="1"/>
  <c r="D357" i="3" s="1"/>
  <c r="D358" i="3" a="1"/>
  <c r="D358" i="3" s="1"/>
  <c r="D359" i="3" a="1"/>
  <c r="D359" i="3" s="1"/>
  <c r="D360" i="3" a="1"/>
  <c r="D360" i="3" s="1"/>
  <c r="D361" i="3" a="1"/>
  <c r="D361" i="3" s="1"/>
  <c r="D362" i="3" a="1"/>
  <c r="D362" i="3" s="1"/>
  <c r="D363" i="3" a="1"/>
  <c r="D363" i="3" s="1"/>
  <c r="D364" i="3" a="1"/>
  <c r="D364" i="3" s="1"/>
  <c r="D365" i="3" a="1"/>
  <c r="D365" i="3" s="1"/>
  <c r="D366" i="3" a="1"/>
  <c r="D366" i="3" s="1"/>
  <c r="D367" i="3" a="1"/>
  <c r="D367" i="3" s="1"/>
  <c r="D368" i="3" a="1"/>
  <c r="D368" i="3" s="1"/>
  <c r="D369" i="3" a="1"/>
  <c r="D369" i="3" s="1"/>
  <c r="D370" i="3" a="1"/>
  <c r="D370" i="3" s="1"/>
  <c r="D371" i="3" a="1"/>
  <c r="D371" i="3" s="1"/>
  <c r="D372" i="3" a="1"/>
  <c r="D372" i="3" s="1"/>
  <c r="D373" i="3" a="1"/>
  <c r="D373" i="3" s="1"/>
  <c r="D374" i="3" a="1"/>
  <c r="D374" i="3" s="1"/>
  <c r="D375" i="3" a="1"/>
  <c r="D375" i="3" s="1"/>
  <c r="D376" i="3" a="1"/>
  <c r="D376" i="3" s="1"/>
  <c r="D377" i="3" a="1"/>
  <c r="D377" i="3" s="1"/>
  <c r="D378" i="3" a="1"/>
  <c r="D378" i="3" s="1"/>
  <c r="D379" i="3" a="1"/>
  <c r="D379" i="3" s="1"/>
  <c r="D380" i="3" a="1"/>
  <c r="D380" i="3" s="1"/>
  <c r="D381" i="3" a="1"/>
  <c r="D381" i="3" s="1"/>
  <c r="D382" i="3" a="1"/>
  <c r="D382" i="3" s="1"/>
  <c r="D383" i="3" a="1"/>
  <c r="D383" i="3" s="1"/>
  <c r="D384" i="3" a="1"/>
  <c r="D384" i="3" s="1"/>
  <c r="D385" i="3" a="1"/>
  <c r="D385" i="3" s="1"/>
  <c r="D386" i="3" a="1"/>
  <c r="D386" i="3" s="1"/>
  <c r="D387" i="3" a="1"/>
  <c r="D387" i="3" s="1"/>
  <c r="D388" i="3" a="1"/>
  <c r="D388" i="3" s="1"/>
  <c r="D389" i="3" a="1"/>
  <c r="D389" i="3" s="1"/>
  <c r="D390" i="3" a="1"/>
  <c r="D390" i="3" s="1"/>
  <c r="D391" i="3" a="1"/>
  <c r="D391" i="3" s="1"/>
  <c r="D392" i="3" a="1"/>
  <c r="D392" i="3" s="1"/>
  <c r="D393" i="3" a="1"/>
  <c r="D393" i="3" s="1"/>
  <c r="D394" i="3" a="1"/>
  <c r="D394" i="3" s="1"/>
  <c r="D395" i="3" a="1"/>
  <c r="D395" i="3" s="1"/>
  <c r="D396" i="3" a="1"/>
  <c r="D396" i="3" s="1"/>
  <c r="D397" i="3" a="1"/>
  <c r="D397" i="3" s="1"/>
  <c r="D398" i="3" a="1"/>
  <c r="D398" i="3" s="1"/>
  <c r="D399" i="3" a="1"/>
  <c r="D399" i="3" s="1"/>
  <c r="D400" i="3" a="1"/>
  <c r="D400" i="3" s="1"/>
  <c r="D401" i="3" a="1"/>
  <c r="D401" i="3" s="1"/>
  <c r="D402" i="3" a="1"/>
  <c r="D402" i="3" s="1"/>
  <c r="D403" i="3" a="1"/>
  <c r="D403" i="3" s="1"/>
  <c r="D404" i="3" a="1"/>
  <c r="D404" i="3" s="1"/>
  <c r="D405" i="3" a="1"/>
  <c r="D405" i="3" s="1"/>
  <c r="C4" i="3" a="1"/>
  <c r="C4" i="3" s="1"/>
  <c r="H4" i="3" s="1"/>
  <c r="J4" i="3" s="1"/>
  <c r="C5" i="3" a="1"/>
  <c r="C5" i="3" s="1"/>
  <c r="C6" i="3" a="1"/>
  <c r="C6" i="3" s="1"/>
  <c r="H6" i="3" s="1"/>
  <c r="J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9" i="3" a="1"/>
  <c r="C59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7" i="3" a="1"/>
  <c r="C77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5" i="3" a="1"/>
  <c r="C125" i="3" s="1"/>
  <c r="C127" i="3" a="1"/>
  <c r="C127" i="3" s="1"/>
  <c r="C128" i="3" a="1"/>
  <c r="C128" i="3" s="1"/>
  <c r="C129" i="3" a="1"/>
  <c r="C129" i="3" s="1"/>
  <c r="G129" i="3" s="1"/>
  <c r="C130" i="3" a="1"/>
  <c r="C130" i="3" s="1"/>
  <c r="C131" i="3" a="1"/>
  <c r="C131" i="3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G406" i="3" s="1"/>
  <c r="C407" i="3" a="1"/>
  <c r="C407" i="3" s="1"/>
  <c r="G407" i="3" s="1"/>
  <c r="C408" i="3" a="1"/>
  <c r="C408" i="3" s="1"/>
  <c r="G408" i="3" s="1"/>
  <c r="C409" i="3" a="1"/>
  <c r="C409" i="3" s="1"/>
  <c r="G409" i="3" s="1"/>
  <c r="C410" i="3" a="1"/>
  <c r="C410" i="3" s="1"/>
  <c r="G410" i="3" s="1"/>
  <c r="C411" i="3" a="1"/>
  <c r="C411" i="3" s="1"/>
  <c r="G411" i="3" s="1"/>
  <c r="C412" i="3" a="1"/>
  <c r="C412" i="3"/>
  <c r="G412" i="3" s="1"/>
  <c r="C413" i="3" a="1"/>
  <c r="C413" i="3" s="1"/>
  <c r="G413" i="3" s="1"/>
  <c r="C414" i="3" a="1"/>
  <c r="C414" i="3" s="1"/>
  <c r="G414" i="3" s="1"/>
  <c r="C415" i="3" a="1"/>
  <c r="C415" i="3" s="1"/>
  <c r="G415" i="3" s="1"/>
  <c r="C416" i="3" a="1"/>
  <c r="C416" i="3" s="1"/>
  <c r="G416" i="3" s="1"/>
  <c r="C417" i="3" a="1"/>
  <c r="C417" i="3" s="1"/>
  <c r="G417" i="3" s="1"/>
  <c r="C418" i="3" a="1"/>
  <c r="C418" i="3" s="1"/>
  <c r="G418" i="3" s="1"/>
  <c r="C419" i="3" a="1"/>
  <c r="C419" i="3" s="1"/>
  <c r="G419" i="3" s="1"/>
  <c r="C420" i="3" a="1"/>
  <c r="C420" i="3" s="1"/>
  <c r="C421" i="3" a="1"/>
  <c r="C421" i="3" s="1"/>
  <c r="C422" i="3" a="1"/>
  <c r="C422" i="3" s="1"/>
  <c r="G422" i="3" s="1"/>
  <c r="C423" i="3" a="1"/>
  <c r="C423" i="3" s="1"/>
  <c r="G423" i="3" s="1"/>
  <c r="C424" i="3" a="1"/>
  <c r="C424" i="3" s="1"/>
  <c r="C425" i="3" a="1"/>
  <c r="C425" i="3" s="1"/>
  <c r="G425" i="3" s="1"/>
  <c r="C426" i="3" a="1"/>
  <c r="C426" i="3" s="1"/>
  <c r="C427" i="3" a="1"/>
  <c r="C427" i="3" s="1"/>
  <c r="G427" i="3" s="1"/>
  <c r="C428" i="3" a="1"/>
  <c r="C428" i="3" s="1"/>
  <c r="G428" i="3" s="1"/>
  <c r="C429" i="3" a="1"/>
  <c r="C429" i="3" s="1"/>
  <c r="G429" i="3" s="1"/>
  <c r="C430" i="3" a="1"/>
  <c r="C430" i="3" s="1"/>
  <c r="G430" i="3" s="1"/>
  <c r="C431" i="3" a="1"/>
  <c r="C431" i="3" s="1"/>
  <c r="C432" i="3" a="1"/>
  <c r="C432" i="3" s="1"/>
  <c r="C433" i="3" a="1"/>
  <c r="C433" i="3" s="1"/>
  <c r="G433" i="3" s="1"/>
  <c r="C434" i="3" a="1"/>
  <c r="C434" i="3" s="1"/>
  <c r="G434" i="3" s="1"/>
  <c r="C435" i="3" a="1"/>
  <c r="C435" i="3" s="1"/>
  <c r="G435" i="3" s="1"/>
  <c r="C436" i="3" a="1"/>
  <c r="C436" i="3" s="1"/>
  <c r="G436" i="3" s="1"/>
  <c r="C437" i="3" a="1"/>
  <c r="C437" i="3" s="1"/>
  <c r="G437" i="3" s="1"/>
  <c r="C438" i="3" a="1"/>
  <c r="C438" i="3" s="1"/>
  <c r="G438" i="3" s="1"/>
  <c r="C439" i="3" a="1"/>
  <c r="C439" i="3" s="1"/>
  <c r="G439" i="3" s="1"/>
  <c r="C440" i="3" a="1"/>
  <c r="C440" i="3" s="1"/>
  <c r="G440" i="3" s="1"/>
  <c r="C441" i="3" a="1"/>
  <c r="C441" i="3" s="1"/>
  <c r="G441" i="3" s="1"/>
  <c r="C442" i="3" a="1"/>
  <c r="C442" i="3" s="1"/>
  <c r="G442" i="3" s="1"/>
  <c r="C443" i="3" a="1"/>
  <c r="C443" i="3" s="1"/>
  <c r="G443" i="3" s="1"/>
  <c r="C444" i="3" a="1"/>
  <c r="C444" i="3" s="1"/>
  <c r="G444" i="3" s="1"/>
  <c r="C445" i="3" a="1"/>
  <c r="C445" i="3" s="1"/>
  <c r="G445" i="3" s="1"/>
  <c r="C446" i="3" a="1"/>
  <c r="C446" i="3" s="1"/>
  <c r="G446" i="3" s="1"/>
  <c r="C447" i="3" a="1"/>
  <c r="C447" i="3" s="1"/>
  <c r="G447" i="3" s="1"/>
  <c r="C448" i="3" a="1"/>
  <c r="C448" i="3" s="1"/>
  <c r="G448" i="3" s="1"/>
  <c r="C449" i="3" a="1"/>
  <c r="C449" i="3" s="1"/>
  <c r="G449" i="3" s="1"/>
  <c r="C450" i="3" a="1"/>
  <c r="C450" i="3" s="1"/>
  <c r="C451" i="3" a="1"/>
  <c r="C451" i="3" s="1"/>
  <c r="G451" i="3" s="1"/>
  <c r="C452" i="3" a="1"/>
  <c r="C452" i="3" s="1"/>
  <c r="G452" i="3" s="1"/>
  <c r="C453" i="3" a="1"/>
  <c r="C453" i="3" s="1"/>
  <c r="G453" i="3" s="1"/>
  <c r="C454" i="3" a="1"/>
  <c r="C454" i="3" s="1"/>
  <c r="G454" i="3" s="1"/>
  <c r="C455" i="3" a="1"/>
  <c r="C455" i="3" s="1"/>
  <c r="G455" i="3" s="1"/>
  <c r="S17" i="97"/>
  <c r="D37" i="97"/>
  <c r="E37" i="97" s="1"/>
  <c r="D36" i="97"/>
  <c r="E36" i="97" s="1"/>
  <c r="D35" i="97"/>
  <c r="E35" i="97" s="1"/>
  <c r="K28" i="97"/>
  <c r="L28" i="97" s="1"/>
  <c r="E58" i="97"/>
  <c r="S14" i="97"/>
  <c r="U14" i="97" s="1"/>
  <c r="S15" i="97"/>
  <c r="U15" i="97" s="1"/>
  <c r="R16" i="97"/>
  <c r="S16" i="97" s="1"/>
  <c r="U16" i="97" s="1"/>
  <c r="R18" i="97"/>
  <c r="S18" i="97" s="1"/>
  <c r="U18" i="97" s="1"/>
  <c r="U19" i="97"/>
  <c r="S20" i="97"/>
  <c r="U20" i="97" s="1"/>
  <c r="S21" i="97"/>
  <c r="U21" i="97" s="1"/>
  <c r="R22" i="97"/>
  <c r="S22" i="97" s="1"/>
  <c r="U22" i="97" s="1"/>
  <c r="R23" i="97"/>
  <c r="S23" i="97" s="1"/>
  <c r="U23" i="97" s="1"/>
  <c r="R24" i="97"/>
  <c r="S24" i="97" s="1"/>
  <c r="U24" i="97" s="1"/>
  <c r="R25" i="97"/>
  <c r="S25" i="97" s="1"/>
  <c r="U25" i="97" s="1"/>
  <c r="R26" i="97"/>
  <c r="S26" i="97" s="1"/>
  <c r="U26" i="97" s="1"/>
  <c r="R27" i="97"/>
  <c r="S27" i="97" s="1"/>
  <c r="U27" i="97" s="1"/>
  <c r="R28" i="97"/>
  <c r="S28" i="97" s="1"/>
  <c r="U28" i="97" s="1"/>
  <c r="R29" i="97"/>
  <c r="S29" i="97" s="1"/>
  <c r="U29" i="97" s="1"/>
  <c r="R30" i="97"/>
  <c r="S30" i="97" s="1"/>
  <c r="U30" i="97" s="1"/>
  <c r="R31" i="97"/>
  <c r="S31" i="97" s="1"/>
  <c r="U31" i="97" s="1"/>
  <c r="S32" i="97"/>
  <c r="U32" i="97" s="1"/>
  <c r="S33" i="97"/>
  <c r="U33" i="97" s="1"/>
  <c r="U34" i="97"/>
  <c r="R35" i="97"/>
  <c r="S35" i="97" s="1"/>
  <c r="U35" i="97" s="1"/>
  <c r="R36" i="97"/>
  <c r="S36" i="97" s="1"/>
  <c r="U36" i="97" s="1"/>
  <c r="R37" i="97"/>
  <c r="S37" i="97" s="1"/>
  <c r="U37" i="97" s="1"/>
  <c r="R38" i="97"/>
  <c r="S38" i="97" s="1"/>
  <c r="U38" i="97" s="1"/>
  <c r="R39" i="97"/>
  <c r="S39" i="97" s="1"/>
  <c r="U39" i="97" s="1"/>
  <c r="R40" i="97"/>
  <c r="S40" i="97" s="1"/>
  <c r="U40" i="97" s="1"/>
  <c r="R41" i="97"/>
  <c r="S41" i="97" s="1"/>
  <c r="U41" i="97" s="1"/>
  <c r="R42" i="97"/>
  <c r="S42" i="97" s="1"/>
  <c r="U42" i="97" s="1"/>
  <c r="R44" i="97"/>
  <c r="S44" i="97" s="1"/>
  <c r="U44" i="97" s="1"/>
  <c r="S45" i="97"/>
  <c r="S46" i="97"/>
  <c r="S47" i="97"/>
  <c r="S48" i="97"/>
  <c r="R50" i="97"/>
  <c r="S50" i="97" s="1"/>
  <c r="U50" i="97" s="1"/>
  <c r="S51" i="97"/>
  <c r="U51" i="97" s="1"/>
  <c r="S52" i="97"/>
  <c r="U52" i="97" s="1"/>
  <c r="R53" i="97"/>
  <c r="S53" i="97" s="1"/>
  <c r="U53" i="97" s="1"/>
  <c r="R54" i="97"/>
  <c r="S54" i="97" s="1"/>
  <c r="U54" i="97" s="1"/>
  <c r="R55" i="97"/>
  <c r="S55" i="97" s="1"/>
  <c r="U55" i="97" s="1"/>
  <c r="R56" i="97"/>
  <c r="S56" i="97" s="1"/>
  <c r="U56" i="97" s="1"/>
  <c r="R57" i="97"/>
  <c r="S57" i="97" s="1"/>
  <c r="U57" i="97" s="1"/>
  <c r="R58" i="97"/>
  <c r="S58" i="97" s="1"/>
  <c r="U58" i="97" s="1"/>
  <c r="R59" i="97"/>
  <c r="S59" i="97" s="1"/>
  <c r="U59" i="97" s="1"/>
  <c r="R60" i="97"/>
  <c r="S60" i="97" s="1"/>
  <c r="U60" i="97" s="1"/>
  <c r="S61" i="97"/>
  <c r="U61" i="97" s="1"/>
  <c r="S62" i="97"/>
  <c r="U62" i="97" s="1"/>
  <c r="S63" i="97"/>
  <c r="U63" i="97" s="1"/>
  <c r="R64" i="97"/>
  <c r="S64" i="97" s="1"/>
  <c r="U64" i="97" s="1"/>
  <c r="S65" i="97"/>
  <c r="U65" i="97" s="1"/>
  <c r="R66" i="97"/>
  <c r="S66" i="97" s="1"/>
  <c r="U66" i="97" s="1"/>
  <c r="S67" i="97"/>
  <c r="U67" i="97" s="1"/>
  <c r="R68" i="97"/>
  <c r="S68" i="97" s="1"/>
  <c r="U68" i="97" s="1"/>
  <c r="R69" i="97"/>
  <c r="S69" i="97" s="1"/>
  <c r="U69" i="97" s="1"/>
  <c r="R70" i="97"/>
  <c r="S70" i="97" s="1"/>
  <c r="U70" i="97" s="1"/>
  <c r="R71" i="97"/>
  <c r="S71" i="97" s="1"/>
  <c r="U71" i="97" s="1"/>
  <c r="S72" i="97"/>
  <c r="U72" i="97" s="1"/>
  <c r="S73" i="97"/>
  <c r="U73" i="97" s="1"/>
  <c r="R74" i="97"/>
  <c r="S74" i="97" s="1"/>
  <c r="U74" i="97" s="1"/>
  <c r="R75" i="97"/>
  <c r="S75" i="97" s="1"/>
  <c r="U75" i="97" s="1"/>
  <c r="R76" i="97"/>
  <c r="S76" i="97" s="1"/>
  <c r="U76" i="97" s="1"/>
  <c r="R77" i="97"/>
  <c r="S77" i="97" s="1"/>
  <c r="U77" i="97" s="1"/>
  <c r="R78" i="97"/>
  <c r="S78" i="97" s="1"/>
  <c r="U78" i="97" s="1"/>
  <c r="S79" i="97"/>
  <c r="U79" i="97" s="1"/>
  <c r="R80" i="97"/>
  <c r="S80" i="97" s="1"/>
  <c r="U80" i="97" s="1"/>
  <c r="S81" i="97"/>
  <c r="U81" i="97" s="1"/>
  <c r="S82" i="97"/>
  <c r="U82" i="97" s="1"/>
  <c r="R83" i="97"/>
  <c r="S83" i="97" s="1"/>
  <c r="U83" i="97" s="1"/>
  <c r="R84" i="97"/>
  <c r="S84" i="97" s="1"/>
  <c r="U84" i="97" s="1"/>
  <c r="R85" i="97"/>
  <c r="S85" i="97" s="1"/>
  <c r="U85" i="97" s="1"/>
  <c r="R86" i="97"/>
  <c r="S86" i="97" s="1"/>
  <c r="U86" i="97" s="1"/>
  <c r="S87" i="97"/>
  <c r="U87" i="97" s="1"/>
  <c r="R13" i="97"/>
  <c r="S13" i="97" s="1"/>
  <c r="L14" i="97"/>
  <c r="L15" i="97"/>
  <c r="L16" i="97"/>
  <c r="L17" i="97"/>
  <c r="K20" i="97"/>
  <c r="L20" i="97" s="1"/>
  <c r="L21" i="97"/>
  <c r="L22" i="97"/>
  <c r="K23" i="97"/>
  <c r="L23" i="97" s="1"/>
  <c r="K24" i="97"/>
  <c r="L24" i="97" s="1"/>
  <c r="K25" i="97"/>
  <c r="L25" i="97" s="1"/>
  <c r="K26" i="97"/>
  <c r="L26" i="97" s="1"/>
  <c r="K27" i="97"/>
  <c r="L27" i="97" s="1"/>
  <c r="L29" i="97"/>
  <c r="L30" i="97"/>
  <c r="L31" i="97"/>
  <c r="L32" i="97"/>
  <c r="L33" i="97"/>
  <c r="K34" i="97"/>
  <c r="L34" i="97" s="1"/>
  <c r="K35" i="97"/>
  <c r="L35" i="97" s="1"/>
  <c r="K36" i="97"/>
  <c r="L36" i="97" s="1"/>
  <c r="K37" i="97"/>
  <c r="L37" i="97" s="1"/>
  <c r="K38" i="97"/>
  <c r="L38" i="97" s="1"/>
  <c r="L39" i="97"/>
  <c r="L40" i="97"/>
  <c r="L41" i="97"/>
  <c r="K42" i="97"/>
  <c r="L42" i="97" s="1"/>
  <c r="K43" i="97"/>
  <c r="L43" i="97" s="1"/>
  <c r="L44" i="97"/>
  <c r="L45" i="97"/>
  <c r="L46" i="97"/>
  <c r="K47" i="97"/>
  <c r="L47" i="97" s="1"/>
  <c r="K48" i="97"/>
  <c r="L48" i="97" s="1"/>
  <c r="L49" i="97"/>
  <c r="K50" i="97"/>
  <c r="L50" i="97" s="1"/>
  <c r="K51" i="97"/>
  <c r="L51" i="97" s="1"/>
  <c r="L52" i="97"/>
  <c r="L53" i="97"/>
  <c r="L54" i="97"/>
  <c r="L55" i="97"/>
  <c r="K56" i="97"/>
  <c r="L56" i="97" s="1"/>
  <c r="K58" i="97"/>
  <c r="L58" i="97" s="1"/>
  <c r="L59" i="97"/>
  <c r="L60" i="97"/>
  <c r="K61" i="97"/>
  <c r="L61" i="97" s="1"/>
  <c r="L62" i="97"/>
  <c r="L63" i="97"/>
  <c r="L64" i="97"/>
  <c r="L65" i="97"/>
  <c r="L13" i="97"/>
  <c r="E38" i="97"/>
  <c r="D39" i="97"/>
  <c r="E39" i="97" s="1"/>
  <c r="D40" i="97"/>
  <c r="E40" i="97" s="1"/>
  <c r="D41" i="97"/>
  <c r="E41" i="97" s="1"/>
  <c r="E42" i="97"/>
  <c r="D43" i="97"/>
  <c r="E43" i="97" s="1"/>
  <c r="D44" i="97"/>
  <c r="E44" i="97" s="1"/>
  <c r="D45" i="97"/>
  <c r="E45" i="97" s="1"/>
  <c r="D46" i="97"/>
  <c r="E46" i="97" s="1"/>
  <c r="D47" i="97"/>
  <c r="E47" i="97" s="1"/>
  <c r="D48" i="97"/>
  <c r="E48" i="97" s="1"/>
  <c r="D49" i="97"/>
  <c r="E49" i="97" s="1"/>
  <c r="D50" i="97"/>
  <c r="E50" i="97" s="1"/>
  <c r="D51" i="97"/>
  <c r="E51" i="97" s="1"/>
  <c r="D52" i="97"/>
  <c r="E52" i="97" s="1"/>
  <c r="E53" i="97"/>
  <c r="D54" i="97"/>
  <c r="E54" i="97" s="1"/>
  <c r="D55" i="97"/>
  <c r="E55" i="97" s="1"/>
  <c r="D56" i="97"/>
  <c r="E56" i="97" s="1"/>
  <c r="D57" i="97"/>
  <c r="E57" i="97" s="1"/>
  <c r="D59" i="97"/>
  <c r="E59" i="97" s="1"/>
  <c r="E60" i="97"/>
  <c r="D61" i="97"/>
  <c r="E61" i="97" s="1"/>
  <c r="D62" i="97"/>
  <c r="E62" i="97" s="1"/>
  <c r="D63" i="97"/>
  <c r="E63" i="97" s="1"/>
  <c r="D64" i="97"/>
  <c r="E64" i="97" s="1"/>
  <c r="D65" i="97"/>
  <c r="E65" i="97" s="1"/>
  <c r="D66" i="97"/>
  <c r="E66" i="97" s="1"/>
  <c r="E67" i="97"/>
  <c r="D32" i="97"/>
  <c r="E32" i="97" s="1"/>
  <c r="D33" i="97"/>
  <c r="E33" i="97" s="1"/>
  <c r="E34" i="97"/>
  <c r="D14" i="97"/>
  <c r="E14" i="97" s="1"/>
  <c r="D15" i="97"/>
  <c r="E15" i="97" s="1"/>
  <c r="D16" i="97"/>
  <c r="E16" i="97" s="1"/>
  <c r="D17" i="97"/>
  <c r="E17" i="97" s="1"/>
  <c r="D18" i="97"/>
  <c r="E18" i="97" s="1"/>
  <c r="E19" i="97"/>
  <c r="D20" i="97"/>
  <c r="E20" i="97" s="1"/>
  <c r="D21" i="97"/>
  <c r="E21" i="97" s="1"/>
  <c r="D22" i="97"/>
  <c r="E22" i="97" s="1"/>
  <c r="D23" i="97"/>
  <c r="E23" i="97" s="1"/>
  <c r="D24" i="97"/>
  <c r="E24" i="97" s="1"/>
  <c r="D25" i="97"/>
  <c r="E25" i="97" s="1"/>
  <c r="D26" i="97"/>
  <c r="E26" i="97" s="1"/>
  <c r="D27" i="97"/>
  <c r="E27" i="97" s="1"/>
  <c r="E28" i="97"/>
  <c r="D29" i="97"/>
  <c r="E29" i="97" s="1"/>
  <c r="D30" i="97"/>
  <c r="E30" i="97" s="1"/>
  <c r="D13" i="97"/>
  <c r="E13" i="97" s="1"/>
  <c r="E4" i="100"/>
  <c r="J193" i="92"/>
  <c r="K193" i="92"/>
  <c r="K192" i="92"/>
  <c r="K191" i="92"/>
  <c r="K179" i="92"/>
  <c r="C31" i="97"/>
  <c r="C3" i="3" a="1"/>
  <c r="C3" i="3" s="1"/>
  <c r="H3" i="3" s="1"/>
  <c r="J3" i="3" s="1"/>
  <c r="K86" i="92"/>
  <c r="K87" i="92"/>
  <c r="K88" i="92"/>
  <c r="K89" i="92"/>
  <c r="K90" i="92"/>
  <c r="K91" i="92"/>
  <c r="K92" i="92"/>
  <c r="K93" i="92"/>
  <c r="K72" i="92"/>
  <c r="K114" i="92"/>
  <c r="K102" i="92"/>
  <c r="K98" i="92"/>
  <c r="K97" i="92"/>
  <c r="K244" i="92"/>
  <c r="K253" i="92"/>
  <c r="J252" i="92"/>
  <c r="K252" i="92"/>
  <c r="K239" i="92"/>
  <c r="K14" i="92"/>
  <c r="K15" i="92"/>
  <c r="K16" i="92"/>
  <c r="K17" i="92"/>
  <c r="K18" i="92"/>
  <c r="K19" i="92"/>
  <c r="K20" i="92"/>
  <c r="K21" i="92"/>
  <c r="K22" i="92"/>
  <c r="K23" i="92"/>
  <c r="K24" i="92"/>
  <c r="K25" i="92"/>
  <c r="K26" i="92"/>
  <c r="K27" i="92"/>
  <c r="K28" i="92"/>
  <c r="K29" i="92"/>
  <c r="J13" i="92"/>
  <c r="K205" i="92"/>
  <c r="K188" i="92"/>
  <c r="K189" i="92"/>
  <c r="K190" i="92"/>
  <c r="K187" i="92"/>
  <c r="K186" i="92"/>
  <c r="J31" i="92"/>
  <c r="D3" i="3" a="1"/>
  <c r="D3" i="3" s="1"/>
  <c r="F3" i="3" s="1"/>
  <c r="J132" i="92"/>
  <c r="K111" i="92"/>
  <c r="K3" i="92"/>
  <c r="K4" i="92"/>
  <c r="K5" i="92"/>
  <c r="K6" i="92"/>
  <c r="K7" i="92"/>
  <c r="K8" i="92"/>
  <c r="K9" i="92"/>
  <c r="K10" i="92"/>
  <c r="K11" i="92"/>
  <c r="K12" i="92"/>
  <c r="K30" i="92"/>
  <c r="K32" i="92"/>
  <c r="K33" i="92"/>
  <c r="K34" i="92"/>
  <c r="K35" i="92"/>
  <c r="K36" i="92"/>
  <c r="K38" i="92"/>
  <c r="K39" i="92"/>
  <c r="K40" i="92"/>
  <c r="K41" i="92"/>
  <c r="K42" i="92"/>
  <c r="K43" i="92"/>
  <c r="K44" i="92"/>
  <c r="K45" i="92"/>
  <c r="K46" i="92"/>
  <c r="K48" i="92"/>
  <c r="K49" i="92"/>
  <c r="K50" i="92"/>
  <c r="K51" i="92"/>
  <c r="K52" i="92"/>
  <c r="K53" i="92"/>
  <c r="K54" i="92"/>
  <c r="K56" i="92"/>
  <c r="K57" i="92"/>
  <c r="K58" i="92"/>
  <c r="K59" i="92"/>
  <c r="K60" i="92"/>
  <c r="K61" i="92"/>
  <c r="K62" i="92"/>
  <c r="K63" i="92"/>
  <c r="K64" i="92"/>
  <c r="K65" i="92"/>
  <c r="K66" i="92"/>
  <c r="K67" i="92"/>
  <c r="K68" i="92"/>
  <c r="K69" i="92"/>
  <c r="K70" i="92"/>
  <c r="K71" i="92"/>
  <c r="K73" i="92"/>
  <c r="K74" i="92"/>
  <c r="K75" i="92"/>
  <c r="K76" i="92"/>
  <c r="K77" i="92"/>
  <c r="K78" i="92"/>
  <c r="K79" i="92"/>
  <c r="K80" i="92"/>
  <c r="K81" i="92"/>
  <c r="K82" i="92"/>
  <c r="K83" i="92"/>
  <c r="K84" i="92"/>
  <c r="K85" i="92"/>
  <c r="K94" i="92"/>
  <c r="K95" i="92"/>
  <c r="K96" i="92"/>
  <c r="K99" i="92"/>
  <c r="K100" i="92"/>
  <c r="K101" i="92"/>
  <c r="K103" i="92"/>
  <c r="K104" i="92"/>
  <c r="K105" i="92"/>
  <c r="K106" i="92"/>
  <c r="K107" i="92"/>
  <c r="K108" i="92"/>
  <c r="K109" i="92"/>
  <c r="K110" i="92"/>
  <c r="K112" i="92"/>
  <c r="K113" i="92"/>
  <c r="K115" i="92"/>
  <c r="K116" i="92"/>
  <c r="K117" i="92"/>
  <c r="K118" i="92"/>
  <c r="K119" i="92"/>
  <c r="K120" i="92"/>
  <c r="K121" i="92"/>
  <c r="K122" i="92"/>
  <c r="K123" i="92"/>
  <c r="K124" i="92"/>
  <c r="K125" i="92"/>
  <c r="K126" i="92"/>
  <c r="K127" i="92"/>
  <c r="K128" i="92"/>
  <c r="K129" i="92"/>
  <c r="K130" i="92"/>
  <c r="K131" i="92"/>
  <c r="K133" i="92"/>
  <c r="K134" i="92"/>
  <c r="K135" i="92"/>
  <c r="K136" i="92"/>
  <c r="K137" i="92"/>
  <c r="K138" i="92"/>
  <c r="K139" i="92"/>
  <c r="K140" i="92"/>
  <c r="K141" i="92"/>
  <c r="K142" i="92"/>
  <c r="K143" i="92"/>
  <c r="K144" i="92"/>
  <c r="K145" i="92"/>
  <c r="K146" i="92"/>
  <c r="K147" i="92"/>
  <c r="K148" i="92"/>
  <c r="K149" i="92"/>
  <c r="K150" i="92"/>
  <c r="K151" i="92"/>
  <c r="K152" i="92"/>
  <c r="K153" i="92"/>
  <c r="K154" i="92"/>
  <c r="K155" i="92"/>
  <c r="K156" i="92"/>
  <c r="K157" i="92"/>
  <c r="K158" i="92"/>
  <c r="K159" i="92"/>
  <c r="K160" i="92"/>
  <c r="K161" i="92"/>
  <c r="K162" i="92"/>
  <c r="K163" i="92"/>
  <c r="K164" i="92"/>
  <c r="K165" i="92"/>
  <c r="K166" i="92"/>
  <c r="K167" i="92"/>
  <c r="K168" i="92"/>
  <c r="K169" i="92"/>
  <c r="K170" i="92"/>
  <c r="K171" i="92"/>
  <c r="K172" i="92"/>
  <c r="K173" i="92"/>
  <c r="K174" i="92"/>
  <c r="K175" i="92"/>
  <c r="K176" i="92"/>
  <c r="K177" i="92"/>
  <c r="K178" i="92"/>
  <c r="K180" i="92"/>
  <c r="K181" i="92"/>
  <c r="K182" i="92"/>
  <c r="K183" i="92"/>
  <c r="K184" i="92"/>
  <c r="K185" i="92"/>
  <c r="K195" i="92"/>
  <c r="K196" i="92"/>
  <c r="K197" i="92"/>
  <c r="K198" i="92"/>
  <c r="K199" i="92"/>
  <c r="K200" i="92"/>
  <c r="K201" i="92"/>
  <c r="K202" i="92"/>
  <c r="K203" i="92"/>
  <c r="K204" i="92"/>
  <c r="K206" i="92"/>
  <c r="K207" i="92"/>
  <c r="K208" i="92"/>
  <c r="K209" i="92"/>
  <c r="K210" i="92"/>
  <c r="K211" i="92"/>
  <c r="K212" i="92"/>
  <c r="K213" i="92"/>
  <c r="K214" i="92"/>
  <c r="K215" i="92"/>
  <c r="K216" i="92"/>
  <c r="K217" i="92"/>
  <c r="K218" i="92"/>
  <c r="K219" i="92"/>
  <c r="K220" i="92"/>
  <c r="K221" i="92"/>
  <c r="K222" i="92"/>
  <c r="K223" i="92"/>
  <c r="K224" i="92"/>
  <c r="K225" i="92"/>
  <c r="K226" i="92"/>
  <c r="K227" i="92"/>
  <c r="K228" i="92"/>
  <c r="K229" i="92"/>
  <c r="K230" i="92"/>
  <c r="K231" i="92"/>
  <c r="K232" i="92"/>
  <c r="K233" i="92"/>
  <c r="K234" i="92"/>
  <c r="K235" i="92"/>
  <c r="K236" i="92"/>
  <c r="K237" i="92"/>
  <c r="K238" i="92"/>
  <c r="K240" i="92"/>
  <c r="K241" i="92"/>
  <c r="K242" i="92"/>
  <c r="K243" i="92"/>
  <c r="K2" i="92"/>
  <c r="J47" i="92"/>
  <c r="K47" i="92"/>
  <c r="J194" i="92"/>
  <c r="J55" i="92"/>
  <c r="K55" i="92"/>
  <c r="J37" i="92"/>
  <c r="B54" i="92"/>
  <c r="D8" i="92"/>
  <c r="D4" i="92"/>
  <c r="D6" i="92"/>
  <c r="D22" i="92"/>
  <c r="D23" i="92"/>
  <c r="D24" i="92"/>
  <c r="D3" i="92"/>
  <c r="K132" i="92"/>
  <c r="D25" i="92"/>
  <c r="K31" i="92"/>
  <c r="K37" i="92"/>
  <c r="K194" i="92"/>
  <c r="K13" i="92"/>
  <c r="G309" i="3" l="1"/>
  <c r="O50" i="3"/>
  <c r="G124" i="3"/>
  <c r="E124" i="3"/>
  <c r="H124" i="3" s="1"/>
  <c r="J124" i="3" s="1"/>
  <c r="N124" i="3" s="1"/>
  <c r="G31" i="97"/>
  <c r="E31" i="97"/>
  <c r="G51" i="3"/>
  <c r="G272" i="3"/>
  <c r="G29" i="3"/>
  <c r="G23" i="3"/>
  <c r="G39" i="3"/>
  <c r="G287" i="3"/>
  <c r="G87" i="3"/>
  <c r="G329" i="3"/>
  <c r="H5" i="3"/>
  <c r="J5" i="3" s="1"/>
  <c r="G211" i="3"/>
  <c r="G328" i="3"/>
  <c r="D2" i="97"/>
  <c r="S7" i="97"/>
  <c r="U13" i="97"/>
  <c r="G57" i="3"/>
  <c r="G58" i="3"/>
  <c r="G27" i="3"/>
  <c r="G54" i="3"/>
  <c r="G12" i="3"/>
  <c r="G209" i="3"/>
  <c r="G176" i="3"/>
  <c r="G289" i="3"/>
  <c r="G94" i="3"/>
  <c r="G252" i="3"/>
  <c r="G151" i="3"/>
  <c r="G318" i="3"/>
  <c r="G247" i="3"/>
  <c r="G114" i="3"/>
  <c r="G68" i="3"/>
  <c r="G357" i="3"/>
  <c r="G343" i="3"/>
  <c r="G297" i="3"/>
  <c r="G288" i="3"/>
  <c r="G305" i="3"/>
  <c r="G367" i="3"/>
  <c r="G246" i="3"/>
  <c r="G43" i="3"/>
  <c r="G197" i="3"/>
  <c r="G133" i="3"/>
  <c r="G91" i="3"/>
  <c r="G317" i="3"/>
  <c r="G187" i="3"/>
  <c r="G123" i="3"/>
  <c r="G321" i="3"/>
  <c r="G142" i="3"/>
  <c r="G394" i="3"/>
  <c r="G331" i="3"/>
  <c r="G42" i="3"/>
  <c r="G132" i="3"/>
  <c r="G95" i="3"/>
  <c r="G9" i="3"/>
  <c r="G356" i="3"/>
  <c r="G63" i="3"/>
  <c r="G292" i="3"/>
  <c r="G122" i="3"/>
  <c r="G280" i="3"/>
  <c r="G286" i="3"/>
  <c r="G200" i="3"/>
  <c r="G165" i="3"/>
  <c r="G82" i="3"/>
  <c r="G158" i="3"/>
  <c r="G131" i="3"/>
  <c r="G347" i="3"/>
  <c r="G81" i="3"/>
  <c r="G177" i="3"/>
  <c r="G109" i="3"/>
  <c r="G198" i="3"/>
  <c r="G64" i="3"/>
  <c r="G45" i="3"/>
  <c r="G344" i="3"/>
  <c r="G285" i="3"/>
  <c r="G107" i="3"/>
  <c r="G192" i="3"/>
  <c r="G364" i="3"/>
  <c r="G249" i="3"/>
  <c r="G248" i="3"/>
  <c r="G405" i="3"/>
  <c r="G372" i="3"/>
  <c r="G316" i="3"/>
  <c r="G245" i="3"/>
  <c r="G33" i="3"/>
  <c r="G44" i="3"/>
  <c r="G385" i="3"/>
  <c r="G170" i="3"/>
  <c r="G113" i="3"/>
  <c r="G340" i="3"/>
  <c r="G150" i="3"/>
  <c r="J150" i="3" s="1"/>
  <c r="G398" i="3"/>
  <c r="G28" i="3"/>
  <c r="G215" i="3"/>
  <c r="G355" i="3"/>
  <c r="G24" i="3"/>
  <c r="G84" i="3"/>
  <c r="G387" i="3"/>
  <c r="G255" i="3"/>
  <c r="G166" i="3"/>
  <c r="G4" i="3"/>
  <c r="I4" i="3" s="1"/>
  <c r="G400" i="3"/>
  <c r="G69" i="3"/>
  <c r="G401" i="3"/>
  <c r="G229" i="3"/>
  <c r="G168" i="3"/>
  <c r="G138" i="3"/>
  <c r="G105" i="3"/>
  <c r="G341" i="3"/>
  <c r="G136" i="3"/>
  <c r="G83" i="3"/>
  <c r="G420" i="3"/>
  <c r="G354" i="3"/>
  <c r="G274" i="3"/>
  <c r="G130" i="3"/>
  <c r="G390" i="3"/>
  <c r="G218" i="3"/>
  <c r="G450" i="3"/>
  <c r="G174" i="3"/>
  <c r="G269" i="3"/>
  <c r="G111" i="3"/>
  <c r="G15" i="3"/>
  <c r="G374" i="3"/>
  <c r="G34" i="3"/>
  <c r="G62" i="3"/>
  <c r="G231" i="3"/>
  <c r="G11" i="3"/>
  <c r="G307" i="3"/>
  <c r="G243" i="3"/>
  <c r="G346" i="3"/>
  <c r="G369" i="3"/>
  <c r="G330" i="3"/>
  <c r="G290" i="3"/>
  <c r="G143" i="3"/>
  <c r="G159" i="3"/>
  <c r="G32" i="3"/>
  <c r="G250" i="3"/>
  <c r="G210" i="3"/>
  <c r="G183" i="3"/>
  <c r="G70" i="3"/>
  <c r="G334" i="3"/>
  <c r="G226" i="3"/>
  <c r="G196" i="3"/>
  <c r="G86" i="3"/>
  <c r="G382" i="3"/>
  <c r="G358" i="3"/>
  <c r="G397" i="3"/>
  <c r="G432" i="3"/>
  <c r="G395" i="3"/>
  <c r="G21" i="3"/>
  <c r="G370" i="3"/>
  <c r="G207" i="3"/>
  <c r="G381" i="3"/>
  <c r="G277" i="3"/>
  <c r="G7" i="3"/>
  <c r="G169" i="3"/>
  <c r="G85" i="3"/>
  <c r="G71" i="3"/>
  <c r="G6" i="3"/>
  <c r="G182" i="3"/>
  <c r="G195" i="3"/>
  <c r="G125" i="3"/>
  <c r="G377" i="3"/>
  <c r="G222" i="3"/>
  <c r="G221" i="3"/>
  <c r="G327" i="3"/>
  <c r="G271" i="3"/>
  <c r="G259" i="3"/>
  <c r="G234" i="3"/>
  <c r="G258" i="3"/>
  <c r="G233" i="3"/>
  <c r="G220" i="3"/>
  <c r="G141" i="3"/>
  <c r="G284" i="3"/>
  <c r="G270" i="3"/>
  <c r="G295" i="3"/>
  <c r="G324" i="3"/>
  <c r="G337" i="3"/>
  <c r="G308" i="3"/>
  <c r="G294" i="3"/>
  <c r="G167" i="3"/>
  <c r="G431" i="3"/>
  <c r="G371" i="3"/>
  <c r="G360" i="3"/>
  <c r="G349" i="3"/>
  <c r="G336" i="3"/>
  <c r="G72" i="3"/>
  <c r="G110" i="3"/>
  <c r="G140" i="3"/>
  <c r="G300" i="3"/>
  <c r="G314" i="3"/>
  <c r="G260" i="3"/>
  <c r="G206" i="3"/>
  <c r="G296" i="3"/>
  <c r="G384" i="3"/>
  <c r="G348" i="3"/>
  <c r="G322" i="3"/>
  <c r="G275" i="3"/>
  <c r="G97" i="3"/>
  <c r="G41" i="3"/>
  <c r="G5" i="3"/>
  <c r="G194" i="3"/>
  <c r="G310" i="3"/>
  <c r="G383" i="3"/>
  <c r="G359" i="3"/>
  <c r="G335" i="3"/>
  <c r="G172" i="3"/>
  <c r="G20" i="3"/>
  <c r="G238" i="3"/>
  <c r="G18" i="3"/>
  <c r="G157" i="3"/>
  <c r="G31" i="3"/>
  <c r="G30" i="3"/>
  <c r="G181" i="3"/>
  <c r="G156" i="3"/>
  <c r="G208" i="3"/>
  <c r="G193" i="3"/>
  <c r="G283" i="3"/>
  <c r="G282" i="3"/>
  <c r="G8" i="3"/>
  <c r="G253" i="3"/>
  <c r="G155" i="3"/>
  <c r="G180" i="3"/>
  <c r="G396" i="3"/>
  <c r="G332" i="3"/>
  <c r="G319" i="3"/>
  <c r="G267" i="3"/>
  <c r="G190" i="3"/>
  <c r="G67" i="3"/>
  <c r="G393" i="3"/>
  <c r="G232" i="3"/>
  <c r="G118" i="3"/>
  <c r="G19" i="3"/>
  <c r="G219" i="3"/>
  <c r="G40" i="3"/>
  <c r="G178" i="3"/>
  <c r="G378" i="3"/>
  <c r="G291" i="3"/>
  <c r="G278" i="3"/>
  <c r="G242" i="3"/>
  <c r="G189" i="3"/>
  <c r="G66" i="3"/>
  <c r="G38" i="3"/>
  <c r="G392" i="3"/>
  <c r="G175" i="3"/>
  <c r="G391" i="3"/>
  <c r="G304" i="3"/>
  <c r="G266" i="3"/>
  <c r="G241" i="3"/>
  <c r="G202" i="3"/>
  <c r="G188" i="3"/>
  <c r="G106" i="3"/>
  <c r="G93" i="3"/>
  <c r="G52" i="3"/>
  <c r="G26" i="3"/>
  <c r="G14" i="3"/>
  <c r="G281" i="3"/>
  <c r="G230" i="3"/>
  <c r="G61" i="3"/>
  <c r="G303" i="3"/>
  <c r="G228" i="3"/>
  <c r="G119" i="3"/>
  <c r="G92" i="3"/>
  <c r="G80" i="3"/>
  <c r="G65" i="3"/>
  <c r="G25" i="3"/>
  <c r="G13" i="3"/>
  <c r="G171" i="3"/>
  <c r="G59" i="3"/>
  <c r="G16" i="3"/>
  <c r="G320" i="3"/>
  <c r="G204" i="3"/>
  <c r="G191" i="3"/>
  <c r="G345" i="3"/>
  <c r="G380" i="3"/>
  <c r="G216" i="3"/>
  <c r="G104" i="3"/>
  <c r="G402" i="3"/>
  <c r="G388" i="3"/>
  <c r="G301" i="3"/>
  <c r="G213" i="3"/>
  <c r="G90" i="3"/>
  <c r="G22" i="3"/>
  <c r="G103" i="3"/>
  <c r="G53" i="3"/>
  <c r="G205" i="3"/>
  <c r="G96" i="3"/>
  <c r="G17" i="3"/>
  <c r="G306" i="3"/>
  <c r="G201" i="3"/>
  <c r="G389" i="3"/>
  <c r="G276" i="3"/>
  <c r="G227" i="3"/>
  <c r="G147" i="3"/>
  <c r="G251" i="3"/>
  <c r="G212" i="3"/>
  <c r="G146" i="3"/>
  <c r="G47" i="3"/>
  <c r="G426" i="3"/>
  <c r="G214" i="3"/>
  <c r="G164" i="3"/>
  <c r="G145" i="3"/>
  <c r="G46" i="3"/>
  <c r="G10" i="3"/>
  <c r="G421" i="3"/>
  <c r="G264" i="3"/>
  <c r="G161" i="3"/>
  <c r="G75" i="3"/>
  <c r="G366" i="3"/>
  <c r="G315" i="3"/>
  <c r="G256" i="3"/>
  <c r="G160" i="3"/>
  <c r="G144" i="3"/>
  <c r="G74" i="3"/>
  <c r="G365" i="3"/>
  <c r="G139" i="3"/>
  <c r="G404" i="3"/>
  <c r="G302" i="3"/>
  <c r="G79" i="3"/>
  <c r="G217" i="3"/>
  <c r="G362" i="3"/>
  <c r="G351" i="3"/>
  <c r="G339" i="3"/>
  <c r="G326" i="3"/>
  <c r="G313" i="3"/>
  <c r="G299" i="3"/>
  <c r="G262" i="3"/>
  <c r="G237" i="3"/>
  <c r="G184" i="3"/>
  <c r="G386" i="3"/>
  <c r="G373" i="3"/>
  <c r="G338" i="3"/>
  <c r="G312" i="3"/>
  <c r="G298" i="3"/>
  <c r="G361" i="3"/>
  <c r="G350" i="3"/>
  <c r="G325" i="3"/>
  <c r="G311" i="3"/>
  <c r="G236" i="3"/>
  <c r="G73" i="3"/>
  <c r="G254" i="3"/>
  <c r="G89" i="3"/>
  <c r="G244" i="3"/>
  <c r="G108" i="3"/>
  <c r="G333" i="3"/>
  <c r="G265" i="3"/>
  <c r="G240" i="3"/>
  <c r="G403" i="3"/>
  <c r="G225" i="3"/>
  <c r="G261" i="3"/>
  <c r="G128" i="3"/>
  <c r="G88" i="3"/>
  <c r="G36" i="3"/>
  <c r="G368" i="3"/>
  <c r="G323" i="3"/>
  <c r="G112" i="3"/>
  <c r="G353" i="3"/>
  <c r="G273" i="3"/>
  <c r="G239" i="3"/>
  <c r="G203" i="3"/>
  <c r="G127" i="3"/>
  <c r="G35" i="3"/>
  <c r="G424" i="3"/>
  <c r="G235" i="3"/>
  <c r="G376" i="3"/>
  <c r="G342" i="3"/>
  <c r="G224" i="3"/>
  <c r="G199" i="3"/>
  <c r="G121" i="3"/>
  <c r="G149" i="3"/>
  <c r="G293" i="3"/>
  <c r="G186" i="3"/>
  <c r="G135" i="3"/>
  <c r="G120" i="3"/>
  <c r="G148" i="3"/>
  <c r="G399" i="3"/>
  <c r="G375" i="3"/>
  <c r="G352" i="3"/>
  <c r="G268" i="3"/>
  <c r="G223" i="3"/>
  <c r="G162" i="3"/>
  <c r="G134" i="3"/>
  <c r="G56" i="3"/>
  <c r="G185" i="3"/>
  <c r="G173" i="3"/>
  <c r="G55" i="3"/>
  <c r="G257" i="3"/>
  <c r="G379" i="3"/>
  <c r="G279" i="3"/>
  <c r="G179" i="3"/>
  <c r="G77" i="3"/>
  <c r="G363" i="3"/>
  <c r="G263" i="3"/>
  <c r="G163" i="3"/>
  <c r="G117" i="3"/>
  <c r="G102" i="3"/>
  <c r="L9" i="97"/>
  <c r="E9" i="97"/>
  <c r="S9" i="97"/>
  <c r="L7" i="97"/>
  <c r="G3" i="3"/>
  <c r="I3" i="3" s="1"/>
  <c r="J79" i="3" s="1"/>
  <c r="L8" i="97"/>
  <c r="N3" i="3"/>
  <c r="I5" i="3" l="1"/>
  <c r="J44" i="3" s="1"/>
  <c r="I124" i="3"/>
  <c r="O124" i="3" s="1"/>
  <c r="I6" i="3"/>
  <c r="J7" i="3" s="1"/>
  <c r="S8" i="97"/>
  <c r="E7" i="97"/>
  <c r="L6" i="97"/>
  <c r="S6" i="97"/>
  <c r="E6" i="97"/>
  <c r="E8" i="97"/>
  <c r="R2" i="97" l="1"/>
  <c r="L2" i="97"/>
  <c r="O3" i="3"/>
  <c r="F5" i="3"/>
  <c r="F4" i="3"/>
  <c r="N4" i="3"/>
  <c r="N5" i="3" l="1"/>
  <c r="O5" i="3" s="1"/>
  <c r="O4" i="3"/>
  <c r="F6" i="3"/>
  <c r="N6" i="3"/>
  <c r="O6" i="3" s="1"/>
  <c r="N7" i="3"/>
  <c r="E8" i="3" l="1"/>
  <c r="H8" i="3" s="1"/>
  <c r="I8" i="3" s="1"/>
  <c r="J8" i="3" l="1"/>
  <c r="N8" i="3" s="1"/>
  <c r="E10" i="3"/>
  <c r="H10" i="3"/>
  <c r="I10" i="3" s="1"/>
  <c r="O8" i="3" l="1"/>
  <c r="J13" i="3"/>
  <c r="J10" i="3"/>
  <c r="N10" i="3" s="1"/>
  <c r="O10" i="3" s="1"/>
  <c r="E13" i="3" l="1"/>
  <c r="H13" i="3" s="1"/>
  <c r="I13" i="3" s="1"/>
  <c r="N13" i="3" l="1"/>
  <c r="O13" i="3" s="1"/>
  <c r="E11" i="3"/>
  <c r="H11" i="3" s="1"/>
  <c r="I11" i="3" s="1"/>
  <c r="J11" i="3" l="1"/>
  <c r="J14" i="3"/>
  <c r="N11" i="3"/>
  <c r="O11" i="3" l="1"/>
  <c r="F12" i="3"/>
  <c r="H12" i="3"/>
  <c r="I12" i="3" s="1"/>
  <c r="E16" i="3"/>
  <c r="H16" i="3" s="1"/>
  <c r="I16" i="3" s="1"/>
  <c r="E14" i="3"/>
  <c r="H14" i="3" s="1"/>
  <c r="I14" i="3" s="1"/>
  <c r="N14" i="3"/>
  <c r="E15" i="3"/>
  <c r="H15" i="3" s="1"/>
  <c r="I15" i="3" s="1"/>
  <c r="O14" i="3" l="1"/>
  <c r="J12" i="3"/>
  <c r="N12" i="3" s="1"/>
  <c r="O12" i="3" s="1"/>
  <c r="J15" i="3"/>
  <c r="N15" i="3" s="1"/>
  <c r="O15" i="3" s="1"/>
  <c r="J16" i="3"/>
  <c r="N16" i="3" s="1"/>
  <c r="O16" i="3" l="1"/>
  <c r="E18" i="3" l="1"/>
  <c r="H18" i="3" s="1"/>
  <c r="I18" i="3" l="1"/>
  <c r="J26" i="3" s="1"/>
  <c r="J18" i="3"/>
  <c r="N18" i="3" s="1"/>
  <c r="O18" i="3" s="1"/>
  <c r="E17" i="3"/>
  <c r="H17" i="3" s="1"/>
  <c r="I17" i="3" s="1"/>
  <c r="J17" i="3" s="1"/>
  <c r="E19" i="3"/>
  <c r="H19" i="3" s="1"/>
  <c r="I19" i="3" s="1"/>
  <c r="J19" i="3" l="1"/>
  <c r="N19" i="3" s="1"/>
  <c r="J23" i="3"/>
  <c r="N23" i="3" s="1"/>
  <c r="N17" i="3"/>
  <c r="O17" i="3" s="1"/>
  <c r="J21" i="3"/>
  <c r="E20" i="3"/>
  <c r="H20" i="3" s="1"/>
  <c r="I20" i="3" s="1"/>
  <c r="J20" i="3" l="1"/>
  <c r="N20" i="3" s="1"/>
  <c r="J24" i="3"/>
  <c r="N24" i="3" s="1"/>
  <c r="O19" i="3"/>
  <c r="O20" i="3"/>
  <c r="E21" i="3" l="1"/>
  <c r="H21" i="3" s="1"/>
  <c r="I21" i="3" s="1"/>
  <c r="E24" i="3"/>
  <c r="H24" i="3" s="1"/>
  <c r="I24" i="3" s="1"/>
  <c r="N21" i="3" l="1"/>
  <c r="O24" i="3"/>
  <c r="E23" i="3"/>
  <c r="H23" i="3" s="1"/>
  <c r="I23" i="3" s="1"/>
  <c r="O21" i="3" l="1"/>
  <c r="O23" i="3"/>
  <c r="N26" i="3"/>
  <c r="E26" i="3"/>
  <c r="H26" i="3" s="1"/>
  <c r="I26" i="3" s="1"/>
  <c r="O26" i="3" l="1"/>
  <c r="F22" i="3"/>
  <c r="H22" i="3"/>
  <c r="E27" i="3"/>
  <c r="H27" i="3" s="1"/>
  <c r="J27" i="3" l="1"/>
  <c r="N27" i="3" s="1"/>
  <c r="I27" i="3"/>
  <c r="J22" i="3"/>
  <c r="N22" i="3" s="1"/>
  <c r="O22" i="3" s="1"/>
  <c r="I22" i="3"/>
  <c r="J36" i="3" s="1"/>
  <c r="O27" i="3"/>
  <c r="E25" i="3"/>
  <c r="H25" i="3" s="1"/>
  <c r="I25" i="3" s="1"/>
  <c r="J25" i="3" l="1"/>
  <c r="N25" i="3" s="1"/>
  <c r="J29" i="3"/>
  <c r="O25" i="3" l="1"/>
  <c r="E29" i="3" l="1"/>
  <c r="H29" i="3" s="1"/>
  <c r="I29" i="3" s="1"/>
  <c r="N29" i="3"/>
  <c r="E28" i="3"/>
  <c r="H28" i="3" s="1"/>
  <c r="I28" i="3" s="1"/>
  <c r="E31" i="3"/>
  <c r="H31" i="3" s="1"/>
  <c r="I31" i="3" s="1"/>
  <c r="E30" i="3"/>
  <c r="H30" i="3" s="1"/>
  <c r="I30" i="3" s="1"/>
  <c r="J31" i="3" l="1"/>
  <c r="N31" i="3" s="1"/>
  <c r="O31" i="3" s="1"/>
  <c r="J28" i="3"/>
  <c r="N28" i="3" s="1"/>
  <c r="O28" i="3" s="1"/>
  <c r="O29" i="3"/>
  <c r="J30" i="3"/>
  <c r="N30" i="3" s="1"/>
  <c r="O30" i="3" l="1"/>
  <c r="E38" i="3"/>
  <c r="H38" i="3" s="1"/>
  <c r="I38" i="3" s="1"/>
  <c r="J38" i="3" l="1"/>
  <c r="N38" i="3" s="1"/>
  <c r="J40" i="3"/>
  <c r="O38" i="3" l="1"/>
  <c r="E36" i="3"/>
  <c r="H36" i="3" s="1"/>
  <c r="I36" i="3" s="1"/>
  <c r="N36" i="3" l="1"/>
  <c r="O36" i="3" s="1"/>
  <c r="E33" i="3"/>
  <c r="H33" i="3" s="1"/>
  <c r="I33" i="3" s="1"/>
  <c r="H32" i="3" l="1"/>
  <c r="I32" i="3" s="1"/>
  <c r="J32" i="3"/>
  <c r="N32" i="3" s="1"/>
  <c r="E34" i="3"/>
  <c r="H34" i="3" s="1"/>
  <c r="I34" i="3" s="1"/>
  <c r="J33" i="3" l="1"/>
  <c r="N33" i="3" s="1"/>
  <c r="O33" i="3" s="1"/>
  <c r="J34" i="3"/>
  <c r="N34" i="3" s="1"/>
  <c r="O34" i="3" s="1"/>
  <c r="E37" i="3"/>
  <c r="H37" i="3" s="1"/>
  <c r="I37" i="3" s="1"/>
  <c r="O32" i="3" l="1"/>
  <c r="J46" i="3"/>
  <c r="J37" i="3"/>
  <c r="O37" i="3" s="1"/>
  <c r="E35" i="3"/>
  <c r="H35" i="3" s="1"/>
  <c r="J35" i="3" l="1"/>
  <c r="N35" i="3" s="1"/>
  <c r="I35" i="3"/>
  <c r="O35" i="3"/>
  <c r="E44" i="3"/>
  <c r="H44" i="3" s="1"/>
  <c r="I44" i="3" s="1"/>
  <c r="N44" i="3"/>
  <c r="E40" i="3"/>
  <c r="H40" i="3"/>
  <c r="O44" i="3" l="1"/>
  <c r="N40" i="3"/>
  <c r="I40" i="3"/>
  <c r="O40" i="3"/>
  <c r="E46" i="3"/>
  <c r="H46" i="3"/>
  <c r="N46" i="3" l="1"/>
  <c r="I46" i="3"/>
  <c r="O46" i="3"/>
  <c r="F45" i="3"/>
  <c r="H45" i="3"/>
  <c r="I45" i="3" s="1"/>
  <c r="J45" i="3"/>
  <c r="N45" i="3" s="1"/>
  <c r="F43" i="3"/>
  <c r="H43" i="3"/>
  <c r="I43" i="3" s="1"/>
  <c r="J43" i="3"/>
  <c r="N43" i="3" s="1"/>
  <c r="O43" i="3" s="1"/>
  <c r="F42" i="3"/>
  <c r="H42" i="3"/>
  <c r="O45" i="3" l="1"/>
  <c r="J42" i="3"/>
  <c r="N42" i="3" s="1"/>
  <c r="I42" i="3"/>
  <c r="O42" i="3"/>
  <c r="E39" i="3"/>
  <c r="H39" i="3"/>
  <c r="I39" i="3" s="1"/>
  <c r="J39" i="3" s="1"/>
  <c r="N39" i="3" l="1"/>
  <c r="O39" i="3"/>
  <c r="E47" i="3"/>
  <c r="H47" i="3"/>
  <c r="J47" i="3" l="1"/>
  <c r="N47" i="3" s="1"/>
  <c r="I47" i="3"/>
  <c r="O47" i="3" s="1"/>
  <c r="F52" i="3"/>
  <c r="H52" i="3"/>
  <c r="I52" i="3" s="1"/>
  <c r="J52" i="3"/>
  <c r="N52" i="3" s="1"/>
  <c r="E51" i="3"/>
  <c r="H51" i="3" s="1"/>
  <c r="I51" i="3" s="1"/>
  <c r="O52" i="3" l="1"/>
  <c r="J51" i="3"/>
  <c r="N51" i="3" s="1"/>
  <c r="O51" i="3"/>
  <c r="F48" i="3"/>
  <c r="H48" i="3"/>
  <c r="J48" i="3" l="1"/>
  <c r="N48" i="3" s="1"/>
  <c r="I48" i="3"/>
  <c r="O48" i="3"/>
  <c r="E53" i="3"/>
  <c r="H53" i="3" s="1"/>
  <c r="J53" i="3" l="1"/>
  <c r="N53" i="3" s="1"/>
  <c r="I53" i="3"/>
  <c r="O53" i="3"/>
  <c r="E56" i="3"/>
  <c r="H56" i="3" s="1"/>
  <c r="I56" i="3" s="1"/>
  <c r="J56" i="3" s="1"/>
  <c r="N56" i="3" s="1"/>
  <c r="O56" i="3" s="1"/>
  <c r="H54" i="3"/>
  <c r="I54" i="3" s="1"/>
  <c r="J63" i="3" s="1"/>
  <c r="J54" i="3" l="1"/>
  <c r="N54" i="3" s="1"/>
  <c r="O54" i="3" s="1"/>
  <c r="E61" i="3"/>
  <c r="H61" i="3" s="1"/>
  <c r="E62" i="3"/>
  <c r="H62" i="3" s="1"/>
  <c r="E57" i="3"/>
  <c r="H57" i="3"/>
  <c r="J57" i="3" s="1"/>
  <c r="N57" i="3" s="1"/>
  <c r="I57" i="3"/>
  <c r="I62" i="3" l="1"/>
  <c r="J62" i="3"/>
  <c r="N62" i="3" s="1"/>
  <c r="O62" i="3" s="1"/>
  <c r="I61" i="3"/>
  <c r="J65" i="3" s="1"/>
  <c r="J61" i="3"/>
  <c r="N61" i="3" s="1"/>
  <c r="O57" i="3"/>
  <c r="E58" i="3"/>
  <c r="H58" i="3" s="1"/>
  <c r="I58" i="3" s="1"/>
  <c r="O61" i="3" l="1"/>
  <c r="J58" i="3"/>
  <c r="N58" i="3" s="1"/>
  <c r="O58" i="3" s="1"/>
  <c r="J66" i="3"/>
  <c r="E59" i="3"/>
  <c r="I59" i="3"/>
  <c r="J59" i="3"/>
  <c r="N59" i="3" s="1"/>
  <c r="E63" i="3"/>
  <c r="H63" i="3" s="1"/>
  <c r="O59" i="3" l="1"/>
  <c r="N63" i="3"/>
  <c r="I63" i="3"/>
  <c r="O63" i="3"/>
  <c r="E64" i="3"/>
  <c r="H64" i="3" s="1"/>
  <c r="E65" i="3"/>
  <c r="H65" i="3"/>
  <c r="N65" i="3" s="1"/>
  <c r="I64" i="3" l="1"/>
  <c r="J64" i="3"/>
  <c r="N64" i="3" s="1"/>
  <c r="O64" i="3" s="1"/>
  <c r="I65" i="3"/>
  <c r="O65" i="3" s="1"/>
  <c r="E66" i="3"/>
  <c r="H66" i="3"/>
  <c r="N66" i="3" s="1"/>
  <c r="I66" i="3"/>
  <c r="O66" i="3" l="1"/>
  <c r="E67" i="3"/>
  <c r="H67" i="3"/>
  <c r="J67" i="3" s="1"/>
  <c r="N67" i="3" s="1"/>
  <c r="I67" i="3" l="1"/>
  <c r="J96" i="3" s="1"/>
  <c r="O67" i="3"/>
  <c r="F68" i="3"/>
  <c r="H68" i="3"/>
  <c r="J68" i="3" s="1"/>
  <c r="N68" i="3" s="1"/>
  <c r="I68" i="3"/>
  <c r="O68" i="3" l="1"/>
  <c r="H69" i="3"/>
  <c r="J69" i="3" s="1"/>
  <c r="N69" i="3" s="1"/>
  <c r="I69" i="3"/>
  <c r="O69" i="3" l="1"/>
  <c r="E70" i="3"/>
  <c r="H70" i="3" s="1"/>
  <c r="E71" i="3"/>
  <c r="H71" i="3"/>
  <c r="I71" i="3" s="1"/>
  <c r="J112" i="3" s="1"/>
  <c r="H72" i="3"/>
  <c r="J72" i="3" s="1"/>
  <c r="N72" i="3" s="1"/>
  <c r="I72" i="3"/>
  <c r="J80" i="3" s="1"/>
  <c r="I70" i="3" l="1"/>
  <c r="J78" i="3" s="1"/>
  <c r="J70" i="3"/>
  <c r="N70" i="3" s="1"/>
  <c r="O70" i="3" s="1"/>
  <c r="J71" i="3"/>
  <c r="N71" i="3" s="1"/>
  <c r="O71" i="3" s="1"/>
  <c r="O72" i="3"/>
  <c r="E74" i="3"/>
  <c r="H74" i="3" s="1"/>
  <c r="H75" i="3"/>
  <c r="I75" i="3" s="1"/>
  <c r="J83" i="3" s="1"/>
  <c r="J75" i="3"/>
  <c r="N75" i="3"/>
  <c r="O75" i="3" s="1"/>
  <c r="E73" i="3"/>
  <c r="H73" i="3" s="1"/>
  <c r="E77" i="3"/>
  <c r="H77" i="3" s="1"/>
  <c r="E78" i="3"/>
  <c r="H78" i="3" s="1"/>
  <c r="N78" i="3"/>
  <c r="O78" i="3"/>
  <c r="E79" i="3"/>
  <c r="H79" i="3" s="1"/>
  <c r="I77" i="3" l="1"/>
  <c r="J81" i="3" s="1"/>
  <c r="J77" i="3"/>
  <c r="N77" i="3" s="1"/>
  <c r="O77" i="3" s="1"/>
  <c r="N79" i="3"/>
  <c r="I79" i="3"/>
  <c r="I73" i="3"/>
  <c r="J73" i="3"/>
  <c r="N73" i="3" s="1"/>
  <c r="O73" i="3" s="1"/>
  <c r="I74" i="3"/>
  <c r="J74" i="3"/>
  <c r="N74" i="3" s="1"/>
  <c r="O79" i="3"/>
  <c r="E80" i="3"/>
  <c r="H80" i="3"/>
  <c r="I80" i="3" s="1"/>
  <c r="N80" i="3"/>
  <c r="O80" i="3" s="1"/>
  <c r="E81" i="3"/>
  <c r="H81" i="3"/>
  <c r="I81" i="3" s="1"/>
  <c r="N81" i="3"/>
  <c r="F82" i="3"/>
  <c r="H82" i="3"/>
  <c r="J82" i="3" s="1"/>
  <c r="N82" i="3" s="1"/>
  <c r="I82" i="3"/>
  <c r="O81" i="3" l="1"/>
  <c r="O74" i="3"/>
  <c r="O82" i="3"/>
  <c r="E83" i="3"/>
  <c r="H83" i="3" s="1"/>
  <c r="I83" i="3" s="1"/>
  <c r="N83" i="3"/>
  <c r="E84" i="3"/>
  <c r="H84" i="3" s="1"/>
  <c r="I84" i="3" s="1"/>
  <c r="O83" i="3" l="1"/>
  <c r="J84" i="3"/>
  <c r="N84" i="3" s="1"/>
  <c r="O84" i="3" s="1"/>
  <c r="F85" i="3"/>
  <c r="H85" i="3"/>
  <c r="J85" i="3" s="1"/>
  <c r="N85" i="3" s="1"/>
  <c r="I85" i="3" l="1"/>
  <c r="O85" i="3"/>
  <c r="E86" i="3"/>
  <c r="H86" i="3" s="1"/>
  <c r="E87" i="3"/>
  <c r="H87" i="3" s="1"/>
  <c r="E89" i="3"/>
  <c r="H89" i="3"/>
  <c r="I89" i="3" s="1"/>
  <c r="J89" i="3"/>
  <c r="N89" i="3" s="1"/>
  <c r="E88" i="3"/>
  <c r="H88" i="3" s="1"/>
  <c r="I87" i="3" l="1"/>
  <c r="J87" i="3"/>
  <c r="N87" i="3" s="1"/>
  <c r="O87" i="3" s="1"/>
  <c r="I86" i="3"/>
  <c r="J86" i="3"/>
  <c r="N86" i="3" s="1"/>
  <c r="O86" i="3" s="1"/>
  <c r="O89" i="3"/>
  <c r="J88" i="3"/>
  <c r="N88" i="3" s="1"/>
  <c r="I88" i="3"/>
  <c r="O88" i="3"/>
  <c r="E90" i="3"/>
  <c r="H90" i="3"/>
  <c r="I90" i="3" s="1"/>
  <c r="E91" i="3"/>
  <c r="H91" i="3" s="1"/>
  <c r="E92" i="3"/>
  <c r="H92" i="3" s="1"/>
  <c r="I91" i="3" l="1"/>
  <c r="J91" i="3"/>
  <c r="N91" i="3" s="1"/>
  <c r="O91" i="3" s="1"/>
  <c r="N92" i="3"/>
  <c r="I92" i="3"/>
  <c r="J90" i="3"/>
  <c r="N90" i="3" s="1"/>
  <c r="O90" i="3" s="1"/>
  <c r="O92" i="3"/>
  <c r="E93" i="3"/>
  <c r="H93" i="3" s="1"/>
  <c r="I93" i="3" s="1"/>
  <c r="J93" i="3" l="1"/>
  <c r="N93" i="3" s="1"/>
  <c r="O93" i="3" s="1"/>
  <c r="E94" i="3"/>
  <c r="H94" i="3" s="1"/>
  <c r="J94" i="3" l="1"/>
  <c r="N94" i="3" s="1"/>
  <c r="I94" i="3"/>
  <c r="J108" i="3" s="1"/>
  <c r="O94" i="3"/>
  <c r="E95" i="3"/>
  <c r="H95" i="3" s="1"/>
  <c r="I95" i="3" s="1"/>
  <c r="E98" i="3"/>
  <c r="H98" i="3" s="1"/>
  <c r="I98" i="3" s="1"/>
  <c r="J95" i="3" l="1"/>
  <c r="N95" i="3" s="1"/>
  <c r="O95" i="3" s="1"/>
  <c r="J98" i="3"/>
  <c r="N98" i="3" s="1"/>
  <c r="O98" i="3"/>
  <c r="E96" i="3"/>
  <c r="H96" i="3" s="1"/>
  <c r="N96" i="3" s="1"/>
  <c r="I96" i="3" l="1"/>
  <c r="O96" i="3"/>
  <c r="F99" i="3"/>
  <c r="H99" i="3"/>
  <c r="I99" i="3" s="1"/>
  <c r="J156" i="3" s="1"/>
  <c r="F101" i="3"/>
  <c r="H101" i="3"/>
  <c r="I101" i="3" s="1"/>
  <c r="F100" i="3"/>
  <c r="H100" i="3"/>
  <c r="J100" i="3" s="1"/>
  <c r="N100" i="3" s="1"/>
  <c r="I100" i="3" l="1"/>
  <c r="J99" i="3"/>
  <c r="N99" i="3" s="1"/>
  <c r="O99" i="3" s="1"/>
  <c r="J101" i="3"/>
  <c r="N101" i="3" s="1"/>
  <c r="O101" i="3" s="1"/>
  <c r="O100" i="3"/>
  <c r="E97" i="3"/>
  <c r="H97" i="3"/>
  <c r="I97" i="3"/>
  <c r="J97" i="3" s="1"/>
  <c r="N97" i="3" l="1"/>
  <c r="O97" i="3"/>
  <c r="E102" i="3"/>
  <c r="H102" i="3" s="1"/>
  <c r="I102" i="3" s="1"/>
  <c r="J102" i="3" l="1"/>
  <c r="N102" i="3"/>
  <c r="O102" i="3" s="1"/>
  <c r="E108" i="3"/>
  <c r="H108" i="3" s="1"/>
  <c r="I108" i="3" s="1"/>
  <c r="N108" i="3"/>
  <c r="F109" i="3"/>
  <c r="H109" i="3"/>
  <c r="I109" i="3" s="1"/>
  <c r="J109" i="3"/>
  <c r="N109" i="3" s="1"/>
  <c r="O109" i="3" s="1"/>
  <c r="E105" i="3"/>
  <c r="H105" i="3" s="1"/>
  <c r="I105" i="3" s="1"/>
  <c r="E107" i="3"/>
  <c r="H107" i="3" s="1"/>
  <c r="I107" i="3" s="1"/>
  <c r="O108" i="3" l="1"/>
  <c r="J105" i="3"/>
  <c r="N105" i="3" s="1"/>
  <c r="O105" i="3" s="1"/>
  <c r="J107" i="3"/>
  <c r="J118" i="3"/>
  <c r="N107" i="3"/>
  <c r="O107" i="3"/>
  <c r="E103" i="3"/>
  <c r="H103" i="3"/>
  <c r="I103" i="3" s="1"/>
  <c r="J119" i="3" s="1"/>
  <c r="J103" i="3"/>
  <c r="N103" i="3" s="1"/>
  <c r="E104" i="3"/>
  <c r="H104" i="3" s="1"/>
  <c r="I104" i="3" s="1"/>
  <c r="F106" i="3"/>
  <c r="H106" i="3"/>
  <c r="J106" i="3" s="1"/>
  <c r="N106" i="3" s="1"/>
  <c r="I106" i="3" l="1"/>
  <c r="J113" i="3" s="1"/>
  <c r="O103" i="3"/>
  <c r="J104" i="3"/>
  <c r="N104" i="3" s="1"/>
  <c r="O104" i="3" s="1"/>
  <c r="J117" i="3"/>
  <c r="E110" i="3"/>
  <c r="H110" i="3" s="1"/>
  <c r="O106" i="3" l="1"/>
  <c r="J110" i="3"/>
  <c r="N110" i="3" s="1"/>
  <c r="I110" i="3"/>
  <c r="O110" i="3" s="1"/>
  <c r="I60" i="3"/>
  <c r="J60" i="3"/>
  <c r="N60" i="3" s="1"/>
  <c r="O60" i="3" s="1"/>
  <c r="F9" i="3"/>
  <c r="H9" i="3"/>
  <c r="I9" i="3" s="1"/>
  <c r="J9" i="3"/>
  <c r="N9" i="3" s="1"/>
  <c r="O9" i="3" s="1"/>
  <c r="E114" i="3" l="1"/>
  <c r="H114" i="3"/>
  <c r="I114" i="3" s="1"/>
  <c r="J114" i="3"/>
  <c r="N114" i="3" s="1"/>
  <c r="O114" i="3" s="1"/>
  <c r="E112" i="3"/>
  <c r="H112" i="3" s="1"/>
  <c r="I112" i="3" l="1"/>
  <c r="N112" i="3"/>
  <c r="O112" i="3" s="1"/>
  <c r="E113" i="3"/>
  <c r="H113" i="3" s="1"/>
  <c r="I113" i="3" s="1"/>
  <c r="N113" i="3"/>
  <c r="O113" i="3" l="1"/>
  <c r="E111" i="3"/>
  <c r="H111" i="3" s="1"/>
  <c r="I111" i="3" s="1"/>
  <c r="J111" i="3" s="1"/>
  <c r="N111" i="3" s="1"/>
  <c r="O111" i="3" s="1"/>
  <c r="E118" i="3"/>
  <c r="H118" i="3" s="1"/>
  <c r="I118" i="3" s="1"/>
  <c r="N118" i="3"/>
  <c r="E117" i="3"/>
  <c r="H117" i="3" s="1"/>
  <c r="I117" i="3" s="1"/>
  <c r="N117" i="3"/>
  <c r="E119" i="3"/>
  <c r="H119" i="3" s="1"/>
  <c r="O118" i="3" l="1"/>
  <c r="N119" i="3"/>
  <c r="I119" i="3"/>
  <c r="O117" i="3"/>
  <c r="O119" i="3"/>
  <c r="E120" i="3"/>
  <c r="H120" i="3"/>
  <c r="I120" i="3" s="1"/>
  <c r="J120" i="3" l="1"/>
  <c r="N120" i="3" s="1"/>
  <c r="O120" i="3" s="1"/>
  <c r="E121" i="3"/>
  <c r="H121" i="3" s="1"/>
  <c r="E122" i="3"/>
  <c r="H122" i="3" s="1"/>
  <c r="I122" i="3" s="1"/>
  <c r="E115" i="3"/>
  <c r="H115" i="3" s="1"/>
  <c r="J115" i="3" l="1"/>
  <c r="N115" i="3" s="1"/>
  <c r="I115" i="3"/>
  <c r="I121" i="3"/>
  <c r="J121" i="3"/>
  <c r="N121" i="3" s="1"/>
  <c r="O121" i="3" s="1"/>
  <c r="J122" i="3"/>
  <c r="N122" i="3" s="1"/>
  <c r="O122" i="3" s="1"/>
  <c r="J128" i="3"/>
  <c r="O115" i="3"/>
  <c r="E116" i="3"/>
  <c r="H116" i="3" s="1"/>
  <c r="I116" i="3" s="1"/>
  <c r="E127" i="3"/>
  <c r="H127" i="3" s="1"/>
  <c r="I127" i="3" s="1"/>
  <c r="J127" i="3" s="1"/>
  <c r="J116" i="3" l="1"/>
  <c r="N116" i="3" s="1"/>
  <c r="O116" i="3" s="1"/>
  <c r="N127" i="3"/>
  <c r="O127" i="3"/>
  <c r="E128" i="3"/>
  <c r="H128" i="3" s="1"/>
  <c r="N128" i="3" l="1"/>
  <c r="I128" i="3"/>
  <c r="O128" i="3" s="1"/>
  <c r="E123" i="3"/>
  <c r="H123" i="3"/>
  <c r="I123" i="3"/>
  <c r="J123" i="3" s="1"/>
  <c r="N123" i="3" l="1"/>
  <c r="O123" i="3"/>
  <c r="E134" i="3"/>
  <c r="H134" i="3" s="1"/>
  <c r="I134" i="3" s="1"/>
  <c r="N134" i="3"/>
  <c r="F130" i="3"/>
  <c r="H130" i="3"/>
  <c r="I130" i="3" s="1"/>
  <c r="E131" i="3"/>
  <c r="H131" i="3" s="1"/>
  <c r="O134" i="3" l="1"/>
  <c r="J131" i="3"/>
  <c r="N131" i="3" s="1"/>
  <c r="I131" i="3"/>
  <c r="J140" i="3" s="1"/>
  <c r="J130" i="3"/>
  <c r="N130" i="3" s="1"/>
  <c r="O130" i="3" s="1"/>
  <c r="E132" i="3"/>
  <c r="H132" i="3" s="1"/>
  <c r="O131" i="3" l="1"/>
  <c r="J132" i="3"/>
  <c r="N132" i="3" s="1"/>
  <c r="I132" i="3"/>
  <c r="J141" i="3" s="1"/>
  <c r="F129" i="3"/>
  <c r="H129" i="3"/>
  <c r="I129" i="3" s="1"/>
  <c r="F133" i="3"/>
  <c r="H133" i="3"/>
  <c r="I133" i="3" s="1"/>
  <c r="J133" i="3"/>
  <c r="N133" i="3" s="1"/>
  <c r="O133" i="3" s="1"/>
  <c r="E125" i="3"/>
  <c r="H125" i="3" s="1"/>
  <c r="I125" i="3" s="1"/>
  <c r="J137" i="3" s="1"/>
  <c r="E126" i="3"/>
  <c r="H126" i="3" s="1"/>
  <c r="J126" i="3" s="1"/>
  <c r="N126" i="3" s="1"/>
  <c r="J129" i="3" l="1"/>
  <c r="N129" i="3" s="1"/>
  <c r="O129" i="3" s="1"/>
  <c r="O132" i="3"/>
  <c r="J125" i="3"/>
  <c r="N125" i="3" s="1"/>
  <c r="O125" i="3" s="1"/>
  <c r="I126" i="3"/>
  <c r="J136" i="3" s="1"/>
  <c r="E135" i="3"/>
  <c r="H135" i="3"/>
  <c r="I135" i="3" s="1"/>
  <c r="J135" i="3" s="1"/>
  <c r="O126" i="3" l="1"/>
  <c r="N135" i="3"/>
  <c r="O135" i="3"/>
  <c r="E144" i="3"/>
  <c r="H144" i="3"/>
  <c r="J144" i="3" s="1"/>
  <c r="N144" i="3" s="1"/>
  <c r="I144" i="3"/>
  <c r="O144" i="3" l="1"/>
  <c r="E145" i="3"/>
  <c r="H145" i="3"/>
  <c r="J145" i="3" s="1"/>
  <c r="N145" i="3" s="1"/>
  <c r="I145" i="3"/>
  <c r="O145" i="3" l="1"/>
  <c r="E143" i="3"/>
  <c r="H143" i="3"/>
  <c r="I143" i="3" s="1"/>
  <c r="J151" i="3" s="1"/>
  <c r="J143" i="3"/>
  <c r="N143" i="3" s="1"/>
  <c r="O143" i="3" s="1"/>
  <c r="E136" i="3"/>
  <c r="H136" i="3"/>
  <c r="I136" i="3" s="1"/>
  <c r="N136" i="3"/>
  <c r="E137" i="3"/>
  <c r="H137" i="3" s="1"/>
  <c r="I137" i="3" s="1"/>
  <c r="N137" i="3"/>
  <c r="E139" i="3"/>
  <c r="H139" i="3" s="1"/>
  <c r="I139" i="3" s="1"/>
  <c r="J139" i="3" s="1"/>
  <c r="O136" i="3" l="1"/>
  <c r="O137" i="3"/>
  <c r="N139" i="3"/>
  <c r="O139" i="3"/>
  <c r="E140" i="3"/>
  <c r="H140" i="3" s="1"/>
  <c r="I140" i="3" s="1"/>
  <c r="N140" i="3"/>
  <c r="E141" i="3"/>
  <c r="H141" i="3" s="1"/>
  <c r="I141" i="3" s="1"/>
  <c r="N141" i="3"/>
  <c r="E142" i="3"/>
  <c r="H142" i="3" s="1"/>
  <c r="I142" i="3" s="1"/>
  <c r="O141" i="3" l="1"/>
  <c r="O140" i="3"/>
  <c r="J142" i="3"/>
  <c r="J148" i="3"/>
  <c r="N142" i="3"/>
  <c r="O142" i="3"/>
  <c r="E138" i="3"/>
  <c r="H138" i="3" s="1"/>
  <c r="I138" i="3" s="1"/>
  <c r="F146" i="3"/>
  <c r="H146" i="3"/>
  <c r="J146" i="3" s="1"/>
  <c r="N146" i="3" s="1"/>
  <c r="I146" i="3"/>
  <c r="O146" i="3" l="1"/>
  <c r="J138" i="3"/>
  <c r="N138" i="3" s="1"/>
  <c r="O138" i="3" s="1"/>
  <c r="J147" i="3"/>
  <c r="E147" i="3"/>
  <c r="H147" i="3" s="1"/>
  <c r="N147" i="3"/>
  <c r="I147" i="3"/>
  <c r="O147" i="3" l="1"/>
  <c r="E148" i="3"/>
  <c r="H148" i="3" s="1"/>
  <c r="I148" i="3" s="1"/>
  <c r="N148" i="3"/>
  <c r="E149" i="3"/>
  <c r="H149" i="3" s="1"/>
  <c r="J149" i="3" s="1"/>
  <c r="N149" i="3" s="1"/>
  <c r="O148" i="3" l="1"/>
  <c r="I149" i="3"/>
  <c r="O149" i="3" s="1"/>
  <c r="E155" i="3"/>
  <c r="H155" i="3" s="1"/>
  <c r="I155" i="3" s="1"/>
  <c r="J155" i="3" s="1"/>
  <c r="N155" i="3" l="1"/>
  <c r="O155" i="3" s="1"/>
  <c r="E156" i="3"/>
  <c r="H156" i="3" s="1"/>
  <c r="N156" i="3" s="1"/>
  <c r="I156" i="3" l="1"/>
  <c r="O156" i="3"/>
  <c r="E151" i="3"/>
  <c r="H151" i="3"/>
  <c r="I151" i="3" s="1"/>
  <c r="N151" i="3"/>
  <c r="E150" i="3"/>
  <c r="H150" i="3"/>
  <c r="N150" i="3" s="1"/>
  <c r="I150" i="3"/>
  <c r="O151" i="3" l="1"/>
  <c r="O150" i="3"/>
  <c r="N159" i="3" l="1"/>
  <c r="O159" i="3"/>
  <c r="F159" i="3"/>
  <c r="H159" i="3"/>
  <c r="J159" i="3" s="1"/>
  <c r="I159" i="3"/>
  <c r="J160" i="3"/>
  <c r="N160" i="3" s="1"/>
  <c r="F160" i="3"/>
  <c r="H160" i="3"/>
  <c r="I160" i="3"/>
  <c r="O160" i="3" l="1"/>
  <c r="O244" i="3"/>
  <c r="N244" i="3"/>
  <c r="J244" i="3"/>
  <c r="J336" i="3"/>
  <c r="N336" i="3"/>
  <c r="O336" i="3"/>
  <c r="I411" i="3"/>
  <c r="I157" i="3"/>
  <c r="O225" i="3"/>
  <c r="N225" i="3"/>
  <c r="J225" i="3"/>
  <c r="O424" i="3"/>
  <c r="N424" i="3"/>
  <c r="J424" i="3"/>
  <c r="O355" i="3"/>
  <c r="N355" i="3"/>
  <c r="J355" i="3"/>
  <c r="O393" i="3"/>
  <c r="N393" i="3"/>
  <c r="J393" i="3"/>
  <c r="O276" i="3"/>
  <c r="N276" i="3"/>
  <c r="J276" i="3"/>
  <c r="O202" i="3"/>
  <c r="N202" i="3"/>
  <c r="J202" i="3"/>
  <c r="I278" i="3"/>
  <c r="J294" i="3"/>
  <c r="N294" i="3"/>
  <c r="O294" i="3"/>
  <c r="O257" i="3"/>
  <c r="N257" i="3"/>
  <c r="J257" i="3"/>
  <c r="J169" i="3"/>
  <c r="N169" i="3"/>
  <c r="O169" i="3"/>
  <c r="O164" i="3"/>
  <c r="N164" i="3"/>
  <c r="J164" i="3"/>
  <c r="J221" i="3"/>
  <c r="N221" i="3"/>
  <c r="O221" i="3"/>
  <c r="O49" i="3"/>
  <c r="N49" i="3"/>
  <c r="J49" i="3"/>
  <c r="J421" i="3"/>
  <c r="N421" i="3"/>
  <c r="O421" i="3"/>
  <c r="O442" i="3"/>
  <c r="N442" i="3"/>
  <c r="J442" i="3"/>
  <c r="I300" i="3"/>
  <c r="O353" i="3"/>
  <c r="N353" i="3"/>
  <c r="J353" i="3"/>
  <c r="O419" i="3"/>
  <c r="N419" i="3"/>
  <c r="J419" i="3"/>
  <c r="O444" i="3"/>
  <c r="N444" i="3"/>
  <c r="J444" i="3"/>
  <c r="O196" i="3"/>
  <c r="N196" i="3"/>
  <c r="J196" i="3"/>
  <c r="J397" i="3"/>
  <c r="N397" i="3"/>
  <c r="O397" i="3"/>
  <c r="J194" i="3"/>
  <c r="N194" i="3"/>
  <c r="O194" i="3"/>
  <c r="O322" i="3"/>
  <c r="N322" i="3"/>
  <c r="J322" i="3"/>
  <c r="O438" i="3"/>
  <c r="N438" i="3"/>
  <c r="J438" i="3"/>
  <c r="O251" i="3"/>
  <c r="N251" i="3"/>
  <c r="J251" i="3"/>
  <c r="O377" i="3"/>
  <c r="N377" i="3"/>
  <c r="J377" i="3"/>
  <c r="O452" i="3"/>
  <c r="N452" i="3"/>
  <c r="J452" i="3"/>
  <c r="O423" i="3"/>
  <c r="N423" i="3"/>
  <c r="J423" i="3"/>
  <c r="O402" i="3"/>
  <c r="N402" i="3"/>
  <c r="J402" i="3"/>
  <c r="I76" i="3"/>
  <c r="O207" i="3"/>
  <c r="N207" i="3"/>
  <c r="J207" i="3"/>
  <c r="O198" i="3"/>
  <c r="N198" i="3"/>
  <c r="J198" i="3"/>
  <c r="O190" i="3"/>
  <c r="N190" i="3"/>
  <c r="J190" i="3"/>
  <c r="J173" i="3"/>
  <c r="N173" i="3"/>
  <c r="O173" i="3"/>
  <c r="O172" i="3"/>
  <c r="N172" i="3"/>
  <c r="J172" i="3"/>
  <c r="I404" i="3"/>
  <c r="I243" i="3"/>
  <c r="O185" i="3"/>
  <c r="N185" i="3"/>
  <c r="J185" i="3"/>
  <c r="O253" i="3"/>
  <c r="N253" i="3"/>
  <c r="J253" i="3"/>
  <c r="O389" i="3"/>
  <c r="N389" i="3"/>
  <c r="J389" i="3"/>
  <c r="O400" i="3"/>
  <c r="N400" i="3"/>
  <c r="J400" i="3"/>
  <c r="O415" i="3"/>
  <c r="N415" i="3"/>
  <c r="J415" i="3"/>
  <c r="I246" i="3"/>
  <c r="O345" i="3"/>
  <c r="N345" i="3"/>
  <c r="J345" i="3"/>
  <c r="O223" i="3"/>
  <c r="N223" i="3"/>
  <c r="J223" i="3"/>
  <c r="O406" i="3"/>
  <c r="N406" i="3"/>
  <c r="J406" i="3"/>
  <c r="O314" i="3"/>
  <c r="N314" i="3"/>
  <c r="J314" i="3"/>
  <c r="J307" i="3"/>
  <c r="N307" i="3"/>
  <c r="O307" i="3"/>
  <c r="O165" i="3"/>
  <c r="N165" i="3"/>
  <c r="J165" i="3"/>
  <c r="I280" i="3"/>
  <c r="O162" i="3"/>
  <c r="N162" i="3"/>
  <c r="J162" i="3"/>
  <c r="O337" i="3"/>
  <c r="N337" i="3"/>
  <c r="J337" i="3"/>
  <c r="I335" i="3"/>
  <c r="J326" i="3"/>
  <c r="N326" i="3"/>
  <c r="O326" i="3"/>
  <c r="O298" i="3"/>
  <c r="N298" i="3"/>
  <c r="J298" i="3"/>
  <c r="O154" i="3"/>
  <c r="N154" i="3"/>
  <c r="J154" i="3"/>
  <c r="O379" i="3"/>
  <c r="N379" i="3"/>
  <c r="J379" i="3"/>
  <c r="J356" i="3"/>
  <c r="N356" i="3"/>
  <c r="O356" i="3"/>
  <c r="O396" i="3"/>
  <c r="N396" i="3"/>
  <c r="J396" i="3"/>
  <c r="I176" i="3"/>
  <c r="I240" i="3"/>
  <c r="I209" i="3"/>
  <c r="J212" i="3"/>
  <c r="N212" i="3"/>
  <c r="O212" i="3"/>
  <c r="O213" i="3"/>
  <c r="N213" i="3"/>
  <c r="J213" i="3"/>
  <c r="I385" i="3"/>
  <c r="J219" i="3"/>
  <c r="N219" i="3"/>
  <c r="O219" i="3"/>
  <c r="J383" i="3"/>
  <c r="N383" i="3"/>
  <c r="O383" i="3"/>
  <c r="O187" i="3"/>
  <c r="N187" i="3"/>
  <c r="J187" i="3"/>
  <c r="F404" i="3"/>
  <c r="E404" i="3"/>
  <c r="H404" i="3"/>
  <c r="J404" i="3"/>
  <c r="N404" i="3"/>
  <c r="O404" i="3"/>
  <c r="O335" i="3"/>
  <c r="F335" i="3"/>
  <c r="E335" i="3"/>
  <c r="H335" i="3"/>
  <c r="J335" i="3"/>
  <c r="N335" i="3"/>
  <c r="J201" i="3"/>
  <c r="N201" i="3"/>
  <c r="O201" i="3"/>
  <c r="O210" i="3"/>
  <c r="N210" i="3"/>
  <c r="J210" i="3"/>
  <c r="J410" i="3"/>
  <c r="N410" i="3"/>
  <c r="O410" i="3"/>
  <c r="J319" i="3"/>
  <c r="N319" i="3"/>
  <c r="O319" i="3"/>
  <c r="O395" i="3"/>
  <c r="N395" i="3"/>
  <c r="J395" i="3"/>
  <c r="O178" i="3"/>
  <c r="N178" i="3"/>
  <c r="J178" i="3"/>
  <c r="I248" i="3"/>
  <c r="F307" i="3"/>
  <c r="E307" i="3"/>
  <c r="H307" i="3"/>
  <c r="I307" i="3"/>
  <c r="I266" i="3"/>
  <c r="I287" i="3"/>
  <c r="O272" i="3"/>
  <c r="N272" i="3"/>
  <c r="J272" i="3"/>
  <c r="I352" i="3"/>
  <c r="J273" i="3"/>
  <c r="N273" i="3"/>
  <c r="O273" i="3"/>
  <c r="I231" i="3"/>
  <c r="O229" i="3"/>
  <c r="N229" i="3"/>
  <c r="J229" i="3"/>
  <c r="O277" i="3"/>
  <c r="N277" i="3"/>
  <c r="J277" i="3"/>
  <c r="O361" i="3"/>
  <c r="N361" i="3"/>
  <c r="J361" i="3"/>
  <c r="O399" i="3"/>
  <c r="N399" i="3"/>
  <c r="J399" i="3"/>
  <c r="O171" i="3"/>
  <c r="N171" i="3"/>
  <c r="J171" i="3"/>
  <c r="J374" i="3"/>
  <c r="N374" i="3"/>
  <c r="O374" i="3"/>
  <c r="O231" i="3"/>
  <c r="F231" i="3"/>
  <c r="E231" i="3"/>
  <c r="H231" i="3"/>
  <c r="J231" i="3"/>
  <c r="N231" i="3"/>
  <c r="J362" i="3"/>
  <c r="N362" i="3"/>
  <c r="O362" i="3"/>
  <c r="J447" i="3"/>
  <c r="N447" i="3"/>
  <c r="O447" i="3"/>
  <c r="F248" i="3"/>
  <c r="E248" i="3"/>
  <c r="H248" i="3"/>
  <c r="J248" i="3"/>
  <c r="N248" i="3"/>
  <c r="O248" i="3"/>
  <c r="F272" i="3"/>
  <c r="E272" i="3"/>
  <c r="H272" i="3"/>
  <c r="I272" i="3"/>
  <c r="I413" i="3"/>
  <c r="O327" i="3"/>
  <c r="N327" i="3"/>
  <c r="J327" i="3"/>
  <c r="F219" i="3"/>
  <c r="E219" i="3"/>
  <c r="H219" i="3"/>
  <c r="I219" i="3"/>
  <c r="O233" i="3"/>
  <c r="N233" i="3"/>
  <c r="J233" i="3"/>
  <c r="O270" i="3"/>
  <c r="N270" i="3"/>
  <c r="J270" i="3"/>
  <c r="O454" i="3"/>
  <c r="N454" i="3"/>
  <c r="J454" i="3"/>
  <c r="F379" i="3"/>
  <c r="E379" i="3"/>
  <c r="H379" i="3"/>
  <c r="I379" i="3"/>
  <c r="O403" i="3"/>
  <c r="N403" i="3"/>
  <c r="J403" i="3"/>
  <c r="O192" i="3"/>
  <c r="N192" i="3"/>
  <c r="J192" i="3"/>
  <c r="O263" i="3"/>
  <c r="N263" i="3"/>
  <c r="J263" i="3"/>
  <c r="I364" i="3"/>
  <c r="I241" i="3"/>
  <c r="I216" i="3"/>
  <c r="I245" i="3"/>
  <c r="O375" i="3"/>
  <c r="N375" i="3"/>
  <c r="J375" i="3"/>
  <c r="I179" i="3"/>
  <c r="I408" i="3"/>
  <c r="O394" i="3"/>
  <c r="N394" i="3"/>
  <c r="J394" i="3"/>
  <c r="I152" i="3"/>
  <c r="I180" i="3"/>
  <c r="J357" i="3"/>
  <c r="N357" i="3"/>
  <c r="O357" i="3"/>
  <c r="I161" i="3"/>
  <c r="I252" i="3"/>
  <c r="O262" i="3"/>
  <c r="N262" i="3"/>
  <c r="J262" i="3"/>
  <c r="F356" i="3"/>
  <c r="E356" i="3"/>
  <c r="H356" i="3"/>
  <c r="I356" i="3"/>
  <c r="O433" i="3"/>
  <c r="N433" i="3"/>
  <c r="J433" i="3"/>
  <c r="F423" i="3"/>
  <c r="E423" i="3"/>
  <c r="H423" i="3"/>
  <c r="I423" i="3"/>
  <c r="I320" i="3"/>
  <c r="F374" i="3"/>
  <c r="E374" i="3"/>
  <c r="H374" i="3"/>
  <c r="I374" i="3"/>
  <c r="O206" i="3"/>
  <c r="N206" i="3"/>
  <c r="J206" i="3"/>
  <c r="O269" i="3"/>
  <c r="N269" i="3"/>
  <c r="J269" i="3"/>
  <c r="F185" i="3"/>
  <c r="E185" i="3"/>
  <c r="H185" i="3"/>
  <c r="I185" i="3"/>
  <c r="O332" i="3"/>
  <c r="N332" i="3"/>
  <c r="J332" i="3"/>
  <c r="O414" i="3"/>
  <c r="N414" i="3"/>
  <c r="J414" i="3"/>
  <c r="I350" i="3"/>
  <c r="I237" i="3"/>
  <c r="F270" i="3"/>
  <c r="E270" i="3"/>
  <c r="H270" i="3"/>
  <c r="I270" i="3"/>
  <c r="O405" i="3"/>
  <c r="N405" i="3"/>
  <c r="J405" i="3"/>
  <c r="I435" i="3"/>
  <c r="F320" i="3"/>
  <c r="E320" i="3"/>
  <c r="H320" i="3"/>
  <c r="J320" i="3"/>
  <c r="N320" i="3"/>
  <c r="O320" i="3"/>
  <c r="O283" i="3"/>
  <c r="N283" i="3"/>
  <c r="J283" i="3"/>
  <c r="O224" i="3"/>
  <c r="N224" i="3"/>
  <c r="J224" i="3"/>
  <c r="I441" i="3"/>
  <c r="O359" i="3"/>
  <c r="N359" i="3"/>
  <c r="J359" i="3"/>
  <c r="O343" i="3"/>
  <c r="N343" i="3"/>
  <c r="J343" i="3"/>
  <c r="I455" i="3"/>
  <c r="I55" i="3"/>
  <c r="J249" i="3"/>
  <c r="N249" i="3"/>
  <c r="O249" i="3"/>
  <c r="F326" i="3"/>
  <c r="E326" i="3"/>
  <c r="H326" i="3"/>
  <c r="I326" i="3"/>
  <c r="F394" i="3"/>
  <c r="E394" i="3"/>
  <c r="H394" i="3"/>
  <c r="I394" i="3"/>
  <c r="J366" i="3"/>
  <c r="N366" i="3"/>
  <c r="O366" i="3"/>
  <c r="J310" i="3"/>
  <c r="N310" i="3"/>
  <c r="O310" i="3"/>
  <c r="I318" i="3"/>
  <c r="J331" i="3"/>
  <c r="N331" i="3"/>
  <c r="O331" i="3"/>
  <c r="J261" i="3"/>
  <c r="N261" i="3"/>
  <c r="O261" i="3"/>
  <c r="J186" i="3"/>
  <c r="N186" i="3"/>
  <c r="O186" i="3"/>
  <c r="F206" i="3"/>
  <c r="E206" i="3"/>
  <c r="H206" i="3"/>
  <c r="I206" i="3"/>
  <c r="I443" i="3"/>
  <c r="I422" i="3"/>
  <c r="O305" i="3"/>
  <c r="N305" i="3"/>
  <c r="J305" i="3"/>
  <c r="I354" i="3"/>
  <c r="O246" i="3"/>
  <c r="F246" i="3"/>
  <c r="E246" i="3"/>
  <c r="H246" i="3"/>
  <c r="J246" i="3"/>
  <c r="N246" i="3"/>
  <c r="O328" i="3"/>
  <c r="N328" i="3"/>
  <c r="J328" i="3"/>
  <c r="J382" i="3"/>
  <c r="N382" i="3"/>
  <c r="O382" i="3"/>
  <c r="O386" i="3"/>
  <c r="N386" i="3"/>
  <c r="J386" i="3"/>
  <c r="J376" i="3"/>
  <c r="N376" i="3"/>
  <c r="O376" i="3"/>
  <c r="O341" i="3"/>
  <c r="N341" i="3"/>
  <c r="J341" i="3"/>
  <c r="I373" i="3"/>
  <c r="O435" i="3"/>
  <c r="F435" i="3"/>
  <c r="E435" i="3"/>
  <c r="H435" i="3"/>
  <c r="J435" i="3"/>
  <c r="N435" i="3"/>
  <c r="J391" i="3"/>
  <c r="N391" i="3"/>
  <c r="O391" i="3"/>
  <c r="O292" i="3"/>
  <c r="N292" i="3"/>
  <c r="J292" i="3"/>
  <c r="I416" i="3"/>
  <c r="I220" i="3"/>
  <c r="I197" i="3"/>
  <c r="F361" i="3"/>
  <c r="E361" i="3"/>
  <c r="H361" i="3"/>
  <c r="I361" i="3"/>
  <c r="F262" i="3"/>
  <c r="E262" i="3"/>
  <c r="H262" i="3"/>
  <c r="I262" i="3"/>
  <c r="F196" i="3"/>
  <c r="E196" i="3"/>
  <c r="H196" i="3"/>
  <c r="I196" i="3"/>
  <c r="O296" i="3"/>
  <c r="N296" i="3"/>
  <c r="J296" i="3"/>
  <c r="O448" i="3"/>
  <c r="N448" i="3"/>
  <c r="J448" i="3"/>
  <c r="J230" i="3"/>
  <c r="N230" i="3"/>
  <c r="O230" i="3"/>
  <c r="O295" i="3"/>
  <c r="N295" i="3"/>
  <c r="J295" i="3"/>
  <c r="O445" i="3"/>
  <c r="N445" i="3"/>
  <c r="J445" i="3"/>
  <c r="O214" i="3"/>
  <c r="N214" i="3"/>
  <c r="J214" i="3"/>
  <c r="F202" i="3"/>
  <c r="E202" i="3"/>
  <c r="H202" i="3"/>
  <c r="I202" i="3"/>
  <c r="F164" i="3"/>
  <c r="E164" i="3"/>
  <c r="H164" i="3"/>
  <c r="I164" i="3"/>
  <c r="O288" i="3"/>
  <c r="N288" i="3"/>
  <c r="J288" i="3"/>
  <c r="F161" i="3"/>
  <c r="E161" i="3"/>
  <c r="H161" i="3"/>
  <c r="J161" i="3"/>
  <c r="N161" i="3"/>
  <c r="O161" i="3"/>
  <c r="O385" i="3"/>
  <c r="F385" i="3"/>
  <c r="E385" i="3"/>
  <c r="H385" i="3"/>
  <c r="J385" i="3"/>
  <c r="N385" i="3"/>
  <c r="O378" i="3"/>
  <c r="N378" i="3"/>
  <c r="J378" i="3"/>
  <c r="F386" i="3"/>
  <c r="E386" i="3"/>
  <c r="H386" i="3"/>
  <c r="I386" i="3"/>
  <c r="F287" i="3"/>
  <c r="E287" i="3"/>
  <c r="H287" i="3"/>
  <c r="J287" i="3"/>
  <c r="N287" i="3"/>
  <c r="O287" i="3"/>
  <c r="F212" i="3"/>
  <c r="E212" i="3"/>
  <c r="H212" i="3"/>
  <c r="I212" i="3"/>
  <c r="I228" i="3"/>
  <c r="I334" i="3"/>
  <c r="F400" i="3"/>
  <c r="E400" i="3"/>
  <c r="H400" i="3"/>
  <c r="I400" i="3"/>
  <c r="O278" i="3"/>
  <c r="F278" i="3"/>
  <c r="E278" i="3"/>
  <c r="H278" i="3"/>
  <c r="J278" i="3"/>
  <c r="N278" i="3"/>
  <c r="I181" i="3"/>
  <c r="I409" i="3"/>
  <c r="O344" i="3"/>
  <c r="N344" i="3"/>
  <c r="J344" i="3"/>
  <c r="O239" i="3"/>
  <c r="N239" i="3"/>
  <c r="J239" i="3"/>
  <c r="O371" i="3"/>
  <c r="N371" i="3"/>
  <c r="J371" i="3"/>
  <c r="F162" i="3"/>
  <c r="E162" i="3"/>
  <c r="H162" i="3"/>
  <c r="I162" i="3"/>
  <c r="O365" i="3"/>
  <c r="N365" i="3"/>
  <c r="J365" i="3"/>
  <c r="O453" i="3"/>
  <c r="N453" i="3"/>
  <c r="J453" i="3"/>
  <c r="J299" i="3"/>
  <c r="N299" i="3"/>
  <c r="O299" i="3"/>
  <c r="F314" i="3"/>
  <c r="E314" i="3"/>
  <c r="H314" i="3"/>
  <c r="I314" i="3"/>
  <c r="J199" i="3"/>
  <c r="N199" i="3"/>
  <c r="O199" i="3"/>
  <c r="I274" i="3"/>
  <c r="F391" i="3"/>
  <c r="E391" i="3"/>
  <c r="H391" i="3"/>
  <c r="I391" i="3"/>
  <c r="O209" i="3"/>
  <c r="F209" i="3"/>
  <c r="E209" i="3"/>
  <c r="H209" i="3"/>
  <c r="J209" i="3"/>
  <c r="N209" i="3"/>
  <c r="I380" i="3"/>
  <c r="F419" i="3"/>
  <c r="E419" i="3"/>
  <c r="H419" i="3"/>
  <c r="I419" i="3"/>
  <c r="F448" i="3"/>
  <c r="E448" i="3"/>
  <c r="H448" i="3"/>
  <c r="I448" i="3"/>
  <c r="O390" i="3"/>
  <c r="N390" i="3"/>
  <c r="J390" i="3"/>
  <c r="F239" i="3"/>
  <c r="E239" i="3"/>
  <c r="H239" i="3"/>
  <c r="I239" i="3"/>
  <c r="O268" i="3"/>
  <c r="N268" i="3"/>
  <c r="J268" i="3"/>
  <c r="I368" i="3"/>
  <c r="J281" i="3"/>
  <c r="N281" i="3"/>
  <c r="O281" i="3"/>
  <c r="O409" i="3"/>
  <c r="F409" i="3"/>
  <c r="E409" i="3"/>
  <c r="H409" i="3"/>
  <c r="J409" i="3"/>
  <c r="N409" i="3"/>
  <c r="I259" i="3"/>
  <c r="J349" i="3"/>
  <c r="N349" i="3"/>
  <c r="O349" i="3"/>
  <c r="O303" i="3"/>
  <c r="N303" i="3"/>
  <c r="J303" i="3"/>
  <c r="I302" i="3"/>
  <c r="I297" i="3"/>
  <c r="I440" i="3"/>
  <c r="F371" i="3"/>
  <c r="E371" i="3"/>
  <c r="H371" i="3"/>
  <c r="I371" i="3"/>
  <c r="J175" i="3"/>
  <c r="N175" i="3"/>
  <c r="O175" i="3"/>
  <c r="O430" i="3"/>
  <c r="N430" i="3"/>
  <c r="J430" i="3"/>
  <c r="F319" i="3"/>
  <c r="E319" i="3"/>
  <c r="H319" i="3"/>
  <c r="I319" i="3"/>
  <c r="F261" i="3"/>
  <c r="E261" i="3"/>
  <c r="H261" i="3"/>
  <c r="I261" i="3"/>
  <c r="O392" i="3"/>
  <c r="N392" i="3"/>
  <c r="J392" i="3"/>
  <c r="O182" i="3"/>
  <c r="N182" i="3"/>
  <c r="J182" i="3"/>
  <c r="O208" i="3"/>
  <c r="N208" i="3"/>
  <c r="J208" i="3"/>
  <c r="O258" i="3"/>
  <c r="N258" i="3"/>
  <c r="J258" i="3"/>
  <c r="F186" i="3"/>
  <c r="E186" i="3"/>
  <c r="H186" i="3"/>
  <c r="I186" i="3"/>
  <c r="O313" i="3"/>
  <c r="N313" i="3"/>
  <c r="J313" i="3"/>
  <c r="O381" i="3"/>
  <c r="N381" i="3"/>
  <c r="J381" i="3"/>
  <c r="O217" i="3"/>
  <c r="N217" i="3"/>
  <c r="J217" i="3"/>
  <c r="I218" i="3"/>
  <c r="J232" i="3"/>
  <c r="N232" i="3"/>
  <c r="O232" i="3"/>
  <c r="O446" i="3"/>
  <c r="N446" i="3"/>
  <c r="J446" i="3"/>
  <c r="J309" i="3"/>
  <c r="N309" i="3"/>
  <c r="O309" i="3"/>
  <c r="I426" i="3"/>
  <c r="J429" i="3"/>
  <c r="N429" i="3"/>
  <c r="O429" i="3"/>
  <c r="I306" i="3"/>
  <c r="I311" i="3"/>
  <c r="O193" i="3"/>
  <c r="N193" i="3"/>
  <c r="J193" i="3"/>
  <c r="I369" i="3"/>
  <c r="F438" i="3"/>
  <c r="E438" i="3"/>
  <c r="H438" i="3"/>
  <c r="I438" i="3"/>
  <c r="I205" i="3"/>
  <c r="I401" i="3"/>
  <c r="O380" i="3"/>
  <c r="F380" i="3"/>
  <c r="E380" i="3"/>
  <c r="H380" i="3"/>
  <c r="J380" i="3"/>
  <c r="N380" i="3"/>
  <c r="F273" i="3"/>
  <c r="E273" i="3"/>
  <c r="H273" i="3"/>
  <c r="I273" i="3"/>
  <c r="O188" i="3"/>
  <c r="N188" i="3"/>
  <c r="J188" i="3"/>
  <c r="F392" i="3"/>
  <c r="E392" i="3"/>
  <c r="H392" i="3"/>
  <c r="I392" i="3"/>
  <c r="F221" i="3"/>
  <c r="E221" i="3"/>
  <c r="H221" i="3"/>
  <c r="I221" i="3"/>
  <c r="I325" i="3"/>
  <c r="F298" i="3"/>
  <c r="E298" i="3"/>
  <c r="H298" i="3"/>
  <c r="I298" i="3"/>
  <c r="I255" i="3"/>
  <c r="I323" i="3"/>
  <c r="F263" i="3"/>
  <c r="E263" i="3"/>
  <c r="H263" i="3"/>
  <c r="I263" i="3"/>
  <c r="O203" i="3"/>
  <c r="N203" i="3"/>
  <c r="J203" i="3"/>
  <c r="O329" i="3"/>
  <c r="N329" i="3"/>
  <c r="J329" i="3"/>
  <c r="I449" i="3"/>
  <c r="J338" i="3"/>
  <c r="N338" i="3"/>
  <c r="O338" i="3"/>
  <c r="O412" i="3"/>
  <c r="N412" i="3"/>
  <c r="J412" i="3"/>
  <c r="I267" i="3"/>
  <c r="O271" i="3"/>
  <c r="N271" i="3"/>
  <c r="J271" i="3"/>
  <c r="O293" i="3"/>
  <c r="N293" i="3"/>
  <c r="J293" i="3"/>
  <c r="F429" i="3"/>
  <c r="E429" i="3"/>
  <c r="H429" i="3"/>
  <c r="I429" i="3"/>
  <c r="F359" i="3"/>
  <c r="E359" i="3"/>
  <c r="H359" i="3"/>
  <c r="I359" i="3"/>
  <c r="O427" i="3"/>
  <c r="N427" i="3"/>
  <c r="J427" i="3"/>
  <c r="I254" i="3"/>
  <c r="I211" i="3"/>
  <c r="I167" i="3"/>
  <c r="O218" i="3"/>
  <c r="F218" i="3"/>
  <c r="E218" i="3"/>
  <c r="H218" i="3"/>
  <c r="J218" i="3"/>
  <c r="N218" i="3"/>
  <c r="F241" i="3"/>
  <c r="E241" i="3"/>
  <c r="H241" i="3"/>
  <c r="J241" i="3"/>
  <c r="N241" i="3"/>
  <c r="O241" i="3"/>
  <c r="O347" i="3"/>
  <c r="N347" i="3"/>
  <c r="J347" i="3"/>
  <c r="F413" i="3"/>
  <c r="E413" i="3"/>
  <c r="H413" i="3"/>
  <c r="J413" i="3"/>
  <c r="N413" i="3"/>
  <c r="O413" i="3"/>
  <c r="I286" i="3"/>
  <c r="J418" i="3"/>
  <c r="N418" i="3"/>
  <c r="O418" i="3"/>
  <c r="F233" i="3"/>
  <c r="E233" i="3"/>
  <c r="H233" i="3"/>
  <c r="I233" i="3"/>
  <c r="J316" i="3"/>
  <c r="N316" i="3"/>
  <c r="O316" i="3"/>
  <c r="I235" i="3"/>
  <c r="J451" i="3"/>
  <c r="N451" i="3"/>
  <c r="O451" i="3"/>
  <c r="J238" i="3"/>
  <c r="N238" i="3"/>
  <c r="O238" i="3"/>
  <c r="J324" i="3"/>
  <c r="N324" i="3"/>
  <c r="O324" i="3"/>
  <c r="F453" i="3"/>
  <c r="E453" i="3"/>
  <c r="H453" i="3"/>
  <c r="I453" i="3"/>
  <c r="F412" i="3"/>
  <c r="E412" i="3"/>
  <c r="H412" i="3"/>
  <c r="I412" i="3"/>
  <c r="I234" i="3"/>
  <c r="J348" i="3"/>
  <c r="N348" i="3"/>
  <c r="O348" i="3"/>
  <c r="O431" i="3"/>
  <c r="N431" i="3"/>
  <c r="J431" i="3"/>
  <c r="F182" i="3"/>
  <c r="E182" i="3"/>
  <c r="H182" i="3"/>
  <c r="I182" i="3"/>
  <c r="J308" i="3"/>
  <c r="N308" i="3"/>
  <c r="O308" i="3"/>
  <c r="I342" i="3"/>
  <c r="I222" i="3"/>
  <c r="F313" i="3"/>
  <c r="E313" i="3"/>
  <c r="H313" i="3"/>
  <c r="I313" i="3"/>
  <c r="F316" i="3"/>
  <c r="E316" i="3"/>
  <c r="H316" i="3"/>
  <c r="I316" i="3"/>
  <c r="J398" i="3"/>
  <c r="N398" i="3"/>
  <c r="O398" i="3"/>
  <c r="O311" i="3"/>
  <c r="F311" i="3"/>
  <c r="E311" i="3"/>
  <c r="H311" i="3"/>
  <c r="J311" i="3"/>
  <c r="N311" i="3"/>
  <c r="F199" i="3"/>
  <c r="E199" i="3"/>
  <c r="H199" i="3"/>
  <c r="I199" i="3"/>
  <c r="F76" i="3"/>
  <c r="E76" i="3"/>
  <c r="H76" i="3"/>
  <c r="J76" i="3"/>
  <c r="N76" i="3"/>
  <c r="O76" i="3"/>
  <c r="F238" i="3"/>
  <c r="E238" i="3"/>
  <c r="H238" i="3"/>
  <c r="I238" i="3"/>
  <c r="F217" i="3"/>
  <c r="E217" i="3"/>
  <c r="H217" i="3"/>
  <c r="I217" i="3"/>
  <c r="I153" i="3"/>
  <c r="F324" i="3"/>
  <c r="E324" i="3"/>
  <c r="H324" i="3"/>
  <c r="I324" i="3"/>
  <c r="I168" i="3"/>
  <c r="F188" i="3"/>
  <c r="E188" i="3"/>
  <c r="H188" i="3"/>
  <c r="I188" i="3"/>
  <c r="I279" i="3"/>
  <c r="F234" i="3"/>
  <c r="E234" i="3"/>
  <c r="H234" i="3"/>
  <c r="J234" i="3"/>
  <c r="N234" i="3"/>
  <c r="O234" i="3"/>
  <c r="F396" i="3"/>
  <c r="E396" i="3"/>
  <c r="H396" i="3"/>
  <c r="I396" i="3"/>
  <c r="F224" i="3"/>
  <c r="E224" i="3"/>
  <c r="H224" i="3"/>
  <c r="I224" i="3"/>
  <c r="I340" i="3"/>
  <c r="F235" i="3"/>
  <c r="E235" i="3"/>
  <c r="H235" i="3"/>
  <c r="J235" i="3"/>
  <c r="N235" i="3"/>
  <c r="O235" i="3"/>
  <c r="F383" i="3"/>
  <c r="E383" i="3"/>
  <c r="H383" i="3"/>
  <c r="I383" i="3"/>
  <c r="O360" i="3"/>
  <c r="N360" i="3"/>
  <c r="J360" i="3"/>
  <c r="F310" i="3"/>
  <c r="E310" i="3"/>
  <c r="H310" i="3"/>
  <c r="I310" i="3"/>
  <c r="O282" i="3"/>
  <c r="N282" i="3"/>
  <c r="J282" i="3"/>
  <c r="O450" i="3"/>
  <c r="N450" i="3"/>
  <c r="J450" i="3"/>
  <c r="O168" i="3"/>
  <c r="F168" i="3"/>
  <c r="E168" i="3"/>
  <c r="H168" i="3"/>
  <c r="J168" i="3"/>
  <c r="N168" i="3"/>
  <c r="F283" i="3"/>
  <c r="E283" i="3"/>
  <c r="H283" i="3"/>
  <c r="I283" i="3"/>
  <c r="I275" i="3"/>
  <c r="F172" i="3"/>
  <c r="E172" i="3"/>
  <c r="H172" i="3"/>
  <c r="I172" i="3"/>
  <c r="F223" i="3"/>
  <c r="E223" i="3"/>
  <c r="H223" i="3"/>
  <c r="I223" i="3"/>
  <c r="I312" i="3"/>
  <c r="F257" i="3"/>
  <c r="E257" i="3"/>
  <c r="H257" i="3"/>
  <c r="I257" i="3"/>
  <c r="I428" i="3"/>
  <c r="F348" i="3"/>
  <c r="E348" i="3"/>
  <c r="H348" i="3"/>
  <c r="I348" i="3"/>
  <c r="F454" i="3"/>
  <c r="E454" i="3"/>
  <c r="H454" i="3"/>
  <c r="I454" i="3"/>
  <c r="F422" i="3"/>
  <c r="E422" i="3"/>
  <c r="H422" i="3"/>
  <c r="J422" i="3"/>
  <c r="N422" i="3"/>
  <c r="O422" i="3"/>
  <c r="I417" i="3"/>
  <c r="F303" i="3"/>
  <c r="E303" i="3"/>
  <c r="H303" i="3"/>
  <c r="I303" i="3"/>
  <c r="O291" i="3"/>
  <c r="N291" i="3"/>
  <c r="J291" i="3"/>
  <c r="F347" i="3"/>
  <c r="E347" i="3"/>
  <c r="H347" i="3"/>
  <c r="I347" i="3"/>
  <c r="F328" i="3"/>
  <c r="E328" i="3"/>
  <c r="H328" i="3"/>
  <c r="I328" i="3"/>
  <c r="J301" i="3"/>
  <c r="N301" i="3"/>
  <c r="O301" i="3"/>
  <c r="O354" i="3"/>
  <c r="F354" i="3"/>
  <c r="E354" i="3"/>
  <c r="H354" i="3"/>
  <c r="J354" i="3"/>
  <c r="N354" i="3"/>
  <c r="I321" i="3"/>
  <c r="O191" i="3"/>
  <c r="N191" i="3"/>
  <c r="J191" i="3"/>
  <c r="F375" i="3"/>
  <c r="E375" i="3"/>
  <c r="H375" i="3"/>
  <c r="I375" i="3"/>
  <c r="O351" i="3"/>
  <c r="N351" i="3"/>
  <c r="J351" i="3"/>
  <c r="I204" i="3"/>
  <c r="F292" i="3"/>
  <c r="E292" i="3"/>
  <c r="H292" i="3"/>
  <c r="I292" i="3"/>
  <c r="F180" i="3"/>
  <c r="E180" i="3"/>
  <c r="H180" i="3"/>
  <c r="J180" i="3"/>
  <c r="N180" i="3"/>
  <c r="O180" i="3"/>
  <c r="F408" i="3"/>
  <c r="E408" i="3"/>
  <c r="H408" i="3"/>
  <c r="J408" i="3"/>
  <c r="N408" i="3"/>
  <c r="O408" i="3"/>
  <c r="I434" i="3"/>
  <c r="F433" i="3"/>
  <c r="E433" i="3"/>
  <c r="H433" i="3"/>
  <c r="I433" i="3"/>
  <c r="I174" i="3"/>
  <c r="F350" i="3"/>
  <c r="E350" i="3"/>
  <c r="H350" i="3"/>
  <c r="J350" i="3"/>
  <c r="N350" i="3"/>
  <c r="O350" i="3"/>
  <c r="F187" i="3"/>
  <c r="E187" i="3"/>
  <c r="H187" i="3"/>
  <c r="I187" i="3"/>
  <c r="F322" i="3"/>
  <c r="E322" i="3"/>
  <c r="H322" i="3"/>
  <c r="I322" i="3"/>
  <c r="F220" i="3"/>
  <c r="E220" i="3"/>
  <c r="H220" i="3"/>
  <c r="J220" i="3"/>
  <c r="N220" i="3"/>
  <c r="O220" i="3"/>
  <c r="F427" i="3"/>
  <c r="E427" i="3"/>
  <c r="H427" i="3"/>
  <c r="I427" i="3"/>
  <c r="F296" i="3"/>
  <c r="E296" i="3"/>
  <c r="H296" i="3"/>
  <c r="I296" i="3"/>
  <c r="F441" i="3"/>
  <c r="E441" i="3"/>
  <c r="H441" i="3"/>
  <c r="J441" i="3"/>
  <c r="N441" i="3"/>
  <c r="O441" i="3"/>
  <c r="F390" i="3"/>
  <c r="E390" i="3"/>
  <c r="H390" i="3"/>
  <c r="I390" i="3"/>
  <c r="F251" i="3"/>
  <c r="E251" i="3"/>
  <c r="H251" i="3"/>
  <c r="I251" i="3"/>
  <c r="J432" i="3"/>
  <c r="N432" i="3"/>
  <c r="O432" i="3"/>
  <c r="F295" i="3"/>
  <c r="E295" i="3"/>
  <c r="H295" i="3"/>
  <c r="I295" i="3"/>
  <c r="F60" i="3"/>
  <c r="E60" i="3"/>
  <c r="F169" i="3"/>
  <c r="E169" i="3"/>
  <c r="H169" i="3"/>
  <c r="I169" i="3"/>
  <c r="F222" i="3"/>
  <c r="E222" i="3"/>
  <c r="H222" i="3"/>
  <c r="J222" i="3"/>
  <c r="N222" i="3"/>
  <c r="O222" i="3"/>
  <c r="F277" i="3"/>
  <c r="E277" i="3"/>
  <c r="H277" i="3"/>
  <c r="I277" i="3"/>
  <c r="I163" i="3"/>
  <c r="O346" i="3"/>
  <c r="N346" i="3"/>
  <c r="J346" i="3"/>
  <c r="F276" i="3"/>
  <c r="E276" i="3"/>
  <c r="H276" i="3"/>
  <c r="I276" i="3"/>
  <c r="I317" i="3"/>
  <c r="I166" i="3"/>
  <c r="F444" i="3"/>
  <c r="E444" i="3"/>
  <c r="H444" i="3"/>
  <c r="I444" i="3"/>
  <c r="I333" i="3"/>
  <c r="F450" i="3"/>
  <c r="E450" i="3"/>
  <c r="H450" i="3"/>
  <c r="I450" i="3"/>
  <c r="F318" i="3"/>
  <c r="E318" i="3"/>
  <c r="H318" i="3"/>
  <c r="J318" i="3"/>
  <c r="N318" i="3"/>
  <c r="O318" i="3"/>
  <c r="O434" i="3"/>
  <c r="F434" i="3"/>
  <c r="E434" i="3"/>
  <c r="H434" i="3"/>
  <c r="J434" i="3"/>
  <c r="N434" i="3"/>
  <c r="F280" i="3"/>
  <c r="E280" i="3"/>
  <c r="H280" i="3"/>
  <c r="J280" i="3"/>
  <c r="N280" i="3"/>
  <c r="O280" i="3"/>
  <c r="I227" i="3"/>
  <c r="F353" i="3"/>
  <c r="E353" i="3"/>
  <c r="H353" i="3"/>
  <c r="I353" i="3"/>
  <c r="F254" i="3"/>
  <c r="E254" i="3"/>
  <c r="H254" i="3"/>
  <c r="J254" i="3"/>
  <c r="N254" i="3"/>
  <c r="O254" i="3"/>
  <c r="F167" i="3"/>
  <c r="E167" i="3"/>
  <c r="H167" i="3"/>
  <c r="J167" i="3"/>
  <c r="N167" i="3"/>
  <c r="O167" i="3"/>
  <c r="F293" i="3"/>
  <c r="E293" i="3"/>
  <c r="H293" i="3"/>
  <c r="I293" i="3"/>
  <c r="I285" i="3"/>
  <c r="J330" i="3"/>
  <c r="N330" i="3"/>
  <c r="O330" i="3"/>
  <c r="O197" i="3"/>
  <c r="F197" i="3"/>
  <c r="E197" i="3"/>
  <c r="H197" i="3"/>
  <c r="J197" i="3"/>
  <c r="N197" i="3"/>
  <c r="F171" i="3"/>
  <c r="E171" i="3"/>
  <c r="H171" i="3"/>
  <c r="I171" i="3"/>
  <c r="J363" i="3"/>
  <c r="N363" i="3"/>
  <c r="O363" i="3"/>
  <c r="O265" i="3"/>
  <c r="N265" i="3"/>
  <c r="J265" i="3"/>
  <c r="F325" i="3"/>
  <c r="E325" i="3"/>
  <c r="H325" i="3"/>
  <c r="J325" i="3"/>
  <c r="N325" i="3"/>
  <c r="O325" i="3"/>
  <c r="F446" i="3"/>
  <c r="E446" i="3"/>
  <c r="H446" i="3"/>
  <c r="I446" i="3"/>
  <c r="F428" i="3"/>
  <c r="E428" i="3"/>
  <c r="H428" i="3"/>
  <c r="J428" i="3"/>
  <c r="N428" i="3"/>
  <c r="O428" i="3"/>
  <c r="F355" i="3"/>
  <c r="E355" i="3"/>
  <c r="H355" i="3"/>
  <c r="I355" i="3"/>
  <c r="J367" i="3"/>
  <c r="N367" i="3"/>
  <c r="O367" i="3"/>
  <c r="F154" i="3"/>
  <c r="E154" i="3"/>
  <c r="H154" i="3"/>
  <c r="I154" i="3"/>
  <c r="F393" i="3"/>
  <c r="E393" i="3"/>
  <c r="H393" i="3"/>
  <c r="I393" i="3"/>
  <c r="F166" i="3"/>
  <c r="E166" i="3"/>
  <c r="H166" i="3"/>
  <c r="J166" i="3"/>
  <c r="N166" i="3"/>
  <c r="O166" i="3"/>
  <c r="I195" i="3"/>
  <c r="F165" i="3"/>
  <c r="E165" i="3"/>
  <c r="H165" i="3"/>
  <c r="I165" i="3"/>
  <c r="F378" i="3"/>
  <c r="E378" i="3"/>
  <c r="H378" i="3"/>
  <c r="I378" i="3"/>
  <c r="F244" i="3"/>
  <c r="E244" i="3"/>
  <c r="H244" i="3"/>
  <c r="I244" i="3"/>
  <c r="O358" i="3"/>
  <c r="N358" i="3"/>
  <c r="J358" i="3"/>
  <c r="F344" i="3"/>
  <c r="E344" i="3"/>
  <c r="H344" i="3"/>
  <c r="I344" i="3"/>
  <c r="O290" i="3"/>
  <c r="N290" i="3"/>
  <c r="J290" i="3"/>
  <c r="F376" i="3"/>
  <c r="E376" i="3"/>
  <c r="H376" i="3"/>
  <c r="I376" i="3"/>
  <c r="I304" i="3"/>
  <c r="F210" i="3"/>
  <c r="E210" i="3"/>
  <c r="H210" i="3"/>
  <c r="I210" i="3"/>
  <c r="I420" i="3"/>
  <c r="I384" i="3"/>
  <c r="F253" i="3"/>
  <c r="E253" i="3"/>
  <c r="H253" i="3"/>
  <c r="I253" i="3"/>
  <c r="F330" i="3"/>
  <c r="E330" i="3"/>
  <c r="H330" i="3"/>
  <c r="I330" i="3"/>
  <c r="J315" i="3"/>
  <c r="N315" i="3"/>
  <c r="O315" i="3"/>
  <c r="F366" i="3"/>
  <c r="E366" i="3"/>
  <c r="H366" i="3"/>
  <c r="I366" i="3"/>
  <c r="F214" i="3"/>
  <c r="E214" i="3"/>
  <c r="H214" i="3"/>
  <c r="I214" i="3"/>
  <c r="F332" i="3"/>
  <c r="E332" i="3"/>
  <c r="H332" i="3"/>
  <c r="I332" i="3"/>
  <c r="F285" i="3"/>
  <c r="E285" i="3"/>
  <c r="H285" i="3"/>
  <c r="J285" i="3"/>
  <c r="N285" i="3"/>
  <c r="O285" i="3"/>
  <c r="F308" i="3"/>
  <c r="E308" i="3"/>
  <c r="H308" i="3"/>
  <c r="I308" i="3"/>
  <c r="F398" i="3"/>
  <c r="E398" i="3"/>
  <c r="H398" i="3"/>
  <c r="I398" i="3"/>
  <c r="F216" i="3"/>
  <c r="E216" i="3"/>
  <c r="H216" i="3"/>
  <c r="J216" i="3"/>
  <c r="N216" i="3"/>
  <c r="O216" i="3"/>
  <c r="J158" i="3"/>
  <c r="N158" i="3"/>
  <c r="O158" i="3"/>
  <c r="I170" i="3"/>
  <c r="F351" i="3"/>
  <c r="E351" i="3"/>
  <c r="H351" i="3"/>
  <c r="I351" i="3"/>
  <c r="F431" i="3"/>
  <c r="E431" i="3"/>
  <c r="H431" i="3"/>
  <c r="I431" i="3"/>
  <c r="F333" i="3"/>
  <c r="E333" i="3"/>
  <c r="H333" i="3"/>
  <c r="J333" i="3"/>
  <c r="N333" i="3"/>
  <c r="O333" i="3"/>
  <c r="O204" i="3"/>
  <c r="F204" i="3"/>
  <c r="E204" i="3"/>
  <c r="H204" i="3"/>
  <c r="J204" i="3"/>
  <c r="N204" i="3"/>
  <c r="F55" i="3"/>
  <c r="E55" i="3"/>
  <c r="H55" i="3"/>
  <c r="J55" i="3"/>
  <c r="N55" i="3"/>
  <c r="O55" i="3"/>
  <c r="J189" i="3"/>
  <c r="N189" i="3"/>
  <c r="O189" i="3"/>
  <c r="F302" i="3"/>
  <c r="E302" i="3"/>
  <c r="H302" i="3"/>
  <c r="J302" i="3"/>
  <c r="N302" i="3"/>
  <c r="O302" i="3"/>
  <c r="F258" i="3"/>
  <c r="E258" i="3"/>
  <c r="H258" i="3"/>
  <c r="I258" i="3"/>
  <c r="O440" i="3"/>
  <c r="F440" i="3"/>
  <c r="E440" i="3"/>
  <c r="H440" i="3"/>
  <c r="J440" i="3"/>
  <c r="N440" i="3"/>
  <c r="I339" i="3"/>
  <c r="J242" i="3"/>
  <c r="N242" i="3"/>
  <c r="O242" i="3"/>
  <c r="F252" i="3"/>
  <c r="E252" i="3"/>
  <c r="H252" i="3"/>
  <c r="J252" i="3"/>
  <c r="N252" i="3"/>
  <c r="O252" i="3"/>
  <c r="F305" i="3"/>
  <c r="E305" i="3"/>
  <c r="H305" i="3"/>
  <c r="I305" i="3"/>
  <c r="F153" i="3"/>
  <c r="E153" i="3"/>
  <c r="H153" i="3"/>
  <c r="J153" i="3"/>
  <c r="N153" i="3"/>
  <c r="O153" i="3"/>
  <c r="F175" i="3"/>
  <c r="E175" i="3"/>
  <c r="H175" i="3"/>
  <c r="I175" i="3"/>
  <c r="F443" i="3"/>
  <c r="E443" i="3"/>
  <c r="H443" i="3"/>
  <c r="J443" i="3"/>
  <c r="N443" i="3"/>
  <c r="O443" i="3"/>
  <c r="F207" i="3"/>
  <c r="E207" i="3"/>
  <c r="H207" i="3"/>
  <c r="I207" i="3"/>
  <c r="F194" i="3"/>
  <c r="E194" i="3"/>
  <c r="H194" i="3"/>
  <c r="I194" i="3"/>
  <c r="O304" i="3"/>
  <c r="F304" i="3"/>
  <c r="E304" i="3"/>
  <c r="H304" i="3"/>
  <c r="J304" i="3"/>
  <c r="N304" i="3"/>
  <c r="F329" i="3"/>
  <c r="E329" i="3"/>
  <c r="H329" i="3"/>
  <c r="I329" i="3"/>
  <c r="J264" i="3"/>
  <c r="N264" i="3"/>
  <c r="O264" i="3"/>
  <c r="F228" i="3"/>
  <c r="E228" i="3"/>
  <c r="H228" i="3"/>
  <c r="J228" i="3"/>
  <c r="N228" i="3"/>
  <c r="O228" i="3"/>
  <c r="F336" i="3"/>
  <c r="E336" i="3"/>
  <c r="H336" i="3"/>
  <c r="I336" i="3"/>
  <c r="I200" i="3"/>
  <c r="I247" i="3"/>
  <c r="I407" i="3"/>
  <c r="I439" i="3"/>
  <c r="F452" i="3"/>
  <c r="E452" i="3"/>
  <c r="H452" i="3"/>
  <c r="I452" i="3"/>
  <c r="F362" i="3"/>
  <c r="E362" i="3"/>
  <c r="H362" i="3"/>
  <c r="I362" i="3"/>
  <c r="F321" i="3"/>
  <c r="E321" i="3"/>
  <c r="H321" i="3"/>
  <c r="J321" i="3"/>
  <c r="N321" i="3"/>
  <c r="O321" i="3"/>
  <c r="F268" i="3"/>
  <c r="E268" i="3"/>
  <c r="H268" i="3"/>
  <c r="I268" i="3"/>
  <c r="F255" i="3"/>
  <c r="E255" i="3"/>
  <c r="H255" i="3"/>
  <c r="J255" i="3"/>
  <c r="N255" i="3"/>
  <c r="O255" i="3"/>
  <c r="F229" i="3"/>
  <c r="E229" i="3"/>
  <c r="H229" i="3"/>
  <c r="I229" i="3"/>
  <c r="F189" i="3"/>
  <c r="E189" i="3"/>
  <c r="H189" i="3"/>
  <c r="I189" i="3"/>
  <c r="I184" i="3"/>
  <c r="F299" i="3"/>
  <c r="E299" i="3"/>
  <c r="H299" i="3"/>
  <c r="I299" i="3"/>
  <c r="F297" i="3"/>
  <c r="E297" i="3"/>
  <c r="H297" i="3"/>
  <c r="J297" i="3"/>
  <c r="N297" i="3"/>
  <c r="O297" i="3"/>
  <c r="F432" i="3"/>
  <c r="E432" i="3"/>
  <c r="H432" i="3"/>
  <c r="I432" i="3"/>
  <c r="F7" i="3"/>
  <c r="E7" i="3"/>
  <c r="H7" i="3"/>
  <c r="I7" i="3"/>
  <c r="O7" i="3"/>
  <c r="F291" i="3"/>
  <c r="E291" i="3"/>
  <c r="H291" i="3"/>
  <c r="I291" i="3"/>
  <c r="I236" i="3"/>
  <c r="F415" i="3"/>
  <c r="E415" i="3"/>
  <c r="H415" i="3"/>
  <c r="I415" i="3"/>
  <c r="F301" i="3"/>
  <c r="E301" i="3"/>
  <c r="H301" i="3"/>
  <c r="I301" i="3"/>
  <c r="I289" i="3"/>
  <c r="F410" i="3"/>
  <c r="E410" i="3"/>
  <c r="H410" i="3"/>
  <c r="I410" i="3"/>
  <c r="F331" i="3"/>
  <c r="E331" i="3"/>
  <c r="H331" i="3"/>
  <c r="I331" i="3"/>
  <c r="F455" i="3"/>
  <c r="E455" i="3"/>
  <c r="H455" i="3"/>
  <c r="J455" i="3"/>
  <c r="N455" i="3"/>
  <c r="O455" i="3"/>
  <c r="F382" i="3"/>
  <c r="E382" i="3"/>
  <c r="H382" i="3"/>
  <c r="I382" i="3"/>
  <c r="J425" i="3"/>
  <c r="N425" i="3"/>
  <c r="O425" i="3"/>
  <c r="F286" i="3"/>
  <c r="E286" i="3"/>
  <c r="H286" i="3"/>
  <c r="J286" i="3"/>
  <c r="N286" i="3"/>
  <c r="O286" i="3"/>
  <c r="F157" i="3"/>
  <c r="E157" i="3"/>
  <c r="H157" i="3"/>
  <c r="J157" i="3"/>
  <c r="N157" i="3"/>
  <c r="O157" i="3"/>
  <c r="J41" i="3"/>
  <c r="N41" i="3"/>
  <c r="O41" i="3"/>
  <c r="J226" i="3"/>
  <c r="N226" i="3"/>
  <c r="O226" i="3"/>
  <c r="I372" i="3"/>
  <c r="F337" i="3"/>
  <c r="E337" i="3"/>
  <c r="H337" i="3"/>
  <c r="I337" i="3"/>
  <c r="F282" i="3"/>
  <c r="E282" i="3"/>
  <c r="H282" i="3"/>
  <c r="I282" i="3"/>
  <c r="F381" i="3"/>
  <c r="E381" i="3"/>
  <c r="H381" i="3"/>
  <c r="I381" i="3"/>
  <c r="F158" i="3"/>
  <c r="E158" i="3"/>
  <c r="H158" i="3"/>
  <c r="I158" i="3"/>
  <c r="F240" i="3"/>
  <c r="E240" i="3"/>
  <c r="H240" i="3"/>
  <c r="J240" i="3"/>
  <c r="N240" i="3"/>
  <c r="O240" i="3"/>
  <c r="I256" i="3"/>
  <c r="F266" i="3"/>
  <c r="E266" i="3"/>
  <c r="H266" i="3"/>
  <c r="J266" i="3"/>
  <c r="N266" i="3"/>
  <c r="O266" i="3"/>
  <c r="F178" i="3"/>
  <c r="E178" i="3"/>
  <c r="H178" i="3"/>
  <c r="I178" i="3"/>
  <c r="F343" i="3"/>
  <c r="E343" i="3"/>
  <c r="H343" i="3"/>
  <c r="I343" i="3"/>
  <c r="F338" i="3"/>
  <c r="E338" i="3"/>
  <c r="H338" i="3"/>
  <c r="I338" i="3"/>
  <c r="I215" i="3"/>
  <c r="F405" i="3"/>
  <c r="E405" i="3"/>
  <c r="H405" i="3"/>
  <c r="I405" i="3"/>
  <c r="F414" i="3"/>
  <c r="E414" i="3"/>
  <c r="H414" i="3"/>
  <c r="I414" i="3"/>
  <c r="I260" i="3"/>
  <c r="F174" i="3"/>
  <c r="E174" i="3"/>
  <c r="H174" i="3"/>
  <c r="J174" i="3"/>
  <c r="N174" i="3"/>
  <c r="O174" i="3"/>
  <c r="O388" i="3"/>
  <c r="N388" i="3"/>
  <c r="J388" i="3"/>
  <c r="I284" i="3"/>
  <c r="F312" i="3"/>
  <c r="E312" i="3"/>
  <c r="H312" i="3"/>
  <c r="J312" i="3"/>
  <c r="N312" i="3"/>
  <c r="O312" i="3"/>
  <c r="F279" i="3"/>
  <c r="E279" i="3"/>
  <c r="H279" i="3"/>
  <c r="J279" i="3"/>
  <c r="N279" i="3"/>
  <c r="O279" i="3"/>
  <c r="F247" i="3"/>
  <c r="E247" i="3"/>
  <c r="H247" i="3"/>
  <c r="J247" i="3"/>
  <c r="N247" i="3"/>
  <c r="O247" i="3"/>
  <c r="F403" i="3"/>
  <c r="E403" i="3"/>
  <c r="H403" i="3"/>
  <c r="I403" i="3"/>
  <c r="F357" i="3"/>
  <c r="E357" i="3"/>
  <c r="H357" i="3"/>
  <c r="I357" i="3"/>
  <c r="O387" i="3"/>
  <c r="N387" i="3"/>
  <c r="J387" i="3"/>
  <c r="I177" i="3"/>
  <c r="J370" i="3"/>
  <c r="N370" i="3"/>
  <c r="O370" i="3"/>
  <c r="F192" i="3"/>
  <c r="E192" i="3"/>
  <c r="H192" i="3"/>
  <c r="I192" i="3"/>
  <c r="F309" i="3"/>
  <c r="E309" i="3"/>
  <c r="H309" i="3"/>
  <c r="I309" i="3"/>
  <c r="F340" i="3"/>
  <c r="E340" i="3"/>
  <c r="H340" i="3"/>
  <c r="J340" i="3"/>
  <c r="N340" i="3"/>
  <c r="O340" i="3"/>
  <c r="F395" i="3"/>
  <c r="E395" i="3"/>
  <c r="H395" i="3"/>
  <c r="I395" i="3"/>
  <c r="F184" i="3"/>
  <c r="E184" i="3"/>
  <c r="H184" i="3"/>
  <c r="J184" i="3"/>
  <c r="N184" i="3"/>
  <c r="O184" i="3"/>
  <c r="F306" i="3"/>
  <c r="E306" i="3"/>
  <c r="H306" i="3"/>
  <c r="J306" i="3"/>
  <c r="N306" i="3"/>
  <c r="O306" i="3"/>
  <c r="F243" i="3"/>
  <c r="E243" i="3"/>
  <c r="H243" i="3"/>
  <c r="J243" i="3"/>
  <c r="N243" i="3"/>
  <c r="O243" i="3"/>
  <c r="F41" i="3"/>
  <c r="E41" i="3"/>
  <c r="H41" i="3"/>
  <c r="I41" i="3"/>
  <c r="F201" i="3"/>
  <c r="E201" i="3"/>
  <c r="H201" i="3"/>
  <c r="I201" i="3"/>
  <c r="F346" i="3"/>
  <c r="E346" i="3"/>
  <c r="H346" i="3"/>
  <c r="I346" i="3"/>
  <c r="F49" i="3"/>
  <c r="E49" i="3"/>
  <c r="H49" i="3"/>
  <c r="I49" i="3"/>
  <c r="O211" i="3"/>
  <c r="F211" i="3"/>
  <c r="E211" i="3"/>
  <c r="H211" i="3"/>
  <c r="J211" i="3"/>
  <c r="N211" i="3"/>
  <c r="F349" i="3"/>
  <c r="E349" i="3"/>
  <c r="H349" i="3"/>
  <c r="I349" i="3"/>
  <c r="F230" i="3"/>
  <c r="E230" i="3"/>
  <c r="H230" i="3"/>
  <c r="I230" i="3"/>
  <c r="F265" i="3"/>
  <c r="E265" i="3"/>
  <c r="H265" i="3"/>
  <c r="I265" i="3"/>
  <c r="F260" i="3"/>
  <c r="E260" i="3"/>
  <c r="H260" i="3"/>
  <c r="J260" i="3"/>
  <c r="N260" i="3"/>
  <c r="O260" i="3"/>
  <c r="F425" i="3"/>
  <c r="E425" i="3"/>
  <c r="H425" i="3"/>
  <c r="I425" i="3"/>
  <c r="F424" i="3"/>
  <c r="E424" i="3"/>
  <c r="H424" i="3"/>
  <c r="I424" i="3"/>
  <c r="F388" i="3"/>
  <c r="E388" i="3"/>
  <c r="H388" i="3"/>
  <c r="I388" i="3"/>
  <c r="F402" i="3"/>
  <c r="E402" i="3"/>
  <c r="H402" i="3"/>
  <c r="I402" i="3"/>
  <c r="O449" i="3"/>
  <c r="F449" i="3"/>
  <c r="E449" i="3"/>
  <c r="H449" i="3"/>
  <c r="J449" i="3"/>
  <c r="N449" i="3"/>
  <c r="F269" i="3"/>
  <c r="E269" i="3"/>
  <c r="H269" i="3"/>
  <c r="I269" i="3"/>
  <c r="O416" i="3"/>
  <c r="F416" i="3"/>
  <c r="E416" i="3"/>
  <c r="H416" i="3"/>
  <c r="J416" i="3"/>
  <c r="N416" i="3"/>
  <c r="O339" i="3"/>
  <c r="F339" i="3"/>
  <c r="E339" i="3"/>
  <c r="H339" i="3"/>
  <c r="J339" i="3"/>
  <c r="N339" i="3"/>
  <c r="F399" i="3"/>
  <c r="E399" i="3"/>
  <c r="H399" i="3"/>
  <c r="I399" i="3"/>
  <c r="O407" i="3"/>
  <c r="F407" i="3"/>
  <c r="E407" i="3"/>
  <c r="H407" i="3"/>
  <c r="J407" i="3"/>
  <c r="N407" i="3"/>
  <c r="F439" i="3"/>
  <c r="E439" i="3"/>
  <c r="H439" i="3"/>
  <c r="J439" i="3"/>
  <c r="N439" i="3"/>
  <c r="O439" i="3"/>
  <c r="F341" i="3"/>
  <c r="E341" i="3"/>
  <c r="H341" i="3"/>
  <c r="I341" i="3"/>
  <c r="O436" i="3"/>
  <c r="N436" i="3"/>
  <c r="J436" i="3"/>
  <c r="O437" i="3"/>
  <c r="N437" i="3"/>
  <c r="J437" i="3"/>
  <c r="F198" i="3"/>
  <c r="E198" i="3"/>
  <c r="H198" i="3"/>
  <c r="I198" i="3"/>
  <c r="F245" i="3"/>
  <c r="E245" i="3"/>
  <c r="H245" i="3"/>
  <c r="J245" i="3"/>
  <c r="N245" i="3"/>
  <c r="O245" i="3"/>
  <c r="F271" i="3"/>
  <c r="E271" i="3"/>
  <c r="H271" i="3"/>
  <c r="I271" i="3"/>
  <c r="F323" i="3"/>
  <c r="E323" i="3"/>
  <c r="H323" i="3"/>
  <c r="J323" i="3"/>
  <c r="N323" i="3"/>
  <c r="O323" i="3"/>
  <c r="F365" i="3"/>
  <c r="E365" i="3"/>
  <c r="H365" i="3"/>
  <c r="I365" i="3"/>
  <c r="F163" i="3"/>
  <c r="E163" i="3"/>
  <c r="H163" i="3"/>
  <c r="J163" i="3"/>
  <c r="N163" i="3"/>
  <c r="O163" i="3"/>
  <c r="F176" i="3"/>
  <c r="E176" i="3"/>
  <c r="H176" i="3"/>
  <c r="J176" i="3"/>
  <c r="N176" i="3"/>
  <c r="O176" i="3"/>
  <c r="F203" i="3"/>
  <c r="E203" i="3"/>
  <c r="H203" i="3"/>
  <c r="I203" i="3"/>
  <c r="F372" i="3"/>
  <c r="E372" i="3"/>
  <c r="H372" i="3"/>
  <c r="J372" i="3"/>
  <c r="N372" i="3"/>
  <c r="O372" i="3"/>
  <c r="F367" i="3"/>
  <c r="E367" i="3"/>
  <c r="H367" i="3"/>
  <c r="I367" i="3"/>
  <c r="F179" i="3"/>
  <c r="E179" i="3"/>
  <c r="H179" i="3"/>
  <c r="J179" i="3"/>
  <c r="N179" i="3"/>
  <c r="O179" i="3"/>
  <c r="F397" i="3"/>
  <c r="E397" i="3"/>
  <c r="H397" i="3"/>
  <c r="I397" i="3"/>
  <c r="F152" i="3"/>
  <c r="E152" i="3"/>
  <c r="H152" i="3"/>
  <c r="J152" i="3"/>
  <c r="N152" i="3"/>
  <c r="O152" i="3"/>
  <c r="F358" i="3"/>
  <c r="E358" i="3"/>
  <c r="H358" i="3"/>
  <c r="I358" i="3"/>
  <c r="F421" i="3"/>
  <c r="E421" i="3"/>
  <c r="H421" i="3"/>
  <c r="I421" i="3"/>
  <c r="F369" i="3"/>
  <c r="E369" i="3"/>
  <c r="H369" i="3"/>
  <c r="J369" i="3"/>
  <c r="N369" i="3"/>
  <c r="O369" i="3"/>
  <c r="F256" i="3"/>
  <c r="E256" i="3"/>
  <c r="H256" i="3"/>
  <c r="J256" i="3"/>
  <c r="N256" i="3"/>
  <c r="O256" i="3"/>
  <c r="F317" i="3"/>
  <c r="E317" i="3"/>
  <c r="H317" i="3"/>
  <c r="J317" i="3"/>
  <c r="N317" i="3"/>
  <c r="O317" i="3"/>
  <c r="F227" i="3"/>
  <c r="E227" i="3"/>
  <c r="H227" i="3"/>
  <c r="J227" i="3"/>
  <c r="N227" i="3"/>
  <c r="O227" i="3"/>
  <c r="F215" i="3"/>
  <c r="E215" i="3"/>
  <c r="H215" i="3"/>
  <c r="J215" i="3"/>
  <c r="N215" i="3"/>
  <c r="O215" i="3"/>
  <c r="F334" i="3"/>
  <c r="E334" i="3"/>
  <c r="H334" i="3"/>
  <c r="J334" i="3"/>
  <c r="N334" i="3"/>
  <c r="O334" i="3"/>
  <c r="F437" i="3"/>
  <c r="E437" i="3"/>
  <c r="H437" i="3"/>
  <c r="I437" i="3"/>
  <c r="F242" i="3"/>
  <c r="E242" i="3"/>
  <c r="H242" i="3"/>
  <c r="I242" i="3"/>
  <c r="F420" i="3"/>
  <c r="E420" i="3"/>
  <c r="H420" i="3"/>
  <c r="J420" i="3"/>
  <c r="N420" i="3"/>
  <c r="O420" i="3"/>
  <c r="J250" i="3"/>
  <c r="N250" i="3"/>
  <c r="O250" i="3"/>
  <c r="F195" i="3"/>
  <c r="E195" i="3"/>
  <c r="H195" i="3"/>
  <c r="J195" i="3"/>
  <c r="N195" i="3"/>
  <c r="O195" i="3"/>
  <c r="F442" i="3"/>
  <c r="E442" i="3"/>
  <c r="H442" i="3"/>
  <c r="I442" i="3"/>
  <c r="F445" i="3"/>
  <c r="E445" i="3"/>
  <c r="H445" i="3"/>
  <c r="I445" i="3"/>
  <c r="F275" i="3"/>
  <c r="E275" i="3"/>
  <c r="H275" i="3"/>
  <c r="J275" i="3"/>
  <c r="N275" i="3"/>
  <c r="O275" i="3"/>
  <c r="F249" i="3"/>
  <c r="E249" i="3"/>
  <c r="H249" i="3"/>
  <c r="I249" i="3"/>
  <c r="F190" i="3"/>
  <c r="E190" i="3"/>
  <c r="H190" i="3"/>
  <c r="I190" i="3"/>
  <c r="F373" i="3"/>
  <c r="E373" i="3"/>
  <c r="H373" i="3"/>
  <c r="J373" i="3"/>
  <c r="N373" i="3"/>
  <c r="O373" i="3"/>
  <c r="F387" i="3"/>
  <c r="E387" i="3"/>
  <c r="H387" i="3"/>
  <c r="I387" i="3"/>
  <c r="F327" i="3"/>
  <c r="E327" i="3"/>
  <c r="H327" i="3"/>
  <c r="I327" i="3"/>
  <c r="F267" i="3"/>
  <c r="E267" i="3"/>
  <c r="H267" i="3"/>
  <c r="J267" i="3"/>
  <c r="N267" i="3"/>
  <c r="O267" i="3"/>
  <c r="I183" i="3"/>
  <c r="F377" i="3"/>
  <c r="E377" i="3"/>
  <c r="H377" i="3"/>
  <c r="I377" i="3"/>
  <c r="F191" i="3"/>
  <c r="E191" i="3"/>
  <c r="H191" i="3"/>
  <c r="I191" i="3"/>
  <c r="F173" i="3"/>
  <c r="E173" i="3"/>
  <c r="H173" i="3"/>
  <c r="I173" i="3"/>
  <c r="F418" i="3"/>
  <c r="E418" i="3"/>
  <c r="H418" i="3"/>
  <c r="I418" i="3"/>
  <c r="F284" i="3"/>
  <c r="E284" i="3"/>
  <c r="H284" i="3"/>
  <c r="J284" i="3"/>
  <c r="N284" i="3"/>
  <c r="O284" i="3"/>
  <c r="F170" i="3"/>
  <c r="E170" i="3"/>
  <c r="H170" i="3"/>
  <c r="J170" i="3"/>
  <c r="N170" i="3"/>
  <c r="O170" i="3"/>
  <c r="F447" i="3"/>
  <c r="E447" i="3"/>
  <c r="H447" i="3"/>
  <c r="I447" i="3"/>
  <c r="F193" i="3"/>
  <c r="E193" i="3"/>
  <c r="H193" i="3"/>
  <c r="I193" i="3"/>
  <c r="F389" i="3"/>
  <c r="E389" i="3"/>
  <c r="H389" i="3"/>
  <c r="I389" i="3"/>
  <c r="F451" i="3"/>
  <c r="E451" i="3"/>
  <c r="H451" i="3"/>
  <c r="I451" i="3"/>
  <c r="F430" i="3"/>
  <c r="E430" i="3"/>
  <c r="H430" i="3"/>
  <c r="I430" i="3"/>
  <c r="F183" i="3"/>
  <c r="E183" i="3"/>
  <c r="H183" i="3"/>
  <c r="J183" i="3"/>
  <c r="N183" i="3"/>
  <c r="O183" i="3"/>
  <c r="F345" i="3"/>
  <c r="E345" i="3"/>
  <c r="H345" i="3"/>
  <c r="I345" i="3"/>
  <c r="F205" i="3"/>
  <c r="E205" i="3"/>
  <c r="H205" i="3"/>
  <c r="J205" i="3"/>
  <c r="N205" i="3"/>
  <c r="O205" i="3"/>
  <c r="F290" i="3"/>
  <c r="E290" i="3"/>
  <c r="H290" i="3"/>
  <c r="I290" i="3"/>
  <c r="F250" i="3"/>
  <c r="E250" i="3"/>
  <c r="H250" i="3"/>
  <c r="I250" i="3"/>
  <c r="F360" i="3"/>
  <c r="E360" i="3"/>
  <c r="H360" i="3"/>
  <c r="I360" i="3"/>
  <c r="F401" i="3"/>
  <c r="E401" i="3"/>
  <c r="H401" i="3"/>
  <c r="J401" i="3"/>
  <c r="N401" i="3"/>
  <c r="O401" i="3"/>
  <c r="F232" i="3"/>
  <c r="E232" i="3"/>
  <c r="H232" i="3"/>
  <c r="I232" i="3"/>
  <c r="F294" i="3"/>
  <c r="E294" i="3"/>
  <c r="H294" i="3"/>
  <c r="I294" i="3"/>
  <c r="F406" i="3"/>
  <c r="E406" i="3"/>
  <c r="H406" i="3"/>
  <c r="I406" i="3"/>
  <c r="F281" i="3"/>
  <c r="E281" i="3"/>
  <c r="H281" i="3"/>
  <c r="I281" i="3"/>
  <c r="F352" i="3"/>
  <c r="E352" i="3"/>
  <c r="H352" i="3"/>
  <c r="J352" i="3"/>
  <c r="N352" i="3"/>
  <c r="O352" i="3"/>
  <c r="F181" i="3"/>
  <c r="E181" i="3"/>
  <c r="H181" i="3"/>
  <c r="J181" i="3"/>
  <c r="N181" i="3"/>
  <c r="O181" i="3"/>
  <c r="F364" i="3"/>
  <c r="E364" i="3"/>
  <c r="H364" i="3"/>
  <c r="J364" i="3"/>
  <c r="N364" i="3"/>
  <c r="O364" i="3"/>
  <c r="F315" i="3"/>
  <c r="E315" i="3"/>
  <c r="H315" i="3"/>
  <c r="I315" i="3"/>
  <c r="F237" i="3"/>
  <c r="E237" i="3"/>
  <c r="H237" i="3"/>
  <c r="J237" i="3"/>
  <c r="N237" i="3"/>
  <c r="O237" i="3"/>
  <c r="F264" i="3"/>
  <c r="E264" i="3"/>
  <c r="H264" i="3"/>
  <c r="I264" i="3"/>
  <c r="F417" i="3"/>
  <c r="E417" i="3"/>
  <c r="H417" i="3"/>
  <c r="J417" i="3"/>
  <c r="N417" i="3"/>
  <c r="O417" i="3"/>
  <c r="F208" i="3"/>
  <c r="E208" i="3"/>
  <c r="H208" i="3"/>
  <c r="I208" i="3"/>
  <c r="F259" i="3"/>
  <c r="E259" i="3"/>
  <c r="H259" i="3"/>
  <c r="J259" i="3"/>
  <c r="N259" i="3"/>
  <c r="O259" i="3"/>
  <c r="F384" i="3"/>
  <c r="E384" i="3"/>
  <c r="H384" i="3"/>
  <c r="J384" i="3"/>
  <c r="N384" i="3"/>
  <c r="O384" i="3"/>
  <c r="F368" i="3"/>
  <c r="E368" i="3"/>
  <c r="H368" i="3"/>
  <c r="J368" i="3"/>
  <c r="N368" i="3"/>
  <c r="O368" i="3"/>
  <c r="F200" i="3"/>
  <c r="E200" i="3"/>
  <c r="H200" i="3"/>
  <c r="J200" i="3"/>
  <c r="N200" i="3"/>
  <c r="O200" i="3"/>
  <c r="F342" i="3"/>
  <c r="E342" i="3"/>
  <c r="H342" i="3"/>
  <c r="J342" i="3"/>
  <c r="N342" i="3"/>
  <c r="O342" i="3"/>
  <c r="F300" i="3"/>
  <c r="E300" i="3"/>
  <c r="H300" i="3"/>
  <c r="J300" i="3"/>
  <c r="N300" i="3"/>
  <c r="O300" i="3"/>
  <c r="F236" i="3"/>
  <c r="E236" i="3"/>
  <c r="H236" i="3"/>
  <c r="J236" i="3"/>
  <c r="N236" i="3"/>
  <c r="O236" i="3"/>
  <c r="F363" i="3"/>
  <c r="E363" i="3"/>
  <c r="H363" i="3"/>
  <c r="I363" i="3"/>
  <c r="F213" i="3"/>
  <c r="E213" i="3"/>
  <c r="H213" i="3"/>
  <c r="I213" i="3"/>
  <c r="F289" i="3"/>
  <c r="E289" i="3"/>
  <c r="H289" i="3"/>
  <c r="J289" i="3"/>
  <c r="N289" i="3"/>
  <c r="O289" i="3"/>
  <c r="F177" i="3"/>
  <c r="E177" i="3"/>
  <c r="H177" i="3"/>
  <c r="J177" i="3"/>
  <c r="N177" i="3"/>
  <c r="O177" i="3"/>
  <c r="F370" i="3"/>
  <c r="E370" i="3"/>
  <c r="H370" i="3"/>
  <c r="I370" i="3"/>
  <c r="F225" i="3"/>
  <c r="E225" i="3"/>
  <c r="H225" i="3"/>
  <c r="I225" i="3"/>
  <c r="F411" i="3"/>
  <c r="E411" i="3"/>
  <c r="H411" i="3"/>
  <c r="J411" i="3"/>
  <c r="N411" i="3"/>
  <c r="O411" i="3"/>
  <c r="F288" i="3"/>
  <c r="E288" i="3"/>
  <c r="H288" i="3"/>
  <c r="I288" i="3"/>
  <c r="F274" i="3"/>
  <c r="E274" i="3"/>
  <c r="H274" i="3"/>
  <c r="J274" i="3"/>
  <c r="N274" i="3"/>
  <c r="O274" i="3"/>
  <c r="F426" i="3"/>
  <c r="E426" i="3"/>
  <c r="H426" i="3"/>
  <c r="J426" i="3"/>
  <c r="N426" i="3"/>
  <c r="O426" i="3"/>
  <c r="F226" i="3"/>
  <c r="E226" i="3"/>
  <c r="H226" i="3"/>
  <c r="I226" i="3"/>
  <c r="F436" i="3"/>
  <c r="E436" i="3"/>
  <c r="H436" i="3"/>
  <c r="I43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tc={622903E4-2388-4733-99B1-C95926108E31}</author>
  </authors>
  <commentList>
    <comment ref="K59" authorId="0" shapeId="0" xr:uid="{622903E4-2388-4733-99B1-C95926108E31}">
      <text>
        <t>[Threaded comment]
Your version of Excel allows you to read this threaded comment; however, any edits to it will get removed if the file is opened in a newer version of Excel. Learn more: https://go.microsoft.com/fwlink/?linkid=870924
Comment:
    1.32 acres left in the field not picking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<sst xmlns="http://schemas.openxmlformats.org/spreadsheetml/2006/main" count="1654" uniqueCount="498">
  <si>
    <t>Total Acres</t>
  </si>
  <si>
    <t>Total Acres Picked</t>
  </si>
  <si>
    <t>Total Acres In Progress</t>
  </si>
  <si>
    <t>Total Acres Pending</t>
  </si>
  <si>
    <t>Clements Acres</t>
  </si>
  <si>
    <t>Delta Acres</t>
  </si>
  <si>
    <t>Lodi Acres</t>
  </si>
  <si>
    <t>Picked</t>
  </si>
  <si>
    <t>In Progress</t>
  </si>
  <si>
    <t>Pending</t>
  </si>
  <si>
    <t>No/Maybe Pick</t>
  </si>
  <si>
    <t>CLEMENTS</t>
  </si>
  <si>
    <t>DELTA</t>
  </si>
  <si>
    <t>LODI</t>
  </si>
  <si>
    <t>CODE</t>
  </si>
  <si>
    <t>ACRES</t>
  </si>
  <si>
    <t>AC. LEFT</t>
  </si>
  <si>
    <t>FINISHED</t>
  </si>
  <si>
    <t>TONS</t>
  </si>
  <si>
    <t>TPA</t>
  </si>
  <si>
    <t>98OK01CS</t>
  </si>
  <si>
    <t>DVDU02SB</t>
  </si>
  <si>
    <t>ARDA01CS</t>
  </si>
  <si>
    <t>98OK02CS</t>
  </si>
  <si>
    <t>DVDU05CH</t>
  </si>
  <si>
    <t>BAPE01CH</t>
  </si>
  <si>
    <t>98OK03MA</t>
  </si>
  <si>
    <t>DVDU07MC</t>
  </si>
  <si>
    <t>BEBU01ME</t>
  </si>
  <si>
    <t>98OK04CS</t>
  </si>
  <si>
    <t>DVDU1CSB</t>
  </si>
  <si>
    <t>DBAI02SA</t>
  </si>
  <si>
    <t>98OK05CS</t>
  </si>
  <si>
    <t>DVMA01PN</t>
  </si>
  <si>
    <t>DBAI03ZN</t>
  </si>
  <si>
    <t>98OK06CS</t>
  </si>
  <si>
    <t>DVMA02PG</t>
  </si>
  <si>
    <t>DBAI04CS</t>
  </si>
  <si>
    <t>98OK07ME</t>
  </si>
  <si>
    <t>FFRY01PN</t>
  </si>
  <si>
    <t>DBDA05CH</t>
  </si>
  <si>
    <t>98OK08PS</t>
  </si>
  <si>
    <t>FFRY02PN</t>
  </si>
  <si>
    <t>DFDA04ZN</t>
  </si>
  <si>
    <t>98OK09CS</t>
  </si>
  <si>
    <t>FFRY04CH</t>
  </si>
  <si>
    <t>DFDA07ND</t>
  </si>
  <si>
    <t>98OK10ZN</t>
  </si>
  <si>
    <t>FFRY05CH</t>
  </si>
  <si>
    <t>FDJA01TO</t>
  </si>
  <si>
    <t>98OK11CF</t>
  </si>
  <si>
    <t>FFRY09PN</t>
  </si>
  <si>
    <t>FDJA02TE</t>
  </si>
  <si>
    <t>BAVC01ZN</t>
  </si>
  <si>
    <t>FFRY10PN</t>
  </si>
  <si>
    <t>FDJA03MA</t>
  </si>
  <si>
    <t>BAVC02PR</t>
  </si>
  <si>
    <t>FFRY15CB</t>
  </si>
  <si>
    <t>FDJA04ME</t>
  </si>
  <si>
    <t>BHCH01CS</t>
  </si>
  <si>
    <t>FFRY3BXX</t>
  </si>
  <si>
    <t>FDJA05ME</t>
  </si>
  <si>
    <t>BSHMOHCS</t>
  </si>
  <si>
    <t>FFRY99PN</t>
  </si>
  <si>
    <t>FRDU01ME</t>
  </si>
  <si>
    <t>CL3A02SB</t>
  </si>
  <si>
    <t>MFRN00PN</t>
  </si>
  <si>
    <t>HEBO01CS</t>
  </si>
  <si>
    <t>CLAT05CS</t>
  </si>
  <si>
    <t>MFRN02PN</t>
  </si>
  <si>
    <t>HIHV04CS</t>
  </si>
  <si>
    <t>CLBC00VD</t>
  </si>
  <si>
    <t>MFRN03PG</t>
  </si>
  <si>
    <t>HIHV05PS</t>
  </si>
  <si>
    <t>CLBC01PG</t>
  </si>
  <si>
    <t>MJMJ02PG</t>
  </si>
  <si>
    <t>IWHM01CS</t>
  </si>
  <si>
    <t>CLBC02CH</t>
  </si>
  <si>
    <t>MJMJ03CB</t>
  </si>
  <si>
    <t>JONR01CH</t>
  </si>
  <si>
    <t>CLLA01ME</t>
  </si>
  <si>
    <t>MJMJ04CB</t>
  </si>
  <si>
    <t>JONR02SB</t>
  </si>
  <si>
    <t>CLMN01SY</t>
  </si>
  <si>
    <t>ONMI01CS</t>
  </si>
  <si>
    <t>JONR03GV</t>
  </si>
  <si>
    <t>CLMN03PS</t>
  </si>
  <si>
    <t>ONMI02CS</t>
  </si>
  <si>
    <t>LAPR02CH</t>
  </si>
  <si>
    <t>CLMN04PS</t>
  </si>
  <si>
    <t>ONMI04CS</t>
  </si>
  <si>
    <t>LAPR03ME</t>
  </si>
  <si>
    <t>CLMN05PS</t>
  </si>
  <si>
    <t>ONMI05CS</t>
  </si>
  <si>
    <t>LAPR04PS</t>
  </si>
  <si>
    <t>CLMO01BA</t>
  </si>
  <si>
    <t>ONMI06CS</t>
  </si>
  <si>
    <t>LAPR05CS</t>
  </si>
  <si>
    <t>CLNR01CS</t>
  </si>
  <si>
    <t>ONMI07ME</t>
  </si>
  <si>
    <t>LF1001CS</t>
  </si>
  <si>
    <t>CLOK02CS</t>
  </si>
  <si>
    <t>ONMI08ME</t>
  </si>
  <si>
    <t>LF1002PS</t>
  </si>
  <si>
    <t>CLOK1AME</t>
  </si>
  <si>
    <t>ONMI09CH</t>
  </si>
  <si>
    <t>LF3801CS</t>
  </si>
  <si>
    <t>CLPC02BA</t>
  </si>
  <si>
    <t>ONMI3ACS</t>
  </si>
  <si>
    <t>LF8001TD</t>
  </si>
  <si>
    <t>CLPC07CS</t>
  </si>
  <si>
    <t>ONMI3BCS</t>
  </si>
  <si>
    <t>LF8004CH</t>
  </si>
  <si>
    <t>CLPC3BME</t>
  </si>
  <si>
    <t>PRHZ01CH</t>
  </si>
  <si>
    <t>LFBE01CS</t>
  </si>
  <si>
    <t>CLPC4APR</t>
  </si>
  <si>
    <t>PRHZ02PN</t>
  </si>
  <si>
    <t>LFBE02VI</t>
  </si>
  <si>
    <t>CLPC4BCH</t>
  </si>
  <si>
    <t>PRHZ03PN</t>
  </si>
  <si>
    <t>LFBT01CH</t>
  </si>
  <si>
    <t>CLPT01CS</t>
  </si>
  <si>
    <t>PRHZ09SB</t>
  </si>
  <si>
    <t>LFBT02SB</t>
  </si>
  <si>
    <t>CLR201MA</t>
  </si>
  <si>
    <t>PRHZ10SB</t>
  </si>
  <si>
    <t>LFDA02PG</t>
  </si>
  <si>
    <t>CLR202CH</t>
  </si>
  <si>
    <t>PRHZ11CB</t>
  </si>
  <si>
    <t>LFEX01SA</t>
  </si>
  <si>
    <t>GEWENOCH</t>
  </si>
  <si>
    <t>PRHZ12CH</t>
  </si>
  <si>
    <t>LFEX02SY</t>
  </si>
  <si>
    <t>KBBR01ZN</t>
  </si>
  <si>
    <t>PRHZ13PG</t>
  </si>
  <si>
    <t>LFEX03VI</t>
  </si>
  <si>
    <t>KBBR02TD</t>
  </si>
  <si>
    <t>PRHZ14CB</t>
  </si>
  <si>
    <t>LFEX04VI</t>
  </si>
  <si>
    <t>MFLO01PG</t>
  </si>
  <si>
    <t>PRHZ15CB</t>
  </si>
  <si>
    <t>LFGC01CS</t>
  </si>
  <si>
    <t>MFLO02TE</t>
  </si>
  <si>
    <t>PRHZ16CB</t>
  </si>
  <si>
    <t>LFRA02CF</t>
  </si>
  <si>
    <t>MRPR01CS</t>
  </si>
  <si>
    <t>PRHZ17CB</t>
  </si>
  <si>
    <t>LFRR02CS</t>
  </si>
  <si>
    <t>POCR03CS</t>
  </si>
  <si>
    <t>PRHZ18PS</t>
  </si>
  <si>
    <t>LFRR03CS</t>
  </si>
  <si>
    <t>POHM01PV</t>
  </si>
  <si>
    <t>PRHZ19BM</t>
  </si>
  <si>
    <t>LFRR04CS</t>
  </si>
  <si>
    <t>PPBR03CH</t>
  </si>
  <si>
    <t>PRHZ20OM</t>
  </si>
  <si>
    <t>LFRR05MP</t>
  </si>
  <si>
    <t>PPCR01ME</t>
  </si>
  <si>
    <t>PRHZ21CH</t>
  </si>
  <si>
    <t>LFRR06AG</t>
  </si>
  <si>
    <t>PPCR02CH</t>
  </si>
  <si>
    <t>PRHZ22CB</t>
  </si>
  <si>
    <t>LFRR07PB</t>
  </si>
  <si>
    <t>RSR101CH</t>
  </si>
  <si>
    <t>PRHZ99MA</t>
  </si>
  <si>
    <t>LFRR08GB</t>
  </si>
  <si>
    <t>RSR103CH</t>
  </si>
  <si>
    <t>PRHZ99VV</t>
  </si>
  <si>
    <t>LFRT02PR</t>
  </si>
  <si>
    <t>SMSM01ME</t>
  </si>
  <si>
    <t>WHWH01GE</t>
  </si>
  <si>
    <t>LFRT03AN</t>
  </si>
  <si>
    <t>SZVC01ZN</t>
  </si>
  <si>
    <t>WHWH02PG</t>
  </si>
  <si>
    <t>LFTO01CS</t>
  </si>
  <si>
    <t>SZVC02ZN</t>
  </si>
  <si>
    <t>WHWH03AL</t>
  </si>
  <si>
    <t>LFTO02SB</t>
  </si>
  <si>
    <t>ZLLAOHCS</t>
  </si>
  <si>
    <t>LFW104CS</t>
  </si>
  <si>
    <t>ZLSO01PN</t>
  </si>
  <si>
    <t>LFW105CH</t>
  </si>
  <si>
    <t>LFW106KU</t>
  </si>
  <si>
    <t>LFW301CS</t>
  </si>
  <si>
    <t>MEJA03CS</t>
  </si>
  <si>
    <t>MKJA04CS</t>
  </si>
  <si>
    <t>MUMU01SB</t>
  </si>
  <si>
    <t>MUMU02PG</t>
  </si>
  <si>
    <t>MVDU01CS</t>
  </si>
  <si>
    <t>MVDU02ME</t>
  </si>
  <si>
    <t>RING01CS</t>
  </si>
  <si>
    <t>SEJA01CS</t>
  </si>
  <si>
    <t>SLHM01TD</t>
  </si>
  <si>
    <t>SLHM02VI</t>
  </si>
  <si>
    <t>SLHM03CH</t>
  </si>
  <si>
    <t>SLHM04SB</t>
  </si>
  <si>
    <t>SLHM05PN</t>
  </si>
  <si>
    <t>SLHM06ZN</t>
  </si>
  <si>
    <t>SLHM08PR</t>
  </si>
  <si>
    <t>SZDU01CH</t>
  </si>
  <si>
    <t>SZDU02ZN</t>
  </si>
  <si>
    <t>VKDD01CH</t>
  </si>
  <si>
    <t>REMINDER: FILTER ONLY - DO NOT SORT!</t>
  </si>
  <si>
    <t>DATE</t>
  </si>
  <si>
    <t>BLOCK</t>
  </si>
  <si>
    <t>VINE SPACING</t>
  </si>
  <si>
    <t>TOTAL VINES</t>
  </si>
  <si>
    <t>VINES PICKED</t>
  </si>
  <si>
    <t>VINES LEFT</t>
  </si>
  <si>
    <t>TOTAL ACRES</t>
  </si>
  <si>
    <t>ACRES PICKED</t>
  </si>
  <si>
    <t>ACRES LEFT</t>
  </si>
  <si>
    <t>ACRES PICKED SINCE LAST COUNT</t>
  </si>
  <si>
    <t>LOADS</t>
  </si>
  <si>
    <t>WINERY</t>
  </si>
  <si>
    <t>TONS PICKED TODAY</t>
  </si>
  <si>
    <t>LOADS TO FINISH</t>
  </si>
  <si>
    <t xml:space="preserve">ROW COUNT REPORTED BY </t>
  </si>
  <si>
    <t>ROWS</t>
  </si>
  <si>
    <t>NOTES</t>
  </si>
  <si>
    <t>LTW</t>
  </si>
  <si>
    <t>Luis</t>
  </si>
  <si>
    <t>Picked: 24-45 (Rosa FC)</t>
  </si>
  <si>
    <t>Picked: 8-23,25,27,39(1/2)</t>
  </si>
  <si>
    <t>Picked: 6-41,43,45,47(25vines)</t>
  </si>
  <si>
    <t>Oneill</t>
  </si>
  <si>
    <t>Picked:  1-34,36-48,50,52,54,56,65,67,69-72-74,76, Row 56 is 3/4 picked, Row 73 is 1/2 picked.  We estimated for unknowns</t>
  </si>
  <si>
    <t>FC</t>
  </si>
  <si>
    <t>Gallo</t>
  </si>
  <si>
    <t>Left to pick: 9,13,15,24,26,28-40,48,50,52-81, row 24 1/2 picked, row 15 1/4 picked, row 48 3/4 picked</t>
  </si>
  <si>
    <t>Kyle</t>
  </si>
  <si>
    <t>Picked rows: 8-55, 56(1/2), 57, 59, 61(1/2)</t>
  </si>
  <si>
    <t>Fetzer</t>
  </si>
  <si>
    <t>Left to pick: 1-17,19,21,24-37,39,41,</t>
  </si>
  <si>
    <t>Left to pick: 36,38,40,68,70-74,76-77,79-81, row 36 is 1/2 picked, row 76 is 1/2 picked</t>
  </si>
  <si>
    <t>Mat</t>
  </si>
  <si>
    <t>picked: 215-295,298(1/2W),299-323,344,346-365,367,374-378,381,383,385,387</t>
  </si>
  <si>
    <t>Left to pick: 1-30,31,33,40,42-47,49,52,59-67,70,</t>
  </si>
  <si>
    <t>2.25 loads other 3 gondolas came out of Block 2 to fill load 3</t>
  </si>
  <si>
    <t>Delicato</t>
  </si>
  <si>
    <t>Left to pick: 8,12,17,19 rows 12 and 19 halfway picked</t>
  </si>
  <si>
    <t>Left to pick: 61,63,65-71,73-92, row 71 is 1/2 picked row 61 is 1/2 picked</t>
  </si>
  <si>
    <t>LTW-Pine</t>
  </si>
  <si>
    <t>Left to pick: 91-94,115-138, rows 115-138 only picked on the West side</t>
  </si>
  <si>
    <t>Left to pick: 1,52-53,</t>
  </si>
  <si>
    <t>Picked 1-79</t>
  </si>
  <si>
    <t>East left to pick: 43-45,48-55,58-78,West left to pick: 41-72,83</t>
  </si>
  <si>
    <t>Leonardo</t>
  </si>
  <si>
    <t>left to pick: 42,44-170,172,386,388,390-466,468,470</t>
  </si>
  <si>
    <t>May have some half rows that are actually picked in there</t>
  </si>
  <si>
    <t>Left to pick: 32,34-124,126,147-148,150, rows 35,147 half picked</t>
  </si>
  <si>
    <t>EAST left to pick 55-50,48,36,34-33,31-30,28,5,1, Row 30 is 3/4 picked</t>
  </si>
  <si>
    <t>Left to pick: 60,62,64,65(1/2),66-146,148,386,388,390-448,450</t>
  </si>
  <si>
    <t>LTW-KOSHER</t>
  </si>
  <si>
    <t>FC - 1 hand pick load and 2.5 gondolas</t>
  </si>
  <si>
    <t>Left to pick: 76-105 3.25 gondolas | 1 hand load and 1.5 machine loads</t>
  </si>
  <si>
    <t>TWG-WDBG</t>
  </si>
  <si>
    <t>left to pick: 66(1/2 east), 70-74, 91, 93, 94(1/2 W), 95-99, 114, 118-159</t>
  </si>
  <si>
    <t>Abel</t>
  </si>
  <si>
    <t>left to pick: 65,67,68(1/2),69-86,89,91(1/2)</t>
  </si>
  <si>
    <t>Left to pick: 102-107,109,111,386,388,390-413,415, row 102 (54 unpicked) row 412 (51 unpicked)</t>
  </si>
  <si>
    <t>Picked: 20-38 (rows 35-38 half picked) 1-4 half picked</t>
  </si>
  <si>
    <t>Sutter Home - St Helena</t>
  </si>
  <si>
    <t>picked: 123-213</t>
  </si>
  <si>
    <t>picked All of West block. East block: 1-22,24,26,30,32-50</t>
  </si>
  <si>
    <t>Picked: 1-85,87-93,95</t>
  </si>
  <si>
    <t>MJMJ02PG-old</t>
  </si>
  <si>
    <t>MJMJ02PG-retrain</t>
  </si>
  <si>
    <t>West unpicked: 14-17,33,50,52-54-63,67-101, row 53 and 69 are 3/4 picked</t>
  </si>
  <si>
    <t>Picked: 71-95,97,99-124,126-142,144,146,147,150</t>
  </si>
  <si>
    <t xml:space="preserve">FC </t>
  </si>
  <si>
    <t>Gallo-J Winery</t>
  </si>
  <si>
    <t>left to pick rows 90-122 plus 1068 vines in rows 70-89.</t>
  </si>
  <si>
    <t>Estate Crush</t>
  </si>
  <si>
    <t>left to pick: 116(1/2), 117-118, 150, 152, 154, 156-280.</t>
  </si>
  <si>
    <t>Mineral weak section - remaining TPA will be higher!</t>
  </si>
  <si>
    <t>LTW -Pine</t>
  </si>
  <si>
    <t>This total tonnage is just pine ridge? need to confirm with Angelica how it was split</t>
  </si>
  <si>
    <t>TWG-Wdbg</t>
  </si>
  <si>
    <t>left to pick: 1-23, 93, 95, 121, 123(1/2), 124-186</t>
  </si>
  <si>
    <t>Uriel</t>
  </si>
  <si>
    <t>Left to pick:95-73,71,68(1/2W),64-57,55,53(20 vines W)</t>
  </si>
  <si>
    <t>LTW-Kosher</t>
  </si>
  <si>
    <t xml:space="preserve">Luis </t>
  </si>
  <si>
    <t>Left to picked: 100,105,108</t>
  </si>
  <si>
    <t>Picked SW: 32-33,35-38,41-42</t>
  </si>
  <si>
    <t>15-30,32,34, row 34 half picked</t>
  </si>
  <si>
    <t>Left to pick: 6,8,10,12-25</t>
  </si>
  <si>
    <t>Left to pick: 1-4,40,42-55,73-166</t>
  </si>
  <si>
    <t>Left to pick: island plus 62(1/2),63-78, 79 (half) 80,82</t>
  </si>
  <si>
    <t>34 and 35 left to pick</t>
  </si>
  <si>
    <t>ONeill</t>
  </si>
  <si>
    <t>45(1/2), 46-49, 65(1/2), 91, 94-99, 102, 102-145</t>
  </si>
  <si>
    <t>Kelly</t>
  </si>
  <si>
    <t>1-20, 40,42,44,234-300,&amp; 302.</t>
  </si>
  <si>
    <t>Picked: 82,83(1/3E),84,90-121.</t>
  </si>
  <si>
    <t>LTW-Pine &amp; Kosher</t>
  </si>
  <si>
    <t>Left to pick: 1-14,56-90</t>
  </si>
  <si>
    <t>Only 2 loads delivered for pine ridge - 1 kosher</t>
  </si>
  <si>
    <t>Picked: 1-12,13(1/2W),14,16,18,20</t>
  </si>
  <si>
    <t>PRHZ99SB</t>
  </si>
  <si>
    <t>2.25 gondolas - FC</t>
  </si>
  <si>
    <t>Left to pick: 20,22-28,35-51,70-73,75 (50Vines) 78,80-103</t>
  </si>
  <si>
    <t>Rosendo</t>
  </si>
  <si>
    <t>Left to pick: 50 south (special reserve)</t>
  </si>
  <si>
    <t>TPA is not right - they didnt track tons per block</t>
  </si>
  <si>
    <t>Left to pick: 64,66,67,68,69,71,72,74, North of 74</t>
  </si>
  <si>
    <t>Chateau St Jean</t>
  </si>
  <si>
    <t>Left to pick: 14,16-44,52,54</t>
  </si>
  <si>
    <t>PRHZ99CB</t>
  </si>
  <si>
    <t>Left to pick: 20,16,14-9,7-1</t>
  </si>
  <si>
    <t>Left to pick: 39,41.44-48 39 is half</t>
  </si>
  <si>
    <t>East left to pick 1-7,9,11,24-26, 11 half 25 has 14 26 has 18</t>
  </si>
  <si>
    <t>FC - 6 gondolas</t>
  </si>
  <si>
    <t>Picked: 20-48,50,53-60,62,79,80,82,84,110-130,132,139-160,161(1/2W),162,164</t>
  </si>
  <si>
    <t>South island picked, East block picked: 182-135,133(1/2E),54,52-41,40(3/4W),38,36-1</t>
  </si>
  <si>
    <t>South picked: 4-19 15.25 gondolas North picked: 1,2(1/2W),4,6. 2.75 gondola</t>
  </si>
  <si>
    <t>Left to pick10,12-14,56-90, row 13 half picked</t>
  </si>
  <si>
    <t>Leo</t>
  </si>
  <si>
    <t>Left to pick: 1-55,56(3/4),57-61 (Leo count)</t>
  </si>
  <si>
    <t>Left to pick: 29(30 vines),31,33-54,55(1/4),57 (Abel count)</t>
  </si>
  <si>
    <t>LTW-PINE</t>
  </si>
  <si>
    <t>Left to pick: 12,14,56-67,69-90</t>
  </si>
  <si>
    <t>1.5 gondolas</t>
  </si>
  <si>
    <t>Gallo-LIV</t>
  </si>
  <si>
    <t>Picked: 3-13,15(3/4W),16,53(1/2E)55,57,59-66,75(1/2E),77,79-180</t>
  </si>
  <si>
    <t>Picked all SW and SE islands, East block left to pick: 128(1/2W),126,124-97,95,93(1/2W),89-71,69(1/2E),68</t>
  </si>
  <si>
    <t>2.75 gondolas</t>
  </si>
  <si>
    <t>Picked: 1,3,27,29,31-50,79,82, Row 27 has 20 unpicked vines</t>
  </si>
  <si>
    <t>16 gondolas</t>
  </si>
  <si>
    <t>Left to pick: 16,19,21(1/4),22,25 - Leaving in field DFC</t>
  </si>
  <si>
    <t>Prevail</t>
  </si>
  <si>
    <t>Trial section - FC</t>
  </si>
  <si>
    <t>Regular - Left to pick: 16,18-37,61-95,97,99</t>
  </si>
  <si>
    <t>Teams message shows 18-32 - should be 18-37</t>
  </si>
  <si>
    <t>FC - 7.75 gondolas. Assuming remainder of 6 loads from prince came from B11</t>
  </si>
  <si>
    <t>Left to pick: 27,29-81,84-85, row 30 is 3/4 picked</t>
  </si>
  <si>
    <t>Left to pick: 1-80</t>
  </si>
  <si>
    <t>Left to pick: 18,20,22-28,30,50,55,57,59-73,76, ROWS 20 AND 50 HALF PICKED - tonnage is 6 loads minus 7.75 gondolas from B15</t>
  </si>
  <si>
    <t>Left to pick: 78</t>
  </si>
  <si>
    <t>ONMI07+08</t>
  </si>
  <si>
    <t xml:space="preserve">Left to pick:  4, 6, 8-29, 33, 35-45, 47, 49(1/2E,) 80-82, 84(1/2W)
</t>
  </si>
  <si>
    <t>Left to pick.  1-3, 4(1/2W,) 5, 7, 40-77, 110, 112-132</t>
  </si>
  <si>
    <t>Left to pick 45,47,49,51-62,64,72-78,Row 61 has 30 unpicked vines</t>
  </si>
  <si>
    <t>some from craig?</t>
  </si>
  <si>
    <t>PPBR03CH-E</t>
  </si>
  <si>
    <t>Left: all</t>
  </si>
  <si>
    <t>PPBR03CH-MID</t>
  </si>
  <si>
    <t>Left: 13,16,31,32,35-38</t>
  </si>
  <si>
    <t>PPBR03CH-W</t>
  </si>
  <si>
    <t>Left 13,16,31,32,36,36</t>
  </si>
  <si>
    <t>Picked: 55,48,61,65,92,94-103,105,179</t>
  </si>
  <si>
    <t>2.5 gondolas</t>
  </si>
  <si>
    <t>Left to pick 50-32,29-22</t>
  </si>
  <si>
    <t>0.25 gondola or 0.25 load?</t>
  </si>
  <si>
    <t>Vinwood</t>
  </si>
  <si>
    <t>Left to pick:18(1/4),21,28,29,32(1/2) about 1 gondola</t>
  </si>
  <si>
    <t>FC 7.25 total loads</t>
  </si>
  <si>
    <t>uriel</t>
  </si>
  <si>
    <t>left to pick east block 49,51-59,61,63,65,69-70,89,91-108</t>
  </si>
  <si>
    <t>1-48,50-52,54-57,110,112,114-147 5.5 Gondola</t>
  </si>
  <si>
    <t>Stonewall</t>
  </si>
  <si>
    <t>CLMN01SY-E</t>
  </si>
  <si>
    <t>East left 1-33,35,62-67,69,71,84-87,89,114,116,155-175</t>
  </si>
  <si>
    <t>CLMN01SY-W</t>
  </si>
  <si>
    <t>West left 1-52,54,56,99,101-113 EXT 73-112</t>
  </si>
  <si>
    <t>picked 47,49,50,106-134,136,159,161,163-200,249,255-256, row 136 and 162 half picked</t>
  </si>
  <si>
    <t>TWG</t>
  </si>
  <si>
    <t>Bronco</t>
  </si>
  <si>
    <t>Left to pick 1-12,14,16-29,53,57-84,87,89,91-103,135-142,144,219,221,223-225,237,239-246,248,250,252,283-301
Row 11 is halfway picked
Row 219 has 20 unpicked vines
Row 240 has 15 unpicked vines
Row 252 has 15 unpicked vines
Row 136 is halfway picked</t>
  </si>
  <si>
    <t>Code</t>
  </si>
  <si>
    <t>Variety</t>
  </si>
  <si>
    <t>Block</t>
  </si>
  <si>
    <t>Acres Remaining</t>
  </si>
  <si>
    <t>Est. Tons Remaining</t>
  </si>
  <si>
    <t>Last Brix Reading</t>
  </si>
  <si>
    <t>CS</t>
  </si>
  <si>
    <t>Clements Atkins B5 CS</t>
  </si>
  <si>
    <t>23.5 on 10/20</t>
  </si>
  <si>
    <t>Donald Airport B4 CS</t>
  </si>
  <si>
    <t>24.3 on 10/20</t>
  </si>
  <si>
    <t>La Prima B5 CS</t>
  </si>
  <si>
    <t>23.1 on 10/20</t>
  </si>
  <si>
    <t>MRP B1 CS</t>
  </si>
  <si>
    <t>Craig Patriot Oaks - Hillltop B3 CS</t>
  </si>
  <si>
    <t>24.4 on 10/20</t>
  </si>
  <si>
    <t>Sum of ACRES PICKED SINCE LAST COUNT</t>
  </si>
  <si>
    <t>Sum of TONS PICKED TODAY</t>
  </si>
  <si>
    <t>Prince CB</t>
  </si>
  <si>
    <t>VINEYARD CODE</t>
  </si>
  <si>
    <t>SUB-BLOCK</t>
  </si>
  <si>
    <t>REGION</t>
  </si>
  <si>
    <t>SPACING</t>
  </si>
  <si>
    <t>ROW COUNT ACRES</t>
  </si>
  <si>
    <t>Updated:</t>
  </si>
  <si>
    <t>BLK</t>
  </si>
  <si>
    <t>AC.</t>
  </si>
  <si>
    <t>EST TONS</t>
  </si>
  <si>
    <t>By:</t>
  </si>
  <si>
    <t>Maria Z.</t>
  </si>
  <si>
    <t>?</t>
  </si>
  <si>
    <t>estimated 8tpa</t>
  </si>
  <si>
    <t>BHCH01CS-1</t>
  </si>
  <si>
    <t>BHCH01CS-2</t>
  </si>
  <si>
    <t>BHCH01CS-3</t>
  </si>
  <si>
    <t>BHCH01CS-4</t>
  </si>
  <si>
    <t>BHCH01CS-5</t>
  </si>
  <si>
    <t>BHCH01CS-6</t>
  </si>
  <si>
    <t>BHCH01CS-7</t>
  </si>
  <si>
    <t>BHCH01CS-8</t>
  </si>
  <si>
    <t>BHCH01CS-9</t>
  </si>
  <si>
    <t>BHCH01CS-10</t>
  </si>
  <si>
    <t>BHCH01CS-11</t>
  </si>
  <si>
    <t>BHCH01CS-12</t>
  </si>
  <si>
    <t>BHCH01CS-13</t>
  </si>
  <si>
    <t>BHCH01CS-ALL</t>
  </si>
  <si>
    <t>CL3A01PV</t>
  </si>
  <si>
    <t>set</t>
  </si>
  <si>
    <t>vines</t>
  </si>
  <si>
    <t>CL3A04PV</t>
  </si>
  <si>
    <t>all</t>
  </si>
  <si>
    <t>CL3A05ZN</t>
  </si>
  <si>
    <t>fc</t>
  </si>
  <si>
    <t>CLAT01CS</t>
  </si>
  <si>
    <t>CLAT01CS-DISCH</t>
  </si>
  <si>
    <t>CLAT01CS-NS</t>
  </si>
  <si>
    <t>CLAT02CH</t>
  </si>
  <si>
    <t>CLATCH-84ac</t>
  </si>
  <si>
    <t>CLAT05CS-N</t>
  </si>
  <si>
    <t>CLAT05CS-S</t>
  </si>
  <si>
    <t>2022 Harvest Status shows 40388?</t>
  </si>
  <si>
    <t>CLLA01ME-N</t>
  </si>
  <si>
    <t>CLLA01ME-S</t>
  </si>
  <si>
    <t>CLMN02PV</t>
  </si>
  <si>
    <t>CLMNOHPS</t>
  </si>
  <si>
    <t>CLOK01ME</t>
  </si>
  <si>
    <t>CLOK02CS-MAIN</t>
  </si>
  <si>
    <t>CLOK02CS-SW</t>
  </si>
  <si>
    <t>CLPC01ME</t>
  </si>
  <si>
    <t>CLPC01ME-K</t>
  </si>
  <si>
    <t>CLPC01ME-NS</t>
  </si>
  <si>
    <t>CLPC03ME</t>
  </si>
  <si>
    <t>CLPC06PR</t>
  </si>
  <si>
    <t>CLR101ME</t>
  </si>
  <si>
    <t>CLR101ME-E</t>
  </si>
  <si>
    <t>CLR101ME-W</t>
  </si>
  <si>
    <t>CO8802CH</t>
  </si>
  <si>
    <t>DFDA01CS</t>
  </si>
  <si>
    <t>DULA01CS</t>
  </si>
  <si>
    <t>DVDU03SB</t>
  </si>
  <si>
    <t>DVDU04SB</t>
  </si>
  <si>
    <t>DVDU06VI</t>
  </si>
  <si>
    <t>DVDU08PN</t>
  </si>
  <si>
    <t>DVMA01PN-EAST</t>
  </si>
  <si>
    <t>DVMA01PN-WEST</t>
  </si>
  <si>
    <t>FDJA06TA</t>
  </si>
  <si>
    <t>FFRY3BAL</t>
  </si>
  <si>
    <t>GZWESOCH</t>
  </si>
  <si>
    <t>LF3801CS-sprawl</t>
  </si>
  <si>
    <t>LF3801CS-vsp</t>
  </si>
  <si>
    <t>LF8002PV</t>
  </si>
  <si>
    <t>LF8003PS</t>
  </si>
  <si>
    <t>LFDA03CH</t>
  </si>
  <si>
    <t>LFGC01CS-N</t>
  </si>
  <si>
    <t>LFGC01CS-S</t>
  </si>
  <si>
    <t>LFRA01CS</t>
  </si>
  <si>
    <t>LFRR01PV</t>
  </si>
  <si>
    <t>LFRT01ND</t>
  </si>
  <si>
    <t>LFW202TD</t>
  </si>
  <si>
    <t>LFW302SB</t>
  </si>
  <si>
    <t>MFRN01PN</t>
  </si>
  <si>
    <t>MJMJ01CH</t>
  </si>
  <si>
    <t>POCR03CS-E</t>
  </si>
  <si>
    <t>POCR03CS-W</t>
  </si>
  <si>
    <t>PRHZ05CB</t>
  </si>
  <si>
    <t>PRHZ06CB</t>
  </si>
  <si>
    <t>PRHZ08CB</t>
  </si>
  <si>
    <t>PRHZ7ASB</t>
  </si>
  <si>
    <t>PRHZ7BSB</t>
  </si>
  <si>
    <t>RING01CS-N</t>
  </si>
  <si>
    <t>RING01CS-S</t>
  </si>
  <si>
    <t>RSR102CS</t>
  </si>
  <si>
    <t>RSR103CH-DRIVE</t>
  </si>
  <si>
    <t>RSR203CH</t>
  </si>
  <si>
    <t>SERA01PN</t>
  </si>
  <si>
    <t>LASHI-CH</t>
  </si>
  <si>
    <t>LEWIS-100</t>
  </si>
  <si>
    <t>LEWIS-4AC</t>
  </si>
  <si>
    <t>LEWIS-18AC</t>
  </si>
  <si>
    <t>STARR-HARNEY</t>
  </si>
  <si>
    <t>STARR-ZIN</t>
  </si>
  <si>
    <t>LASHI-ZN</t>
  </si>
  <si>
    <t>DVDU07MC-OLD</t>
  </si>
  <si>
    <t>DVDU07MC-GR</t>
  </si>
  <si>
    <t>DELTA PACKING</t>
  </si>
  <si>
    <t>Picked: 79-88,90,92,106-117,119,121,123</t>
  </si>
  <si>
    <t>Picked: 221-227,232,246-257,259,261,272-281,283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</si>
</sst>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mm/dd/yy;@"/>
    <numFmt numFmtId="165" formatCode="_(* #,##0.0_);_(* \(#,##0.0\);_(* &quot;-&quot;?_);_(@_)"/>
    <numFmt numFmtId="166" formatCode="0.0%"/>
    <numFmt numFmtId="167" formatCode="_(* #,##0_);_(* \(#,##0\);_(* &quot;-&quot;??_);_(@_)"/>
    <numFmt numFmtId="168" formatCode="_(* #,##0.000_);_(* \(#,##0.000\);_(* &quot;-&quot;?_);_(@_)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FF0000"/>
      <name val="Arial Narrow"/>
      <family val="2"/>
    </font>
    <font>
      <sz val="11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12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 Narrow"/>
      <family val="2"/>
    </font>
    <font>
      <sz val="12"/>
      <color rgb="FFFF0000"/>
      <name val="Arial Narrow"/>
      <family val="2"/>
    </font>
    <font>
      <sz val="10"/>
      <color theme="1"/>
      <name val="Arial Narrow"/>
      <family val="2"/>
    </font>
    <font>
      <b/>
      <i/>
      <sz val="12"/>
      <color rgb="FF000000"/>
      <name val="Arial Narrow"/>
      <family val="2"/>
    </font>
    <font>
      <b/>
      <i/>
      <sz val="16"/>
      <name val="Arial Narrow"/>
      <family val="2"/>
    </font>
    <font>
      <b/>
      <sz val="16"/>
      <color rgb="FF000000"/>
      <name val="Arial Narrow"/>
      <family val="2"/>
    </font>
    <font>
      <sz val="12"/>
      <color theme="1"/>
      <name val="Arial Narrow"/>
      <family val="2"/>
    </font>
    <font>
      <sz val="11"/>
      <color theme="0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8"/>
      <name val="Calibri"/>
      <family val="2"/>
      <scheme val="minor"/>
    </font>
    <font>
      <b/>
      <sz val="11"/>
      <name val="Arial Narrow"/>
      <family val="2"/>
    </font>
    <font>
      <sz val="10"/>
      <color theme="1"/>
      <name val="Aptos"/>
      <family val="2"/>
      <charset val="1"/>
    </font>
    <font>
      <sz val="12"/>
      <color theme="1"/>
      <name val="Aptos"/>
      <family val="2"/>
      <charset val="1"/>
    </font>
    <font>
      <sz val="10"/>
      <name val="Avenir Next LT Pro"/>
      <family val="2"/>
    </font>
    <font>
      <b/>
      <sz val="10"/>
      <name val="Avenir Next LT Pro"/>
      <family val="2"/>
    </font>
    <font>
      <sz val="10"/>
      <color theme="1"/>
      <name val="Avenir Next LT Pro"/>
      <family val="2"/>
    </font>
    <font>
      <b/>
      <sz val="14"/>
      <color rgb="FFFF0000"/>
      <name val="Arial Narrow"/>
      <family val="2"/>
    </font>
    <font>
      <sz val="12"/>
      <name val="Arial Narrow"/>
      <family val="2"/>
    </font>
    <font>
      <sz val="11"/>
      <color theme="1"/>
      <name val="Arial Narrow"/>
      <family val="2"/>
    </font>
    <font>
      <b/>
      <sz val="11"/>
      <color rgb="FFFF0000"/>
      <name val="Arial Narrow"/>
      <family val="2"/>
    </font>
    <font>
      <i/>
      <sz val="11"/>
      <color rgb="FFFF0000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5D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69F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</borders>
  <cellStyleXfs count="3">
    <xf numFmtId="0" fontId="0" fillId="0" borderId="0"/>
    <xf numFmtId="0" fontId="4" fillId="0" borderId="0"/>
    <xf numFmtId="9" fontId="6" fillId="0" borderId="0" applyFont="0" applyFill="0" applyBorder="0" applyAlignment="0" applyProtection="0"/>
  </cellStyleXfs>
  <cellXfs count="354">
    <xf numFmtId="0" fontId="0" fillId="0" borderId="0" xfId="0"/>
    <xf numFmtId="0" fontId="1" fillId="0" borderId="0" xfId="0" applyFont="1"/>
    <xf numFmtId="43" fontId="0" fillId="0" borderId="0" xfId="0" applyNumberFormat="1"/>
    <xf numFmtId="0" fontId="0" fillId="0" borderId="0" xfId="0" applyAlignment="1">
      <alignment horizontal="center" vertical="center"/>
    </xf>
    <xf numFmtId="43" fontId="2" fillId="0" borderId="0" xfId="0" applyNumberFormat="1" applyFont="1"/>
    <xf numFmtId="0" fontId="8" fillId="0" borderId="0" xfId="0" applyFont="1"/>
    <xf numFmtId="0" fontId="10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1" fontId="8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0" borderId="1" xfId="1" applyFont="1" applyBorder="1" applyAlignment="1">
      <alignment horizontal="left"/>
    </xf>
    <xf numFmtId="0" fontId="9" fillId="6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14" fontId="17" fillId="2" borderId="1" xfId="0" applyNumberFormat="1" applyFont="1" applyFill="1" applyBorder="1" applyAlignment="1">
      <alignment horizontal="left"/>
    </xf>
    <xf numFmtId="18" fontId="17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20" fillId="0" borderId="1" xfId="0" applyFont="1" applyBorder="1"/>
    <xf numFmtId="0" fontId="5" fillId="0" borderId="1" xfId="0" applyFont="1" applyBorder="1"/>
    <xf numFmtId="0" fontId="8" fillId="5" borderId="0" xfId="0" applyFont="1" applyFill="1"/>
    <xf numFmtId="0" fontId="8" fillId="5" borderId="0" xfId="0" applyFont="1" applyFill="1" applyAlignment="1">
      <alignment horizontal="center"/>
    </xf>
    <xf numFmtId="1" fontId="8" fillId="5" borderId="0" xfId="0" applyNumberFormat="1" applyFont="1" applyFill="1"/>
    <xf numFmtId="0" fontId="13" fillId="5" borderId="0" xfId="0" applyFont="1" applyFill="1" applyAlignment="1">
      <alignment vertical="center"/>
    </xf>
    <xf numFmtId="0" fontId="13" fillId="5" borderId="0" xfId="0" applyFont="1" applyFill="1"/>
    <xf numFmtId="0" fontId="14" fillId="5" borderId="2" xfId="0" applyFont="1" applyFill="1" applyBorder="1" applyAlignment="1">
      <alignment horizontal="center"/>
    </xf>
    <xf numFmtId="43" fontId="14" fillId="5" borderId="2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4" fillId="5" borderId="0" xfId="0" applyFont="1" applyFill="1"/>
    <xf numFmtId="0" fontId="21" fillId="5" borderId="0" xfId="0" applyFont="1" applyFill="1" applyAlignment="1">
      <alignment horizontal="center" vertical="center"/>
    </xf>
    <xf numFmtId="1" fontId="13" fillId="5" borderId="0" xfId="0" applyNumberFormat="1" applyFont="1" applyFill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9" fontId="13" fillId="5" borderId="0" xfId="2" applyFont="1" applyFill="1" applyBorder="1" applyAlignment="1">
      <alignment horizontal="center" vertical="center"/>
    </xf>
    <xf numFmtId="0" fontId="24" fillId="5" borderId="0" xfId="0" applyFont="1" applyFill="1"/>
    <xf numFmtId="0" fontId="8" fillId="2" borderId="9" xfId="0" applyFont="1" applyFill="1" applyBorder="1"/>
    <xf numFmtId="1" fontId="8" fillId="2" borderId="0" xfId="0" applyNumberFormat="1" applyFont="1" applyFill="1" applyAlignment="1">
      <alignment horizontal="center" vertical="center"/>
    </xf>
    <xf numFmtId="166" fontId="8" fillId="2" borderId="10" xfId="2" applyNumberFormat="1" applyFont="1" applyFill="1" applyBorder="1" applyAlignment="1">
      <alignment horizontal="center" vertical="center"/>
    </xf>
    <xf numFmtId="0" fontId="8" fillId="4" borderId="9" xfId="0" applyFont="1" applyFill="1" applyBorder="1"/>
    <xf numFmtId="1" fontId="8" fillId="4" borderId="0" xfId="0" applyNumberFormat="1" applyFont="1" applyFill="1" applyAlignment="1">
      <alignment horizontal="center" vertical="center"/>
    </xf>
    <xf numFmtId="166" fontId="8" fillId="4" borderId="10" xfId="2" applyNumberFormat="1" applyFont="1" applyFill="1" applyBorder="1" applyAlignment="1">
      <alignment horizontal="center" vertical="center"/>
    </xf>
    <xf numFmtId="0" fontId="8" fillId="7" borderId="11" xfId="0" applyFont="1" applyFill="1" applyBorder="1"/>
    <xf numFmtId="1" fontId="8" fillId="7" borderId="2" xfId="0" applyNumberFormat="1" applyFont="1" applyFill="1" applyBorder="1" applyAlignment="1">
      <alignment horizontal="center" vertical="center"/>
    </xf>
    <xf numFmtId="166" fontId="8" fillId="7" borderId="12" xfId="2" applyNumberFormat="1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/>
    </xf>
    <xf numFmtId="1" fontId="25" fillId="8" borderId="4" xfId="0" applyNumberFormat="1" applyFont="1" applyFill="1" applyBorder="1" applyAlignment="1">
      <alignment horizontal="center"/>
    </xf>
    <xf numFmtId="1" fontId="8" fillId="4" borderId="13" xfId="0" applyNumberFormat="1" applyFont="1" applyFill="1" applyBorder="1" applyAlignment="1">
      <alignment horizontal="center"/>
    </xf>
    <xf numFmtId="1" fontId="8" fillId="2" borderId="13" xfId="0" applyNumberFormat="1" applyFont="1" applyFill="1" applyBorder="1" applyAlignment="1">
      <alignment horizontal="center"/>
    </xf>
    <xf numFmtId="0" fontId="8" fillId="5" borderId="9" xfId="0" applyFont="1" applyFill="1" applyBorder="1"/>
    <xf numFmtId="1" fontId="8" fillId="5" borderId="0" xfId="0" applyNumberFormat="1" applyFont="1" applyFill="1" applyAlignment="1">
      <alignment horizontal="center" vertical="center"/>
    </xf>
    <xf numFmtId="166" fontId="8" fillId="5" borderId="10" xfId="2" applyNumberFormat="1" applyFont="1" applyFill="1" applyBorder="1" applyAlignment="1">
      <alignment horizontal="center" vertical="center"/>
    </xf>
    <xf numFmtId="0" fontId="8" fillId="5" borderId="4" xfId="0" applyFont="1" applyFill="1" applyBorder="1"/>
    <xf numFmtId="1" fontId="8" fillId="5" borderId="13" xfId="0" applyNumberFormat="1" applyFont="1" applyFill="1" applyBorder="1" applyAlignment="1">
      <alignment horizontal="center"/>
    </xf>
    <xf numFmtId="166" fontId="8" fillId="5" borderId="5" xfId="2" applyNumberFormat="1" applyFont="1" applyFill="1" applyBorder="1" applyAlignment="1">
      <alignment horizontal="center"/>
    </xf>
    <xf numFmtId="0" fontId="9" fillId="5" borderId="6" xfId="0" applyFont="1" applyFill="1" applyBorder="1"/>
    <xf numFmtId="1" fontId="9" fillId="5" borderId="6" xfId="0" applyNumberFormat="1" applyFont="1" applyFill="1" applyBorder="1"/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left"/>
    </xf>
    <xf numFmtId="167" fontId="8" fillId="0" borderId="0" xfId="0" applyNumberFormat="1" applyFont="1" applyAlignment="1">
      <alignment horizontal="center" vertical="center"/>
    </xf>
    <xf numFmtId="0" fontId="20" fillId="0" borderId="14" xfId="0" applyFont="1" applyBorder="1" applyAlignment="1">
      <alignment horizontal="center"/>
    </xf>
    <xf numFmtId="0" fontId="29" fillId="0" borderId="1" xfId="1" applyFont="1" applyBorder="1" applyAlignment="1">
      <alignment horizontal="center" vertical="center" wrapText="1"/>
    </xf>
    <xf numFmtId="0" fontId="29" fillId="0" borderId="14" xfId="1" applyFont="1" applyBorder="1" applyAlignment="1">
      <alignment horizontal="center" vertical="center" wrapText="1"/>
    </xf>
    <xf numFmtId="0" fontId="20" fillId="9" borderId="1" xfId="0" applyFont="1" applyFill="1" applyBorder="1"/>
    <xf numFmtId="0" fontId="20" fillId="9" borderId="14" xfId="0" applyFont="1" applyFill="1" applyBorder="1" applyAlignment="1">
      <alignment horizontal="center"/>
    </xf>
    <xf numFmtId="0" fontId="32" fillId="0" borderId="14" xfId="0" applyFont="1" applyBorder="1"/>
    <xf numFmtId="0" fontId="32" fillId="0" borderId="16" xfId="0" applyFont="1" applyBorder="1"/>
    <xf numFmtId="0" fontId="33" fillId="0" borderId="19" xfId="1" applyFont="1" applyBorder="1" applyAlignment="1">
      <alignment horizontal="center" vertical="center" wrapText="1"/>
    </xf>
    <xf numFmtId="0" fontId="33" fillId="0" borderId="20" xfId="1" applyFont="1" applyBorder="1" applyAlignment="1">
      <alignment horizontal="center" vertical="center" wrapText="1"/>
    </xf>
    <xf numFmtId="0" fontId="33" fillId="0" borderId="21" xfId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1" fontId="34" fillId="0" borderId="1" xfId="0" applyNumberFormat="1" applyFont="1" applyBorder="1" applyAlignment="1">
      <alignment horizontal="center"/>
    </xf>
    <xf numFmtId="1" fontId="32" fillId="0" borderId="15" xfId="0" applyNumberFormat="1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" fontId="34" fillId="0" borderId="17" xfId="0" applyNumberFormat="1" applyFont="1" applyBorder="1" applyAlignment="1">
      <alignment horizontal="center"/>
    </xf>
    <xf numFmtId="1" fontId="32" fillId="0" borderId="18" xfId="0" applyNumberFormat="1" applyFont="1" applyBorder="1" applyAlignment="1">
      <alignment horizontal="center"/>
    </xf>
    <xf numFmtId="0" fontId="15" fillId="0" borderId="0" xfId="0" applyFont="1"/>
    <xf numFmtId="2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0" xfId="0" applyFont="1"/>
    <xf numFmtId="2" fontId="19" fillId="0" borderId="0" xfId="0" applyNumberFormat="1" applyFont="1" applyAlignment="1">
      <alignment horizontal="center"/>
    </xf>
    <xf numFmtId="43" fontId="15" fillId="0" borderId="0" xfId="0" applyNumberFormat="1" applyFont="1"/>
    <xf numFmtId="2" fontId="15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2" fontId="15" fillId="0" borderId="0" xfId="0" applyNumberFormat="1" applyFont="1"/>
    <xf numFmtId="2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center"/>
    </xf>
    <xf numFmtId="43" fontId="15" fillId="0" borderId="0" xfId="0" applyNumberFormat="1" applyFont="1" applyAlignment="1">
      <alignment horizontal="center"/>
    </xf>
    <xf numFmtId="0" fontId="18" fillId="0" borderId="0" xfId="0" applyFont="1"/>
    <xf numFmtId="43" fontId="13" fillId="0" borderId="0" xfId="0" applyNumberFormat="1" applyFont="1"/>
    <xf numFmtId="0" fontId="24" fillId="0" borderId="0" xfId="0" applyFont="1"/>
    <xf numFmtId="0" fontId="24" fillId="0" borderId="0" xfId="0" applyFont="1" applyAlignment="1">
      <alignment horizontal="center"/>
    </xf>
    <xf numFmtId="2" fontId="8" fillId="5" borderId="0" xfId="0" applyNumberFormat="1" applyFont="1" applyFill="1"/>
    <xf numFmtId="0" fontId="8" fillId="0" borderId="4" xfId="0" applyFont="1" applyBorder="1"/>
    <xf numFmtId="166" fontId="8" fillId="4" borderId="24" xfId="0" applyNumberFormat="1" applyFont="1" applyFill="1" applyBorder="1" applyAlignment="1">
      <alignment horizontal="center"/>
    </xf>
    <xf numFmtId="166" fontId="8" fillId="2" borderId="24" xfId="2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left"/>
    </xf>
    <xf numFmtId="3" fontId="8" fillId="0" borderId="1" xfId="0" applyNumberFormat="1" applyFont="1" applyBorder="1" applyAlignment="1">
      <alignment horizontal="center"/>
    </xf>
    <xf numFmtId="41" fontId="8" fillId="0" borderId="1" xfId="0" applyNumberFormat="1" applyFont="1" applyBorder="1" applyAlignment="1">
      <alignment horizontal="center"/>
    </xf>
    <xf numFmtId="43" fontId="8" fillId="0" borderId="1" xfId="0" applyNumberFormat="1" applyFont="1" applyBorder="1" applyAlignment="1">
      <alignment horizontal="center"/>
    </xf>
    <xf numFmtId="43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43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wrapText="1"/>
    </xf>
    <xf numFmtId="0" fontId="27" fillId="0" borderId="1" xfId="0" applyFont="1" applyBorder="1"/>
    <xf numFmtId="41" fontId="26" fillId="0" borderId="1" xfId="0" applyNumberFormat="1" applyFont="1" applyBorder="1" applyAlignment="1">
      <alignment horizontal="center"/>
    </xf>
    <xf numFmtId="43" fontId="26" fillId="0" borderId="1" xfId="0" applyNumberFormat="1" applyFont="1" applyBorder="1" applyAlignment="1">
      <alignment horizontal="center"/>
    </xf>
    <xf numFmtId="43" fontId="26" fillId="0" borderId="1" xfId="0" applyNumberFormat="1" applyFont="1" applyBorder="1" applyAlignment="1">
      <alignment horizontal="left"/>
    </xf>
    <xf numFmtId="0" fontId="26" fillId="0" borderId="1" xfId="0" applyFont="1" applyBorder="1"/>
    <xf numFmtId="41" fontId="27" fillId="0" borderId="1" xfId="0" applyNumberFormat="1" applyFont="1" applyBorder="1" applyAlignment="1">
      <alignment horizontal="center"/>
    </xf>
    <xf numFmtId="43" fontId="27" fillId="0" borderId="1" xfId="0" applyNumberFormat="1" applyFont="1" applyBorder="1" applyAlignment="1">
      <alignment horizontal="center"/>
    </xf>
    <xf numFmtId="43" fontId="11" fillId="0" borderId="1" xfId="0" applyNumberFormat="1" applyFont="1" applyBorder="1" applyAlignment="1">
      <alignment horizontal="center"/>
    </xf>
    <xf numFmtId="43" fontId="27" fillId="0" borderId="1" xfId="0" applyNumberFormat="1" applyFont="1" applyBorder="1" applyAlignment="1">
      <alignment horizontal="left"/>
    </xf>
    <xf numFmtId="0" fontId="8" fillId="0" borderId="23" xfId="0" applyFont="1" applyBorder="1"/>
    <xf numFmtId="0" fontId="8" fillId="0" borderId="20" xfId="0" applyFont="1" applyBorder="1"/>
    <xf numFmtId="0" fontId="26" fillId="0" borderId="22" xfId="0" applyFont="1" applyBorder="1"/>
    <xf numFmtId="0" fontId="8" fillId="0" borderId="22" xfId="0" applyFont="1" applyBorder="1"/>
    <xf numFmtId="0" fontId="8" fillId="0" borderId="17" xfId="0" applyFont="1" applyBorder="1"/>
    <xf numFmtId="0" fontId="11" fillId="0" borderId="1" xfId="0" applyFont="1" applyBorder="1"/>
    <xf numFmtId="0" fontId="24" fillId="0" borderId="1" xfId="0" applyFont="1" applyBorder="1"/>
    <xf numFmtId="0" fontId="8" fillId="0" borderId="24" xfId="0" applyFont="1" applyBorder="1"/>
    <xf numFmtId="0" fontId="8" fillId="0" borderId="25" xfId="0" applyFont="1" applyBorder="1"/>
    <xf numFmtId="43" fontId="8" fillId="0" borderId="1" xfId="0" applyNumberFormat="1" applyFont="1" applyBorder="1"/>
    <xf numFmtId="165" fontId="8" fillId="0" borderId="1" xfId="0" applyNumberFormat="1" applyFont="1" applyBorder="1" applyAlignment="1">
      <alignment horizontal="center"/>
    </xf>
    <xf numFmtId="164" fontId="26" fillId="0" borderId="1" xfId="0" applyNumberFormat="1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0" fontId="9" fillId="0" borderId="1" xfId="0" applyFont="1" applyBorder="1"/>
    <xf numFmtId="41" fontId="9" fillId="0" borderId="1" xfId="0" applyNumberFormat="1" applyFont="1" applyBorder="1" applyAlignment="1">
      <alignment horizontal="center"/>
    </xf>
    <xf numFmtId="43" fontId="9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1" fillId="0" borderId="1" xfId="0" applyFont="1" applyBorder="1"/>
    <xf numFmtId="0" fontId="15" fillId="7" borderId="0" xfId="0" applyFont="1" applyFill="1"/>
    <xf numFmtId="2" fontId="15" fillId="7" borderId="0" xfId="0" applyNumberFormat="1" applyFont="1" applyFill="1" applyAlignment="1">
      <alignment horizontal="center"/>
    </xf>
    <xf numFmtId="1" fontId="15" fillId="7" borderId="0" xfId="0" applyNumberFormat="1" applyFont="1" applyFill="1" applyAlignment="1">
      <alignment horizontal="center"/>
    </xf>
    <xf numFmtId="0" fontId="15" fillId="2" borderId="0" xfId="0" applyFont="1" applyFill="1"/>
    <xf numFmtId="2" fontId="15" fillId="2" borderId="0" xfId="0" applyNumberFormat="1" applyFont="1" applyFill="1" applyAlignment="1">
      <alignment horizontal="center"/>
    </xf>
    <xf numFmtId="2" fontId="19" fillId="2" borderId="0" xfId="0" applyNumberFormat="1" applyFont="1" applyFill="1" applyAlignment="1">
      <alignment horizontal="center"/>
    </xf>
    <xf numFmtId="2" fontId="15" fillId="7" borderId="0" xfId="0" applyNumberFormat="1" applyFont="1" applyFill="1" applyAlignment="1">
      <alignment horizontal="center" vertical="center"/>
    </xf>
    <xf numFmtId="0" fontId="8" fillId="7" borderId="0" xfId="0" applyFont="1" applyFill="1"/>
    <xf numFmtId="0" fontId="15" fillId="4" borderId="0" xfId="0" applyFont="1" applyFill="1"/>
    <xf numFmtId="2" fontId="15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center"/>
    </xf>
    <xf numFmtId="2" fontId="15" fillId="4" borderId="0" xfId="0" applyNumberFormat="1" applyFont="1" applyFill="1" applyAlignment="1">
      <alignment horizontal="center"/>
    </xf>
    <xf numFmtId="1" fontId="15" fillId="2" borderId="0" xfId="0" applyNumberFormat="1" applyFont="1" applyFill="1" applyAlignment="1">
      <alignment horizontal="center"/>
    </xf>
    <xf numFmtId="164" fontId="8" fillId="0" borderId="26" xfId="0" applyNumberFormat="1" applyFont="1" applyBorder="1" applyAlignment="1">
      <alignment horizontal="left"/>
    </xf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3" fontId="8" fillId="0" borderId="26" xfId="0" applyNumberFormat="1" applyFont="1" applyBorder="1" applyAlignment="1">
      <alignment horizontal="center"/>
    </xf>
    <xf numFmtId="41" fontId="8" fillId="0" borderId="26" xfId="0" applyNumberFormat="1" applyFont="1" applyBorder="1" applyAlignment="1">
      <alignment horizontal="center"/>
    </xf>
    <xf numFmtId="43" fontId="8" fillId="0" borderId="26" xfId="0" applyNumberFormat="1" applyFont="1" applyBorder="1" applyAlignment="1">
      <alignment horizontal="center"/>
    </xf>
    <xf numFmtId="43" fontId="12" fillId="0" borderId="26" xfId="0" applyNumberFormat="1" applyFont="1" applyBorder="1" applyAlignment="1">
      <alignment horizontal="center"/>
    </xf>
    <xf numFmtId="165" fontId="12" fillId="0" borderId="26" xfId="0" applyNumberFormat="1" applyFont="1" applyBorder="1" applyAlignment="1">
      <alignment horizontal="center"/>
    </xf>
    <xf numFmtId="43" fontId="8" fillId="0" borderId="26" xfId="0" applyNumberFormat="1" applyFont="1" applyBorder="1" applyAlignment="1">
      <alignment horizontal="left"/>
    </xf>
    <xf numFmtId="164" fontId="8" fillId="0" borderId="17" xfId="0" applyNumberFormat="1" applyFont="1" applyBorder="1" applyAlignment="1">
      <alignment horizontal="left"/>
    </xf>
    <xf numFmtId="0" fontId="8" fillId="0" borderId="17" xfId="0" applyFont="1" applyBorder="1" applyAlignment="1">
      <alignment horizontal="center"/>
    </xf>
    <xf numFmtId="3" fontId="8" fillId="0" borderId="17" xfId="0" applyNumberFormat="1" applyFont="1" applyBorder="1" applyAlignment="1">
      <alignment horizontal="center"/>
    </xf>
    <xf numFmtId="41" fontId="8" fillId="0" borderId="17" xfId="0" applyNumberFormat="1" applyFont="1" applyBorder="1" applyAlignment="1">
      <alignment horizontal="center"/>
    </xf>
    <xf numFmtId="43" fontId="8" fillId="0" borderId="17" xfId="0" applyNumberFormat="1" applyFont="1" applyBorder="1" applyAlignment="1">
      <alignment horizontal="center"/>
    </xf>
    <xf numFmtId="43" fontId="12" fillId="0" borderId="17" xfId="0" applyNumberFormat="1" applyFont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43" fontId="8" fillId="0" borderId="17" xfId="0" applyNumberFormat="1" applyFont="1" applyBorder="1" applyAlignment="1">
      <alignment horizontal="left"/>
    </xf>
    <xf numFmtId="164" fontId="8" fillId="0" borderId="20" xfId="0" applyNumberFormat="1" applyFont="1" applyBorder="1" applyAlignment="1">
      <alignment horizontal="left"/>
    </xf>
    <xf numFmtId="0" fontId="8" fillId="0" borderId="20" xfId="0" applyFont="1" applyBorder="1" applyAlignment="1">
      <alignment horizontal="center"/>
    </xf>
    <xf numFmtId="3" fontId="8" fillId="0" borderId="20" xfId="0" applyNumberFormat="1" applyFont="1" applyBorder="1" applyAlignment="1">
      <alignment horizontal="center"/>
    </xf>
    <xf numFmtId="41" fontId="8" fillId="0" borderId="20" xfId="0" applyNumberFormat="1" applyFont="1" applyBorder="1" applyAlignment="1">
      <alignment horizontal="center"/>
    </xf>
    <xf numFmtId="43" fontId="8" fillId="0" borderId="20" xfId="0" applyNumberFormat="1" applyFont="1" applyBorder="1" applyAlignment="1">
      <alignment horizontal="center"/>
    </xf>
    <xf numFmtId="43" fontId="11" fillId="0" borderId="20" xfId="0" applyNumberFormat="1" applyFont="1" applyBorder="1" applyAlignment="1">
      <alignment horizontal="center"/>
    </xf>
    <xf numFmtId="43" fontId="12" fillId="0" borderId="20" xfId="0" applyNumberFormat="1" applyFont="1" applyBorder="1" applyAlignment="1">
      <alignment horizontal="center"/>
    </xf>
    <xf numFmtId="165" fontId="12" fillId="0" borderId="20" xfId="0" applyNumberFormat="1" applyFont="1" applyBorder="1" applyAlignment="1">
      <alignment horizontal="center"/>
    </xf>
    <xf numFmtId="43" fontId="8" fillId="0" borderId="20" xfId="0" applyNumberFormat="1" applyFont="1" applyBorder="1" applyAlignment="1">
      <alignment horizontal="left"/>
    </xf>
    <xf numFmtId="43" fontId="7" fillId="0" borderId="26" xfId="0" applyNumberFormat="1" applyFont="1" applyBorder="1" applyAlignment="1">
      <alignment horizontal="center"/>
    </xf>
    <xf numFmtId="43" fontId="7" fillId="0" borderId="17" xfId="0" applyNumberFormat="1" applyFont="1" applyBorder="1" applyAlignment="1">
      <alignment horizontal="center"/>
    </xf>
    <xf numFmtId="43" fontId="7" fillId="0" borderId="20" xfId="0" applyNumberFormat="1" applyFont="1" applyBorder="1" applyAlignment="1">
      <alignment horizontal="center"/>
    </xf>
    <xf numFmtId="164" fontId="8" fillId="0" borderId="25" xfId="0" applyNumberFormat="1" applyFont="1" applyBorder="1" applyAlignment="1">
      <alignment horizontal="left"/>
    </xf>
    <xf numFmtId="0" fontId="8" fillId="0" borderId="25" xfId="0" applyFont="1" applyBorder="1" applyAlignment="1">
      <alignment horizontal="center"/>
    </xf>
    <xf numFmtId="3" fontId="8" fillId="0" borderId="25" xfId="0" applyNumberFormat="1" applyFont="1" applyBorder="1" applyAlignment="1">
      <alignment horizontal="center"/>
    </xf>
    <xf numFmtId="41" fontId="8" fillId="0" borderId="25" xfId="0" applyNumberFormat="1" applyFont="1" applyBorder="1" applyAlignment="1">
      <alignment horizontal="center"/>
    </xf>
    <xf numFmtId="43" fontId="8" fillId="0" borderId="25" xfId="0" applyNumberFormat="1" applyFont="1" applyBorder="1" applyAlignment="1">
      <alignment horizontal="center"/>
    </xf>
    <xf numFmtId="43" fontId="7" fillId="0" borderId="25" xfId="0" applyNumberFormat="1" applyFont="1" applyBorder="1" applyAlignment="1">
      <alignment horizontal="center"/>
    </xf>
    <xf numFmtId="43" fontId="12" fillId="0" borderId="25" xfId="0" applyNumberFormat="1" applyFont="1" applyBorder="1" applyAlignment="1">
      <alignment horizontal="center"/>
    </xf>
    <xf numFmtId="165" fontId="12" fillId="0" borderId="25" xfId="0" applyNumberFormat="1" applyFont="1" applyBorder="1" applyAlignment="1">
      <alignment horizontal="center"/>
    </xf>
    <xf numFmtId="43" fontId="8" fillId="0" borderId="25" xfId="0" applyNumberFormat="1" applyFont="1" applyBorder="1" applyAlignment="1">
      <alignment horizontal="left"/>
    </xf>
    <xf numFmtId="0" fontId="8" fillId="0" borderId="26" xfId="0" applyFont="1" applyBorder="1" applyAlignment="1">
      <alignment wrapText="1"/>
    </xf>
    <xf numFmtId="164" fontId="8" fillId="0" borderId="17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3" fontId="8" fillId="0" borderId="17" xfId="0" applyNumberFormat="1" applyFont="1" applyBorder="1" applyAlignment="1">
      <alignment horizontal="center" vertical="center" wrapText="1"/>
    </xf>
    <xf numFmtId="41" fontId="8" fillId="0" borderId="17" xfId="0" applyNumberFormat="1" applyFont="1" applyBorder="1" applyAlignment="1">
      <alignment horizontal="center" vertical="center" wrapText="1"/>
    </xf>
    <xf numFmtId="43" fontId="8" fillId="0" borderId="17" xfId="0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 wrapText="1"/>
    </xf>
    <xf numFmtId="2" fontId="13" fillId="4" borderId="0" xfId="0" applyNumberFormat="1" applyFont="1" applyFill="1" applyAlignment="1">
      <alignment horizontal="center"/>
    </xf>
    <xf numFmtId="164" fontId="8" fillId="0" borderId="22" xfId="0" applyNumberFormat="1" applyFont="1" applyBorder="1" applyAlignment="1">
      <alignment horizontal="left"/>
    </xf>
    <xf numFmtId="0" fontId="8" fillId="0" borderId="22" xfId="0" applyFont="1" applyBorder="1" applyAlignment="1">
      <alignment horizontal="center"/>
    </xf>
    <xf numFmtId="3" fontId="8" fillId="0" borderId="22" xfId="0" applyNumberFormat="1" applyFont="1" applyBorder="1" applyAlignment="1">
      <alignment horizontal="center"/>
    </xf>
    <xf numFmtId="41" fontId="8" fillId="0" borderId="22" xfId="0" applyNumberFormat="1" applyFont="1" applyBorder="1" applyAlignment="1">
      <alignment horizontal="center"/>
    </xf>
    <xf numFmtId="43" fontId="8" fillId="0" borderId="22" xfId="0" applyNumberFormat="1" applyFont="1" applyBorder="1" applyAlignment="1">
      <alignment horizontal="center"/>
    </xf>
    <xf numFmtId="43" fontId="12" fillId="0" borderId="22" xfId="0" applyNumberFormat="1" applyFont="1" applyBorder="1" applyAlignment="1">
      <alignment horizontal="center"/>
    </xf>
    <xf numFmtId="165" fontId="12" fillId="0" borderId="22" xfId="0" applyNumberFormat="1" applyFont="1" applyBorder="1" applyAlignment="1">
      <alignment horizontal="center"/>
    </xf>
    <xf numFmtId="43" fontId="8" fillId="0" borderId="22" xfId="0" applyNumberFormat="1" applyFont="1" applyBorder="1" applyAlignment="1">
      <alignment horizontal="left"/>
    </xf>
    <xf numFmtId="43" fontId="7" fillId="0" borderId="22" xfId="0" applyNumberFormat="1" applyFont="1" applyBorder="1" applyAlignment="1">
      <alignment horizontal="center"/>
    </xf>
    <xf numFmtId="2" fontId="15" fillId="2" borderId="0" xfId="0" applyNumberFormat="1" applyFont="1" applyFill="1" applyAlignment="1">
      <alignment horizontal="center" vertical="center"/>
    </xf>
    <xf numFmtId="43" fontId="7" fillId="0" borderId="1" xfId="0" applyNumberFormat="1" applyFont="1" applyBorder="1" applyAlignment="1">
      <alignment horizontal="center"/>
    </xf>
    <xf numFmtId="164" fontId="37" fillId="0" borderId="20" xfId="0" applyNumberFormat="1" applyFont="1" applyBorder="1" applyAlignment="1">
      <alignment horizontal="left"/>
    </xf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8" fillId="0" borderId="20" xfId="0" applyFont="1" applyBorder="1" applyAlignment="1">
      <alignment wrapText="1"/>
    </xf>
    <xf numFmtId="164" fontId="8" fillId="0" borderId="14" xfId="0" applyNumberFormat="1" applyFont="1" applyBorder="1" applyAlignment="1">
      <alignment horizontal="left"/>
    </xf>
    <xf numFmtId="0" fontId="8" fillId="0" borderId="15" xfId="0" applyFont="1" applyBorder="1"/>
    <xf numFmtId="2" fontId="36" fillId="0" borderId="0" xfId="0" applyNumberFormat="1" applyFont="1" applyAlignment="1">
      <alignment horizontal="center"/>
    </xf>
    <xf numFmtId="0" fontId="36" fillId="0" borderId="0" xfId="0" applyFont="1"/>
    <xf numFmtId="164" fontId="8" fillId="0" borderId="27" xfId="0" applyNumberFormat="1" applyFont="1" applyBorder="1" applyAlignment="1">
      <alignment horizontal="left"/>
    </xf>
    <xf numFmtId="0" fontId="8" fillId="0" borderId="27" xfId="0" applyFont="1" applyBorder="1"/>
    <xf numFmtId="0" fontId="8" fillId="0" borderId="27" xfId="0" applyFont="1" applyBorder="1" applyAlignment="1">
      <alignment horizontal="center"/>
    </xf>
    <xf numFmtId="3" fontId="8" fillId="0" borderId="27" xfId="0" applyNumberFormat="1" applyFont="1" applyBorder="1" applyAlignment="1">
      <alignment horizontal="center"/>
    </xf>
    <xf numFmtId="41" fontId="8" fillId="0" borderId="27" xfId="0" applyNumberFormat="1" applyFont="1" applyBorder="1" applyAlignment="1">
      <alignment horizontal="center"/>
    </xf>
    <xf numFmtId="43" fontId="8" fillId="0" borderId="27" xfId="0" applyNumberFormat="1" applyFont="1" applyBorder="1" applyAlignment="1">
      <alignment horizontal="center"/>
    </xf>
    <xf numFmtId="43" fontId="12" fillId="0" borderId="27" xfId="0" applyNumberFormat="1" applyFont="1" applyBorder="1" applyAlignment="1">
      <alignment horizontal="center"/>
    </xf>
    <xf numFmtId="165" fontId="12" fillId="0" borderId="27" xfId="0" applyNumberFormat="1" applyFont="1" applyBorder="1" applyAlignment="1">
      <alignment horizontal="center"/>
    </xf>
    <xf numFmtId="43" fontId="8" fillId="0" borderId="27" xfId="0" applyNumberFormat="1" applyFont="1" applyBorder="1" applyAlignment="1">
      <alignment horizontal="left"/>
    </xf>
    <xf numFmtId="164" fontId="8" fillId="0" borderId="28" xfId="0" applyNumberFormat="1" applyFont="1" applyBorder="1" applyAlignment="1">
      <alignment horizontal="left"/>
    </xf>
    <xf numFmtId="0" fontId="8" fillId="0" borderId="28" xfId="0" applyFont="1" applyBorder="1"/>
    <xf numFmtId="0" fontId="8" fillId="0" borderId="28" xfId="0" applyFont="1" applyBorder="1" applyAlignment="1">
      <alignment horizontal="center"/>
    </xf>
    <xf numFmtId="3" fontId="8" fillId="0" borderId="28" xfId="0" applyNumberFormat="1" applyFont="1" applyBorder="1" applyAlignment="1">
      <alignment horizontal="center"/>
    </xf>
    <xf numFmtId="41" fontId="8" fillId="0" borderId="28" xfId="0" applyNumberFormat="1" applyFont="1" applyBorder="1" applyAlignment="1">
      <alignment horizontal="center"/>
    </xf>
    <xf numFmtId="43" fontId="8" fillId="0" borderId="28" xfId="0" applyNumberFormat="1" applyFont="1" applyBorder="1" applyAlignment="1">
      <alignment horizontal="center"/>
    </xf>
    <xf numFmtId="43" fontId="12" fillId="0" borderId="28" xfId="0" applyNumberFormat="1" applyFont="1" applyBorder="1" applyAlignment="1">
      <alignment horizontal="center"/>
    </xf>
    <xf numFmtId="165" fontId="12" fillId="0" borderId="28" xfId="0" applyNumberFormat="1" applyFont="1" applyBorder="1" applyAlignment="1">
      <alignment horizontal="center"/>
    </xf>
    <xf numFmtId="43" fontId="8" fillId="0" borderId="28" xfId="0" applyNumberFormat="1" applyFont="1" applyBorder="1" applyAlignment="1">
      <alignment horizontal="left"/>
    </xf>
    <xf numFmtId="43" fontId="37" fillId="0" borderId="26" xfId="0" applyNumberFormat="1" applyFont="1" applyBorder="1" applyAlignment="1">
      <alignment horizontal="center"/>
    </xf>
    <xf numFmtId="0" fontId="20" fillId="0" borderId="26" xfId="0" applyFont="1" applyBorder="1"/>
    <xf numFmtId="164" fontId="37" fillId="0" borderId="25" xfId="0" applyNumberFormat="1" applyFont="1" applyBorder="1" applyAlignment="1">
      <alignment horizontal="left"/>
    </xf>
    <xf numFmtId="43" fontId="7" fillId="0" borderId="27" xfId="0" applyNumberFormat="1" applyFont="1" applyBorder="1" applyAlignment="1">
      <alignment horizontal="center"/>
    </xf>
    <xf numFmtId="164" fontId="8" fillId="0" borderId="23" xfId="0" applyNumberFormat="1" applyFont="1" applyBorder="1" applyAlignment="1">
      <alignment horizontal="left"/>
    </xf>
    <xf numFmtId="0" fontId="8" fillId="0" borderId="23" xfId="0" applyFont="1" applyBorder="1" applyAlignment="1">
      <alignment horizontal="center"/>
    </xf>
    <xf numFmtId="3" fontId="8" fillId="0" borderId="23" xfId="0" applyNumberFormat="1" applyFont="1" applyBorder="1" applyAlignment="1">
      <alignment horizontal="center"/>
    </xf>
    <xf numFmtId="41" fontId="8" fillId="0" borderId="23" xfId="0" applyNumberFormat="1" applyFont="1" applyBorder="1" applyAlignment="1">
      <alignment horizontal="center"/>
    </xf>
    <xf numFmtId="43" fontId="8" fillId="0" borderId="23" xfId="0" applyNumberFormat="1" applyFont="1" applyBorder="1" applyAlignment="1">
      <alignment horizontal="center"/>
    </xf>
    <xf numFmtId="43" fontId="12" fillId="0" borderId="23" xfId="0" applyNumberFormat="1" applyFont="1" applyBorder="1" applyAlignment="1">
      <alignment horizontal="center"/>
    </xf>
    <xf numFmtId="165" fontId="12" fillId="0" borderId="23" xfId="0" applyNumberFormat="1" applyFont="1" applyBorder="1" applyAlignment="1">
      <alignment horizontal="center"/>
    </xf>
    <xf numFmtId="43" fontId="8" fillId="0" borderId="23" xfId="0" applyNumberFormat="1" applyFont="1" applyBorder="1" applyAlignment="1">
      <alignment horizontal="left"/>
    </xf>
    <xf numFmtId="0" fontId="37" fillId="0" borderId="23" xfId="0" applyFont="1" applyBorder="1"/>
    <xf numFmtId="164" fontId="8" fillId="0" borderId="29" xfId="0" applyNumberFormat="1" applyFont="1" applyBorder="1" applyAlignment="1">
      <alignment horizontal="left"/>
    </xf>
    <xf numFmtId="0" fontId="8" fillId="0" borderId="29" xfId="0" applyFont="1" applyBorder="1"/>
    <xf numFmtId="0" fontId="8" fillId="0" borderId="29" xfId="0" applyFont="1" applyBorder="1" applyAlignment="1">
      <alignment horizontal="center"/>
    </xf>
    <xf numFmtId="3" fontId="8" fillId="0" borderId="29" xfId="0" applyNumberFormat="1" applyFont="1" applyBorder="1" applyAlignment="1">
      <alignment horizontal="center"/>
    </xf>
    <xf numFmtId="41" fontId="8" fillId="0" borderId="29" xfId="0" applyNumberFormat="1" applyFont="1" applyBorder="1" applyAlignment="1">
      <alignment horizontal="center"/>
    </xf>
    <xf numFmtId="43" fontId="8" fillId="0" borderId="29" xfId="0" applyNumberFormat="1" applyFont="1" applyBorder="1" applyAlignment="1">
      <alignment horizontal="center"/>
    </xf>
    <xf numFmtId="0" fontId="8" fillId="2" borderId="1" xfId="0" applyFont="1" applyFill="1" applyBorder="1"/>
    <xf numFmtId="43" fontId="7" fillId="0" borderId="23" xfId="0" applyNumberFormat="1" applyFont="1" applyBorder="1" applyAlignment="1">
      <alignment horizontal="center"/>
    </xf>
    <xf numFmtId="2" fontId="15" fillId="4" borderId="0" xfId="0" applyNumberFormat="1" applyFont="1" applyFill="1" applyAlignment="1">
      <alignment vertical="center"/>
    </xf>
    <xf numFmtId="2" fontId="36" fillId="4" borderId="0" xfId="0" applyNumberFormat="1" applyFont="1" applyFill="1" applyAlignment="1">
      <alignment horizontal="center"/>
    </xf>
    <xf numFmtId="0" fontId="36" fillId="4" borderId="0" xfId="0" applyFont="1" applyFill="1"/>
    <xf numFmtId="0" fontId="13" fillId="4" borderId="0" xfId="0" applyFont="1" applyFill="1"/>
    <xf numFmtId="2" fontId="13" fillId="4" borderId="0" xfId="0" applyNumberFormat="1" applyFont="1" applyFill="1" applyAlignment="1">
      <alignment horizontal="center" vertical="center"/>
    </xf>
    <xf numFmtId="168" fontId="12" fillId="0" borderId="20" xfId="0" applyNumberFormat="1" applyFont="1" applyBorder="1" applyAlignment="1">
      <alignment horizontal="center"/>
    </xf>
    <xf numFmtId="168" fontId="12" fillId="0" borderId="23" xfId="0" applyNumberFormat="1" applyFont="1" applyBorder="1" applyAlignment="1">
      <alignment horizontal="center"/>
    </xf>
    <xf numFmtId="0" fontId="37" fillId="0" borderId="0" xfId="0" applyFont="1"/>
    <xf numFmtId="43" fontId="11" fillId="0" borderId="23" xfId="0" applyNumberFormat="1" applyFont="1" applyBorder="1" applyAlignment="1">
      <alignment horizontal="center"/>
    </xf>
    <xf numFmtId="0" fontId="8" fillId="0" borderId="30" xfId="0" applyFont="1" applyBorder="1"/>
    <xf numFmtId="43" fontId="8" fillId="2" borderId="29" xfId="0" applyNumberFormat="1" applyFont="1" applyFill="1" applyBorder="1" applyAlignment="1">
      <alignment horizontal="center"/>
    </xf>
    <xf numFmtId="43" fontId="7" fillId="2" borderId="29" xfId="0" applyNumberFormat="1" applyFont="1" applyFill="1" applyBorder="1" applyAlignment="1">
      <alignment horizontal="center"/>
    </xf>
    <xf numFmtId="43" fontId="12" fillId="2" borderId="29" xfId="0" applyNumberFormat="1" applyFont="1" applyFill="1" applyBorder="1" applyAlignment="1">
      <alignment horizontal="center"/>
    </xf>
    <xf numFmtId="165" fontId="12" fillId="2" borderId="29" xfId="0" applyNumberFormat="1" applyFont="1" applyFill="1" applyBorder="1" applyAlignment="1">
      <alignment horizontal="center"/>
    </xf>
    <xf numFmtId="43" fontId="8" fillId="2" borderId="29" xfId="0" applyNumberFormat="1" applyFont="1" applyFill="1" applyBorder="1" applyAlignment="1">
      <alignment horizontal="left"/>
    </xf>
    <xf numFmtId="3" fontId="8" fillId="2" borderId="29" xfId="0" applyNumberFormat="1" applyFont="1" applyFill="1" applyBorder="1"/>
    <xf numFmtId="0" fontId="8" fillId="2" borderId="29" xfId="0" applyFont="1" applyFill="1" applyBorder="1"/>
    <xf numFmtId="43" fontId="8" fillId="2" borderId="27" xfId="0" applyNumberFormat="1" applyFont="1" applyFill="1" applyBorder="1" applyAlignment="1">
      <alignment horizontal="center"/>
    </xf>
    <xf numFmtId="43" fontId="7" fillId="2" borderId="27" xfId="0" applyNumberFormat="1" applyFont="1" applyFill="1" applyBorder="1" applyAlignment="1">
      <alignment horizontal="center"/>
    </xf>
    <xf numFmtId="43" fontId="12" fillId="2" borderId="27" xfId="0" applyNumberFormat="1" applyFont="1" applyFill="1" applyBorder="1" applyAlignment="1">
      <alignment horizontal="center"/>
    </xf>
    <xf numFmtId="165" fontId="12" fillId="2" borderId="27" xfId="0" applyNumberFormat="1" applyFont="1" applyFill="1" applyBorder="1" applyAlignment="1">
      <alignment horizontal="center"/>
    </xf>
    <xf numFmtId="43" fontId="8" fillId="2" borderId="27" xfId="0" applyNumberFormat="1" applyFont="1" applyFill="1" applyBorder="1" applyAlignment="1">
      <alignment horizontal="left"/>
    </xf>
    <xf numFmtId="0" fontId="8" fillId="2" borderId="27" xfId="0" applyFont="1" applyFill="1" applyBorder="1"/>
    <xf numFmtId="0" fontId="8" fillId="0" borderId="31" xfId="0" applyFont="1" applyBorder="1"/>
    <xf numFmtId="164" fontId="8" fillId="0" borderId="30" xfId="0" applyNumberFormat="1" applyFont="1" applyBorder="1" applyAlignment="1">
      <alignment horizontal="left"/>
    </xf>
    <xf numFmtId="43" fontId="7" fillId="0" borderId="28" xfId="0" applyNumberFormat="1" applyFont="1" applyBorder="1" applyAlignment="1">
      <alignment horizontal="center"/>
    </xf>
    <xf numFmtId="2" fontId="19" fillId="4" borderId="0" xfId="0" applyNumberFormat="1" applyFont="1" applyFill="1" applyAlignment="1">
      <alignment horizontal="center"/>
    </xf>
    <xf numFmtId="164" fontId="9" fillId="0" borderId="20" xfId="0" applyNumberFormat="1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43" fontId="38" fillId="0" borderId="1" xfId="0" applyNumberFormat="1" applyFont="1" applyBorder="1" applyAlignment="1">
      <alignment horizontal="center"/>
    </xf>
    <xf numFmtId="43" fontId="29" fillId="0" borderId="1" xfId="0" applyNumberFormat="1" applyFont="1" applyBorder="1" applyAlignment="1">
      <alignment horizontal="center"/>
    </xf>
    <xf numFmtId="165" fontId="29" fillId="0" borderId="1" xfId="0" applyNumberFormat="1" applyFont="1" applyBorder="1" applyAlignment="1">
      <alignment horizontal="center"/>
    </xf>
    <xf numFmtId="43" fontId="9" fillId="0" borderId="1" xfId="0" applyNumberFormat="1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3" fontId="26" fillId="0" borderId="1" xfId="0" applyNumberFormat="1" applyFont="1" applyBorder="1" applyAlignment="1">
      <alignment horizontal="center"/>
    </xf>
    <xf numFmtId="43" fontId="39" fillId="0" borderId="1" xfId="0" applyNumberFormat="1" applyFont="1" applyBorder="1" applyAlignment="1">
      <alignment horizontal="center"/>
    </xf>
    <xf numFmtId="43" fontId="40" fillId="0" borderId="1" xfId="0" applyNumberFormat="1" applyFont="1" applyBorder="1" applyAlignment="1">
      <alignment horizontal="center"/>
    </xf>
    <xf numFmtId="165" fontId="40" fillId="0" borderId="1" xfId="0" applyNumberFormat="1" applyFont="1" applyBorder="1" applyAlignment="1">
      <alignment horizontal="center"/>
    </xf>
    <xf numFmtId="164" fontId="26" fillId="0" borderId="20" xfId="0" applyNumberFormat="1" applyFont="1" applyBorder="1" applyAlignment="1">
      <alignment horizontal="left"/>
    </xf>
    <xf numFmtId="2" fontId="15" fillId="2" borderId="0" xfId="0" applyNumberFormat="1" applyFont="1" applyFill="1" applyAlignment="1">
      <alignment vertical="center"/>
    </xf>
    <xf numFmtId="0" fontId="37" fillId="0" borderId="20" xfId="0" applyFont="1" applyBorder="1"/>
    <xf numFmtId="0" fontId="37" fillId="0" borderId="15" xfId="0" applyFont="1" applyBorder="1"/>
    <xf numFmtId="43" fontId="37" fillId="0" borderId="1" xfId="0" applyNumberFormat="1" applyFont="1" applyBorder="1" applyAlignment="1">
      <alignment horizontal="left"/>
    </xf>
    <xf numFmtId="165" fontId="41" fillId="0" borderId="1" xfId="0" applyNumberFormat="1" applyFont="1" applyBorder="1" applyAlignment="1">
      <alignment horizontal="center"/>
    </xf>
    <xf numFmtId="43" fontId="41" fillId="0" borderId="1" xfId="0" applyNumberFormat="1" applyFont="1" applyBorder="1" applyAlignment="1">
      <alignment horizontal="center"/>
    </xf>
    <xf numFmtId="43" fontId="42" fillId="0" borderId="1" xfId="0" applyNumberFormat="1" applyFont="1" applyBorder="1" applyAlignment="1">
      <alignment horizontal="center"/>
    </xf>
    <xf numFmtId="43" fontId="37" fillId="0" borderId="1" xfId="0" applyNumberFormat="1" applyFont="1" applyBorder="1" applyAlignment="1">
      <alignment horizontal="center"/>
    </xf>
    <xf numFmtId="41" fontId="37" fillId="0" borderId="1" xfId="0" applyNumberFormat="1" applyFont="1" applyBorder="1" applyAlignment="1">
      <alignment horizontal="center"/>
    </xf>
    <xf numFmtId="3" fontId="37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1" xfId="0" applyFont="1" applyBorder="1"/>
    <xf numFmtId="164" fontId="37" fillId="0" borderId="14" xfId="0" applyNumberFormat="1" applyFont="1" applyBorder="1" applyAlignment="1">
      <alignment horizontal="left"/>
    </xf>
    <xf numFmtId="164" fontId="8" fillId="0" borderId="32" xfId="0" applyNumberFormat="1" applyFont="1" applyBorder="1" applyAlignment="1">
      <alignment horizontal="left"/>
    </xf>
    <xf numFmtId="0" fontId="8" fillId="0" borderId="32" xfId="0" applyFont="1" applyBorder="1"/>
    <xf numFmtId="0" fontId="8" fillId="0" borderId="32" xfId="0" applyFont="1" applyBorder="1" applyAlignment="1">
      <alignment horizontal="center"/>
    </xf>
    <xf numFmtId="3" fontId="8" fillId="0" borderId="32" xfId="0" applyNumberFormat="1" applyFont="1" applyBorder="1" applyAlignment="1">
      <alignment horizontal="center"/>
    </xf>
    <xf numFmtId="41" fontId="8" fillId="0" borderId="32" xfId="0" applyNumberFormat="1" applyFont="1" applyBorder="1" applyAlignment="1">
      <alignment horizontal="center"/>
    </xf>
    <xf numFmtId="43" fontId="8" fillId="0" borderId="32" xfId="0" applyNumberFormat="1" applyFont="1" applyBorder="1" applyAlignment="1">
      <alignment horizontal="center"/>
    </xf>
    <xf numFmtId="43" fontId="12" fillId="0" borderId="32" xfId="0" applyNumberFormat="1" applyFont="1" applyBorder="1" applyAlignment="1">
      <alignment horizontal="center"/>
    </xf>
    <xf numFmtId="165" fontId="12" fillId="0" borderId="32" xfId="0" applyNumberFormat="1" applyFont="1" applyBorder="1" applyAlignment="1">
      <alignment horizontal="center"/>
    </xf>
    <xf numFmtId="43" fontId="8" fillId="0" borderId="32" xfId="0" applyNumberFormat="1" applyFont="1" applyBorder="1" applyAlignment="1">
      <alignment horizontal="left"/>
    </xf>
    <xf numFmtId="0" fontId="8" fillId="2" borderId="32" xfId="0" applyFont="1" applyFill="1" applyBorder="1"/>
    <xf numFmtId="164" fontId="26" fillId="0" borderId="30" xfId="0" applyNumberFormat="1" applyFont="1" applyBorder="1" applyAlignment="1">
      <alignment horizontal="left"/>
    </xf>
    <xf numFmtId="0" fontId="26" fillId="0" borderId="23" xfId="0" applyFont="1" applyBorder="1"/>
    <xf numFmtId="0" fontId="26" fillId="0" borderId="23" xfId="0" applyFont="1" applyBorder="1" applyAlignment="1">
      <alignment horizontal="center"/>
    </xf>
    <xf numFmtId="3" fontId="26" fillId="0" borderId="23" xfId="0" applyNumberFormat="1" applyFont="1" applyBorder="1" applyAlignment="1">
      <alignment horizontal="center"/>
    </xf>
    <xf numFmtId="41" fontId="26" fillId="0" borderId="23" xfId="0" applyNumberFormat="1" applyFont="1" applyBorder="1" applyAlignment="1">
      <alignment horizontal="center"/>
    </xf>
    <xf numFmtId="43" fontId="26" fillId="0" borderId="23" xfId="0" applyNumberFormat="1" applyFont="1" applyBorder="1" applyAlignment="1">
      <alignment horizontal="center"/>
    </xf>
    <xf numFmtId="43" fontId="39" fillId="0" borderId="23" xfId="0" applyNumberFormat="1" applyFont="1" applyBorder="1" applyAlignment="1">
      <alignment horizontal="center"/>
    </xf>
    <xf numFmtId="43" fontId="40" fillId="0" borderId="23" xfId="0" applyNumberFormat="1" applyFont="1" applyBorder="1" applyAlignment="1">
      <alignment horizontal="center"/>
    </xf>
    <xf numFmtId="165" fontId="40" fillId="0" borderId="23" xfId="0" applyNumberFormat="1" applyFont="1" applyBorder="1" applyAlignment="1">
      <alignment horizontal="center"/>
    </xf>
    <xf numFmtId="43" fontId="26" fillId="0" borderId="23" xfId="0" applyNumberFormat="1" applyFont="1" applyBorder="1" applyAlignment="1">
      <alignment horizontal="left"/>
    </xf>
    <xf numFmtId="0" fontId="26" fillId="0" borderId="30" xfId="0" applyFont="1" applyBorder="1"/>
    <xf numFmtId="0" fontId="26" fillId="0" borderId="1" xfId="0" applyFont="1" applyBorder="1" applyAlignment="1">
      <alignment wrapText="1"/>
    </xf>
    <xf numFmtId="43" fontId="7" fillId="0" borderId="32" xfId="0" applyNumberFormat="1" applyFont="1" applyBorder="1" applyAlignment="1">
      <alignment horizontal="center"/>
    </xf>
    <xf numFmtId="43" fontId="10" fillId="0" borderId="1" xfId="0" applyNumberFormat="1" applyFont="1" applyBorder="1" applyAlignment="1">
      <alignment horizontal="center"/>
    </xf>
    <xf numFmtId="0" fontId="7" fillId="0" borderId="1" xfId="0" applyFont="1" applyBorder="1"/>
    <xf numFmtId="41" fontId="7" fillId="0" borderId="1" xfId="0" applyNumberFormat="1" applyFont="1" applyBorder="1" applyAlignment="1">
      <alignment horizontal="center"/>
    </xf>
    <xf numFmtId="43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2" fontId="13" fillId="2" borderId="0" xfId="0" applyNumberFormat="1" applyFont="1" applyFill="1" applyAlignment="1">
      <alignment horizontal="center"/>
    </xf>
    <xf numFmtId="2" fontId="8" fillId="7" borderId="0" xfId="0" applyNumberFormat="1" applyFont="1" applyFill="1"/>
    <xf numFmtId="43" fontId="43" fillId="0" borderId="1" xfId="0" applyNumberFormat="1" applyFont="1" applyBorder="1" applyAlignment="1">
      <alignment horizontal="center"/>
    </xf>
    <xf numFmtId="43" fontId="11" fillId="0" borderId="17" xfId="0" applyNumberFormat="1" applyFont="1" applyBorder="1" applyAlignment="1">
      <alignment horizontal="center"/>
    </xf>
    <xf numFmtId="43" fontId="11" fillId="0" borderId="22" xfId="0" applyNumberFormat="1" applyFont="1" applyBorder="1" applyAlignment="1">
      <alignment horizontal="center"/>
    </xf>
    <xf numFmtId="164" fontId="7" fillId="0" borderId="22" xfId="0" applyNumberFormat="1" applyFont="1" applyBorder="1" applyAlignment="1">
      <alignment horizontal="left"/>
    </xf>
    <xf numFmtId="164" fontId="35" fillId="0" borderId="1" xfId="0" applyNumberFormat="1" applyFont="1" applyBorder="1" applyAlignment="1">
      <alignment horizontal="center" vertical="center"/>
    </xf>
    <xf numFmtId="1" fontId="22" fillId="5" borderId="0" xfId="0" applyNumberFormat="1" applyFont="1" applyFill="1" applyAlignment="1">
      <alignment horizontal="center" vertical="center"/>
    </xf>
    <xf numFmtId="0" fontId="8" fillId="4" borderId="4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5" borderId="4" xfId="0" applyFont="1" applyFill="1" applyBorder="1" applyAlignment="1">
      <alignment horizontal="center"/>
    </xf>
    <xf numFmtId="1" fontId="9" fillId="5" borderId="7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2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1" xr:uid="{627C0572-3F59-48CF-96E6-17387C8403E5}"/>
    <cellStyle name="Percent" xfId="2" builtinId="5"/>
  </cellStyles>
  <dxfs count="48">
    <dxf>
      <numFmt numFmtId="1" formatCode="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numFmt numFmtId="167" formatCode="_(* #,##0_);_(* \(#,##0\);_(* &quot;-&quot;??_);_(@_)"/>
    </dxf>
    <dxf>
      <alignment vertical="center"/>
    </dxf>
    <dxf>
      <alignment horizontal="center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venir Next LT Pro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venir Next LT Pro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venir Next LT Pro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venir Next LT Pro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venir Next LT Pro"/>
        <family val="2"/>
        <scheme val="none"/>
      </font>
      <numFmt numFmtId="0" formatCode="General"/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venir Next LT Pro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5" formatCode="_(* #,##0.0_);_(* \(#,##0.0\);_(* &quot;-&quot;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 Narrow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mm/dd/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colors>
    <mruColors>
      <color rgb="FFB69FD9"/>
      <color rgb="FFC9B7E3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HARVEST STATUS.xlsx]Stats!PivotTable1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Acres&amp;</a:t>
            </a:r>
            <a:r>
              <a:rPr lang="en-US" baseline="0"/>
              <a:t> Tonnage Picked - September 9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Stats!$B$1</c:f>
              <c:strCache>
                <c:ptCount val="1"/>
                <c:pt idx="0">
                  <c:v>Sum of ACRES PICKED SINCE LAST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Stats!$A$2:$A$30</c:f>
              <c:strCache>
                <c:ptCount val="29"/>
                <c:pt idx="0">
                  <c:v>8/7/2025</c:v>
                </c:pt>
                <c:pt idx="1">
                  <c:v>8/8/2025</c:v>
                </c:pt>
                <c:pt idx="2">
                  <c:v>8/11/2025</c:v>
                </c:pt>
                <c:pt idx="3">
                  <c:v>8/12/2025</c:v>
                </c:pt>
                <c:pt idx="4">
                  <c:v>8/13/2025</c:v>
                </c:pt>
                <c:pt idx="5">
                  <c:v>8/14/2025</c:v>
                </c:pt>
                <c:pt idx="6">
                  <c:v>8/15/2025</c:v>
                </c:pt>
                <c:pt idx="7">
                  <c:v>8/18/2025</c:v>
                </c:pt>
                <c:pt idx="8">
                  <c:v>8/19/2025</c:v>
                </c:pt>
                <c:pt idx="9">
                  <c:v>8/20/2025</c:v>
                </c:pt>
                <c:pt idx="10">
                  <c:v>8/21/2025</c:v>
                </c:pt>
                <c:pt idx="11">
                  <c:v>8/22/2025</c:v>
                </c:pt>
                <c:pt idx="12">
                  <c:v>8/23/2025</c:v>
                </c:pt>
                <c:pt idx="13">
                  <c:v>8/25/2025</c:v>
                </c:pt>
                <c:pt idx="14">
                  <c:v>8/26/2025</c:v>
                </c:pt>
                <c:pt idx="15">
                  <c:v>8/27/2025</c:v>
                </c:pt>
                <c:pt idx="16">
                  <c:v>8/28/2025</c:v>
                </c:pt>
                <c:pt idx="17">
                  <c:v>8/29/2025</c:v>
                </c:pt>
                <c:pt idx="18">
                  <c:v>8/30/2025</c:v>
                </c:pt>
                <c:pt idx="19">
                  <c:v>8/31/2025</c:v>
                </c:pt>
                <c:pt idx="20">
                  <c:v>9/1/2025</c:v>
                </c:pt>
                <c:pt idx="21">
                  <c:v>9/2/2025</c:v>
                </c:pt>
                <c:pt idx="22">
                  <c:v>9/3/2025</c:v>
                </c:pt>
                <c:pt idx="23">
                  <c:v>9/4/2025</c:v>
                </c:pt>
                <c:pt idx="24">
                  <c:v>9/5/2025</c:v>
                </c:pt>
                <c:pt idx="25">
                  <c:v>9/6/2025</c:v>
                </c:pt>
                <c:pt idx="26">
                  <c:v>9/7/2025</c:v>
                </c:pt>
                <c:pt idx="27">
                  <c:v>9/8/2025</c:v>
                </c:pt>
                <c:pt idx="28">
                  <c:v>9/9/2025</c:v>
                </c:pt>
              </c:strCache>
            </c:strRef>
          </c:cat>
          <c:val>
            <c:numRef>
              <c:f>Stats!$B$2:$B$30</c:f>
              <c:numCache>
                <c:formatCode>_(* #,##0_);_(* \(#,##0\);_(* "-"??_);_(@_)</c:formatCode>
                <c:ptCount val="29"/>
                <c:pt idx="0">
                  <c:v>21.975036710719529</c:v>
                </c:pt>
                <c:pt idx="1">
                  <c:v>19.654276040339319</c:v>
                </c:pt>
                <c:pt idx="2">
                  <c:v>6.1266030666206053</c:v>
                </c:pt>
                <c:pt idx="3">
                  <c:v>33.743985916266048</c:v>
                </c:pt>
                <c:pt idx="4">
                  <c:v>26.178911663693405</c:v>
                </c:pt>
                <c:pt idx="5">
                  <c:v>55.477656966986004</c:v>
                </c:pt>
                <c:pt idx="6">
                  <c:v>40.76</c:v>
                </c:pt>
                <c:pt idx="7">
                  <c:v>71.277078386270688</c:v>
                </c:pt>
                <c:pt idx="8">
                  <c:v>61.474285565956791</c:v>
                </c:pt>
                <c:pt idx="9">
                  <c:v>82.272267329487221</c:v>
                </c:pt>
                <c:pt idx="10">
                  <c:v>89.20345690977048</c:v>
                </c:pt>
                <c:pt idx="11">
                  <c:v>33.70074911248448</c:v>
                </c:pt>
                <c:pt idx="12">
                  <c:v>7.58</c:v>
                </c:pt>
                <c:pt idx="13">
                  <c:v>81.240326246492046</c:v>
                </c:pt>
                <c:pt idx="14">
                  <c:v>118.70236388580076</c:v>
                </c:pt>
                <c:pt idx="15">
                  <c:v>83.215883385698689</c:v>
                </c:pt>
                <c:pt idx="16">
                  <c:v>85.099847109633714</c:v>
                </c:pt>
                <c:pt idx="17">
                  <c:v>91.343214512467085</c:v>
                </c:pt>
                <c:pt idx="18">
                  <c:v>44.985908240479901</c:v>
                </c:pt>
                <c:pt idx="19">
                  <c:v>38.378675633591442</c:v>
                </c:pt>
                <c:pt idx="20">
                  <c:v>80.628024066895918</c:v>
                </c:pt>
                <c:pt idx="21">
                  <c:v>93.318606537131629</c:v>
                </c:pt>
                <c:pt idx="22">
                  <c:v>130.74543634766331</c:v>
                </c:pt>
                <c:pt idx="23">
                  <c:v>90.997837702250578</c:v>
                </c:pt>
                <c:pt idx="24">
                  <c:v>115.06172084643785</c:v>
                </c:pt>
                <c:pt idx="25">
                  <c:v>96.049490102949505</c:v>
                </c:pt>
                <c:pt idx="26">
                  <c:v>62.461310487402571</c:v>
                </c:pt>
                <c:pt idx="27">
                  <c:v>127.82028714519738</c:v>
                </c:pt>
                <c:pt idx="28">
                  <c:v>90.332003098700341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3-4875-A5FA-49325DA4B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40542720"/>
        <c:axId val="540543200"/>
      </c:barChart>
      <c:lineChart>
        <c:grouping val="standard"/>
        <c:varyColors val="0"/>
        <c:ser>
          <c:idx val="1"/>
          <c:order val="1"/>
          <c:tx>
            <c:strRef>
              <c:f>Stats!$C$1</c:f>
              <c:strCache>
                <c:ptCount val="1"/>
                <c:pt idx="0">
                  <c:v>Sum of TONS PICKED TODAY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Stats!$A$2:$A$30</c:f>
              <c:strCache>
                <c:ptCount val="29"/>
                <c:pt idx="0">
                  <c:v>8/7/2025</c:v>
                </c:pt>
                <c:pt idx="1">
                  <c:v>8/8/2025</c:v>
                </c:pt>
                <c:pt idx="2">
                  <c:v>8/11/2025</c:v>
                </c:pt>
                <c:pt idx="3">
                  <c:v>8/12/2025</c:v>
                </c:pt>
                <c:pt idx="4">
                  <c:v>8/13/2025</c:v>
                </c:pt>
                <c:pt idx="5">
                  <c:v>8/14/2025</c:v>
                </c:pt>
                <c:pt idx="6">
                  <c:v>8/15/2025</c:v>
                </c:pt>
                <c:pt idx="7">
                  <c:v>8/18/2025</c:v>
                </c:pt>
                <c:pt idx="8">
                  <c:v>8/19/2025</c:v>
                </c:pt>
                <c:pt idx="9">
                  <c:v>8/20/2025</c:v>
                </c:pt>
                <c:pt idx="10">
                  <c:v>8/21/2025</c:v>
                </c:pt>
                <c:pt idx="11">
                  <c:v>8/22/2025</c:v>
                </c:pt>
                <c:pt idx="12">
                  <c:v>8/23/2025</c:v>
                </c:pt>
                <c:pt idx="13">
                  <c:v>8/25/2025</c:v>
                </c:pt>
                <c:pt idx="14">
                  <c:v>8/26/2025</c:v>
                </c:pt>
                <c:pt idx="15">
                  <c:v>8/27/2025</c:v>
                </c:pt>
                <c:pt idx="16">
                  <c:v>8/28/2025</c:v>
                </c:pt>
                <c:pt idx="17">
                  <c:v>8/29/2025</c:v>
                </c:pt>
                <c:pt idx="18">
                  <c:v>8/30/2025</c:v>
                </c:pt>
                <c:pt idx="19">
                  <c:v>8/31/2025</c:v>
                </c:pt>
                <c:pt idx="20">
                  <c:v>9/1/2025</c:v>
                </c:pt>
                <c:pt idx="21">
                  <c:v>9/2/2025</c:v>
                </c:pt>
                <c:pt idx="22">
                  <c:v>9/3/2025</c:v>
                </c:pt>
                <c:pt idx="23">
                  <c:v>9/4/2025</c:v>
                </c:pt>
                <c:pt idx="24">
                  <c:v>9/5/2025</c:v>
                </c:pt>
                <c:pt idx="25">
                  <c:v>9/6/2025</c:v>
                </c:pt>
                <c:pt idx="26">
                  <c:v>9/7/2025</c:v>
                </c:pt>
                <c:pt idx="27">
                  <c:v>9/8/2025</c:v>
                </c:pt>
                <c:pt idx="28">
                  <c:v>9/9/2025</c:v>
                </c:pt>
              </c:strCache>
            </c:strRef>
          </c:cat>
          <c:val>
            <c:numRef>
              <c:f>Stats!$C$2:$C$30</c:f>
              <c:numCache>
                <c:formatCode>_(* #,##0_);_(* \(#,##0\);_(* "-"??_);_(@_)</c:formatCode>
                <c:ptCount val="29"/>
                <c:pt idx="0">
                  <c:v>116.02</c:v>
                </c:pt>
                <c:pt idx="1">
                  <c:v>106.16</c:v>
                </c:pt>
                <c:pt idx="2">
                  <c:v>40</c:v>
                </c:pt>
                <c:pt idx="3">
                  <c:v>270.08000000000004</c:v>
                </c:pt>
                <c:pt idx="4">
                  <c:v>277.99</c:v>
                </c:pt>
                <c:pt idx="5">
                  <c:v>480.65999999999997</c:v>
                </c:pt>
                <c:pt idx="6">
                  <c:v>394.51</c:v>
                </c:pt>
                <c:pt idx="7">
                  <c:v>546.99</c:v>
                </c:pt>
                <c:pt idx="8">
                  <c:v>500.59899999999999</c:v>
                </c:pt>
                <c:pt idx="9">
                  <c:v>630.07999999999993</c:v>
                </c:pt>
                <c:pt idx="10">
                  <c:v>593.79999999999995</c:v>
                </c:pt>
                <c:pt idx="11">
                  <c:v>221.03</c:v>
                </c:pt>
                <c:pt idx="12">
                  <c:v>93.72</c:v>
                </c:pt>
                <c:pt idx="13">
                  <c:v>616.56999999999994</c:v>
                </c:pt>
                <c:pt idx="14">
                  <c:v>848.71999999999991</c:v>
                </c:pt>
                <c:pt idx="15">
                  <c:v>621.65999999999985</c:v>
                </c:pt>
                <c:pt idx="16">
                  <c:v>600.57000000000005</c:v>
                </c:pt>
                <c:pt idx="17">
                  <c:v>583.28</c:v>
                </c:pt>
                <c:pt idx="18">
                  <c:v>404.63</c:v>
                </c:pt>
                <c:pt idx="19">
                  <c:v>227.48</c:v>
                </c:pt>
                <c:pt idx="20">
                  <c:v>626.14499999999998</c:v>
                </c:pt>
                <c:pt idx="21">
                  <c:v>627.85</c:v>
                </c:pt>
                <c:pt idx="22">
                  <c:v>973.90000000000009</c:v>
                </c:pt>
                <c:pt idx="23">
                  <c:v>768.05</c:v>
                </c:pt>
                <c:pt idx="24">
                  <c:v>1071.9099999999999</c:v>
                </c:pt>
                <c:pt idx="25">
                  <c:v>907.12</c:v>
                </c:pt>
                <c:pt idx="26">
                  <c:v>563.71</c:v>
                </c:pt>
                <c:pt idx="27">
                  <c:v>894.12999999999988</c:v>
                </c:pt>
                <c:pt idx="28">
                  <c:v>865.97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3-4875-A5FA-49325DA4B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366928"/>
        <c:axId val="530369808"/>
      </c:lineChart>
      <c:catAx>
        <c:axId val="5405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43200"/>
        <c:crosses val="autoZero"/>
        <c:auto val="1"/>
        <c:lblAlgn val="ctr"/>
        <c:lblOffset val="100"/>
        <c:noMultiLvlLbl val="0"/>
      </c:catAx>
      <c:valAx>
        <c:axId val="5405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Acres picked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42720"/>
        <c:crosses val="autoZero"/>
        <c:crossBetween val="between"/>
      </c:valAx>
      <c:valAx>
        <c:axId val="5303698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Tons picked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66928"/>
        <c:crosses val="max"/>
        <c:crossBetween val="between"/>
      </c:valAx>
      <c:catAx>
        <c:axId val="530366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0369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367241</xdr:colOff>
      <xdr:row>0</xdr:row>
      <xdr:rowOff>188383</xdr:rowOff>
    </xdr:from>
    <xdr:to>
      <xdr:col>21</xdr:col>
      <xdr:colOff>348191</xdr:colOff>
      <xdr:row>30</xdr:row>
      <xdr:rowOff>148167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EB693-AE72-BBAA-642E-ACAE38224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a Zumkeller" id="{02DEE26B-0F5A-4A78-A478-BF706505457E}" userId="S::mzumkeller@langetwins.com::93041f9f-6095-46c9-b58d-c8ee07cbec2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Zumkeller" refreshedDate="45910.343265972224" createdVersion="8" refreshedVersion="8" minRefreshableVersion="3" recordCount="178" xr:uid="{61B1AA33-55EB-467D-9E86-4F4AB3793B47}">
  <cacheSource type="worksheet">
    <worksheetSource ref="A2:R185" sheet="Row Counts"/>
  </cacheSource>
  <cacheFields count="18">
    <cacheField name="DATE" numFmtId="164">
      <sharedItems containsSemiMixedTypes="0" containsNonDate="0" containsDate="1" containsString="0" minDate="2025-08-07T00:00:00" maxDate="2025-09-10T00:00:00" count="29"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</sharedItems>
    </cacheField>
    <cacheField name="BLOCK" numFmtId="0">
      <sharedItems/>
    </cacheField>
    <cacheField name="VINE SPACING" numFmtId="0">
      <sharedItems containsSemiMixedTypes="0" containsString="0" containsNumber="1" containsInteger="1" minValue="0" maxValue="908"/>
    </cacheField>
    <cacheField name="TOTAL VINES" numFmtId="3">
      <sharedItems containsSemiMixedTypes="0" containsString="0" containsNumber="1" containsInteger="1" minValue="0" maxValue="94178"/>
    </cacheField>
    <cacheField name="VINES PICKED" numFmtId="41">
      <sharedItems containsSemiMixedTypes="0" containsString="0" containsNumber="1" containsInteger="1" minValue="0" maxValue="94178"/>
    </cacheField>
    <cacheField name="VINES LEFT" numFmtId="41">
      <sharedItems containsSemiMixedTypes="0" containsString="0" containsNumber="1" containsInteger="1" minValue="0" maxValue="83761"/>
    </cacheField>
    <cacheField name="TOTAL ACRES" numFmtId="43">
      <sharedItems containsSemiMixedTypes="0" containsString="0" containsNumber="1" minValue="0" maxValue="103.72026431718062"/>
    </cacheField>
    <cacheField name="ACRES PICKED" numFmtId="43">
      <sharedItems containsSemiMixedTypes="0" containsString="0" containsNumber="1" minValue="0" maxValue="103.72026431718062"/>
    </cacheField>
    <cacheField name="ACRES LEFT" numFmtId="43">
      <sharedItems containsSemiMixedTypes="0" containsString="0" containsNumber="1" minValue="0" maxValue="92.247797356828201"/>
    </cacheField>
    <cacheField name="ACRES PICKED SINCE LAST COUNT" numFmtId="43">
      <sharedItems containsString="0" containsBlank="1" containsNumber="1" minValue="0.23589001447178004" maxValue="37.59355638166047"/>
    </cacheField>
    <cacheField name="LOADS" numFmtId="43">
      <sharedItems containsString="0" containsBlank="1" containsNumber="1" minValue="0.5" maxValue="14.85"/>
    </cacheField>
    <cacheField name="WINERY" numFmtId="43">
      <sharedItems containsBlank="1"/>
    </cacheField>
    <cacheField name="TONS PICKED TODAY" numFmtId="43">
      <sharedItems containsSemiMixedTypes="0" containsString="0" containsNumber="1" minValue="0" maxValue="357.24"/>
    </cacheField>
    <cacheField name="TPA" numFmtId="43">
      <sharedItems containsSemiMixedTypes="0" containsString="0" containsNumber="1" minValue="0" maxValue="17.447070506454814"/>
    </cacheField>
    <cacheField name="LOADS TO FINISH" numFmtId="165">
      <sharedItems containsSemiMixedTypes="0" containsString="0" containsNumber="1" minValue="0" maxValue="40.803591499822907"/>
    </cacheField>
    <cacheField name="ROW COUNT REPORTED BY " numFmtId="43">
      <sharedItems containsBlank="1"/>
    </cacheField>
    <cacheField name="ROWS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  <s v="CLBC01PG"/>
    <n v="681"/>
    <n v="26421"/>
    <n v="14965"/>
    <n v="11456"/>
    <n v="38.797356828193834"/>
    <n v="21.975036710719529"/>
    <n v="16.822320117474305"/>
    <n v="21.975036710719529"/>
    <n v="5"/>
    <s v="Oneill"/>
    <n v="116.02"/>
    <n v="5.2796271299699296"/>
    <n v="3.8615468557067945"/>
    <s v="Luis"/>
    <s v="Bear Creek PG Row Count (Luis): unpicked rows 16-17,19,21,23,26,28,67-69,71-82,84,87,89,91-132 5 loads DFD Row 16 has 30 unpicked vines And row 70 is halfway picked"/>
    <m/>
  </r>
  <r>
    <x v="1"/>
    <s v="CLBC01PG"/>
    <n v="681"/>
    <n v="26421"/>
    <n v="26421"/>
    <n v="0"/>
    <n v="38.797356828193834"/>
    <n v="38.797356828193834"/>
    <n v="0"/>
    <n v="16.822320117474305"/>
    <n v="4"/>
    <s v="Oneill"/>
    <n v="89.45"/>
    <n v="5.3173402583798879"/>
    <n v="0"/>
    <s v="Luis"/>
    <s v="FC"/>
    <m/>
  </r>
  <r>
    <x v="1"/>
    <s v="JONR03GV"/>
    <n v="726"/>
    <n v="3048"/>
    <n v="2056"/>
    <n v="992"/>
    <n v="4.1983471074380168"/>
    <n v="2.831955922865014"/>
    <n v="1.3663911845730028"/>
    <n v="2.831955922865014"/>
    <n v="1"/>
    <s v="LTW"/>
    <n v="16.71"/>
    <n v="5.9005155642023341"/>
    <n v="0.35053967179834206"/>
    <s v="Maria"/>
    <s v="Picked: 1-24 plus 8 vines "/>
    <s v="Lightest part of the vineyard - aimed to leave 12t in north"/>
  </r>
  <r>
    <x v="2"/>
    <s v="DBAI03ZN"/>
    <n v="622"/>
    <n v="5633"/>
    <n v="1954"/>
    <n v="3679"/>
    <n v="9.0562700964630221"/>
    <n v="3.1414790996784565"/>
    <n v="5.914790996784566"/>
    <n v="3.1414790996784565"/>
    <n v="0.75"/>
    <s v="LTW"/>
    <n v="15.42"/>
    <n v="4.9085158648925287"/>
    <n v="1.2622976280539364"/>
    <s v="Luis"/>
    <s v="Picked Rows: 1-27,29,31"/>
    <m/>
  </r>
  <r>
    <x v="2"/>
    <s v="LFEX01SA"/>
    <n v="605"/>
    <n v="10120"/>
    <n v="1806"/>
    <n v="8314"/>
    <n v="16.727272727272727"/>
    <n v="2.9851239669421488"/>
    <n v="13.742148760330577"/>
    <n v="2.9851239669421488"/>
    <n v="1"/>
    <s v="LTW"/>
    <n v="24.58"/>
    <n v="8.2341638981173855"/>
    <n v="4.9197871828205493"/>
    <s v="Luis"/>
    <s v="Picked Rows: 1-15, row 13 halfway picked"/>
    <m/>
  </r>
  <r>
    <x v="3"/>
    <s v="MUMU02PG"/>
    <n v="681"/>
    <n v="14141"/>
    <n v="9527"/>
    <n v="4614"/>
    <n v="20.765051395007344"/>
    <n v="13.98972099853157"/>
    <n v="6.7753303964757734"/>
    <n v="13.98972099853157"/>
    <n v="4"/>
    <s v="Fetzer"/>
    <n v="88.48"/>
    <n v="6.3246436443791332"/>
    <n v="1.8631108839408372"/>
    <s v="Kyle"/>
    <s v="Picked:23, 25-64, 66, 69(1/2 West), 73, 75, 76(1/2 East), 77-93"/>
    <m/>
  </r>
  <r>
    <x v="3"/>
    <s v="DVDU07MC"/>
    <n v="545"/>
    <n v="15354"/>
    <n v="3055"/>
    <n v="12299"/>
    <n v="28.172477064220182"/>
    <n v="5.6055045871559637"/>
    <n v="22.566972477064219"/>
    <n v="5.6055045871559637"/>
    <n v="0.8"/>
    <s v="Chandon"/>
    <n v="19.850000000000001"/>
    <n v="3.541162029459902"/>
    <n v="3.4744915676368038"/>
    <s v="Mat"/>
    <s v="old picked: 1-4,6-11,13"/>
    <m/>
  </r>
  <r>
    <x v="3"/>
    <s v="DVDU02SB"/>
    <n v="726"/>
    <n v="28200"/>
    <n v="10272"/>
    <n v="17928"/>
    <n v="38.84297520661157"/>
    <n v="14.148760330578513"/>
    <n v="24.694214876033058"/>
    <n v="14.148760330578513"/>
    <n v="7"/>
    <s v="Gallo-Liv"/>
    <n v="161.75"/>
    <n v="11.432096962616821"/>
    <n v="12.274202559934986"/>
    <s v="Mat"/>
    <s v="picked: 36(289 vines picked East),38,40-47,49,54,56,58(152 vines picked West),59-61,65,66,68,69(195 vines picked West),70-77"/>
    <m/>
  </r>
  <r>
    <x v="4"/>
    <s v="DVDU02SB"/>
    <n v="726"/>
    <n v="28200"/>
    <n v="24359"/>
    <n v="3841"/>
    <n v="38.84297520661157"/>
    <n v="33.552341597796143"/>
    <n v="5.2906336088154262"/>
    <n v="19.403581267217632"/>
    <n v="10"/>
    <s v="Gallo-Liv"/>
    <n v="231.63"/>
    <n v="11.937487044793071"/>
    <n v="2.7459508766948244"/>
    <s v="Luis"/>
    <s v="unpicked rows: 1-3,5,9-11,13,15,22-23,25, Row 2 is 3/4 picked, Row22 is 1/2 picked"/>
    <m/>
  </r>
  <r>
    <x v="4"/>
    <s v="MUMU02PG"/>
    <n v="681"/>
    <n v="14141"/>
    <n v="14141"/>
    <n v="0"/>
    <n v="20.765051395007344"/>
    <n v="20.765051395007344"/>
    <n v="0"/>
    <n v="6.7753303964757734"/>
    <n v="2"/>
    <s v="Fetzer"/>
    <n v="46.36"/>
    <n v="6.842470741222364"/>
    <n v="0"/>
    <s v="Luis"/>
    <s v="FC"/>
    <m/>
  </r>
  <r>
    <x v="5"/>
    <s v="DVMA01PN"/>
    <n v="691"/>
    <n v="30586"/>
    <n v="5250"/>
    <n v="25336"/>
    <n v="44.263386396526769"/>
    <n v="7.5976845151953691"/>
    <n v="36.665701881331401"/>
    <m/>
    <m/>
    <s v="LTW"/>
    <n v="0"/>
    <n v="0"/>
    <n v="0"/>
    <s v="Luis"/>
    <s v="See east count"/>
    <m/>
  </r>
  <r>
    <x v="5"/>
    <s v="DVMA01PN-EAST"/>
    <n v="691"/>
    <n v="7826"/>
    <n v="5250"/>
    <n v="2576"/>
    <n v="11.32561505065123"/>
    <n v="7.5976845151953691"/>
    <n v="3.7279305354558607"/>
    <n v="7.5976845151953691"/>
    <n v="3.25"/>
    <s v="LTW"/>
    <n v="76.760000000000005"/>
    <n v="10.103078095238097"/>
    <n v="1.6375466666666667"/>
    <s v="Luis"/>
    <s v="East unpicked: 1-2,35,37,39,43-55, 35 and 39 halfway picked"/>
    <m/>
  </r>
  <r>
    <x v="5"/>
    <s v="DVDU1CSB"/>
    <n v="726"/>
    <n v="32514"/>
    <n v="17409"/>
    <n v="15105"/>
    <n v="44.785123966942152"/>
    <n v="23.979338842975206"/>
    <n v="20.805785123966945"/>
    <n v="23.979338842975206"/>
    <n v="9.5"/>
    <s v="Gallo-Liv"/>
    <n v="218.94"/>
    <n v="9.1303601585386875"/>
    <n v="8.2593178940428125"/>
    <s v="Mat"/>
    <s v="picked: 27(155 picked West),29,31-43,51,53-65,66(365 picked West),67,69-81"/>
    <m/>
  </r>
  <r>
    <x v="5"/>
    <s v="MUMU01SB"/>
    <n v="605"/>
    <n v="12811"/>
    <n v="7682"/>
    <n v="5129"/>
    <n v="21.175206611570246"/>
    <n v="12.697520661157025"/>
    <n v="8.4776859504132211"/>
    <n v="12.7"/>
    <n v="4"/>
    <s v="Fetzer"/>
    <n v="91.68"/>
    <n v="7.2188976377952763"/>
    <n v="2.6608498731047048"/>
    <s v="Kyle"/>
    <s v="picked: 1-37, 38(1/2 west) 39-53, 55, 57, 59, 61 picked east side of house. 96 vines total."/>
    <m/>
  </r>
  <r>
    <x v="5"/>
    <s v="DBAI03ZN"/>
    <n v="622"/>
    <n v="5633"/>
    <n v="5633"/>
    <n v="0"/>
    <n v="9.0562700964630221"/>
    <n v="9.0562700964630221"/>
    <n v="0"/>
    <n v="5.91"/>
    <n v="1.5"/>
    <s v="LTW"/>
    <n v="35.08"/>
    <n v="5.9357021996615904"/>
    <n v="0"/>
    <s v="Luis"/>
    <s v="FC"/>
    <m/>
  </r>
  <r>
    <x v="5"/>
    <s v="DVDU02SB"/>
    <n v="726"/>
    <n v="28200"/>
    <n v="28200"/>
    <n v="0"/>
    <n v="38.84297520661157"/>
    <n v="38.84297520661157"/>
    <n v="0"/>
    <n v="5.2906336088154262"/>
    <n v="2.5"/>
    <s v="Gallo-Liv"/>
    <n v="58.2"/>
    <n v="11.000572767508464"/>
    <n v="0"/>
    <s v="Luis"/>
    <s v="FC"/>
    <m/>
  </r>
  <r>
    <x v="6"/>
    <s v="DVDU1CSB"/>
    <n v="726"/>
    <n v="32514"/>
    <n v="32514"/>
    <n v="0"/>
    <n v="44.785123966942152"/>
    <n v="44.785123966942152"/>
    <n v="0"/>
    <n v="20.81"/>
    <n v="9.5"/>
    <s v="Gallo-Liv"/>
    <n v="214.63"/>
    <n v="10.313791446419991"/>
    <n v="0"/>
    <s v="Luis"/>
    <s v="FC"/>
    <m/>
  </r>
  <r>
    <x v="6"/>
    <s v="MUMU01SB"/>
    <n v="605"/>
    <n v="12811"/>
    <n v="12811"/>
    <n v="0"/>
    <n v="21.175206611570246"/>
    <n v="21.175206611570246"/>
    <n v="0"/>
    <n v="8.48"/>
    <n v="2.75"/>
    <s v="Fetzer"/>
    <n v="63.19"/>
    <n v="7.4516509433962259"/>
    <n v="0"/>
    <s v="Luis"/>
    <s v="FC"/>
    <m/>
  </r>
  <r>
    <x v="6"/>
    <s v="DVMA02PG"/>
    <n v="908"/>
    <n v="94178"/>
    <n v="10417"/>
    <n v="83761"/>
    <n v="103.72026431718062"/>
    <n v="11.472466960352422"/>
    <n v="92.247797356828201"/>
    <n v="11.47"/>
    <n v="5"/>
    <s v="Gallo-TRV"/>
    <n v="116.69"/>
    <n v="10.173496076721882"/>
    <n v="40.803591499822907"/>
    <s v="Luis"/>
    <s v="picked rows: 48,50,52,108-131,133,150-151,153,188,190,192-214 250,252,255,257,Row 52 is halfway picked"/>
    <m/>
  </r>
  <r>
    <x v="7"/>
    <s v="LFEX03VI"/>
    <n v="605"/>
    <n v="9777"/>
    <n v="6576"/>
    <n v="3201"/>
    <n v="16.160330578512397"/>
    <n v="10.869421487603306"/>
    <n v="5.290909090909091"/>
    <n v="10.869421487603306"/>
    <n v="3"/>
    <s v="LTW-Pine"/>
    <n v="76.66"/>
    <n v="7.0528132603406322"/>
    <n v="1.6224258172008885"/>
    <s v="Mat"/>
    <s v=" Completely picked: 67-75,77,80-114,116,117 | Only East side of Felipe’s picked: 115,118-130,132"/>
    <s v="Assumes 25% picked on the east side stuff"/>
  </r>
  <r>
    <x v="7"/>
    <s v="CLPC4BCH"/>
    <n v="726"/>
    <n v="43649"/>
    <n v="12680"/>
    <n v="30969"/>
    <n v="60.12258953168044"/>
    <n v="17.465564738292009"/>
    <n v="42.65702479338843"/>
    <n v="17.465564738292009"/>
    <n v="5"/>
    <s v="Gallo"/>
    <n v="116.93"/>
    <n v="6.6948880126182972"/>
    <n v="12.416695823618159"/>
    <s v="Uriel"/>
    <s v="Picked: 1-14,16,62-73,74(250Left),_x000a_75,77."/>
    <m/>
  </r>
  <r>
    <x v="7"/>
    <s v="MJMJ02PG-old"/>
    <n v="691"/>
    <n v="30372"/>
    <n v="18117"/>
    <n v="12255"/>
    <n v="43.953690303907379"/>
    <n v="26.218523878437047"/>
    <n v="17.735166425470332"/>
    <n v="26.218523878437047"/>
    <n v="8"/>
    <s v="LTW"/>
    <n v="190.3"/>
    <n v="7.2582270795385559"/>
    <n v="5.5967767482379029"/>
    <s v="Mat"/>
    <s v="Picked: 99,100,103-128,130,167-197,199,200(1/2E),201-280"/>
    <m/>
  </r>
  <r>
    <x v="7"/>
    <s v="DVMA02PG"/>
    <n v="908"/>
    <n v="94178"/>
    <n v="25602"/>
    <n v="68576"/>
    <n v="103.72026431718062"/>
    <n v="28.196035242290748"/>
    <n v="75.524229074889874"/>
    <n v="16.723568281938327"/>
    <n v="7"/>
    <s v="TRV/LTW"/>
    <n v="163.1"/>
    <n v="9.7527033256503124"/>
    <n v="32.024582611558891"/>
    <s v="Luis"/>
    <s v="Picked: 48,50,52,83,85-95,97,99-132,134,138-146,149-214,250,252,255,257,282-284,289-291,293-294,298,300,302-323 | Row 52 &amp;132,284 are halfway picked"/>
    <m/>
  </r>
  <r>
    <x v="8"/>
    <s v="WHWH02PG"/>
    <n v="691"/>
    <n v="23900"/>
    <n v="7965"/>
    <n v="15935"/>
    <n v="34.587554269175108"/>
    <n v="11.526772793053546"/>
    <n v="23.060781476121562"/>
    <n v="11.526772793053546"/>
    <n v="4"/>
    <s v="Gallo"/>
    <n v="90.55"/>
    <n v="7.8556246076585055"/>
    <n v="7.8763844537241736"/>
    <s v="Mat"/>
    <s v="Picked: 1,2,27,29-40,42,55(2/3E),57,59,61-73,99(1/4E),100,101"/>
    <m/>
  </r>
  <r>
    <x v="8"/>
    <s v="CLPC4BCH"/>
    <n v="726"/>
    <n v="43649"/>
    <n v="25155"/>
    <n v="18494"/>
    <n v="60.12258953168044"/>
    <n v="34.648760330578511"/>
    <n v="25.473829201101928"/>
    <n v="17.183195592286502"/>
    <n v="5"/>
    <s v="Gallo"/>
    <n v="117.02"/>
    <n v="6.8101418837675345"/>
    <n v="7.5426257035810744"/>
    <s v="Mat"/>
    <s v="Picked: 1-31,58,59(1/2),60(1/2),62-85,87,89"/>
    <m/>
  </r>
  <r>
    <x v="8"/>
    <s v="DVMA02PG"/>
    <n v="908"/>
    <n v="94178"/>
    <n v="46543"/>
    <n v="47635"/>
    <n v="103.72026431718062"/>
    <n v="51.258810572687224"/>
    <n v="52.461453744493397"/>
    <n v="23.062775330396477"/>
    <n v="9"/>
    <s v="Gallo/LTW"/>
    <n v="206.26"/>
    <n v="8.9434162647438029"/>
    <n v="20.399331247417695"/>
    <s v="Luis"/>
    <s v="Left to pick: 1-47,49,51-73,132,135-137,147-148,215-249,251,253-254,256,258-281,284-288,292,295-297,299,301,324-386,388,405-418,420,431,452-461,463,465,Row 52,132,284 halfway picked,row 417 picked 40 vines"/>
    <m/>
  </r>
  <r>
    <x v="8"/>
    <s v="LFDA02PG"/>
    <n v="908"/>
    <n v="8809"/>
    <n v="8809"/>
    <n v="0"/>
    <n v="9.7015418502202646"/>
    <n v="9.7015418502202646"/>
    <n v="0"/>
    <n v="9.7015418502202646"/>
    <n v="3.15"/>
    <s v="LTW"/>
    <n v="75.08"/>
    <n v="7.7389760472244289"/>
    <n v="0"/>
    <s v="Mat"/>
    <s v="FC"/>
    <m/>
  </r>
  <r>
    <x v="8"/>
    <s v="JONR03GV"/>
    <n v="726"/>
    <n v="3247"/>
    <n v="0"/>
    <n v="0"/>
    <n v="4.4724517906336088"/>
    <n v="0"/>
    <n v="0"/>
    <m/>
    <m/>
    <s v="Jeremy/Markus"/>
    <n v="11.689"/>
    <n v="0"/>
    <n v="0"/>
    <m/>
    <s v="FC"/>
    <m/>
  </r>
  <r>
    <x v="9"/>
    <s v="DVMA02PG"/>
    <n v="908"/>
    <n v="94178"/>
    <n v="76994"/>
    <n v="17184"/>
    <n v="103.72026431718062"/>
    <n v="84.795154185022028"/>
    <n v="18.925110132158594"/>
    <n v="33.536343612334804"/>
    <n v="13"/>
    <s v="Gallo"/>
    <n v="301.52999999999997"/>
    <n v="8.9911411776296326"/>
    <n v="7.3981885652359525"/>
    <m/>
    <m/>
    <m/>
  </r>
  <r>
    <x v="9"/>
    <s v="WHWH02PG"/>
    <n v="691"/>
    <n v="23900"/>
    <n v="17777"/>
    <n v="6123"/>
    <n v="34.587554269175108"/>
    <n v="25.726483357452967"/>
    <n v="8.8610709117221411"/>
    <n v="14.199710564399421"/>
    <n v="5"/>
    <s v="Gallo"/>
    <n v="114.71"/>
    <n v="8.0783336730534039"/>
    <n v="3.1122907619773481"/>
    <m/>
    <m/>
    <m/>
  </r>
  <r>
    <x v="9"/>
    <s v="CLPC4BCH"/>
    <n v="726"/>
    <n v="43649"/>
    <n v="37930"/>
    <n v="5719"/>
    <n v="60.12258953168044"/>
    <n v="52.245179063360879"/>
    <n v="7.8774104683195603"/>
    <n v="17.596418732782368"/>
    <n v="5"/>
    <s v="Gallo"/>
    <n v="116.49"/>
    <n v="6.6200970645792561"/>
    <n v="2.2673574746873144"/>
    <m/>
    <m/>
    <m/>
  </r>
  <r>
    <x v="9"/>
    <s v="CLBC02CH"/>
    <n v="681"/>
    <n v="40584"/>
    <n v="11536"/>
    <n v="29048"/>
    <n v="59.594713656387668"/>
    <n v="16.939794419970632"/>
    <n v="42.654919236417037"/>
    <n v="16.939794419970632"/>
    <n v="4"/>
    <s v="Gallo"/>
    <n v="97.35"/>
    <n v="5.7468229889042988"/>
    <n v="10.657837845986853"/>
    <m/>
    <m/>
    <m/>
  </r>
  <r>
    <x v="10"/>
    <s v="MJMJ02PG-old"/>
    <n v="691"/>
    <n v="30372"/>
    <n v="30372"/>
    <n v="0"/>
    <n v="43.953690303907379"/>
    <n v="43.953690303907379"/>
    <n v="0"/>
    <n v="17.735166425470332"/>
    <n v="5.25"/>
    <s v="LTW"/>
    <n v="127.27"/>
    <n v="7.1761379028967767"/>
    <n v="0"/>
    <s v="Mat"/>
    <s v="FC"/>
    <m/>
  </r>
  <r>
    <x v="10"/>
    <s v="DVMA02PG"/>
    <n v="908"/>
    <n v="94178"/>
    <n v="94178"/>
    <n v="0"/>
    <n v="103.72026431718062"/>
    <n v="103.72026431718062"/>
    <n v="0"/>
    <n v="18.925110132158594"/>
    <n v="7"/>
    <s v="Gallo"/>
    <n v="160.4"/>
    <n v="8.4755121042830535"/>
    <n v="0"/>
    <s v="Luis"/>
    <s v="FC"/>
    <m/>
  </r>
  <r>
    <x v="10"/>
    <s v="WHWH02PG"/>
    <n v="691"/>
    <n v="23900"/>
    <n v="23900"/>
    <n v="0"/>
    <n v="34.587554269175108"/>
    <n v="34.587554269175108"/>
    <n v="0"/>
    <n v="8.8610709117221411"/>
    <n v="3"/>
    <s v="Gallo"/>
    <n v="65.260000000000005"/>
    <n v="7.3647983014862008"/>
    <n v="0"/>
    <s v="Mat"/>
    <s v="FC"/>
    <m/>
  </r>
  <r>
    <x v="10"/>
    <s v="CLPC4BCH"/>
    <n v="726"/>
    <n v="43649"/>
    <n v="43649"/>
    <n v="0"/>
    <n v="60.12258953168044"/>
    <n v="60.12258953168044"/>
    <n v="0"/>
    <n v="7.8774104683195603"/>
    <n v="3.25"/>
    <s v="Gallo"/>
    <n v="53.12"/>
    <n v="6.7433327504808522"/>
    <n v="0"/>
    <s v="Uriel"/>
    <s v="FC"/>
    <m/>
  </r>
  <r>
    <x v="10"/>
    <s v="CLBC02CH"/>
    <n v="681"/>
    <n v="40584"/>
    <n v="35919"/>
    <n v="4665"/>
    <n v="59.594713656387668"/>
    <n v="52.744493392070481"/>
    <n v="6.850220264317187"/>
    <n v="35.80469897209985"/>
    <n v="6.75"/>
    <s v="Gallo"/>
    <n v="187.75"/>
    <n v="5.2437251363655006"/>
    <n v="1.5617683560713198"/>
    <s v="Uriel"/>
    <s v="Left to pick: 166-170,173,191-196,198,200,207,209,210,211 1/2 picked"/>
    <m/>
  </r>
  <r>
    <x v="11"/>
    <s v="CLBC02CH"/>
    <n v="681"/>
    <n v="40584"/>
    <n v="40584"/>
    <n v="0"/>
    <n v="59.594713656387668"/>
    <n v="59.594713656387668"/>
    <n v="0"/>
    <n v="6.850220264317187"/>
    <n v="1.5"/>
    <s v="Gallo"/>
    <n v="34.090000000000003"/>
    <n v="4.9764823151125359"/>
    <n v="0"/>
    <s v="Mat"/>
    <s v="FC"/>
    <m/>
  </r>
  <r>
    <x v="11"/>
    <s v="LFRT02PR"/>
    <n v="691"/>
    <n v="18780"/>
    <n v="3655"/>
    <n v="15125"/>
    <n v="27.178002894356005"/>
    <n v="5.2894356005788712"/>
    <n v="21.888567293777136"/>
    <n v="5.2894356005788712"/>
    <n v="2"/>
    <s v="LTW"/>
    <n v="47.01"/>
    <n v="8.8875266757865941"/>
    <n v="8.4580532920954035"/>
    <s v="Mat"/>
    <s v="West picked: 13,15,17-87"/>
    <m/>
  </r>
  <r>
    <x v="11"/>
    <s v="LFW302SB"/>
    <n v="622"/>
    <n v="30523"/>
    <n v="13411"/>
    <n v="17112"/>
    <n v="49.072347266881032"/>
    <n v="21.561093247588424"/>
    <n v="27.511254019292608"/>
    <n v="21.561093247588424"/>
    <m/>
    <s v="LTW"/>
    <n v="139.93"/>
    <n v="6.489930653940795"/>
    <n v="7.7628752516590867"/>
    <s v="Kyle"/>
    <s v="rows picked: 10, 12-83"/>
    <m/>
  </r>
  <r>
    <x v="12"/>
    <s v="MFRN03PG"/>
    <n v="807"/>
    <n v="36108"/>
    <n v="6119"/>
    <n v="29989"/>
    <n v="44.743494423791823"/>
    <n v="7.5824039653035937"/>
    <n v="37.161090458488232"/>
    <n v="7.58"/>
    <n v="4"/>
    <s v="Gallo"/>
    <n v="93.72"/>
    <n v="12.364116094986807"/>
    <n v="19.976697245437173"/>
    <s v="Mat"/>
    <s v="Picked: 18(200vinesE),20,22-30,58(139E),50,89(166E),91,111,113,115-122,124,126"/>
    <m/>
  </r>
  <r>
    <x v="13"/>
    <s v="BAPE01CH"/>
    <n v="726"/>
    <n v="30107"/>
    <n v="1840"/>
    <n v="28267"/>
    <n v="41.469696969696969"/>
    <n v="2.5344352617079888"/>
    <n v="38.935261707988978"/>
    <n v="2.5344352617079888"/>
    <n v="1"/>
    <s v="LTW"/>
    <n v="26.03"/>
    <n v="10.270532608695653"/>
    <n v="17.386342391304346"/>
    <s v="Mat"/>
    <s v="Picked: 1-16"/>
    <m/>
  </r>
  <r>
    <x v="13"/>
    <s v="LFEX03VI"/>
    <n v="605"/>
    <n v="9777"/>
    <n v="9777"/>
    <n v="0"/>
    <n v="16.160330578512397"/>
    <n v="16.160330578512397"/>
    <n v="0"/>
    <n v="5.290909090909091"/>
    <m/>
    <s v="LTW-Pine"/>
    <n v="30.27"/>
    <n v="5.7211340206185568"/>
    <n v="0"/>
    <s v="Mat"/>
    <s v="FC"/>
    <m/>
  </r>
  <r>
    <x v="13"/>
    <s v="DVMA01PN"/>
    <n v="691"/>
    <n v="30586"/>
    <n v="9082"/>
    <n v="21504"/>
    <n v="44.263386396526769"/>
    <n v="13.143270622286542"/>
    <n v="31.120115774240226"/>
    <n v="5.5455861070911752"/>
    <n v="2"/>
    <s v="LTW"/>
    <n v="48.23"/>
    <n v="8.6970067849686803"/>
    <n v="11.767472088590353"/>
    <s v="Mat"/>
    <s v="See west count"/>
    <m/>
  </r>
  <r>
    <x v="13"/>
    <s v="DVMA01PN-WEST"/>
    <n v="691"/>
    <n v="22760"/>
    <n v="3832"/>
    <n v="18928"/>
    <n v="32.937771345875539"/>
    <n v="5.5455861070911725"/>
    <n v="27.392185238784368"/>
    <m/>
    <m/>
    <m/>
    <n v="0"/>
    <n v="0"/>
    <n v="0"/>
    <s v="Mat"/>
    <s v="Picked: 8-13,18-22,23(1/4),24,25"/>
    <m/>
  </r>
  <r>
    <x v="13"/>
    <s v="MFRN03PG"/>
    <n v="807"/>
    <n v="36108"/>
    <n v="21597"/>
    <n v="14511"/>
    <n v="44.743494423791823"/>
    <n v="26.762081784386616"/>
    <n v="17.981412639405207"/>
    <n v="19.179677819083025"/>
    <n v="10"/>
    <s v="Gallo"/>
    <n v="229.76"/>
    <n v="11.979346168755651"/>
    <n v="9.365459417855357"/>
    <s v="Luis"/>
    <s v="UNPICKED: 52,54-59,61-86,123,125,127-157 row 55 and 85 1/2 unpicked"/>
    <m/>
  </r>
  <r>
    <x v="13"/>
    <s v="LFEX04VI"/>
    <n v="778"/>
    <n v="9125"/>
    <n v="9125"/>
    <n v="0"/>
    <n v="11.728791773778921"/>
    <n v="11.728791773778921"/>
    <n v="0"/>
    <n v="11.728791773778921"/>
    <m/>
    <s v="LTW-Pine"/>
    <n v="93.76"/>
    <n v="7.9940032876712328"/>
    <n v="0"/>
    <s v="Mat"/>
    <s v="FC - 17 gondolas"/>
    <m/>
  </r>
  <r>
    <x v="13"/>
    <s v="98OK07ME"/>
    <n v="691"/>
    <n v="25345"/>
    <n v="25345"/>
    <n v="0"/>
    <n v="36.678726483357451"/>
    <n v="36.678726483357451"/>
    <n v="0"/>
    <n v="36.678726483357451"/>
    <n v="7.75"/>
    <s v="LTW"/>
    <n v="186.51"/>
    <n v="5.0849638982047738"/>
    <n v="0"/>
    <s v="Uriel"/>
    <s v="FC"/>
    <m/>
  </r>
  <r>
    <x v="13"/>
    <s v="LFRT03AN"/>
    <n v="691"/>
    <n v="195"/>
    <n v="195"/>
    <n v="0"/>
    <n v="0.28219971056439941"/>
    <n v="0.28219971056439941"/>
    <n v="0"/>
    <n v="0.28219971056439941"/>
    <m/>
    <s v="LTW"/>
    <n v="2.0099999999999998"/>
    <n v="7.1226153846153846"/>
    <n v="0"/>
    <s v="Aaron"/>
    <s v="FC"/>
    <m/>
  </r>
  <r>
    <x v="14"/>
    <s v="MFRN03PG"/>
    <n v="807"/>
    <n v="36108"/>
    <n v="36108"/>
    <n v="0"/>
    <n v="44.743494423791823"/>
    <n v="44.743494423791823"/>
    <n v="0"/>
    <n v="17.981412639405207"/>
    <n v="9.25"/>
    <s v="Gallo-TRV"/>
    <n v="212.01"/>
    <n v="11.790508579698159"/>
    <n v="0"/>
    <s v="Mat"/>
    <s v="FC"/>
    <m/>
  </r>
  <r>
    <x v="14"/>
    <s v="DVMA01PN"/>
    <n v="691"/>
    <n v="30586"/>
    <n v="21132"/>
    <n v="9454"/>
    <n v="44.263386396526769"/>
    <n v="30.581765557163532"/>
    <n v="13.681620839363237"/>
    <n v="17.438494934876989"/>
    <n v="8"/>
    <s v="LTW"/>
    <n v="195.37"/>
    <n v="11.203375103734441"/>
    <n v="6.6643621865415819"/>
    <s v="Mat"/>
    <s v="see east/west counts"/>
    <m/>
  </r>
  <r>
    <x v="14"/>
    <s v="DVMA01PN-EAST"/>
    <n v="691"/>
    <n v="7826"/>
    <n v="7826"/>
    <n v="0"/>
    <n v="11.32561505065123"/>
    <n v="11.32561505065123"/>
    <n v="0"/>
    <n v="3.7279305354558607"/>
    <m/>
    <s v="LTW"/>
    <n v="0"/>
    <n v="0"/>
    <n v="0"/>
    <s v="Mat"/>
    <s v="FC"/>
    <m/>
  </r>
  <r>
    <x v="14"/>
    <s v="DVMA01PN-WEST"/>
    <n v="691"/>
    <n v="22760"/>
    <n v="13306"/>
    <n v="9454"/>
    <n v="32.937771345875539"/>
    <n v="19.256150506512302"/>
    <n v="13.681620839363237"/>
    <n v="13.710564399421131"/>
    <m/>
    <s v="LTW"/>
    <n v="0"/>
    <n v="0"/>
    <n v="0"/>
    <s v="Mat"/>
    <s v="Unpicked west: 14-17,42,44,46,47,49,51-64,73(1/2),75,77-101"/>
    <s v="4.5 gondolas from clone 777"/>
  </r>
  <r>
    <x v="14"/>
    <s v="MJMJ02PG-retrain"/>
    <n v="691"/>
    <n v="15223"/>
    <n v="15223"/>
    <n v="0"/>
    <n v="22.030390738060781"/>
    <n v="22.030390738060781"/>
    <n v="0"/>
    <n v="22.030390738060781"/>
    <n v="5.75"/>
    <s v="LTW"/>
    <n v="134.41"/>
    <n v="6.1011173881626481"/>
    <n v="0"/>
    <s v="Mat"/>
    <s v="FC"/>
    <m/>
  </r>
  <r>
    <x v="14"/>
    <s v="LFEX01SA"/>
    <n v="605"/>
    <n v="10120"/>
    <n v="5163"/>
    <n v="4957"/>
    <n v="16.727272727272727"/>
    <n v="8.533884297520661"/>
    <n v="8.1933884297520656"/>
    <n v="5.5487603305785118"/>
    <n v="3"/>
    <s v="LTW/Lodi Vint"/>
    <n v="62.76"/>
    <n v="11.310634495084898"/>
    <n v="4.0292357306601394"/>
    <s v="Luis"/>
    <s v="Left to pick: 43,45-79 13-77vines on Westside.16-108vines on Westside.41-100vines on Westside."/>
    <m/>
  </r>
  <r>
    <x v="14"/>
    <s v="SLHM05PN"/>
    <n v="691"/>
    <n v="15976"/>
    <n v="15976"/>
    <n v="0"/>
    <n v="23.120115774240233"/>
    <n v="23.120115774240233"/>
    <n v="0"/>
    <n v="23.120115774240233"/>
    <n v="6.5"/>
    <s v="LTW"/>
    <n v="153.63"/>
    <n v="6.6448629193790678"/>
    <n v="0"/>
    <s v="Luis"/>
    <s v="FC"/>
    <m/>
  </r>
  <r>
    <x v="14"/>
    <s v="LFW302SB"/>
    <n v="622"/>
    <n v="30523"/>
    <n v="22831"/>
    <n v="7692"/>
    <n v="49.072347266881032"/>
    <n v="36.70578778135048"/>
    <n v="12.366559485530551"/>
    <n v="15.144694533762056"/>
    <n v="4"/>
    <s v="LTW"/>
    <n v="90.54"/>
    <n v="5.9783312101910839"/>
    <n v="3.2144081971752994"/>
    <s v="Uriel"/>
    <s v="Left to pick: 103,104,107,108 (1/2 picked),109,133,124,134-135,137-169"/>
    <m/>
  </r>
  <r>
    <x v="15"/>
    <s v="DVMA01PN"/>
    <n v="691"/>
    <n v="30586"/>
    <n v="30586"/>
    <n v="0"/>
    <n v="44.263386396526769"/>
    <n v="44.263386396526769"/>
    <n v="0"/>
    <n v="13.681620839363237"/>
    <n v="5.75"/>
    <s v="LTW"/>
    <n v="139.72999999999999"/>
    <n v="10.212971229109375"/>
    <n v="0"/>
    <s v="Mat"/>
    <s v="FC"/>
    <m/>
  </r>
  <r>
    <x v="15"/>
    <s v="DVMA01PN-WEST"/>
    <n v="691"/>
    <n v="22760"/>
    <n v="22760"/>
    <n v="0"/>
    <n v="32.937771345875539"/>
    <n v="32.937771345875539"/>
    <n v="0"/>
    <m/>
    <m/>
    <s v="LTW"/>
    <n v="0"/>
    <n v="0"/>
    <n v="0"/>
    <s v="Mat"/>
    <s v="FC"/>
    <m/>
  </r>
  <r>
    <x v="15"/>
    <s v="ONMI09CH"/>
    <n v="807"/>
    <n v="30210"/>
    <n v="11237"/>
    <n v="18973"/>
    <n v="37.434944237918216"/>
    <n v="13.924411400247832"/>
    <n v="23.510532837670382"/>
    <n v="13.924411400247832"/>
    <n v="4"/>
    <s v="Oneill"/>
    <n v="96"/>
    <n v="6.8943668238853784"/>
    <n v="7.0474016351261932"/>
    <s v="Mat"/>
    <s v="A picked: Block A: 1,2,3(1/3E),5,32,34-53,57-65,67,113,115,117 B picked: Block B: 1-21"/>
    <m/>
  </r>
  <r>
    <x v="15"/>
    <s v="WHWH01GE"/>
    <n v="691"/>
    <n v="26251"/>
    <n v="10952"/>
    <n v="15299"/>
    <n v="37.98986975397974"/>
    <n v="15.849493487698988"/>
    <n v="22.140376266280754"/>
    <n v="15.849493487698988"/>
    <n v="7"/>
    <s v="LTW"/>
    <n v="169.44"/>
    <n v="10.690562454346237"/>
    <n v="10.291003271191284"/>
    <s v="Mat"/>
    <m/>
    <m/>
  </r>
  <r>
    <x v="15"/>
    <s v="PRHZ02PN"/>
    <n v="691"/>
    <n v="4869"/>
    <n v="1979"/>
    <n v="2890"/>
    <n v="7.046309696092619"/>
    <n v="2.8639652677279304"/>
    <n v="4.1823444283646882"/>
    <n v="4.1823444283646882"/>
    <n v="1"/>
    <s v="LTW-Kosher"/>
    <n v="23.02"/>
    <n v="5.5040899653979247"/>
    <n v="1.0008695652173913"/>
    <s v="Kyle"/>
    <s v="picked:1-24 all, Row 25 - 18 vines, 26 – 16, 27 – 15, 28 – 19, 29 - 2"/>
    <m/>
  </r>
  <r>
    <x v="15"/>
    <s v="LFW302SB"/>
    <n v="622"/>
    <n v="30523"/>
    <n v="30523"/>
    <n v="0"/>
    <n v="49.072347266881032"/>
    <n v="49.072347266881032"/>
    <n v="0"/>
    <n v="12.366559485530551"/>
    <n v="3.25"/>
    <s v="LTW"/>
    <n v="68.53"/>
    <n v="5.5415574622984902"/>
    <n v="0"/>
    <s v="Luis"/>
    <s v="FC"/>
    <m/>
  </r>
  <r>
    <x v="15"/>
    <s v="RSR203CH"/>
    <n v="681"/>
    <n v="15807"/>
    <n v="15807"/>
    <n v="0"/>
    <n v="23.211453744493394"/>
    <n v="23.211453744493394"/>
    <n v="0"/>
    <n v="23.211453744493394"/>
    <n v="5.5"/>
    <s v="Delicato"/>
    <n v="124.94"/>
    <n v="5.3826874169671663"/>
    <n v="0"/>
    <s v="Uriel"/>
    <s v="FC"/>
    <m/>
  </r>
  <r>
    <x v="16"/>
    <s v="MJMJ03CB"/>
    <n v="726"/>
    <n v="14094"/>
    <n v="2014"/>
    <n v="12080"/>
    <n v="19.41322314049587"/>
    <n v="2.7741046831955924"/>
    <n v="16.639118457300277"/>
    <n v="2.7741046831955924"/>
    <n v="2"/>
    <s v="LTW"/>
    <n v="48.4"/>
    <n v="17.447070506454814"/>
    <n v="12.621907516946591"/>
    <s v="Luis"/>
    <s v="Picked: 1-4.6.10.20. 20 is 3/4 picked 4 is 3/4 picked"/>
    <m/>
  </r>
  <r>
    <x v="16"/>
    <s v="ONMI09CH"/>
    <n v="807"/>
    <n v="30210"/>
    <n v="30210"/>
    <n v="0"/>
    <n v="37.434944237918216"/>
    <n v="37.434944237918216"/>
    <n v="0"/>
    <n v="23.510532837670382"/>
    <n v="4.75"/>
    <s v="Oneill"/>
    <n v="114"/>
    <n v="4.8488905286459714"/>
    <n v="0"/>
    <s v="Mat"/>
    <s v="FC"/>
    <m/>
  </r>
  <r>
    <x v="16"/>
    <s v="JONR02SB"/>
    <n v="726"/>
    <n v="4941"/>
    <n v="4603"/>
    <n v="338"/>
    <n v="6.8057851239669418"/>
    <n v="6.3402203856749315"/>
    <n v="0.46556473829201028"/>
    <n v="6.3402203856749315"/>
    <n v="4"/>
    <s v="Delicato"/>
    <n v="91.25"/>
    <n v="14.392244188572668"/>
    <n v="0.29132701735163219"/>
    <s v="Mat"/>
    <s v="Left to pick: Left to pick: 1,2"/>
    <m/>
  </r>
  <r>
    <x v="16"/>
    <s v="CLMO01BA"/>
    <n v="681"/>
    <n v="22973"/>
    <n v="13576"/>
    <n v="9397"/>
    <n v="33.734214390602055"/>
    <n v="19.935389133627019"/>
    <n v="13.798825256975036"/>
    <n v="19.935389133627019"/>
    <n v="5"/>
    <s v="LTW"/>
    <n v="122.01"/>
    <n v="6.120271803182086"/>
    <n v="3.6718504842304833"/>
    <s v="Uriel"/>
    <s v="Left to pick: 1-59,61-66,68,70,228-290,292,302-314,316."/>
    <m/>
  </r>
  <r>
    <x v="16"/>
    <s v="DBDA05CH"/>
    <n v="622"/>
    <n v="6057"/>
    <n v="6057"/>
    <n v="0"/>
    <n v="9.7379421221864959"/>
    <n v="9.7379421221864959"/>
    <n v="0"/>
    <n v="9.7379421221864959"/>
    <n v="3"/>
    <s v="LTW"/>
    <n v="62.26"/>
    <n v="6.3935479610368162"/>
    <n v="0"/>
    <s v="Mat"/>
    <s v="FC"/>
    <m/>
  </r>
  <r>
    <x v="16"/>
    <s v="VKDD01CH"/>
    <n v="726"/>
    <n v="18798"/>
    <n v="5184"/>
    <n v="13614"/>
    <n v="25.892561983471076"/>
    <n v="7.1404958677685952"/>
    <n v="18.75206611570248"/>
    <n v="7.1404958677685952"/>
    <n v="2"/>
    <s v="LTW"/>
    <n v="47.61"/>
    <n v="6.6676041666666661"/>
    <n v="5.4361458333333328"/>
    <s v="Kyle"/>
    <s v="Picked: 1-7, 9, 11-14, 16, 29-40, 42"/>
    <m/>
  </r>
  <r>
    <x v="16"/>
    <s v="CLR202CH"/>
    <n v="681"/>
    <n v="47208"/>
    <n v="7385"/>
    <n v="39823"/>
    <n v="69.321585903083701"/>
    <n v="10.844346549192364"/>
    <n v="58.477239353891335"/>
    <n v="10.844346549192364"/>
    <n v="3"/>
    <s v="LTW"/>
    <n v="68.13"/>
    <n v="6.2825362220717667"/>
    <n v="15.973277148155779"/>
    <s v="Uriel"/>
    <s v="Picked: 40,42,44-59,61,63,70,72,75"/>
    <m/>
  </r>
  <r>
    <x v="16"/>
    <s v="DVDU07MC"/>
    <n v="545"/>
    <n v="15354"/>
    <n v="8811"/>
    <n v="6543"/>
    <n v="28.172477064220182"/>
    <n v="16.16697247706422"/>
    <n v="12.005504587155961"/>
    <n v="4.816815530318344"/>
    <n v="2"/>
    <s v="LTW"/>
    <n v="46.91"/>
    <n v="9.7387993591898478"/>
    <n v="5.0834434947889244"/>
    <s v="Kyle"/>
    <s v="Old left: 5,12,14,40-48,30-31(110picked)32-22(75left),34-35(118picked)36-39(8picked) Grafted: left to pick 20-34"/>
    <m/>
  </r>
  <r>
    <x v="17"/>
    <s v="LF8004CH"/>
    <n v="622"/>
    <n v="11433"/>
    <n v="5585"/>
    <n v="5848"/>
    <n v="18.381028938906752"/>
    <n v="8.979099678456592"/>
    <n v="9.4019292604501601"/>
    <n v="8.979099678456592"/>
    <n v="2.8"/>
    <s v="LTW"/>
    <n v="67.98"/>
    <n v="7.570914950760967"/>
    <n v="3.0948350784321357"/>
    <s v="Mat"/>
    <s v="Picked: 24-45"/>
    <m/>
  </r>
  <r>
    <x v="17"/>
    <s v="FFRY04CH"/>
    <n v="566"/>
    <n v="8947"/>
    <n v="5675"/>
    <n v="3272"/>
    <n v="15.807420494699647"/>
    <n v="10.026501766784452"/>
    <n v="5.7809187279151946"/>
    <n v="10.026501766784452"/>
    <n v="4"/>
    <s v="Chat. St. Jean"/>
    <n v="87.56"/>
    <n v="8.7328563876651977"/>
    <n v="2.1949536104194598"/>
    <s v="Luis"/>
    <s v="Picked: 1-30,32,34,41-67 34 and 67 half picked"/>
    <m/>
  </r>
  <r>
    <x v="17"/>
    <s v="CLR202CH"/>
    <n v="681"/>
    <n v="47208"/>
    <n v="15287"/>
    <n v="31921"/>
    <n v="69.321585903083701"/>
    <n v="22.447870778267255"/>
    <n v="46.873715124816442"/>
    <n v="11.603524229074893"/>
    <n v="3"/>
    <s v="LTW"/>
    <n v="69.430000000000007"/>
    <n v="5.9835269552012145"/>
    <n v="12.194353823467914"/>
    <s v="Uriel"/>
    <s v="Picked: 40,42,44-72,75,131-158,160-175,177"/>
    <m/>
  </r>
  <r>
    <x v="17"/>
    <s v="VKDD01CH"/>
    <n v="726"/>
    <n v="18798"/>
    <n v="18798"/>
    <n v="0"/>
    <n v="25.892561983471076"/>
    <n v="25.892561983471076"/>
    <n v="0"/>
    <n v="18.75206611570248"/>
    <n v="6"/>
    <s v="LTW"/>
    <n v="140.47"/>
    <n v="7.4909078889378575"/>
    <n v="0"/>
    <s v="Mat"/>
    <s v="FC"/>
    <m/>
  </r>
  <r>
    <x v="17"/>
    <s v="DVDU07MC"/>
    <n v="545"/>
    <n v="15354"/>
    <n v="15354"/>
    <n v="0"/>
    <n v="28.172477064220182"/>
    <n v="28.172477064220182"/>
    <n v="0"/>
    <n v="16.16697247706422"/>
    <n v="2.25"/>
    <s v="LTW"/>
    <n v="52.41"/>
    <n v="3.2417943479741229"/>
    <n v="0"/>
    <s v="Mat"/>
    <s v="FC"/>
    <m/>
  </r>
  <r>
    <x v="17"/>
    <s v="SLHM03CH"/>
    <n v="605"/>
    <n v="11455"/>
    <n v="8327"/>
    <n v="3128"/>
    <n v="18.93388429752066"/>
    <n v="13.763636363636364"/>
    <n v="5.1702479338842959"/>
    <n v="13.763636363636364"/>
    <n v="4"/>
    <s v="Delicato"/>
    <n v="94"/>
    <n v="6.8295904887714665"/>
    <n v="1.535246787558544"/>
    <s v="Mat"/>
    <s v="Left to pick: 34 rows in middle"/>
    <m/>
  </r>
  <r>
    <x v="17"/>
    <s v="LFBE02VI"/>
    <n v="778"/>
    <n v="29280"/>
    <n v="9376"/>
    <n v="19904"/>
    <n v="37.634961439588686"/>
    <n v="12.051413881748072"/>
    <n v="25.583547557840614"/>
    <n v="12.051413881748072"/>
    <n v="3"/>
    <s v="LTW-Pine"/>
    <n v="71.430000000000007"/>
    <n v="5.9271053754266214"/>
    <n v="6.5928861848939002"/>
    <s v="Mat"/>
    <s v="Picked: 130-190,192,194"/>
    <m/>
  </r>
  <r>
    <x v="18"/>
    <s v="FFRY04CH"/>
    <n v="566"/>
    <n v="8947"/>
    <n v="8947"/>
    <n v="0"/>
    <n v="15.807420494699647"/>
    <n v="15.807420494699647"/>
    <n v="0"/>
    <n v="5.7809187279151946"/>
    <n v="2.5"/>
    <s v="Chat. St. Jean"/>
    <n v="51.46"/>
    <n v="8.9016992665036678"/>
    <n v="0"/>
    <s v="Mat"/>
    <s v="FC"/>
    <m/>
  </r>
  <r>
    <x v="18"/>
    <s v="CLMN01SY"/>
    <n v="622"/>
    <n v="36996"/>
    <n v="15514"/>
    <n v="21482"/>
    <n v="59.479099678456592"/>
    <n v="24.942122186495176"/>
    <n v="34.536977491961416"/>
    <n v="24.942122186495176"/>
    <n v="6"/>
    <s v="Gallo"/>
    <n v="143.16999999999999"/>
    <n v="5.7400889519143998"/>
    <n v="8.6193618667010448"/>
    <s v="Mat"/>
    <m/>
    <m/>
  </r>
  <r>
    <x v="18"/>
    <s v="CLMN01SY-E"/>
    <n v="622"/>
    <n v="21239"/>
    <n v="15514"/>
    <n v="5725"/>
    <n v="34.146302250803856"/>
    <n v="24.942122186495176"/>
    <n v="9.2041800643086802"/>
    <m/>
    <m/>
    <s v="Gallo"/>
    <n v="0"/>
    <n v="0"/>
    <n v="0"/>
    <s v="Mat"/>
    <s v="East block picked (main portion only): 37-48,50,75,77-80,82,85,88-91,93,95,97-162,164,167,168 , SW corner of East block picked: 71-77,79,82-93,100,101,103"/>
    <m/>
  </r>
  <r>
    <x v="18"/>
    <s v="CLR202CH"/>
    <n v="681"/>
    <n v="47208"/>
    <n v="0"/>
    <n v="0"/>
    <n v="69.321585903083701"/>
    <n v="0"/>
    <n v="0"/>
    <m/>
    <n v="5"/>
    <s v="Delicato"/>
    <n v="120"/>
    <n v="0"/>
    <n v="0"/>
    <m/>
    <m/>
    <m/>
  </r>
  <r>
    <x v="18"/>
    <s v="SLHM03CH"/>
    <n v="605"/>
    <n v="11455"/>
    <n v="11455"/>
    <n v="0"/>
    <n v="18.93388429752066"/>
    <n v="18.93388429752066"/>
    <n v="0"/>
    <n v="5.1702479338842959"/>
    <n v="1"/>
    <s v="Delicato"/>
    <n v="30"/>
    <n v="5.8024296675191831"/>
    <n v="0"/>
    <s v="Mat"/>
    <s v="FC"/>
    <m/>
  </r>
  <r>
    <x v="18"/>
    <s v="LAPR02CH"/>
    <n v="691"/>
    <n v="23449"/>
    <n v="6283"/>
    <n v="17166"/>
    <n v="33.934876989869757"/>
    <n v="9.0926193921852381"/>
    <n v="24.842257597684519"/>
    <n v="9.0926193921852381"/>
    <n v="2.5"/>
    <s v="APL"/>
    <n v="60"/>
    <n v="6.5987585548304954"/>
    <n v="7.1273069497401558"/>
    <s v="Kyle"/>
    <s v="Picked: 50-76, 77(1/2 west) 78, 80, 84, 86-89, 91"/>
    <m/>
  </r>
  <r>
    <x v="19"/>
    <s v="PRHZ01CH"/>
    <n v="566"/>
    <n v="6935"/>
    <n v="6935"/>
    <n v="0"/>
    <n v="12.252650176678445"/>
    <n v="12.252650176678445"/>
    <n v="0"/>
    <n v="12.252650176678445"/>
    <m/>
    <s v="LTW-Kosher"/>
    <n v="76.8"/>
    <n v="6.2680317231434746"/>
    <n v="0"/>
    <s v="Luis"/>
    <s v="FC"/>
    <m/>
  </r>
  <r>
    <x v="19"/>
    <s v="PRHZ14CB"/>
    <n v="660"/>
    <n v="1954"/>
    <n v="744"/>
    <n v="1210"/>
    <n v="2.9606060606060605"/>
    <n v="1.1272727272727272"/>
    <n v="1.8333333333333333"/>
    <n v="1.1272727272727272"/>
    <n v="0.5"/>
    <s v="LTW-Kosher"/>
    <n v="11.12"/>
    <n v="9.8645161290322587"/>
    <n v="0.78630201028517999"/>
    <s v="Luis"/>
    <s v="Picked: 201,203,204"/>
    <m/>
  </r>
  <r>
    <x v="19"/>
    <s v="PRHZ21CH"/>
    <n v="691"/>
    <n v="6586"/>
    <n v="163"/>
    <n v="6423"/>
    <n v="9.5311143270622285"/>
    <n v="0.23589001447178004"/>
    <n v="9.2952243125904488"/>
    <n v="0.23589001447178004"/>
    <m/>
    <s v="LTW-Kosher"/>
    <n v="1.5"/>
    <n v="6.3588957055214719"/>
    <n v="2.5698853027473989"/>
    <s v="Luis"/>
    <s v="Picked 34,37,"/>
    <m/>
  </r>
  <r>
    <x v="19"/>
    <s v="PRHZ05CB"/>
    <n v="454"/>
    <n v="15154"/>
    <n v="274"/>
    <n v="14880"/>
    <n v="33.378854625550659"/>
    <n v="0.6035242290748899"/>
    <n v="32.775330396475766"/>
    <n v="0.6035242290748899"/>
    <m/>
    <s v="LTW-Kosher"/>
    <n v="7.5"/>
    <n v="12.427007299270073"/>
    <n v="17.708663916217073"/>
    <s v="Luis"/>
    <s v="Picked 67"/>
    <m/>
  </r>
  <r>
    <x v="19"/>
    <s v="LASHI-CH"/>
    <n v="691"/>
    <n v="15475"/>
    <n v="11115"/>
    <n v="4360"/>
    <n v="22.395079594790158"/>
    <n v="16.085383502170767"/>
    <n v="6.3096960926193901"/>
    <n v="16.085383502170767"/>
    <n v="3.5"/>
    <s v="LTW"/>
    <n v="81.33"/>
    <n v="5.0561430499325235"/>
    <n v="1.3870750454732144"/>
    <s v="Mat"/>
    <s v="picked: 1-4,6,25,27-71"/>
    <m/>
  </r>
  <r>
    <x v="19"/>
    <s v="CLMN01SY"/>
    <n v="622"/>
    <n v="36996"/>
    <n v="20536"/>
    <n v="16460"/>
    <n v="59.479099678456592"/>
    <n v="33.016077170418008"/>
    <n v="26.463022508038584"/>
    <n v="8.0739549839228317"/>
    <n v="2"/>
    <s v="LT"/>
    <n v="49.23"/>
    <n v="6.097383512544801"/>
    <n v="7.0154433535920191"/>
    <s v="Kyle"/>
    <m/>
    <m/>
  </r>
  <r>
    <x v="19"/>
    <s v="CLMN01SY-E"/>
    <n v="622"/>
    <n v="21239"/>
    <n v="19145"/>
    <n v="2094"/>
    <n v="34.146302250803856"/>
    <n v="30.779742765273312"/>
    <n v="3.3665594855305443"/>
    <m/>
    <m/>
    <m/>
    <n v="0"/>
    <n v="0"/>
    <n v="0"/>
    <s v="Kyle"/>
    <s v="East Left to pick: 1-14, 16, 18, 20, 87, 92, 94, 96, 163, 165, 166, 169-175, "/>
    <m/>
  </r>
  <r>
    <x v="19"/>
    <s v="CLMN01SY-W"/>
    <n v="622"/>
    <n v="15757"/>
    <n v="1391"/>
    <n v="14366"/>
    <n v="25.332797427652732"/>
    <n v="2.2363344051446945"/>
    <n v="23.096463022508036"/>
    <m/>
    <m/>
    <m/>
    <n v="0"/>
    <n v="0"/>
    <n v="0"/>
    <s v="Kyle"/>
    <s v="SW corner: 78, 80, 81, 94-99, 102, 104-112"/>
    <m/>
  </r>
  <r>
    <x v="20"/>
    <s v="PRHZ03PN"/>
    <n v="691"/>
    <n v="4876"/>
    <n v="1620"/>
    <n v="3256"/>
    <n v="7.0564399421128803"/>
    <n v="2.3444283646888566"/>
    <n v="4.7120115774240237"/>
    <n v="2.3444283646888566"/>
    <m/>
    <s v="Oxnard"/>
    <n v="13.935"/>
    <n v="5.9438796296296301"/>
    <n v="1.2177230273752015"/>
    <s v="Luis"/>
    <s v="Picked: 76-95 row 88-90 has 4 picked/row 92-95 has 2 picked per row"/>
    <m/>
  </r>
  <r>
    <x v="20"/>
    <s v="LASHI-CH"/>
    <n v="0"/>
    <n v="0"/>
    <n v="0"/>
    <n v="0"/>
    <n v="0"/>
    <n v="0"/>
    <n v="0"/>
    <n v="6.3096960926193901"/>
    <n v="1.5"/>
    <s v="LTW"/>
    <n v="36.31"/>
    <n v="5.7546353211009196"/>
    <n v="0"/>
    <s v="Mat"/>
    <s v="FC"/>
    <m/>
  </r>
  <r>
    <x v="20"/>
    <s v="PRHZ21CH"/>
    <n v="691"/>
    <n v="6586"/>
    <n v="5181"/>
    <n v="1405"/>
    <n v="9.5311143270622285"/>
    <n v="7.4978292329956586"/>
    <n v="2.0332850940665699"/>
    <n v="7.2619392185238789"/>
    <n v="3"/>
    <s v="LTW-Kosher"/>
    <n v="71.02"/>
    <n v="9.7797568752491024"/>
    <n v="0.86456669034952405"/>
    <s v="Luis"/>
    <s v="Left to pick: East 20,22 West 2-15,17,49,"/>
    <m/>
  </r>
  <r>
    <x v="20"/>
    <s v="GEWENOCH"/>
    <n v="622"/>
    <n v="15945"/>
    <n v="11114"/>
    <n v="4831"/>
    <n v="25.635048231511256"/>
    <n v="17.868167202572348"/>
    <n v="7.7668810289389079"/>
    <n v="17.868167202572348"/>
    <n v="5"/>
    <s v="Delicato"/>
    <n v="120"/>
    <n v="6.7158538779917221"/>
    <n v="2.2678799164391172"/>
    <s v="Uriel"/>
    <s v="Picked: 49-41,38,24,20-18,16-1,52-85,87,89,93,95,96,99"/>
    <m/>
  </r>
  <r>
    <x v="20"/>
    <s v="LAPR03ME"/>
    <n v="691"/>
    <n v="23354"/>
    <n v="18238"/>
    <n v="5116"/>
    <n v="33.797395079594793"/>
    <n v="26.393632416787266"/>
    <n v="7.4037626628075266"/>
    <n v="26.393632416787266"/>
    <n v="5"/>
    <s v="Bogle"/>
    <n v="120.41"/>
    <n v="4.5620852067112621"/>
    <n v="1.4685476573041476"/>
    <s v="Kyle"/>
    <s v="Left to pick 100, 102-130"/>
    <m/>
  </r>
  <r>
    <x v="20"/>
    <s v="FFRY05CH"/>
    <n v="622"/>
    <n v="15330"/>
    <n v="12720"/>
    <n v="2610"/>
    <n v="24.64630225080386"/>
    <n v="20.45016077170418"/>
    <n v="4.1961414790996798"/>
    <n v="20.45016077170418"/>
    <n v="6"/>
    <s v="Chat. St. Jean"/>
    <n v="144.47"/>
    <n v="7.0644921383647796"/>
    <n v="1.2888525430680888"/>
    <s v="Kyle"/>
    <s v="Left: 17 rows in the north (used 76-92 in this count)"/>
    <m/>
  </r>
  <r>
    <x v="20"/>
    <s v="CLR202CH"/>
    <n v="681"/>
    <n v="47208"/>
    <n v="47208"/>
    <n v="0"/>
    <n v="69.321585903083701"/>
    <n v="69.321585903083701"/>
    <n v="0"/>
    <m/>
    <n v="5"/>
    <s v="Delicato"/>
    <n v="120"/>
    <n v="0"/>
    <n v="0"/>
    <s v="Uriel"/>
    <s v="FC"/>
    <m/>
  </r>
  <r>
    <x v="20"/>
    <s v="LFEX01SA"/>
    <n v="605"/>
    <n v="10120"/>
    <n v="5320"/>
    <n v="4800"/>
    <n v="16.727272727272727"/>
    <n v="8.7933884297520652"/>
    <n v="7.9338842975206614"/>
    <m/>
    <m/>
    <s v="Row count only"/>
    <n v="0"/>
    <n v="0"/>
    <n v="0"/>
    <s v="Kyle"/>
    <s v="41,43,45-79"/>
    <m/>
  </r>
  <r>
    <x v="21"/>
    <s v="FFRY05CH"/>
    <n v="622"/>
    <n v="15330"/>
    <n v="15138"/>
    <n v="192"/>
    <n v="24.64630225080386"/>
    <n v="24.337620578778136"/>
    <n v="0.30868167202572394"/>
    <n v="3.8874598070739559"/>
    <n v="1"/>
    <s v="Chat. St. Jean"/>
    <n v="22.84"/>
    <n v="5.8753019023986752"/>
    <n v="7.8852087603840854E-2"/>
    <s v="Mat"/>
    <s v="FC - 1.25 rows picked to ground"/>
    <m/>
  </r>
  <r>
    <x v="21"/>
    <s v="MJMJ01CH"/>
    <n v="622"/>
    <n v="17694"/>
    <n v="5278"/>
    <n v="12416"/>
    <n v="28.44694533762058"/>
    <n v="8.485530546623794"/>
    <n v="19.961414790996784"/>
    <n v="8.485530546623794"/>
    <n v="1.5"/>
    <s v="LTW"/>
    <n v="35.31"/>
    <n v="4.1612012125805231"/>
    <n v="3.6114549318747224"/>
    <s v="Mat"/>
    <s v="Picked 29 rows"/>
    <m/>
  </r>
  <r>
    <x v="21"/>
    <s v="LAPR03ME"/>
    <n v="691"/>
    <n v="23354"/>
    <n v="23354"/>
    <n v="0"/>
    <n v="33.797395079594793"/>
    <n v="33.797395079594793"/>
    <n v="0"/>
    <n v="7.4037626628075266"/>
    <n v="1.5"/>
    <s v="Bogle"/>
    <n v="37.020000000000003"/>
    <n v="5.0001602814698982"/>
    <n v="0"/>
    <s v="Mat"/>
    <s v="FC"/>
    <m/>
  </r>
  <r>
    <x v="21"/>
    <s v="LAPR02CH"/>
    <n v="691"/>
    <n v="23449"/>
    <n v="13506"/>
    <n v="9943"/>
    <n v="33.934876989869757"/>
    <n v="19.545586107091172"/>
    <n v="14.389290882778585"/>
    <n v="10.452966714905934"/>
    <n v="3"/>
    <s v="Delicato"/>
    <n v="72"/>
    <n v="6.887996677280908"/>
    <n v="4.3092777299568414"/>
    <s v="Mat"/>
    <s v="Picked: 6,8,9(1/2W),10-18,20,21(1/2W),22-76,77(1/2E),78,80,84,86-89,91"/>
    <m/>
  </r>
  <r>
    <x v="21"/>
    <s v="SLHM08PR"/>
    <n v="691"/>
    <n v="4940"/>
    <n v="4940"/>
    <n v="0"/>
    <n v="7.1490593342981184"/>
    <n v="7.1490593342981184"/>
    <n v="0"/>
    <n v="7.1490593342981184"/>
    <n v="2"/>
    <s v="LTW"/>
    <n v="48.55"/>
    <n v="6.7911032388663966"/>
    <n v="0"/>
    <s v="Mat"/>
    <s v="FC"/>
    <m/>
  </r>
  <r>
    <x v="21"/>
    <s v="CL3A02SB"/>
    <n v="622"/>
    <n v="30664"/>
    <n v="9773"/>
    <n v="20891"/>
    <n v="49.29903536977492"/>
    <n v="15.712218649517684"/>
    <n v="33.586816720257232"/>
    <n v="15.712218649517684"/>
    <n v="6"/>
    <s v="Woodbridge"/>
    <n v="142.80000000000001"/>
    <n v="9.0884682287936158"/>
    <n v="13.271857246450958"/>
    <s v="Uriel"/>
    <s v="Main Block Rows Picked 138,136,135 1/2,136-83,82 1/2,80"/>
    <m/>
  </r>
  <r>
    <x v="21"/>
    <s v="GEWENOCH"/>
    <n v="622"/>
    <n v="15945"/>
    <n v="15945"/>
    <n v="0"/>
    <n v="25.635048231511256"/>
    <n v="25.635048231511256"/>
    <n v="0"/>
    <n v="7.7668810289389079"/>
    <n v="2"/>
    <s v="Delicato"/>
    <n v="48"/>
    <n v="6.1800869385220443"/>
    <n v="0"/>
    <s v="Uriel"/>
    <s v="FC"/>
    <m/>
  </r>
  <r>
    <x v="21"/>
    <s v="GZWESOCH"/>
    <n v="622"/>
    <n v="16618"/>
    <n v="6112"/>
    <n v="10506"/>
    <n v="26.717041800643088"/>
    <n v="9.8263665594855301"/>
    <n v="16.89067524115756"/>
    <n v="9.8263665594855301"/>
    <n v="3"/>
    <s v="Delicato"/>
    <n v="72"/>
    <n v="7.3272251308900529"/>
    <n v="5.3809469610744376"/>
    <s v="Uriel"/>
    <s v="Left: 101-145,147,164,164,166,168-179"/>
    <m/>
  </r>
  <r>
    <x v="21"/>
    <s v="SMSM01ME"/>
    <n v="681"/>
    <n v="15414"/>
    <n v="15414"/>
    <n v="0"/>
    <n v="22.634361233480178"/>
    <n v="22.634361233480178"/>
    <n v="0"/>
    <n v="22.634361233480178"/>
    <n v="6.5"/>
    <s v="LTW"/>
    <n v="149.33000000000001"/>
    <n v="6.5974912417282994"/>
    <n v="0"/>
    <s v="Uriel"/>
    <s v="FC"/>
    <m/>
  </r>
  <r>
    <x v="21"/>
    <s v="JONR01CH"/>
    <n v="605"/>
    <n v="22654"/>
    <n v="0"/>
    <n v="0"/>
    <n v="37.444628099173556"/>
    <n v="0"/>
    <n v="0"/>
    <m/>
    <m/>
    <s v="Estate Crush"/>
    <n v="0"/>
    <n v="0"/>
    <n v="0"/>
    <m/>
    <m/>
    <m/>
  </r>
  <r>
    <x v="22"/>
    <s v="GZWESOCH"/>
    <n v="622"/>
    <n v="16618"/>
    <n v="12657"/>
    <n v="3961"/>
    <n v="26.717041800643088"/>
    <n v="20.34887459807074"/>
    <n v="6.3681672025723479"/>
    <n v="10.522508038585212"/>
    <n v="3"/>
    <s v="Delicato"/>
    <n v="63.09"/>
    <n v="5.9957188693659269"/>
    <n v="1.6600756634669676"/>
    <s v="Uriel"/>
    <s v="Left to pick: 103-123,125,166"/>
    <m/>
  </r>
  <r>
    <x v="22"/>
    <s v="PRHZ02PN"/>
    <n v="691"/>
    <n v="4869"/>
    <n v="4869"/>
    <n v="0"/>
    <n v="7.046309696092619"/>
    <n v="7.046309696092619"/>
    <n v="0"/>
    <n v="4.1823444283646882"/>
    <m/>
    <s v="LTW-Kosher"/>
    <n v="30.53"/>
    <n v="7.2997335640138425"/>
    <n v="0"/>
    <s v="Luis"/>
    <s v="FC"/>
    <m/>
  </r>
  <r>
    <x v="22"/>
    <s v="PRHZ03PN"/>
    <n v="691"/>
    <n v="4876"/>
    <n v="4560"/>
    <n v="316"/>
    <n v="7.0564399421128803"/>
    <n v="6.5991316931982631"/>
    <n v="0.45730824891461719"/>
    <n v="4.2547033285094065"/>
    <m/>
    <s v="LTW-Kosher"/>
    <n v="35.840000000000003"/>
    <n v="8.4236190476190487"/>
    <n v="0.16748654244306446"/>
    <s v="Luis"/>
    <s v="Left to pick: 118,120-122"/>
    <m/>
  </r>
  <r>
    <x v="22"/>
    <s v="MJMJ01CH"/>
    <n v="622"/>
    <n v="17694"/>
    <n v="13308"/>
    <n v="4386"/>
    <n v="28.44694533762058"/>
    <n v="21.39549839228296"/>
    <n v="7.0514469453376201"/>
    <n v="12.909967845659164"/>
    <n v="2"/>
    <s v="LTW"/>
    <n v="49.1"/>
    <n v="3.8032627646326276"/>
    <n v="1.1660219827819589"/>
    <s v="Luis"/>
    <s v="23 rows left to pick"/>
    <m/>
  </r>
  <r>
    <x v="22"/>
    <s v="LAPR02CH"/>
    <n v="691"/>
    <n v="23449"/>
    <n v="20474"/>
    <n v="2975"/>
    <n v="33.934876989869757"/>
    <n v="29.629522431259044"/>
    <n v="4.3053545586107127"/>
    <n v="10.083936324167873"/>
    <n v="3"/>
    <s v="Delicato"/>
    <n v="72.010000000000005"/>
    <n v="7.1410605625717576"/>
    <n v="1.3367303324514563"/>
    <s v="Mat"/>
    <s v="Picked: 1-115,117"/>
    <m/>
  </r>
  <r>
    <x v="22"/>
    <s v="LFTO02SB"/>
    <n v="622"/>
    <n v="34846"/>
    <n v="10747"/>
    <n v="24099"/>
    <n v="56.022508038585208"/>
    <n v="17.278135048231512"/>
    <n v="38.744372990353696"/>
    <n v="17.278135048231512"/>
    <n v="7"/>
    <s v="Oneill"/>
    <n v="168"/>
    <n v="9.7232716106820511"/>
    <n v="16.379220085686196"/>
    <s v="Mat"/>
    <s v="Picked: 83,85,86(minus 46 vines),87-123,125,140-145"/>
    <m/>
  </r>
  <r>
    <x v="22"/>
    <s v="CL3A02SB"/>
    <n v="622"/>
    <n v="30664"/>
    <n v="19392"/>
    <n v="11272"/>
    <n v="49.29903536977492"/>
    <n v="31.176848874598072"/>
    <n v="18.122186495176848"/>
    <n v="15.464630225080384"/>
    <n v="6"/>
    <s v="Woodbridge"/>
    <n v="139.61000000000001"/>
    <n v="9.027697265828051"/>
    <n v="7.1131136292753938"/>
    <s v="Kelly"/>
    <s v="left to pick! South Island rows 1-33 (all) !West Island rows 1-32,33,35 (-46 row 32) ! Eastern main block rows65,67,69-79,81-82,137,139-182 (-100 vines) rows 70&amp;82 are partials."/>
    <m/>
  </r>
  <r>
    <x v="22"/>
    <s v="CLMO01BA"/>
    <n v="681"/>
    <n v="22973"/>
    <n v="22973"/>
    <n v="0"/>
    <n v="33.734214390602055"/>
    <n v="33.734214390602055"/>
    <n v="0"/>
    <n v="13.798825256975036"/>
    <n v="4"/>
    <s v="LTW"/>
    <n v="97.21"/>
    <n v="7.0448025965733745"/>
    <n v="0"/>
    <m/>
    <s v="FC"/>
    <m/>
  </r>
  <r>
    <x v="22"/>
    <s v="BAVC02PR"/>
    <n v="622"/>
    <n v="7170"/>
    <n v="6270"/>
    <n v="900"/>
    <n v="11.52733118971061"/>
    <n v="10.080385852090032"/>
    <n v="1.4469453376205781"/>
    <n v="10.080385852090032"/>
    <n v="2"/>
    <s v="LTW"/>
    <n v="50.64"/>
    <n v="5.0236172248803825"/>
    <n v="0.31603910963178683"/>
    <s v="Uriel"/>
    <s v="Left to pick: 1-17,126,129-133"/>
    <m/>
  </r>
  <r>
    <x v="22"/>
    <s v="WHWH03AL"/>
    <n v="691"/>
    <n v="20669"/>
    <n v="13922"/>
    <n v="6747"/>
    <n v="29.911722141823443"/>
    <n v="20.147612156295224"/>
    <n v="9.7641099855282185"/>
    <n v="20.149999999999999"/>
    <n v="6"/>
    <s v="Oneill"/>
    <n v="144"/>
    <n v="7.1464019851116634"/>
    <n v="3.0338371731924987"/>
    <s v="Kyle"/>
    <s v="Left to pick.62-121"/>
    <m/>
  </r>
  <r>
    <x v="22"/>
    <s v="MFLO01PG"/>
    <n v="908"/>
    <n v="37921"/>
    <n v="10913"/>
    <n v="27008"/>
    <n v="41.763215859030836"/>
    <n v="12.018722466960352"/>
    <n v="29.744493392070485"/>
    <n v="12.02"/>
    <m/>
    <s v="Gallo"/>
    <n v="123.87"/>
    <n v="10.30532445923461"/>
    <n v="13.327245881775923"/>
    <s v="Kelly"/>
    <s v="Left ot pick  77-122, +748 vines"/>
    <m/>
  </r>
  <r>
    <x v="23"/>
    <s v="WHWH03AL"/>
    <n v="691"/>
    <n v="20669"/>
    <n v="20669"/>
    <n v="0"/>
    <n v="29.911722141823443"/>
    <n v="29.911722141823443"/>
    <n v="0"/>
    <n v="9.7641099855282185"/>
    <n v="2"/>
    <s v="Oneill"/>
    <n v="48"/>
    <n v="4.9159626500666969"/>
    <n v="0"/>
    <s v="Luis"/>
    <s v="FC"/>
    <m/>
  </r>
  <r>
    <x v="23"/>
    <s v="LFBT02SB"/>
    <n v="726"/>
    <n v="27203"/>
    <n v="8827"/>
    <n v="18376"/>
    <n v="37.469696969696969"/>
    <n v="12.158402203856749"/>
    <n v="25.31129476584022"/>
    <n v="12.158402203856749"/>
    <n v="6"/>
    <s v="LTW"/>
    <n v="143.87"/>
    <n v="11.832969298742496"/>
    <n v="13.022077125026476"/>
    <s v="Mat"/>
    <s v="picked: 1-26,28,30,32,119(1/2W),121-128,133,135-159"/>
    <m/>
  </r>
  <r>
    <x v="23"/>
    <s v="MJMJ01CH"/>
    <n v="622"/>
    <n v="17694"/>
    <n v="17694"/>
    <n v="0"/>
    <n v="28.44694533762058"/>
    <n v="28.44694533762058"/>
    <n v="0"/>
    <n v="7.0514469453376201"/>
    <n v="1"/>
    <s v="LTW"/>
    <n v="22"/>
    <n v="3.1199270405836756"/>
    <n v="0"/>
    <s v="Luis"/>
    <s v="FC"/>
    <m/>
  </r>
  <r>
    <x v="23"/>
    <s v="LFTO02SB"/>
    <n v="622"/>
    <n v="34846"/>
    <n v="21889"/>
    <n v="12957"/>
    <n v="56.022508038585208"/>
    <n v="35.19131832797428"/>
    <n v="20.831189710610929"/>
    <n v="17.913183279742768"/>
    <n v="7"/>
    <s v="Oneill"/>
    <n v="168"/>
    <n v="9.3785675821217005"/>
    <n v="8.4942052398679468"/>
    <s v="Mat"/>
    <s v="picked 40(3/4W),41,44-63,64(1/2E),65-123,125,140-145"/>
    <m/>
  </r>
  <r>
    <x v="23"/>
    <s v="MFRN00PN"/>
    <n v="807"/>
    <n v="3709"/>
    <n v="1040"/>
    <n v="2669"/>
    <n v="4.596034696406444"/>
    <n v="1.288723667905824"/>
    <n v="3.30731102850062"/>
    <n v="1.288723667905824"/>
    <m/>
    <s v="LTW-Kosher"/>
    <n v="18.96"/>
    <n v="14.71223076923077"/>
    <n v="2.1155618729096992"/>
    <s v="Luis"/>
    <s v="picked: 31,29-24,22-16"/>
    <s v="3.25 gondolas"/>
  </r>
  <r>
    <x v="23"/>
    <s v="PRHZ03PN"/>
    <n v="691"/>
    <n v="4876"/>
    <n v="4876"/>
    <n v="0"/>
    <n v="7.0564399421128803"/>
    <n v="7.0564399421128803"/>
    <n v="0"/>
    <n v="0.45730824891461719"/>
    <m/>
    <s v="LTW-Kosher"/>
    <n v="2.83"/>
    <n v="6.1883860759493583"/>
    <n v="0"/>
    <s v="Luis"/>
    <s v="FC"/>
    <m/>
  </r>
  <r>
    <x v="23"/>
    <s v="GZWESOCH"/>
    <n v="622"/>
    <n v="16618"/>
    <n v="16618"/>
    <n v="0"/>
    <n v="26.717041800643088"/>
    <n v="26.717041800643088"/>
    <n v="0"/>
    <n v="6.3681672025723479"/>
    <n v="2"/>
    <s v="Delicato"/>
    <n v="38.159999999999997"/>
    <n v="5.9923049734915415"/>
    <n v="0"/>
    <s v="Uriel"/>
    <s v="FC"/>
    <m/>
  </r>
  <r>
    <x v="23"/>
    <s v="BAVC01ZN"/>
    <n v="622"/>
    <n v="10298"/>
    <n v="8923"/>
    <n v="1375"/>
    <n v="16.556270096463024"/>
    <n v="14.345659163987138"/>
    <n v="2.2106109324758858"/>
    <n v="14.345659163987138"/>
    <n v="5"/>
    <s v="LTW"/>
    <n v="110.44"/>
    <n v="7.6984960215174265"/>
    <n v="0.73992954212124062"/>
    <s v="Uriel"/>
    <s v="left 1-14,16,18"/>
    <s v="1 gondola from PR"/>
  </r>
  <r>
    <x v="23"/>
    <s v="MFLO01PG"/>
    <n v="908"/>
    <n v="37921"/>
    <n v="14119"/>
    <n v="23802"/>
    <n v="41.763215859030836"/>
    <n v="15.549559471365638"/>
    <n v="26.213656387665196"/>
    <n v="3.5308370044052886"/>
    <n v="2"/>
    <s v="Gallo"/>
    <n v="49.35"/>
    <n v="13.976855895196499"/>
    <n v="15.929760774634506"/>
    <s v="Kelly"/>
    <s v="left to pick rows 93-213, plus 314 vines on the eastern side of rows 89-92!"/>
    <m/>
  </r>
  <r>
    <x v="23"/>
    <s v="CL3A02SB"/>
    <n v="622"/>
    <n v="30664"/>
    <n v="30664"/>
    <n v="0"/>
    <n v="49.29903536977492"/>
    <n v="49.29903536977492"/>
    <n v="0"/>
    <n v="18.12"/>
    <n v="7"/>
    <s v="Woodbridge"/>
    <n v="166.44"/>
    <n v="9.185430463576159"/>
    <n v="0"/>
    <m/>
    <s v="FC?"/>
    <m/>
  </r>
  <r>
    <x v="24"/>
    <s v="WHWH01GE"/>
    <n v="691"/>
    <n v="26251"/>
    <n v="26251"/>
    <n v="0"/>
    <n v="37.98986975397974"/>
    <n v="37.98986975397974"/>
    <n v="0"/>
    <n v="22.140376266280754"/>
    <n v="8.75"/>
    <s v="Woodbridge"/>
    <n v="210"/>
    <n v="9.4849336557944959"/>
    <n v="0"/>
    <s v="Luis"/>
    <s v="FC"/>
    <m/>
  </r>
  <r>
    <x v="24"/>
    <s v="DVDU05CH"/>
    <n v="871"/>
    <n v="36095"/>
    <n v="17079"/>
    <n v="19016"/>
    <n v="41.440872560275544"/>
    <n v="19.608495981630309"/>
    <n v="21.832376578645235"/>
    <n v="19.608495981630309"/>
    <n v="8"/>
    <s v="LTW"/>
    <n v="192"/>
    <n v="9.7916739855963471"/>
    <n v="9.2945875560375448"/>
    <s v="Luis"/>
    <s v="Picked: 3-6,8-26-28,30,33–56,58,60,62,65,67-88,90,92, row 27 has 40 picked"/>
    <m/>
  </r>
  <r>
    <x v="24"/>
    <s v="LFTO02SB"/>
    <n v="622"/>
    <n v="34846"/>
    <n v="34846"/>
    <n v="0"/>
    <n v="56.022508038585208"/>
    <n v="56.022508038585208"/>
    <n v="0"/>
    <n v="20.831189710610929"/>
    <n v="8.5"/>
    <s v="Oneill"/>
    <n v="204"/>
    <n v="9.7930076406575619"/>
    <n v="0"/>
    <s v="Mat"/>
    <s v="FC"/>
    <m/>
  </r>
  <r>
    <x v="24"/>
    <s v="LFRT02PR"/>
    <n v="691"/>
    <n v="18780"/>
    <n v="18780"/>
    <n v="0"/>
    <n v="27.178002894356005"/>
    <n v="27.178002894356005"/>
    <n v="0"/>
    <n v="21.888567293777136"/>
    <n v="7.3"/>
    <s v="LTW"/>
    <n v="162.6"/>
    <n v="7.4285355371900819"/>
    <n v="0"/>
    <s v="Mat"/>
    <s v="FC"/>
    <m/>
  </r>
  <r>
    <x v="24"/>
    <s v="LFBT02SB"/>
    <n v="726"/>
    <n v="27203"/>
    <n v="16978"/>
    <n v="10225"/>
    <n v="37.469696969696969"/>
    <n v="23.385674931129476"/>
    <n v="14.084022038567493"/>
    <n v="11.227272727272727"/>
    <n v="6"/>
    <s v="LTW"/>
    <n v="136.16"/>
    <n v="12.127611336032389"/>
    <n v="7.4263280579070061"/>
    <s v="Mat"/>
    <s v="picked: 1-48,49(1/2W),50,57-74,76,119(1/2W),121-128,133,135-159"/>
    <m/>
  </r>
  <r>
    <x v="24"/>
    <s v="LFRT01ND"/>
    <n v="691"/>
    <n v="2220"/>
    <n v="2220"/>
    <n v="0"/>
    <n v="3.2127351664254702"/>
    <n v="3.2127351664254702"/>
    <n v="0"/>
    <n v="3.2127351664254702"/>
    <n v="1"/>
    <s v="LTW"/>
    <n v="23.15"/>
    <n v="7.2056981981981982"/>
    <n v="0"/>
    <s v="Mat"/>
    <s v="FC"/>
    <m/>
  </r>
  <r>
    <x v="24"/>
    <s v="MFLO01PG"/>
    <n v="908"/>
    <n v="37921"/>
    <n v="28786"/>
    <n v="9135"/>
    <n v="41.763215859030836"/>
    <n v="31.702643171806166"/>
    <n v="10.060572687224671"/>
    <n v="16.153083700440526"/>
    <m/>
    <s v="Sutter-St. Helena"/>
    <n v="144"/>
    <n v="8.914706483943549"/>
    <n v="3.8994370681298762"/>
    <s v="Kelly"/>
    <s v="Left:  115v, 158, 160-163, 165, 171, 175-213, 314v, 98-100 (369 vines left)"/>
    <m/>
  </r>
  <r>
    <x v="24"/>
    <s v="LFEX01SA"/>
    <n v="605"/>
    <n v="10120"/>
    <n v="6094"/>
    <n v="4026"/>
    <n v="16.727272727272727"/>
    <n v="10.072727272727272"/>
    <n v="6.6545454545454543"/>
    <m/>
    <m/>
    <s v="Delta Pack"/>
    <n v="0"/>
    <n v="0"/>
    <n v="0"/>
    <s v="Kyle"/>
    <s v="Left:  41,43,49,51,53-79"/>
    <m/>
  </r>
  <r>
    <x v="25"/>
    <s v="LFBT01CH"/>
    <n v="807"/>
    <n v="30338"/>
    <n v="30338"/>
    <n v="0"/>
    <n v="37.59355638166047"/>
    <n v="37.59355638166047"/>
    <n v="0"/>
    <n v="37.59355638166047"/>
    <n v="14.85"/>
    <s v="LTW"/>
    <n v="357.24"/>
    <n v="9.5026923330476638"/>
    <n v="0"/>
    <s v="Mat"/>
    <s v="FC"/>
    <m/>
  </r>
  <r>
    <x v="25"/>
    <s v="MFLO01PG"/>
    <n v="908"/>
    <n v="37921"/>
    <n v="37921"/>
    <n v="0"/>
    <n v="41.763215859030836"/>
    <n v="41.763215859030836"/>
    <n v="0"/>
    <m/>
    <n v="4"/>
    <s v="Sutter-St. Helena"/>
    <n v="96"/>
    <n v="0"/>
    <n v="0"/>
    <s v="Uriel"/>
    <s v="FC - picked 3 tons to ground"/>
    <m/>
  </r>
  <r>
    <x v="25"/>
    <s v="CLLA01ME"/>
    <n v="681"/>
    <n v="49099"/>
    <n v="10402"/>
    <n v="38697"/>
    <n v="72.098384728340676"/>
    <n v="15.274596182085169"/>
    <n v="56.823788546255507"/>
    <n v="15.274596182085169"/>
    <n v="6"/>
    <s v="LTW"/>
    <n v="146.99"/>
    <n v="9.6231676600653717"/>
    <n v="23.774993228726913"/>
    <s v="Uriel"/>
    <s v="Picked: 29,32-33,45-48,50,52,64-76,78,85-89,91-93,115,118, 90(60vines left)."/>
    <m/>
  </r>
  <r>
    <x v="25"/>
    <s v="CLMN01SY"/>
    <n v="622"/>
    <n v="36996"/>
    <n v="36996"/>
    <n v="0"/>
    <n v="59.479099678456592"/>
    <n v="59.479099678456592"/>
    <n v="0"/>
    <n v="26.463022508038584"/>
    <n v="6.75"/>
    <s v="Gallo-Liv"/>
    <n v="162"/>
    <n v="6.1217496962332927"/>
    <n v="0"/>
    <s v="Uriel"/>
    <s v="FC"/>
    <m/>
  </r>
  <r>
    <x v="25"/>
    <s v="DVDU06VI"/>
    <n v="545"/>
    <n v="2755"/>
    <n v="2755"/>
    <n v="0"/>
    <n v="5.0550458715596331"/>
    <n v="5.0550458715596331"/>
    <n v="0"/>
    <n v="5.0550458715596331"/>
    <n v="1"/>
    <s v="LTW"/>
    <n v="24.01"/>
    <n v="4.7497096188747729"/>
    <n v="0"/>
    <s v="Luis"/>
    <s v="FC"/>
    <m/>
  </r>
  <r>
    <x v="25"/>
    <s v="SLHM02VI"/>
    <n v="605"/>
    <n v="11526"/>
    <n v="1248"/>
    <n v="10278"/>
    <n v="19.051239669421488"/>
    <n v="2.0628099173553718"/>
    <n v="16.988429752066118"/>
    <n v="2.0628099173553718"/>
    <n v="1"/>
    <s v="LTW"/>
    <n v="22.71"/>
    <n v="11.009254807692308"/>
    <n v="8.1317370401337818"/>
    <s v="Mat"/>
    <s v="picked: 51-61,63"/>
    <m/>
  </r>
  <r>
    <x v="25"/>
    <s v="DVDU05CH"/>
    <n v="871"/>
    <n v="36095"/>
    <n v="25441"/>
    <n v="10654"/>
    <n v="41.440872560275544"/>
    <n v="29.208955223880597"/>
    <n v="12.231917336394947"/>
    <n v="9.6004592422502881"/>
    <n v="4"/>
    <s v="LTW"/>
    <n v="98.17"/>
    <n v="10.225552499402056"/>
    <n v="5.4381788213762041"/>
    <s v="Luis"/>
    <s v="Picked: 3-5,8-28,30,33-56,58,60,62,65,67-88,90,92,126-129-166, Row 126 and 27 are .25 picked"/>
    <m/>
  </r>
  <r>
    <x v="26"/>
    <s v="DVDU05CH"/>
    <n v="871"/>
    <n v="36095"/>
    <n v="36095"/>
    <n v="0"/>
    <n v="41.440872560275544"/>
    <n v="41.440872560275544"/>
    <n v="0"/>
    <n v="12.231917336394947"/>
    <n v="5.25"/>
    <s v="LTW-Kosher"/>
    <n v="126"/>
    <n v="10.300919842312748"/>
    <n v="0"/>
    <s v="Mat"/>
    <s v="FC"/>
    <m/>
  </r>
  <r>
    <x v="26"/>
    <s v="PRHZ21CH"/>
    <n v="691"/>
    <n v="6586"/>
    <n v="6586"/>
    <n v="0"/>
    <n v="9.5311143270622285"/>
    <n v="9.5311143270622285"/>
    <n v="0"/>
    <n v="2.0332850940665699"/>
    <n v="1"/>
    <s v="LTW-Kosher"/>
    <n v="15.5"/>
    <n v="7.6231316725978662"/>
    <n v="0"/>
    <s v="Mat"/>
    <s v="FC. 15-16 tons"/>
    <m/>
  </r>
  <r>
    <x v="26"/>
    <s v="RSR101CH"/>
    <n v="726"/>
    <n v="19093"/>
    <n v="19093"/>
    <n v="0"/>
    <n v="26.298898071625345"/>
    <n v="26.298898071625345"/>
    <n v="0"/>
    <n v="26.298898071625345"/>
    <n v="8.5"/>
    <s v="LTW"/>
    <n v="204"/>
    <n v="7.756978997538365"/>
    <n v="0"/>
    <s v="Uriel"/>
    <s v="FC"/>
    <m/>
  </r>
  <r>
    <x v="26"/>
    <s v="CLLA01ME"/>
    <n v="681"/>
    <n v="49099"/>
    <n v="25314"/>
    <n v="23785"/>
    <n v="72.098384728340676"/>
    <n v="37.171806167400881"/>
    <n v="34.926578560939795"/>
    <n v="21.897209985315712"/>
    <n v="9"/>
    <s v="LTW"/>
    <n v="218.21"/>
    <n v="9.9651964860515019"/>
    <n v="15.132618171533869"/>
    <s v="Kelly"/>
    <s v="LEFT TO PICK SOUTH OF DRIVEWAY: +1729 vines SE point of northern big block. Rows 1-28, 30-31, 34-44, 49, 51, 53-63,120-121, 123. + Partial rows 90-54v W, 108 -39v E, 117 -51v W"/>
    <m/>
  </r>
  <r>
    <x v="27"/>
    <s v="FFRY02PN"/>
    <n v="622"/>
    <n v="9294"/>
    <n v="9294"/>
    <n v="0"/>
    <n v="14.942122186495176"/>
    <n v="14.942122186495176"/>
    <n v="0"/>
    <n v="14.942122186495176"/>
    <m/>
    <s v="Lodi Vint"/>
    <n v="114"/>
    <n v="7.6294383473208525"/>
    <n v="0"/>
    <s v="Luis"/>
    <s v="FC"/>
    <m/>
  </r>
  <r>
    <x v="27"/>
    <s v="FFRY09PN"/>
    <n v="622"/>
    <n v="2749"/>
    <n v="1969"/>
    <n v="780"/>
    <n v="4.419614147909968"/>
    <n v="3.165594855305466"/>
    <n v="1.254019292604502"/>
    <n v="3.165594855305466"/>
    <m/>
    <s v="Lodi Vint"/>
    <n v="30"/>
    <n v="9.476891823260539"/>
    <n v="0.5167045730562857"/>
    <s v="Luis "/>
    <s v="Left to pick: 20,22-33,35,37,"/>
    <m/>
  </r>
  <r>
    <x v="27"/>
    <s v="FFRY99PN"/>
    <n v="660"/>
    <n v="11709"/>
    <n v="2348"/>
    <n v="9361"/>
    <n v="17.740909090909092"/>
    <n v="3.5575757575757576"/>
    <n v="14.183333333333334"/>
    <n v="3.5575757575757576"/>
    <n v="2"/>
    <s v="Lodi Vint"/>
    <n v="48"/>
    <n v="13.492333901192504"/>
    <n v="8.320272572402045"/>
    <s v="Luis"/>
    <s v="Picked: 77,79-96,98,100, row 94 is halfway picked"/>
    <m/>
  </r>
  <r>
    <x v="27"/>
    <s v="PRHZ7ASB"/>
    <n v="519"/>
    <n v="5292"/>
    <n v="4410"/>
    <n v="882"/>
    <n v="10.196531791907514"/>
    <n v="8.497109826589595"/>
    <n v="1.699421965317919"/>
    <n v="8.497109826589595"/>
    <n v="1"/>
    <s v="LTW-Kosher"/>
    <n v="24"/>
    <n v="2.8244897959183675"/>
    <n v="0.20869565217391303"/>
    <s v="Luis"/>
    <s v="Left to pick 51-59"/>
    <m/>
  </r>
  <r>
    <x v="27"/>
    <s v="SZVC01ZN"/>
    <n v="691"/>
    <n v="7055"/>
    <n v="7055"/>
    <n v="0"/>
    <n v="10.209840810419681"/>
    <n v="10.209840810419681"/>
    <n v="0"/>
    <n v="10.209840810419681"/>
    <n v="2"/>
    <s v="Gallo-Liv"/>
    <n v="48"/>
    <n v="4.7013465627214739"/>
    <n v="0"/>
    <m/>
    <s v="YES FC - APL"/>
    <m/>
  </r>
  <r>
    <x v="27"/>
    <s v="BEBU01ME"/>
    <n v="807"/>
    <n v="37779"/>
    <n v="11655"/>
    <n v="26124"/>
    <n v="46.814126394052046"/>
    <n v="14.442379182156134"/>
    <n v="32.371747211895908"/>
    <n v="14.442379182156134"/>
    <n v="6"/>
    <s v="Gallo"/>
    <n v="122.95"/>
    <n v="8.5131402831402827"/>
    <n v="11.981966314140227"/>
    <s v="Mat"/>
    <s v="Picked: 10-15,16(1/2E),17-35,42-69,76,77"/>
    <m/>
  </r>
  <r>
    <x v="27"/>
    <s v="LFBE02VI"/>
    <n v="778"/>
    <n v="29280"/>
    <n v="0"/>
    <n v="0"/>
    <n v="37.634961439588686"/>
    <n v="0"/>
    <n v="0"/>
    <n v="25.583547557840614"/>
    <n v="5.0999999999999996"/>
    <s v="Woodbridge"/>
    <n v="122.39999999999999"/>
    <n v="4.7843247588424438"/>
    <n v="0"/>
    <s v="Mat"/>
    <s v="FC"/>
    <m/>
  </r>
  <r>
    <x v="27"/>
    <s v="BAPE01CH"/>
    <n v="726"/>
    <n v="30107"/>
    <n v="20753"/>
    <n v="9354"/>
    <n v="41.469696969696969"/>
    <n v="28.585399449035812"/>
    <n v="12.884297520661157"/>
    <n v="28.585399449035812"/>
    <n v="10"/>
    <s v="LTW"/>
    <n v="240"/>
    <n v="8.3958945694598377"/>
    <n v="4.7032697210879943"/>
    <s v="Abel"/>
    <s v="178,180,182-259 left to pick"/>
    <m/>
  </r>
  <r>
    <x v="27"/>
    <s v="CLPC02BA"/>
    <n v="681"/>
    <n v="18907"/>
    <n v="9750"/>
    <n v="9157"/>
    <n v="27.763582966226139"/>
    <n v="14.317180616740089"/>
    <n v="13.44640234948605"/>
    <n v="14.317180616740089"/>
    <n v="4"/>
    <s v="Treasury-Paso"/>
    <n v="96"/>
    <n v="6.7052307692307691"/>
    <n v="3.9200535117056856"/>
    <s v="Kelly"/>
    <s v="picked: 1-17, 19-21, 39, 41-79, 81! Plus row 18 104 v picked on the west."/>
    <m/>
  </r>
  <r>
    <x v="27"/>
    <s v="LFRR08GB"/>
    <n v="691"/>
    <n v="3193"/>
    <n v="3123"/>
    <n v="70"/>
    <n v="4.6208393632416787"/>
    <n v="4.5195369030390742"/>
    <n v="0.10130246020260447"/>
    <n v="4.5195369030390742"/>
    <n v="2"/>
    <s v="LTW"/>
    <n v="46.78"/>
    <n v="10.35061799551713"/>
    <n v="4.5588829024488506E-2"/>
    <s v="Maria"/>
    <s v="River GB left to pick: 15 -7v, 16 - 10v,17 - 10v,18 - 14v, 19 - 14v, 20 - 15v_x000a_ "/>
    <m/>
  </r>
  <r>
    <x v="27"/>
    <s v="MJMJ04CB"/>
    <n v="726"/>
    <n v="26701"/>
    <n v="0"/>
    <n v="0"/>
    <n v="36.778236914600548"/>
    <n v="0"/>
    <n v="0"/>
    <m/>
    <m/>
    <s v="Hand pick"/>
    <n v="2"/>
    <n v="0"/>
    <n v="0"/>
    <m/>
    <m/>
    <m/>
  </r>
  <r>
    <x v="28"/>
    <s v="FFRY09PN"/>
    <n v="622"/>
    <n v="2749"/>
    <n v="2749"/>
    <n v="0"/>
    <n v="4.419614147909968"/>
    <n v="4.419614147909968"/>
    <n v="0"/>
    <n v="1.254019292604502"/>
    <m/>
    <s v="Lodi Vint"/>
    <n v="12"/>
    <n v="9.5692307692307672"/>
    <n v="0"/>
    <s v="Luis"/>
    <s v="FC"/>
    <m/>
  </r>
  <r>
    <x v="28"/>
    <s v="BAPE01CH"/>
    <n v="726"/>
    <n v="30107"/>
    <n v="30107"/>
    <n v="0"/>
    <n v="41.469696969696969"/>
    <n v="41.469696969696969"/>
    <n v="0"/>
    <n v="12.884297520661157"/>
    <n v="5.0999999999999996"/>
    <s v="LTW"/>
    <n v="122.39999999999999"/>
    <n v="9.4999358563181513"/>
    <n v="0"/>
    <s v="Mat"/>
    <s v="FC"/>
    <m/>
  </r>
  <r>
    <x v="28"/>
    <s v="LAPR02CH"/>
    <n v="691"/>
    <n v="23449"/>
    <n v="23449"/>
    <n v="0"/>
    <n v="33.934876989869757"/>
    <n v="33.934876989869757"/>
    <n v="0"/>
    <m/>
    <n v="1.33"/>
    <s v="LTW"/>
    <n v="31.92"/>
    <n v="0"/>
    <n v="0"/>
    <s v="Mat"/>
    <s v="FC"/>
    <m/>
  </r>
  <r>
    <x v="28"/>
    <s v="PRHZ7ASB"/>
    <n v="519"/>
    <n v="5292"/>
    <n v="5292"/>
    <n v="0"/>
    <n v="10.196531791907514"/>
    <n v="10.196531791907514"/>
    <n v="0"/>
    <n v="1.699421965317919"/>
    <m/>
    <s v="LTW-Kosher"/>
    <n v="9"/>
    <n v="5.295918367346939"/>
    <n v="0"/>
    <s v="Luis"/>
    <s v="FC"/>
    <m/>
  </r>
  <r>
    <x v="28"/>
    <s v="PRHZ7BSB"/>
    <n v="660"/>
    <n v="2513"/>
    <n v="2513"/>
    <n v="0"/>
    <n v="3.8075757575757576"/>
    <n v="3.8075757575757576"/>
    <n v="0"/>
    <n v="3.8075757575757576"/>
    <m/>
    <s v="LTW-Kosher"/>
    <n v="15"/>
    <n v="3.9395145244727416"/>
    <n v="0"/>
    <s v="Luis"/>
    <s v="FC"/>
    <m/>
  </r>
  <r>
    <x v="28"/>
    <s v="PRHZ99SB"/>
    <n v="660"/>
    <n v="1276"/>
    <n v="0"/>
    <n v="0"/>
    <n v="1.9333333333333333"/>
    <n v="0"/>
    <n v="0"/>
    <n v="1.9333333333333333"/>
    <m/>
    <s v="LTW-Kosher"/>
    <n v="15"/>
    <n v="7.7586206896551726"/>
    <n v="0"/>
    <s v="Luis"/>
    <s v="FC"/>
    <m/>
  </r>
  <r>
    <x v="28"/>
    <s v="FFRY10PN"/>
    <n v="622"/>
    <n v="5853"/>
    <n v="5853"/>
    <n v="0"/>
    <n v="9.409967845659164"/>
    <n v="9.409967845659164"/>
    <n v="0"/>
    <n v="9.409967845659164"/>
    <m/>
    <s v="Lodi Vint"/>
    <n v="120"/>
    <n v="12.752434648898001"/>
    <n v="0"/>
    <s v="Luis"/>
    <s v="FC"/>
    <m/>
  </r>
  <r>
    <x v="28"/>
    <s v="FFRY99PN"/>
    <n v="660"/>
    <n v="11709"/>
    <n v="4092"/>
    <n v="7617"/>
    <n v="17.740909090909092"/>
    <n v="6.2"/>
    <n v="11.540909090909093"/>
    <n v="2.6424242424242408"/>
    <n v="2"/>
    <s v="Lodi Vint"/>
    <n v="41.95"/>
    <n v="15.875573394495424"/>
    <n v="7.9660238831272503"/>
    <s v="Luis"/>
    <s v="Unpicked: 22-78,119,123-124"/>
    <m/>
  </r>
  <r>
    <x v="28"/>
    <s v="FFRY01PN"/>
    <n v="622"/>
    <n v="23319"/>
    <n v="732"/>
    <n v="22587"/>
    <n v="37.4903536977492"/>
    <n v="1.1768488745980707"/>
    <n v="36.313504823151128"/>
    <n v="1.1768488745980707"/>
    <m/>
    <s v="Lodi Vint"/>
    <n v="11.5"/>
    <n v="9.7718579234972669"/>
    <n v="15.428278688524591"/>
    <s v="Luis"/>
    <s v="picked: 2,3,119,121,123-132"/>
    <m/>
  </r>
  <r>
    <x v="28"/>
    <s v="LFEX02SY"/>
    <n v="605"/>
    <n v="11744"/>
    <n v="11744"/>
    <n v="0"/>
    <n v="19.411570247933884"/>
    <n v="19.411570247933884"/>
    <n v="0"/>
    <n v="19.411570247933884"/>
    <n v="4.75"/>
    <s v="Gallo"/>
    <n v="114"/>
    <n v="5.872786103542234"/>
    <n v="0"/>
    <s v="Mat"/>
    <s v="FC"/>
    <m/>
  </r>
  <r>
    <x v="28"/>
    <s v="FDJA05ME"/>
    <n v="778"/>
    <n v="14077"/>
    <n v="5894"/>
    <n v="8183"/>
    <n v="18.09383033419023"/>
    <n v="7.5758354755784065"/>
    <n v="10.517994858611823"/>
    <n v="7.5758354755784065"/>
    <n v="3"/>
    <s v="LTW-Kosher"/>
    <n v="66.2"/>
    <n v="8.7383101459110968"/>
    <n v="3.9960652690281933"/>
    <s v="Mat"/>
    <s v="Machine picked last night: 31,33,35,36(1/2W),37-42,53,55-63,73,76,77-91,100"/>
    <s v="Hand picked: 1,2,3(1/2E),4(1/2E)"/>
  </r>
  <r>
    <x v="28"/>
    <s v="BEBU01ME"/>
    <n v="807"/>
    <n v="37779"/>
    <n v="23499"/>
    <n v="14280"/>
    <n v="46.814126394052046"/>
    <n v="29.118959107806692"/>
    <n v="17.695167286245354"/>
    <n v="14.676579925650554"/>
    <n v="6"/>
    <s v="Gallo"/>
    <n v="139"/>
    <n v="9.4708713272543079"/>
    <n v="7.2864631514030238"/>
    <s v="Mat"/>
    <s v="Picked: 1-98,103,104,105(1/2E),108-113,116-120,121(1/2E)"/>
    <m/>
  </r>
  <r>
    <x v="28"/>
    <s v="PPBR03CH"/>
    <n v="622"/>
    <n v="25496"/>
    <n v="8621"/>
    <n v="16875"/>
    <n v="40.9903536977492"/>
    <n v="13.860128617363344"/>
    <n v="27.130225080385856"/>
    <n v="13.860128617363344"/>
    <n v="7"/>
    <s v="Woodbridge"/>
    <n v="168"/>
    <n v="12.121099640412945"/>
    <n v="14.297746150703794"/>
    <s v="Uriel"/>
    <m/>
    <m/>
  </r>
  <r>
    <x v="28"/>
    <s v="PPBR03CH-E"/>
    <n v="622"/>
    <n v="12034"/>
    <n v="2176"/>
    <n v="9858"/>
    <n v="19.34726688102894"/>
    <n v="3.4983922829581995"/>
    <n v="15.84887459807074"/>
    <m/>
    <m/>
    <m/>
    <n v="0"/>
    <n v="0"/>
    <n v="0"/>
    <s v="Uriel"/>
    <s v="Picked: 8-23,25,27,31,32."/>
    <m/>
  </r>
  <r>
    <x v="28"/>
    <s v="PPBR03CH-MID"/>
    <n v="622"/>
    <n v="8666"/>
    <n v="3800"/>
    <n v="4866"/>
    <n v="13.932475884244372"/>
    <n v="6.109324758842444"/>
    <n v="7.8231511254019281"/>
    <m/>
    <m/>
    <m/>
    <n v="0"/>
    <n v="0"/>
    <n v="0"/>
    <s v="Uriel"/>
    <s v="Picked: 6,7,11 1/2 picked, 13,15,16,17 1/2 picked, 18-30."/>
    <m/>
  </r>
  <r>
    <x v="28"/>
    <s v="PPBR03CH-W"/>
    <n v="622"/>
    <n v="4796"/>
    <n v="2645"/>
    <n v="2151"/>
    <n v="7.710610932475884"/>
    <n v="4.252411575562701"/>
    <n v="3.458199356913183"/>
    <m/>
    <m/>
    <m/>
    <n v="0"/>
    <n v="0"/>
    <n v="0"/>
    <s v="Uriel"/>
    <s v="Picked: 6,7,13,14,15-30.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0D2C7-33AE-4CD7-8F15-9EE5001E74A3}" name="PivotTable1" cacheId="10" applyNumberFormats="0" applyBorderFormats="0" applyFontFormats="0" applyPatternFormats="0" applyAlignmentFormats="0" applyWidthHeightFormats="1" dataCaption="Values" showMissing="0" updatedVersion="8" minRefreshableVersion="3" useAutoFormatting="1" rowGrandTotals="0" colGrandTotals="0" itemPrintTitles="1" createdVersion="8" indent="0" showHeaders="0" outline="1" outlineData="1" multipleFieldFilters="0" chartFormat="8">
  <location ref="A1:C30" firstHeaderRow="0" firstDataRow="1" firstDataCol="1"/>
  <pivotFields count="18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numFmtId="41" showAll="0"/>
    <pivotField numFmtId="41" showAll="0"/>
    <pivotField numFmtId="43" showAll="0"/>
    <pivotField numFmtId="43" showAll="0"/>
    <pivotField numFmtId="43" showAll="0"/>
    <pivotField dataField="1" showAll="0"/>
    <pivotField showAll="0"/>
    <pivotField showAll="0"/>
    <pivotField dataField="1" numFmtId="43" showAll="0"/>
    <pivotField numFmtId="43" showAll="0"/>
    <pivotField numFmtId="165" showAll="0"/>
    <pivotField showAll="0"/>
    <pivotField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Fields count="1">
    <field x="-2"/>
  </colFields>
  <colItems count="2">
    <i>
      <x/>
    </i>
    <i i="1">
      <x v="1"/>
    </i>
  </colItems>
  <dataFields count="2">
    <dataField name="Sum of ACRES PICKED SINCE LAST COUNT" fld="9" baseField="0" baseItem="0"/>
    <dataField name="Sum of TONS PICKED TODAY" fld="12" baseField="0" baseItem="0" numFmtId="43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0" count="0"/>
        </references>
      </pivotArea>
    </format>
    <format dxfId="11">
      <pivotArea collapsedLevelsAreSubtotals="1" fieldPosition="0">
        <references count="1">
          <reference field="0" count="0"/>
        </references>
      </pivotArea>
    </format>
    <format dxfId="10">
      <pivotArea collapsedLevelsAreSubtotals="1" fieldPosition="0">
        <references count="1">
          <reference field="0" count="0"/>
        </references>
      </pivotArea>
    </format>
    <format dxfId="9">
      <pivotArea collapsedLevelsAreSubtotals="1" fieldPosition="0">
        <references count="1">
          <reference field="0" count="0"/>
        </references>
      </pivotArea>
    </format>
    <format dxfId="8">
      <pivotArea collapsedLevelsAreSubtotals="1" fieldPosition="0">
        <references count="1">
          <reference field="0" count="0"/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2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FAD0A-16A4-4E41-B864-3C09DD12190D}" name="Table1" displayName="Table1" ref="A2:R455" totalsRowShown="0" headerRowDxfId="47" dataDxfId="46">
  <autoFilter ref="A2:R455" xr:uid="{054FAD0A-16A4-4E41-B864-3C09DD12190D}"/>
  <sortState xmlns:xlrd2="http://schemas.microsoft.com/office/spreadsheetml/2017/richdata2" ref="A3:R455">
    <sortCondition ref="A2:A455"/>
  </sortState>
  <tableColumns count="18">
    <tableColumn id="1" xr3:uid="{5FDDEFAA-37B0-49B1-B614-DA6586FBFBFE}" name="DATE" dataDxfId="45"/>
    <tableColumn id="2" xr3:uid="{25AE1460-FBBE-4A68-B90D-A94B120F3205}" name="BLOCK" dataDxfId="44"/>
    <tableColumn id="3" xr3:uid="{8213BFE8-5041-468B-A437-92D0CC4009B3}" name="VINE SPACING" dataDxfId="43">
      <calculatedColumnFormula array="1">IF(B3="","",_xlfn._xlws.FILTER('Source List'!I$2:I$268,'Source List'!G$2:G$268='Row Counts'!B3," "))</calculatedColumnFormula>
    </tableColumn>
    <tableColumn id="4" xr3:uid="{ED7FCB6F-8DC5-47C1-86C6-720574275863}" name="TOTAL VINES" dataDxfId="42">
      <calculatedColumnFormula array="1">IF(B3="","",_xlfn._xlws.FILTER('Source List'!J$2:J$268,'Source List'!G$2:G$268='Row Counts'!B3," "))</calculatedColumnFormula>
    </tableColumn>
    <tableColumn id="5" xr3:uid="{7493F465-4192-4A81-BEB8-EC7DF8008DD6}" name="VINES PICKED" dataDxfId="41">
      <calculatedColumnFormula>Table1[[#This Row],[TOTAL VINES]]-Table1[[#This Row],[VINES LEFT]]</calculatedColumnFormula>
    </tableColumn>
    <tableColumn id="6" xr3:uid="{AC49E627-FBCC-489C-8BA3-33E2BA70F9B6}" name="VINES LEFT" dataDxfId="40">
      <calculatedColumnFormula>Table1[[#This Row],[TOTAL VINES]]-Table1[[#This Row],[VINES PICKED]]</calculatedColumnFormula>
    </tableColumn>
    <tableColumn id="7" xr3:uid="{3E0A6695-CC72-4377-BAFD-8B0636A4FEEF}" name="TOTAL ACRES" dataDxfId="39">
      <calculatedColumnFormula>IFERROR(D3/C3,0)</calculatedColumnFormula>
    </tableColumn>
    <tableColumn id="9" xr3:uid="{C75C086D-CB52-47DC-9AF1-567E8A331C80}" name="ACRES PICKED" dataDxfId="38">
      <calculatedColumnFormula>IFERROR(E3/C3,0)</calculatedColumnFormula>
    </tableColumn>
    <tableColumn id="10" xr3:uid="{036AE8A3-1F67-407F-826E-B5D1886A6FC9}" name="ACRES LEFT" dataDxfId="37">
      <calculatedColumnFormula>Table1[[#This Row],[TOTAL ACRES]]-Table1[[#This Row],[ACRES PICKED]]</calculatedColumnFormula>
    </tableColumn>
    <tableColumn id="11" xr3:uid="{DEA36F41-51F6-491A-9C7B-BD8339555F45}" name="ACRES PICKED SINCE LAST COUNT" dataDxfId="36">
      <calculatedColumnFormula>Table1[[#This Row],[ACRES PICKED]]</calculatedColumnFormula>
    </tableColumn>
    <tableColumn id="12" xr3:uid="{CDE46A52-3B07-49FC-BF78-A62B285EFBAC}" name="LOADS" dataDxfId="35"/>
    <tableColumn id="13" xr3:uid="{FF84645D-9888-410B-9E51-77914D0CD9A0}" name="WINERY" dataDxfId="34"/>
    <tableColumn id="14" xr3:uid="{DBD4FC3E-5141-459F-AFEB-769DE5756A00}" name="TONS PICKED TODAY" dataDxfId="33">
      <calculatedColumnFormula>Table1[[#This Row],[LOADS]]*24</calculatedColumnFormula>
    </tableColumn>
    <tableColumn id="15" xr3:uid="{3472BAE0-4FCF-4D57-83F9-151116253EC6}" name="TPA" dataDxfId="32">
      <calculatedColumnFormula>IFERROR(M3/J3,0)</calculatedColumnFormula>
    </tableColumn>
    <tableColumn id="16" xr3:uid="{44D9B74E-CB1D-45AD-8778-0170FEBE3250}" name="LOADS TO FINISH" dataDxfId="31">
      <calculatedColumnFormula>IFERROR((N3*I3)/23,"")</calculatedColumnFormula>
    </tableColumn>
    <tableColumn id="17" xr3:uid="{D2A1C7B2-F771-49DE-A93A-91EB886B415D}" name="ROW COUNT REPORTED BY " dataDxfId="30"/>
    <tableColumn id="18" xr3:uid="{35E34983-C191-4EC5-9C96-A093F1CB1989}" name="ROWS" dataDxfId="29"/>
    <tableColumn id="19" xr3:uid="{70690F8A-5529-4B4E-8E26-DCF7B96532BD}" name="NOTES" dataDxfId="2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FF1E77-4227-48DA-87D6-CC7C1F7099FF}" name="Table3" displayName="Table3" ref="C1:F6" totalsRowShown="0" headerRowDxfId="27" dataDxfId="25" headerRowBorderDxfId="26" tableBorderDxfId="24" totalsRowBorderDxfId="23" headerRowCellStyle="Normal 2">
  <autoFilter ref="C1:F6" xr:uid="{01FF1E77-4227-48DA-87D6-CC7C1F7099FF}">
    <filterColumn colId="0" hiddenButton="1"/>
    <filterColumn colId="1" hiddenButton="1"/>
    <filterColumn colId="2" hiddenButton="1"/>
    <filterColumn colId="3" hiddenButton="1"/>
  </autoFilter>
  <tableColumns count="4">
    <tableColumn id="1" xr3:uid="{21A809F5-6356-4844-B0FB-4DBA54036133}" name="Block" dataDxfId="22"/>
    <tableColumn id="3" xr3:uid="{636CD636-4195-41B7-87CD-0A8BCF0A448E}" name="Acres Remaining" dataDxfId="21"/>
    <tableColumn id="4" xr3:uid="{3F4E0547-7EFB-4A8D-9A3C-3AE9C7315079}" name="Est. Tons Remaining" dataDxfId="20"/>
    <tableColumn id="5" xr3:uid="{29E83BED-A0C9-4074-8D17-09C35C0001E1}" name="Last Brix Reading" dataDxfId="1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9" dT="2026-08-17T17:54:41.31" personId="{02DEE26B-0F5A-4A78-A478-BF706505457E}" id="{622903E4-2388-4733-99B1-C95926108E31}">
    <text>1.32 acres left in the field not picking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BEB1-8D8C-4E4D-8489-FD753CF9D802}">
  <sheetPr>
    <pageSetUpPr fitToPage="1"/>
  </sheetPr>
  <dimension ref="B1:BD98"/>
  <sheetViews>
    <sheetView showGridLines="0" zoomScale="58" workbookViewId="0">
      <selection activeCell="V6" sqref="V6"/>
    </sheetView>
  </sheetViews>
  <sheetFormatPr defaultColWidth="9.140625" defaultRowHeight="16.5" x14ac:dyDescent="0.3"/>
  <cols>
    <col min="1" max="1" width="5.28515625" style="28" customWidth="1"/>
    <col min="2" max="2" width="13.7109375" style="28" bestFit="1" customWidth="1"/>
    <col min="3" max="3" width="16.7109375" style="28" bestFit="1" customWidth="1"/>
    <col min="4" max="4" width="11.5703125" style="28" bestFit="1" customWidth="1"/>
    <col min="5" max="5" width="12.7109375" style="28" bestFit="1" customWidth="1"/>
    <col min="6" max="6" width="8.5703125" style="28" bestFit="1" customWidth="1"/>
    <col min="7" max="7" width="6.7109375" style="28" bestFit="1" customWidth="1"/>
    <col min="8" max="8" width="7.5703125" style="28" bestFit="1" customWidth="1"/>
    <col min="9" max="9" width="14.140625" style="28" bestFit="1" customWidth="1"/>
    <col min="10" max="10" width="15.7109375" style="28" bestFit="1" customWidth="1"/>
    <col min="11" max="11" width="11.5703125" style="28" bestFit="1" customWidth="1"/>
    <col min="12" max="12" width="12.7109375" style="28" bestFit="1" customWidth="1"/>
    <col min="13" max="13" width="8.5703125" style="28" bestFit="1" customWidth="1"/>
    <col min="14" max="14" width="6.7109375" style="28" bestFit="1" customWidth="1"/>
    <col min="15" max="15" width="9.140625" style="28"/>
    <col min="16" max="16" width="13.85546875" style="28" bestFit="1" customWidth="1"/>
    <col min="17" max="17" width="15.7109375" style="28" bestFit="1" customWidth="1"/>
    <col min="18" max="18" width="11.5703125" style="28" bestFit="1" customWidth="1"/>
    <col min="19" max="19" width="12.7109375" style="28" bestFit="1" customWidth="1"/>
    <col min="20" max="20" width="8.5703125" style="28" bestFit="1" customWidth="1"/>
    <col min="21" max="21" width="6.7109375" style="28" bestFit="1" customWidth="1"/>
    <col min="22" max="51" width="9.140625" style="28"/>
    <col min="52" max="55" width="9.28515625" style="28" bestFit="1" customWidth="1"/>
    <col min="56" max="56" width="10.28515625" style="28" bestFit="1" customWidth="1"/>
    <col min="57" max="16384" width="9.140625" style="28"/>
  </cols>
  <sheetData>
    <row r="1" spans="2:56" ht="17.25" thickBot="1" x14ac:dyDescent="0.35"/>
    <row r="2" spans="2:56" ht="17.25" thickBot="1" x14ac:dyDescent="0.35">
      <c r="C2" s="51" t="s">
        <v>0</v>
      </c>
      <c r="D2" s="52">
        <f>SUM(D5+K5+R5)</f>
        <v>5228.3766268599993</v>
      </c>
      <c r="E2" s="346" t="s">
        <v>1</v>
      </c>
      <c r="F2" s="346"/>
      <c r="G2" s="53">
        <f>SUM(D6+K6+R6)</f>
        <v>1838.72009114</v>
      </c>
      <c r="H2" s="101">
        <f>G2/D2</f>
        <v>0.35168087962405997</v>
      </c>
      <c r="I2" s="347" t="s">
        <v>2</v>
      </c>
      <c r="J2" s="347"/>
      <c r="K2" s="54">
        <f>SUM(D7+K7+R7)</f>
        <v>122.66</v>
      </c>
      <c r="L2" s="102">
        <f>K2/D2</f>
        <v>2.3460436910732994E-2</v>
      </c>
      <c r="M2" s="100"/>
      <c r="N2" s="58"/>
      <c r="O2" s="348" t="s">
        <v>3</v>
      </c>
      <c r="P2" s="348"/>
      <c r="Q2" s="59">
        <f>D8+K8+R8</f>
        <v>3053.2465357199999</v>
      </c>
      <c r="R2" s="60">
        <f>Q2/D2</f>
        <v>0.58397601275210442</v>
      </c>
    </row>
    <row r="3" spans="2:56" x14ac:dyDescent="0.3">
      <c r="B3" s="29"/>
      <c r="C3" s="29"/>
      <c r="D3" s="29"/>
      <c r="E3" s="29"/>
      <c r="F3" s="29"/>
      <c r="G3" s="29"/>
    </row>
    <row r="4" spans="2:56" x14ac:dyDescent="0.3">
      <c r="B4" s="29"/>
      <c r="C4" s="351"/>
      <c r="D4" s="351"/>
      <c r="E4" s="351"/>
      <c r="F4" s="29"/>
      <c r="G4" s="29"/>
    </row>
    <row r="5" spans="2:56" x14ac:dyDescent="0.3">
      <c r="C5" s="61" t="s">
        <v>4</v>
      </c>
      <c r="D5" s="349">
        <f>SUM(C13:C67)</f>
        <v>1992.3565357199996</v>
      </c>
      <c r="E5" s="350"/>
      <c r="F5" s="30"/>
      <c r="G5" s="30"/>
      <c r="H5" s="30"/>
      <c r="I5" s="30"/>
      <c r="J5" s="62" t="s">
        <v>5</v>
      </c>
      <c r="K5" s="349">
        <f>SUM(J13:J65)</f>
        <v>1323.1099999999994</v>
      </c>
      <c r="L5" s="350"/>
      <c r="M5" s="30"/>
      <c r="N5" s="30"/>
      <c r="O5" s="30"/>
      <c r="P5" s="30"/>
      <c r="Q5" s="62" t="s">
        <v>6</v>
      </c>
      <c r="R5" s="349">
        <f>SUM(Q13:Q87)</f>
        <v>1912.9100911400003</v>
      </c>
      <c r="S5" s="350"/>
    </row>
    <row r="6" spans="2:56" x14ac:dyDescent="0.3">
      <c r="C6" s="45" t="s">
        <v>7</v>
      </c>
      <c r="D6" s="46">
        <f>SUM(E13:E75)</f>
        <v>384.98</v>
      </c>
      <c r="E6" s="47">
        <f>D6/(D5)</f>
        <v>0.19322846744439523</v>
      </c>
      <c r="F6" s="30"/>
      <c r="G6" s="30"/>
      <c r="H6" s="30"/>
      <c r="J6" s="45" t="s">
        <v>7</v>
      </c>
      <c r="K6" s="46">
        <f>SUM(L13:L72)</f>
        <v>884.49999999999989</v>
      </c>
      <c r="L6" s="47">
        <f>K6/(K5)</f>
        <v>0.6685007293422317</v>
      </c>
      <c r="M6" s="30"/>
      <c r="N6" s="30"/>
      <c r="O6" s="30"/>
      <c r="Q6" s="45" t="s">
        <v>7</v>
      </c>
      <c r="R6" s="46">
        <f>SUM(S13:S93)</f>
        <v>569.24009114</v>
      </c>
      <c r="S6" s="47">
        <f>R6/(R5)</f>
        <v>0.29757806902506373</v>
      </c>
    </row>
    <row r="7" spans="2:56" x14ac:dyDescent="0.3">
      <c r="C7" s="42" t="s">
        <v>8</v>
      </c>
      <c r="D7" s="43">
        <f>D19+D42+D67</f>
        <v>65.83</v>
      </c>
      <c r="E7" s="44">
        <f>D7/(D5)</f>
        <v>3.3041274902240472E-2</v>
      </c>
      <c r="F7" s="30"/>
      <c r="G7" s="30"/>
      <c r="H7" s="30"/>
      <c r="J7" s="42" t="s">
        <v>8</v>
      </c>
      <c r="K7" s="43">
        <f>K33+K54</f>
        <v>9.2800000000000011</v>
      </c>
      <c r="L7" s="44">
        <f>K7/(K5)</f>
        <v>7.0137781439184987E-3</v>
      </c>
      <c r="M7" s="30"/>
      <c r="N7" s="30"/>
      <c r="O7" s="30"/>
      <c r="Q7" s="42" t="s">
        <v>8</v>
      </c>
      <c r="R7" s="43">
        <f>R21+R49+R50+R62</f>
        <v>47.55</v>
      </c>
      <c r="S7" s="44">
        <f>R7/(R5)</f>
        <v>2.4857415003578416E-2</v>
      </c>
    </row>
    <row r="8" spans="2:56" x14ac:dyDescent="0.3">
      <c r="C8" s="55" t="s">
        <v>9</v>
      </c>
      <c r="D8" s="56">
        <f>SUM(D13:D18,D20:D26,D29:D30,D35:D37,D32:D33,D39:D41,D43:D52,D54:D57,D59,D61:D66)</f>
        <v>1536.5465357199998</v>
      </c>
      <c r="E8" s="57">
        <f>D8/(D5)</f>
        <v>0.77122066666884059</v>
      </c>
      <c r="F8" s="30"/>
      <c r="G8" s="30"/>
      <c r="H8" s="30"/>
      <c r="J8" s="55" t="s">
        <v>9</v>
      </c>
      <c r="K8" s="56">
        <f>SUM(K34:K38,K42:K43,K56,K61)</f>
        <v>224.53000000000003</v>
      </c>
      <c r="L8" s="57">
        <f>K8/(K5)</f>
        <v>0.16969866451013152</v>
      </c>
      <c r="M8" s="30"/>
      <c r="N8" s="30"/>
      <c r="O8" s="30"/>
      <c r="Q8" s="55" t="s">
        <v>9</v>
      </c>
      <c r="R8" s="56">
        <f>R5-(R6+R7+R9)</f>
        <v>1292.1700000000003</v>
      </c>
      <c r="S8" s="57">
        <f>R8/(R5)</f>
        <v>0.67549959926759051</v>
      </c>
    </row>
    <row r="9" spans="2:56" ht="17.25" thickBot="1" x14ac:dyDescent="0.35">
      <c r="C9" s="48" t="s">
        <v>10</v>
      </c>
      <c r="D9" s="49">
        <v>5</v>
      </c>
      <c r="E9" s="50">
        <f>D9/D5</f>
        <v>2.5095909845238096E-3</v>
      </c>
      <c r="F9" s="30"/>
      <c r="G9" s="30"/>
      <c r="H9" s="30"/>
      <c r="J9" s="48" t="s">
        <v>10</v>
      </c>
      <c r="K9" s="49">
        <f>K19+K20+K23+K24+K25+K26+K27+K28+K29+K47+K48+K50+K51+K58</f>
        <v>202.68000000000004</v>
      </c>
      <c r="L9" s="50">
        <f>K9/K5</f>
        <v>0.15318454247946137</v>
      </c>
      <c r="M9" s="30"/>
      <c r="N9" s="30"/>
      <c r="O9" s="30"/>
      <c r="Q9" s="48" t="s">
        <v>10</v>
      </c>
      <c r="R9" s="49">
        <v>3.95</v>
      </c>
      <c r="S9" s="50">
        <f>R9/R5</f>
        <v>2.0649167037672922E-3</v>
      </c>
    </row>
    <row r="10" spans="2:56" ht="21.75" customHeight="1" x14ac:dyDescent="0.3"/>
    <row r="11" spans="2:56" ht="31.5" customHeight="1" x14ac:dyDescent="0.3">
      <c r="B11" s="352" t="s">
        <v>11</v>
      </c>
      <c r="C11" s="352"/>
      <c r="D11" s="352"/>
      <c r="E11" s="352"/>
      <c r="F11" s="352"/>
      <c r="G11" s="352"/>
      <c r="H11" s="31"/>
      <c r="I11" s="352" t="s">
        <v>12</v>
      </c>
      <c r="J11" s="352"/>
      <c r="K11" s="352"/>
      <c r="L11" s="352"/>
      <c r="M11" s="352"/>
      <c r="N11" s="352"/>
      <c r="O11" s="31"/>
      <c r="P11" s="352" t="s">
        <v>13</v>
      </c>
      <c r="Q11" s="352"/>
      <c r="R11" s="352"/>
      <c r="S11" s="352"/>
      <c r="T11" s="352"/>
      <c r="U11" s="352"/>
      <c r="V11" s="32"/>
    </row>
    <row r="12" spans="2:56" ht="17.25" thickBot="1" x14ac:dyDescent="0.35">
      <c r="B12" s="33" t="s">
        <v>14</v>
      </c>
      <c r="C12" s="34" t="s">
        <v>15</v>
      </c>
      <c r="D12" s="34" t="s">
        <v>16</v>
      </c>
      <c r="E12" s="34" t="s">
        <v>17</v>
      </c>
      <c r="F12" s="34" t="s">
        <v>18</v>
      </c>
      <c r="G12" s="34" t="s">
        <v>19</v>
      </c>
      <c r="H12" s="35"/>
      <c r="I12" s="33" t="s">
        <v>14</v>
      </c>
      <c r="J12" s="34" t="s">
        <v>15</v>
      </c>
      <c r="K12" s="34" t="s">
        <v>16</v>
      </c>
      <c r="L12" s="34" t="s">
        <v>17</v>
      </c>
      <c r="M12" s="34" t="s">
        <v>18</v>
      </c>
      <c r="N12" s="34" t="s">
        <v>19</v>
      </c>
      <c r="O12" s="35"/>
      <c r="P12" s="33" t="s">
        <v>14</v>
      </c>
      <c r="Q12" s="34" t="s">
        <v>15</v>
      </c>
      <c r="R12" s="34" t="s">
        <v>16</v>
      </c>
      <c r="S12" s="34" t="s">
        <v>17</v>
      </c>
      <c r="T12" s="34" t="s">
        <v>18</v>
      </c>
      <c r="U12" s="34" t="s">
        <v>19</v>
      </c>
      <c r="V12" s="36"/>
    </row>
    <row r="13" spans="2:56" x14ac:dyDescent="0.3">
      <c r="B13" s="82" t="s">
        <v>20</v>
      </c>
      <c r="C13" s="83">
        <v>22.94568353</v>
      </c>
      <c r="D13" s="83">
        <f>C13</f>
        <v>22.94568353</v>
      </c>
      <c r="E13" s="84">
        <f>C13-D13</f>
        <v>0</v>
      </c>
      <c r="F13" s="83"/>
      <c r="G13" s="83"/>
      <c r="H13" s="82"/>
      <c r="I13" s="148" t="s">
        <v>21</v>
      </c>
      <c r="J13" s="151">
        <v>39.42</v>
      </c>
      <c r="K13" s="151">
        <v>0</v>
      </c>
      <c r="L13" s="151">
        <f>J13-K13</f>
        <v>39.42</v>
      </c>
      <c r="M13" s="198"/>
      <c r="N13" s="151"/>
      <c r="O13" s="82"/>
      <c r="P13" s="86" t="s">
        <v>22</v>
      </c>
      <c r="Q13" s="83">
        <v>36.81</v>
      </c>
      <c r="R13" s="83">
        <f>Q13</f>
        <v>36.81</v>
      </c>
      <c r="S13" s="83">
        <f>Q13-R13</f>
        <v>0</v>
      </c>
      <c r="T13" s="83"/>
      <c r="U13" s="83" t="str">
        <f>IFERROR(T13/S13,"")</f>
        <v/>
      </c>
      <c r="V13" s="86"/>
    </row>
    <row r="14" spans="2:56" x14ac:dyDescent="0.3">
      <c r="B14" s="82" t="s">
        <v>23</v>
      </c>
      <c r="C14" s="83">
        <v>15.910719889999999</v>
      </c>
      <c r="D14" s="83">
        <f t="shared" ref="D14:D27" si="0">C14</f>
        <v>15.910719889999999</v>
      </c>
      <c r="E14" s="84">
        <f t="shared" ref="E14:E49" si="1">C14-D14</f>
        <v>0</v>
      </c>
      <c r="F14" s="83"/>
      <c r="G14" s="83"/>
      <c r="H14" s="82"/>
      <c r="I14" s="148" t="s">
        <v>24</v>
      </c>
      <c r="J14" s="151">
        <v>42.04</v>
      </c>
      <c r="K14" s="151">
        <v>0</v>
      </c>
      <c r="L14" s="151">
        <f t="shared" ref="L14" si="2">J14-K14</f>
        <v>42.04</v>
      </c>
      <c r="M14" s="151"/>
      <c r="N14" s="151"/>
      <c r="O14" s="82"/>
      <c r="P14" s="148" t="s">
        <v>25</v>
      </c>
      <c r="Q14" s="151">
        <v>42.12009114</v>
      </c>
      <c r="R14" s="151">
        <v>0</v>
      </c>
      <c r="S14" s="151">
        <f t="shared" ref="S14:S77" si="3">Q14-R14</f>
        <v>42.12009114</v>
      </c>
      <c r="T14" s="151"/>
      <c r="U14" s="151">
        <f t="shared" ref="U14:U77" si="4">IFERROR(T14/S14,"")</f>
        <v>0</v>
      </c>
      <c r="V14" s="86"/>
    </row>
    <row r="15" spans="2:56" x14ac:dyDescent="0.3">
      <c r="B15" s="82" t="s">
        <v>26</v>
      </c>
      <c r="C15" s="83">
        <v>19.051903790000001</v>
      </c>
      <c r="D15" s="83">
        <f t="shared" si="0"/>
        <v>19.051903790000001</v>
      </c>
      <c r="E15" s="84">
        <f t="shared" si="1"/>
        <v>0</v>
      </c>
      <c r="F15" s="83"/>
      <c r="G15" s="83"/>
      <c r="H15" s="82"/>
      <c r="I15" s="148" t="s">
        <v>27</v>
      </c>
      <c r="J15" s="151">
        <v>28.51</v>
      </c>
      <c r="K15" s="151">
        <v>0.5</v>
      </c>
      <c r="L15" s="151">
        <f t="shared" ref="L15:L56" si="5">J15-K15</f>
        <v>28.01</v>
      </c>
      <c r="M15" s="151"/>
      <c r="N15" s="151"/>
      <c r="O15" s="82"/>
      <c r="P15" s="148" t="s">
        <v>28</v>
      </c>
      <c r="Q15" s="151">
        <v>46.96</v>
      </c>
      <c r="R15" s="151">
        <v>0</v>
      </c>
      <c r="S15" s="151">
        <f t="shared" si="3"/>
        <v>46.96</v>
      </c>
      <c r="T15" s="151"/>
      <c r="U15" s="151">
        <f t="shared" si="4"/>
        <v>0</v>
      </c>
      <c r="V15" s="86"/>
      <c r="AY15" s="32"/>
      <c r="AZ15" s="37"/>
      <c r="BA15" s="37"/>
      <c r="BB15" s="37"/>
      <c r="BC15" s="37"/>
      <c r="BD15" s="37"/>
    </row>
    <row r="16" spans="2:56" x14ac:dyDescent="0.3">
      <c r="B16" s="82" t="s">
        <v>29</v>
      </c>
      <c r="C16" s="83">
        <v>26.525628619999999</v>
      </c>
      <c r="D16" s="83">
        <f t="shared" si="0"/>
        <v>26.525628619999999</v>
      </c>
      <c r="E16" s="84">
        <f t="shared" si="1"/>
        <v>0</v>
      </c>
      <c r="F16" s="83"/>
      <c r="G16" s="83"/>
      <c r="H16" s="82"/>
      <c r="I16" s="148" t="s">
        <v>30</v>
      </c>
      <c r="J16" s="151">
        <v>45.21</v>
      </c>
      <c r="K16" s="151">
        <v>0</v>
      </c>
      <c r="L16" s="151">
        <f t="shared" si="5"/>
        <v>45.21</v>
      </c>
      <c r="M16" s="151"/>
      <c r="N16" s="151"/>
      <c r="O16" s="82"/>
      <c r="P16" s="82" t="s">
        <v>31</v>
      </c>
      <c r="Q16" s="83">
        <v>10.029999999999999</v>
      </c>
      <c r="R16" s="83">
        <f t="shared" ref="R16:R26" si="6">Q16</f>
        <v>10.029999999999999</v>
      </c>
      <c r="S16" s="83">
        <f t="shared" si="3"/>
        <v>0</v>
      </c>
      <c r="T16" s="83"/>
      <c r="U16" s="83" t="str">
        <f t="shared" si="4"/>
        <v/>
      </c>
      <c r="V16" s="86"/>
      <c r="AY16" s="32"/>
      <c r="AZ16" s="38"/>
      <c r="BA16" s="38"/>
      <c r="BB16" s="38"/>
      <c r="BC16" s="38"/>
      <c r="BD16" s="39"/>
    </row>
    <row r="17" spans="2:56" x14ac:dyDescent="0.3">
      <c r="B17" s="82" t="s">
        <v>32</v>
      </c>
      <c r="C17" s="83">
        <v>20.232599889999999</v>
      </c>
      <c r="D17" s="83">
        <f t="shared" si="0"/>
        <v>20.232599889999999</v>
      </c>
      <c r="E17" s="84">
        <f t="shared" si="1"/>
        <v>0</v>
      </c>
      <c r="F17" s="83"/>
      <c r="G17" s="83"/>
      <c r="H17" s="82"/>
      <c r="I17" s="148" t="s">
        <v>33</v>
      </c>
      <c r="J17" s="151">
        <v>46.69</v>
      </c>
      <c r="K17" s="151">
        <v>0</v>
      </c>
      <c r="L17" s="151">
        <f t="shared" si="5"/>
        <v>46.69</v>
      </c>
      <c r="M17" s="151"/>
      <c r="N17" s="151"/>
      <c r="O17" s="82"/>
      <c r="P17" s="148" t="s">
        <v>34</v>
      </c>
      <c r="Q17" s="151">
        <v>9.27</v>
      </c>
      <c r="R17" s="151">
        <v>0</v>
      </c>
      <c r="S17" s="151">
        <f t="shared" si="3"/>
        <v>9.27</v>
      </c>
      <c r="T17" s="151"/>
      <c r="U17" s="151"/>
      <c r="V17" s="86"/>
      <c r="AY17" s="32"/>
      <c r="AZ17" s="38"/>
      <c r="BA17" s="38"/>
      <c r="BB17" s="38"/>
      <c r="BC17" s="38"/>
      <c r="BD17" s="39"/>
    </row>
    <row r="18" spans="2:56" x14ac:dyDescent="0.3">
      <c r="B18" s="82" t="s">
        <v>35</v>
      </c>
      <c r="C18" s="83">
        <v>24.5</v>
      </c>
      <c r="D18" s="83">
        <f t="shared" si="0"/>
        <v>24.5</v>
      </c>
      <c r="E18" s="84">
        <f t="shared" si="1"/>
        <v>0</v>
      </c>
      <c r="F18" s="83"/>
      <c r="G18" s="83"/>
      <c r="H18" s="82"/>
      <c r="I18" s="148" t="s">
        <v>36</v>
      </c>
      <c r="J18" s="151">
        <v>102.93</v>
      </c>
      <c r="K18" s="151">
        <v>0</v>
      </c>
      <c r="L18" s="258">
        <f>J18-K18</f>
        <v>102.93</v>
      </c>
      <c r="M18" s="151"/>
      <c r="N18" s="151"/>
      <c r="O18" s="82"/>
      <c r="P18" s="82" t="s">
        <v>37</v>
      </c>
      <c r="Q18" s="83">
        <v>9.27</v>
      </c>
      <c r="R18" s="83">
        <f t="shared" si="6"/>
        <v>9.27</v>
      </c>
      <c r="S18" s="83">
        <f t="shared" si="3"/>
        <v>0</v>
      </c>
      <c r="T18" s="83"/>
      <c r="U18" s="83" t="str">
        <f t="shared" si="4"/>
        <v/>
      </c>
      <c r="V18" s="86"/>
      <c r="AY18" s="32"/>
      <c r="AZ18" s="38"/>
      <c r="BA18" s="38"/>
      <c r="BB18" s="38"/>
      <c r="BC18" s="38"/>
      <c r="BD18" s="39"/>
    </row>
    <row r="19" spans="2:56" x14ac:dyDescent="0.3">
      <c r="B19" s="143" t="s">
        <v>38</v>
      </c>
      <c r="C19" s="144">
        <v>37.6</v>
      </c>
      <c r="D19" s="144">
        <v>24.62</v>
      </c>
      <c r="E19" s="152">
        <f t="shared" si="1"/>
        <v>12.98</v>
      </c>
      <c r="F19" s="144"/>
      <c r="G19" s="144"/>
      <c r="H19" s="82"/>
      <c r="I19" s="140" t="s">
        <v>39</v>
      </c>
      <c r="J19" s="141">
        <v>38.21</v>
      </c>
      <c r="K19" s="141">
        <v>0.33</v>
      </c>
      <c r="L19" s="141">
        <f>J19-K19</f>
        <v>37.880000000000003</v>
      </c>
      <c r="M19" s="141"/>
      <c r="N19" s="141"/>
      <c r="O19" s="82"/>
      <c r="P19" s="140" t="s">
        <v>40</v>
      </c>
      <c r="Q19" s="141">
        <v>10.07</v>
      </c>
      <c r="R19" s="141">
        <v>10.07</v>
      </c>
      <c r="S19" s="141">
        <v>0</v>
      </c>
      <c r="T19" s="141"/>
      <c r="U19" s="141" t="str">
        <f t="shared" si="4"/>
        <v/>
      </c>
      <c r="V19" s="86"/>
      <c r="AY19" s="32"/>
      <c r="AZ19" s="38"/>
      <c r="BA19" s="38"/>
      <c r="BB19" s="38"/>
      <c r="BC19" s="38"/>
      <c r="BD19" s="345"/>
    </row>
    <row r="20" spans="2:56" x14ac:dyDescent="0.3">
      <c r="B20" s="82" t="s">
        <v>41</v>
      </c>
      <c r="C20" s="83">
        <v>24.5</v>
      </c>
      <c r="D20" s="83">
        <f t="shared" si="0"/>
        <v>24.5</v>
      </c>
      <c r="E20" s="84">
        <f t="shared" si="1"/>
        <v>0</v>
      </c>
      <c r="F20" s="83"/>
      <c r="G20" s="83"/>
      <c r="H20" s="82"/>
      <c r="I20" s="140" t="s">
        <v>42</v>
      </c>
      <c r="J20" s="141">
        <v>15.18</v>
      </c>
      <c r="K20" s="141">
        <f t="shared" ref="K20:K56" si="7">J20</f>
        <v>15.18</v>
      </c>
      <c r="L20" s="141">
        <f t="shared" si="5"/>
        <v>0</v>
      </c>
      <c r="M20" s="141"/>
      <c r="N20" s="141"/>
      <c r="O20" s="82"/>
      <c r="P20" s="148" t="s">
        <v>43</v>
      </c>
      <c r="Q20" s="151">
        <v>8.07</v>
      </c>
      <c r="R20" s="151">
        <v>0</v>
      </c>
      <c r="S20" s="151">
        <f t="shared" si="3"/>
        <v>8.07</v>
      </c>
      <c r="T20" s="151"/>
      <c r="U20" s="151">
        <f t="shared" si="4"/>
        <v>0</v>
      </c>
      <c r="V20" s="86"/>
      <c r="AY20" s="32"/>
      <c r="AZ20" s="40"/>
      <c r="BA20" s="40"/>
      <c r="BB20" s="40"/>
      <c r="BC20" s="40"/>
      <c r="BD20" s="345"/>
    </row>
    <row r="21" spans="2:56" x14ac:dyDescent="0.3">
      <c r="B21" s="82" t="s">
        <v>44</v>
      </c>
      <c r="C21" s="83">
        <v>39.200000000000003</v>
      </c>
      <c r="D21" s="83">
        <f t="shared" si="0"/>
        <v>39.200000000000003</v>
      </c>
      <c r="E21" s="84">
        <f t="shared" si="1"/>
        <v>0</v>
      </c>
      <c r="F21" s="83"/>
      <c r="G21" s="83"/>
      <c r="H21" s="82"/>
      <c r="I21" s="148" t="s">
        <v>45</v>
      </c>
      <c r="J21" s="151">
        <v>15.95</v>
      </c>
      <c r="K21" s="151">
        <v>0.71</v>
      </c>
      <c r="L21" s="151">
        <f t="shared" si="5"/>
        <v>15.239999999999998</v>
      </c>
      <c r="M21" s="151"/>
      <c r="N21" s="151"/>
      <c r="O21" s="82"/>
      <c r="P21" s="143" t="s">
        <v>46</v>
      </c>
      <c r="Q21" s="144">
        <v>6.72</v>
      </c>
      <c r="R21" s="144">
        <v>0.28999999999999998</v>
      </c>
      <c r="S21" s="144">
        <f t="shared" si="3"/>
        <v>6.43</v>
      </c>
      <c r="T21" s="144"/>
      <c r="U21" s="144">
        <f t="shared" si="4"/>
        <v>0</v>
      </c>
      <c r="V21" s="86"/>
    </row>
    <row r="22" spans="2:56" x14ac:dyDescent="0.3">
      <c r="B22" s="82" t="s">
        <v>47</v>
      </c>
      <c r="C22" s="83">
        <v>18.8</v>
      </c>
      <c r="D22" s="83">
        <f t="shared" si="0"/>
        <v>18.8</v>
      </c>
      <c r="E22" s="84">
        <f t="shared" si="1"/>
        <v>0</v>
      </c>
      <c r="F22" s="83"/>
      <c r="G22" s="83"/>
      <c r="H22" s="82"/>
      <c r="I22" s="148" t="s">
        <v>48</v>
      </c>
      <c r="J22" s="151">
        <v>24.82</v>
      </c>
      <c r="K22" s="151">
        <v>0.91</v>
      </c>
      <c r="L22" s="151">
        <f t="shared" si="5"/>
        <v>23.91</v>
      </c>
      <c r="M22" s="151"/>
      <c r="N22" s="151"/>
      <c r="O22" s="82"/>
      <c r="P22" s="82" t="s">
        <v>49</v>
      </c>
      <c r="Q22" s="83">
        <v>20.25</v>
      </c>
      <c r="R22" s="83">
        <f t="shared" si="6"/>
        <v>20.25</v>
      </c>
      <c r="S22" s="83">
        <f t="shared" si="3"/>
        <v>0</v>
      </c>
      <c r="T22" s="83"/>
      <c r="U22" s="83" t="str">
        <f t="shared" si="4"/>
        <v/>
      </c>
      <c r="V22" s="86"/>
    </row>
    <row r="23" spans="2:56" x14ac:dyDescent="0.3">
      <c r="B23" s="82" t="s">
        <v>50</v>
      </c>
      <c r="C23" s="83">
        <v>21</v>
      </c>
      <c r="D23" s="83">
        <f t="shared" si="0"/>
        <v>21</v>
      </c>
      <c r="E23" s="84">
        <f t="shared" si="1"/>
        <v>0</v>
      </c>
      <c r="F23" s="83"/>
      <c r="G23" s="83"/>
      <c r="H23" s="82"/>
      <c r="I23" s="140" t="s">
        <v>51</v>
      </c>
      <c r="J23" s="141">
        <v>4.53</v>
      </c>
      <c r="K23" s="141">
        <f t="shared" si="7"/>
        <v>4.53</v>
      </c>
      <c r="L23" s="141">
        <f t="shared" si="5"/>
        <v>0</v>
      </c>
      <c r="M23" s="141"/>
      <c r="N23" s="141"/>
      <c r="O23" s="82"/>
      <c r="P23" s="82" t="s">
        <v>52</v>
      </c>
      <c r="Q23" s="83">
        <v>20.260000000000002</v>
      </c>
      <c r="R23" s="83">
        <f t="shared" si="6"/>
        <v>20.260000000000002</v>
      </c>
      <c r="S23" s="83">
        <f t="shared" si="3"/>
        <v>0</v>
      </c>
      <c r="T23" s="83"/>
      <c r="U23" s="83" t="str">
        <f t="shared" si="4"/>
        <v/>
      </c>
      <c r="V23" s="86"/>
    </row>
    <row r="24" spans="2:56" x14ac:dyDescent="0.3">
      <c r="B24" s="82" t="s">
        <v>53</v>
      </c>
      <c r="C24" s="83">
        <v>17.14</v>
      </c>
      <c r="D24" s="83">
        <f t="shared" si="0"/>
        <v>17.14</v>
      </c>
      <c r="E24" s="84">
        <f t="shared" si="1"/>
        <v>0</v>
      </c>
      <c r="F24" s="83"/>
      <c r="G24" s="83"/>
      <c r="H24" s="82"/>
      <c r="I24" s="140" t="s">
        <v>54</v>
      </c>
      <c r="J24" s="141">
        <v>9.48</v>
      </c>
      <c r="K24" s="141">
        <f t="shared" si="7"/>
        <v>9.48</v>
      </c>
      <c r="L24" s="141">
        <f t="shared" si="5"/>
        <v>0</v>
      </c>
      <c r="M24" s="141"/>
      <c r="N24" s="141"/>
      <c r="O24" s="82"/>
      <c r="P24" s="82" t="s">
        <v>55</v>
      </c>
      <c r="Q24" s="83">
        <v>36.25</v>
      </c>
      <c r="R24" s="83">
        <f t="shared" si="6"/>
        <v>36.25</v>
      </c>
      <c r="S24" s="83">
        <f t="shared" si="3"/>
        <v>0</v>
      </c>
      <c r="T24" s="83"/>
      <c r="U24" s="83" t="str">
        <f t="shared" si="4"/>
        <v/>
      </c>
      <c r="V24" s="86"/>
    </row>
    <row r="25" spans="2:56" x14ac:dyDescent="0.3">
      <c r="B25" s="82" t="s">
        <v>56</v>
      </c>
      <c r="C25" s="83">
        <v>11.79</v>
      </c>
      <c r="D25" s="83">
        <f t="shared" si="0"/>
        <v>11.79</v>
      </c>
      <c r="E25" s="84">
        <f t="shared" si="1"/>
        <v>0</v>
      </c>
      <c r="F25" s="83"/>
      <c r="G25" s="83"/>
      <c r="H25" s="82"/>
      <c r="I25" s="140" t="s">
        <v>57</v>
      </c>
      <c r="J25" s="141">
        <v>41.01</v>
      </c>
      <c r="K25" s="141">
        <f t="shared" si="7"/>
        <v>41.01</v>
      </c>
      <c r="L25" s="141">
        <f t="shared" si="5"/>
        <v>0</v>
      </c>
      <c r="M25" s="141"/>
      <c r="N25" s="141"/>
      <c r="O25" s="82"/>
      <c r="P25" s="82" t="s">
        <v>58</v>
      </c>
      <c r="Q25" s="83">
        <v>41.1</v>
      </c>
      <c r="R25" s="83">
        <f t="shared" si="6"/>
        <v>41.1</v>
      </c>
      <c r="S25" s="83">
        <f t="shared" si="3"/>
        <v>0</v>
      </c>
      <c r="T25" s="83"/>
      <c r="U25" s="83" t="str">
        <f t="shared" si="4"/>
        <v/>
      </c>
      <c r="V25" s="86"/>
    </row>
    <row r="26" spans="2:56" x14ac:dyDescent="0.3">
      <c r="B26" s="82" t="s">
        <v>59</v>
      </c>
      <c r="C26" s="89">
        <v>45.32</v>
      </c>
      <c r="D26" s="89">
        <f t="shared" si="0"/>
        <v>45.32</v>
      </c>
      <c r="E26" s="84">
        <f t="shared" si="1"/>
        <v>0</v>
      </c>
      <c r="F26" s="87"/>
      <c r="G26" s="83"/>
      <c r="H26" s="82"/>
      <c r="I26" s="140" t="s">
        <v>60</v>
      </c>
      <c r="J26" s="141">
        <v>19.96</v>
      </c>
      <c r="K26" s="141">
        <f t="shared" si="7"/>
        <v>19.96</v>
      </c>
      <c r="L26" s="141">
        <f t="shared" si="5"/>
        <v>0</v>
      </c>
      <c r="M26" s="141"/>
      <c r="N26" s="141"/>
      <c r="O26" s="82"/>
      <c r="P26" s="82" t="s">
        <v>61</v>
      </c>
      <c r="Q26" s="83">
        <v>18.39</v>
      </c>
      <c r="R26" s="83">
        <f t="shared" si="6"/>
        <v>18.39</v>
      </c>
      <c r="S26" s="83">
        <f t="shared" si="3"/>
        <v>0</v>
      </c>
      <c r="T26" s="83"/>
      <c r="U26" s="83" t="str">
        <f t="shared" si="4"/>
        <v/>
      </c>
      <c r="V26" s="86"/>
    </row>
    <row r="27" spans="2:56" x14ac:dyDescent="0.3">
      <c r="B27" s="140" t="s">
        <v>62</v>
      </c>
      <c r="C27" s="146">
        <v>5</v>
      </c>
      <c r="D27" s="146">
        <f t="shared" si="0"/>
        <v>5</v>
      </c>
      <c r="E27" s="142">
        <f t="shared" si="1"/>
        <v>0</v>
      </c>
      <c r="F27" s="141"/>
      <c r="G27" s="141"/>
      <c r="H27" s="82"/>
      <c r="I27" s="140" t="s">
        <v>63</v>
      </c>
      <c r="J27" s="141">
        <v>18.11</v>
      </c>
      <c r="K27" s="141">
        <f t="shared" si="7"/>
        <v>18.11</v>
      </c>
      <c r="L27" s="141">
        <f t="shared" si="5"/>
        <v>0</v>
      </c>
      <c r="M27" s="141"/>
      <c r="N27" s="141"/>
      <c r="O27" s="82"/>
      <c r="P27" s="82" t="s">
        <v>64</v>
      </c>
      <c r="Q27" s="83">
        <v>3.73</v>
      </c>
      <c r="R27" s="83">
        <f t="shared" ref="R27:R44" si="8">Q27</f>
        <v>3.73</v>
      </c>
      <c r="S27" s="83">
        <f t="shared" si="3"/>
        <v>0</v>
      </c>
      <c r="T27" s="83"/>
      <c r="U27" s="83" t="str">
        <f t="shared" si="4"/>
        <v/>
      </c>
      <c r="V27" s="86"/>
    </row>
    <row r="28" spans="2:56" x14ac:dyDescent="0.3">
      <c r="B28" s="148" t="s">
        <v>65</v>
      </c>
      <c r="C28" s="149">
        <v>50.74</v>
      </c>
      <c r="D28" s="149">
        <v>0</v>
      </c>
      <c r="E28" s="150">
        <f t="shared" si="1"/>
        <v>50.74</v>
      </c>
      <c r="F28" s="283"/>
      <c r="G28" s="151"/>
      <c r="H28" s="82"/>
      <c r="I28" s="140" t="s">
        <v>66</v>
      </c>
      <c r="J28" s="141">
        <v>5</v>
      </c>
      <c r="K28" s="141">
        <f t="shared" si="7"/>
        <v>5</v>
      </c>
      <c r="L28" s="141">
        <f t="shared" si="5"/>
        <v>0</v>
      </c>
      <c r="M28" s="141"/>
      <c r="N28" s="141"/>
      <c r="O28" s="82"/>
      <c r="P28" s="82" t="s">
        <v>67</v>
      </c>
      <c r="Q28" s="83">
        <v>17.14</v>
      </c>
      <c r="R28" s="83">
        <f t="shared" si="8"/>
        <v>17.14</v>
      </c>
      <c r="S28" s="83">
        <f t="shared" si="3"/>
        <v>0</v>
      </c>
      <c r="T28" s="83"/>
      <c r="U28" s="83" t="str">
        <f t="shared" si="4"/>
        <v/>
      </c>
      <c r="V28" s="86"/>
    </row>
    <row r="29" spans="2:56" x14ac:dyDescent="0.3">
      <c r="B29" s="82" t="s">
        <v>68</v>
      </c>
      <c r="C29" s="89">
        <v>34.92</v>
      </c>
      <c r="D29" s="89">
        <f>C29</f>
        <v>34.92</v>
      </c>
      <c r="E29" s="84">
        <f t="shared" si="1"/>
        <v>0</v>
      </c>
      <c r="F29" s="83"/>
      <c r="G29" s="83"/>
      <c r="H29" s="82"/>
      <c r="I29" s="140" t="s">
        <v>69</v>
      </c>
      <c r="J29" s="141">
        <v>45.71</v>
      </c>
      <c r="K29" s="141">
        <v>23.75</v>
      </c>
      <c r="L29" s="141">
        <f t="shared" si="5"/>
        <v>21.96</v>
      </c>
      <c r="M29" s="141"/>
      <c r="N29" s="141"/>
      <c r="O29" s="82"/>
      <c r="P29" s="82" t="s">
        <v>70</v>
      </c>
      <c r="Q29" s="83">
        <v>44.56</v>
      </c>
      <c r="R29" s="83">
        <f t="shared" si="8"/>
        <v>44.56</v>
      </c>
      <c r="S29" s="83">
        <f t="shared" si="3"/>
        <v>0</v>
      </c>
      <c r="T29" s="83"/>
      <c r="U29" s="83" t="str">
        <f t="shared" si="4"/>
        <v/>
      </c>
      <c r="V29" s="86"/>
    </row>
    <row r="30" spans="2:56" x14ac:dyDescent="0.3">
      <c r="B30" s="82" t="s">
        <v>71</v>
      </c>
      <c r="C30" s="89">
        <v>7.1</v>
      </c>
      <c r="D30" s="89">
        <f>C30</f>
        <v>7.1</v>
      </c>
      <c r="E30" s="84">
        <f t="shared" si="1"/>
        <v>0</v>
      </c>
      <c r="F30" s="87"/>
      <c r="G30" s="83"/>
      <c r="H30" s="82"/>
      <c r="I30" s="148" t="s">
        <v>72</v>
      </c>
      <c r="J30" s="151">
        <v>45.11</v>
      </c>
      <c r="K30" s="151">
        <v>0</v>
      </c>
      <c r="L30" s="151">
        <f t="shared" si="5"/>
        <v>45.11</v>
      </c>
      <c r="M30" s="151"/>
      <c r="N30" s="151"/>
      <c r="O30" s="82"/>
      <c r="P30" s="82" t="s">
        <v>73</v>
      </c>
      <c r="Q30" s="83">
        <v>57.07</v>
      </c>
      <c r="R30" s="83">
        <f t="shared" si="8"/>
        <v>57.07</v>
      </c>
      <c r="S30" s="83">
        <f t="shared" si="3"/>
        <v>0</v>
      </c>
      <c r="T30" s="83"/>
      <c r="U30" s="83" t="str">
        <f t="shared" si="4"/>
        <v/>
      </c>
      <c r="V30" s="86"/>
    </row>
    <row r="31" spans="2:56" x14ac:dyDescent="0.3">
      <c r="B31" s="148" t="s">
        <v>74</v>
      </c>
      <c r="C31" s="149">
        <f>39.34</f>
        <v>39.340000000000003</v>
      </c>
      <c r="D31" s="149">
        <v>0</v>
      </c>
      <c r="E31" s="150">
        <f>C31</f>
        <v>39.340000000000003</v>
      </c>
      <c r="F31" s="151">
        <v>264</v>
      </c>
      <c r="G31" s="151">
        <f>F31/C31</f>
        <v>6.7107269954245039</v>
      </c>
      <c r="H31" s="82"/>
      <c r="I31" s="148" t="s">
        <v>75</v>
      </c>
      <c r="J31" s="149">
        <v>66.53</v>
      </c>
      <c r="K31" s="151">
        <v>0</v>
      </c>
      <c r="L31" s="151">
        <f t="shared" si="5"/>
        <v>66.53</v>
      </c>
      <c r="M31" s="151"/>
      <c r="N31" s="151"/>
      <c r="O31" s="82"/>
      <c r="P31" s="140" t="s">
        <v>76</v>
      </c>
      <c r="Q31" s="141">
        <v>3.95</v>
      </c>
      <c r="R31" s="141">
        <f t="shared" si="8"/>
        <v>3.95</v>
      </c>
      <c r="S31" s="141">
        <f t="shared" si="3"/>
        <v>0</v>
      </c>
      <c r="T31" s="141"/>
      <c r="U31" s="141" t="str">
        <f t="shared" si="4"/>
        <v/>
      </c>
      <c r="V31" s="86"/>
    </row>
    <row r="32" spans="2:56" x14ac:dyDescent="0.3">
      <c r="B32" s="82" t="s">
        <v>77</v>
      </c>
      <c r="C32" s="89">
        <v>59.54</v>
      </c>
      <c r="D32" s="89">
        <f t="shared" ref="D32:D49" si="9">C32</f>
        <v>59.54</v>
      </c>
      <c r="E32" s="84">
        <f t="shared" si="1"/>
        <v>0</v>
      </c>
      <c r="F32" s="83"/>
      <c r="G32" s="83"/>
      <c r="H32" s="88"/>
      <c r="I32" s="148" t="s">
        <v>78</v>
      </c>
      <c r="J32" s="149">
        <v>19.38</v>
      </c>
      <c r="K32" s="151">
        <v>0</v>
      </c>
      <c r="L32" s="151">
        <f t="shared" si="5"/>
        <v>19.38</v>
      </c>
      <c r="M32" s="151"/>
      <c r="N32" s="151"/>
      <c r="O32" s="82"/>
      <c r="P32" s="148" t="s">
        <v>79</v>
      </c>
      <c r="Q32" s="151">
        <v>37.82</v>
      </c>
      <c r="R32" s="151">
        <v>0</v>
      </c>
      <c r="S32" s="151">
        <f t="shared" si="3"/>
        <v>37.82</v>
      </c>
      <c r="T32" s="151"/>
      <c r="U32" s="151">
        <f t="shared" si="4"/>
        <v>0</v>
      </c>
      <c r="V32" s="86"/>
    </row>
    <row r="33" spans="2:22" x14ac:dyDescent="0.3">
      <c r="B33" s="82" t="s">
        <v>80</v>
      </c>
      <c r="C33" s="89">
        <v>72.66</v>
      </c>
      <c r="D33" s="89">
        <f t="shared" si="9"/>
        <v>72.66</v>
      </c>
      <c r="E33" s="84">
        <f t="shared" si="1"/>
        <v>0</v>
      </c>
      <c r="F33" s="87"/>
      <c r="G33" s="83"/>
      <c r="H33" s="82"/>
      <c r="I33" s="143" t="s">
        <v>81</v>
      </c>
      <c r="J33" s="208">
        <v>36.770000000000003</v>
      </c>
      <c r="K33" s="144">
        <v>6.78</v>
      </c>
      <c r="L33" s="144">
        <f t="shared" si="5"/>
        <v>29.990000000000002</v>
      </c>
      <c r="M33" s="144"/>
      <c r="N33" s="144"/>
      <c r="O33" s="82"/>
      <c r="P33" s="148" t="s">
        <v>82</v>
      </c>
      <c r="Q33" s="151">
        <v>7.06</v>
      </c>
      <c r="R33" s="151">
        <v>0</v>
      </c>
      <c r="S33" s="151">
        <f t="shared" si="3"/>
        <v>7.06</v>
      </c>
      <c r="T33" s="198"/>
      <c r="U33" s="151">
        <f t="shared" si="4"/>
        <v>0</v>
      </c>
      <c r="V33" s="86"/>
    </row>
    <row r="34" spans="2:22" x14ac:dyDescent="0.3">
      <c r="B34" s="148" t="s">
        <v>83</v>
      </c>
      <c r="C34" s="149">
        <v>60.52</v>
      </c>
      <c r="D34" s="149">
        <v>0</v>
      </c>
      <c r="E34" s="150">
        <f t="shared" si="1"/>
        <v>60.52</v>
      </c>
      <c r="F34" s="151"/>
      <c r="G34" s="151"/>
      <c r="H34" s="82"/>
      <c r="I34" s="82" t="s">
        <v>84</v>
      </c>
      <c r="J34" s="89">
        <v>36.130000000000003</v>
      </c>
      <c r="K34" s="83">
        <f t="shared" si="7"/>
        <v>36.130000000000003</v>
      </c>
      <c r="L34" s="83">
        <f t="shared" si="5"/>
        <v>0</v>
      </c>
      <c r="M34" s="83"/>
      <c r="N34" s="83"/>
      <c r="O34" s="82"/>
      <c r="P34" s="140" t="s">
        <v>85</v>
      </c>
      <c r="Q34" s="141">
        <v>4.51</v>
      </c>
      <c r="R34" s="141">
        <v>4.51</v>
      </c>
      <c r="S34" s="141">
        <v>0</v>
      </c>
      <c r="T34" s="141"/>
      <c r="U34" s="141" t="str">
        <f t="shared" si="4"/>
        <v/>
      </c>
      <c r="V34" s="86"/>
    </row>
    <row r="35" spans="2:22" x14ac:dyDescent="0.3">
      <c r="B35" s="82" t="s">
        <v>86</v>
      </c>
      <c r="C35" s="89">
        <v>4.97</v>
      </c>
      <c r="D35" s="89">
        <f t="shared" si="9"/>
        <v>4.97</v>
      </c>
      <c r="E35" s="84">
        <f t="shared" si="1"/>
        <v>0</v>
      </c>
      <c r="F35" s="83"/>
      <c r="G35" s="83"/>
      <c r="H35" s="82"/>
      <c r="I35" s="82" t="s">
        <v>87</v>
      </c>
      <c r="J35" s="89">
        <v>41.4</v>
      </c>
      <c r="K35" s="83">
        <f t="shared" si="7"/>
        <v>41.4</v>
      </c>
      <c r="L35" s="83">
        <f t="shared" si="5"/>
        <v>0</v>
      </c>
      <c r="M35" s="83"/>
      <c r="N35" s="83"/>
      <c r="O35" s="82"/>
      <c r="P35" s="82" t="s">
        <v>88</v>
      </c>
      <c r="Q35" s="83">
        <v>34.200000000000003</v>
      </c>
      <c r="R35" s="83">
        <f t="shared" si="8"/>
        <v>34.200000000000003</v>
      </c>
      <c r="S35" s="83">
        <f t="shared" si="3"/>
        <v>0</v>
      </c>
      <c r="T35" s="83"/>
      <c r="U35" s="83" t="str">
        <f t="shared" si="4"/>
        <v/>
      </c>
      <c r="V35" s="86"/>
    </row>
    <row r="36" spans="2:22" x14ac:dyDescent="0.3">
      <c r="B36" s="82" t="s">
        <v>89</v>
      </c>
      <c r="C36" s="89">
        <v>12.29</v>
      </c>
      <c r="D36" s="89">
        <f t="shared" si="9"/>
        <v>12.29</v>
      </c>
      <c r="E36" s="84">
        <f t="shared" si="1"/>
        <v>0</v>
      </c>
      <c r="F36" s="83"/>
      <c r="G36" s="83"/>
      <c r="H36" s="82"/>
      <c r="I36" s="82" t="s">
        <v>90</v>
      </c>
      <c r="J36" s="89">
        <v>30.18</v>
      </c>
      <c r="K36" s="83">
        <f t="shared" si="7"/>
        <v>30.18</v>
      </c>
      <c r="L36" s="83">
        <f t="shared" si="5"/>
        <v>0</v>
      </c>
      <c r="M36" s="83"/>
      <c r="N36" s="83"/>
      <c r="O36" s="82"/>
      <c r="P36" s="82" t="s">
        <v>91</v>
      </c>
      <c r="Q36" s="83">
        <v>34.06</v>
      </c>
      <c r="R36" s="83">
        <f t="shared" si="8"/>
        <v>34.06</v>
      </c>
      <c r="S36" s="83">
        <f t="shared" si="3"/>
        <v>0</v>
      </c>
      <c r="T36" s="83"/>
      <c r="U36" s="83" t="str">
        <f t="shared" si="4"/>
        <v/>
      </c>
      <c r="V36" s="86"/>
    </row>
    <row r="37" spans="2:22" x14ac:dyDescent="0.3">
      <c r="B37" s="82" t="s">
        <v>92</v>
      </c>
      <c r="C37" s="89">
        <v>16.22</v>
      </c>
      <c r="D37" s="89">
        <f t="shared" si="9"/>
        <v>16.22</v>
      </c>
      <c r="E37" s="84">
        <f t="shared" si="1"/>
        <v>0</v>
      </c>
      <c r="F37" s="83"/>
      <c r="G37" s="83"/>
      <c r="H37" s="82"/>
      <c r="I37" s="82" t="s">
        <v>93</v>
      </c>
      <c r="J37" s="89">
        <v>32.99</v>
      </c>
      <c r="K37" s="83">
        <f t="shared" si="7"/>
        <v>32.99</v>
      </c>
      <c r="L37" s="83">
        <f t="shared" si="5"/>
        <v>0</v>
      </c>
      <c r="M37" s="83"/>
      <c r="N37" s="83"/>
      <c r="O37" s="82"/>
      <c r="P37" s="82" t="s">
        <v>94</v>
      </c>
      <c r="Q37" s="83">
        <v>43.76</v>
      </c>
      <c r="R37" s="83">
        <f t="shared" si="8"/>
        <v>43.76</v>
      </c>
      <c r="S37" s="83">
        <f t="shared" si="3"/>
        <v>0</v>
      </c>
      <c r="T37" s="83"/>
      <c r="U37" s="83" t="str">
        <f t="shared" si="4"/>
        <v/>
      </c>
      <c r="V37" s="86"/>
    </row>
    <row r="38" spans="2:22" x14ac:dyDescent="0.3">
      <c r="B38" s="148" t="s">
        <v>95</v>
      </c>
      <c r="C38" s="149">
        <v>34.409999999999997</v>
      </c>
      <c r="D38" s="149">
        <v>0</v>
      </c>
      <c r="E38" s="150">
        <f t="shared" si="1"/>
        <v>34.409999999999997</v>
      </c>
      <c r="F38" s="257"/>
      <c r="G38" s="149"/>
      <c r="H38" s="82"/>
      <c r="I38" s="82" t="s">
        <v>96</v>
      </c>
      <c r="J38" s="89">
        <v>30.71</v>
      </c>
      <c r="K38" s="83">
        <f t="shared" si="7"/>
        <v>30.71</v>
      </c>
      <c r="L38" s="83">
        <f t="shared" si="5"/>
        <v>0</v>
      </c>
      <c r="M38" s="83"/>
      <c r="N38" s="83"/>
      <c r="O38" s="82"/>
      <c r="P38" s="82" t="s">
        <v>97</v>
      </c>
      <c r="Q38" s="83">
        <v>43.1</v>
      </c>
      <c r="R38" s="83">
        <f t="shared" si="8"/>
        <v>43.1</v>
      </c>
      <c r="S38" s="83">
        <f t="shared" si="3"/>
        <v>0</v>
      </c>
      <c r="T38" s="83"/>
      <c r="U38" s="83" t="str">
        <f t="shared" si="4"/>
        <v/>
      </c>
      <c r="V38" s="86"/>
    </row>
    <row r="39" spans="2:22" x14ac:dyDescent="0.3">
      <c r="B39" s="82" t="s">
        <v>98</v>
      </c>
      <c r="C39" s="89">
        <v>59.72</v>
      </c>
      <c r="D39" s="89">
        <f t="shared" si="9"/>
        <v>59.72</v>
      </c>
      <c r="E39" s="84">
        <f t="shared" si="1"/>
        <v>0</v>
      </c>
      <c r="F39" s="90"/>
      <c r="G39" s="89"/>
      <c r="H39" s="82"/>
      <c r="I39" s="148" t="s">
        <v>99</v>
      </c>
      <c r="J39" s="149">
        <v>38.76</v>
      </c>
      <c r="K39" s="151">
        <v>0</v>
      </c>
      <c r="L39" s="151">
        <f t="shared" si="5"/>
        <v>38.76</v>
      </c>
      <c r="M39" s="151"/>
      <c r="N39" s="151"/>
      <c r="O39" s="82"/>
      <c r="P39" s="82" t="s">
        <v>100</v>
      </c>
      <c r="Q39" s="83">
        <v>49.01</v>
      </c>
      <c r="R39" s="83">
        <f t="shared" si="8"/>
        <v>49.01</v>
      </c>
      <c r="S39" s="83">
        <f t="shared" si="3"/>
        <v>0</v>
      </c>
      <c r="T39" s="83"/>
      <c r="U39" s="83" t="str">
        <f t="shared" si="4"/>
        <v/>
      </c>
      <c r="V39" s="86"/>
    </row>
    <row r="40" spans="2:22" x14ac:dyDescent="0.3">
      <c r="B40" s="82" t="s">
        <v>101</v>
      </c>
      <c r="C40" s="89">
        <v>104.19</v>
      </c>
      <c r="D40" s="89">
        <f t="shared" si="9"/>
        <v>104.19</v>
      </c>
      <c r="E40" s="84">
        <f t="shared" si="1"/>
        <v>0</v>
      </c>
      <c r="F40" s="83"/>
      <c r="G40" s="83"/>
      <c r="H40" s="82"/>
      <c r="I40" s="148" t="s">
        <v>102</v>
      </c>
      <c r="J40" s="149">
        <v>38.340000000000003</v>
      </c>
      <c r="K40" s="151">
        <v>0</v>
      </c>
      <c r="L40" s="151">
        <f t="shared" si="5"/>
        <v>38.340000000000003</v>
      </c>
      <c r="M40" s="151"/>
      <c r="N40" s="151"/>
      <c r="O40" s="82"/>
      <c r="P40" s="82" t="s">
        <v>103</v>
      </c>
      <c r="Q40" s="83">
        <v>49.52</v>
      </c>
      <c r="R40" s="83">
        <f t="shared" si="8"/>
        <v>49.52</v>
      </c>
      <c r="S40" s="83">
        <f t="shared" si="3"/>
        <v>0</v>
      </c>
      <c r="T40" s="85"/>
      <c r="U40" s="83" t="str">
        <f t="shared" si="4"/>
        <v/>
      </c>
      <c r="V40" s="86"/>
    </row>
    <row r="41" spans="2:22" x14ac:dyDescent="0.3">
      <c r="B41" s="82" t="s">
        <v>104</v>
      </c>
      <c r="C41" s="89">
        <v>50.38</v>
      </c>
      <c r="D41" s="89">
        <f t="shared" si="9"/>
        <v>50.38</v>
      </c>
      <c r="E41" s="84">
        <f t="shared" si="1"/>
        <v>0</v>
      </c>
      <c r="F41" s="90"/>
      <c r="G41" s="83"/>
      <c r="H41" s="82"/>
      <c r="I41" s="148" t="s">
        <v>105</v>
      </c>
      <c r="J41" s="149">
        <v>39.130000000000003</v>
      </c>
      <c r="K41" s="151">
        <v>0</v>
      </c>
      <c r="L41" s="151">
        <f t="shared" si="5"/>
        <v>39.130000000000003</v>
      </c>
      <c r="M41" s="151"/>
      <c r="N41" s="151"/>
      <c r="O41" s="82"/>
      <c r="P41" s="82" t="s">
        <v>106</v>
      </c>
      <c r="Q41" s="83">
        <v>48.52</v>
      </c>
      <c r="R41" s="83">
        <f t="shared" si="8"/>
        <v>48.52</v>
      </c>
      <c r="S41" s="83">
        <f t="shared" si="3"/>
        <v>0</v>
      </c>
      <c r="T41" s="83"/>
      <c r="U41" s="83" t="str">
        <f t="shared" si="4"/>
        <v/>
      </c>
      <c r="V41" s="86"/>
    </row>
    <row r="42" spans="2:22" x14ac:dyDescent="0.3">
      <c r="B42" s="143" t="s">
        <v>107</v>
      </c>
      <c r="C42" s="208">
        <v>28.07</v>
      </c>
      <c r="D42" s="208">
        <v>11.58</v>
      </c>
      <c r="E42" s="152">
        <f t="shared" si="1"/>
        <v>16.490000000000002</v>
      </c>
      <c r="F42" s="297"/>
      <c r="G42" s="144"/>
      <c r="H42" s="82"/>
      <c r="I42" s="82" t="s">
        <v>108</v>
      </c>
      <c r="J42" s="89">
        <v>8.77</v>
      </c>
      <c r="K42" s="83">
        <f t="shared" si="7"/>
        <v>8.77</v>
      </c>
      <c r="L42" s="83">
        <f t="shared" si="5"/>
        <v>0</v>
      </c>
      <c r="M42" s="83"/>
      <c r="N42" s="83"/>
      <c r="O42" s="82"/>
      <c r="P42" s="82" t="s">
        <v>109</v>
      </c>
      <c r="Q42" s="83">
        <v>24.87</v>
      </c>
      <c r="R42" s="83">
        <f t="shared" si="8"/>
        <v>24.87</v>
      </c>
      <c r="S42" s="83">
        <f t="shared" si="3"/>
        <v>0</v>
      </c>
      <c r="T42" s="85"/>
      <c r="U42" s="83" t="str">
        <f t="shared" si="4"/>
        <v/>
      </c>
      <c r="V42" s="86"/>
    </row>
    <row r="43" spans="2:22" x14ac:dyDescent="0.3">
      <c r="B43" s="82" t="s">
        <v>110</v>
      </c>
      <c r="C43" s="89">
        <v>86.1</v>
      </c>
      <c r="D43" s="89">
        <f t="shared" si="9"/>
        <v>86.1</v>
      </c>
      <c r="E43" s="84">
        <f t="shared" si="1"/>
        <v>0</v>
      </c>
      <c r="F43" s="90"/>
      <c r="G43" s="83"/>
      <c r="H43" s="82"/>
      <c r="I43" s="82" t="s">
        <v>111</v>
      </c>
      <c r="J43" s="89">
        <v>25.73</v>
      </c>
      <c r="K43" s="83">
        <f t="shared" si="7"/>
        <v>25.73</v>
      </c>
      <c r="L43" s="83">
        <f t="shared" si="5"/>
        <v>0</v>
      </c>
      <c r="M43" s="83"/>
      <c r="N43" s="83"/>
      <c r="O43" s="82"/>
      <c r="P43" s="148" t="s">
        <v>112</v>
      </c>
      <c r="Q43" s="151">
        <v>18.48</v>
      </c>
      <c r="R43" s="151">
        <v>0</v>
      </c>
      <c r="S43" s="258">
        <f>Q43-R43</f>
        <v>18.48</v>
      </c>
      <c r="T43" s="151"/>
      <c r="U43" s="151"/>
      <c r="V43" s="86"/>
    </row>
    <row r="44" spans="2:22" x14ac:dyDescent="0.3">
      <c r="B44" s="82" t="s">
        <v>113</v>
      </c>
      <c r="C44" s="89">
        <v>43.28</v>
      </c>
      <c r="D44" s="89">
        <f t="shared" si="9"/>
        <v>43.28</v>
      </c>
      <c r="E44" s="84">
        <f t="shared" si="1"/>
        <v>0</v>
      </c>
      <c r="F44" s="83"/>
      <c r="G44" s="83"/>
      <c r="H44" s="82"/>
      <c r="I44" s="148" t="s">
        <v>114</v>
      </c>
      <c r="J44" s="149">
        <v>12.58</v>
      </c>
      <c r="K44" s="151">
        <v>0</v>
      </c>
      <c r="L44" s="151">
        <f t="shared" si="5"/>
        <v>12.58</v>
      </c>
      <c r="M44" s="151"/>
      <c r="N44" s="151"/>
      <c r="O44" s="82"/>
      <c r="P44" s="82" t="s">
        <v>115</v>
      </c>
      <c r="Q44" s="83">
        <v>58.08</v>
      </c>
      <c r="R44" s="83">
        <f t="shared" si="8"/>
        <v>58.08</v>
      </c>
      <c r="S44" s="83">
        <f t="shared" si="3"/>
        <v>0</v>
      </c>
      <c r="T44" s="83"/>
      <c r="U44" s="83" t="str">
        <f t="shared" si="4"/>
        <v/>
      </c>
      <c r="V44" s="86"/>
    </row>
    <row r="45" spans="2:22" x14ac:dyDescent="0.3">
      <c r="B45" s="82" t="s">
        <v>116</v>
      </c>
      <c r="C45" s="83">
        <v>57.989999999999995</v>
      </c>
      <c r="D45" s="83">
        <f t="shared" si="9"/>
        <v>57.989999999999995</v>
      </c>
      <c r="E45" s="84">
        <f t="shared" si="1"/>
        <v>0</v>
      </c>
      <c r="F45" s="85"/>
      <c r="G45" s="83"/>
      <c r="H45" s="82"/>
      <c r="I45" s="148" t="s">
        <v>117</v>
      </c>
      <c r="J45" s="149">
        <v>7.27</v>
      </c>
      <c r="K45" s="151">
        <v>0</v>
      </c>
      <c r="L45" s="151">
        <f t="shared" si="5"/>
        <v>7.27</v>
      </c>
      <c r="M45" s="151"/>
      <c r="N45" s="151"/>
      <c r="O45" s="82"/>
      <c r="P45" s="148" t="s">
        <v>118</v>
      </c>
      <c r="Q45" s="151">
        <v>38.380000000000003</v>
      </c>
      <c r="R45" s="151">
        <v>0</v>
      </c>
      <c r="S45" s="151">
        <f t="shared" si="3"/>
        <v>38.380000000000003</v>
      </c>
      <c r="T45" s="151"/>
      <c r="U45" s="151"/>
      <c r="V45" s="86"/>
    </row>
    <row r="46" spans="2:22" x14ac:dyDescent="0.3">
      <c r="B46" s="82" t="s">
        <v>119</v>
      </c>
      <c r="C46" s="83">
        <v>60.57</v>
      </c>
      <c r="D46" s="83">
        <f t="shared" si="9"/>
        <v>60.57</v>
      </c>
      <c r="E46" s="84">
        <f t="shared" si="1"/>
        <v>0</v>
      </c>
      <c r="F46" s="83"/>
      <c r="G46" s="83"/>
      <c r="H46" s="82"/>
      <c r="I46" s="148" t="s">
        <v>120</v>
      </c>
      <c r="J46" s="149">
        <v>7.06</v>
      </c>
      <c r="K46" s="151">
        <v>0</v>
      </c>
      <c r="L46" s="151">
        <f t="shared" si="5"/>
        <v>7.06</v>
      </c>
      <c r="M46" s="151"/>
      <c r="N46" s="151"/>
      <c r="O46" s="82"/>
      <c r="P46" s="148" t="s">
        <v>121</v>
      </c>
      <c r="Q46" s="151">
        <v>37.340000000000003</v>
      </c>
      <c r="R46" s="151">
        <v>0</v>
      </c>
      <c r="S46" s="151">
        <f t="shared" si="3"/>
        <v>37.340000000000003</v>
      </c>
      <c r="T46" s="151"/>
      <c r="U46" s="151"/>
      <c r="V46" s="86"/>
    </row>
    <row r="47" spans="2:22" x14ac:dyDescent="0.3">
      <c r="B47" s="82" t="s">
        <v>122</v>
      </c>
      <c r="C47" s="83">
        <v>83.51</v>
      </c>
      <c r="D47" s="83">
        <f t="shared" si="9"/>
        <v>83.51</v>
      </c>
      <c r="E47" s="84">
        <f t="shared" si="1"/>
        <v>0</v>
      </c>
      <c r="F47" s="83"/>
      <c r="G47" s="83"/>
      <c r="H47" s="82"/>
      <c r="I47" s="140" t="s">
        <v>123</v>
      </c>
      <c r="J47" s="146">
        <v>13.77</v>
      </c>
      <c r="K47" s="141">
        <f t="shared" si="7"/>
        <v>13.77</v>
      </c>
      <c r="L47" s="141">
        <f t="shared" si="5"/>
        <v>0</v>
      </c>
      <c r="M47" s="141"/>
      <c r="N47" s="141"/>
      <c r="O47" s="82"/>
      <c r="P47" s="148" t="s">
        <v>124</v>
      </c>
      <c r="Q47" s="151">
        <v>37.450000000000003</v>
      </c>
      <c r="R47" s="151">
        <v>0</v>
      </c>
      <c r="S47" s="151">
        <f t="shared" si="3"/>
        <v>37.450000000000003</v>
      </c>
      <c r="T47" s="151"/>
      <c r="U47" s="151"/>
      <c r="V47" s="86"/>
    </row>
    <row r="48" spans="2:22" x14ac:dyDescent="0.3">
      <c r="B48" s="82" t="s">
        <v>125</v>
      </c>
      <c r="C48" s="83">
        <v>35.56</v>
      </c>
      <c r="D48" s="83">
        <f t="shared" si="9"/>
        <v>35.56</v>
      </c>
      <c r="E48" s="84">
        <f t="shared" si="1"/>
        <v>0</v>
      </c>
      <c r="F48" s="83"/>
      <c r="G48" s="83"/>
      <c r="H48" s="82"/>
      <c r="I48" s="140" t="s">
        <v>126</v>
      </c>
      <c r="J48" s="146">
        <v>4.93</v>
      </c>
      <c r="K48" s="141">
        <f t="shared" si="7"/>
        <v>4.93</v>
      </c>
      <c r="L48" s="141">
        <f t="shared" si="5"/>
        <v>0</v>
      </c>
      <c r="M48" s="141"/>
      <c r="N48" s="141"/>
      <c r="O48" s="82"/>
      <c r="P48" s="148" t="s">
        <v>127</v>
      </c>
      <c r="Q48" s="151">
        <v>9.75</v>
      </c>
      <c r="R48" s="151">
        <v>0</v>
      </c>
      <c r="S48" s="151">
        <f t="shared" si="3"/>
        <v>9.75</v>
      </c>
      <c r="T48" s="151"/>
      <c r="U48" s="151"/>
      <c r="V48" s="86"/>
    </row>
    <row r="49" spans="2:22" x14ac:dyDescent="0.3">
      <c r="B49" s="82" t="s">
        <v>128</v>
      </c>
      <c r="C49" s="83">
        <v>70.349999999999994</v>
      </c>
      <c r="D49" s="83">
        <f t="shared" si="9"/>
        <v>70.349999999999994</v>
      </c>
      <c r="E49" s="84">
        <f t="shared" si="1"/>
        <v>0</v>
      </c>
      <c r="F49" s="83"/>
      <c r="G49" s="83"/>
      <c r="H49" s="82"/>
      <c r="I49" s="148" t="s">
        <v>129</v>
      </c>
      <c r="J49" s="149">
        <v>19.86</v>
      </c>
      <c r="K49" s="151">
        <v>0</v>
      </c>
      <c r="L49" s="151">
        <f t="shared" si="5"/>
        <v>19.86</v>
      </c>
      <c r="M49" s="149"/>
      <c r="N49" s="151"/>
      <c r="O49" s="82"/>
      <c r="P49" s="143" t="s">
        <v>130</v>
      </c>
      <c r="Q49" s="144">
        <v>16.87</v>
      </c>
      <c r="R49" s="144">
        <v>12.83</v>
      </c>
      <c r="S49" s="144">
        <f>Q49-R49</f>
        <v>4.0400000000000009</v>
      </c>
      <c r="T49" s="145"/>
      <c r="U49" s="144"/>
      <c r="V49" s="86"/>
    </row>
    <row r="50" spans="2:22" x14ac:dyDescent="0.3">
      <c r="B50" s="82" t="s">
        <v>131</v>
      </c>
      <c r="C50" s="83">
        <v>26.24</v>
      </c>
      <c r="D50" s="83">
        <f t="shared" ref="D50:D66" si="10">C50</f>
        <v>26.24</v>
      </c>
      <c r="E50" s="84">
        <f t="shared" ref="E50:E67" si="11">C50-D50</f>
        <v>0</v>
      </c>
      <c r="F50" s="83"/>
      <c r="G50" s="83"/>
      <c r="H50" s="82"/>
      <c r="I50" s="140" t="s">
        <v>132</v>
      </c>
      <c r="J50" s="146">
        <v>10</v>
      </c>
      <c r="K50" s="141">
        <f t="shared" si="7"/>
        <v>10</v>
      </c>
      <c r="L50" s="141">
        <f t="shared" si="5"/>
        <v>0</v>
      </c>
      <c r="M50" s="146"/>
      <c r="N50" s="141"/>
      <c r="O50" s="82"/>
      <c r="P50" s="143" t="s">
        <v>133</v>
      </c>
      <c r="Q50" s="144">
        <v>19.71</v>
      </c>
      <c r="R50" s="144">
        <f t="shared" ref="R50:R71" si="12">Q50</f>
        <v>19.71</v>
      </c>
      <c r="S50" s="144">
        <f t="shared" si="3"/>
        <v>0</v>
      </c>
      <c r="T50" s="144"/>
      <c r="U50" s="144" t="str">
        <f t="shared" si="4"/>
        <v/>
      </c>
      <c r="V50" s="86"/>
    </row>
    <row r="51" spans="2:22" x14ac:dyDescent="0.3">
      <c r="B51" s="82" t="s">
        <v>134</v>
      </c>
      <c r="C51" s="83">
        <v>29.27</v>
      </c>
      <c r="D51" s="83">
        <f t="shared" si="10"/>
        <v>29.27</v>
      </c>
      <c r="E51" s="84">
        <f t="shared" si="11"/>
        <v>0</v>
      </c>
      <c r="F51" s="83"/>
      <c r="G51" s="83"/>
      <c r="H51" s="82"/>
      <c r="I51" s="140" t="s">
        <v>135</v>
      </c>
      <c r="J51" s="146">
        <v>17.809999999999999</v>
      </c>
      <c r="K51" s="141">
        <f t="shared" si="7"/>
        <v>17.809999999999999</v>
      </c>
      <c r="L51" s="141">
        <f t="shared" si="5"/>
        <v>0</v>
      </c>
      <c r="M51" s="141"/>
      <c r="N51" s="141"/>
      <c r="O51" s="82"/>
      <c r="P51" s="148" t="s">
        <v>136</v>
      </c>
      <c r="Q51" s="151">
        <v>16.13</v>
      </c>
      <c r="R51" s="151">
        <v>0</v>
      </c>
      <c r="S51" s="151">
        <f t="shared" si="3"/>
        <v>16.13</v>
      </c>
      <c r="T51" s="151"/>
      <c r="U51" s="151">
        <f t="shared" si="4"/>
        <v>0</v>
      </c>
      <c r="V51" s="86"/>
    </row>
    <row r="52" spans="2:22" x14ac:dyDescent="0.3">
      <c r="B52" s="82" t="s">
        <v>137</v>
      </c>
      <c r="C52" s="83">
        <v>22.59</v>
      </c>
      <c r="D52" s="83">
        <f t="shared" si="10"/>
        <v>22.59</v>
      </c>
      <c r="E52" s="84">
        <f t="shared" si="11"/>
        <v>0</v>
      </c>
      <c r="F52" s="83"/>
      <c r="G52" s="83"/>
      <c r="H52" s="82"/>
      <c r="I52" s="148" t="s">
        <v>138</v>
      </c>
      <c r="J52" s="149">
        <v>3.03</v>
      </c>
      <c r="K52" s="151">
        <v>0</v>
      </c>
      <c r="L52" s="151">
        <f t="shared" si="5"/>
        <v>3.03</v>
      </c>
      <c r="M52" s="151"/>
      <c r="N52" s="151"/>
      <c r="O52" s="82"/>
      <c r="P52" s="148" t="s">
        <v>139</v>
      </c>
      <c r="Q52" s="151">
        <v>11.78</v>
      </c>
      <c r="R52" s="151">
        <v>0</v>
      </c>
      <c r="S52" s="151">
        <f t="shared" si="3"/>
        <v>11.78</v>
      </c>
      <c r="T52" s="151"/>
      <c r="U52" s="151">
        <f t="shared" si="4"/>
        <v>0</v>
      </c>
      <c r="V52" s="86"/>
    </row>
    <row r="53" spans="2:22" x14ac:dyDescent="0.3">
      <c r="B53" s="148" t="s">
        <v>140</v>
      </c>
      <c r="C53" s="151">
        <v>42.4</v>
      </c>
      <c r="D53" s="151">
        <v>0</v>
      </c>
      <c r="E53" s="150">
        <f t="shared" si="11"/>
        <v>42.4</v>
      </c>
      <c r="F53" s="151"/>
      <c r="G53" s="151"/>
      <c r="H53" s="82"/>
      <c r="I53" s="148" t="s">
        <v>141</v>
      </c>
      <c r="J53" s="149">
        <v>22.93</v>
      </c>
      <c r="K53" s="151">
        <v>0</v>
      </c>
      <c r="L53" s="151">
        <f t="shared" si="5"/>
        <v>22.93</v>
      </c>
      <c r="M53" s="151"/>
      <c r="N53" s="151"/>
      <c r="O53" s="82"/>
      <c r="P53" s="82" t="s">
        <v>142</v>
      </c>
      <c r="Q53" s="83">
        <v>83.49</v>
      </c>
      <c r="R53" s="83">
        <f t="shared" si="12"/>
        <v>83.49</v>
      </c>
      <c r="S53" s="83">
        <f t="shared" si="3"/>
        <v>0</v>
      </c>
      <c r="T53" s="83"/>
      <c r="U53" s="83" t="str">
        <f t="shared" si="4"/>
        <v/>
      </c>
      <c r="V53" s="86"/>
    </row>
    <row r="54" spans="2:22" x14ac:dyDescent="0.3">
      <c r="B54" s="82" t="s">
        <v>143</v>
      </c>
      <c r="C54" s="83">
        <v>22.37</v>
      </c>
      <c r="D54" s="83">
        <f t="shared" si="10"/>
        <v>22.37</v>
      </c>
      <c r="E54" s="84">
        <f t="shared" si="11"/>
        <v>0</v>
      </c>
      <c r="F54" s="85"/>
      <c r="G54" s="83"/>
      <c r="H54" s="82"/>
      <c r="I54" s="143" t="s">
        <v>144</v>
      </c>
      <c r="J54" s="208">
        <v>6.52</v>
      </c>
      <c r="K54" s="144">
        <v>2.5</v>
      </c>
      <c r="L54" s="144">
        <f t="shared" si="5"/>
        <v>4.0199999999999996</v>
      </c>
      <c r="M54" s="144"/>
      <c r="N54" s="144"/>
      <c r="O54" s="82"/>
      <c r="P54" s="82" t="s">
        <v>145</v>
      </c>
      <c r="Q54" s="83">
        <v>14.91</v>
      </c>
      <c r="R54" s="83">
        <f t="shared" si="12"/>
        <v>14.91</v>
      </c>
      <c r="S54" s="83">
        <f t="shared" si="3"/>
        <v>0</v>
      </c>
      <c r="T54" s="83"/>
      <c r="U54" s="83" t="str">
        <f t="shared" si="4"/>
        <v/>
      </c>
      <c r="V54" s="86"/>
    </row>
    <row r="55" spans="2:22" x14ac:dyDescent="0.3">
      <c r="B55" s="82" t="s">
        <v>146</v>
      </c>
      <c r="C55" s="83">
        <v>35.04</v>
      </c>
      <c r="D55" s="83">
        <f t="shared" si="10"/>
        <v>35.04</v>
      </c>
      <c r="E55" s="84">
        <f t="shared" si="11"/>
        <v>0</v>
      </c>
      <c r="F55" s="83"/>
      <c r="G55" s="83"/>
      <c r="H55" s="82"/>
      <c r="I55" s="148" t="s">
        <v>147</v>
      </c>
      <c r="J55" s="149">
        <v>7.28</v>
      </c>
      <c r="K55" s="151">
        <v>0</v>
      </c>
      <c r="L55" s="151">
        <f t="shared" si="5"/>
        <v>7.28</v>
      </c>
      <c r="M55" s="151"/>
      <c r="N55" s="151"/>
      <c r="O55" s="82"/>
      <c r="P55" s="82" t="s">
        <v>148</v>
      </c>
      <c r="Q55" s="83">
        <v>11.29</v>
      </c>
      <c r="R55" s="83">
        <f t="shared" si="12"/>
        <v>11.29</v>
      </c>
      <c r="S55" s="83">
        <f t="shared" si="3"/>
        <v>0</v>
      </c>
      <c r="T55" s="83"/>
      <c r="U55" s="83" t="str">
        <f t="shared" si="4"/>
        <v/>
      </c>
      <c r="V55" s="86"/>
    </row>
    <row r="56" spans="2:22" x14ac:dyDescent="0.3">
      <c r="B56" s="82" t="s">
        <v>149</v>
      </c>
      <c r="C56" s="83">
        <v>59.66</v>
      </c>
      <c r="D56" s="83">
        <f t="shared" si="10"/>
        <v>59.66</v>
      </c>
      <c r="E56" s="84">
        <f t="shared" si="11"/>
        <v>0</v>
      </c>
      <c r="F56" s="83"/>
      <c r="G56" s="83"/>
      <c r="H56" s="82"/>
      <c r="I56" s="82" t="s">
        <v>150</v>
      </c>
      <c r="J56" s="89">
        <v>9.5500000000000007</v>
      </c>
      <c r="K56" s="83">
        <f t="shared" si="7"/>
        <v>9.5500000000000007</v>
      </c>
      <c r="L56" s="83">
        <f t="shared" si="5"/>
        <v>0</v>
      </c>
      <c r="M56" s="83"/>
      <c r="N56" s="83"/>
      <c r="O56" s="82"/>
      <c r="P56" s="82" t="s">
        <v>151</v>
      </c>
      <c r="Q56" s="83">
        <v>29.38</v>
      </c>
      <c r="R56" s="83">
        <f t="shared" si="12"/>
        <v>29.38</v>
      </c>
      <c r="S56" s="83">
        <f t="shared" si="3"/>
        <v>0</v>
      </c>
      <c r="T56" s="90"/>
      <c r="U56" s="83" t="str">
        <f t="shared" si="4"/>
        <v/>
      </c>
      <c r="V56" s="86"/>
    </row>
    <row r="57" spans="2:22" x14ac:dyDescent="0.3">
      <c r="B57" s="82" t="s">
        <v>152</v>
      </c>
      <c r="C57" s="83">
        <v>15</v>
      </c>
      <c r="D57" s="83">
        <f t="shared" si="10"/>
        <v>15</v>
      </c>
      <c r="E57" s="84">
        <f t="shared" si="11"/>
        <v>0</v>
      </c>
      <c r="F57" s="83"/>
      <c r="G57" s="83"/>
      <c r="H57" s="82"/>
      <c r="I57" s="147" t="s">
        <v>153</v>
      </c>
      <c r="J57" s="147"/>
      <c r="K57" s="147"/>
      <c r="L57" s="339"/>
      <c r="M57" s="147"/>
      <c r="N57" s="147"/>
      <c r="O57" s="82"/>
      <c r="P57" s="82" t="s">
        <v>154</v>
      </c>
      <c r="Q57" s="83">
        <v>8.48</v>
      </c>
      <c r="R57" s="83">
        <f t="shared" si="12"/>
        <v>8.48</v>
      </c>
      <c r="S57" s="83">
        <f t="shared" si="3"/>
        <v>0</v>
      </c>
      <c r="T57" s="90"/>
      <c r="U57" s="83" t="str">
        <f t="shared" si="4"/>
        <v/>
      </c>
      <c r="V57" s="86"/>
    </row>
    <row r="58" spans="2:22" x14ac:dyDescent="0.3">
      <c r="B58" s="148" t="s">
        <v>155</v>
      </c>
      <c r="C58" s="151">
        <v>41.7</v>
      </c>
      <c r="D58" s="151">
        <v>0</v>
      </c>
      <c r="E58" s="150">
        <f t="shared" si="11"/>
        <v>41.7</v>
      </c>
      <c r="F58" s="151"/>
      <c r="G58" s="151"/>
      <c r="H58" s="82"/>
      <c r="I58" s="140" t="s">
        <v>156</v>
      </c>
      <c r="J58" s="146">
        <v>18.82</v>
      </c>
      <c r="K58" s="141">
        <f t="shared" ref="K58:K61" si="13">J58</f>
        <v>18.82</v>
      </c>
      <c r="L58" s="141">
        <f t="shared" ref="L58:L65" si="14">J58-K58</f>
        <v>0</v>
      </c>
      <c r="M58" s="141"/>
      <c r="N58" s="141"/>
      <c r="O58" s="82"/>
      <c r="P58" s="82" t="s">
        <v>157</v>
      </c>
      <c r="Q58" s="83">
        <v>4.6900000000000004</v>
      </c>
      <c r="R58" s="83">
        <f t="shared" si="12"/>
        <v>4.6900000000000004</v>
      </c>
      <c r="S58" s="83">
        <f t="shared" si="3"/>
        <v>0</v>
      </c>
      <c r="T58" s="83"/>
      <c r="U58" s="83" t="str">
        <f t="shared" si="4"/>
        <v/>
      </c>
      <c r="V58" s="86"/>
    </row>
    <row r="59" spans="2:22" x14ac:dyDescent="0.3">
      <c r="B59" s="82" t="s">
        <v>158</v>
      </c>
      <c r="C59" s="83">
        <v>34.08</v>
      </c>
      <c r="D59" s="83">
        <f t="shared" si="10"/>
        <v>34.08</v>
      </c>
      <c r="E59" s="84">
        <f t="shared" si="11"/>
        <v>0</v>
      </c>
      <c r="F59" s="83"/>
      <c r="G59" s="83"/>
      <c r="H59" s="82"/>
      <c r="I59" s="148" t="s">
        <v>159</v>
      </c>
      <c r="J59" s="149">
        <v>9.75</v>
      </c>
      <c r="K59" s="151">
        <v>0</v>
      </c>
      <c r="L59" s="151">
        <f t="shared" si="14"/>
        <v>9.75</v>
      </c>
      <c r="M59" s="151"/>
      <c r="N59" s="151"/>
      <c r="O59" s="82"/>
      <c r="P59" s="82" t="s">
        <v>160</v>
      </c>
      <c r="Q59" s="83">
        <v>6.75</v>
      </c>
      <c r="R59" s="83">
        <f t="shared" si="12"/>
        <v>6.75</v>
      </c>
      <c r="S59" s="83">
        <f t="shared" si="3"/>
        <v>0</v>
      </c>
      <c r="T59" s="83"/>
      <c r="U59" s="83" t="str">
        <f t="shared" si="4"/>
        <v/>
      </c>
      <c r="V59" s="86"/>
    </row>
    <row r="60" spans="2:22" x14ac:dyDescent="0.3">
      <c r="B60" s="148" t="s">
        <v>161</v>
      </c>
      <c r="C60" s="151">
        <v>32.79</v>
      </c>
      <c r="D60" s="151">
        <v>0</v>
      </c>
      <c r="E60" s="150">
        <f t="shared" si="11"/>
        <v>32.79</v>
      </c>
      <c r="F60" s="151"/>
      <c r="G60" s="151"/>
      <c r="H60" s="82"/>
      <c r="I60" s="148" t="s">
        <v>162</v>
      </c>
      <c r="J60" s="149">
        <v>3.85</v>
      </c>
      <c r="K60" s="151">
        <v>0</v>
      </c>
      <c r="L60" s="151">
        <f t="shared" si="14"/>
        <v>3.85</v>
      </c>
      <c r="M60" s="151"/>
      <c r="N60" s="151"/>
      <c r="O60" s="82"/>
      <c r="P60" s="82" t="s">
        <v>163</v>
      </c>
      <c r="Q60" s="83">
        <v>5.05</v>
      </c>
      <c r="R60" s="83">
        <f t="shared" si="12"/>
        <v>5.05</v>
      </c>
      <c r="S60" s="83">
        <f t="shared" si="3"/>
        <v>0</v>
      </c>
      <c r="T60" s="83"/>
      <c r="U60" s="83" t="str">
        <f t="shared" si="4"/>
        <v/>
      </c>
      <c r="V60" s="86"/>
    </row>
    <row r="61" spans="2:22" x14ac:dyDescent="0.3">
      <c r="B61" s="82" t="s">
        <v>164</v>
      </c>
      <c r="C61" s="83">
        <v>27.32</v>
      </c>
      <c r="D61" s="83">
        <f t="shared" si="10"/>
        <v>27.32</v>
      </c>
      <c r="E61" s="84">
        <f t="shared" si="11"/>
        <v>0</v>
      </c>
      <c r="F61" s="83"/>
      <c r="G61" s="83"/>
      <c r="H61" s="82"/>
      <c r="I61" s="86" t="s">
        <v>165</v>
      </c>
      <c r="J61" s="92">
        <v>9.07</v>
      </c>
      <c r="K61" s="83">
        <f t="shared" si="13"/>
        <v>9.07</v>
      </c>
      <c r="L61" s="83">
        <f t="shared" si="14"/>
        <v>0</v>
      </c>
      <c r="M61" s="83"/>
      <c r="N61" s="83"/>
      <c r="O61" s="82"/>
      <c r="P61" s="148" t="s">
        <v>166</v>
      </c>
      <c r="Q61" s="151">
        <v>4.75</v>
      </c>
      <c r="R61" s="151">
        <v>0</v>
      </c>
      <c r="S61" s="151">
        <f t="shared" si="3"/>
        <v>4.75</v>
      </c>
      <c r="T61" s="151"/>
      <c r="U61" s="151">
        <f t="shared" si="4"/>
        <v>0</v>
      </c>
      <c r="V61" s="86"/>
    </row>
    <row r="62" spans="2:22" x14ac:dyDescent="0.3">
      <c r="B62" s="82" t="s">
        <v>167</v>
      </c>
      <c r="C62" s="83">
        <v>8.84</v>
      </c>
      <c r="D62" s="83">
        <f t="shared" si="10"/>
        <v>8.84</v>
      </c>
      <c r="E62" s="84">
        <f t="shared" si="11"/>
        <v>0</v>
      </c>
      <c r="F62" s="83"/>
      <c r="G62" s="83"/>
      <c r="H62" s="82"/>
      <c r="I62" s="260" t="s">
        <v>168</v>
      </c>
      <c r="J62" s="261">
        <v>2.87</v>
      </c>
      <c r="K62" s="151">
        <v>0</v>
      </c>
      <c r="L62" s="151">
        <f t="shared" si="14"/>
        <v>2.87</v>
      </c>
      <c r="M62" s="151"/>
      <c r="N62" s="151"/>
      <c r="O62" s="82"/>
      <c r="P62" s="143" t="s">
        <v>169</v>
      </c>
      <c r="Q62" s="144">
        <v>27.8</v>
      </c>
      <c r="R62" s="144">
        <v>14.72</v>
      </c>
      <c r="S62" s="144">
        <f t="shared" si="3"/>
        <v>13.08</v>
      </c>
      <c r="T62" s="144"/>
      <c r="U62" s="144">
        <f t="shared" si="4"/>
        <v>0</v>
      </c>
      <c r="V62" s="86"/>
    </row>
    <row r="63" spans="2:22" x14ac:dyDescent="0.3">
      <c r="B63" s="82" t="s">
        <v>170</v>
      </c>
      <c r="C63" s="83">
        <v>23.13</v>
      </c>
      <c r="D63" s="83">
        <f t="shared" si="10"/>
        <v>23.13</v>
      </c>
      <c r="E63" s="84">
        <f t="shared" si="11"/>
        <v>0</v>
      </c>
      <c r="F63" s="83"/>
      <c r="G63" s="83"/>
      <c r="H63" s="82"/>
      <c r="I63" s="148" t="s">
        <v>171</v>
      </c>
      <c r="J63" s="149">
        <v>38.4</v>
      </c>
      <c r="K63" s="151">
        <v>0</v>
      </c>
      <c r="L63" s="151">
        <f t="shared" si="14"/>
        <v>38.4</v>
      </c>
      <c r="M63" s="151"/>
      <c r="N63" s="151"/>
      <c r="O63" s="82"/>
      <c r="P63" s="148" t="s">
        <v>172</v>
      </c>
      <c r="Q63" s="151">
        <v>0.33</v>
      </c>
      <c r="R63" s="151">
        <v>0</v>
      </c>
      <c r="S63" s="151">
        <f t="shared" si="3"/>
        <v>0.33</v>
      </c>
      <c r="T63" s="151"/>
      <c r="U63" s="151">
        <f t="shared" si="4"/>
        <v>0</v>
      </c>
      <c r="V63" s="86"/>
    </row>
    <row r="64" spans="2:22" x14ac:dyDescent="0.3">
      <c r="B64" s="82" t="s">
        <v>173</v>
      </c>
      <c r="C64" s="83">
        <v>10.65</v>
      </c>
      <c r="D64" s="83">
        <f t="shared" si="10"/>
        <v>10.65</v>
      </c>
      <c r="E64" s="84">
        <f t="shared" si="11"/>
        <v>0</v>
      </c>
      <c r="F64" s="91"/>
      <c r="G64" s="83"/>
      <c r="H64" s="82"/>
      <c r="I64" s="148" t="s">
        <v>174</v>
      </c>
      <c r="J64" s="149">
        <v>34.89</v>
      </c>
      <c r="K64" s="151">
        <v>0</v>
      </c>
      <c r="L64" s="151">
        <f t="shared" si="14"/>
        <v>34.89</v>
      </c>
      <c r="M64" s="151"/>
      <c r="N64" s="151"/>
      <c r="O64" s="82"/>
      <c r="P64" s="217" t="s">
        <v>175</v>
      </c>
      <c r="Q64" s="216">
        <v>57.29</v>
      </c>
      <c r="R64" s="216">
        <f t="shared" si="12"/>
        <v>57.29</v>
      </c>
      <c r="S64" s="216">
        <f t="shared" si="3"/>
        <v>0</v>
      </c>
      <c r="T64" s="216"/>
      <c r="U64" s="216" t="str">
        <f t="shared" si="4"/>
        <v/>
      </c>
      <c r="V64" s="86"/>
    </row>
    <row r="65" spans="2:22" x14ac:dyDescent="0.3">
      <c r="B65" s="82" t="s">
        <v>176</v>
      </c>
      <c r="C65" s="83">
        <v>12.09</v>
      </c>
      <c r="D65" s="83">
        <f t="shared" si="10"/>
        <v>12.09</v>
      </c>
      <c r="E65" s="84">
        <f t="shared" si="11"/>
        <v>0</v>
      </c>
      <c r="F65" s="83"/>
      <c r="G65" s="83"/>
      <c r="H65" s="82"/>
      <c r="I65" s="148" t="s">
        <v>177</v>
      </c>
      <c r="J65" s="149">
        <v>30.18</v>
      </c>
      <c r="K65" s="151">
        <v>0</v>
      </c>
      <c r="L65" s="151">
        <f t="shared" si="14"/>
        <v>30.18</v>
      </c>
      <c r="M65" s="151"/>
      <c r="N65" s="151"/>
      <c r="O65" s="82"/>
      <c r="P65" s="259" t="s">
        <v>178</v>
      </c>
      <c r="Q65" s="258">
        <v>56.02</v>
      </c>
      <c r="R65" s="258">
        <v>0</v>
      </c>
      <c r="S65" s="258">
        <f t="shared" si="3"/>
        <v>56.02</v>
      </c>
      <c r="T65" s="258"/>
      <c r="U65" s="258">
        <f t="shared" si="4"/>
        <v>0</v>
      </c>
      <c r="V65" s="86"/>
    </row>
    <row r="66" spans="2:22" x14ac:dyDescent="0.3">
      <c r="B66" s="82" t="s">
        <v>179</v>
      </c>
      <c r="C66" s="83">
        <v>44</v>
      </c>
      <c r="D66" s="83">
        <f t="shared" si="10"/>
        <v>44</v>
      </c>
      <c r="E66" s="84">
        <f t="shared" si="11"/>
        <v>0</v>
      </c>
      <c r="F66" s="85"/>
      <c r="G66" s="83"/>
      <c r="H66" s="82"/>
      <c r="O66" s="82"/>
      <c r="P66" s="82" t="s">
        <v>180</v>
      </c>
      <c r="Q66" s="83">
        <v>54.49</v>
      </c>
      <c r="R66" s="83">
        <f t="shared" si="12"/>
        <v>54.49</v>
      </c>
      <c r="S66" s="83">
        <f t="shared" si="3"/>
        <v>0</v>
      </c>
      <c r="T66" s="83"/>
      <c r="U66" s="83" t="str">
        <f t="shared" si="4"/>
        <v/>
      </c>
      <c r="V66" s="86"/>
    </row>
    <row r="67" spans="2:22" x14ac:dyDescent="0.3">
      <c r="B67" s="143" t="s">
        <v>181</v>
      </c>
      <c r="C67" s="144">
        <v>83.24</v>
      </c>
      <c r="D67" s="144">
        <v>29.63</v>
      </c>
      <c r="E67" s="152">
        <f t="shared" si="11"/>
        <v>53.61</v>
      </c>
      <c r="F67" s="338"/>
      <c r="G67" s="144"/>
      <c r="H67" s="82"/>
      <c r="I67" s="86"/>
      <c r="J67" s="92"/>
      <c r="K67" s="83"/>
      <c r="L67" s="84"/>
      <c r="M67" s="93"/>
      <c r="N67" s="83"/>
      <c r="O67" s="82"/>
      <c r="P67" s="148" t="s">
        <v>182</v>
      </c>
      <c r="Q67" s="151">
        <v>17.329999999999998</v>
      </c>
      <c r="R67" s="151">
        <v>0</v>
      </c>
      <c r="S67" s="151">
        <f t="shared" si="3"/>
        <v>17.329999999999998</v>
      </c>
      <c r="T67" s="151"/>
      <c r="U67" s="151">
        <f t="shared" si="4"/>
        <v>0</v>
      </c>
      <c r="V67" s="86"/>
    </row>
    <row r="68" spans="2:22" x14ac:dyDescent="0.3">
      <c r="G68" s="83"/>
      <c r="H68" s="82"/>
      <c r="L68" s="84"/>
      <c r="M68" s="93"/>
      <c r="N68" s="83"/>
      <c r="O68" s="82"/>
      <c r="P68" s="82" t="s">
        <v>183</v>
      </c>
      <c r="Q68" s="83">
        <v>2.5</v>
      </c>
      <c r="R68" s="83">
        <f t="shared" si="12"/>
        <v>2.5</v>
      </c>
      <c r="S68" s="83">
        <f t="shared" si="3"/>
        <v>0</v>
      </c>
      <c r="T68" s="83"/>
      <c r="U68" s="83" t="str">
        <f t="shared" si="4"/>
        <v/>
      </c>
      <c r="V68" s="86"/>
    </row>
    <row r="69" spans="2:22" x14ac:dyDescent="0.3">
      <c r="C69" s="99"/>
      <c r="E69" s="84"/>
      <c r="F69" s="83"/>
      <c r="G69" s="83"/>
      <c r="H69" s="82"/>
      <c r="L69" s="84"/>
      <c r="M69" s="93"/>
      <c r="N69" s="83"/>
      <c r="O69" s="82"/>
      <c r="P69" s="82" t="s">
        <v>184</v>
      </c>
      <c r="Q69" s="83">
        <v>40.39</v>
      </c>
      <c r="R69" s="83">
        <f t="shared" si="12"/>
        <v>40.39</v>
      </c>
      <c r="S69" s="83">
        <f t="shared" si="3"/>
        <v>0</v>
      </c>
      <c r="T69" s="83"/>
      <c r="U69" s="83" t="str">
        <f t="shared" si="4"/>
        <v/>
      </c>
      <c r="V69" s="86"/>
    </row>
    <row r="70" spans="2:22" x14ac:dyDescent="0.3">
      <c r="B70" s="82"/>
      <c r="C70" s="83"/>
      <c r="D70" s="83"/>
      <c r="E70" s="84"/>
      <c r="F70" s="83"/>
      <c r="G70" s="83"/>
      <c r="H70" s="82"/>
      <c r="L70" s="84"/>
      <c r="M70" s="94"/>
      <c r="N70" s="83"/>
      <c r="O70" s="82"/>
      <c r="P70" s="82" t="s">
        <v>185</v>
      </c>
      <c r="Q70" s="83">
        <v>31.12</v>
      </c>
      <c r="R70" s="83">
        <f t="shared" si="12"/>
        <v>31.12</v>
      </c>
      <c r="S70" s="83">
        <f t="shared" si="3"/>
        <v>0</v>
      </c>
      <c r="T70" s="83"/>
      <c r="U70" s="83" t="str">
        <f t="shared" si="4"/>
        <v/>
      </c>
      <c r="V70" s="86"/>
    </row>
    <row r="71" spans="2:22" x14ac:dyDescent="0.3">
      <c r="E71" s="84"/>
      <c r="F71" s="83"/>
      <c r="G71" s="83"/>
      <c r="H71" s="82"/>
      <c r="L71" s="84"/>
      <c r="M71" s="94"/>
      <c r="N71" s="83"/>
      <c r="O71" s="82"/>
      <c r="P71" s="82" t="s">
        <v>186</v>
      </c>
      <c r="Q71" s="83">
        <v>36.409999999999997</v>
      </c>
      <c r="R71" s="83">
        <f t="shared" si="12"/>
        <v>36.409999999999997</v>
      </c>
      <c r="S71" s="83">
        <f t="shared" si="3"/>
        <v>0</v>
      </c>
      <c r="T71" s="83"/>
      <c r="U71" s="83" t="str">
        <f t="shared" si="4"/>
        <v/>
      </c>
      <c r="V71" s="86"/>
    </row>
    <row r="72" spans="2:22" x14ac:dyDescent="0.3">
      <c r="E72" s="84"/>
      <c r="F72" s="87"/>
      <c r="G72" s="83"/>
      <c r="H72" s="82"/>
      <c r="L72" s="84"/>
      <c r="M72" s="94"/>
      <c r="N72" s="83"/>
      <c r="O72" s="82"/>
      <c r="P72" s="148" t="s">
        <v>187</v>
      </c>
      <c r="Q72" s="151">
        <v>21.38</v>
      </c>
      <c r="R72" s="151">
        <v>0</v>
      </c>
      <c r="S72" s="151">
        <f t="shared" si="3"/>
        <v>21.38</v>
      </c>
      <c r="T72" s="151"/>
      <c r="U72" s="151">
        <f t="shared" si="4"/>
        <v>0</v>
      </c>
      <c r="V72" s="86"/>
    </row>
    <row r="73" spans="2:22" x14ac:dyDescent="0.3">
      <c r="E73" s="84"/>
      <c r="F73" s="83"/>
      <c r="G73" s="83"/>
      <c r="H73" s="82"/>
      <c r="I73" s="82"/>
      <c r="J73" s="88"/>
      <c r="K73" s="88"/>
      <c r="L73" s="88"/>
      <c r="M73" s="88"/>
      <c r="N73" s="88"/>
      <c r="O73" s="82"/>
      <c r="P73" s="148" t="s">
        <v>188</v>
      </c>
      <c r="Q73" s="151">
        <v>20.98</v>
      </c>
      <c r="R73" s="151">
        <v>0</v>
      </c>
      <c r="S73" s="151">
        <f t="shared" si="3"/>
        <v>20.98</v>
      </c>
      <c r="T73" s="151"/>
      <c r="U73" s="151">
        <f t="shared" si="4"/>
        <v>0</v>
      </c>
      <c r="V73" s="86"/>
    </row>
    <row r="74" spans="2:22" x14ac:dyDescent="0.3">
      <c r="E74" s="84"/>
      <c r="F74" s="83"/>
      <c r="G74" s="83"/>
      <c r="H74" s="82"/>
      <c r="I74" s="82"/>
      <c r="J74" s="88"/>
      <c r="K74" s="88"/>
      <c r="L74" s="88"/>
      <c r="M74" s="88"/>
      <c r="N74" s="88"/>
      <c r="O74" s="82"/>
      <c r="P74" s="82" t="s">
        <v>189</v>
      </c>
      <c r="Q74" s="83">
        <v>4.08</v>
      </c>
      <c r="R74" s="83">
        <f t="shared" ref="R74:R77" si="15">Q74</f>
        <v>4.08</v>
      </c>
      <c r="S74" s="83">
        <f t="shared" si="3"/>
        <v>0</v>
      </c>
      <c r="T74" s="83"/>
      <c r="U74" s="83" t="str">
        <f t="shared" si="4"/>
        <v/>
      </c>
      <c r="V74" s="86"/>
    </row>
    <row r="75" spans="2:22" x14ac:dyDescent="0.3">
      <c r="E75" s="84"/>
      <c r="F75" s="83"/>
      <c r="G75" s="83"/>
      <c r="H75" s="82"/>
      <c r="I75" s="82"/>
      <c r="J75" s="88"/>
      <c r="K75" s="88"/>
      <c r="L75" s="88"/>
      <c r="M75" s="88"/>
      <c r="N75" s="88"/>
      <c r="O75" s="82"/>
      <c r="P75" s="82" t="s">
        <v>190</v>
      </c>
      <c r="Q75" s="83">
        <v>8.3800000000000008</v>
      </c>
      <c r="R75" s="83">
        <f t="shared" si="15"/>
        <v>8.3800000000000008</v>
      </c>
      <c r="S75" s="83">
        <f t="shared" si="3"/>
        <v>0</v>
      </c>
      <c r="T75" s="83"/>
      <c r="U75" s="83" t="str">
        <f t="shared" si="4"/>
        <v/>
      </c>
      <c r="V75" s="86"/>
    </row>
    <row r="76" spans="2:22" x14ac:dyDescent="0.3">
      <c r="B76" s="82"/>
      <c r="C76" s="82"/>
      <c r="D76" s="82"/>
      <c r="E76" s="91"/>
      <c r="F76" s="83"/>
      <c r="G76" s="83"/>
      <c r="H76" s="82"/>
      <c r="I76" s="82"/>
      <c r="J76" s="88"/>
      <c r="K76" s="88"/>
      <c r="L76" s="88"/>
      <c r="M76" s="88"/>
      <c r="N76" s="88"/>
      <c r="O76" s="82"/>
      <c r="P76" s="82" t="s">
        <v>191</v>
      </c>
      <c r="Q76" s="83">
        <v>64.31</v>
      </c>
      <c r="R76" s="83">
        <f t="shared" si="15"/>
        <v>64.31</v>
      </c>
      <c r="S76" s="83">
        <f t="shared" si="3"/>
        <v>0</v>
      </c>
      <c r="T76" s="83"/>
      <c r="U76" s="83" t="str">
        <f t="shared" si="4"/>
        <v/>
      </c>
      <c r="V76" s="86"/>
    </row>
    <row r="77" spans="2:22" x14ac:dyDescent="0.3">
      <c r="B77" s="82"/>
      <c r="C77" s="82"/>
      <c r="D77" s="82"/>
      <c r="E77" s="91"/>
      <c r="F77" s="83"/>
      <c r="G77" s="83"/>
      <c r="H77" s="82"/>
      <c r="I77" s="82"/>
      <c r="J77" s="88"/>
      <c r="K77" s="88"/>
      <c r="L77" s="88"/>
      <c r="M77" s="88"/>
      <c r="N77" s="88"/>
      <c r="O77" s="82"/>
      <c r="P77" s="82" t="s">
        <v>192</v>
      </c>
      <c r="Q77" s="83">
        <v>18.59</v>
      </c>
      <c r="R77" s="83">
        <f t="shared" si="15"/>
        <v>18.59</v>
      </c>
      <c r="S77" s="83">
        <f t="shared" si="3"/>
        <v>0</v>
      </c>
      <c r="T77" s="83"/>
      <c r="U77" s="83" t="str">
        <f t="shared" si="4"/>
        <v/>
      </c>
      <c r="V77" s="86"/>
    </row>
    <row r="78" spans="2:22" x14ac:dyDescent="0.3">
      <c r="B78" s="95"/>
      <c r="C78" s="82"/>
      <c r="D78" s="82"/>
      <c r="E78" s="91"/>
      <c r="F78" s="83"/>
      <c r="G78" s="83"/>
      <c r="H78" s="82"/>
      <c r="I78" s="86"/>
      <c r="J78" s="96"/>
      <c r="K78" s="96"/>
      <c r="L78" s="96"/>
      <c r="M78" s="96"/>
      <c r="N78" s="96"/>
      <c r="O78" s="82"/>
      <c r="P78" s="82" t="s">
        <v>193</v>
      </c>
      <c r="Q78" s="83">
        <v>19.55</v>
      </c>
      <c r="R78" s="83">
        <f>Q78</f>
        <v>19.55</v>
      </c>
      <c r="S78" s="83">
        <f t="shared" ref="S78:S87" si="16">Q78-R78</f>
        <v>0</v>
      </c>
      <c r="T78" s="83"/>
      <c r="U78" s="83" t="str">
        <f t="shared" ref="U78:U87" si="17">IFERROR(T78/S78,"")</f>
        <v/>
      </c>
      <c r="V78" s="86"/>
    </row>
    <row r="79" spans="2:22" x14ac:dyDescent="0.3">
      <c r="B79" s="82"/>
      <c r="C79" s="82"/>
      <c r="D79" s="82"/>
      <c r="E79" s="91"/>
      <c r="F79" s="83"/>
      <c r="G79" s="83"/>
      <c r="H79" s="82"/>
      <c r="I79" s="86"/>
      <c r="J79" s="96"/>
      <c r="K79" s="96"/>
      <c r="L79" s="96"/>
      <c r="M79" s="96"/>
      <c r="N79" s="96"/>
      <c r="O79" s="82"/>
      <c r="P79" s="148" t="s">
        <v>194</v>
      </c>
      <c r="Q79" s="151">
        <v>19.350000000000001</v>
      </c>
      <c r="R79" s="151">
        <v>0</v>
      </c>
      <c r="S79" s="151">
        <f t="shared" si="16"/>
        <v>19.350000000000001</v>
      </c>
      <c r="T79" s="151"/>
      <c r="U79" s="151">
        <f t="shared" si="17"/>
        <v>0</v>
      </c>
      <c r="V79" s="86"/>
    </row>
    <row r="80" spans="2:22" x14ac:dyDescent="0.3">
      <c r="B80" s="82"/>
      <c r="C80" s="82"/>
      <c r="D80" s="82"/>
      <c r="E80" s="91"/>
      <c r="F80" s="83"/>
      <c r="G80" s="83"/>
      <c r="H80" s="82"/>
      <c r="I80" s="86"/>
      <c r="J80" s="96"/>
      <c r="K80" s="96"/>
      <c r="L80" s="96"/>
      <c r="M80" s="96"/>
      <c r="N80" s="96"/>
      <c r="O80" s="82"/>
      <c r="P80" s="82" t="s">
        <v>195</v>
      </c>
      <c r="Q80" s="83">
        <v>19.13</v>
      </c>
      <c r="R80" s="83">
        <f>Q80</f>
        <v>19.13</v>
      </c>
      <c r="S80" s="83">
        <f t="shared" si="16"/>
        <v>0</v>
      </c>
      <c r="T80" s="83"/>
      <c r="U80" s="83" t="str">
        <f t="shared" si="17"/>
        <v/>
      </c>
      <c r="V80" s="86"/>
    </row>
    <row r="81" spans="2:22" x14ac:dyDescent="0.3">
      <c r="B81" s="86"/>
      <c r="C81" s="96"/>
      <c r="D81" s="96"/>
      <c r="E81" s="96"/>
      <c r="F81" s="93"/>
      <c r="G81" s="93"/>
      <c r="H81" s="82"/>
      <c r="I81" s="86"/>
      <c r="J81" s="96"/>
      <c r="K81" s="96"/>
      <c r="L81" s="96"/>
      <c r="M81" s="96"/>
      <c r="N81" s="96"/>
      <c r="O81" s="82"/>
      <c r="P81" s="211" t="s">
        <v>196</v>
      </c>
      <c r="Q81" s="212">
        <v>35.5</v>
      </c>
      <c r="R81" s="151">
        <v>0</v>
      </c>
      <c r="S81" s="151">
        <f t="shared" si="16"/>
        <v>35.5</v>
      </c>
      <c r="T81" s="151"/>
      <c r="U81" s="151">
        <f t="shared" si="17"/>
        <v>0</v>
      </c>
      <c r="V81" s="86"/>
    </row>
    <row r="82" spans="2:22" x14ac:dyDescent="0.3">
      <c r="B82" s="86"/>
      <c r="C82" s="96"/>
      <c r="D82" s="96"/>
      <c r="E82" s="96"/>
      <c r="F82" s="93"/>
      <c r="G82" s="93"/>
      <c r="H82" s="82"/>
      <c r="I82" s="86"/>
      <c r="J82" s="96"/>
      <c r="K82" s="96"/>
      <c r="L82" s="96"/>
      <c r="M82" s="96"/>
      <c r="N82" s="96"/>
      <c r="O82" s="82"/>
      <c r="P82" s="211" t="s">
        <v>197</v>
      </c>
      <c r="Q82" s="212">
        <v>23.24</v>
      </c>
      <c r="R82" s="151">
        <v>0</v>
      </c>
      <c r="S82" s="151">
        <f t="shared" si="16"/>
        <v>23.24</v>
      </c>
      <c r="T82" s="151"/>
      <c r="U82" s="151">
        <f t="shared" si="17"/>
        <v>0</v>
      </c>
      <c r="V82" s="86"/>
    </row>
    <row r="83" spans="2:22" x14ac:dyDescent="0.3">
      <c r="B83" s="86"/>
      <c r="C83" s="96"/>
      <c r="D83" s="96"/>
      <c r="E83" s="96"/>
      <c r="F83" s="93"/>
      <c r="G83" s="93"/>
      <c r="H83" s="82"/>
      <c r="I83" s="86"/>
      <c r="J83" s="96"/>
      <c r="K83" s="96"/>
      <c r="L83" s="96"/>
      <c r="M83" s="96"/>
      <c r="N83" s="96"/>
      <c r="O83" s="82"/>
      <c r="P83" s="97" t="s">
        <v>198</v>
      </c>
      <c r="Q83" s="98">
        <v>4.72</v>
      </c>
      <c r="R83" s="83">
        <f>Q83</f>
        <v>4.72</v>
      </c>
      <c r="S83" s="83">
        <f t="shared" si="16"/>
        <v>0</v>
      </c>
      <c r="T83" s="83"/>
      <c r="U83" s="83" t="str">
        <f t="shared" si="17"/>
        <v/>
      </c>
      <c r="V83" s="86"/>
    </row>
    <row r="84" spans="2:22" x14ac:dyDescent="0.3">
      <c r="B84" s="86"/>
      <c r="C84" s="96"/>
      <c r="D84" s="96"/>
      <c r="E84" s="96"/>
      <c r="F84" s="93"/>
      <c r="G84" s="93"/>
      <c r="H84" s="82"/>
      <c r="I84" s="86"/>
      <c r="J84" s="96"/>
      <c r="K84" s="96"/>
      <c r="L84" s="96"/>
      <c r="M84" s="96"/>
      <c r="N84" s="96"/>
      <c r="O84" s="82"/>
      <c r="P84" s="97" t="s">
        <v>199</v>
      </c>
      <c r="Q84" s="98">
        <v>7.16</v>
      </c>
      <c r="R84" s="83">
        <f>Q84</f>
        <v>7.16</v>
      </c>
      <c r="S84" s="83">
        <f t="shared" si="16"/>
        <v>0</v>
      </c>
      <c r="T84" s="83"/>
      <c r="U84" s="83" t="str">
        <f t="shared" si="17"/>
        <v/>
      </c>
      <c r="V84" s="86"/>
    </row>
    <row r="85" spans="2:22" x14ac:dyDescent="0.3">
      <c r="B85" s="86"/>
      <c r="C85" s="96"/>
      <c r="D85" s="96"/>
      <c r="E85" s="96"/>
      <c r="F85" s="93"/>
      <c r="G85" s="93"/>
      <c r="H85" s="82"/>
      <c r="I85" s="86"/>
      <c r="J85" s="96"/>
      <c r="K85" s="96"/>
      <c r="L85" s="96"/>
      <c r="M85" s="96"/>
      <c r="N85" s="96"/>
      <c r="O85" s="82"/>
      <c r="P85" s="97" t="s">
        <v>200</v>
      </c>
      <c r="Q85" s="98">
        <v>22.58</v>
      </c>
      <c r="R85" s="83">
        <f>Q85</f>
        <v>22.58</v>
      </c>
      <c r="S85" s="83">
        <f t="shared" si="16"/>
        <v>0</v>
      </c>
      <c r="T85" s="83"/>
      <c r="U85" s="83" t="str">
        <f t="shared" si="17"/>
        <v/>
      </c>
      <c r="V85" s="86"/>
    </row>
    <row r="86" spans="2:22" x14ac:dyDescent="0.3">
      <c r="B86" s="82"/>
      <c r="C86" s="88"/>
      <c r="D86" s="88"/>
      <c r="E86" s="88"/>
      <c r="F86" s="94"/>
      <c r="G86" s="94"/>
      <c r="H86" s="82"/>
      <c r="I86" s="86"/>
      <c r="J86" s="96"/>
      <c r="K86" s="96"/>
      <c r="L86" s="96"/>
      <c r="M86" s="96"/>
      <c r="N86" s="96"/>
      <c r="O86" s="82"/>
      <c r="P86" s="97" t="s">
        <v>201</v>
      </c>
      <c r="Q86" s="98">
        <v>22.87</v>
      </c>
      <c r="R86" s="83">
        <f>Q86</f>
        <v>22.87</v>
      </c>
      <c r="S86" s="83">
        <f t="shared" si="16"/>
        <v>0</v>
      </c>
      <c r="T86" s="98"/>
      <c r="U86" s="83" t="str">
        <f t="shared" si="17"/>
        <v/>
      </c>
      <c r="V86" s="86"/>
    </row>
    <row r="87" spans="2:22" x14ac:dyDescent="0.3">
      <c r="B87" s="82"/>
      <c r="C87" s="88"/>
      <c r="D87" s="88"/>
      <c r="E87" s="88"/>
      <c r="F87" s="94"/>
      <c r="G87" s="94"/>
      <c r="H87" s="82"/>
      <c r="I87" s="86"/>
      <c r="J87" s="96"/>
      <c r="K87" s="96"/>
      <c r="L87" s="96"/>
      <c r="M87" s="96"/>
      <c r="N87" s="96"/>
      <c r="O87" s="82"/>
      <c r="P87" s="211" t="s">
        <v>202</v>
      </c>
      <c r="Q87" s="212">
        <v>26.2</v>
      </c>
      <c r="R87" s="151">
        <v>0</v>
      </c>
      <c r="S87" s="151">
        <f t="shared" si="16"/>
        <v>26.2</v>
      </c>
      <c r="T87" s="212"/>
      <c r="U87" s="151">
        <f t="shared" si="17"/>
        <v>0</v>
      </c>
      <c r="V87" s="86"/>
    </row>
    <row r="88" spans="2:22" x14ac:dyDescent="0.3">
      <c r="B88" s="82"/>
      <c r="C88" s="88"/>
      <c r="D88" s="88"/>
      <c r="E88" s="88"/>
      <c r="F88" s="94"/>
      <c r="G88" s="94"/>
      <c r="H88" s="82"/>
      <c r="I88" s="86"/>
      <c r="J88" s="96"/>
      <c r="K88" s="96"/>
      <c r="L88" s="96"/>
      <c r="M88" s="96"/>
      <c r="N88" s="96"/>
      <c r="O88" s="82"/>
      <c r="V88" s="86"/>
    </row>
    <row r="89" spans="2:22" x14ac:dyDescent="0.3">
      <c r="B89" s="82"/>
      <c r="C89" s="88"/>
      <c r="D89" s="88"/>
      <c r="E89" s="88"/>
      <c r="F89" s="94"/>
      <c r="G89" s="94"/>
      <c r="H89" s="82"/>
      <c r="I89" s="86"/>
      <c r="J89" s="96"/>
      <c r="K89" s="96"/>
      <c r="L89" s="96"/>
      <c r="M89" s="96"/>
      <c r="N89" s="96"/>
      <c r="O89" s="82"/>
      <c r="S89" s="84"/>
      <c r="T89" s="98"/>
      <c r="U89" s="83"/>
      <c r="V89" s="86"/>
    </row>
    <row r="90" spans="2:22" x14ac:dyDescent="0.3">
      <c r="B90" s="86"/>
      <c r="C90" s="96"/>
      <c r="D90" s="96"/>
      <c r="E90" s="96"/>
      <c r="F90" s="93"/>
      <c r="G90" s="93"/>
      <c r="H90" s="82"/>
      <c r="I90" s="86"/>
      <c r="J90" s="96"/>
      <c r="K90" s="96"/>
      <c r="L90" s="96"/>
      <c r="M90" s="96"/>
      <c r="N90" s="96"/>
      <c r="O90" s="82"/>
      <c r="S90" s="84"/>
      <c r="T90" s="98"/>
      <c r="U90" s="83"/>
      <c r="V90" s="86"/>
    </row>
    <row r="91" spans="2:22" x14ac:dyDescent="0.3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97"/>
      <c r="O91" s="97"/>
      <c r="S91" s="84"/>
      <c r="T91" s="98"/>
      <c r="U91" s="83"/>
      <c r="V91" s="97"/>
    </row>
    <row r="92" spans="2:22" x14ac:dyDescent="0.3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97"/>
      <c r="O92" s="97"/>
      <c r="S92" s="84"/>
      <c r="T92" s="98"/>
      <c r="U92" s="83"/>
      <c r="V92" s="97"/>
    </row>
    <row r="93" spans="2:22" x14ac:dyDescent="0.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97"/>
      <c r="O93" s="97"/>
      <c r="S93" s="84"/>
      <c r="T93" s="98"/>
      <c r="U93" s="83"/>
      <c r="V93" s="97"/>
    </row>
    <row r="94" spans="2:22" x14ac:dyDescent="0.3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97"/>
      <c r="O94" s="97"/>
      <c r="P94" s="5"/>
      <c r="Q94" s="5"/>
      <c r="R94" s="5"/>
      <c r="S94" s="5"/>
      <c r="T94" s="5"/>
      <c r="U94" s="5"/>
      <c r="V94" s="97"/>
    </row>
    <row r="95" spans="2:22" x14ac:dyDescent="0.3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97"/>
      <c r="O95" s="97"/>
      <c r="P95" s="5"/>
      <c r="Q95" s="5"/>
      <c r="R95" s="5"/>
      <c r="S95" s="5"/>
      <c r="T95" s="5"/>
      <c r="U95" s="5"/>
      <c r="V95" s="97"/>
    </row>
    <row r="96" spans="2:22" x14ac:dyDescent="0.3">
      <c r="N96" s="41"/>
      <c r="O96" s="41"/>
      <c r="V96" s="41"/>
    </row>
    <row r="97" spans="14:22" x14ac:dyDescent="0.3">
      <c r="N97" s="41"/>
      <c r="O97" s="41"/>
      <c r="V97" s="41"/>
    </row>
    <row r="98" spans="14:22" x14ac:dyDescent="0.3">
      <c r="N98" s="41"/>
      <c r="O98" s="41"/>
      <c r="P98" s="41"/>
      <c r="Q98" s="41"/>
      <c r="R98" s="41"/>
      <c r="S98" s="41"/>
      <c r="T98" s="41"/>
      <c r="U98" s="41"/>
      <c r="V98" s="41"/>
    </row>
  </sheetData>
  <mergeCells count="11">
    <mergeCell ref="BD19:BD20"/>
    <mergeCell ref="E2:F2"/>
    <mergeCell ref="I2:J2"/>
    <mergeCell ref="O2:P2"/>
    <mergeCell ref="D5:E5"/>
    <mergeCell ref="C4:E4"/>
    <mergeCell ref="B11:G11"/>
    <mergeCell ref="I11:N11"/>
    <mergeCell ref="P11:U11"/>
    <mergeCell ref="K5:L5"/>
    <mergeCell ref="R5:S5"/>
  </mergeCells>
  <pageMargins left="0.7" right="0.7" top="0.75" bottom="0.75" header="0.3" footer="0.3"/>
  <pageSetup scale="54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A1AD-2219-4645-8D42-0129379DAA26}">
  <dimension ref="A1:R798"/>
  <sheetViews>
    <sheetView tabSelected="1" zoomScale="88" zoomScaleNormal="100" workbookViewId="0">
      <pane xSplit="2" ySplit="2" topLeftCell="G145" activePane="bottomRight" state="frozen"/>
      <selection pane="topRight"/>
      <selection pane="bottomLeft" activeCell="D1" sqref="D1"/>
      <selection pane="bottomRight" activeCell="Q163" sqref="Q163"/>
    </sheetView>
  </sheetViews>
  <sheetFormatPr defaultColWidth="9.140625" defaultRowHeight="13.5" customHeight="1" x14ac:dyDescent="0.3"/>
  <cols>
    <col min="1" max="1" width="10.140625" style="103" bestFit="1" customWidth="1"/>
    <col min="2" max="2" width="18.140625" style="12" customWidth="1"/>
    <col min="3" max="3" width="10.28515625" style="9" customWidth="1"/>
    <col min="4" max="4" width="10" style="104" customWidth="1"/>
    <col min="5" max="5" width="10.7109375" style="105" customWidth="1"/>
    <col min="6" max="6" width="9.7109375" style="105" customWidth="1"/>
    <col min="7" max="7" width="9.42578125" style="106" customWidth="1"/>
    <col min="8" max="8" width="10.7109375" style="106" customWidth="1"/>
    <col min="9" max="9" width="11.28515625" style="106" customWidth="1"/>
    <col min="10" max="10" width="18.7109375" style="106" customWidth="1"/>
    <col min="11" max="11" width="11.5703125" style="106" bestFit="1" customWidth="1"/>
    <col min="12" max="12" width="22.42578125" style="106" bestFit="1" customWidth="1"/>
    <col min="13" max="13" width="12.85546875" style="118" customWidth="1"/>
    <col min="14" max="14" width="8.5703125" style="106" customWidth="1"/>
    <col min="15" max="15" width="10.7109375" style="130" customWidth="1"/>
    <col min="16" max="16" width="12.7109375" style="109" customWidth="1"/>
    <col min="17" max="17" width="55.7109375" style="12" customWidth="1"/>
    <col min="18" max="18" width="76.7109375" style="12" bestFit="1" customWidth="1"/>
    <col min="19" max="16384" width="9.140625" style="12"/>
  </cols>
  <sheetData>
    <row r="1" spans="1:18" ht="26.25" customHeight="1" x14ac:dyDescent="0.3">
      <c r="A1" s="344" t="s">
        <v>203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</row>
    <row r="2" spans="1:18" s="193" customFormat="1" ht="54.75" customHeight="1" x14ac:dyDescent="0.25">
      <c r="A2" s="192" t="s">
        <v>204</v>
      </c>
      <c r="B2" s="193" t="s">
        <v>205</v>
      </c>
      <c r="C2" s="193" t="s">
        <v>206</v>
      </c>
      <c r="D2" s="194" t="s">
        <v>207</v>
      </c>
      <c r="E2" s="195" t="s">
        <v>208</v>
      </c>
      <c r="F2" s="195" t="s">
        <v>209</v>
      </c>
      <c r="G2" s="196" t="s">
        <v>210</v>
      </c>
      <c r="H2" s="196" t="s">
        <v>211</v>
      </c>
      <c r="I2" s="196" t="s">
        <v>212</v>
      </c>
      <c r="J2" s="196" t="s">
        <v>213</v>
      </c>
      <c r="K2" s="196" t="s">
        <v>214</v>
      </c>
      <c r="L2" s="196" t="s">
        <v>215</v>
      </c>
      <c r="M2" s="196" t="s">
        <v>216</v>
      </c>
      <c r="N2" s="196" t="s">
        <v>19</v>
      </c>
      <c r="O2" s="197" t="s">
        <v>217</v>
      </c>
      <c r="P2" s="193" t="s">
        <v>218</v>
      </c>
      <c r="Q2" s="193" t="s">
        <v>219</v>
      </c>
      <c r="R2" s="193" t="s">
        <v>220</v>
      </c>
    </row>
    <row r="3" spans="1:18" s="154" customFormat="1" ht="13.5" customHeight="1" thickBot="1" x14ac:dyDescent="0.35">
      <c r="A3" s="153">
        <v>46218</v>
      </c>
      <c r="B3" s="154" t="s">
        <v>112</v>
      </c>
      <c r="C3" s="155" cm="1">
        <f t="array" ref="C3">IF(B3="","",_xlfn._xlws.FILTER('Source List'!I$2:I$268,'Source List'!G$2:G$268='Row Counts'!B3," "))</f>
        <v>622</v>
      </c>
      <c r="D3" s="156" cm="1">
        <f t="array" ref="D3">IF(B3="","",_xlfn._xlws.FILTER('Source List'!J$2:J$268,'Source List'!G$2:G$268='Row Counts'!B3," "))</f>
        <v>11433</v>
      </c>
      <c r="E3" s="157">
        <v>5585</v>
      </c>
      <c r="F3" s="157">
        <f>Table1[[#This Row],[TOTAL VINES]]-Table1[[#This Row],[VINES PICKED]]</f>
        <v>5848</v>
      </c>
      <c r="G3" s="158">
        <f t="shared" ref="G3:G34" si="0">IFERROR(D3/C3,0)</f>
        <v>18.381028938906752</v>
      </c>
      <c r="H3" s="158">
        <f t="shared" ref="H3:H34" si="1">IFERROR(E3/C3,0)</f>
        <v>8.979099678456592</v>
      </c>
      <c r="I3" s="158">
        <f>Table1[[#This Row],[TOTAL ACRES]]-Table1[[#This Row],[ACRES PICKED]]</f>
        <v>9.4019292604501601</v>
      </c>
      <c r="J3" s="158">
        <f>Table1[[#This Row],[ACRES PICKED]]</f>
        <v>8.979099678456592</v>
      </c>
      <c r="K3" s="158">
        <v>2.5</v>
      </c>
      <c r="L3" s="158" t="s">
        <v>221</v>
      </c>
      <c r="M3" s="179">
        <v>53.55</v>
      </c>
      <c r="N3" s="159">
        <f t="shared" ref="N3:N36" si="2">IFERROR(M3/J3,0)</f>
        <v>5.9638495971351828</v>
      </c>
      <c r="O3" s="160">
        <f t="shared" ref="O3:O66" si="3">IFERROR((N3*I3)/23,"")</f>
        <v>2.4378996535751813</v>
      </c>
      <c r="P3" s="161" t="s">
        <v>222</v>
      </c>
      <c r="Q3" s="191" t="s">
        <v>223</v>
      </c>
    </row>
    <row r="4" spans="1:18" s="128" customFormat="1" ht="13.5" customHeight="1" x14ac:dyDescent="0.3">
      <c r="A4" s="182">
        <v>46224</v>
      </c>
      <c r="B4" s="128" t="s">
        <v>130</v>
      </c>
      <c r="C4" s="183" cm="1">
        <f t="array" ref="C4">IF(B4="","",_xlfn._xlws.FILTER('Source List'!I$2:I$268,'Source List'!G$2:G$268='Row Counts'!B4," "))</f>
        <v>605</v>
      </c>
      <c r="D4" s="184" cm="1">
        <f t="array" ref="D4">IF(B4="","",_xlfn._xlws.FILTER('Source List'!J$2:J$268,'Source List'!G$2:G$268='Row Counts'!B4," "))</f>
        <v>10120</v>
      </c>
      <c r="E4" s="185">
        <v>2356</v>
      </c>
      <c r="F4" s="185">
        <f>Table1[[#This Row],[TOTAL VINES]]-Table1[[#This Row],[VINES PICKED]]</f>
        <v>7764</v>
      </c>
      <c r="G4" s="186">
        <f t="shared" si="0"/>
        <v>16.727272727272727</v>
      </c>
      <c r="H4" s="186">
        <f t="shared" si="1"/>
        <v>3.8942148760330579</v>
      </c>
      <c r="I4" s="186">
        <f>Table1[[#This Row],[TOTAL ACRES]]-Table1[[#This Row],[ACRES PICKED]]</f>
        <v>12.833057851239669</v>
      </c>
      <c r="J4" s="186">
        <f>Table1[[#This Row],[ACRES PICKED]]</f>
        <v>3.8942148760330579</v>
      </c>
      <c r="K4" s="186">
        <v>1</v>
      </c>
      <c r="L4" s="186" t="s">
        <v>221</v>
      </c>
      <c r="M4" s="187">
        <v>24.43</v>
      </c>
      <c r="N4" s="188">
        <f t="shared" si="2"/>
        <v>6.2734083191850596</v>
      </c>
      <c r="O4" s="189">
        <f t="shared" si="3"/>
        <v>3.5003048645456558</v>
      </c>
      <c r="P4" s="190" t="s">
        <v>222</v>
      </c>
      <c r="Q4" s="128" t="s">
        <v>224</v>
      </c>
    </row>
    <row r="5" spans="1:18" s="154" customFormat="1" ht="13.5" customHeight="1" thickBot="1" x14ac:dyDescent="0.35">
      <c r="A5" s="153">
        <v>46224</v>
      </c>
      <c r="B5" s="154" t="s">
        <v>34</v>
      </c>
      <c r="C5" s="155" cm="1">
        <f t="array" ref="C5">IF(B5="","",_xlfn._xlws.FILTER('Source List'!I$2:I$268,'Source List'!G$2:G$268='Row Counts'!B5," "))</f>
        <v>622</v>
      </c>
      <c r="D5" s="156" cm="1">
        <f t="array" ref="D5">IF(B5="","",_xlfn._xlws.FILTER('Source List'!J$2:J$268,'Source List'!G$2:G$268='Row Counts'!B5," "))</f>
        <v>5633</v>
      </c>
      <c r="E5" s="157">
        <f>2604+25</f>
        <v>2629</v>
      </c>
      <c r="F5" s="157">
        <f>Table1[[#This Row],[TOTAL VINES]]-Table1[[#This Row],[VINES PICKED]]</f>
        <v>3004</v>
      </c>
      <c r="G5" s="158">
        <f t="shared" si="0"/>
        <v>9.0562700964630221</v>
      </c>
      <c r="H5" s="158">
        <f t="shared" si="1"/>
        <v>4.226688102893891</v>
      </c>
      <c r="I5" s="158">
        <f>Table1[[#This Row],[TOTAL ACRES]]-Table1[[#This Row],[ACRES PICKED]]</f>
        <v>4.8295819935691311</v>
      </c>
      <c r="J5" s="158">
        <f>Table1[[#This Row],[ACRES PICKED]]</f>
        <v>4.226688102893891</v>
      </c>
      <c r="K5" s="158">
        <v>1</v>
      </c>
      <c r="L5" s="158" t="s">
        <v>221</v>
      </c>
      <c r="M5" s="179">
        <v>24.37</v>
      </c>
      <c r="N5" s="159">
        <f t="shared" si="2"/>
        <v>5.765743628756181</v>
      </c>
      <c r="O5" s="160">
        <f t="shared" si="3"/>
        <v>1.2107013743033388</v>
      </c>
      <c r="P5" s="161" t="s">
        <v>222</v>
      </c>
      <c r="Q5" s="154" t="s">
        <v>225</v>
      </c>
    </row>
    <row r="6" spans="1:18" s="128" customFormat="1" ht="13.5" customHeight="1" x14ac:dyDescent="0.3">
      <c r="A6" s="182">
        <v>46226</v>
      </c>
      <c r="B6" s="128" t="s">
        <v>74</v>
      </c>
      <c r="C6" s="183" cm="1">
        <f t="array" ref="C6">IF(B6="","",_xlfn._xlws.FILTER('Source List'!I$2:I$268,'Source List'!G$2:G$268='Row Counts'!B6," "))</f>
        <v>681</v>
      </c>
      <c r="D6" s="184" cm="1">
        <f t="array" ref="D6">IF(B6="","",_xlfn._xlws.FILTER('Source List'!J$2:J$268,'Source List'!G$2:G$268='Row Counts'!B6," "))</f>
        <v>26421</v>
      </c>
      <c r="E6" s="185">
        <v>13699</v>
      </c>
      <c r="F6" s="185">
        <f>Table1[[#This Row],[TOTAL VINES]]-Table1[[#This Row],[VINES PICKED]]</f>
        <v>12722</v>
      </c>
      <c r="G6" s="186">
        <f t="shared" si="0"/>
        <v>38.797356828193834</v>
      </c>
      <c r="H6" s="186">
        <f t="shared" si="1"/>
        <v>20.116005873715125</v>
      </c>
      <c r="I6" s="186">
        <f>Table1[[#This Row],[TOTAL ACRES]]-Table1[[#This Row],[ACRES PICKED]]</f>
        <v>18.68135095447871</v>
      </c>
      <c r="J6" s="186">
        <f>Table1[[#This Row],[ACRES PICKED]]</f>
        <v>20.116005873715125</v>
      </c>
      <c r="K6" s="186">
        <v>6</v>
      </c>
      <c r="L6" s="186" t="s">
        <v>226</v>
      </c>
      <c r="M6" s="187">
        <v>142.24</v>
      </c>
      <c r="N6" s="188">
        <f t="shared" si="2"/>
        <v>7.0709862033725095</v>
      </c>
      <c r="O6" s="189">
        <f t="shared" si="3"/>
        <v>5.7432858634556014</v>
      </c>
      <c r="P6" s="190" t="s">
        <v>222</v>
      </c>
      <c r="Q6" s="128" t="s">
        <v>227</v>
      </c>
    </row>
    <row r="7" spans="1:18" s="154" customFormat="1" ht="13.5" customHeight="1" thickBot="1" x14ac:dyDescent="0.35">
      <c r="A7" s="153">
        <v>46227</v>
      </c>
      <c r="B7" s="154" t="s">
        <v>74</v>
      </c>
      <c r="C7" s="155" cm="1">
        <f t="array" ref="C7">IF(B7="","",_xlfn._xlws.FILTER('Source List'!I$2:I$268,'Source List'!G$2:G$268='Row Counts'!B7," "))</f>
        <v>681</v>
      </c>
      <c r="D7" s="156" cm="1">
        <f t="array" ref="D7">IF(B7="","",_xlfn._xlws.FILTER('Source List'!J$2:J$268,'Source List'!G$2:G$268='Row Counts'!B7," "))</f>
        <v>26421</v>
      </c>
      <c r="E7" s="157">
        <f ca="1">IFERROR(Table1[[#This Row],[TOTAL VINES]]-Table1[[#This Row],[VINES LEFT]],"")</f>
        <v>26421</v>
      </c>
      <c r="F7" s="157">
        <f ca="1">Table1[[#This Row],[TOTAL VINES]]-Table1[[#This Row],[VINES PICKED]]</f>
        <v>0</v>
      </c>
      <c r="G7" s="158">
        <f t="shared" si="0"/>
        <v>38.797356828193834</v>
      </c>
      <c r="H7" s="158">
        <f t="shared" ca="1" si="1"/>
        <v>38.797356828193834</v>
      </c>
      <c r="I7" s="158">
        <f ca="1">Table1[[#This Row],[TOTAL ACRES]]-Table1[[#This Row],[ACRES PICKED]]</f>
        <v>0</v>
      </c>
      <c r="J7" s="158">
        <f>I6</f>
        <v>18.68135095447871</v>
      </c>
      <c r="K7" s="158">
        <v>5.25</v>
      </c>
      <c r="L7" s="158" t="s">
        <v>226</v>
      </c>
      <c r="M7" s="179">
        <v>122.51</v>
      </c>
      <c r="N7" s="159">
        <f t="shared" si="2"/>
        <v>6.5578769061468316</v>
      </c>
      <c r="O7" s="160">
        <f t="shared" ca="1" si="3"/>
        <v>0</v>
      </c>
      <c r="P7" s="161" t="s">
        <v>222</v>
      </c>
      <c r="Q7" s="154" t="s">
        <v>228</v>
      </c>
    </row>
    <row r="8" spans="1:18" s="121" customFormat="1" ht="13.5" customHeight="1" x14ac:dyDescent="0.3">
      <c r="A8" s="170">
        <v>46230</v>
      </c>
      <c r="B8" s="121" t="s">
        <v>30</v>
      </c>
      <c r="C8" s="171" cm="1">
        <f t="array" ref="C8">IF(B8="","",_xlfn._xlws.FILTER('Source List'!I$2:I$268,'Source List'!G$2:G$268='Row Counts'!B8," "))</f>
        <v>726</v>
      </c>
      <c r="D8" s="172" cm="1">
        <f t="array" ref="D8">IF(B8="","",_xlfn._xlws.FILTER('Source List'!J$2:J$268,'Source List'!G$2:G$268='Row Counts'!B8," "))</f>
        <v>32514</v>
      </c>
      <c r="E8" s="173">
        <f>IFERROR(Table1[[#This Row],[TOTAL VINES]]-Table1[[#This Row],[VINES LEFT]],"")</f>
        <v>13022</v>
      </c>
      <c r="F8" s="173">
        <f>18893+199+300+100</f>
        <v>19492</v>
      </c>
      <c r="G8" s="174">
        <f t="shared" si="0"/>
        <v>44.785123966942152</v>
      </c>
      <c r="H8" s="174">
        <f t="shared" si="1"/>
        <v>17.9366391184573</v>
      </c>
      <c r="I8" s="174">
        <f>Table1[[#This Row],[TOTAL ACRES]]-Table1[[#This Row],[ACRES PICKED]]</f>
        <v>26.848484848484851</v>
      </c>
      <c r="J8" s="174">
        <f>Table1[[#This Row],[ACRES PICKED]]</f>
        <v>17.9366391184573</v>
      </c>
      <c r="K8" s="174">
        <v>6</v>
      </c>
      <c r="L8" s="174" t="s">
        <v>229</v>
      </c>
      <c r="M8" s="181">
        <v>134.44999999999999</v>
      </c>
      <c r="N8" s="176">
        <f t="shared" si="2"/>
        <v>7.4958301336200268</v>
      </c>
      <c r="O8" s="177">
        <f t="shared" si="3"/>
        <v>8.7500731204049345</v>
      </c>
      <c r="P8" s="178" t="s">
        <v>222</v>
      </c>
      <c r="Q8" s="121" t="s">
        <v>230</v>
      </c>
    </row>
    <row r="9" spans="1:18" s="124" customFormat="1" ht="13.5" customHeight="1" x14ac:dyDescent="0.3">
      <c r="A9" s="162">
        <v>46230</v>
      </c>
      <c r="B9" s="124" t="s">
        <v>130</v>
      </c>
      <c r="C9" s="163" cm="1">
        <f t="array" ref="C9">IF(B9="","",_xlfn._xlws.FILTER('Source List'!I$2:I$268,'Source List'!G$2:G$268='Row Counts'!B9," "))</f>
        <v>605</v>
      </c>
      <c r="D9" s="164" cm="1">
        <f t="array" ref="D9">IF(B9="","",_xlfn._xlws.FILTER('Source List'!J$2:J$268,'Source List'!G$2:G$268='Row Counts'!B9," "))</f>
        <v>10120</v>
      </c>
      <c r="E9" s="165">
        <v>6532</v>
      </c>
      <c r="F9" s="165">
        <f>Table1[[#This Row],[TOTAL VINES]]-Table1[[#This Row],[VINES PICKED]]</f>
        <v>3588</v>
      </c>
      <c r="G9" s="166">
        <f t="shared" si="0"/>
        <v>16.727272727272727</v>
      </c>
      <c r="H9" s="166">
        <f t="shared" si="1"/>
        <v>10.796694214876034</v>
      </c>
      <c r="I9" s="166">
        <f>Table1[[#This Row],[TOTAL ACRES]]-Table1[[#This Row],[ACRES PICKED]]</f>
        <v>5.9305785123966928</v>
      </c>
      <c r="J9" s="166">
        <f>Table1[[#This Row],[ACRES PICKED]]</f>
        <v>10.796694214876034</v>
      </c>
      <c r="K9" s="166">
        <v>2</v>
      </c>
      <c r="L9" s="166" t="s">
        <v>221</v>
      </c>
      <c r="M9" s="180">
        <v>51.27</v>
      </c>
      <c r="N9" s="167">
        <f t="shared" si="2"/>
        <v>4.7486757501530921</v>
      </c>
      <c r="O9" s="168">
        <f t="shared" si="3"/>
        <v>1.2244519289650946</v>
      </c>
      <c r="P9" s="169" t="s">
        <v>231</v>
      </c>
      <c r="Q9" t="s">
        <v>232</v>
      </c>
    </row>
    <row r="10" spans="1:18" s="154" customFormat="1" ht="13.5" customHeight="1" thickBot="1" x14ac:dyDescent="0.35">
      <c r="A10" s="153">
        <v>46230</v>
      </c>
      <c r="B10" s="154" t="s">
        <v>188</v>
      </c>
      <c r="C10" s="155" cm="1">
        <f t="array" ref="C10">IF(B10="","",_xlfn._xlws.FILTER('Source List'!I$2:I$268,'Source List'!G$2:G$268='Row Counts'!B10," "))</f>
        <v>681</v>
      </c>
      <c r="D10" s="156" cm="1">
        <f t="array" ref="D10">IF(B10="","",_xlfn._xlws.FILTER('Source List'!J$2:J$268,'Source List'!G$2:G$268='Row Counts'!B10," "))</f>
        <v>14141</v>
      </c>
      <c r="E10" s="157">
        <f>IFERROR(Table1[[#This Row],[TOTAL VINES]]-Table1[[#This Row],[VINES LEFT]],"")</f>
        <v>8916</v>
      </c>
      <c r="F10" s="157">
        <v>5225</v>
      </c>
      <c r="G10" s="158">
        <f t="shared" si="0"/>
        <v>20.765051395007344</v>
      </c>
      <c r="H10" s="158">
        <f t="shared" si="1"/>
        <v>13.092511013215859</v>
      </c>
      <c r="I10" s="158">
        <f>Table1[[#This Row],[TOTAL ACRES]]-Table1[[#This Row],[ACRES PICKED]]</f>
        <v>7.6725403817914852</v>
      </c>
      <c r="J10" s="158">
        <f>Table1[[#This Row],[ACRES PICKED]]</f>
        <v>13.092511013215859</v>
      </c>
      <c r="K10" s="158">
        <v>3</v>
      </c>
      <c r="L10" s="158" t="s">
        <v>233</v>
      </c>
      <c r="M10" s="179">
        <v>69.709999999999994</v>
      </c>
      <c r="N10" s="159">
        <f t="shared" si="2"/>
        <v>5.3244179004037679</v>
      </c>
      <c r="O10" s="160">
        <f t="shared" si="3"/>
        <v>1.7761657108861455</v>
      </c>
      <c r="P10" s="161" t="s">
        <v>222</v>
      </c>
      <c r="Q10" s="154" t="s">
        <v>234</v>
      </c>
    </row>
    <row r="11" spans="1:18" s="121" customFormat="1" ht="13.5" customHeight="1" x14ac:dyDescent="0.3">
      <c r="A11" s="170">
        <v>46231</v>
      </c>
      <c r="B11" s="121" t="s">
        <v>30</v>
      </c>
      <c r="C11" s="171" cm="1">
        <f t="array" ref="C11">IF(B11="","",_xlfn._xlws.FILTER('Source List'!I$2:I$268,'Source List'!G$2:G$268='Row Counts'!B11," "))</f>
        <v>726</v>
      </c>
      <c r="D11" s="172" cm="1">
        <f t="array" ref="D11">IF(B11="","",_xlfn._xlws.FILTER('Source List'!J$2:J$268,'Source List'!G$2:G$268='Row Counts'!B11," "))</f>
        <v>32514</v>
      </c>
      <c r="E11" s="173">
        <f>IFERROR(Table1[[#This Row],[TOTAL VINES]]-Table1[[#This Row],[VINES LEFT]],"")</f>
        <v>27282</v>
      </c>
      <c r="F11" s="173">
        <v>5232</v>
      </c>
      <c r="G11" s="174">
        <f t="shared" si="0"/>
        <v>44.785123966942152</v>
      </c>
      <c r="H11" s="174">
        <f t="shared" si="1"/>
        <v>37.578512396694215</v>
      </c>
      <c r="I11" s="174">
        <f>Table1[[#This Row],[TOTAL ACRES]]-Table1[[#This Row],[ACRES PICKED]]</f>
        <v>7.2066115702479365</v>
      </c>
      <c r="J11" s="174">
        <f>I8-Table1[[#This Row],[ACRES LEFT]]</f>
        <v>19.641873278236915</v>
      </c>
      <c r="K11" s="174">
        <v>7</v>
      </c>
      <c r="L11" s="174" t="s">
        <v>229</v>
      </c>
      <c r="M11" s="181">
        <v>156.16</v>
      </c>
      <c r="N11" s="176">
        <f t="shared" si="2"/>
        <v>7.9503618513323984</v>
      </c>
      <c r="O11" s="177">
        <f t="shared" si="3"/>
        <v>2.4910943350204291</v>
      </c>
      <c r="P11" s="178" t="s">
        <v>222</v>
      </c>
      <c r="Q11" s="121" t="s">
        <v>235</v>
      </c>
    </row>
    <row r="12" spans="1:18" s="124" customFormat="1" ht="13.5" customHeight="1" x14ac:dyDescent="0.3">
      <c r="A12" s="162">
        <v>46231</v>
      </c>
      <c r="B12" s="124" t="s">
        <v>36</v>
      </c>
      <c r="C12" s="163" cm="1">
        <f t="array" ref="C12">IF(B12="","",_xlfn._xlws.FILTER('Source List'!I$2:I$268,'Source List'!G$2:G$268='Row Counts'!B12," "))</f>
        <v>908</v>
      </c>
      <c r="D12" s="164" cm="1">
        <f t="array" ref="D12">IF(B12="","",_xlfn._xlws.FILTER('Source List'!J$2:J$268,'Source List'!G$2:G$268='Row Counts'!B12," "))</f>
        <v>94178</v>
      </c>
      <c r="E12" s="165">
        <v>24105</v>
      </c>
      <c r="F12" s="165">
        <f>Table1[[#This Row],[TOTAL VINES]]-Table1[[#This Row],[VINES PICKED]]</f>
        <v>70073</v>
      </c>
      <c r="G12" s="166">
        <f t="shared" si="0"/>
        <v>103.72026431718062</v>
      </c>
      <c r="H12" s="166">
        <f t="shared" si="1"/>
        <v>26.547356828193834</v>
      </c>
      <c r="I12" s="166">
        <f>Table1[[#This Row],[TOTAL ACRES]]-Table1[[#This Row],[ACRES PICKED]]</f>
        <v>77.172907488986795</v>
      </c>
      <c r="J12" s="166">
        <f>Table1[[#This Row],[ACRES PICKED]]</f>
        <v>26.547356828193834</v>
      </c>
      <c r="K12" s="166">
        <v>6</v>
      </c>
      <c r="L12" s="166" t="s">
        <v>221</v>
      </c>
      <c r="M12" s="180">
        <v>142.24</v>
      </c>
      <c r="N12" s="167">
        <f t="shared" si="2"/>
        <v>5.3579722049367353</v>
      </c>
      <c r="O12" s="168">
        <f t="shared" si="3"/>
        <v>17.977838839136751</v>
      </c>
      <c r="P12" s="169" t="s">
        <v>236</v>
      </c>
      <c r="Q12" t="s">
        <v>237</v>
      </c>
    </row>
    <row r="13" spans="1:18" s="154" customFormat="1" ht="13.5" customHeight="1" thickBot="1" x14ac:dyDescent="0.35">
      <c r="A13" s="153">
        <v>46231</v>
      </c>
      <c r="B13" s="154" t="s">
        <v>188</v>
      </c>
      <c r="C13" s="155" cm="1">
        <f t="array" ref="C13">IF(B13="","",_xlfn._xlws.FILTER('Source List'!I$2:I$268,'Source List'!G$2:G$268='Row Counts'!B13," "))</f>
        <v>681</v>
      </c>
      <c r="D13" s="156" cm="1">
        <f t="array" ref="D13">IF(B13="","",_xlfn._xlws.FILTER('Source List'!J$2:J$268,'Source List'!G$2:G$268='Row Counts'!B13," "))</f>
        <v>14141</v>
      </c>
      <c r="E13" s="157">
        <f>IFERROR(Table1[[#This Row],[TOTAL VINES]]-Table1[[#This Row],[VINES LEFT]],"")</f>
        <v>14141</v>
      </c>
      <c r="F13" s="157">
        <v>0</v>
      </c>
      <c r="G13" s="158">
        <f t="shared" si="0"/>
        <v>20.765051395007344</v>
      </c>
      <c r="H13" s="158">
        <f t="shared" si="1"/>
        <v>20.765051395007344</v>
      </c>
      <c r="I13" s="158">
        <f>Table1[[#This Row],[TOTAL ACRES]]-Table1[[#This Row],[ACRES PICKED]]</f>
        <v>0</v>
      </c>
      <c r="J13" s="158">
        <f>I10</f>
        <v>7.6725403817914852</v>
      </c>
      <c r="K13" s="158">
        <v>1.75</v>
      </c>
      <c r="L13" s="158" t="s">
        <v>233</v>
      </c>
      <c r="M13" s="179">
        <v>39.56</v>
      </c>
      <c r="N13" s="159">
        <f t="shared" si="2"/>
        <v>5.1560497607655496</v>
      </c>
      <c r="O13" s="160">
        <f t="shared" si="3"/>
        <v>0</v>
      </c>
      <c r="P13" s="161" t="s">
        <v>222</v>
      </c>
      <c r="Q13" s="154" t="s">
        <v>228</v>
      </c>
    </row>
    <row r="14" spans="1:18" s="121" customFormat="1" ht="13.5" customHeight="1" x14ac:dyDescent="0.3">
      <c r="A14" s="170">
        <v>46232</v>
      </c>
      <c r="B14" s="121" t="s">
        <v>30</v>
      </c>
      <c r="C14" s="171" cm="1">
        <f t="array" ref="C14">IF(B14="","",_xlfn._xlws.FILTER('Source List'!I$2:I$268,'Source List'!G$2:G$268='Row Counts'!B14," "))</f>
        <v>726</v>
      </c>
      <c r="D14" s="172" cm="1">
        <f t="array" ref="D14">IF(B14="","",_xlfn._xlws.FILTER('Source List'!J$2:J$268,'Source List'!G$2:G$268='Row Counts'!B14," "))</f>
        <v>32514</v>
      </c>
      <c r="E14" s="173">
        <f>IFERROR(Table1[[#This Row],[TOTAL VINES]]-Table1[[#This Row],[VINES LEFT]],"")</f>
        <v>32514</v>
      </c>
      <c r="F14" s="173">
        <v>0</v>
      </c>
      <c r="G14" s="174">
        <f t="shared" si="0"/>
        <v>44.785123966942152</v>
      </c>
      <c r="H14" s="174">
        <f t="shared" si="1"/>
        <v>44.785123966942152</v>
      </c>
      <c r="I14" s="174">
        <f>Table1[[#This Row],[TOTAL ACRES]]-Table1[[#This Row],[ACRES PICKED]]</f>
        <v>0</v>
      </c>
      <c r="J14" s="174">
        <f>I11</f>
        <v>7.2066115702479365</v>
      </c>
      <c r="K14" s="174">
        <v>2.25</v>
      </c>
      <c r="L14" s="174" t="s">
        <v>229</v>
      </c>
      <c r="M14" s="181">
        <v>51.08</v>
      </c>
      <c r="N14" s="176">
        <f t="shared" si="2"/>
        <v>7.0879357798165108</v>
      </c>
      <c r="O14" s="177">
        <f t="shared" si="3"/>
        <v>0</v>
      </c>
      <c r="P14" s="178" t="s">
        <v>222</v>
      </c>
      <c r="Q14" s="121" t="s">
        <v>228</v>
      </c>
    </row>
    <row r="15" spans="1:18" s="124" customFormat="1" ht="13.5" customHeight="1" x14ac:dyDescent="0.3">
      <c r="A15" s="162">
        <v>46232</v>
      </c>
      <c r="B15" s="124" t="s">
        <v>21</v>
      </c>
      <c r="C15" s="163" cm="1">
        <f t="array" ref="C15">IF(B15="","",_xlfn._xlws.FILTER('Source List'!I$2:I$268,'Source List'!G$2:G$268='Row Counts'!B15," "))</f>
        <v>726</v>
      </c>
      <c r="D15" s="164" cm="1">
        <f t="array" ref="D15">IF(B15="","",_xlfn._xlws.FILTER('Source List'!J$2:J$268,'Source List'!G$2:G$268='Row Counts'!B15," "))</f>
        <v>28200</v>
      </c>
      <c r="E15" s="165">
        <f>IFERROR(Table1[[#This Row],[TOTAL VINES]]-Table1[[#This Row],[VINES LEFT]],"")</f>
        <v>9610</v>
      </c>
      <c r="F15" s="165">
        <v>18590</v>
      </c>
      <c r="G15" s="166">
        <f t="shared" si="0"/>
        <v>38.84297520661157</v>
      </c>
      <c r="H15" s="166">
        <f t="shared" si="1"/>
        <v>13.236914600550964</v>
      </c>
      <c r="I15" s="166">
        <f>Table1[[#This Row],[TOTAL ACRES]]-Table1[[#This Row],[ACRES PICKED]]</f>
        <v>25.606060606060606</v>
      </c>
      <c r="J15" s="166">
        <f>Table1[[#This Row],[ACRES PICKED]]</f>
        <v>13.236914600550964</v>
      </c>
      <c r="K15" s="166">
        <v>5.75</v>
      </c>
      <c r="L15" s="166" t="s">
        <v>229</v>
      </c>
      <c r="M15" s="180">
        <v>131.02000000000001</v>
      </c>
      <c r="N15" s="167">
        <f t="shared" si="2"/>
        <v>9.8980770031217489</v>
      </c>
      <c r="O15" s="168">
        <f t="shared" si="3"/>
        <v>11.019598244582184</v>
      </c>
      <c r="P15" s="169" t="s">
        <v>222</v>
      </c>
      <c r="Q15" s="124" t="s">
        <v>238</v>
      </c>
      <c r="R15" s="124" t="s">
        <v>239</v>
      </c>
    </row>
    <row r="16" spans="1:18" s="154" customFormat="1" ht="13.5" customHeight="1" thickBot="1" x14ac:dyDescent="0.35">
      <c r="A16" s="153">
        <v>46232</v>
      </c>
      <c r="B16" s="154" t="s">
        <v>82</v>
      </c>
      <c r="C16" s="155" cm="1">
        <f t="array" ref="C16">IF(B16="","",_xlfn._xlws.FILTER('Source List'!I$2:I$268,'Source List'!G$2:G$268='Row Counts'!B16," "))</f>
        <v>726</v>
      </c>
      <c r="D16" s="156" cm="1">
        <f t="array" ref="D16">IF(B16="","",_xlfn._xlws.FILTER('Source List'!J$2:J$268,'Source List'!G$2:G$268='Row Counts'!B16," "))</f>
        <v>4941</v>
      </c>
      <c r="E16" s="157">
        <f>IFERROR(Table1[[#This Row],[TOTAL VINES]]-Table1[[#This Row],[VINES LEFT]],"")</f>
        <v>4941</v>
      </c>
      <c r="F16" s="157">
        <v>0</v>
      </c>
      <c r="G16" s="158">
        <f t="shared" si="0"/>
        <v>6.8057851239669418</v>
      </c>
      <c r="H16" s="158">
        <f t="shared" si="1"/>
        <v>6.8057851239669418</v>
      </c>
      <c r="I16" s="158">
        <f>Table1[[#This Row],[TOTAL ACRES]]-Table1[[#This Row],[ACRES PICKED]]</f>
        <v>0</v>
      </c>
      <c r="J16" s="158">
        <f>Table1[[#This Row],[ACRES PICKED]]</f>
        <v>6.8057851239669418</v>
      </c>
      <c r="K16" s="158">
        <v>2.5</v>
      </c>
      <c r="L16" s="158" t="s">
        <v>240</v>
      </c>
      <c r="M16" s="179">
        <v>55.8</v>
      </c>
      <c r="N16" s="159">
        <f t="shared" si="2"/>
        <v>8.1989071038251371</v>
      </c>
      <c r="O16" s="160">
        <f t="shared" si="3"/>
        <v>0</v>
      </c>
      <c r="P16" s="161" t="s">
        <v>222</v>
      </c>
      <c r="Q16" s="154" t="s">
        <v>228</v>
      </c>
    </row>
    <row r="17" spans="1:18" s="121" customFormat="1" ht="13.5" customHeight="1" x14ac:dyDescent="0.3">
      <c r="A17" s="170">
        <v>46233</v>
      </c>
      <c r="B17" s="121" t="s">
        <v>21</v>
      </c>
      <c r="C17" s="171" cm="1">
        <f t="array" ref="C17">IF(B17="","",_xlfn._xlws.FILTER('Source List'!I$2:I$268,'Source List'!G$2:G$268='Row Counts'!B17," "))</f>
        <v>726</v>
      </c>
      <c r="D17" s="172" cm="1">
        <f t="array" ref="D17">IF(B17="","",_xlfn._xlws.FILTER('Source List'!J$2:J$268,'Source List'!G$2:G$268='Row Counts'!B17," "))</f>
        <v>28200</v>
      </c>
      <c r="E17" s="173">
        <f>IFERROR(Table1[[#This Row],[TOTAL VINES]]-Table1[[#This Row],[VINES LEFT]],"")</f>
        <v>27120</v>
      </c>
      <c r="F17" s="173">
        <v>1080</v>
      </c>
      <c r="G17" s="174">
        <f t="shared" si="0"/>
        <v>38.84297520661157</v>
      </c>
      <c r="H17" s="174">
        <f t="shared" si="1"/>
        <v>37.355371900826448</v>
      </c>
      <c r="I17" s="174">
        <f>Table1[[#This Row],[TOTAL ACRES]]-Table1[[#This Row],[ACRES PICKED]]</f>
        <v>1.4876033057851217</v>
      </c>
      <c r="J17" s="174">
        <f>I15-Table1[[#This Row],[ACRES LEFT]]</f>
        <v>24.118457300275484</v>
      </c>
      <c r="K17" s="174">
        <v>9</v>
      </c>
      <c r="L17" s="174" t="s">
        <v>229</v>
      </c>
      <c r="M17" s="181">
        <v>210.79</v>
      </c>
      <c r="N17" s="176">
        <f t="shared" si="2"/>
        <v>8.7397795545402612</v>
      </c>
      <c r="O17" s="177">
        <f t="shared" si="3"/>
        <v>0.56527499813770921</v>
      </c>
      <c r="P17" s="178" t="s">
        <v>222</v>
      </c>
      <c r="Q17" s="121" t="s">
        <v>241</v>
      </c>
    </row>
    <row r="18" spans="1:18" ht="13.5" customHeight="1" x14ac:dyDescent="0.3">
      <c r="A18" s="103">
        <v>46233</v>
      </c>
      <c r="B18" s="12" t="s">
        <v>187</v>
      </c>
      <c r="C18" s="9" cm="1">
        <f t="array" ref="C18">IF(B18="","",_xlfn._xlws.FILTER('Source List'!I$2:I$268,'Source List'!G$2:G$268='Row Counts'!B18," "))</f>
        <v>605</v>
      </c>
      <c r="D18" s="104" cm="1">
        <f t="array" ref="D18">IF(B18="","",_xlfn._xlws.FILTER('Source List'!J$2:J$268,'Source List'!G$2:G$268='Row Counts'!B18," "))</f>
        <v>12811</v>
      </c>
      <c r="E18" s="105">
        <f>IFERROR(Table1[[#This Row],[TOTAL VINES]]-Table1[[#This Row],[VINES LEFT]],"")</f>
        <v>9035</v>
      </c>
      <c r="F18" s="105">
        <v>3776</v>
      </c>
      <c r="G18" s="106">
        <f t="shared" si="0"/>
        <v>21.175206611570246</v>
      </c>
      <c r="H18" s="106">
        <f t="shared" si="1"/>
        <v>14.933884297520661</v>
      </c>
      <c r="I18" s="106">
        <f>Table1[[#This Row],[TOTAL ACRES]]-Table1[[#This Row],[ACRES PICKED]]</f>
        <v>6.2413223140495848</v>
      </c>
      <c r="J18" s="106">
        <f>Table1[[#This Row],[ACRES PICKED]]</f>
        <v>14.933884297520661</v>
      </c>
      <c r="K18" s="106">
        <v>4</v>
      </c>
      <c r="L18" s="106" t="s">
        <v>233</v>
      </c>
      <c r="M18" s="209">
        <v>91.73</v>
      </c>
      <c r="N18" s="107">
        <f t="shared" si="2"/>
        <v>6.1424073049252907</v>
      </c>
      <c r="O18" s="108">
        <f t="shared" si="3"/>
        <v>1.6668149467048432</v>
      </c>
      <c r="P18" s="109" t="s">
        <v>222</v>
      </c>
      <c r="Q18" s="12" t="s">
        <v>242</v>
      </c>
    </row>
    <row r="19" spans="1:18" s="124" customFormat="1" ht="13.5" customHeight="1" x14ac:dyDescent="0.3">
      <c r="A19" s="162">
        <v>46233</v>
      </c>
      <c r="B19" s="124" t="s">
        <v>136</v>
      </c>
      <c r="C19" s="163" cm="1">
        <f t="array" ref="C19">IF(B19="","",_xlfn._xlws.FILTER('Source List'!I$2:I$268,'Source List'!G$2:G$268='Row Counts'!B19," "))</f>
        <v>605</v>
      </c>
      <c r="D19" s="164" cm="1">
        <f t="array" ref="D19">IF(B19="","",_xlfn._xlws.FILTER('Source List'!J$2:J$268,'Source List'!G$2:G$268='Row Counts'!B19," "))</f>
        <v>9777</v>
      </c>
      <c r="E19" s="165">
        <f>IFERROR(Table1[[#This Row],[TOTAL VINES]]-Table1[[#This Row],[VINES LEFT]],"")</f>
        <v>6926</v>
      </c>
      <c r="F19" s="165">
        <f>552+881+1418</f>
        <v>2851</v>
      </c>
      <c r="G19" s="166">
        <f t="shared" si="0"/>
        <v>16.160330578512397</v>
      </c>
      <c r="H19" s="166">
        <f t="shared" si="1"/>
        <v>11.447933884297521</v>
      </c>
      <c r="I19" s="166">
        <f>Table1[[#This Row],[TOTAL ACRES]]-Table1[[#This Row],[ACRES PICKED]]</f>
        <v>4.7123966942148758</v>
      </c>
      <c r="J19" s="166">
        <f>Table1[[#This Row],[ACRES PICKED]]</f>
        <v>11.447933884297521</v>
      </c>
      <c r="K19" s="166">
        <v>2.25</v>
      </c>
      <c r="L19" s="166" t="s">
        <v>243</v>
      </c>
      <c r="M19" s="180">
        <v>55.51</v>
      </c>
      <c r="N19" s="167">
        <f t="shared" si="2"/>
        <v>4.8489099047069013</v>
      </c>
      <c r="O19" s="168">
        <f t="shared" si="3"/>
        <v>0.99347769589072055</v>
      </c>
      <c r="P19" s="169" t="s">
        <v>222</v>
      </c>
      <c r="Q19" s="124" t="s">
        <v>244</v>
      </c>
    </row>
    <row r="20" spans="1:18" s="123" customFormat="1" ht="13.5" customHeight="1" thickBot="1" x14ac:dyDescent="0.35">
      <c r="A20" s="199">
        <v>46233</v>
      </c>
      <c r="B20" s="123" t="s">
        <v>139</v>
      </c>
      <c r="C20" s="200" cm="1">
        <f t="array" ref="C20">IF(B20="","",_xlfn._xlws.FILTER('Source List'!I$2:I$268,'Source List'!G$2:G$268='Row Counts'!B20," "))</f>
        <v>778</v>
      </c>
      <c r="D20" s="201" cm="1">
        <f t="array" ref="D20">IF(B20="","",_xlfn._xlws.FILTER('Source List'!J$2:J$268,'Source List'!G$2:G$268='Row Counts'!B20," "))</f>
        <v>9125</v>
      </c>
      <c r="E20" s="202">
        <f>IFERROR(Table1[[#This Row],[TOTAL VINES]]-Table1[[#This Row],[VINES LEFT]],"")</f>
        <v>8663</v>
      </c>
      <c r="F20" s="202">
        <v>462</v>
      </c>
      <c r="G20" s="203">
        <f t="shared" si="0"/>
        <v>11.728791773778921</v>
      </c>
      <c r="H20" s="203">
        <f t="shared" si="1"/>
        <v>11.13496143958869</v>
      </c>
      <c r="I20" s="203">
        <f>Table1[[#This Row],[TOTAL ACRES]]-Table1[[#This Row],[ACRES PICKED]]</f>
        <v>0.59383033419023157</v>
      </c>
      <c r="J20" s="203">
        <f>Table1[[#This Row],[ACRES PICKED]]</f>
        <v>11.13496143958869</v>
      </c>
      <c r="K20" s="203">
        <v>1.75</v>
      </c>
      <c r="L20" s="203" t="s">
        <v>243</v>
      </c>
      <c r="M20" s="207">
        <v>45.86</v>
      </c>
      <c r="N20" s="204">
        <f t="shared" si="2"/>
        <v>4.1185593905113702</v>
      </c>
      <c r="O20" s="205">
        <f t="shared" si="3"/>
        <v>0.10633589127172537</v>
      </c>
      <c r="P20" s="206" t="s">
        <v>222</v>
      </c>
      <c r="Q20" s="123" t="s">
        <v>245</v>
      </c>
    </row>
    <row r="21" spans="1:18" s="121" customFormat="1" ht="13.5" customHeight="1" x14ac:dyDescent="0.3">
      <c r="A21" s="170">
        <v>46234</v>
      </c>
      <c r="B21" s="121" t="s">
        <v>21</v>
      </c>
      <c r="C21" s="171" cm="1">
        <f t="array" ref="C21">IF(B21="","",_xlfn._xlws.FILTER('Source List'!I$2:I$268,'Source List'!G$2:G$268='Row Counts'!B21," "))</f>
        <v>726</v>
      </c>
      <c r="D21" s="172" cm="1">
        <f t="array" ref="D21">IF(B21="","",_xlfn._xlws.FILTER('Source List'!J$2:J$268,'Source List'!G$2:G$268='Row Counts'!B21," "))</f>
        <v>28200</v>
      </c>
      <c r="E21" s="173">
        <f>IFERROR(Table1[[#This Row],[TOTAL VINES]]-Table1[[#This Row],[VINES LEFT]],"")</f>
        <v>28200</v>
      </c>
      <c r="F21" s="173">
        <v>0</v>
      </c>
      <c r="G21" s="174">
        <f t="shared" si="0"/>
        <v>38.84297520661157</v>
      </c>
      <c r="H21" s="174">
        <f t="shared" si="1"/>
        <v>38.84297520661157</v>
      </c>
      <c r="I21" s="174">
        <f>Table1[[#This Row],[TOTAL ACRES]]-Table1[[#This Row],[ACRES PICKED]]</f>
        <v>0</v>
      </c>
      <c r="J21" s="174">
        <f>I17</f>
        <v>1.4876033057851217</v>
      </c>
      <c r="K21" s="174">
        <v>0.5</v>
      </c>
      <c r="L21" s="174" t="s">
        <v>229</v>
      </c>
      <c r="M21" s="181">
        <v>11.15</v>
      </c>
      <c r="N21" s="176">
        <f t="shared" si="2"/>
        <v>7.4952777777777895</v>
      </c>
      <c r="O21" s="177">
        <f t="shared" si="3"/>
        <v>0</v>
      </c>
      <c r="P21" s="178" t="s">
        <v>236</v>
      </c>
      <c r="Q21" s="121" t="s">
        <v>228</v>
      </c>
    </row>
    <row r="22" spans="1:18" ht="13.5" customHeight="1" x14ac:dyDescent="0.3">
      <c r="A22" s="103">
        <v>46234</v>
      </c>
      <c r="B22" s="12" t="s">
        <v>171</v>
      </c>
      <c r="C22" s="9" cm="1">
        <f t="array" ref="C22">IF(B22="","",_xlfn._xlws.FILTER('Source List'!I$2:I$268,'Source List'!G$2:G$268='Row Counts'!B22," "))</f>
        <v>691</v>
      </c>
      <c r="D22" s="104" cm="1">
        <f t="array" ref="D22">IF(B22="","",_xlfn._xlws.FILTER('Source List'!J$2:J$268,'Source List'!G$2:G$268='Row Counts'!B22," "))</f>
        <v>26251</v>
      </c>
      <c r="E22" s="105">
        <v>14439</v>
      </c>
      <c r="F22" s="105">
        <f>Table1[[#This Row],[TOTAL VINES]]-Table1[[#This Row],[VINES PICKED]]</f>
        <v>11812</v>
      </c>
      <c r="G22" s="106">
        <f t="shared" si="0"/>
        <v>37.98986975397974</v>
      </c>
      <c r="H22" s="106">
        <f t="shared" si="1"/>
        <v>20.895803183791607</v>
      </c>
      <c r="I22" s="106">
        <f>Table1[[#This Row],[TOTAL ACRES]]-Table1[[#This Row],[ACRES PICKED]]</f>
        <v>17.094066570188133</v>
      </c>
      <c r="J22" s="106">
        <f>Table1[[#This Row],[ACRES PICKED]]</f>
        <v>20.895803183791607</v>
      </c>
      <c r="K22" s="106">
        <v>6.5</v>
      </c>
      <c r="L22" s="106" t="s">
        <v>221</v>
      </c>
      <c r="M22" s="209">
        <v>152.71</v>
      </c>
      <c r="N22" s="107">
        <f t="shared" si="2"/>
        <v>7.3081660779832402</v>
      </c>
      <c r="O22" s="108">
        <f t="shared" si="3"/>
        <v>5.4315772801320099</v>
      </c>
      <c r="P22" s="109" t="s">
        <v>236</v>
      </c>
      <c r="Q22" s="110" t="s">
        <v>246</v>
      </c>
    </row>
    <row r="23" spans="1:18" ht="13.5" customHeight="1" x14ac:dyDescent="0.3">
      <c r="A23" s="170">
        <v>46234</v>
      </c>
      <c r="B23" s="12" t="s">
        <v>136</v>
      </c>
      <c r="C23" s="9" cm="1">
        <f t="array" ref="C23">IF(B23="","",_xlfn._xlws.FILTER('Source List'!I$2:I$268,'Source List'!G$2:G$268='Row Counts'!B23," "))</f>
        <v>605</v>
      </c>
      <c r="D23" s="104" cm="1">
        <f t="array" ref="D23">IF(B23="","",_xlfn._xlws.FILTER('Source List'!J$2:J$268,'Source List'!G$2:G$268='Row Counts'!B23," "))</f>
        <v>9777</v>
      </c>
      <c r="E23" s="105">
        <f>IFERROR(Table1[[#This Row],[TOTAL VINES]]-Table1[[#This Row],[VINES LEFT]],"")</f>
        <v>9777</v>
      </c>
      <c r="F23" s="105">
        <v>0</v>
      </c>
      <c r="G23" s="106">
        <f t="shared" si="0"/>
        <v>16.160330578512397</v>
      </c>
      <c r="H23" s="106">
        <f t="shared" si="1"/>
        <v>16.160330578512397</v>
      </c>
      <c r="I23" s="106">
        <f>Table1[[#This Row],[TOTAL ACRES]]-Table1[[#This Row],[ACRES PICKED]]</f>
        <v>0</v>
      </c>
      <c r="J23" s="106">
        <f>I19</f>
        <v>4.7123966942148758</v>
      </c>
      <c r="L23" s="106" t="s">
        <v>243</v>
      </c>
      <c r="M23" s="209">
        <v>12.69</v>
      </c>
      <c r="N23" s="107">
        <f t="shared" si="2"/>
        <v>2.6928972290424413</v>
      </c>
      <c r="O23" s="108">
        <f t="shared" si="3"/>
        <v>0</v>
      </c>
      <c r="P23" s="109" t="s">
        <v>222</v>
      </c>
      <c r="Q23" s="12" t="s">
        <v>228</v>
      </c>
    </row>
    <row r="24" spans="1:18" ht="13.5" customHeight="1" x14ac:dyDescent="0.3">
      <c r="A24" s="103">
        <v>46234</v>
      </c>
      <c r="B24" s="12" t="s">
        <v>139</v>
      </c>
      <c r="C24" s="9" cm="1">
        <f t="array" ref="C24">IF(B24="","",_xlfn._xlws.FILTER('Source List'!I$2:I$268,'Source List'!G$2:G$268='Row Counts'!B24," "))</f>
        <v>778</v>
      </c>
      <c r="D24" s="104" cm="1">
        <f t="array" ref="D24">IF(B24="","",_xlfn._xlws.FILTER('Source List'!J$2:J$268,'Source List'!G$2:G$268='Row Counts'!B24," "))</f>
        <v>9125</v>
      </c>
      <c r="E24" s="105">
        <f>IFERROR(Table1[[#This Row],[TOTAL VINES]]-Table1[[#This Row],[VINES LEFT]],"")</f>
        <v>9125</v>
      </c>
      <c r="F24" s="105">
        <v>0</v>
      </c>
      <c r="G24" s="106">
        <f t="shared" si="0"/>
        <v>11.728791773778921</v>
      </c>
      <c r="H24" s="106">
        <f t="shared" si="1"/>
        <v>11.728791773778921</v>
      </c>
      <c r="I24" s="106">
        <f>Table1[[#This Row],[TOTAL ACRES]]-Table1[[#This Row],[ACRES PICKED]]</f>
        <v>0</v>
      </c>
      <c r="J24" s="106">
        <f>I20</f>
        <v>0.59383033419023157</v>
      </c>
      <c r="L24" s="106" t="s">
        <v>243</v>
      </c>
      <c r="M24" s="209">
        <v>4.2300000000000004</v>
      </c>
      <c r="N24" s="107">
        <f t="shared" si="2"/>
        <v>7.1232467532467512</v>
      </c>
      <c r="O24" s="108">
        <f t="shared" si="3"/>
        <v>0</v>
      </c>
      <c r="P24" s="109" t="s">
        <v>222</v>
      </c>
      <c r="Q24" s="12" t="s">
        <v>228</v>
      </c>
    </row>
    <row r="25" spans="1:18" ht="13.5" customHeight="1" x14ac:dyDescent="0.3">
      <c r="A25" s="170">
        <v>46234</v>
      </c>
      <c r="B25" s="12" t="s">
        <v>196</v>
      </c>
      <c r="C25" s="9" cm="1">
        <f t="array" ref="C25">IF(B25="","",_xlfn._xlws.FILTER('Source List'!I$2:I$268,'Source List'!G$2:G$268='Row Counts'!B25," "))</f>
        <v>622</v>
      </c>
      <c r="D25" s="104" cm="1">
        <f t="array" ref="D25">IF(B25="","",_xlfn._xlws.FILTER('Source List'!J$2:J$268,'Source List'!G$2:G$268='Row Counts'!B25," "))</f>
        <v>21904</v>
      </c>
      <c r="E25" s="105">
        <f>IFERROR(Table1[[#This Row],[TOTAL VINES]]-Table1[[#This Row],[VINES LEFT]],"")</f>
        <v>14787</v>
      </c>
      <c r="F25" s="105">
        <f>5467+1650</f>
        <v>7117</v>
      </c>
      <c r="G25" s="106">
        <f t="shared" si="0"/>
        <v>35.215434083601288</v>
      </c>
      <c r="H25" s="106">
        <f t="shared" si="1"/>
        <v>23.773311897106108</v>
      </c>
      <c r="I25" s="106">
        <f>Table1[[#This Row],[TOTAL ACRES]]-Table1[[#This Row],[ACRES PICKED]]</f>
        <v>11.44212218649518</v>
      </c>
      <c r="J25" s="106">
        <f>Table1[[#This Row],[ACRES PICKED]]</f>
        <v>23.773311897106108</v>
      </c>
      <c r="K25" s="106">
        <v>6</v>
      </c>
      <c r="L25" s="106" t="s">
        <v>221</v>
      </c>
      <c r="M25" s="107">
        <v>140.55000000000001</v>
      </c>
      <c r="N25" s="107">
        <f t="shared" si="2"/>
        <v>5.9120917021708266</v>
      </c>
      <c r="O25" s="108">
        <f t="shared" si="3"/>
        <v>2.9411685058262118</v>
      </c>
      <c r="P25" s="109" t="s">
        <v>222</v>
      </c>
      <c r="Q25" s="12" t="s">
        <v>247</v>
      </c>
    </row>
    <row r="26" spans="1:18" ht="13.5" customHeight="1" x14ac:dyDescent="0.3">
      <c r="A26" s="103">
        <v>46234</v>
      </c>
      <c r="B26" s="12" t="s">
        <v>187</v>
      </c>
      <c r="C26" s="9" cm="1">
        <f t="array" ref="C26">IF(B26="","",_xlfn._xlws.FILTER('Source List'!I$2:I$268,'Source List'!G$2:G$268='Row Counts'!B26," "))</f>
        <v>605</v>
      </c>
      <c r="D26" s="104" cm="1">
        <f t="array" ref="D26">IF(B26="","",_xlfn._xlws.FILTER('Source List'!J$2:J$268,'Source List'!G$2:G$268='Row Counts'!B26," "))</f>
        <v>12811</v>
      </c>
      <c r="E26" s="105">
        <f>IFERROR(Table1[[#This Row],[TOTAL VINES]]-Table1[[#This Row],[VINES LEFT]],"")</f>
        <v>12811</v>
      </c>
      <c r="F26" s="105">
        <v>0</v>
      </c>
      <c r="G26" s="106">
        <f t="shared" si="0"/>
        <v>21.175206611570246</v>
      </c>
      <c r="H26" s="106">
        <f t="shared" si="1"/>
        <v>21.175206611570246</v>
      </c>
      <c r="I26" s="106">
        <f>Table1[[#This Row],[TOTAL ACRES]]-Table1[[#This Row],[ACRES PICKED]]</f>
        <v>0</v>
      </c>
      <c r="J26" s="106">
        <f>I18</f>
        <v>6.2413223140495848</v>
      </c>
      <c r="K26" s="106">
        <v>1.75</v>
      </c>
      <c r="L26" s="106" t="s">
        <v>233</v>
      </c>
      <c r="M26" s="209">
        <v>34.51</v>
      </c>
      <c r="N26" s="107">
        <f t="shared" si="2"/>
        <v>5.5292770127118658</v>
      </c>
      <c r="O26" s="108">
        <f t="shared" si="3"/>
        <v>0</v>
      </c>
      <c r="P26" s="109" t="s">
        <v>222</v>
      </c>
      <c r="Q26" s="12" t="s">
        <v>228</v>
      </c>
    </row>
    <row r="27" spans="1:18" s="123" customFormat="1" ht="13.5" customHeight="1" thickBot="1" x14ac:dyDescent="0.35">
      <c r="A27" s="199">
        <v>46234</v>
      </c>
      <c r="B27" s="123" t="s">
        <v>127</v>
      </c>
      <c r="C27" s="200" cm="1">
        <f t="array" ref="C27">IF(B27="","",_xlfn._xlws.FILTER('Source List'!I$2:I$268,'Source List'!G$2:G$268='Row Counts'!B27," "))</f>
        <v>908</v>
      </c>
      <c r="D27" s="201" cm="1">
        <f t="array" ref="D27">IF(B27="","",_xlfn._xlws.FILTER('Source List'!J$2:J$268,'Source List'!G$2:G$268='Row Counts'!B27," "))</f>
        <v>8809</v>
      </c>
      <c r="E27" s="202">
        <f>IFERROR(Table1[[#This Row],[TOTAL VINES]]-Table1[[#This Row],[VINES LEFT]],"")</f>
        <v>8809</v>
      </c>
      <c r="F27" s="202">
        <v>0</v>
      </c>
      <c r="G27" s="203">
        <f t="shared" si="0"/>
        <v>9.7015418502202646</v>
      </c>
      <c r="H27" s="203">
        <f t="shared" si="1"/>
        <v>9.7015418502202646</v>
      </c>
      <c r="I27" s="203">
        <f>Table1[[#This Row],[TOTAL ACRES]]-Table1[[#This Row],[ACRES PICKED]]</f>
        <v>0</v>
      </c>
      <c r="J27" s="203">
        <f>Table1[[#This Row],[ACRES PICKED]]</f>
        <v>9.7015418502202646</v>
      </c>
      <c r="K27" s="203">
        <v>2.25</v>
      </c>
      <c r="L27" s="203" t="s">
        <v>221</v>
      </c>
      <c r="M27" s="207">
        <v>51.04</v>
      </c>
      <c r="N27" s="204">
        <f t="shared" si="2"/>
        <v>5.2610194119650355</v>
      </c>
      <c r="O27" s="205">
        <f t="shared" si="3"/>
        <v>0</v>
      </c>
      <c r="P27" s="206" t="s">
        <v>222</v>
      </c>
      <c r="Q27" s="123" t="s">
        <v>228</v>
      </c>
    </row>
    <row r="28" spans="1:18" s="121" customFormat="1" ht="13.5" customHeight="1" x14ac:dyDescent="0.3">
      <c r="A28" s="170">
        <v>46237</v>
      </c>
      <c r="B28" s="121" t="s">
        <v>36</v>
      </c>
      <c r="C28" s="171" cm="1">
        <f t="array" ref="C28">IF(B28="","",_xlfn._xlws.FILTER('Source List'!I$2:I$268,'Source List'!G$2:G$268='Row Counts'!B28," "))</f>
        <v>908</v>
      </c>
      <c r="D28" s="172" cm="1">
        <f t="array" ref="D28">IF(B28="","",_xlfn._xlws.FILTER('Source List'!J$2:J$268,'Source List'!G$2:G$268='Row Counts'!B28," "))</f>
        <v>94178</v>
      </c>
      <c r="E28" s="173">
        <f>IFERROR(Table1[[#This Row],[TOTAL VINES]]-Table1[[#This Row],[VINES LEFT]],"")</f>
        <v>50507</v>
      </c>
      <c r="F28" s="173">
        <v>43671</v>
      </c>
      <c r="G28" s="174">
        <f t="shared" si="0"/>
        <v>103.72026431718062</v>
      </c>
      <c r="H28" s="174">
        <f t="shared" si="1"/>
        <v>55.624449339207047</v>
      </c>
      <c r="I28" s="174">
        <f>Table1[[#This Row],[TOTAL ACRES]]-Table1[[#This Row],[ACRES PICKED]]</f>
        <v>48.095814977973575</v>
      </c>
      <c r="J28" s="174">
        <f>I12-Table1[[#This Row],[ACRES LEFT]]</f>
        <v>29.07709251101322</v>
      </c>
      <c r="K28" s="174">
        <v>7</v>
      </c>
      <c r="L28" s="174" t="s">
        <v>240</v>
      </c>
      <c r="M28" s="181">
        <v>167.38</v>
      </c>
      <c r="N28" s="176">
        <f t="shared" si="2"/>
        <v>5.7564214832209668</v>
      </c>
      <c r="O28" s="177">
        <f t="shared" si="3"/>
        <v>12.037381851835992</v>
      </c>
      <c r="P28" s="178" t="s">
        <v>248</v>
      </c>
      <c r="Q28" s="121" t="s">
        <v>249</v>
      </c>
      <c r="R28" s="121" t="s">
        <v>250</v>
      </c>
    </row>
    <row r="29" spans="1:18" ht="13.5" customHeight="1" x14ac:dyDescent="0.3">
      <c r="A29" s="103">
        <v>46237</v>
      </c>
      <c r="B29" s="12" t="s">
        <v>196</v>
      </c>
      <c r="C29" s="9" cm="1">
        <f t="array" ref="C29">IF(B29="","",_xlfn._xlws.FILTER('Source List'!I$2:I$268,'Source List'!G$2:G$268='Row Counts'!B29," "))</f>
        <v>622</v>
      </c>
      <c r="D29" s="104" cm="1">
        <f t="array" ref="D29">IF(B29="","",_xlfn._xlws.FILTER('Source List'!J$2:J$268,'Source List'!G$2:G$268='Row Counts'!B29," "))</f>
        <v>21904</v>
      </c>
      <c r="E29" s="105">
        <f>IFERROR(Table1[[#This Row],[TOTAL VINES]]-Table1[[#This Row],[VINES LEFT]],"")</f>
        <v>21904</v>
      </c>
      <c r="F29" s="105">
        <v>0</v>
      </c>
      <c r="G29" s="106">
        <f t="shared" si="0"/>
        <v>35.215434083601288</v>
      </c>
      <c r="H29" s="106">
        <f t="shared" si="1"/>
        <v>35.215434083601288</v>
      </c>
      <c r="I29" s="106">
        <f>Table1[[#This Row],[TOTAL ACRES]]-Table1[[#This Row],[ACRES PICKED]]</f>
        <v>0</v>
      </c>
      <c r="J29" s="106">
        <f>I25</f>
        <v>11.44212218649518</v>
      </c>
      <c r="K29" s="106">
        <v>2.75</v>
      </c>
      <c r="L29" s="106" t="s">
        <v>221</v>
      </c>
      <c r="M29" s="209">
        <v>65.290000000000006</v>
      </c>
      <c r="N29" s="107">
        <f t="shared" si="2"/>
        <v>5.7061093157229159</v>
      </c>
      <c r="O29" s="108">
        <f t="shared" si="3"/>
        <v>0</v>
      </c>
      <c r="P29" s="109" t="s">
        <v>236</v>
      </c>
      <c r="Q29" s="12" t="s">
        <v>228</v>
      </c>
    </row>
    <row r="30" spans="1:18" ht="13.5" customHeight="1" x14ac:dyDescent="0.3">
      <c r="A30" s="103">
        <v>46237</v>
      </c>
      <c r="B30" s="12" t="s">
        <v>194</v>
      </c>
      <c r="C30" s="9" cm="1">
        <f t="array" ref="C30">IF(B30="","",_xlfn._xlws.FILTER('Source List'!I$2:I$268,'Source List'!G$2:G$268='Row Counts'!B30," "))</f>
        <v>605</v>
      </c>
      <c r="D30" s="104" cm="1">
        <f t="array" ref="D30">IF(B30="","",_xlfn._xlws.FILTER('Source List'!J$2:J$268,'Source List'!G$2:G$268='Row Counts'!B30," "))</f>
        <v>11526</v>
      </c>
      <c r="E30" s="105">
        <f>IFERROR(Table1[[#This Row],[TOTAL VINES]]-Table1[[#This Row],[VINES LEFT]],"")</f>
        <v>11526</v>
      </c>
      <c r="F30" s="105">
        <v>0</v>
      </c>
      <c r="G30" s="106">
        <f t="shared" si="0"/>
        <v>19.051239669421488</v>
      </c>
      <c r="H30" s="106">
        <f t="shared" si="1"/>
        <v>19.051239669421488</v>
      </c>
      <c r="I30" s="106">
        <f>Table1[[#This Row],[TOTAL ACRES]]-Table1[[#This Row],[ACRES PICKED]]</f>
        <v>0</v>
      </c>
      <c r="J30" s="106">
        <f>Table1[[#This Row],[ACRES PICKED]]</f>
        <v>19.051239669421488</v>
      </c>
      <c r="K30" s="106">
        <v>4</v>
      </c>
      <c r="L30" s="106" t="s">
        <v>221</v>
      </c>
      <c r="M30" s="209">
        <v>93.64</v>
      </c>
      <c r="N30" s="107">
        <f t="shared" si="2"/>
        <v>4.9151657123026204</v>
      </c>
      <c r="O30" s="108">
        <f t="shared" si="3"/>
        <v>0</v>
      </c>
      <c r="P30" s="109" t="s">
        <v>236</v>
      </c>
      <c r="Q30" s="12" t="s">
        <v>228</v>
      </c>
    </row>
    <row r="31" spans="1:18" s="123" customFormat="1" ht="13.5" customHeight="1" thickBot="1" x14ac:dyDescent="0.35">
      <c r="A31" s="199">
        <v>46237</v>
      </c>
      <c r="B31" s="123" t="s">
        <v>72</v>
      </c>
      <c r="C31" s="200" cm="1">
        <f t="array" ref="C31">IF(B31="","",_xlfn._xlws.FILTER('Source List'!I$2:I$268,'Source List'!G$2:G$268='Row Counts'!B31," "))</f>
        <v>807</v>
      </c>
      <c r="D31" s="201" cm="1">
        <f t="array" ref="D31">IF(B31="","",_xlfn._xlws.FILTER('Source List'!J$2:J$268,'Source List'!G$2:G$268='Row Counts'!B31," "))</f>
        <v>36108</v>
      </c>
      <c r="E31" s="202">
        <f>IFERROR(Table1[[#This Row],[TOTAL VINES]]-Table1[[#This Row],[VINES LEFT]],"")</f>
        <v>14077</v>
      </c>
      <c r="F31" s="202">
        <v>22031</v>
      </c>
      <c r="G31" s="203">
        <f t="shared" si="0"/>
        <v>44.743494423791823</v>
      </c>
      <c r="H31" s="203">
        <f t="shared" si="1"/>
        <v>17.44361833952912</v>
      </c>
      <c r="I31" s="203">
        <f>Table1[[#This Row],[TOTAL ACRES]]-Table1[[#This Row],[ACRES PICKED]]</f>
        <v>27.299876084262703</v>
      </c>
      <c r="J31" s="203">
        <f>Table1[[#This Row],[ACRES PICKED]]</f>
        <v>17.44361833952912</v>
      </c>
      <c r="K31" s="203">
        <v>6</v>
      </c>
      <c r="L31" s="203" t="s">
        <v>229</v>
      </c>
      <c r="M31" s="207">
        <v>143.86000000000001</v>
      </c>
      <c r="N31" s="204">
        <f t="shared" si="2"/>
        <v>8.2471421467642259</v>
      </c>
      <c r="O31" s="205">
        <f t="shared" si="3"/>
        <v>9.7889547241723331</v>
      </c>
      <c r="P31" s="206" t="s">
        <v>222</v>
      </c>
      <c r="Q31" s="123" t="s">
        <v>251</v>
      </c>
    </row>
    <row r="32" spans="1:18" s="121" customFormat="1" ht="13.5" customHeight="1" x14ac:dyDescent="0.3">
      <c r="A32" s="170">
        <v>46238</v>
      </c>
      <c r="B32" s="121" t="s">
        <v>33</v>
      </c>
      <c r="C32" s="171" cm="1">
        <f t="array" ref="C32">IF(B32="","",_xlfn._xlws.FILTER('Source List'!I$2:I$268,'Source List'!G$2:G$268='Row Counts'!B32," "))</f>
        <v>691</v>
      </c>
      <c r="D32" s="172" cm="1">
        <f t="array" ref="D32">IF(B32="","",_xlfn._xlws.FILTER('Source List'!J$2:J$268,'Source List'!G$2:G$268='Row Counts'!B32," "))</f>
        <v>30586</v>
      </c>
      <c r="E32" s="173">
        <v>5676</v>
      </c>
      <c r="F32" s="173">
        <f>Table1[[#This Row],[TOTAL VINES]]-E32</f>
        <v>24910</v>
      </c>
      <c r="G32" s="174">
        <f t="shared" si="0"/>
        <v>44.263386396526769</v>
      </c>
      <c r="H32" s="174">
        <f t="shared" si="1"/>
        <v>8.2141823444283641</v>
      </c>
      <c r="I32" s="174">
        <f>Table1[[#This Row],[TOTAL ACRES]]-Table1[[#This Row],[ACRES PICKED]]</f>
        <v>36.049204052098403</v>
      </c>
      <c r="J32" s="174">
        <f>Table1[[#This Row],[ACRES PICKED]]</f>
        <v>8.2141823444283641</v>
      </c>
      <c r="K32" s="174">
        <v>3</v>
      </c>
      <c r="L32" s="174" t="s">
        <v>221</v>
      </c>
      <c r="M32" s="106">
        <v>70.09</v>
      </c>
      <c r="N32" s="176">
        <f t="shared" si="2"/>
        <v>8.5328030303030307</v>
      </c>
      <c r="O32" s="177">
        <f t="shared" si="3"/>
        <v>13.373945981554675</v>
      </c>
      <c r="P32" s="178" t="s">
        <v>222</v>
      </c>
      <c r="Q32" s="213" t="s">
        <v>252</v>
      </c>
    </row>
    <row r="33" spans="1:18" ht="13.5" customHeight="1" x14ac:dyDescent="0.3">
      <c r="A33" s="103">
        <v>46238</v>
      </c>
      <c r="B33" s="12" t="s">
        <v>36</v>
      </c>
      <c r="C33" s="9" cm="1">
        <f t="array" ref="C33">IF(B33="","",_xlfn._xlws.FILTER('Source List'!I$2:I$268,'Source List'!G$2:G$268='Row Counts'!B33," "))</f>
        <v>908</v>
      </c>
      <c r="D33" s="104" cm="1">
        <f t="array" ref="D33">IF(B33="","",_xlfn._xlws.FILTER('Source List'!J$2:J$268,'Source List'!G$2:G$268='Row Counts'!B33," "))</f>
        <v>94178</v>
      </c>
      <c r="E33" s="105">
        <f>IFERROR(Table1[[#This Row],[TOTAL VINES]]-Table1[[#This Row],[VINES LEFT]],"")</f>
        <v>63517</v>
      </c>
      <c r="F33" s="105">
        <v>30661</v>
      </c>
      <c r="G33" s="106">
        <f t="shared" si="0"/>
        <v>103.72026431718062</v>
      </c>
      <c r="H33" s="106">
        <f t="shared" si="1"/>
        <v>69.952643171806173</v>
      </c>
      <c r="I33" s="106">
        <f>Table1[[#This Row],[TOTAL ACRES]]-Table1[[#This Row],[ACRES PICKED]]</f>
        <v>33.767621145374449</v>
      </c>
      <c r="J33" s="106">
        <f>I28-Table1[[#This Row],[ACRES LEFT]]</f>
        <v>14.328193832599126</v>
      </c>
      <c r="K33" s="106">
        <v>4</v>
      </c>
      <c r="L33" s="106" t="s">
        <v>240</v>
      </c>
      <c r="M33" s="209">
        <v>93.58</v>
      </c>
      <c r="N33" s="107">
        <f t="shared" si="2"/>
        <v>6.5311790930053766</v>
      </c>
      <c r="O33" s="108">
        <f t="shared" si="3"/>
        <v>9.5887991845737321</v>
      </c>
      <c r="P33" s="109" t="s">
        <v>248</v>
      </c>
      <c r="Q33" s="12" t="s">
        <v>253</v>
      </c>
    </row>
    <row r="34" spans="1:18" ht="13.5" customHeight="1" x14ac:dyDescent="0.3">
      <c r="A34" s="210">
        <v>46238</v>
      </c>
      <c r="B34" s="12" t="s">
        <v>117</v>
      </c>
      <c r="C34" s="9" cm="1">
        <f t="array" ref="C34">IF(B34="","",_xlfn._xlws.FILTER('Source List'!I$2:I$268,'Source List'!G$2:G$268='Row Counts'!B34," "))</f>
        <v>691</v>
      </c>
      <c r="D34" s="104" cm="1">
        <f t="array" ref="D34">IF(B34="","",_xlfn._xlws.FILTER('Source List'!J$2:J$268,'Source List'!G$2:G$268='Row Counts'!B34," "))</f>
        <v>4869</v>
      </c>
      <c r="E34" s="105">
        <f>IFERROR(Table1[[#This Row],[TOTAL VINES]]-Table1[[#This Row],[VINES LEFT]],"")</f>
        <v>4869</v>
      </c>
      <c r="F34" s="105">
        <v>0</v>
      </c>
      <c r="G34" s="106">
        <f t="shared" si="0"/>
        <v>7.046309696092619</v>
      </c>
      <c r="H34" s="106">
        <f t="shared" si="1"/>
        <v>7.046309696092619</v>
      </c>
      <c r="I34" s="106">
        <f>Table1[[#This Row],[TOTAL ACRES]]-Table1[[#This Row],[ACRES PICKED]]</f>
        <v>0</v>
      </c>
      <c r="J34" s="106">
        <f>Table1[[#This Row],[ACRES PICKED]]</f>
        <v>7.046309696092619</v>
      </c>
      <c r="K34" s="106">
        <v>1</v>
      </c>
      <c r="L34" s="106" t="s">
        <v>254</v>
      </c>
      <c r="M34" s="209">
        <v>37.35</v>
      </c>
      <c r="N34" s="107">
        <f t="shared" si="2"/>
        <v>5.300646950092422</v>
      </c>
      <c r="O34" s="108">
        <f t="shared" si="3"/>
        <v>0</v>
      </c>
      <c r="P34" s="109" t="s">
        <v>236</v>
      </c>
      <c r="Q34" s="12" t="s">
        <v>255</v>
      </c>
    </row>
    <row r="35" spans="1:18" ht="13.5" customHeight="1" x14ac:dyDescent="0.3">
      <c r="A35" s="103">
        <v>46238</v>
      </c>
      <c r="B35" s="12" t="s">
        <v>120</v>
      </c>
      <c r="C35" s="9" cm="1">
        <f t="array" ref="C35">IF(B35="","",_xlfn._xlws.FILTER('Source List'!I$2:I$268,'Source List'!G$2:G$268='Row Counts'!B35," "))</f>
        <v>691</v>
      </c>
      <c r="D35" s="104" cm="1">
        <f t="array" ref="D35">IF(B35="","",_xlfn._xlws.FILTER('Source List'!J$2:J$268,'Source List'!G$2:G$268='Row Counts'!B35," "))</f>
        <v>4876</v>
      </c>
      <c r="E35" s="105">
        <f>IFERROR(Table1[[#This Row],[TOTAL VINES]]-Table1[[#This Row],[VINES LEFT]],"")</f>
        <v>2476</v>
      </c>
      <c r="F35" s="105">
        <v>2400</v>
      </c>
      <c r="G35" s="106">
        <f t="shared" ref="G35:G66" si="4">IFERROR(D35/C35,0)</f>
        <v>7.0564399421128803</v>
      </c>
      <c r="H35" s="106">
        <f t="shared" ref="H35:H58" si="5">IFERROR(E35/C35,0)</f>
        <v>3.5832127351664256</v>
      </c>
      <c r="I35" s="106">
        <f>Table1[[#This Row],[TOTAL ACRES]]-Table1[[#This Row],[ACRES PICKED]]</f>
        <v>3.4732272069464547</v>
      </c>
      <c r="J35" s="106">
        <f>Table1[[#This Row],[ACRES PICKED]]</f>
        <v>3.5832127351664256</v>
      </c>
      <c r="K35" s="106">
        <v>1.5</v>
      </c>
      <c r="L35" s="106" t="s">
        <v>254</v>
      </c>
      <c r="M35" s="209">
        <v>16.27</v>
      </c>
      <c r="N35" s="107">
        <f t="shared" si="2"/>
        <v>4.5406179321486269</v>
      </c>
      <c r="O35" s="108">
        <f t="shared" si="3"/>
        <v>0.68567816253424174</v>
      </c>
      <c r="P35" s="109" t="s">
        <v>236</v>
      </c>
      <c r="Q35" s="12" t="s">
        <v>256</v>
      </c>
    </row>
    <row r="36" spans="1:18" ht="13.5" customHeight="1" x14ac:dyDescent="0.3">
      <c r="A36" s="210">
        <v>46238</v>
      </c>
      <c r="B36" s="12" t="s">
        <v>171</v>
      </c>
      <c r="C36" s="9" cm="1">
        <f t="array" ref="C36">IF(B36="","",_xlfn._xlws.FILTER('Source List'!I$2:I$268,'Source List'!G$2:G$268='Row Counts'!B36," "))</f>
        <v>691</v>
      </c>
      <c r="D36" s="104" cm="1">
        <f t="array" ref="D36">IF(B36="","",_xlfn._xlws.FILTER('Source List'!J$2:J$268,'Source List'!G$2:G$268='Row Counts'!B36," "))</f>
        <v>26251</v>
      </c>
      <c r="E36" s="105">
        <f>IFERROR(Table1[[#This Row],[TOTAL VINES]]-Table1[[#This Row],[VINES LEFT]],"")</f>
        <v>26251</v>
      </c>
      <c r="F36" s="105">
        <v>0</v>
      </c>
      <c r="G36" s="106">
        <f t="shared" si="4"/>
        <v>37.98986975397974</v>
      </c>
      <c r="H36" s="106">
        <f t="shared" si="5"/>
        <v>37.98986975397974</v>
      </c>
      <c r="I36" s="106">
        <f>Table1[[#This Row],[TOTAL ACRES]]-Table1[[#This Row],[ACRES PICKED]]</f>
        <v>0</v>
      </c>
      <c r="J36" s="106">
        <f>I22</f>
        <v>17.094066570188133</v>
      </c>
      <c r="K36" s="106">
        <v>3.25</v>
      </c>
      <c r="L36" s="106" t="s">
        <v>257</v>
      </c>
      <c r="M36" s="209">
        <v>77.77</v>
      </c>
      <c r="N36" s="107">
        <f t="shared" si="2"/>
        <v>4.5495318320352185</v>
      </c>
      <c r="O36" s="108">
        <f t="shared" si="3"/>
        <v>0</v>
      </c>
      <c r="P36" s="109" t="s">
        <v>222</v>
      </c>
      <c r="Q36" s="12" t="s">
        <v>228</v>
      </c>
    </row>
    <row r="37" spans="1:18" s="124" customFormat="1" ht="13.5" customHeight="1" x14ac:dyDescent="0.3">
      <c r="A37" s="214">
        <v>46238</v>
      </c>
      <c r="B37" s="12" t="s">
        <v>124</v>
      </c>
      <c r="C37" s="9" cm="1">
        <f t="array" ref="C37">IF(B37="","",_xlfn._xlws.FILTER('Source List'!I$2:I$268,'Source List'!G$2:G$268='Row Counts'!B37," "))</f>
        <v>726</v>
      </c>
      <c r="D37" s="104" cm="1">
        <f t="array" ref="D37">IF(B37="","",_xlfn._xlws.FILTER('Source List'!J$2:J$268,'Source List'!G$2:G$268='Row Counts'!B37," "))</f>
        <v>27203</v>
      </c>
      <c r="E37" s="105">
        <f>Table1[[#This Row],[TOTAL VINES]]-Table1[[#This Row],[VINES LEFT]]</f>
        <v>20338</v>
      </c>
      <c r="F37" s="105">
        <v>6865</v>
      </c>
      <c r="G37" s="106">
        <f t="shared" si="4"/>
        <v>37.469696969696969</v>
      </c>
      <c r="H37" s="106">
        <f t="shared" si="5"/>
        <v>28.013774104683197</v>
      </c>
      <c r="I37" s="106">
        <f>Table1[[#This Row],[TOTAL ACRES]]-Table1[[#This Row],[ACRES PICKED]]</f>
        <v>9.4559228650137719</v>
      </c>
      <c r="J37" s="106">
        <f>Table1[[#This Row],[ACRES PICKED]]</f>
        <v>28.013774104683197</v>
      </c>
      <c r="K37" s="106">
        <v>8</v>
      </c>
      <c r="L37" s="106" t="s">
        <v>221</v>
      </c>
      <c r="M37" s="209">
        <v>191.92</v>
      </c>
      <c r="N37" s="107">
        <v>3</v>
      </c>
      <c r="O37" s="108">
        <f t="shared" si="3"/>
        <v>1.2333812432626658</v>
      </c>
      <c r="P37" s="109" t="s">
        <v>231</v>
      </c>
      <c r="Q37" s="12" t="s">
        <v>258</v>
      </c>
      <c r="R37" s="215"/>
    </row>
    <row r="38" spans="1:18" s="123" customFormat="1" ht="13.5" customHeight="1" x14ac:dyDescent="0.3">
      <c r="A38" s="199">
        <v>46238</v>
      </c>
      <c r="B38" s="123" t="s">
        <v>72</v>
      </c>
      <c r="C38" s="200" cm="1">
        <f t="array" ref="C38">IF(B38="","",_xlfn._xlws.FILTER('Source List'!I$2:I$268,'Source List'!G$2:G$268='Row Counts'!B38," "))</f>
        <v>807</v>
      </c>
      <c r="D38" s="201" cm="1">
        <f t="array" ref="D38">IF(B38="","",_xlfn._xlws.FILTER('Source List'!J$2:J$268,'Source List'!G$2:G$268='Row Counts'!B38," "))</f>
        <v>36108</v>
      </c>
      <c r="E38" s="202">
        <f>IFERROR(Table1[[#This Row],[TOTAL VINES]]-Table1[[#This Row],[VINES LEFT]],"")</f>
        <v>30971</v>
      </c>
      <c r="F38" s="202">
        <v>5137</v>
      </c>
      <c r="G38" s="203">
        <f t="shared" si="4"/>
        <v>44.743494423791823</v>
      </c>
      <c r="H38" s="203">
        <f t="shared" si="5"/>
        <v>38.377942998760844</v>
      </c>
      <c r="I38" s="203">
        <f>Table1[[#This Row],[TOTAL ACRES]]-Table1[[#This Row],[ACRES PICKED]]</f>
        <v>6.3655514250309793</v>
      </c>
      <c r="J38" s="203">
        <f>I31-Table1[[#This Row],[ACRES LEFT]]</f>
        <v>20.934324659231724</v>
      </c>
      <c r="K38" s="203">
        <v>7</v>
      </c>
      <c r="L38" s="203" t="s">
        <v>229</v>
      </c>
      <c r="M38" s="207">
        <v>167.74</v>
      </c>
      <c r="N38" s="204">
        <f t="shared" ref="N38:N101" si="6">IFERROR(M38/J38,0)</f>
        <v>8.0126778738013495</v>
      </c>
      <c r="O38" s="205">
        <f t="shared" si="3"/>
        <v>2.217613611212625</v>
      </c>
      <c r="P38" s="206" t="s">
        <v>259</v>
      </c>
      <c r="Q38" s="123" t="s">
        <v>260</v>
      </c>
    </row>
    <row r="39" spans="1:18" s="121" customFormat="1" ht="13.5" customHeight="1" x14ac:dyDescent="0.3">
      <c r="A39" s="170">
        <v>46239</v>
      </c>
      <c r="B39" s="121" t="s">
        <v>36</v>
      </c>
      <c r="C39" s="171" cm="1">
        <f t="array" ref="C39">IF(B39="","",_xlfn._xlws.FILTER('Source List'!I$2:I$268,'Source List'!G$2:G$268='Row Counts'!B39," "))</f>
        <v>908</v>
      </c>
      <c r="D39" s="172" cm="1">
        <f t="array" ref="D39">IF(B39="","",_xlfn._xlws.FILTER('Source List'!J$2:J$268,'Source List'!G$2:G$268='Row Counts'!B39," "))</f>
        <v>94178</v>
      </c>
      <c r="E39" s="173">
        <f>IFERROR(Table1[[#This Row],[TOTAL VINES]]-Table1[[#This Row],[VINES LEFT]],"")</f>
        <v>87308</v>
      </c>
      <c r="F39" s="173">
        <v>6870</v>
      </c>
      <c r="G39" s="174">
        <f t="shared" si="4"/>
        <v>103.72026431718062</v>
      </c>
      <c r="H39" s="174">
        <f t="shared" si="5"/>
        <v>96.154185022026425</v>
      </c>
      <c r="I39" s="174">
        <f>Table1[[#This Row],[TOTAL ACRES]]-Table1[[#This Row],[ACRES PICKED]]</f>
        <v>7.5660792951541964</v>
      </c>
      <c r="J39" s="174">
        <f>I33-Table1[[#This Row],[ACRES LEFT]]</f>
        <v>26.201541850220252</v>
      </c>
      <c r="K39" s="174">
        <v>7</v>
      </c>
      <c r="L39" s="174" t="s">
        <v>240</v>
      </c>
      <c r="M39" s="181">
        <v>163.02000000000001</v>
      </c>
      <c r="N39" s="176">
        <f t="shared" si="6"/>
        <v>6.2217712580387579</v>
      </c>
      <c r="O39" s="177">
        <f t="shared" si="3"/>
        <v>2.0467136823753269</v>
      </c>
      <c r="P39" s="178" t="s">
        <v>222</v>
      </c>
      <c r="Q39" s="121" t="s">
        <v>261</v>
      </c>
    </row>
    <row r="40" spans="1:18" ht="13.5" customHeight="1" x14ac:dyDescent="0.3">
      <c r="A40" s="103">
        <v>46239</v>
      </c>
      <c r="B40" s="12" t="s">
        <v>72</v>
      </c>
      <c r="C40" s="9" cm="1">
        <f t="array" ref="C40">IF(B40="","",_xlfn._xlws.FILTER('Source List'!I$2:I$268,'Source List'!G$2:G$268='Row Counts'!B40," "))</f>
        <v>807</v>
      </c>
      <c r="D40" s="104" cm="1">
        <f t="array" ref="D40">IF(B40="","",_xlfn._xlws.FILTER('Source List'!J$2:J$268,'Source List'!G$2:G$268='Row Counts'!B40," "))</f>
        <v>36108</v>
      </c>
      <c r="E40" s="105">
        <f>IFERROR(Table1[[#This Row],[TOTAL VINES]]-Table1[[#This Row],[VINES LEFT]],"")</f>
        <v>36108</v>
      </c>
      <c r="F40" s="105">
        <v>0</v>
      </c>
      <c r="G40" s="106">
        <f t="shared" si="4"/>
        <v>44.743494423791823</v>
      </c>
      <c r="H40" s="106">
        <f t="shared" si="5"/>
        <v>44.743494423791823</v>
      </c>
      <c r="I40" s="106">
        <f>Table1[[#This Row],[TOTAL ACRES]]-Table1[[#This Row],[ACRES PICKED]]</f>
        <v>0</v>
      </c>
      <c r="J40" s="106">
        <f>I38</f>
        <v>6.3655514250309793</v>
      </c>
      <c r="K40" s="106">
        <v>2.5</v>
      </c>
      <c r="L40" s="106" t="s">
        <v>229</v>
      </c>
      <c r="M40" s="209">
        <v>57.08</v>
      </c>
      <c r="N40" s="107">
        <f t="shared" si="6"/>
        <v>8.9670157679579514</v>
      </c>
      <c r="O40" s="108">
        <f t="shared" si="3"/>
        <v>0</v>
      </c>
      <c r="P40" s="109" t="s">
        <v>222</v>
      </c>
      <c r="Q40" s="12" t="s">
        <v>228</v>
      </c>
    </row>
    <row r="41" spans="1:18" ht="13.5" customHeight="1" x14ac:dyDescent="0.3">
      <c r="A41" s="170">
        <v>46239</v>
      </c>
      <c r="B41" s="12" t="s">
        <v>120</v>
      </c>
      <c r="C41" s="9" cm="1">
        <f t="array" ref="C41">IF(B41="","",_xlfn._xlws.FILTER('Source List'!I$2:I$268,'Source List'!G$2:G$268='Row Counts'!B41," "))</f>
        <v>691</v>
      </c>
      <c r="D41" s="104" cm="1">
        <f t="array" ref="D41">IF(B41="","",_xlfn._xlws.FILTER('Source List'!J$2:J$268,'Source List'!G$2:G$268='Row Counts'!B41," "))</f>
        <v>4876</v>
      </c>
      <c r="E41" s="105" t="str">
        <f ca="1">IFERROR(Table1[[#This Row],[TOTAL VINES]]-Table1[[#This Row],[VINES LEFT]],"")</f>
        <v/>
      </c>
      <c r="F41" s="105">
        <f ca="1">Table1[[#This Row],[TOTAL VINES]]-Table1[[#This Row],[VINES PICKED]]</f>
        <v>0</v>
      </c>
      <c r="G41" s="106">
        <f t="shared" si="4"/>
        <v>7.0564399421128803</v>
      </c>
      <c r="H41" s="106">
        <f t="shared" ca="1" si="5"/>
        <v>0</v>
      </c>
      <c r="I41" s="106">
        <f ca="1">Table1[[#This Row],[TOTAL ACRES]]-Table1[[#This Row],[ACRES PICKED]]</f>
        <v>0</v>
      </c>
      <c r="J41" s="106">
        <f ca="1">Table1[[#This Row],[ACRES PICKED]]</f>
        <v>0</v>
      </c>
      <c r="K41" s="106">
        <v>0.75</v>
      </c>
      <c r="L41" s="106" t="s">
        <v>254</v>
      </c>
      <c r="M41" s="209">
        <v>16.13</v>
      </c>
      <c r="N41" s="107">
        <f t="shared" ca="1" si="6"/>
        <v>0</v>
      </c>
      <c r="O41" s="108" t="str">
        <f t="shared" ca="1" si="3"/>
        <v/>
      </c>
      <c r="P41" s="109" t="s">
        <v>222</v>
      </c>
      <c r="Q41" s="12" t="s">
        <v>228</v>
      </c>
    </row>
    <row r="42" spans="1:18" ht="13.5" customHeight="1" x14ac:dyDescent="0.3">
      <c r="A42" s="103">
        <v>46239</v>
      </c>
      <c r="B42" s="12" t="s">
        <v>27</v>
      </c>
      <c r="C42" s="9" cm="1">
        <f t="array" ref="C42">IF(B42="","",_xlfn._xlws.FILTER('Source List'!I$2:I$268,'Source List'!G$2:G$268='Row Counts'!B42," "))</f>
        <v>545</v>
      </c>
      <c r="D42" s="104" cm="1">
        <f t="array" ref="D42">IF(B42="","",_xlfn._xlws.FILTER('Source List'!J$2:J$268,'Source List'!G$2:G$268='Row Counts'!B42," "))</f>
        <v>15354</v>
      </c>
      <c r="E42" s="105">
        <v>5401</v>
      </c>
      <c r="F42" s="105">
        <f>Table1[[#This Row],[TOTAL VINES]]-Table1[[#This Row],[VINES PICKED]]</f>
        <v>9953</v>
      </c>
      <c r="G42" s="106">
        <f t="shared" si="4"/>
        <v>28.172477064220182</v>
      </c>
      <c r="H42" s="106">
        <f t="shared" si="5"/>
        <v>9.9100917431192652</v>
      </c>
      <c r="I42" s="106">
        <f>Table1[[#This Row],[TOTAL ACRES]]-Table1[[#This Row],[ACRES PICKED]]</f>
        <v>18.262385321100915</v>
      </c>
      <c r="J42" s="106">
        <f>Table1[[#This Row],[ACRES PICKED]]</f>
        <v>9.9100917431192652</v>
      </c>
      <c r="K42" s="106">
        <v>2</v>
      </c>
      <c r="L42" s="106" t="s">
        <v>221</v>
      </c>
      <c r="M42" s="209">
        <v>49.04</v>
      </c>
      <c r="N42" s="107">
        <f t="shared" si="6"/>
        <v>4.9484910201814483</v>
      </c>
      <c r="O42" s="108">
        <f t="shared" si="3"/>
        <v>3.9291847725461464</v>
      </c>
      <c r="P42" s="109" t="s">
        <v>222</v>
      </c>
      <c r="Q42" s="12" t="s">
        <v>262</v>
      </c>
    </row>
    <row r="43" spans="1:18" ht="13.5" customHeight="1" x14ac:dyDescent="0.3">
      <c r="A43" s="170">
        <v>46239</v>
      </c>
      <c r="B43" s="12" t="s">
        <v>140</v>
      </c>
      <c r="C43" s="9" cm="1">
        <f t="array" ref="C43">IF(B43="","",_xlfn._xlws.FILTER('Source List'!I$2:I$268,'Source List'!G$2:G$268='Row Counts'!B43," "))</f>
        <v>908</v>
      </c>
      <c r="D43" s="104" cm="1">
        <f t="array" ref="D43">IF(B43="","",_xlfn._xlws.FILTER('Source List'!J$2:J$268,'Source List'!G$2:G$268='Row Counts'!B43," "))</f>
        <v>37921</v>
      </c>
      <c r="E43" s="105">
        <v>17377</v>
      </c>
      <c r="F43" s="105">
        <f>Table1[[#This Row],[TOTAL VINES]]-Table1[[#This Row],[VINES PICKED]]</f>
        <v>20544</v>
      </c>
      <c r="G43" s="106">
        <f t="shared" si="4"/>
        <v>41.763215859030836</v>
      </c>
      <c r="H43" s="106">
        <f t="shared" si="5"/>
        <v>19.137665198237887</v>
      </c>
      <c r="I43" s="106">
        <f>Table1[[#This Row],[TOTAL ACRES]]-Table1[[#This Row],[ACRES PICKED]]</f>
        <v>22.62555066079295</v>
      </c>
      <c r="J43" s="106">
        <f>Table1[[#This Row],[ACRES PICKED]]</f>
        <v>19.137665198237887</v>
      </c>
      <c r="K43" s="106">
        <v>4.5</v>
      </c>
      <c r="L43" s="106" t="s">
        <v>263</v>
      </c>
      <c r="M43" s="209">
        <v>98.31</v>
      </c>
      <c r="N43" s="107">
        <f t="shared" si="6"/>
        <v>5.1369902745007767</v>
      </c>
      <c r="O43" s="108">
        <f t="shared" si="3"/>
        <v>5.0533579869442606</v>
      </c>
      <c r="P43" s="109" t="s">
        <v>236</v>
      </c>
      <c r="Q43" s="12" t="s">
        <v>264</v>
      </c>
    </row>
    <row r="44" spans="1:18" ht="13.5" customHeight="1" x14ac:dyDescent="0.3">
      <c r="A44" s="103">
        <v>46239</v>
      </c>
      <c r="B44" s="12" t="s">
        <v>34</v>
      </c>
      <c r="C44" s="9" cm="1">
        <f t="array" ref="C44">IF(B44="","",_xlfn._xlws.FILTER('Source List'!I$2:I$268,'Source List'!G$2:G$268='Row Counts'!B44," "))</f>
        <v>622</v>
      </c>
      <c r="D44" s="104" cm="1">
        <f t="array" ref="D44">IF(B44="","",_xlfn._xlws.FILTER('Source List'!J$2:J$268,'Source List'!G$2:G$268='Row Counts'!B44," "))</f>
        <v>5633</v>
      </c>
      <c r="E44" s="105">
        <f>IFERROR(Table1[[#This Row],[TOTAL VINES]]-Table1[[#This Row],[VINES LEFT]],"")</f>
        <v>5633</v>
      </c>
      <c r="F44" s="105">
        <v>0</v>
      </c>
      <c r="G44" s="106">
        <f t="shared" si="4"/>
        <v>9.0562700964630221</v>
      </c>
      <c r="H44" s="106">
        <f t="shared" si="5"/>
        <v>9.0562700964630221</v>
      </c>
      <c r="I44" s="106">
        <f>Table1[[#This Row],[TOTAL ACRES]]-Table1[[#This Row],[ACRES PICKED]]</f>
        <v>0</v>
      </c>
      <c r="J44" s="106">
        <f>I5</f>
        <v>4.8295819935691311</v>
      </c>
      <c r="K44" s="106">
        <v>1</v>
      </c>
      <c r="L44" s="106" t="s">
        <v>221</v>
      </c>
      <c r="M44" s="209">
        <v>21.75</v>
      </c>
      <c r="N44" s="107">
        <f t="shared" si="6"/>
        <v>4.5034953395472712</v>
      </c>
      <c r="O44" s="108">
        <f t="shared" si="3"/>
        <v>0</v>
      </c>
      <c r="P44" s="109" t="s">
        <v>236</v>
      </c>
      <c r="Q44" s="12" t="s">
        <v>228</v>
      </c>
    </row>
    <row r="45" spans="1:18" s="124" customFormat="1" ht="13.5" customHeight="1" x14ac:dyDescent="0.3">
      <c r="A45" s="182">
        <v>46239</v>
      </c>
      <c r="B45" s="124" t="s">
        <v>169</v>
      </c>
      <c r="C45" s="163" cm="1">
        <f t="array" ref="C45">IF(B45="","",_xlfn._xlws.FILTER('Source List'!I$2:I$268,'Source List'!G$2:G$268='Row Counts'!B45," "))</f>
        <v>691</v>
      </c>
      <c r="D45" s="164" cm="1">
        <f t="array" ref="D45">IF(B45="","",_xlfn._xlws.FILTER('Source List'!J$2:J$268,'Source List'!G$2:G$268='Row Counts'!B45," "))</f>
        <v>18780</v>
      </c>
      <c r="E45" s="165">
        <v>8609</v>
      </c>
      <c r="F45" s="165">
        <f>Table1[[#This Row],[TOTAL VINES]]-Table1[[#This Row],[VINES PICKED]]</f>
        <v>10171</v>
      </c>
      <c r="G45" s="166">
        <f t="shared" si="4"/>
        <v>27.178002894356005</v>
      </c>
      <c r="H45" s="166">
        <f t="shared" si="5"/>
        <v>12.458755426917511</v>
      </c>
      <c r="I45" s="166">
        <f>Table1[[#This Row],[TOTAL ACRES]]-Table1[[#This Row],[ACRES PICKED]]</f>
        <v>14.719247467438494</v>
      </c>
      <c r="J45" s="166">
        <f>Table1[[#This Row],[ACRES PICKED]]</f>
        <v>12.458755426917511</v>
      </c>
      <c r="K45" s="166">
        <v>4</v>
      </c>
      <c r="L45" s="166" t="s">
        <v>221</v>
      </c>
      <c r="M45" s="180">
        <v>95.32</v>
      </c>
      <c r="N45" s="167">
        <f t="shared" si="6"/>
        <v>7.6508444650946679</v>
      </c>
      <c r="O45" s="168">
        <f t="shared" si="3"/>
        <v>4.8962901311569791</v>
      </c>
      <c r="P45" s="169" t="s">
        <v>236</v>
      </c>
      <c r="Q45" s="124" t="s">
        <v>265</v>
      </c>
    </row>
    <row r="46" spans="1:18" s="154" customFormat="1" ht="13.5" customHeight="1" x14ac:dyDescent="0.3">
      <c r="A46" s="153">
        <v>46239</v>
      </c>
      <c r="B46" s="154" t="s">
        <v>124</v>
      </c>
      <c r="C46" s="155" cm="1">
        <f t="array" ref="C46">IF(B46="","",_xlfn._xlws.FILTER('Source List'!I$2:I$268,'Source List'!G$2:G$268='Row Counts'!B46," "))</f>
        <v>726</v>
      </c>
      <c r="D46" s="156" cm="1">
        <f t="array" ref="D46">IF(B46="","",_xlfn._xlws.FILTER('Source List'!J$2:J$268,'Source List'!G$2:G$268='Row Counts'!B46," "))</f>
        <v>27203</v>
      </c>
      <c r="E46" s="157">
        <f>IFERROR(Table1[[#This Row],[TOTAL VINES]]-Table1[[#This Row],[VINES LEFT]],"")</f>
        <v>27203</v>
      </c>
      <c r="F46" s="157">
        <v>0</v>
      </c>
      <c r="G46" s="158">
        <f t="shared" si="4"/>
        <v>37.469696969696969</v>
      </c>
      <c r="H46" s="158">
        <f t="shared" si="5"/>
        <v>37.469696969696969</v>
      </c>
      <c r="I46" s="158">
        <f>Table1[[#This Row],[TOTAL ACRES]]-Table1[[#This Row],[ACRES PICKED]]</f>
        <v>0</v>
      </c>
      <c r="J46" s="158">
        <f>I37</f>
        <v>9.4559228650137719</v>
      </c>
      <c r="K46" s="158">
        <v>2.5</v>
      </c>
      <c r="L46" s="158" t="s">
        <v>221</v>
      </c>
      <c r="M46" s="179">
        <v>61.81</v>
      </c>
      <c r="N46" s="159">
        <f t="shared" si="6"/>
        <v>6.5366438455935922</v>
      </c>
      <c r="O46" s="160">
        <f t="shared" si="3"/>
        <v>0</v>
      </c>
      <c r="P46" s="161" t="s">
        <v>236</v>
      </c>
      <c r="Q46" s="154" t="s">
        <v>228</v>
      </c>
    </row>
    <row r="47" spans="1:18" s="121" customFormat="1" ht="13.5" customHeight="1" x14ac:dyDescent="0.3">
      <c r="A47" s="170">
        <v>46240</v>
      </c>
      <c r="B47" s="121" t="s">
        <v>121</v>
      </c>
      <c r="C47" s="171" cm="1">
        <f t="array" ref="C47">IF(B47="","",_xlfn._xlws.FILTER('Source List'!I$2:I$268,'Source List'!G$2:G$268='Row Counts'!B47," "))</f>
        <v>807</v>
      </c>
      <c r="D47" s="172" cm="1">
        <f t="array" ref="D47">IF(B47="","",_xlfn._xlws.FILTER('Source List'!J$2:J$268,'Source List'!G$2:G$268='Row Counts'!B47," "))</f>
        <v>30338</v>
      </c>
      <c r="E47" s="173">
        <f>IFERROR(Table1[[#This Row],[TOTAL VINES]]-Table1[[#This Row],[VINES LEFT]],"")</f>
        <v>30338</v>
      </c>
      <c r="F47" s="173">
        <v>0</v>
      </c>
      <c r="G47" s="174">
        <f t="shared" si="4"/>
        <v>37.59355638166047</v>
      </c>
      <c r="H47" s="174">
        <f t="shared" si="5"/>
        <v>37.59355638166047</v>
      </c>
      <c r="I47" s="174">
        <f>Table1[[#This Row],[TOTAL ACRES]]-Table1[[#This Row],[ACRES PICKED]]</f>
        <v>0</v>
      </c>
      <c r="J47" s="174">
        <f>Table1[[#This Row],[ACRES PICKED]]</f>
        <v>37.59355638166047</v>
      </c>
      <c r="K47" s="174">
        <v>8</v>
      </c>
      <c r="L47" s="174" t="s">
        <v>221</v>
      </c>
      <c r="M47" s="181">
        <v>193.49</v>
      </c>
      <c r="N47" s="176">
        <f t="shared" si="6"/>
        <v>5.146892675852067</v>
      </c>
      <c r="O47" s="177">
        <f t="shared" si="3"/>
        <v>0</v>
      </c>
      <c r="P47" s="178" t="s">
        <v>236</v>
      </c>
      <c r="Q47" s="121" t="s">
        <v>228</v>
      </c>
    </row>
    <row r="48" spans="1:18" s="121" customFormat="1" ht="13.5" customHeight="1" x14ac:dyDescent="0.3">
      <c r="A48" s="214">
        <v>46240</v>
      </c>
      <c r="B48" s="12" t="s">
        <v>75</v>
      </c>
      <c r="C48" s="9">
        <v>691</v>
      </c>
      <c r="D48" s="104">
        <f>SUM(D49:D50)</f>
        <v>45595</v>
      </c>
      <c r="E48" s="105">
        <v>18487</v>
      </c>
      <c r="F48" s="105">
        <f>Table1[[#This Row],[TOTAL VINES]]-Table1[[#This Row],[VINES PICKED]]</f>
        <v>27108</v>
      </c>
      <c r="G48" s="106">
        <f t="shared" si="4"/>
        <v>65.984081041968167</v>
      </c>
      <c r="H48" s="106">
        <f t="shared" si="5"/>
        <v>26.753979739507958</v>
      </c>
      <c r="I48" s="106">
        <f>Table1[[#This Row],[TOTAL ACRES]]-Table1[[#This Row],[ACRES PICKED]]</f>
        <v>39.230101302460213</v>
      </c>
      <c r="J48" s="106">
        <f>Table1[[#This Row],[ACRES PICKED]]</f>
        <v>26.753979739507958</v>
      </c>
      <c r="K48" s="106">
        <v>7</v>
      </c>
      <c r="L48" s="106" t="s">
        <v>221</v>
      </c>
      <c r="M48" s="209">
        <v>164.93</v>
      </c>
      <c r="N48" s="107">
        <f t="shared" si="6"/>
        <v>6.1646903229296264</v>
      </c>
      <c r="O48" s="108">
        <f t="shared" si="3"/>
        <v>10.514844602905452</v>
      </c>
      <c r="P48" s="109" t="s">
        <v>236</v>
      </c>
      <c r="Q48" s="12" t="s">
        <v>266</v>
      </c>
      <c r="R48" s="215"/>
    </row>
    <row r="49" spans="1:18" ht="13.5" customHeight="1" x14ac:dyDescent="0.3">
      <c r="A49" s="170">
        <v>46240</v>
      </c>
      <c r="B49" s="12" t="s">
        <v>267</v>
      </c>
      <c r="C49" s="9" cm="1">
        <f t="array" ref="C49">IF(B49="","",_xlfn._xlws.FILTER('Source List'!I$2:I$268,'Source List'!G$2:G$268='Row Counts'!B49," "))</f>
        <v>691</v>
      </c>
      <c r="D49" s="104" cm="1">
        <f t="array" ref="D49">IF(B49="","",_xlfn._xlws.FILTER('Source List'!J$2:J$268,'Source List'!G$2:G$268='Row Counts'!B49," "))</f>
        <v>30372</v>
      </c>
      <c r="E49" s="105" t="str">
        <f ca="1">IFERROR(Table1[[#This Row],[TOTAL VINES]]-Table1[[#This Row],[VINES LEFT]],"")</f>
        <v/>
      </c>
      <c r="F49" s="105">
        <f ca="1">Table1[[#This Row],[TOTAL VINES]]-Table1[[#This Row],[VINES PICKED]]</f>
        <v>0</v>
      </c>
      <c r="G49" s="106">
        <f t="shared" si="4"/>
        <v>43.953690303907379</v>
      </c>
      <c r="H49" s="106">
        <f t="shared" ca="1" si="5"/>
        <v>0</v>
      </c>
      <c r="I49" s="106">
        <f ca="1">Table1[[#This Row],[TOTAL ACRES]]-Table1[[#This Row],[ACRES PICKED]]</f>
        <v>0</v>
      </c>
      <c r="J49" s="106">
        <f ca="1">Table1[[#This Row],[ACRES PICKED]]</f>
        <v>0</v>
      </c>
      <c r="L49" s="106" t="s">
        <v>221</v>
      </c>
      <c r="M49" s="118">
        <f>Table1[[#This Row],[LOADS]]*24</f>
        <v>0</v>
      </c>
      <c r="N49" s="107">
        <f t="shared" ca="1" si="6"/>
        <v>0</v>
      </c>
      <c r="O49" s="108" t="str">
        <f t="shared" ca="1" si="3"/>
        <v/>
      </c>
    </row>
    <row r="50" spans="1:18" ht="13.5" customHeight="1" x14ac:dyDescent="0.3">
      <c r="A50" s="214">
        <v>46240</v>
      </c>
      <c r="B50" s="12" t="s">
        <v>268</v>
      </c>
      <c r="C50" s="9" cm="1">
        <f t="array" ref="C50">IF(B50="","",_xlfn._xlws.FILTER('Source List'!I$2:I$268,'Source List'!G$2:G$268='Row Counts'!B50," "))</f>
        <v>691</v>
      </c>
      <c r="D50" s="104" cm="1">
        <f t="array" ref="D50">IF(B50="","",_xlfn._xlws.FILTER('Source List'!J$2:J$268,'Source List'!G$2:G$268='Row Counts'!B50," "))</f>
        <v>15223</v>
      </c>
      <c r="E50" s="105">
        <f>IFERROR(Table1[[#This Row],[TOTAL VINES]]-Table1[[#This Row],[VINES LEFT]],"")</f>
        <v>15223</v>
      </c>
      <c r="F50" s="105">
        <v>0</v>
      </c>
      <c r="G50" s="106">
        <f t="shared" si="4"/>
        <v>22.030390738060781</v>
      </c>
      <c r="H50" s="106">
        <f t="shared" si="5"/>
        <v>22.030390738060781</v>
      </c>
      <c r="I50" s="106">
        <f>Table1[[#This Row],[TOTAL ACRES]]-Table1[[#This Row],[ACRES PICKED]]</f>
        <v>0</v>
      </c>
      <c r="J50" s="106">
        <f>Table1[[#This Row],[ACRES PICKED]]</f>
        <v>22.030390738060781</v>
      </c>
      <c r="L50" s="106" t="s">
        <v>221</v>
      </c>
      <c r="M50" s="118">
        <f>Table1[[#This Row],[LOADS]]*24</f>
        <v>0</v>
      </c>
      <c r="N50" s="107">
        <f t="shared" si="6"/>
        <v>0</v>
      </c>
      <c r="O50" s="108">
        <f t="shared" si="3"/>
        <v>0</v>
      </c>
    </row>
    <row r="51" spans="1:18" ht="13.5" customHeight="1" x14ac:dyDescent="0.3">
      <c r="A51" s="170">
        <v>46240</v>
      </c>
      <c r="B51" s="12" t="s">
        <v>33</v>
      </c>
      <c r="C51" s="9" cm="1">
        <f t="array" ref="C51">IF(B51="","",_xlfn._xlws.FILTER('Source List'!I$2:I$268,'Source List'!G$2:G$268='Row Counts'!B51," "))</f>
        <v>691</v>
      </c>
      <c r="D51" s="104" cm="1">
        <f t="array" ref="D51">IF(B51="","",_xlfn._xlws.FILTER('Source List'!J$2:J$268,'Source List'!G$2:G$268='Row Counts'!B51," "))</f>
        <v>30586</v>
      </c>
      <c r="E51" s="105">
        <f>IFERROR(Table1[[#This Row],[TOTAL VINES]]-Table1[[#This Row],[VINES LEFT]],"")</f>
        <v>18376</v>
      </c>
      <c r="F51" s="105">
        <f>10037+2173</f>
        <v>12210</v>
      </c>
      <c r="G51" s="106">
        <f t="shared" si="4"/>
        <v>44.263386396526769</v>
      </c>
      <c r="H51" s="106">
        <f t="shared" si="5"/>
        <v>26.593342981186687</v>
      </c>
      <c r="I51" s="106">
        <f>Table1[[#This Row],[TOTAL ACRES]]-Table1[[#This Row],[ACRES PICKED]]</f>
        <v>17.670043415340082</v>
      </c>
      <c r="J51" s="106">
        <f>I32-Table1[[#This Row],[ACRES LEFT]]</f>
        <v>18.379160636758321</v>
      </c>
      <c r="K51" s="106">
        <v>5.5</v>
      </c>
      <c r="L51" s="106" t="s">
        <v>221</v>
      </c>
      <c r="M51" s="209">
        <v>125.73</v>
      </c>
      <c r="N51" s="107">
        <f t="shared" si="6"/>
        <v>6.8409000000000004</v>
      </c>
      <c r="O51" s="108">
        <f t="shared" si="3"/>
        <v>5.2556086956521728</v>
      </c>
      <c r="P51" s="109" t="s">
        <v>236</v>
      </c>
      <c r="Q51" s="12" t="s">
        <v>269</v>
      </c>
    </row>
    <row r="52" spans="1:18" ht="13.5" customHeight="1" x14ac:dyDescent="0.3">
      <c r="A52" s="214">
        <v>46240</v>
      </c>
      <c r="B52" s="12" t="s">
        <v>69</v>
      </c>
      <c r="C52" s="9" cm="1">
        <f t="array" ref="C52">IF(B52="","",_xlfn._xlws.FILTER('Source List'!I$2:I$268,'Source List'!G$2:G$268='Row Counts'!B52," "))</f>
        <v>807</v>
      </c>
      <c r="D52" s="104" cm="1">
        <f t="array" ref="D52">IF(B52="","",_xlfn._xlws.FILTER('Source List'!J$2:J$268,'Source List'!G$2:G$268='Row Counts'!B52," "))</f>
        <v>36610</v>
      </c>
      <c r="E52" s="105">
        <v>17447</v>
      </c>
      <c r="F52" s="105">
        <f>Table1[[#This Row],[TOTAL VINES]]-Table1[[#This Row],[VINES PICKED]]</f>
        <v>19163</v>
      </c>
      <c r="G52" s="106">
        <f t="shared" si="4"/>
        <v>45.365551425030979</v>
      </c>
      <c r="H52" s="106">
        <f t="shared" si="5"/>
        <v>21.619578686493185</v>
      </c>
      <c r="I52" s="106">
        <f>Table1[[#This Row],[TOTAL ACRES]]-Table1[[#This Row],[ACRES PICKED]]</f>
        <v>23.745972738537795</v>
      </c>
      <c r="J52" s="106">
        <f>Table1[[#This Row],[ACRES PICKED]]</f>
        <v>21.619578686493185</v>
      </c>
      <c r="K52" s="106">
        <v>7</v>
      </c>
      <c r="L52" s="106" t="s">
        <v>221</v>
      </c>
      <c r="M52" s="209">
        <v>167.2</v>
      </c>
      <c r="N52" s="107">
        <f t="shared" si="6"/>
        <v>7.7337307273456748</v>
      </c>
      <c r="O52" s="108">
        <f t="shared" si="3"/>
        <v>7.984563435597499</v>
      </c>
      <c r="P52" s="109" t="s">
        <v>236</v>
      </c>
      <c r="Q52" s="12" t="s">
        <v>270</v>
      </c>
    </row>
    <row r="53" spans="1:18" ht="13.5" customHeight="1" x14ac:dyDescent="0.3">
      <c r="A53" s="170">
        <v>46240</v>
      </c>
      <c r="B53" s="12" t="s">
        <v>36</v>
      </c>
      <c r="C53" s="9" cm="1">
        <f t="array" ref="C53">IF(B53="","",_xlfn._xlws.FILTER('Source List'!I$2:I$268,'Source List'!G$2:G$268='Row Counts'!B53," "))</f>
        <v>908</v>
      </c>
      <c r="D53" s="104" cm="1">
        <f t="array" ref="D53">IF(B53="","",_xlfn._xlws.FILTER('Source List'!J$2:J$268,'Source List'!G$2:G$268='Row Counts'!B53," "))</f>
        <v>94178</v>
      </c>
      <c r="E53" s="105">
        <f>IFERROR(Table1[[#This Row],[TOTAL VINES]]-Table1[[#This Row],[VINES LEFT]],"")</f>
        <v>94178</v>
      </c>
      <c r="F53" s="105">
        <v>0</v>
      </c>
      <c r="G53" s="106">
        <f t="shared" si="4"/>
        <v>103.72026431718062</v>
      </c>
      <c r="H53" s="106">
        <f t="shared" si="5"/>
        <v>103.72026431718062</v>
      </c>
      <c r="I53" s="106">
        <f>Table1[[#This Row],[TOTAL ACRES]]-Table1[[#This Row],[ACRES PICKED]]</f>
        <v>0</v>
      </c>
      <c r="J53" s="106">
        <f>Table1[[#This Row],[ACRES PICKED]]</f>
        <v>103.72026431718062</v>
      </c>
      <c r="K53" s="106">
        <v>2</v>
      </c>
      <c r="L53" s="106" t="s">
        <v>240</v>
      </c>
      <c r="M53" s="209">
        <v>47.12</v>
      </c>
      <c r="N53" s="107">
        <f t="shared" si="6"/>
        <v>0.45429888084265962</v>
      </c>
      <c r="O53" s="108">
        <f t="shared" si="3"/>
        <v>0</v>
      </c>
      <c r="P53" s="109" t="s">
        <v>236</v>
      </c>
      <c r="Q53" s="12" t="s">
        <v>271</v>
      </c>
    </row>
    <row r="54" spans="1:18" s="124" customFormat="1" ht="13.5" customHeight="1" x14ac:dyDescent="0.3">
      <c r="A54" s="162">
        <v>46240</v>
      </c>
      <c r="B54" s="124" t="s">
        <v>140</v>
      </c>
      <c r="C54" s="163" cm="1">
        <f t="array" ref="C54">IF(B54="","",_xlfn._xlws.FILTER('Source List'!I$2:I$268,'Source List'!G$2:G$268='Row Counts'!B54," "))</f>
        <v>908</v>
      </c>
      <c r="D54" s="164" cm="1">
        <f t="array" ref="D54">IF(B54="","",_xlfn._xlws.FILTER('Source List'!J$2:J$268,'Source List'!G$2:G$268='Row Counts'!B54," "))</f>
        <v>37921</v>
      </c>
      <c r="E54" s="165">
        <f>Table1[[#This Row],[TOTAL VINES]]-F54</f>
        <v>30132</v>
      </c>
      <c r="F54" s="165">
        <v>7789</v>
      </c>
      <c r="G54" s="166">
        <f t="shared" si="4"/>
        <v>41.763215859030836</v>
      </c>
      <c r="H54" s="166">
        <f t="shared" si="5"/>
        <v>33.185022026431717</v>
      </c>
      <c r="I54" s="166">
        <f>Table1[[#This Row],[TOTAL ACRES]]-Table1[[#This Row],[ACRES PICKED]]</f>
        <v>8.5781938325991192</v>
      </c>
      <c r="J54" s="166">
        <f>I43-Table1[[#This Row],[ACRES LEFT]]</f>
        <v>14.047356828193831</v>
      </c>
      <c r="K54" s="166">
        <v>4</v>
      </c>
      <c r="L54" s="166" t="s">
        <v>272</v>
      </c>
      <c r="M54" s="180">
        <v>92.11</v>
      </c>
      <c r="N54" s="167">
        <f t="shared" si="6"/>
        <v>6.5571054488435916</v>
      </c>
      <c r="O54" s="168">
        <f t="shared" si="3"/>
        <v>2.4455705009118338</v>
      </c>
      <c r="P54" s="169"/>
      <c r="Q54" t="s">
        <v>273</v>
      </c>
    </row>
    <row r="55" spans="1:18" s="228" customFormat="1" ht="13.5" customHeight="1" x14ac:dyDescent="0.3">
      <c r="A55" s="227">
        <v>46240</v>
      </c>
      <c r="B55" s="228" t="s">
        <v>79</v>
      </c>
      <c r="C55" s="229" cm="1">
        <f t="array" ref="C55">IF(B55="","",_xlfn._xlws.FILTER('Source List'!I$2:I$268,'Source List'!G$2:G$268='Row Counts'!B55," "))</f>
        <v>605</v>
      </c>
      <c r="D55" s="230" cm="1">
        <f t="array" ref="D55">IF(B55="","",_xlfn._xlws.FILTER('Source List'!J$2:J$268,'Source List'!G$2:G$268='Row Counts'!B55," "))</f>
        <v>22654</v>
      </c>
      <c r="E55" s="231" t="str">
        <f ca="1">IFERROR(Table1[[#This Row],[TOTAL VINES]]-Table1[[#This Row],[VINES LEFT]],"")</f>
        <v/>
      </c>
      <c r="F55" s="231">
        <f ca="1">Table1[[#This Row],[TOTAL VINES]]-Table1[[#This Row],[VINES PICKED]]</f>
        <v>0</v>
      </c>
      <c r="G55" s="232">
        <f t="shared" si="4"/>
        <v>37.444628099173556</v>
      </c>
      <c r="H55" s="232">
        <f t="shared" ca="1" si="5"/>
        <v>0</v>
      </c>
      <c r="I55" s="232">
        <f ca="1">Table1[[#This Row],[TOTAL ACRES]]-Table1[[#This Row],[ACRES PICKED]]</f>
        <v>0</v>
      </c>
      <c r="J55" s="232">
        <f ca="1">Table1[[#This Row],[ACRES PICKED]]</f>
        <v>0</v>
      </c>
      <c r="K55" s="232"/>
      <c r="L55" s="232" t="s">
        <v>274</v>
      </c>
      <c r="M55" s="282">
        <v>5.13</v>
      </c>
      <c r="N55" s="233">
        <f t="shared" ca="1" si="6"/>
        <v>0</v>
      </c>
      <c r="O55" s="234" t="str">
        <f t="shared" ca="1" si="3"/>
        <v/>
      </c>
      <c r="P55" s="235"/>
    </row>
    <row r="56" spans="1:18" s="219" customFormat="1" ht="13.5" customHeight="1" x14ac:dyDescent="0.3">
      <c r="A56" s="218">
        <v>46240</v>
      </c>
      <c r="B56" s="219" t="s">
        <v>27</v>
      </c>
      <c r="C56" s="220" cm="1">
        <f t="array" ref="C56">IF(B56="","",_xlfn._xlws.FILTER('Source List'!I$2:I$268,'Source List'!G$2:G$268='Row Counts'!B56," "))</f>
        <v>545</v>
      </c>
      <c r="D56" s="221" cm="1">
        <f t="array" ref="D56">IF(B56="","",_xlfn._xlws.FILTER('Source List'!J$2:J$268,'Source List'!G$2:G$268='Row Counts'!B56," "))</f>
        <v>15354</v>
      </c>
      <c r="E56" s="222">
        <f>IFERROR(Table1[[#This Row],[TOTAL VINES]]-Table1[[#This Row],[VINES LEFT]],"")</f>
        <v>15081</v>
      </c>
      <c r="F56" s="222">
        <v>273</v>
      </c>
      <c r="G56" s="223">
        <f t="shared" si="4"/>
        <v>28.172477064220182</v>
      </c>
      <c r="H56" s="223">
        <f t="shared" si="5"/>
        <v>27.671559633027524</v>
      </c>
      <c r="I56" s="223">
        <f>Table1[[#This Row],[TOTAL ACRES]]-Table1[[#This Row],[ACRES PICKED]]</f>
        <v>0.50091743119265786</v>
      </c>
      <c r="J56" s="223">
        <f>I42-Table1[[#This Row],[ACRES LEFT]]</f>
        <v>17.761467889908257</v>
      </c>
      <c r="K56" s="223">
        <v>4</v>
      </c>
      <c r="L56" s="223" t="s">
        <v>221</v>
      </c>
      <c r="M56" s="239">
        <v>95.6</v>
      </c>
      <c r="N56" s="224">
        <f t="shared" si="6"/>
        <v>5.3824380165289254</v>
      </c>
      <c r="O56" s="225">
        <f t="shared" si="3"/>
        <v>0.11722421846927712</v>
      </c>
      <c r="P56" s="226"/>
    </row>
    <row r="57" spans="1:18" s="121" customFormat="1" ht="13.5" customHeight="1" x14ac:dyDescent="0.3">
      <c r="A57" s="170">
        <v>46241</v>
      </c>
      <c r="B57" s="121" t="s">
        <v>33</v>
      </c>
      <c r="C57" s="171" cm="1">
        <f t="array" ref="C57">IF(B57="","",_xlfn._xlws.FILTER('Source List'!I$2:I$268,'Source List'!G$2:G$268='Row Counts'!B57," "))</f>
        <v>691</v>
      </c>
      <c r="D57" s="172" cm="1">
        <f t="array" ref="D57">IF(B57="","",_xlfn._xlws.FILTER('Source List'!J$2:J$268,'Source List'!G$2:G$268='Row Counts'!B57," "))</f>
        <v>30586</v>
      </c>
      <c r="E57" s="173">
        <f>IFERROR(Table1[[#This Row],[TOTAL VINES]]-Table1[[#This Row],[VINES LEFT]],"")</f>
        <v>30586</v>
      </c>
      <c r="F57" s="173">
        <v>0</v>
      </c>
      <c r="G57" s="174">
        <f t="shared" si="4"/>
        <v>44.263386396526769</v>
      </c>
      <c r="H57" s="174">
        <f t="shared" si="5"/>
        <v>44.263386396526769</v>
      </c>
      <c r="I57" s="174">
        <f>Table1[[#This Row],[TOTAL ACRES]]-Table1[[#This Row],[ACRES PICKED]]</f>
        <v>0</v>
      </c>
      <c r="J57" s="174">
        <f>Table1[[#This Row],[ACRES PICKED]]</f>
        <v>44.263386396526769</v>
      </c>
      <c r="K57" s="174">
        <v>5.75</v>
      </c>
      <c r="L57" s="174" t="s">
        <v>221</v>
      </c>
      <c r="M57" s="181">
        <v>136.72</v>
      </c>
      <c r="N57" s="176">
        <f t="shared" si="6"/>
        <v>3.0887831033806319</v>
      </c>
      <c r="O57" s="177">
        <f t="shared" si="3"/>
        <v>0</v>
      </c>
      <c r="P57" s="178" t="s">
        <v>236</v>
      </c>
      <c r="Q57" s="121" t="s">
        <v>228</v>
      </c>
    </row>
    <row r="58" spans="1:18" ht="13.5" customHeight="1" x14ac:dyDescent="0.3">
      <c r="A58" s="103">
        <v>46241</v>
      </c>
      <c r="B58" s="12" t="s">
        <v>75</v>
      </c>
      <c r="C58" s="9">
        <v>691</v>
      </c>
      <c r="D58" s="104">
        <v>30586</v>
      </c>
      <c r="E58" s="105">
        <f>IFERROR(Table1[[#This Row],[TOTAL VINES]]-Table1[[#This Row],[VINES LEFT]],"")</f>
        <v>16380</v>
      </c>
      <c r="F58" s="105">
        <v>14206</v>
      </c>
      <c r="G58" s="106">
        <f t="shared" si="4"/>
        <v>44.263386396526769</v>
      </c>
      <c r="H58" s="106">
        <f t="shared" si="5"/>
        <v>23.704775687409551</v>
      </c>
      <c r="I58" s="106">
        <f>Table1[[#This Row],[TOTAL ACRES]]-Table1[[#This Row],[ACRES PICKED]]</f>
        <v>20.558610709117218</v>
      </c>
      <c r="J58" s="106">
        <f>I48-Table1[[#This Row],[ACRES LEFT]]</f>
        <v>18.671490593342995</v>
      </c>
      <c r="K58" s="106">
        <v>4</v>
      </c>
      <c r="L58" s="106" t="s">
        <v>221</v>
      </c>
      <c r="M58" s="209">
        <v>94.47</v>
      </c>
      <c r="N58" s="107">
        <f t="shared" si="6"/>
        <v>5.0595853356068785</v>
      </c>
      <c r="O58" s="108">
        <f t="shared" si="3"/>
        <v>4.5225237071434785</v>
      </c>
      <c r="P58" s="109" t="s">
        <v>231</v>
      </c>
      <c r="Q58" s="12" t="s">
        <v>275</v>
      </c>
      <c r="R58" s="12" t="s">
        <v>276</v>
      </c>
    </row>
    <row r="59" spans="1:18" ht="13.5" customHeight="1" x14ac:dyDescent="0.3">
      <c r="A59" s="210">
        <v>46241</v>
      </c>
      <c r="B59" s="12" t="s">
        <v>118</v>
      </c>
      <c r="C59" s="9" cm="1">
        <f t="array" ref="C59">IF(B59="","",_xlfn._xlws.FILTER('Source List'!I$2:I$268,'Source List'!G$2:G$268='Row Counts'!B59," "))</f>
        <v>778</v>
      </c>
      <c r="D59" s="104" cm="1">
        <f t="array" ref="D59">IF(B59="","",_xlfn._xlws.FILTER('Source List'!J$2:J$268,'Source List'!G$2:G$268='Row Counts'!B59," "))</f>
        <v>29280</v>
      </c>
      <c r="E59" s="105">
        <f>IFERROR(Table1[[#This Row],[TOTAL VINES]]-Table1[[#This Row],[VINES LEFT]],"")</f>
        <v>29280</v>
      </c>
      <c r="F59" s="105">
        <v>0</v>
      </c>
      <c r="G59" s="106">
        <f t="shared" si="4"/>
        <v>37.634961439588686</v>
      </c>
      <c r="H59" s="106">
        <v>26.34</v>
      </c>
      <c r="I59" s="106">
        <f>Table1[[#This Row],[TOTAL ACRES]]-Table1[[#This Row],[ACRES PICKED]]</f>
        <v>11.294961439588686</v>
      </c>
      <c r="J59" s="106">
        <f>Table1[[#This Row],[ACRES PICKED]]</f>
        <v>26.34</v>
      </c>
      <c r="K59" s="106">
        <v>3</v>
      </c>
      <c r="L59" s="106" t="s">
        <v>277</v>
      </c>
      <c r="M59" s="209">
        <v>72.010000000000005</v>
      </c>
      <c r="N59" s="107">
        <f t="shared" si="6"/>
        <v>2.7338648443432043</v>
      </c>
      <c r="O59" s="108">
        <f t="shared" si="3"/>
        <v>1.3425607825175485</v>
      </c>
      <c r="Q59" s="12" t="s">
        <v>228</v>
      </c>
      <c r="R59" s="255" t="s">
        <v>278</v>
      </c>
    </row>
    <row r="60" spans="1:18" ht="13.5" customHeight="1" x14ac:dyDescent="0.3">
      <c r="A60" s="214">
        <v>46241</v>
      </c>
      <c r="B60" s="12" t="s">
        <v>118</v>
      </c>
      <c r="C60" s="9" cm="1">
        <f t="array" ref="C60">IF(B60="","",_xlfn._xlws.FILTER('Source List'!I$2:I$268,'Source List'!G$2:G$268='Row Counts'!B60," "))</f>
        <v>778</v>
      </c>
      <c r="D60" s="104" cm="1">
        <f t="array" ref="D60">IF(B60="","",_xlfn._xlws.FILTER('Source List'!J$2:J$268,'Source List'!G$2:G$268='Row Counts'!B60," "))</f>
        <v>29280</v>
      </c>
      <c r="E60" s="105">
        <f ca="1">Table1[[#This Row],[TOTAL VINES]]-Table1[[#This Row],[VINES LEFT]]</f>
        <v>0</v>
      </c>
      <c r="F60" s="105">
        <f ca="1">Table1[[#This Row],[TOTAL VINES]]-Table1[[#This Row],[VINES PICKED]]</f>
        <v>0</v>
      </c>
      <c r="G60" s="106">
        <f t="shared" si="4"/>
        <v>37.634961439588686</v>
      </c>
      <c r="H60" s="106">
        <v>11.29</v>
      </c>
      <c r="I60" s="106">
        <f>Table1[[#This Row],[TOTAL ACRES]]-Table1[[#This Row],[ACRES PICKED]]</f>
        <v>26.344961439588687</v>
      </c>
      <c r="J60" s="106">
        <f>Table1[[#This Row],[ACRES PICKED]]</f>
        <v>11.29</v>
      </c>
      <c r="K60" s="106">
        <v>1.3</v>
      </c>
      <c r="L60" s="106" t="s">
        <v>279</v>
      </c>
      <c r="M60" s="209">
        <v>26.89</v>
      </c>
      <c r="N60" s="107">
        <f t="shared" si="6"/>
        <v>2.3817537643932685</v>
      </c>
      <c r="O60" s="108">
        <f t="shared" si="3"/>
        <v>2.7281396122406893</v>
      </c>
      <c r="R60" s="215"/>
    </row>
    <row r="61" spans="1:18" ht="13.5" customHeight="1" x14ac:dyDescent="0.3">
      <c r="A61" s="103">
        <v>46241</v>
      </c>
      <c r="B61" s="12" t="s">
        <v>79</v>
      </c>
      <c r="C61" s="9" cm="1">
        <f t="array" ref="C61">IF(B61="","",_xlfn._xlws.FILTER('Source List'!I$2:I$268,'Source List'!G$2:G$268='Row Counts'!B61," "))</f>
        <v>605</v>
      </c>
      <c r="D61" s="104" cm="1">
        <f t="array" ref="D61">IF(B61="","",_xlfn._xlws.FILTER('Source List'!J$2:J$268,'Source List'!G$2:G$268='Row Counts'!B61," "))</f>
        <v>22654</v>
      </c>
      <c r="E61" s="105">
        <f>IFERROR(Table1[[#This Row],[TOTAL VINES]]-Table1[[#This Row],[VINES LEFT]],"")</f>
        <v>11629</v>
      </c>
      <c r="F61" s="105">
        <v>11025</v>
      </c>
      <c r="G61" s="106">
        <f t="shared" si="4"/>
        <v>37.444628099173556</v>
      </c>
      <c r="H61" s="106">
        <f t="shared" ref="H61:H123" si="7">IFERROR(E61/C61,0)</f>
        <v>19.221487603305786</v>
      </c>
      <c r="I61" s="106">
        <f>Table1[[#This Row],[TOTAL ACRES]]-Table1[[#This Row],[ACRES PICKED]]</f>
        <v>18.223140495867771</v>
      </c>
      <c r="J61" s="106">
        <f>Table1[[#This Row],[ACRES PICKED]]</f>
        <v>19.221487603305786</v>
      </c>
      <c r="K61" s="106">
        <v>4</v>
      </c>
      <c r="L61" s="106" t="s">
        <v>221</v>
      </c>
      <c r="M61" s="209">
        <v>93.79</v>
      </c>
      <c r="N61" s="107">
        <f t="shared" si="6"/>
        <v>4.8794350331068879</v>
      </c>
      <c r="O61" s="108">
        <f t="shared" si="3"/>
        <v>3.8660273977724358</v>
      </c>
      <c r="P61" s="109" t="s">
        <v>231</v>
      </c>
      <c r="Q61" s="12" t="s">
        <v>280</v>
      </c>
    </row>
    <row r="62" spans="1:18" s="124" customFormat="1" ht="13.5" customHeight="1" x14ac:dyDescent="0.3">
      <c r="A62" s="238">
        <v>46241</v>
      </c>
      <c r="B62" s="124" t="s">
        <v>197</v>
      </c>
      <c r="C62" s="163" cm="1">
        <f t="array" ref="C62">IF(B62="","",_xlfn._xlws.FILTER('Source List'!I$2:I$268,'Source List'!G$2:G$268='Row Counts'!B62," "))</f>
        <v>691</v>
      </c>
      <c r="D62" s="164" cm="1">
        <f t="array" ref="D62">IF(B62="","",_xlfn._xlws.FILTER('Source List'!J$2:J$268,'Source List'!G$2:G$268='Row Counts'!B62," "))</f>
        <v>15976</v>
      </c>
      <c r="E62" s="165">
        <f>IFERROR(Table1[[#This Row],[TOTAL VINES]]-Table1[[#This Row],[VINES LEFT]],"")</f>
        <v>15976</v>
      </c>
      <c r="F62" s="165">
        <v>0</v>
      </c>
      <c r="G62" s="166">
        <f t="shared" si="4"/>
        <v>23.120115774240233</v>
      </c>
      <c r="H62" s="166">
        <f t="shared" si="7"/>
        <v>23.120115774240233</v>
      </c>
      <c r="I62" s="166">
        <f>Table1[[#This Row],[TOTAL ACRES]]-Table1[[#This Row],[ACRES PICKED]]</f>
        <v>0</v>
      </c>
      <c r="J62" s="166">
        <f>Table1[[#This Row],[ACRES PICKED]]</f>
        <v>23.120115774240233</v>
      </c>
      <c r="K62" s="166">
        <v>5.3</v>
      </c>
      <c r="L62" s="166" t="s">
        <v>221</v>
      </c>
      <c r="M62" s="180">
        <v>128.63</v>
      </c>
      <c r="N62" s="167">
        <f t="shared" si="6"/>
        <v>5.5635534551827739</v>
      </c>
      <c r="O62" s="168">
        <f t="shared" si="3"/>
        <v>0</v>
      </c>
      <c r="P62" s="169" t="s">
        <v>236</v>
      </c>
      <c r="Q62" s="124" t="s">
        <v>271</v>
      </c>
    </row>
    <row r="63" spans="1:18" s="154" customFormat="1" ht="13.5" customHeight="1" x14ac:dyDescent="0.3">
      <c r="A63" s="153">
        <v>46241</v>
      </c>
      <c r="B63" s="154" t="s">
        <v>140</v>
      </c>
      <c r="C63" s="155" cm="1">
        <f t="array" ref="C63">IF(B63="","",_xlfn._xlws.FILTER('Source List'!I$2:I$268,'Source List'!G$2:G$268='Row Counts'!B63," "))</f>
        <v>908</v>
      </c>
      <c r="D63" s="156" cm="1">
        <f t="array" ref="D63">IF(B63="","",_xlfn._xlws.FILTER('Source List'!J$2:J$268,'Source List'!G$2:G$268='Row Counts'!B63," "))</f>
        <v>37921</v>
      </c>
      <c r="E63" s="157">
        <f>IFERROR(Table1[[#This Row],[TOTAL VINES]]-Table1[[#This Row],[VINES LEFT]],"")</f>
        <v>37921</v>
      </c>
      <c r="F63" s="157">
        <v>0</v>
      </c>
      <c r="G63" s="158">
        <f t="shared" si="4"/>
        <v>41.763215859030836</v>
      </c>
      <c r="H63" s="158">
        <f t="shared" si="7"/>
        <v>41.763215859030836</v>
      </c>
      <c r="I63" s="158">
        <f>Table1[[#This Row],[TOTAL ACRES]]-Table1[[#This Row],[ACRES PICKED]]</f>
        <v>0</v>
      </c>
      <c r="J63" s="158">
        <f>I54</f>
        <v>8.5781938325991192</v>
      </c>
      <c r="K63" s="158">
        <v>3</v>
      </c>
      <c r="L63" s="236" t="s">
        <v>272</v>
      </c>
      <c r="M63" s="179">
        <v>48.39</v>
      </c>
      <c r="N63" s="159">
        <f t="shared" si="6"/>
        <v>5.6410476312748745</v>
      </c>
      <c r="O63" s="160">
        <f t="shared" si="3"/>
        <v>0</v>
      </c>
      <c r="P63" s="161" t="s">
        <v>281</v>
      </c>
      <c r="Q63" s="237" t="s">
        <v>228</v>
      </c>
    </row>
    <row r="64" spans="1:18" s="121" customFormat="1" ht="13.5" customHeight="1" x14ac:dyDescent="0.3">
      <c r="A64" s="170">
        <v>46242</v>
      </c>
      <c r="B64" s="121" t="s">
        <v>202</v>
      </c>
      <c r="C64" s="171" cm="1">
        <f t="array" ref="C64">IF(B64="","",_xlfn._xlws.FILTER('Source List'!I$2:I$268,'Source List'!G$2:G$268='Row Counts'!B64," "))</f>
        <v>726</v>
      </c>
      <c r="D64" s="172" cm="1">
        <f t="array" ref="D64">IF(B64="","",_xlfn._xlws.FILTER('Source List'!J$2:J$268,'Source List'!G$2:G$268='Row Counts'!B64," "))</f>
        <v>18798</v>
      </c>
      <c r="E64" s="173">
        <f>IFERROR(Table1[[#This Row],[TOTAL VINES]]-Table1[[#This Row],[VINES LEFT]],"")</f>
        <v>11890</v>
      </c>
      <c r="F64" s="173">
        <v>6908</v>
      </c>
      <c r="G64" s="174">
        <f t="shared" si="4"/>
        <v>25.892561983471076</v>
      </c>
      <c r="H64" s="174">
        <f t="shared" si="7"/>
        <v>16.37741046831956</v>
      </c>
      <c r="I64" s="174">
        <f>Table1[[#This Row],[TOTAL ACRES]]-Table1[[#This Row],[ACRES PICKED]]</f>
        <v>9.5151515151515156</v>
      </c>
      <c r="J64" s="174">
        <f>Table1[[#This Row],[ACRES PICKED]]</f>
        <v>16.37741046831956</v>
      </c>
      <c r="K64" s="174">
        <v>4</v>
      </c>
      <c r="L64" s="174" t="s">
        <v>221</v>
      </c>
      <c r="M64" s="181">
        <v>92.15</v>
      </c>
      <c r="N64" s="176">
        <f t="shared" si="6"/>
        <v>5.6266526492851137</v>
      </c>
      <c r="O64" s="177">
        <f t="shared" si="3"/>
        <v>2.3277588035250671</v>
      </c>
      <c r="P64" s="178" t="s">
        <v>236</v>
      </c>
      <c r="Q64" s="121" t="s">
        <v>282</v>
      </c>
    </row>
    <row r="65" spans="1:18" ht="13.5" customHeight="1" x14ac:dyDescent="0.3">
      <c r="A65" s="103">
        <v>46242</v>
      </c>
      <c r="B65" s="12" t="s">
        <v>79</v>
      </c>
      <c r="C65" s="9" cm="1">
        <f t="array" ref="C65">IF(B65="","",_xlfn._xlws.FILTER('Source List'!I$2:I$268,'Source List'!G$2:G$268='Row Counts'!B65," "))</f>
        <v>605</v>
      </c>
      <c r="D65" s="104" cm="1">
        <f t="array" ref="D65">IF(B65="","",_xlfn._xlws.FILTER('Source List'!J$2:J$268,'Source List'!G$2:G$268='Row Counts'!B65," "))</f>
        <v>22654</v>
      </c>
      <c r="E65" s="105">
        <f>IFERROR(Table1[[#This Row],[TOTAL VINES]]-Table1[[#This Row],[VINES LEFT]],"")</f>
        <v>22654</v>
      </c>
      <c r="F65" s="105">
        <v>0</v>
      </c>
      <c r="G65" s="106">
        <f t="shared" si="4"/>
        <v>37.444628099173556</v>
      </c>
      <c r="H65" s="106">
        <f t="shared" si="7"/>
        <v>37.444628099173556</v>
      </c>
      <c r="I65" s="106">
        <f>Table1[[#This Row],[TOTAL ACRES]]-Table1[[#This Row],[ACRES PICKED]]</f>
        <v>0</v>
      </c>
      <c r="J65" s="106">
        <f>I61</f>
        <v>18.223140495867771</v>
      </c>
      <c r="K65" s="106">
        <v>3</v>
      </c>
      <c r="L65" s="106" t="s">
        <v>221</v>
      </c>
      <c r="M65" s="209">
        <v>71.8</v>
      </c>
      <c r="N65" s="107">
        <f t="shared" si="6"/>
        <v>3.9400453514739224</v>
      </c>
      <c r="O65" s="108">
        <f t="shared" si="3"/>
        <v>0</v>
      </c>
      <c r="P65" s="109" t="s">
        <v>236</v>
      </c>
      <c r="Q65" s="12" t="s">
        <v>228</v>
      </c>
    </row>
    <row r="66" spans="1:18" s="120" customFormat="1" ht="13.5" customHeight="1" x14ac:dyDescent="0.3">
      <c r="A66" s="240">
        <v>46242</v>
      </c>
      <c r="B66" s="120" t="s">
        <v>75</v>
      </c>
      <c r="C66" s="241">
        <v>691</v>
      </c>
      <c r="D66" s="242">
        <v>30586</v>
      </c>
      <c r="E66" s="243">
        <f>IFERROR(Table1[[#This Row],[TOTAL VINES]]-Table1[[#This Row],[VINES LEFT]],"")</f>
        <v>30586</v>
      </c>
      <c r="F66" s="243">
        <v>0</v>
      </c>
      <c r="G66" s="244">
        <f t="shared" si="4"/>
        <v>44.263386396526769</v>
      </c>
      <c r="H66" s="244">
        <f t="shared" si="7"/>
        <v>44.263386396526769</v>
      </c>
      <c r="I66" s="244">
        <f>Table1[[#This Row],[TOTAL ACRES]]-Table1[[#This Row],[ACRES PICKED]]</f>
        <v>0</v>
      </c>
      <c r="J66" s="244">
        <f>I58</f>
        <v>20.558610709117218</v>
      </c>
      <c r="K66" s="244">
        <v>5.3</v>
      </c>
      <c r="L66" s="244" t="s">
        <v>221</v>
      </c>
      <c r="M66" s="256">
        <v>121.5</v>
      </c>
      <c r="N66" s="245">
        <f t="shared" si="6"/>
        <v>5.9099324229198942</v>
      </c>
      <c r="O66" s="246">
        <f t="shared" si="3"/>
        <v>0</v>
      </c>
      <c r="P66" s="247" t="s">
        <v>236</v>
      </c>
      <c r="Q66" s="120" t="s">
        <v>228</v>
      </c>
    </row>
    <row r="67" spans="1:18" s="121" customFormat="1" ht="13.5" customHeight="1" x14ac:dyDescent="0.3">
      <c r="A67" s="170">
        <v>46243</v>
      </c>
      <c r="B67" s="121" t="s">
        <v>114</v>
      </c>
      <c r="C67" s="171" cm="1">
        <f t="array" ref="C67">IF(B67="","",_xlfn._xlws.FILTER('Source List'!I$2:I$268,'Source List'!G$2:G$268='Row Counts'!B67," "))</f>
        <v>566</v>
      </c>
      <c r="D67" s="172" cm="1">
        <f t="array" ref="D67">IF(B67="","",_xlfn._xlws.FILTER('Source List'!J$2:J$268,'Source List'!G$2:G$268='Row Counts'!B67," "))</f>
        <v>6935</v>
      </c>
      <c r="E67" s="173">
        <f>IFERROR(Table1[[#This Row],[TOTAL VINES]]-Table1[[#This Row],[VINES LEFT]],"")</f>
        <v>6739</v>
      </c>
      <c r="F67" s="173">
        <v>196</v>
      </c>
      <c r="G67" s="174">
        <f t="shared" ref="G67:G77" si="8">IFERROR(D67/C67,0)</f>
        <v>12.252650176678445</v>
      </c>
      <c r="H67" s="174">
        <f t="shared" si="7"/>
        <v>11.906360424028268</v>
      </c>
      <c r="I67" s="174">
        <f>Table1[[#This Row],[TOTAL ACRES]]-Table1[[#This Row],[ACRES PICKED]]</f>
        <v>0.34628975265017736</v>
      </c>
      <c r="J67" s="174">
        <f>Table1[[#This Row],[ACRES PICKED]]</f>
        <v>11.906360424028268</v>
      </c>
      <c r="K67" s="174">
        <v>2.75</v>
      </c>
      <c r="L67" s="174" t="s">
        <v>283</v>
      </c>
      <c r="M67" s="181">
        <v>64.73</v>
      </c>
      <c r="N67" s="176">
        <f t="shared" si="6"/>
        <v>5.4365899985161006</v>
      </c>
      <c r="O67" s="262">
        <f t="shared" ref="O67:O129" si="9">IFERROR((N67*I67)/23,"")</f>
        <v>8.1853713297676892E-2</v>
      </c>
      <c r="P67" s="178" t="s">
        <v>284</v>
      </c>
      <c r="Q67" s="121" t="s">
        <v>285</v>
      </c>
    </row>
    <row r="68" spans="1:18" s="120" customFormat="1" ht="13.5" customHeight="1" x14ac:dyDescent="0.3">
      <c r="A68" s="240">
        <v>46243</v>
      </c>
      <c r="B68" s="120" t="s">
        <v>159</v>
      </c>
      <c r="C68" s="241" cm="1">
        <f t="array" ref="C68">IF(B68="","",_xlfn._xlws.FILTER('Source List'!I$2:I$268,'Source List'!G$2:G$268='Row Counts'!B68," "))</f>
        <v>691</v>
      </c>
      <c r="D68" s="242" cm="1">
        <f t="array" ref="D68">IF(B68="","",_xlfn._xlws.FILTER('Source List'!J$2:J$268,'Source List'!G$2:G$268='Row Counts'!B68," "))</f>
        <v>6586</v>
      </c>
      <c r="E68" s="243">
        <v>639</v>
      </c>
      <c r="F68" s="243">
        <f>Table1[[#This Row],[TOTAL VINES]]-Table1[[#This Row],[VINES PICKED]]</f>
        <v>5947</v>
      </c>
      <c r="G68" s="244">
        <f t="shared" si="8"/>
        <v>9.5311143270622285</v>
      </c>
      <c r="H68" s="244">
        <f t="shared" si="7"/>
        <v>0.92474674384949351</v>
      </c>
      <c r="I68" s="244">
        <f>Table1[[#This Row],[TOTAL ACRES]]-Table1[[#This Row],[ACRES PICKED]]</f>
        <v>8.6063675832127355</v>
      </c>
      <c r="J68" s="244">
        <f>Table1[[#This Row],[ACRES PICKED]]</f>
        <v>0.92474674384949351</v>
      </c>
      <c r="K68" s="244">
        <v>0.25</v>
      </c>
      <c r="L68" s="244" t="s">
        <v>283</v>
      </c>
      <c r="M68" s="256">
        <v>4.71</v>
      </c>
      <c r="N68" s="245">
        <f t="shared" si="6"/>
        <v>5.0932863849765253</v>
      </c>
      <c r="O68" s="263">
        <f t="shared" si="9"/>
        <v>1.9058562972035109</v>
      </c>
      <c r="P68" s="247"/>
      <c r="Q68" s="120" t="s">
        <v>286</v>
      </c>
    </row>
    <row r="69" spans="1:18" s="121" customFormat="1" ht="13.5" customHeight="1" x14ac:dyDescent="0.3">
      <c r="A69" s="170">
        <v>46244</v>
      </c>
      <c r="B69" s="121" t="s">
        <v>141</v>
      </c>
      <c r="C69" s="171" cm="1">
        <f t="array" ref="C69">IF(B69="","",_xlfn._xlws.FILTER('Source List'!I$2:I$268,'Source List'!G$2:G$268='Row Counts'!B69," "))</f>
        <v>660</v>
      </c>
      <c r="D69" s="172" cm="1">
        <f t="array" ref="D69">IF(B69="","",_xlfn._xlws.FILTER('Source List'!J$2:J$268,'Source List'!G$2:G$268='Row Counts'!B69," "))</f>
        <v>14817</v>
      </c>
      <c r="E69" s="173">
        <v>4385</v>
      </c>
      <c r="F69" s="173">
        <f>Table1[[#This Row],[TOTAL VINES]]-Table1[[#This Row],[VINES PICKED]]</f>
        <v>10432</v>
      </c>
      <c r="G69" s="174">
        <f t="shared" si="8"/>
        <v>22.45</v>
      </c>
      <c r="H69" s="174">
        <f t="shared" si="7"/>
        <v>6.6439393939393936</v>
      </c>
      <c r="I69" s="174">
        <f>Table1[[#This Row],[TOTAL ACRES]]-Table1[[#This Row],[ACRES PICKED]]</f>
        <v>15.806060606060605</v>
      </c>
      <c r="J69" s="174">
        <f>Table1[[#This Row],[ACRES PICKED]]</f>
        <v>6.6439393939393936</v>
      </c>
      <c r="K69" s="174">
        <v>3</v>
      </c>
      <c r="L69" s="174" t="s">
        <v>243</v>
      </c>
      <c r="M69" s="181">
        <v>73.739999999999995</v>
      </c>
      <c r="N69" s="176">
        <f t="shared" si="6"/>
        <v>11.098836944127708</v>
      </c>
      <c r="O69" s="177">
        <f t="shared" si="9"/>
        <v>7.6273430172029144</v>
      </c>
      <c r="P69" s="178" t="s">
        <v>222</v>
      </c>
      <c r="Q69" s="121" t="s">
        <v>287</v>
      </c>
    </row>
    <row r="70" spans="1:18" ht="13.5" customHeight="1" x14ac:dyDescent="0.3">
      <c r="A70" s="103">
        <v>46244</v>
      </c>
      <c r="B70" s="12" t="s">
        <v>174</v>
      </c>
      <c r="C70" s="9" cm="1">
        <f t="array" ref="C70">IF(B70="","",_xlfn._xlws.FILTER('Source List'!I$2:I$268,'Source List'!G$2:G$268='Row Counts'!B70," "))</f>
        <v>691</v>
      </c>
      <c r="D70" s="104" cm="1">
        <f t="array" ref="D70">IF(B70="","",_xlfn._xlws.FILTER('Source List'!J$2:J$268,'Source List'!G$2:G$268='Row Counts'!B70," "))</f>
        <v>23900</v>
      </c>
      <c r="E70" s="105">
        <f>IFERROR(Table1[[#This Row],[TOTAL VINES]]-Table1[[#This Row],[VINES LEFT]],"")</f>
        <v>19743</v>
      </c>
      <c r="F70" s="105">
        <v>4157</v>
      </c>
      <c r="G70" s="106">
        <f t="shared" si="8"/>
        <v>34.587554269175108</v>
      </c>
      <c r="H70" s="106">
        <f t="shared" si="7"/>
        <v>28.571635311143272</v>
      </c>
      <c r="I70" s="106">
        <f>Table1[[#This Row],[TOTAL ACRES]]-Table1[[#This Row],[ACRES PICKED]]</f>
        <v>6.0159189580318362</v>
      </c>
      <c r="J70" s="106">
        <f>Table1[[#This Row],[ACRES PICKED]]</f>
        <v>28.571635311143272</v>
      </c>
      <c r="K70" s="106">
        <v>5</v>
      </c>
      <c r="L70" s="106" t="s">
        <v>240</v>
      </c>
      <c r="M70" s="209">
        <v>113.6</v>
      </c>
      <c r="N70" s="107">
        <f t="shared" si="6"/>
        <v>3.9759712303094763</v>
      </c>
      <c r="O70" s="108">
        <f t="shared" si="9"/>
        <v>1.0399617696090409</v>
      </c>
      <c r="P70" s="109" t="s">
        <v>236</v>
      </c>
      <c r="Q70" s="12" t="s">
        <v>288</v>
      </c>
    </row>
    <row r="71" spans="1:18" ht="13.5" customHeight="1" x14ac:dyDescent="0.3">
      <c r="A71" s="103">
        <v>46244</v>
      </c>
      <c r="B71" s="12" t="s">
        <v>24</v>
      </c>
      <c r="C71" s="9" cm="1">
        <f t="array" ref="C71">IF(B71="","",_xlfn._xlws.FILTER('Source List'!I$2:I$268,'Source List'!G$2:G$268='Row Counts'!B71," "))</f>
        <v>871</v>
      </c>
      <c r="D71" s="104" cm="1">
        <f t="array" ref="D71">IF(B71="","",_xlfn._xlws.FILTER('Source List'!J$2:J$268,'Source List'!G$2:G$268='Row Counts'!B71," "))</f>
        <v>36095</v>
      </c>
      <c r="E71" s="105">
        <f>IFERROR(Table1[[#This Row],[TOTAL VINES]]-Table1[[#This Row],[VINES LEFT]],"")</f>
        <v>11895</v>
      </c>
      <c r="F71" s="105">
        <v>24200</v>
      </c>
      <c r="G71" s="106">
        <f t="shared" si="8"/>
        <v>41.440872560275544</v>
      </c>
      <c r="H71" s="106">
        <f t="shared" si="7"/>
        <v>13.656716417910447</v>
      </c>
      <c r="I71" s="106">
        <f>Table1[[#This Row],[TOTAL ACRES]]-Table1[[#This Row],[ACRES PICKED]]</f>
        <v>27.784156142365099</v>
      </c>
      <c r="J71" s="106">
        <f>Table1[[#This Row],[ACRES PICKED]]</f>
        <v>13.656716417910447</v>
      </c>
      <c r="K71" s="106">
        <v>4</v>
      </c>
      <c r="L71" s="106" t="s">
        <v>221</v>
      </c>
      <c r="M71" s="209">
        <v>89.01</v>
      </c>
      <c r="N71" s="107">
        <f t="shared" si="6"/>
        <v>6.5176721311475418</v>
      </c>
      <c r="O71" s="108">
        <f t="shared" si="9"/>
        <v>7.8733921815889047</v>
      </c>
      <c r="P71" s="109" t="s">
        <v>281</v>
      </c>
      <c r="Q71" s="12" t="s">
        <v>289</v>
      </c>
    </row>
    <row r="72" spans="1:18" ht="13.5" customHeight="1" x14ac:dyDescent="0.3">
      <c r="A72" s="103">
        <v>46244</v>
      </c>
      <c r="B72" s="12" t="s">
        <v>105</v>
      </c>
      <c r="C72" s="9" cm="1">
        <f t="array" ref="C72">IF(B72="","",_xlfn._xlws.FILTER('Source List'!I$2:I$268,'Source List'!G$2:G$268='Row Counts'!B72," "))</f>
        <v>807</v>
      </c>
      <c r="D72" s="104" cm="1">
        <f t="array" ref="D72">IF(B72="","",_xlfn._xlws.FILTER('Source List'!J$2:J$268,'Source List'!G$2:G$268='Row Counts'!B72," "))</f>
        <v>30210</v>
      </c>
      <c r="E72" s="105">
        <f>IFERROR(Table1[[#This Row],[TOTAL VINES]]-Table1[[#This Row],[VINES LEFT]],"")</f>
        <v>21495</v>
      </c>
      <c r="F72" s="105">
        <v>8715</v>
      </c>
      <c r="G72" s="106">
        <f t="shared" si="8"/>
        <v>37.434944237918216</v>
      </c>
      <c r="H72" s="106">
        <f t="shared" si="7"/>
        <v>26.635687732342006</v>
      </c>
      <c r="I72" s="106">
        <f>Table1[[#This Row],[TOTAL ACRES]]-Table1[[#This Row],[ACRES PICKED]]</f>
        <v>10.79925650557621</v>
      </c>
      <c r="J72" s="106">
        <f>Table1[[#This Row],[ACRES PICKED]]</f>
        <v>26.635687732342006</v>
      </c>
      <c r="K72" s="106">
        <v>7</v>
      </c>
      <c r="L72" s="106" t="s">
        <v>226</v>
      </c>
      <c r="M72" s="209">
        <v>165.56</v>
      </c>
      <c r="N72" s="107">
        <f t="shared" si="6"/>
        <v>6.2157208653175164</v>
      </c>
      <c r="O72" s="108">
        <f t="shared" si="9"/>
        <v>2.9184853909402602</v>
      </c>
      <c r="P72" s="109" t="s">
        <v>248</v>
      </c>
      <c r="Q72" s="12" t="s">
        <v>290</v>
      </c>
    </row>
    <row r="73" spans="1:18" ht="13.5" customHeight="1" x14ac:dyDescent="0.3">
      <c r="A73" s="103">
        <v>46244</v>
      </c>
      <c r="B73" s="12" t="s">
        <v>202</v>
      </c>
      <c r="C73" s="9" cm="1">
        <f t="array" ref="C73">IF(B73="","",_xlfn._xlws.FILTER('Source List'!I$2:I$268,'Source List'!G$2:G$268='Row Counts'!B73," "))</f>
        <v>726</v>
      </c>
      <c r="D73" s="104" cm="1">
        <f t="array" ref="D73">IF(B73="","",_xlfn._xlws.FILTER('Source List'!J$2:J$268,'Source List'!G$2:G$268='Row Counts'!B73," "))</f>
        <v>18798</v>
      </c>
      <c r="E73" s="105">
        <f>IFERROR(Table1[[#This Row],[TOTAL VINES]]-Table1[[#This Row],[VINES LEFT]],"")</f>
        <v>18798</v>
      </c>
      <c r="F73" s="105">
        <v>0</v>
      </c>
      <c r="G73" s="106">
        <f t="shared" si="8"/>
        <v>25.892561983471076</v>
      </c>
      <c r="H73" s="106">
        <f t="shared" si="7"/>
        <v>25.892561983471076</v>
      </c>
      <c r="I73" s="106">
        <f>Table1[[#This Row],[TOTAL ACRES]]-Table1[[#This Row],[ACRES PICKED]]</f>
        <v>0</v>
      </c>
      <c r="J73" s="106">
        <f>Table1[[#This Row],[ACRES PICKED]]</f>
        <v>25.892561983471076</v>
      </c>
      <c r="K73" s="106">
        <v>2.6</v>
      </c>
      <c r="L73" s="106" t="s">
        <v>221</v>
      </c>
      <c r="M73" s="209">
        <v>59.94</v>
      </c>
      <c r="N73" s="107">
        <f t="shared" si="6"/>
        <v>2.3149505266517711</v>
      </c>
      <c r="O73" s="108">
        <f t="shared" si="9"/>
        <v>0</v>
      </c>
      <c r="P73" s="109" t="s">
        <v>236</v>
      </c>
      <c r="Q73" s="12" t="s">
        <v>271</v>
      </c>
    </row>
    <row r="74" spans="1:18" ht="13.5" customHeight="1" x14ac:dyDescent="0.3">
      <c r="A74" s="103">
        <v>46244</v>
      </c>
      <c r="B74" s="12" t="s">
        <v>46</v>
      </c>
      <c r="C74" s="9" cm="1">
        <f t="array" ref="C74">IF(B74="","",_xlfn._xlws.FILTER('Source List'!I$2:I$268,'Source List'!G$2:G$268='Row Counts'!B74," "))</f>
        <v>691</v>
      </c>
      <c r="D74" s="104" cm="1">
        <f t="array" ref="D74">IF(B74="","",_xlfn._xlws.FILTER('Source List'!J$2:J$268,'Source List'!G$2:G$268='Row Counts'!B74," "))</f>
        <v>4595</v>
      </c>
      <c r="E74" s="105">
        <f>IFERROR(Table1[[#This Row],[TOTAL VINES]]-Table1[[#This Row],[VINES LEFT]],"")</f>
        <v>4395</v>
      </c>
      <c r="F74" s="105">
        <v>200</v>
      </c>
      <c r="G74" s="106">
        <f t="shared" si="8"/>
        <v>6.6497829232995658</v>
      </c>
      <c r="H74" s="106">
        <f t="shared" si="7"/>
        <v>6.3603473227206946</v>
      </c>
      <c r="I74" s="106">
        <f>Table1[[#This Row],[TOTAL ACRES]]-Table1[[#This Row],[ACRES PICKED]]</f>
        <v>0.28943560057887119</v>
      </c>
      <c r="J74" s="106">
        <f>Table1[[#This Row],[ACRES PICKED]]</f>
        <v>6.3603473227206946</v>
      </c>
      <c r="K74" s="106">
        <v>1</v>
      </c>
      <c r="L74" s="106" t="s">
        <v>221</v>
      </c>
      <c r="M74" s="209">
        <v>23.33</v>
      </c>
      <c r="N74" s="107">
        <f t="shared" si="6"/>
        <v>3.6680386803185434</v>
      </c>
      <c r="O74" s="108">
        <f t="shared" si="9"/>
        <v>4.6159172973240334E-2</v>
      </c>
      <c r="P74" s="109" t="s">
        <v>222</v>
      </c>
      <c r="Q74" s="12" t="s">
        <v>291</v>
      </c>
    </row>
    <row r="75" spans="1:18" ht="13.5" customHeight="1" x14ac:dyDescent="0.3">
      <c r="A75" s="103">
        <v>46244</v>
      </c>
      <c r="B75" s="12" t="s">
        <v>178</v>
      </c>
      <c r="C75" s="9" cm="1">
        <f t="array" ref="C75">IF(B75="","",_xlfn._xlws.FILTER('Source List'!I$2:I$268,'Source List'!G$2:G$268='Row Counts'!B75," "))</f>
        <v>622</v>
      </c>
      <c r="D75" s="104" cm="1">
        <f t="array" ref="D75">IF(B75="","",_xlfn._xlws.FILTER('Source List'!J$2:J$268,'Source List'!G$2:G$268='Row Counts'!B75," "))</f>
        <v>34846</v>
      </c>
      <c r="E75" s="105">
        <f>IFERROR(Table1[[#This Row],[TOTAL VINES]]-Table1[[#This Row],[VINES LEFT]],"")</f>
        <v>23990</v>
      </c>
      <c r="F75" s="105">
        <v>10856</v>
      </c>
      <c r="G75" s="106">
        <f t="shared" si="8"/>
        <v>56.022508038585208</v>
      </c>
      <c r="H75" s="106">
        <f t="shared" si="7"/>
        <v>38.569131832797424</v>
      </c>
      <c r="I75" s="106">
        <f>Table1[[#This Row],[TOTAL ACRES]]-Table1[[#This Row],[ACRES PICKED]]</f>
        <v>17.453376205787784</v>
      </c>
      <c r="J75" s="106">
        <f>Table1[[#This Row],[ACRES PICKED]]</f>
        <v>38.569131832797424</v>
      </c>
      <c r="K75" s="106">
        <v>4</v>
      </c>
      <c r="L75" s="106" t="s">
        <v>292</v>
      </c>
      <c r="M75" s="209">
        <v>95.12</v>
      </c>
      <c r="N75" s="107">
        <f t="shared" si="6"/>
        <v>2.4662209253855778</v>
      </c>
      <c r="O75" s="108">
        <f t="shared" si="9"/>
        <v>1.8714731137974163</v>
      </c>
      <c r="P75" s="109" t="s">
        <v>231</v>
      </c>
      <c r="Q75" s="12" t="s">
        <v>293</v>
      </c>
    </row>
    <row r="76" spans="1:18" s="124" customFormat="1" ht="13.5" customHeight="1" x14ac:dyDescent="0.3">
      <c r="A76" s="214">
        <v>46244</v>
      </c>
      <c r="B76" s="12" t="s">
        <v>182</v>
      </c>
      <c r="C76" s="9">
        <v>792</v>
      </c>
      <c r="D76" s="104">
        <v>12945</v>
      </c>
      <c r="E76" s="105">
        <f ca="1">Table1[[#This Row],[TOTAL VINES]]-Table1[[#This Row],[VINES LEFT]]</f>
        <v>0</v>
      </c>
      <c r="F76" s="105">
        <f ca="1">Table1[[#This Row],[TOTAL VINES]]-Table1[[#This Row],[VINES PICKED]]</f>
        <v>0</v>
      </c>
      <c r="G76" s="106">
        <f t="shared" si="8"/>
        <v>16.344696969696969</v>
      </c>
      <c r="H76" s="106">
        <f t="shared" ca="1" si="7"/>
        <v>0</v>
      </c>
      <c r="I76" s="106">
        <f ca="1">Table1[[#This Row],[TOTAL ACRES]]-Table1[[#This Row],[ACRES PICKED]]</f>
        <v>0</v>
      </c>
      <c r="J76" s="106">
        <f ca="1">Table1[[#This Row],[ACRES PICKED]]</f>
        <v>0</v>
      </c>
      <c r="K76" s="106">
        <v>1</v>
      </c>
      <c r="L76" s="106" t="s">
        <v>221</v>
      </c>
      <c r="M76" s="209">
        <v>21.79</v>
      </c>
      <c r="N76" s="107">
        <f t="shared" ca="1" si="6"/>
        <v>0</v>
      </c>
      <c r="O76" s="108">
        <f t="shared" ca="1" si="9"/>
        <v>0</v>
      </c>
      <c r="P76" s="109" t="s">
        <v>236</v>
      </c>
      <c r="Q76" s="12" t="s">
        <v>228</v>
      </c>
      <c r="R76" s="215"/>
    </row>
    <row r="77" spans="1:18" s="120" customFormat="1" ht="13.5" customHeight="1" x14ac:dyDescent="0.3">
      <c r="A77" s="240">
        <v>46244</v>
      </c>
      <c r="B77" s="120" t="s">
        <v>95</v>
      </c>
      <c r="C77" s="241" cm="1">
        <f t="array" ref="C77">IF(B77="","",_xlfn._xlws.FILTER('Source List'!I$2:I$268,'Source List'!G$2:G$268='Row Counts'!B77," "))</f>
        <v>681</v>
      </c>
      <c r="D77" s="242" cm="1">
        <f t="array" ref="D77">IF(B77="","",_xlfn._xlws.FILTER('Source List'!J$2:J$268,'Source List'!G$2:G$268='Row Counts'!B77," "))</f>
        <v>22973</v>
      </c>
      <c r="E77" s="243">
        <f>IFERROR(Table1[[#This Row],[TOTAL VINES]]-Table1[[#This Row],[VINES LEFT]],"")</f>
        <v>17422</v>
      </c>
      <c r="F77" s="243">
        <v>5551</v>
      </c>
      <c r="G77" s="244">
        <f t="shared" si="8"/>
        <v>33.734214390602055</v>
      </c>
      <c r="H77" s="244">
        <f t="shared" si="7"/>
        <v>25.582966226138034</v>
      </c>
      <c r="I77" s="244">
        <f>Table1[[#This Row],[TOTAL ACRES]]-Table1[[#This Row],[ACRES PICKED]]</f>
        <v>8.1512481644640218</v>
      </c>
      <c r="J77" s="244">
        <f>Table1[[#This Row],[ACRES PICKED]]</f>
        <v>25.582966226138034</v>
      </c>
      <c r="K77" s="244">
        <v>6</v>
      </c>
      <c r="L77" s="244" t="s">
        <v>221</v>
      </c>
      <c r="M77" s="256">
        <v>154.6</v>
      </c>
      <c r="N77" s="245">
        <f t="shared" si="6"/>
        <v>6.0430834576971639</v>
      </c>
      <c r="O77" s="246">
        <f t="shared" si="9"/>
        <v>2.1416814322720392</v>
      </c>
      <c r="P77" s="247" t="s">
        <v>294</v>
      </c>
      <c r="Q77" s="248" t="s">
        <v>295</v>
      </c>
    </row>
    <row r="78" spans="1:18" s="121" customFormat="1" ht="13.5" customHeight="1" x14ac:dyDescent="0.3">
      <c r="A78" s="170">
        <v>46245</v>
      </c>
      <c r="B78" s="121" t="s">
        <v>174</v>
      </c>
      <c r="C78" s="9" cm="1">
        <f t="array" ref="C78">IF(B78="","",_xlfn._xlws.FILTER('Source List'!I$2:I$268,'Source List'!G$2:G$268='Row Counts'!B78," "))</f>
        <v>691</v>
      </c>
      <c r="D78" s="104" cm="1">
        <f t="array" ref="D78">IF(B78="","",_xlfn._xlws.FILTER('Source List'!J$2:J$268,'Source List'!G$2:G$268='Row Counts'!B78," "))</f>
        <v>23900</v>
      </c>
      <c r="E78" s="105">
        <f>IFERROR(Table1[[#This Row],[TOTAL VINES]]-Table1[[#This Row],[VINES LEFT]],"")</f>
        <v>23900</v>
      </c>
      <c r="F78" s="105">
        <v>0</v>
      </c>
      <c r="G78" s="174"/>
      <c r="H78" s="174">
        <f t="shared" si="7"/>
        <v>34.587554269175108</v>
      </c>
      <c r="I78" s="174">
        <v>0</v>
      </c>
      <c r="J78" s="174">
        <f>I70</f>
        <v>6.0159189580318362</v>
      </c>
      <c r="K78" s="174">
        <v>1.1499999999999999</v>
      </c>
      <c r="L78" s="174" t="s">
        <v>240</v>
      </c>
      <c r="M78" s="181">
        <v>25.8</v>
      </c>
      <c r="N78" s="176">
        <f t="shared" si="6"/>
        <v>4.2886216021169128</v>
      </c>
      <c r="O78" s="177">
        <f t="shared" si="9"/>
        <v>0</v>
      </c>
      <c r="P78" s="178" t="s">
        <v>236</v>
      </c>
      <c r="Q78" s="121" t="s">
        <v>228</v>
      </c>
    </row>
    <row r="79" spans="1:18" ht="13.5" customHeight="1" x14ac:dyDescent="0.3">
      <c r="A79" s="103">
        <v>46245</v>
      </c>
      <c r="B79" s="12" t="s">
        <v>112</v>
      </c>
      <c r="C79" s="9" cm="1">
        <f t="array" ref="C79">IF(B79="","",_xlfn._xlws.FILTER('Source List'!I$2:I$268,'Source List'!G$2:G$268='Row Counts'!B79," "))</f>
        <v>622</v>
      </c>
      <c r="D79" s="104" cm="1">
        <f t="array" ref="D79">IF(B79="","",_xlfn._xlws.FILTER('Source List'!J$2:J$268,'Source List'!G$2:G$268='Row Counts'!B79," "))</f>
        <v>11433</v>
      </c>
      <c r="E79" s="105">
        <f>IFERROR(Table1[[#This Row],[TOTAL VINES]]-Table1[[#This Row],[VINES LEFT]],"")</f>
        <v>11433</v>
      </c>
      <c r="F79" s="105">
        <v>0</v>
      </c>
      <c r="G79" s="106">
        <f t="shared" ref="G79:G141" si="10">IFERROR(D79/C79,0)</f>
        <v>18.381028938906752</v>
      </c>
      <c r="H79" s="106">
        <f t="shared" si="7"/>
        <v>18.381028938906752</v>
      </c>
      <c r="I79" s="106">
        <f>Table1[[#This Row],[TOTAL ACRES]]-Table1[[#This Row],[ACRES PICKED]]</f>
        <v>0</v>
      </c>
      <c r="J79" s="106">
        <f>I3</f>
        <v>9.4019292604501601</v>
      </c>
      <c r="K79" s="106">
        <v>2.25</v>
      </c>
      <c r="L79" s="106" t="s">
        <v>221</v>
      </c>
      <c r="M79" s="209">
        <v>54.98</v>
      </c>
      <c r="N79" s="107">
        <f t="shared" si="6"/>
        <v>5.8477359781121754</v>
      </c>
      <c r="O79" s="108">
        <f t="shared" si="9"/>
        <v>0</v>
      </c>
      <c r="P79" s="109" t="s">
        <v>236</v>
      </c>
      <c r="Q79" s="12" t="s">
        <v>228</v>
      </c>
    </row>
    <row r="80" spans="1:18" s="120" customFormat="1" ht="13.5" customHeight="1" x14ac:dyDescent="0.3">
      <c r="A80" s="170">
        <v>46245</v>
      </c>
      <c r="B80" s="12" t="s">
        <v>105</v>
      </c>
      <c r="C80" s="9" cm="1">
        <f t="array" ref="C80">IF(B80="","",_xlfn._xlws.FILTER('Source List'!I$2:I$268,'Source List'!G$2:G$268='Row Counts'!B80," "))</f>
        <v>807</v>
      </c>
      <c r="D80" s="104" cm="1">
        <f t="array" ref="D80">IF(B80="","",_xlfn._xlws.FILTER('Source List'!J$2:J$268,'Source List'!G$2:G$268='Row Counts'!B80," "))</f>
        <v>30210</v>
      </c>
      <c r="E80" s="105">
        <f>IFERROR(Table1[[#This Row],[TOTAL VINES]]-Table1[[#This Row],[VINES LEFT]],"")</f>
        <v>30210</v>
      </c>
      <c r="F80" s="105">
        <v>0</v>
      </c>
      <c r="G80" s="106">
        <f t="shared" si="10"/>
        <v>37.434944237918216</v>
      </c>
      <c r="H80" s="106">
        <f t="shared" si="7"/>
        <v>37.434944237918216</v>
      </c>
      <c r="I80" s="106">
        <f>Table1[[#This Row],[TOTAL ACRES]]-Table1[[#This Row],[ACRES PICKED]]</f>
        <v>0</v>
      </c>
      <c r="J80" s="106">
        <f>I72</f>
        <v>10.79925650557621</v>
      </c>
      <c r="K80" s="106">
        <v>3</v>
      </c>
      <c r="L80" s="106" t="s">
        <v>226</v>
      </c>
      <c r="M80" s="209">
        <v>66.040000000000006</v>
      </c>
      <c r="N80" s="107">
        <f t="shared" si="6"/>
        <v>6.1152358003442338</v>
      </c>
      <c r="O80" s="108">
        <f t="shared" si="9"/>
        <v>0</v>
      </c>
      <c r="P80" s="109" t="s">
        <v>236</v>
      </c>
      <c r="Q80" s="12" t="s">
        <v>228</v>
      </c>
      <c r="R80" s="12"/>
    </row>
    <row r="81" spans="1:18" s="121" customFormat="1" ht="13.5" customHeight="1" x14ac:dyDescent="0.3">
      <c r="A81" s="103">
        <v>46245</v>
      </c>
      <c r="B81" s="12" t="s">
        <v>95</v>
      </c>
      <c r="C81" s="9" cm="1">
        <f t="array" ref="C81">IF(B81="","",_xlfn._xlws.FILTER('Source List'!I$2:I$268,'Source List'!G$2:G$268='Row Counts'!B81," "))</f>
        <v>681</v>
      </c>
      <c r="D81" s="104" cm="1">
        <f t="array" ref="D81">IF(B81="","",_xlfn._xlws.FILTER('Source List'!J$2:J$268,'Source List'!G$2:G$268='Row Counts'!B81," "))</f>
        <v>22973</v>
      </c>
      <c r="E81" s="105">
        <f>IFERROR(Table1[[#This Row],[TOTAL VINES]]-Table1[[#This Row],[VINES LEFT]],"")</f>
        <v>22973</v>
      </c>
      <c r="F81" s="105">
        <v>0</v>
      </c>
      <c r="G81" s="106">
        <f t="shared" si="10"/>
        <v>33.734214390602055</v>
      </c>
      <c r="H81" s="106">
        <f t="shared" si="7"/>
        <v>33.734214390602055</v>
      </c>
      <c r="I81" s="106">
        <f>Table1[[#This Row],[TOTAL ACRES]]-Table1[[#This Row],[ACRES PICKED]]</f>
        <v>0</v>
      </c>
      <c r="J81" s="106">
        <f>I77</f>
        <v>8.1512481644640218</v>
      </c>
      <c r="K81" s="106">
        <v>2</v>
      </c>
      <c r="L81" s="106" t="s">
        <v>221</v>
      </c>
      <c r="M81" s="209">
        <v>51.49</v>
      </c>
      <c r="N81" s="107">
        <f t="shared" si="6"/>
        <v>6.3168239956764562</v>
      </c>
      <c r="O81" s="108">
        <f t="shared" si="9"/>
        <v>0</v>
      </c>
      <c r="P81" s="109" t="s">
        <v>281</v>
      </c>
      <c r="Q81" s="12" t="s">
        <v>228</v>
      </c>
      <c r="R81" s="12"/>
    </row>
    <row r="82" spans="1:18" ht="13.5" customHeight="1" x14ac:dyDescent="0.3">
      <c r="A82" s="170">
        <v>46245</v>
      </c>
      <c r="B82" s="12" t="s">
        <v>177</v>
      </c>
      <c r="C82" s="9" cm="1">
        <f t="array" ref="C82">IF(B82="","",_xlfn._xlws.FILTER('Source List'!I$2:I$268,'Source List'!G$2:G$268='Row Counts'!B82," "))</f>
        <v>691</v>
      </c>
      <c r="D82" s="104" cm="1">
        <f t="array" ref="D82">IF(B82="","",_xlfn._xlws.FILTER('Source List'!J$2:J$268,'Source List'!G$2:G$268='Row Counts'!B82," "))</f>
        <v>20669</v>
      </c>
      <c r="E82" s="105">
        <v>2343</v>
      </c>
      <c r="F82" s="105">
        <f>Table1[[#This Row],[TOTAL VINES]]-Table1[[#This Row],[VINES PICKED]]</f>
        <v>18326</v>
      </c>
      <c r="G82" s="106">
        <f t="shared" si="10"/>
        <v>29.911722141823443</v>
      </c>
      <c r="H82" s="106">
        <f t="shared" si="7"/>
        <v>3.3907380607814761</v>
      </c>
      <c r="I82" s="106">
        <f>Table1[[#This Row],[TOTAL ACRES]]-Table1[[#This Row],[ACRES PICKED]]</f>
        <v>26.520984081041966</v>
      </c>
      <c r="J82" s="106">
        <f>Table1[[#This Row],[ACRES PICKED]]</f>
        <v>3.3907380607814761</v>
      </c>
      <c r="K82" s="106">
        <f>14/24</f>
        <v>0.58333333333333337</v>
      </c>
      <c r="L82" s="106" t="s">
        <v>221</v>
      </c>
      <c r="M82" s="209">
        <v>14.2</v>
      </c>
      <c r="N82" s="107">
        <f t="shared" si="6"/>
        <v>4.1878787878787875</v>
      </c>
      <c r="O82" s="108">
        <f t="shared" si="9"/>
        <v>4.8289855072463759</v>
      </c>
      <c r="P82" s="109" t="s">
        <v>236</v>
      </c>
      <c r="Q82" s="12" t="s">
        <v>296</v>
      </c>
    </row>
    <row r="83" spans="1:18" ht="13.5" customHeight="1" x14ac:dyDescent="0.3">
      <c r="A83" s="103">
        <v>46245</v>
      </c>
      <c r="B83" s="12" t="s">
        <v>178</v>
      </c>
      <c r="C83" s="9" cm="1">
        <f t="array" ref="C83">IF(B83="","",_xlfn._xlws.FILTER('Source List'!I$2:I$268,'Source List'!G$2:G$268='Row Counts'!B83," "))</f>
        <v>622</v>
      </c>
      <c r="D83" s="104" cm="1">
        <f t="array" ref="D83">IF(B83="","",_xlfn._xlws.FILTER('Source List'!J$2:J$268,'Source List'!G$2:G$268='Row Counts'!B83," "))</f>
        <v>34846</v>
      </c>
      <c r="E83" s="105">
        <f>IFERROR(Table1[[#This Row],[TOTAL VINES]]-Table1[[#This Row],[VINES LEFT]],"")</f>
        <v>34846</v>
      </c>
      <c r="F83" s="105">
        <v>0</v>
      </c>
      <c r="G83" s="106">
        <f t="shared" si="10"/>
        <v>56.022508038585208</v>
      </c>
      <c r="H83" s="106">
        <f t="shared" si="7"/>
        <v>56.022508038585208</v>
      </c>
      <c r="I83" s="106">
        <f>Table1[[#This Row],[TOTAL ACRES]]-Table1[[#This Row],[ACRES PICKED]]</f>
        <v>0</v>
      </c>
      <c r="J83" s="106">
        <f>I75</f>
        <v>17.453376205787784</v>
      </c>
      <c r="K83" s="106">
        <v>2</v>
      </c>
      <c r="L83" s="106" t="s">
        <v>226</v>
      </c>
      <c r="M83" s="209">
        <v>40.65</v>
      </c>
      <c r="N83" s="107">
        <f t="shared" si="6"/>
        <v>2.3290622697126011</v>
      </c>
      <c r="O83" s="108">
        <f t="shared" si="9"/>
        <v>0</v>
      </c>
      <c r="P83" s="109" t="s">
        <v>236</v>
      </c>
      <c r="Q83" s="12" t="s">
        <v>228</v>
      </c>
    </row>
    <row r="84" spans="1:18" ht="13.5" customHeight="1" x14ac:dyDescent="0.3">
      <c r="A84" s="170">
        <v>46245</v>
      </c>
      <c r="B84" s="12" t="s">
        <v>141</v>
      </c>
      <c r="C84" s="9" cm="1">
        <f t="array" ref="C84">IF(B84="","",_xlfn._xlws.FILTER('Source List'!I$2:I$268,'Source List'!G$2:G$268='Row Counts'!B84," "))</f>
        <v>660</v>
      </c>
      <c r="D84" s="104" cm="1">
        <f t="array" ref="D84">IF(B84="","",_xlfn._xlws.FILTER('Source List'!J$2:J$268,'Source List'!G$2:G$268='Row Counts'!B84," "))</f>
        <v>14817</v>
      </c>
      <c r="E84" s="105">
        <f>IFERROR(Table1[[#This Row],[TOTAL VINES]]-Table1[[#This Row],[VINES LEFT]],"")</f>
        <v>8608</v>
      </c>
      <c r="F84" s="105">
        <v>6209</v>
      </c>
      <c r="G84" s="106">
        <f t="shared" si="10"/>
        <v>22.45</v>
      </c>
      <c r="H84" s="106">
        <f t="shared" si="7"/>
        <v>13.042424242424243</v>
      </c>
      <c r="I84" s="106">
        <f>Table1[[#This Row],[TOTAL ACRES]]-Table1[[#This Row],[ACRES PICKED]]</f>
        <v>9.4075757575757564</v>
      </c>
      <c r="J84" s="106">
        <f>I69-Table1[[#This Row],[ACRES LEFT]]</f>
        <v>6.3984848484848484</v>
      </c>
      <c r="K84" s="106">
        <v>3</v>
      </c>
      <c r="L84" s="106" t="s">
        <v>297</v>
      </c>
      <c r="M84" s="209">
        <v>72.680000000000007</v>
      </c>
      <c r="N84" s="107">
        <f t="shared" si="6"/>
        <v>11.358939142789488</v>
      </c>
      <c r="O84" s="108">
        <f t="shared" si="9"/>
        <v>4.6460904570210753</v>
      </c>
      <c r="P84" s="109" t="s">
        <v>222</v>
      </c>
      <c r="Q84" s="12" t="s">
        <v>298</v>
      </c>
      <c r="R84" s="255" t="s">
        <v>299</v>
      </c>
    </row>
    <row r="85" spans="1:18" ht="13.5" customHeight="1" x14ac:dyDescent="0.3">
      <c r="A85" s="103">
        <v>46245</v>
      </c>
      <c r="B85" s="12" t="s">
        <v>78</v>
      </c>
      <c r="C85" s="9" cm="1">
        <f t="array" ref="C85">IF(B85="","",_xlfn._xlws.FILTER('Source List'!I$2:I$268,'Source List'!G$2:G$268='Row Counts'!B85," "))</f>
        <v>726</v>
      </c>
      <c r="D85" s="104" cm="1">
        <f t="array" ref="D85">IF(B85="","",_xlfn._xlws.FILTER('Source List'!J$2:J$268,'Source List'!G$2:G$268='Row Counts'!B85," "))</f>
        <v>14094</v>
      </c>
      <c r="E85" s="105">
        <v>5055</v>
      </c>
      <c r="F85" s="105">
        <f>Table1[[#This Row],[TOTAL VINES]]-Table1[[#This Row],[VINES PICKED]]</f>
        <v>9039</v>
      </c>
      <c r="G85" s="106">
        <f t="shared" si="10"/>
        <v>19.41322314049587</v>
      </c>
      <c r="H85" s="106">
        <f t="shared" si="7"/>
        <v>6.9628099173553721</v>
      </c>
      <c r="I85" s="106">
        <f>Table1[[#This Row],[TOTAL ACRES]]-Table1[[#This Row],[ACRES PICKED]]</f>
        <v>12.450413223140497</v>
      </c>
      <c r="J85" s="106">
        <f>Table1[[#This Row],[ACRES PICKED]]</f>
        <v>6.9628099173553721</v>
      </c>
      <c r="K85" s="106">
        <v>4</v>
      </c>
      <c r="L85" s="106" t="s">
        <v>221</v>
      </c>
      <c r="M85" s="209">
        <v>98.98</v>
      </c>
      <c r="N85" s="107">
        <f t="shared" si="6"/>
        <v>14.215525222551928</v>
      </c>
      <c r="O85" s="108">
        <f t="shared" si="9"/>
        <v>7.695181008902078</v>
      </c>
      <c r="P85" s="109" t="s">
        <v>236</v>
      </c>
      <c r="Q85" s="12" t="s">
        <v>300</v>
      </c>
    </row>
    <row r="86" spans="1:18" s="120" customFormat="1" ht="13.5" customHeight="1" x14ac:dyDescent="0.3">
      <c r="A86" s="170">
        <v>46245</v>
      </c>
      <c r="B86" s="12" t="s">
        <v>301</v>
      </c>
      <c r="C86" s="9" cm="1">
        <f t="array" ref="C86">IF(B86="","",_xlfn._xlws.FILTER('Source List'!I$2:I$268,'Source List'!G$2:G$268='Row Counts'!B86," "))</f>
        <v>660</v>
      </c>
      <c r="D86" s="104" cm="1">
        <f t="array" ref="D86">IF(B86="","",_xlfn._xlws.FILTER('Source List'!J$2:J$268,'Source List'!G$2:G$268='Row Counts'!B86," "))</f>
        <v>1276</v>
      </c>
      <c r="E86" s="105">
        <f>IFERROR(Table1[[#This Row],[TOTAL VINES]]-Table1[[#This Row],[VINES LEFT]],"")</f>
        <v>1276</v>
      </c>
      <c r="F86" s="105">
        <v>0</v>
      </c>
      <c r="G86" s="106">
        <f t="shared" si="10"/>
        <v>1.9333333333333333</v>
      </c>
      <c r="H86" s="106">
        <f t="shared" si="7"/>
        <v>1.9333333333333333</v>
      </c>
      <c r="I86" s="106">
        <f>Table1[[#This Row],[TOTAL ACRES]]-Table1[[#This Row],[ACRES PICKED]]</f>
        <v>0</v>
      </c>
      <c r="J86" s="106">
        <f>Table1[[#This Row],[ACRES PICKED]]</f>
        <v>1.9333333333333333</v>
      </c>
      <c r="K86" s="106">
        <f>((6*2.25))/24</f>
        <v>0.5625</v>
      </c>
      <c r="L86" s="106" t="s">
        <v>283</v>
      </c>
      <c r="M86" s="209">
        <v>12.86</v>
      </c>
      <c r="N86" s="107">
        <f t="shared" si="6"/>
        <v>6.6517241379310343</v>
      </c>
      <c r="O86" s="108">
        <f t="shared" si="9"/>
        <v>0</v>
      </c>
      <c r="P86" s="109" t="s">
        <v>222</v>
      </c>
      <c r="Q86" s="12" t="s">
        <v>302</v>
      </c>
      <c r="R86" s="12"/>
    </row>
    <row r="87" spans="1:18" s="128" customFormat="1" ht="13.5" customHeight="1" x14ac:dyDescent="0.3">
      <c r="A87" s="162">
        <v>46245</v>
      </c>
      <c r="B87" s="124" t="s">
        <v>107</v>
      </c>
      <c r="C87" s="163" cm="1">
        <f t="array" ref="C87">IF(B87="","",_xlfn._xlws.FILTER('Source List'!I$2:I$268,'Source List'!G$2:G$268='Row Counts'!B87," "))</f>
        <v>681</v>
      </c>
      <c r="D87" s="164" cm="1">
        <f t="array" ref="D87">IF(B87="","",_xlfn._xlws.FILTER('Source List'!J$2:J$268,'Source List'!G$2:G$268='Row Counts'!B87," "))</f>
        <v>18907</v>
      </c>
      <c r="E87" s="165">
        <f>IFERROR(Table1[[#This Row],[TOTAL VINES]]-Table1[[#This Row],[VINES LEFT]],"")</f>
        <v>11018</v>
      </c>
      <c r="F87" s="165">
        <v>7889</v>
      </c>
      <c r="G87" s="166">
        <f t="shared" si="10"/>
        <v>27.763582966226139</v>
      </c>
      <c r="H87" s="166">
        <f t="shared" si="7"/>
        <v>16.1791483113069</v>
      </c>
      <c r="I87" s="166">
        <f>Table1[[#This Row],[TOTAL ACRES]]-Table1[[#This Row],[ACRES PICKED]]</f>
        <v>11.584434654919239</v>
      </c>
      <c r="J87" s="166">
        <f>Table1[[#This Row],[ACRES PICKED]]</f>
        <v>16.1791483113069</v>
      </c>
      <c r="K87" s="166">
        <v>3</v>
      </c>
      <c r="L87" s="166" t="s">
        <v>221</v>
      </c>
      <c r="M87" s="180">
        <v>74.11</v>
      </c>
      <c r="N87" s="167">
        <f t="shared" si="6"/>
        <v>4.5805872209112364</v>
      </c>
      <c r="O87" s="168">
        <f t="shared" si="9"/>
        <v>2.3071092757306233</v>
      </c>
      <c r="P87" s="169" t="s">
        <v>281</v>
      </c>
      <c r="Q87" s="124" t="s">
        <v>303</v>
      </c>
      <c r="R87" s="124"/>
    </row>
    <row r="88" spans="1:18" s="250" customFormat="1" ht="13.5" customHeight="1" x14ac:dyDescent="0.3">
      <c r="A88" s="249">
        <v>46245</v>
      </c>
      <c r="B88" s="250" t="s">
        <v>144</v>
      </c>
      <c r="C88" s="251" cm="1">
        <f t="array" ref="C88">IF(B88="","",_xlfn._xlws.FILTER('Source List'!I$2:I$268,'Source List'!G$2:G$268='Row Counts'!B88," "))</f>
        <v>660</v>
      </c>
      <c r="D88" s="252" cm="1">
        <f t="array" ref="D88">IF(B88="","",_xlfn._xlws.FILTER('Source List'!J$2:J$268,'Source List'!G$2:G$268='Row Counts'!B88," "))</f>
        <v>4148</v>
      </c>
      <c r="E88" s="253">
        <f>IFERROR(Table1[[#This Row],[TOTAL VINES]]-Table1[[#This Row],[VINES LEFT]],"")</f>
        <v>2379</v>
      </c>
      <c r="F88" s="253">
        <v>1769</v>
      </c>
      <c r="G88" s="254">
        <f t="shared" si="10"/>
        <v>6.2848484848484851</v>
      </c>
      <c r="H88" s="254">
        <f t="shared" si="7"/>
        <v>3.6045454545454545</v>
      </c>
      <c r="I88" s="254">
        <f>Table1[[#This Row],[TOTAL ACRES]]-Table1[[#This Row],[ACRES PICKED]]</f>
        <v>2.6803030303030306</v>
      </c>
      <c r="J88" s="254">
        <f>Table1[[#This Row],[ACRES PICKED]]</f>
        <v>3.6045454545454545</v>
      </c>
      <c r="K88" s="267"/>
      <c r="L88" s="267" t="s">
        <v>283</v>
      </c>
      <c r="M88" s="268">
        <v>23.15</v>
      </c>
      <c r="N88" s="269">
        <f t="shared" si="6"/>
        <v>6.4224464060529627</v>
      </c>
      <c r="O88" s="270">
        <f t="shared" si="9"/>
        <v>0.74843924191750277</v>
      </c>
      <c r="P88" s="271" t="s">
        <v>304</v>
      </c>
      <c r="Q88" s="272" t="s">
        <v>305</v>
      </c>
      <c r="R88" s="273" t="s">
        <v>306</v>
      </c>
    </row>
    <row r="89" spans="1:18" s="219" customFormat="1" ht="13.5" customHeight="1" x14ac:dyDescent="0.3">
      <c r="A89" s="218">
        <v>46245</v>
      </c>
      <c r="B89" s="219" t="s">
        <v>147</v>
      </c>
      <c r="C89" s="220" cm="1">
        <f t="array" ref="C89">IF(B89="","",_xlfn._xlws.FILTER('Source List'!I$2:I$268,'Source List'!G$2:G$268='Row Counts'!B89," "))</f>
        <v>519</v>
      </c>
      <c r="D89" s="221" cm="1">
        <f t="array" ref="D89">IF(B89="","",_xlfn._xlws.FILTER('Source List'!J$2:J$268,'Source List'!G$2:G$268='Row Counts'!B89," "))</f>
        <v>3672</v>
      </c>
      <c r="E89" s="222">
        <f>IFERROR(Table1[[#This Row],[TOTAL VINES]]-Table1[[#This Row],[VINES LEFT]],"")</f>
        <v>1428</v>
      </c>
      <c r="F89" s="222">
        <v>2244</v>
      </c>
      <c r="G89" s="223">
        <f t="shared" si="10"/>
        <v>7.0751445086705198</v>
      </c>
      <c r="H89" s="223">
        <f t="shared" si="7"/>
        <v>2.7514450867052025</v>
      </c>
      <c r="I89" s="223">
        <f>Table1[[#This Row],[TOTAL ACRES]]-Table1[[#This Row],[ACRES PICKED]]</f>
        <v>4.3236994219653173</v>
      </c>
      <c r="J89" s="223">
        <f>Table1[[#This Row],[ACRES PICKED]]</f>
        <v>2.7514450867052025</v>
      </c>
      <c r="K89" s="274"/>
      <c r="L89" s="274" t="s">
        <v>283</v>
      </c>
      <c r="M89" s="275">
        <v>22.42</v>
      </c>
      <c r="N89" s="276">
        <f t="shared" si="6"/>
        <v>8.1484453781512602</v>
      </c>
      <c r="O89" s="277">
        <f t="shared" si="9"/>
        <v>1.5318012422360245</v>
      </c>
      <c r="P89" s="278" t="s">
        <v>304</v>
      </c>
      <c r="Q89" s="279" t="s">
        <v>307</v>
      </c>
      <c r="R89" s="279" t="s">
        <v>306</v>
      </c>
    </row>
    <row r="90" spans="1:18" s="121" customFormat="1" ht="13.5" customHeight="1" x14ac:dyDescent="0.3">
      <c r="A90" s="170">
        <v>46246</v>
      </c>
      <c r="B90" s="121" t="s">
        <v>166</v>
      </c>
      <c r="C90" s="171" cm="1">
        <f t="array" ref="C90">IF(B90="","",_xlfn._xlws.FILTER('Source List'!I$2:I$268,'Source List'!G$2:G$268='Row Counts'!B90," "))</f>
        <v>691</v>
      </c>
      <c r="D90" s="172" cm="1">
        <f t="array" ref="D90">IF(B90="","",_xlfn._xlws.FILTER('Source List'!J$2:J$268,'Source List'!G$2:G$268='Row Counts'!B90," "))</f>
        <v>3193</v>
      </c>
      <c r="E90" s="173">
        <f>IFERROR(Table1[[#This Row],[TOTAL VINES]]-Table1[[#This Row],[VINES LEFT]],"")</f>
        <v>3193</v>
      </c>
      <c r="F90" s="173">
        <v>0</v>
      </c>
      <c r="G90" s="174">
        <f t="shared" si="10"/>
        <v>4.6208393632416787</v>
      </c>
      <c r="H90" s="174">
        <f t="shared" si="7"/>
        <v>4.6208393632416787</v>
      </c>
      <c r="I90" s="174">
        <f>Table1[[#This Row],[TOTAL ACRES]]-Table1[[#This Row],[ACRES PICKED]]</f>
        <v>0</v>
      </c>
      <c r="J90" s="174">
        <f>Table1[[#This Row],[ACRES PICKED]]</f>
        <v>4.6208393632416787</v>
      </c>
      <c r="K90" s="174">
        <v>1.85</v>
      </c>
      <c r="L90" s="174" t="s">
        <v>221</v>
      </c>
      <c r="M90" s="181">
        <v>41.29</v>
      </c>
      <c r="N90" s="176">
        <f t="shared" si="6"/>
        <v>8.9356060131537731</v>
      </c>
      <c r="O90" s="177">
        <f t="shared" si="9"/>
        <v>0</v>
      </c>
      <c r="P90" s="178" t="s">
        <v>236</v>
      </c>
      <c r="Q90" s="121" t="s">
        <v>228</v>
      </c>
    </row>
    <row r="91" spans="1:18" ht="13.5" customHeight="1" x14ac:dyDescent="0.3">
      <c r="A91" s="103">
        <v>46246</v>
      </c>
      <c r="B91" s="12" t="s">
        <v>48</v>
      </c>
      <c r="C91" s="9" cm="1">
        <f t="array" ref="C91">IF(B91="","",_xlfn._xlws.FILTER('Source List'!I$2:I$268,'Source List'!G$2:G$268='Row Counts'!B91," "))</f>
        <v>622</v>
      </c>
      <c r="D91" s="104" cm="1">
        <f t="array" ref="D91">IF(B91="","",_xlfn._xlws.FILTER('Source List'!J$2:J$268,'Source List'!G$2:G$268='Row Counts'!B91," "))</f>
        <v>15330</v>
      </c>
      <c r="E91" s="105">
        <f>IFERROR(Table1[[#This Row],[TOTAL VINES]]-Table1[[#This Row],[VINES LEFT]],"")</f>
        <v>10423</v>
      </c>
      <c r="F91" s="105">
        <v>4907</v>
      </c>
      <c r="G91" s="106">
        <f t="shared" si="10"/>
        <v>24.64630225080386</v>
      </c>
      <c r="H91" s="106">
        <f t="shared" si="7"/>
        <v>16.757234726688104</v>
      </c>
      <c r="I91" s="106">
        <f>Table1[[#This Row],[TOTAL ACRES]]-Table1[[#This Row],[ACRES PICKED]]</f>
        <v>7.889067524115756</v>
      </c>
      <c r="J91" s="106">
        <f>Table1[[#This Row],[ACRES PICKED]]</f>
        <v>16.757234726688104</v>
      </c>
      <c r="K91" s="106">
        <v>5</v>
      </c>
      <c r="L91" s="106" t="s">
        <v>308</v>
      </c>
      <c r="M91" s="209">
        <v>110.39</v>
      </c>
      <c r="N91" s="107">
        <f t="shared" si="6"/>
        <v>6.5876024177300199</v>
      </c>
      <c r="O91" s="108">
        <f t="shared" si="9"/>
        <v>2.2595669693695797</v>
      </c>
      <c r="P91" s="109" t="s">
        <v>236</v>
      </c>
      <c r="Q91" s="12" t="s">
        <v>309</v>
      </c>
    </row>
    <row r="92" spans="1:18" ht="13.5" customHeight="1" x14ac:dyDescent="0.3">
      <c r="A92" s="170">
        <v>46246</v>
      </c>
      <c r="B92" s="12" t="s">
        <v>147</v>
      </c>
      <c r="C92" s="9" cm="1">
        <f t="array" ref="C92">IF(B92="","",_xlfn._xlws.FILTER('Source List'!I$2:I$268,'Source List'!G$2:G$268='Row Counts'!B92," "))</f>
        <v>519</v>
      </c>
      <c r="D92" s="104" cm="1">
        <f t="array" ref="D92">IF(B92="","",_xlfn._xlws.FILTER('Source List'!J$2:J$268,'Source List'!G$2:G$268='Row Counts'!B92," "))</f>
        <v>3672</v>
      </c>
      <c r="E92" s="105">
        <f>IFERROR(Table1[[#This Row],[TOTAL VINES]]-Table1[[#This Row],[VINES LEFT]],"")</f>
        <v>3672</v>
      </c>
      <c r="F92" s="105">
        <v>0</v>
      </c>
      <c r="G92" s="106">
        <f t="shared" si="10"/>
        <v>7.0751445086705198</v>
      </c>
      <c r="H92" s="106">
        <f t="shared" si="7"/>
        <v>7.0751445086705198</v>
      </c>
      <c r="I92" s="106">
        <f>Table1[[#This Row],[TOTAL ACRES]]-Table1[[#This Row],[ACRES PICKED]]</f>
        <v>0</v>
      </c>
      <c r="L92" s="106" t="s">
        <v>283</v>
      </c>
      <c r="M92" s="118">
        <f>6*5.5</f>
        <v>33</v>
      </c>
      <c r="N92" s="107">
        <f t="shared" si="6"/>
        <v>0</v>
      </c>
      <c r="O92" s="108">
        <f t="shared" si="9"/>
        <v>0</v>
      </c>
      <c r="P92" s="109" t="s">
        <v>222</v>
      </c>
      <c r="Q92" s="12" t="s">
        <v>228</v>
      </c>
    </row>
    <row r="93" spans="1:18" s="123" customFormat="1" ht="13.5" customHeight="1" x14ac:dyDescent="0.3">
      <c r="A93" s="103">
        <v>46246</v>
      </c>
      <c r="B93" s="12" t="s">
        <v>310</v>
      </c>
      <c r="C93" s="9" cm="1">
        <f t="array" ref="C93">IF(B93="","",_xlfn._xlws.FILTER('Source List'!I$2:I$268,'Source List'!G$2:G$268='Row Counts'!B93," "))</f>
        <v>660</v>
      </c>
      <c r="D93" s="104" cm="1">
        <f t="array" ref="D93">IF(B93="","",_xlfn._xlws.FILTER('Source List'!J$2:J$268,'Source List'!G$2:G$268='Row Counts'!B93," "))</f>
        <v>529</v>
      </c>
      <c r="E93" s="105">
        <f>IFERROR(Table1[[#This Row],[TOTAL VINES]]-Table1[[#This Row],[VINES LEFT]],"")</f>
        <v>529</v>
      </c>
      <c r="F93" s="105">
        <v>0</v>
      </c>
      <c r="G93" s="106">
        <f t="shared" si="10"/>
        <v>0.80151515151515151</v>
      </c>
      <c r="H93" s="106">
        <f t="shared" si="7"/>
        <v>0.80151515151515151</v>
      </c>
      <c r="I93" s="106">
        <f>Table1[[#This Row],[TOTAL ACRES]]-Table1[[#This Row],[ACRES PICKED]]</f>
        <v>0</v>
      </c>
      <c r="J93" s="106">
        <f>Table1[[#This Row],[ACRES PICKED]]</f>
        <v>0.80151515151515151</v>
      </c>
      <c r="K93" s="106"/>
      <c r="L93" s="106" t="s">
        <v>283</v>
      </c>
      <c r="M93" s="118">
        <f>6*1.25</f>
        <v>7.5</v>
      </c>
      <c r="N93" s="107">
        <f t="shared" si="6"/>
        <v>9.3572778827977316</v>
      </c>
      <c r="O93" s="108">
        <f t="shared" si="9"/>
        <v>0</v>
      </c>
      <c r="P93" s="109" t="s">
        <v>222</v>
      </c>
      <c r="Q93" s="12" t="s">
        <v>228</v>
      </c>
      <c r="R93" s="12"/>
    </row>
    <row r="94" spans="1:18" s="121" customFormat="1" ht="13.5" customHeight="1" x14ac:dyDescent="0.3">
      <c r="A94" s="170">
        <v>46246</v>
      </c>
      <c r="B94" s="12" t="s">
        <v>162</v>
      </c>
      <c r="C94" s="9" cm="1">
        <f t="array" ref="C94">IF(B94="","",_xlfn._xlws.FILTER('Source List'!I$2:I$268,'Source List'!G$2:G$268='Row Counts'!B94," "))</f>
        <v>519</v>
      </c>
      <c r="D94" s="104" cm="1">
        <f t="array" ref="D94">IF(B94="","",_xlfn._xlws.FILTER('Source List'!J$2:J$268,'Source List'!G$2:G$268='Row Counts'!B94," "))</f>
        <v>2061</v>
      </c>
      <c r="E94" s="105">
        <f>IFERROR(Table1[[#This Row],[TOTAL VINES]]-Table1[[#This Row],[VINES LEFT]],"")</f>
        <v>1125</v>
      </c>
      <c r="F94" s="105">
        <v>936</v>
      </c>
      <c r="G94" s="106">
        <f t="shared" si="10"/>
        <v>3.9710982658959537</v>
      </c>
      <c r="H94" s="106">
        <f t="shared" si="7"/>
        <v>2.1676300578034682</v>
      </c>
      <c r="I94" s="106">
        <f>Table1[[#This Row],[TOTAL ACRES]]-Table1[[#This Row],[ACRES PICKED]]</f>
        <v>1.8034682080924855</v>
      </c>
      <c r="J94" s="106">
        <f>Table1[[#This Row],[ACRES PICKED]]</f>
        <v>2.1676300578034682</v>
      </c>
      <c r="K94" s="106"/>
      <c r="L94" s="106" t="s">
        <v>283</v>
      </c>
      <c r="M94" s="118">
        <f>3.75*6</f>
        <v>22.5</v>
      </c>
      <c r="N94" s="107">
        <f t="shared" si="6"/>
        <v>10.38</v>
      </c>
      <c r="O94" s="108">
        <f t="shared" si="9"/>
        <v>0.81391304347826099</v>
      </c>
      <c r="P94" s="109" t="s">
        <v>222</v>
      </c>
      <c r="Q94" s="12" t="s">
        <v>311</v>
      </c>
      <c r="R94" s="12"/>
    </row>
    <row r="95" spans="1:18" s="120" customFormat="1" ht="13.5" customHeight="1" x14ac:dyDescent="0.3">
      <c r="A95" s="240">
        <v>46246</v>
      </c>
      <c r="B95" s="120" t="s">
        <v>78</v>
      </c>
      <c r="C95" s="241" cm="1">
        <f t="array" ref="C95">IF(B95="","",_xlfn._xlws.FILTER('Source List'!I$2:I$268,'Source List'!G$2:G$268='Row Counts'!B95," "))</f>
        <v>726</v>
      </c>
      <c r="D95" s="242" cm="1">
        <f t="array" ref="D95">IF(B95="","",_xlfn._xlws.FILTER('Source List'!J$2:J$268,'Source List'!G$2:G$268='Row Counts'!B95," "))</f>
        <v>14094</v>
      </c>
      <c r="E95" s="243">
        <f>IFERROR(Table1[[#This Row],[TOTAL VINES]]-Table1[[#This Row],[VINES LEFT]],"")</f>
        <v>12294</v>
      </c>
      <c r="F95" s="243">
        <v>1800</v>
      </c>
      <c r="G95" s="244">
        <f t="shared" si="10"/>
        <v>19.41322314049587</v>
      </c>
      <c r="H95" s="244">
        <f t="shared" si="7"/>
        <v>16.93388429752066</v>
      </c>
      <c r="I95" s="244">
        <f>Table1[[#This Row],[TOTAL ACRES]]-Table1[[#This Row],[ACRES PICKED]]</f>
        <v>2.4793388429752099</v>
      </c>
      <c r="J95" s="244">
        <f>I85-Table1[[#This Row],[ACRES LEFT]]</f>
        <v>9.9710743801652875</v>
      </c>
      <c r="K95" s="244">
        <v>6</v>
      </c>
      <c r="L95" s="244" t="s">
        <v>221</v>
      </c>
      <c r="M95" s="256">
        <v>148.88</v>
      </c>
      <c r="N95" s="245">
        <f t="shared" si="6"/>
        <v>14.931189390799837</v>
      </c>
      <c r="O95" s="246">
        <f t="shared" si="9"/>
        <v>1.609542514279539</v>
      </c>
      <c r="P95" s="247" t="s">
        <v>222</v>
      </c>
      <c r="Q95" s="120" t="s">
        <v>312</v>
      </c>
    </row>
    <row r="96" spans="1:18" s="121" customFormat="1" ht="13.5" customHeight="1" x14ac:dyDescent="0.3">
      <c r="A96" s="170">
        <v>46247</v>
      </c>
      <c r="B96" s="121" t="s">
        <v>114</v>
      </c>
      <c r="C96" s="171" cm="1">
        <f t="array" ref="C96">IF(B96="","",_xlfn._xlws.FILTER('Source List'!I$2:I$268,'Source List'!G$2:G$268='Row Counts'!B96," "))</f>
        <v>566</v>
      </c>
      <c r="D96" s="172" cm="1">
        <f t="array" ref="D96">IF(B96="","",_xlfn._xlws.FILTER('Source List'!J$2:J$268,'Source List'!G$2:G$268='Row Counts'!B96," "))</f>
        <v>6935</v>
      </c>
      <c r="E96" s="173">
        <f>IFERROR(Table1[[#This Row],[TOTAL VINES]]-Table1[[#This Row],[VINES LEFT]],"")</f>
        <v>6935</v>
      </c>
      <c r="F96" s="173">
        <v>0</v>
      </c>
      <c r="G96" s="174">
        <f t="shared" si="10"/>
        <v>12.252650176678445</v>
      </c>
      <c r="H96" s="174">
        <f t="shared" si="7"/>
        <v>12.252650176678445</v>
      </c>
      <c r="I96" s="174">
        <f>Table1[[#This Row],[TOTAL ACRES]]-Table1[[#This Row],[ACRES PICKED]]</f>
        <v>0</v>
      </c>
      <c r="J96" s="174">
        <f>I67</f>
        <v>0.34628975265017736</v>
      </c>
      <c r="K96" s="174"/>
      <c r="L96" s="174" t="s">
        <v>283</v>
      </c>
      <c r="M96" s="181">
        <f>0.25*6</f>
        <v>1.5</v>
      </c>
      <c r="N96" s="176">
        <f t="shared" si="6"/>
        <v>4.3316326530612157</v>
      </c>
      <c r="O96" s="177">
        <f t="shared" si="9"/>
        <v>0</v>
      </c>
      <c r="P96" s="178" t="s">
        <v>222</v>
      </c>
      <c r="Q96" s="121" t="s">
        <v>228</v>
      </c>
    </row>
    <row r="97" spans="1:18" ht="13.5" customHeight="1" x14ac:dyDescent="0.3">
      <c r="A97" s="103">
        <v>46247</v>
      </c>
      <c r="B97" s="12" t="s">
        <v>159</v>
      </c>
      <c r="C97" s="9" cm="1">
        <f t="array" ref="C97">IF(B97="","",_xlfn._xlws.FILTER('Source List'!I$2:I$268,'Source List'!G$2:G$268='Row Counts'!B97," "))</f>
        <v>691</v>
      </c>
      <c r="D97" s="104" cm="1">
        <f t="array" ref="D97">IF(B97="","",_xlfn._xlws.FILTER('Source List'!J$2:J$268,'Source List'!G$2:G$268='Row Counts'!B97," "))</f>
        <v>6586</v>
      </c>
      <c r="E97" s="105">
        <f>IFERROR(Table1[[#This Row],[TOTAL VINES]]-Table1[[#This Row],[VINES LEFT]],"")</f>
        <v>5677</v>
      </c>
      <c r="F97" s="105">
        <v>909</v>
      </c>
      <c r="G97" s="106">
        <f t="shared" si="10"/>
        <v>9.5311143270622285</v>
      </c>
      <c r="H97" s="106">
        <f t="shared" si="7"/>
        <v>8.215629522431259</v>
      </c>
      <c r="I97" s="106">
        <f>Table1[[#This Row],[TOTAL ACRES]]-Table1[[#This Row],[ACRES PICKED]]</f>
        <v>1.3154848046309695</v>
      </c>
      <c r="J97" s="106">
        <f>I68-Table1[[#This Row],[ACRES LEFT]]</f>
        <v>7.290882778581766</v>
      </c>
      <c r="L97" s="174" t="s">
        <v>283</v>
      </c>
      <c r="M97" s="209">
        <v>42.58</v>
      </c>
      <c r="N97" s="107">
        <f t="shared" si="6"/>
        <v>5.8401707026597851</v>
      </c>
      <c r="O97" s="108">
        <f t="shared" si="9"/>
        <v>0.3340285137304313</v>
      </c>
      <c r="P97" s="109" t="s">
        <v>222</v>
      </c>
      <c r="Q97" s="12" t="s">
        <v>313</v>
      </c>
    </row>
    <row r="98" spans="1:18" ht="13.5" customHeight="1" x14ac:dyDescent="0.3">
      <c r="A98" s="103">
        <v>46247</v>
      </c>
      <c r="B98" s="12" t="s">
        <v>78</v>
      </c>
      <c r="C98" s="9" cm="1">
        <f t="array" ref="C98">IF(B98="","",_xlfn._xlws.FILTER('Source List'!I$2:I$268,'Source List'!G$2:G$268='Row Counts'!B98," "))</f>
        <v>726</v>
      </c>
      <c r="D98" s="104" cm="1">
        <f t="array" ref="D98">IF(B98="","",_xlfn._xlws.FILTER('Source List'!J$2:J$268,'Source List'!G$2:G$268='Row Counts'!B98," "))</f>
        <v>14094</v>
      </c>
      <c r="E98" s="105">
        <f>IFERROR(Table1[[#This Row],[TOTAL VINES]]-Table1[[#This Row],[VINES LEFT]],"")</f>
        <v>14094</v>
      </c>
      <c r="F98" s="105">
        <v>0</v>
      </c>
      <c r="G98" s="106">
        <f t="shared" si="10"/>
        <v>19.41322314049587</v>
      </c>
      <c r="H98" s="106">
        <f t="shared" si="7"/>
        <v>19.41322314049587</v>
      </c>
      <c r="I98" s="106">
        <f>Table1[[#This Row],[TOTAL ACRES]]-Table1[[#This Row],[ACRES PICKED]]</f>
        <v>0</v>
      </c>
      <c r="J98" s="106">
        <f>I95</f>
        <v>2.4793388429752099</v>
      </c>
      <c r="L98" s="106" t="s">
        <v>221</v>
      </c>
      <c r="M98" s="209">
        <v>36</v>
      </c>
      <c r="N98" s="107">
        <f t="shared" si="6"/>
        <v>14.51999999999998</v>
      </c>
      <c r="O98" s="108">
        <f t="shared" si="9"/>
        <v>0</v>
      </c>
      <c r="P98" s="109" t="s">
        <v>222</v>
      </c>
      <c r="Q98" s="12" t="s">
        <v>314</v>
      </c>
    </row>
    <row r="99" spans="1:18" ht="13.5" customHeight="1" x14ac:dyDescent="0.3">
      <c r="A99" s="103">
        <v>46247</v>
      </c>
      <c r="B99" s="12" t="s">
        <v>25</v>
      </c>
      <c r="C99" s="9" cm="1">
        <f t="array" ref="C99">IF(B99="","",_xlfn._xlws.FILTER('Source List'!I$2:I$268,'Source List'!G$2:G$268='Row Counts'!B99," "))</f>
        <v>726</v>
      </c>
      <c r="D99" s="104" cm="1">
        <f t="array" ref="D99">IF(B99="","",_xlfn._xlws.FILTER('Source List'!J$2:J$268,'Source List'!G$2:G$268='Row Counts'!B99," "))</f>
        <v>30107</v>
      </c>
      <c r="E99" s="105">
        <f>10296+58</f>
        <v>10354</v>
      </c>
      <c r="F99" s="105">
        <f>Table1[[#This Row],[TOTAL VINES]]-Table1[[#This Row],[VINES PICKED]]</f>
        <v>19753</v>
      </c>
      <c r="G99" s="106">
        <f t="shared" si="10"/>
        <v>41.469696969696969</v>
      </c>
      <c r="H99" s="106">
        <f t="shared" si="7"/>
        <v>14.261707988980715</v>
      </c>
      <c r="I99" s="106">
        <f>Table1[[#This Row],[TOTAL ACRES]]-Table1[[#This Row],[ACRES PICKED]]</f>
        <v>27.207988980716252</v>
      </c>
      <c r="J99" s="106">
        <f>Table1[[#This Row],[ACRES PICKED]]</f>
        <v>14.261707988980715</v>
      </c>
      <c r="K99" s="106">
        <v>4</v>
      </c>
      <c r="L99" s="106" t="s">
        <v>221</v>
      </c>
      <c r="M99" s="209">
        <v>94.16</v>
      </c>
      <c r="N99" s="107">
        <f t="shared" si="6"/>
        <v>6.6022947653080939</v>
      </c>
      <c r="O99" s="108">
        <f t="shared" si="9"/>
        <v>7.810224487910574</v>
      </c>
      <c r="P99" s="109" t="s">
        <v>236</v>
      </c>
      <c r="Q99" s="12" t="s">
        <v>315</v>
      </c>
    </row>
    <row r="100" spans="1:18" ht="13.5" customHeight="1" x14ac:dyDescent="0.3">
      <c r="A100" s="103">
        <v>46247</v>
      </c>
      <c r="B100" s="12" t="s">
        <v>65</v>
      </c>
      <c r="C100" s="9" cm="1">
        <f t="array" ref="C100">IF(B100="","",_xlfn._xlws.FILTER('Source List'!I$2:I$268,'Source List'!G$2:G$268='Row Counts'!B100," "))</f>
        <v>622</v>
      </c>
      <c r="D100" s="104" cm="1">
        <f t="array" ref="D100">IF(B100="","",_xlfn._xlws.FILTER('Source List'!J$2:J$268,'Source List'!G$2:G$268='Row Counts'!B100," "))</f>
        <v>30664</v>
      </c>
      <c r="E100" s="105">
        <v>11226</v>
      </c>
      <c r="F100" s="105">
        <f>Table1[[#This Row],[TOTAL VINES]]-Table1[[#This Row],[VINES PICKED]]</f>
        <v>19438</v>
      </c>
      <c r="G100" s="106">
        <f t="shared" si="10"/>
        <v>49.29903536977492</v>
      </c>
      <c r="H100" s="106">
        <f t="shared" si="7"/>
        <v>18.04823151125402</v>
      </c>
      <c r="I100" s="106">
        <f>Table1[[#This Row],[TOTAL ACRES]]-Table1[[#This Row],[ACRES PICKED]]</f>
        <v>31.2508038585209</v>
      </c>
      <c r="J100" s="106">
        <f>Table1[[#This Row],[ACRES PICKED]]</f>
        <v>18.04823151125402</v>
      </c>
      <c r="K100" s="106">
        <v>6</v>
      </c>
      <c r="L100" s="106" t="s">
        <v>279</v>
      </c>
      <c r="M100" s="209">
        <v>142.66</v>
      </c>
      <c r="N100" s="107">
        <f t="shared" si="6"/>
        <v>7.9043755567432736</v>
      </c>
      <c r="O100" s="108">
        <f t="shared" si="9"/>
        <v>10.739916962950913</v>
      </c>
      <c r="P100" s="109" t="s">
        <v>236</v>
      </c>
      <c r="Q100" s="12" t="s">
        <v>316</v>
      </c>
    </row>
    <row r="101" spans="1:18" s="123" customFormat="1" ht="13.5" customHeight="1" x14ac:dyDescent="0.3">
      <c r="A101" s="103">
        <v>46247</v>
      </c>
      <c r="B101" s="12" t="s">
        <v>81</v>
      </c>
      <c r="C101" s="9" cm="1">
        <f t="array" ref="C101">IF(B101="","",_xlfn._xlws.FILTER('Source List'!I$2:I$268,'Source List'!G$2:G$268='Row Counts'!B101," "))</f>
        <v>726</v>
      </c>
      <c r="D101" s="104" cm="1">
        <f t="array" ref="D101">IF(B101="","",_xlfn._xlws.FILTER('Source List'!J$2:J$268,'Source List'!G$2:G$268='Row Counts'!B101," "))</f>
        <v>26701</v>
      </c>
      <c r="E101" s="105">
        <f>5888+135</f>
        <v>6023</v>
      </c>
      <c r="F101" s="105">
        <f>Table1[[#This Row],[TOTAL VINES]]-Table1[[#This Row],[VINES PICKED]]</f>
        <v>20678</v>
      </c>
      <c r="G101" s="106">
        <f t="shared" si="10"/>
        <v>36.778236914600548</v>
      </c>
      <c r="H101" s="106">
        <f t="shared" si="7"/>
        <v>8.2961432506887061</v>
      </c>
      <c r="I101" s="106">
        <f>Table1[[#This Row],[TOTAL ACRES]]-Table1[[#This Row],[ACRES PICKED]]</f>
        <v>28.48209366391184</v>
      </c>
      <c r="J101" s="106">
        <f>Table1[[#This Row],[ACRES PICKED]]</f>
        <v>8.2961432506887061</v>
      </c>
      <c r="K101" s="106"/>
      <c r="L101" s="106" t="s">
        <v>221</v>
      </c>
      <c r="M101" s="209">
        <v>107.69</v>
      </c>
      <c r="N101" s="107">
        <f t="shared" si="6"/>
        <v>12.980730532956997</v>
      </c>
      <c r="O101" s="108">
        <f t="shared" si="9"/>
        <v>16.07471229850789</v>
      </c>
      <c r="P101" s="109" t="s">
        <v>236</v>
      </c>
      <c r="Q101" s="264" t="s">
        <v>317</v>
      </c>
      <c r="R101" s="12"/>
    </row>
    <row r="102" spans="1:18" s="266" customFormat="1" ht="13.5" customHeight="1" x14ac:dyDescent="0.3">
      <c r="A102" s="240">
        <v>46247</v>
      </c>
      <c r="B102" s="120" t="s">
        <v>141</v>
      </c>
      <c r="C102" s="241" cm="1">
        <f t="array" ref="C102">IF(B102="","",_xlfn._xlws.FILTER('Source List'!I$2:I$268,'Source List'!G$2:G$268='Row Counts'!B102," "))</f>
        <v>660</v>
      </c>
      <c r="D102" s="242" cm="1">
        <f t="array" ref="D102">IF(B102="","",_xlfn._xlws.FILTER('Source List'!J$2:J$268,'Source List'!G$2:G$268='Row Counts'!B102," "))</f>
        <v>14817</v>
      </c>
      <c r="E102" s="243">
        <f>IFERROR(Table1[[#This Row],[TOTAL VINES]]-Table1[[#This Row],[VINES LEFT]],"")</f>
        <v>11356</v>
      </c>
      <c r="F102" s="243">
        <f>3328+133</f>
        <v>3461</v>
      </c>
      <c r="G102" s="244">
        <f t="shared" si="10"/>
        <v>22.45</v>
      </c>
      <c r="H102" s="244">
        <f t="shared" si="7"/>
        <v>17.206060606060607</v>
      </c>
      <c r="I102" s="244">
        <f>Table1[[#This Row],[TOTAL ACRES]]-Table1[[#This Row],[ACRES PICKED]]</f>
        <v>5.2439393939393923</v>
      </c>
      <c r="J102" s="244">
        <f>I84-Table1[[#This Row],[ACRES LEFT]]</f>
        <v>4.163636363636364</v>
      </c>
      <c r="K102" s="244">
        <v>2</v>
      </c>
      <c r="L102" s="244" t="s">
        <v>283</v>
      </c>
      <c r="M102" s="256">
        <v>44.44</v>
      </c>
      <c r="N102" s="245">
        <f t="shared" ref="N102:N167" si="11">IFERROR(M102/J102,0)</f>
        <v>10.673362445414845</v>
      </c>
      <c r="O102" s="246">
        <f t="shared" si="9"/>
        <v>2.4334985127523563</v>
      </c>
      <c r="P102" s="247" t="s">
        <v>222</v>
      </c>
      <c r="Q102" s="120" t="s">
        <v>318</v>
      </c>
      <c r="R102" s="120"/>
    </row>
    <row r="103" spans="1:18" s="121" customFormat="1" ht="13.5" customHeight="1" x14ac:dyDescent="0.3">
      <c r="A103" s="170">
        <v>46248</v>
      </c>
      <c r="B103" s="121" t="s">
        <v>45</v>
      </c>
      <c r="C103" s="171" cm="1">
        <f t="array" ref="C103">IF(B103="","",_xlfn._xlws.FILTER('Source List'!I$2:I$268,'Source List'!G$2:G$268='Row Counts'!B103," "))</f>
        <v>566</v>
      </c>
      <c r="D103" s="172" cm="1">
        <f t="array" ref="D103">IF(B103="","",_xlfn._xlws.FILTER('Source List'!J$2:J$268,'Source List'!G$2:G$268='Row Counts'!B103," "))</f>
        <v>8947</v>
      </c>
      <c r="E103" s="173">
        <f>IFERROR(Table1[[#This Row],[TOTAL VINES]]-Table1[[#This Row],[VINES LEFT]],"")</f>
        <v>3135</v>
      </c>
      <c r="F103" s="173">
        <v>5812</v>
      </c>
      <c r="G103" s="174">
        <f t="shared" si="10"/>
        <v>15.807420494699647</v>
      </c>
      <c r="H103" s="174">
        <f t="shared" si="7"/>
        <v>5.5388692579505303</v>
      </c>
      <c r="I103" s="174">
        <f>Table1[[#This Row],[TOTAL ACRES]]-Table1[[#This Row],[ACRES PICKED]]</f>
        <v>10.268551236749117</v>
      </c>
      <c r="J103" s="174">
        <f>Table1[[#This Row],[ACRES PICKED]]</f>
        <v>5.5388692579505303</v>
      </c>
      <c r="K103" s="174">
        <v>2</v>
      </c>
      <c r="L103" s="174" t="s">
        <v>308</v>
      </c>
      <c r="M103" s="181">
        <v>40.82</v>
      </c>
      <c r="N103" s="176">
        <f t="shared" si="11"/>
        <v>7.369735247208931</v>
      </c>
      <c r="O103" s="177">
        <f t="shared" si="9"/>
        <v>3.2902827820539486</v>
      </c>
      <c r="P103" s="178" t="s">
        <v>319</v>
      </c>
      <c r="Q103" s="121" t="s">
        <v>320</v>
      </c>
    </row>
    <row r="104" spans="1:18" ht="13.5" customHeight="1" x14ac:dyDescent="0.3">
      <c r="A104" s="103">
        <v>46248</v>
      </c>
      <c r="B104" s="12" t="s">
        <v>177</v>
      </c>
      <c r="C104" s="9" cm="1">
        <f t="array" ref="C104">IF(B104="","",_xlfn._xlws.FILTER('Source List'!I$2:I$268,'Source List'!G$2:G$268='Row Counts'!B104," "))</f>
        <v>691</v>
      </c>
      <c r="D104" s="104" cm="1">
        <f t="array" ref="D104">IF(B104="","",_xlfn._xlws.FILTER('Source List'!J$2:J$268,'Source List'!G$2:G$268='Row Counts'!B104," "))</f>
        <v>20669</v>
      </c>
      <c r="E104" s="105">
        <f>IFERROR(Table1[[#This Row],[TOTAL VINES]]-Table1[[#This Row],[VINES LEFT]],"")</f>
        <v>15188</v>
      </c>
      <c r="F104" s="105">
        <v>5481</v>
      </c>
      <c r="G104" s="106">
        <f t="shared" si="10"/>
        <v>29.911722141823443</v>
      </c>
      <c r="H104" s="106">
        <f t="shared" si="7"/>
        <v>21.979739507959479</v>
      </c>
      <c r="I104" s="106">
        <f>Table1[[#This Row],[TOTAL ACRES]]-Table1[[#This Row],[ACRES PICKED]]</f>
        <v>7.9319826338639636</v>
      </c>
      <c r="J104" s="106">
        <f>I82-Table1[[#This Row],[ACRES LEFT]]</f>
        <v>18.589001447178003</v>
      </c>
      <c r="K104" s="106">
        <v>4</v>
      </c>
      <c r="L104" s="106" t="s">
        <v>226</v>
      </c>
      <c r="M104" s="209">
        <v>93.27</v>
      </c>
      <c r="N104" s="107">
        <f t="shared" si="11"/>
        <v>5.0174830673413782</v>
      </c>
      <c r="O104" s="108">
        <f t="shared" si="9"/>
        <v>1.7303734154721</v>
      </c>
      <c r="P104" s="109" t="s">
        <v>259</v>
      </c>
      <c r="Q104" s="12" t="s">
        <v>321</v>
      </c>
    </row>
    <row r="105" spans="1:18" ht="13.5" customHeight="1" x14ac:dyDescent="0.3">
      <c r="A105" s="170">
        <v>46248</v>
      </c>
      <c r="B105" s="12" t="s">
        <v>141</v>
      </c>
      <c r="C105" s="9" cm="1">
        <f t="array" ref="C105">IF(B105="","",_xlfn._xlws.FILTER('Source List'!I$2:I$268,'Source List'!G$2:G$268='Row Counts'!B105," "))</f>
        <v>660</v>
      </c>
      <c r="D105" s="104" cm="1">
        <f t="array" ref="D105">IF(B105="","",_xlfn._xlws.FILTER('Source List'!J$2:J$268,'Source List'!G$2:G$268='Row Counts'!B105," "))</f>
        <v>14817</v>
      </c>
      <c r="E105" s="105">
        <f>IFERROR(Table1[[#This Row],[TOTAL VINES]]-Table1[[#This Row],[VINES LEFT]],"")</f>
        <v>11845</v>
      </c>
      <c r="F105" s="105">
        <v>2972</v>
      </c>
      <c r="G105" s="106">
        <f t="shared" si="10"/>
        <v>22.45</v>
      </c>
      <c r="H105" s="106">
        <f t="shared" si="7"/>
        <v>17.946969696969695</v>
      </c>
      <c r="I105" s="106">
        <f>Table1[[#This Row],[TOTAL ACRES]]-Table1[[#This Row],[ACRES PICKED]]</f>
        <v>4.5030303030303038</v>
      </c>
      <c r="J105" s="106">
        <f>I102-Table1[[#This Row],[ACRES LEFT]]</f>
        <v>0.74090909090908852</v>
      </c>
      <c r="L105" s="106" t="s">
        <v>322</v>
      </c>
      <c r="M105" s="118">
        <f>1.5*6</f>
        <v>9</v>
      </c>
      <c r="N105" s="107">
        <f t="shared" si="11"/>
        <v>12.147239263803721</v>
      </c>
      <c r="O105" s="108">
        <f t="shared" si="9"/>
        <v>2.3782341957855508</v>
      </c>
      <c r="P105" s="109" t="s">
        <v>222</v>
      </c>
      <c r="Q105" s="12" t="s">
        <v>323</v>
      </c>
      <c r="R105" s="12" t="s">
        <v>324</v>
      </c>
    </row>
    <row r="106" spans="1:18" ht="13.5" customHeight="1" x14ac:dyDescent="0.3">
      <c r="A106" s="103">
        <v>46248</v>
      </c>
      <c r="B106" s="12" t="s">
        <v>28</v>
      </c>
      <c r="C106" s="9" cm="1">
        <f t="array" ref="C106">IF(B106="","",_xlfn._xlws.FILTER('Source List'!I$2:I$268,'Source List'!G$2:G$268='Row Counts'!B106," "))</f>
        <v>807</v>
      </c>
      <c r="D106" s="104" cm="1">
        <f t="array" ref="D106">IF(B106="","",_xlfn._xlws.FILTER('Source List'!J$2:J$268,'Source List'!G$2:G$268='Row Counts'!B106," "))</f>
        <v>37779</v>
      </c>
      <c r="E106" s="105">
        <v>26564</v>
      </c>
      <c r="F106" s="105">
        <f>Table1[[#This Row],[TOTAL VINES]]-Table1[[#This Row],[VINES PICKED]]</f>
        <v>11215</v>
      </c>
      <c r="G106" s="106">
        <f t="shared" si="10"/>
        <v>46.814126394052046</v>
      </c>
      <c r="H106" s="106">
        <f t="shared" si="7"/>
        <v>32.916976456009913</v>
      </c>
      <c r="I106" s="106">
        <f>Table1[[#This Row],[TOTAL ACRES]]-Table1[[#This Row],[ACRES PICKED]]</f>
        <v>13.897149938042133</v>
      </c>
      <c r="J106" s="106">
        <f>Table1[[#This Row],[ACRES PICKED]]</f>
        <v>32.916976456009913</v>
      </c>
      <c r="K106" s="106">
        <v>6</v>
      </c>
      <c r="L106" s="106" t="s">
        <v>325</v>
      </c>
      <c r="M106" s="209">
        <v>141.68</v>
      </c>
      <c r="N106" s="107">
        <f t="shared" si="11"/>
        <v>4.3041620237915978</v>
      </c>
      <c r="O106" s="108">
        <f t="shared" si="9"/>
        <v>2.6006776087938568</v>
      </c>
      <c r="P106" s="109" t="s">
        <v>236</v>
      </c>
      <c r="Q106" s="12" t="s">
        <v>326</v>
      </c>
    </row>
    <row r="107" spans="1:18" ht="13.5" customHeight="1" x14ac:dyDescent="0.3">
      <c r="A107" s="170">
        <v>46248</v>
      </c>
      <c r="B107" s="12" t="s">
        <v>65</v>
      </c>
      <c r="C107" s="9" cm="1">
        <f t="array" ref="C107">IF(B107="","",_xlfn._xlws.FILTER('Source List'!I$2:I$268,'Source List'!G$2:G$268='Row Counts'!B107," "))</f>
        <v>622</v>
      </c>
      <c r="D107" s="104" cm="1">
        <f t="array" ref="D107">IF(B107="","",_xlfn._xlws.FILTER('Source List'!J$2:J$268,'Source List'!G$2:G$268='Row Counts'!B107," "))</f>
        <v>30664</v>
      </c>
      <c r="E107" s="105">
        <f>IFERROR(Table1[[#This Row],[TOTAL VINES]]-Table1[[#This Row],[VINES LEFT]],"")</f>
        <v>22202</v>
      </c>
      <c r="F107" s="105">
        <v>8462</v>
      </c>
      <c r="G107" s="106">
        <f t="shared" si="10"/>
        <v>49.29903536977492</v>
      </c>
      <c r="H107" s="106">
        <f t="shared" si="7"/>
        <v>35.69453376205788</v>
      </c>
      <c r="I107" s="106">
        <f>Table1[[#This Row],[TOTAL ACRES]]-Table1[[#This Row],[ACRES PICKED]]</f>
        <v>13.60450160771704</v>
      </c>
      <c r="J107" s="106">
        <f>I100-Table1[[#This Row],[ACRES LEFT]]</f>
        <v>17.64630225080386</v>
      </c>
      <c r="K107" s="106">
        <v>6</v>
      </c>
      <c r="L107" s="106" t="s">
        <v>279</v>
      </c>
      <c r="M107" s="209">
        <v>144.32</v>
      </c>
      <c r="N107" s="107">
        <f t="shared" si="11"/>
        <v>8.1784839650145766</v>
      </c>
      <c r="O107" s="108">
        <f t="shared" si="9"/>
        <v>4.8375738369882102</v>
      </c>
      <c r="P107" s="109" t="s">
        <v>236</v>
      </c>
      <c r="Q107" s="12" t="s">
        <v>327</v>
      </c>
    </row>
    <row r="108" spans="1:18" ht="13.5" customHeight="1" x14ac:dyDescent="0.3">
      <c r="A108" s="170">
        <v>46248</v>
      </c>
      <c r="B108" s="12" t="s">
        <v>162</v>
      </c>
      <c r="C108" s="9" cm="1">
        <f t="array" ref="C108">IF(B108="","",_xlfn._xlws.FILTER('Source List'!I$2:I$268,'Source List'!G$2:G$268='Row Counts'!B108," "))</f>
        <v>519</v>
      </c>
      <c r="D108" s="104" cm="1">
        <f t="array" ref="D108">IF(B108="","",_xlfn._xlws.FILTER('Source List'!J$2:J$268,'Source List'!G$2:G$268='Row Counts'!B108," "))</f>
        <v>2061</v>
      </c>
      <c r="E108" s="105">
        <f>IFERROR(Table1[[#This Row],[TOTAL VINES]]-Table1[[#This Row],[VINES LEFT]],"")</f>
        <v>2061</v>
      </c>
      <c r="F108" s="105">
        <v>0</v>
      </c>
      <c r="G108" s="106">
        <f t="shared" si="10"/>
        <v>3.9710982658959537</v>
      </c>
      <c r="H108" s="106">
        <f t="shared" si="7"/>
        <v>3.9710982658959537</v>
      </c>
      <c r="I108" s="106">
        <f>Table1[[#This Row],[TOTAL ACRES]]-Table1[[#This Row],[ACRES PICKED]]</f>
        <v>0</v>
      </c>
      <c r="J108" s="106">
        <f>I94</f>
        <v>1.8034682080924855</v>
      </c>
      <c r="L108" s="106" t="s">
        <v>322</v>
      </c>
      <c r="M108" s="118">
        <f>3.75*6</f>
        <v>22.5</v>
      </c>
      <c r="N108" s="107">
        <f t="shared" si="11"/>
        <v>12.475961538461538</v>
      </c>
      <c r="O108" s="108">
        <f t="shared" si="9"/>
        <v>0</v>
      </c>
      <c r="P108" s="109" t="s">
        <v>222</v>
      </c>
      <c r="Q108" s="12" t="s">
        <v>228</v>
      </c>
      <c r="R108" s="12" t="s">
        <v>328</v>
      </c>
    </row>
    <row r="109" spans="1:18" ht="13.5" customHeight="1" x14ac:dyDescent="0.3">
      <c r="A109" s="103">
        <v>46248</v>
      </c>
      <c r="B109" s="12" t="s">
        <v>129</v>
      </c>
      <c r="C109" s="9" cm="1">
        <f t="array" ref="C109">IF(B109="","",_xlfn._xlws.FILTER('Source List'!I$2:I$268,'Source List'!G$2:G$268='Row Counts'!B109," "))</f>
        <v>660</v>
      </c>
      <c r="D109" s="104" cm="1">
        <f t="array" ref="D109">IF(B109="","",_xlfn._xlws.FILTER('Source List'!J$2:J$268,'Source List'!G$2:G$268='Row Counts'!B109," "))</f>
        <v>14099</v>
      </c>
      <c r="E109" s="105">
        <v>4447</v>
      </c>
      <c r="F109" s="105">
        <f>Table1[[#This Row],[TOTAL VINES]]-Table1[[#This Row],[VINES PICKED]]</f>
        <v>9652</v>
      </c>
      <c r="G109" s="106">
        <f t="shared" si="10"/>
        <v>21.362121212121213</v>
      </c>
      <c r="H109" s="106">
        <f t="shared" si="7"/>
        <v>6.7378787878787882</v>
      </c>
      <c r="I109" s="106">
        <f>Table1[[#This Row],[TOTAL ACRES]]-Table1[[#This Row],[ACRES PICKED]]</f>
        <v>14.624242424242425</v>
      </c>
      <c r="J109" s="106">
        <f>Table1[[#This Row],[ACRES PICKED]]</f>
        <v>6.7378787878787882</v>
      </c>
      <c r="L109" s="106" t="s">
        <v>322</v>
      </c>
      <c r="M109" s="118">
        <f>16*6</f>
        <v>96</v>
      </c>
      <c r="N109" s="107">
        <f t="shared" si="11"/>
        <v>14.247807510681357</v>
      </c>
      <c r="O109" s="108">
        <f t="shared" si="9"/>
        <v>9.0592778717454845</v>
      </c>
      <c r="P109" s="109" t="s">
        <v>222</v>
      </c>
      <c r="Q109" s="12" t="s">
        <v>329</v>
      </c>
      <c r="R109" s="12" t="s">
        <v>330</v>
      </c>
    </row>
    <row r="110" spans="1:18" s="120" customFormat="1" ht="13.5" customHeight="1" x14ac:dyDescent="0.3">
      <c r="A110" s="240">
        <v>46248</v>
      </c>
      <c r="B110" s="120" t="s">
        <v>138</v>
      </c>
      <c r="C110" s="241" cm="1">
        <f t="array" ref="C110">IF(B110="","",_xlfn._xlws.FILTER('Source List'!I$2:I$268,'Source List'!G$2:G$268='Row Counts'!B110," "))</f>
        <v>660</v>
      </c>
      <c r="D110" s="242" cm="1">
        <f t="array" ref="D110">IF(B110="","",_xlfn._xlws.FILTER('Source List'!J$2:J$268,'Source List'!G$2:G$268='Row Counts'!B110," "))</f>
        <v>1954</v>
      </c>
      <c r="E110" s="243">
        <f>IFERROR(Table1[[#This Row],[TOTAL VINES]]-Table1[[#This Row],[VINES LEFT]],"")</f>
        <v>1954</v>
      </c>
      <c r="F110" s="243">
        <v>0</v>
      </c>
      <c r="G110" s="244">
        <f t="shared" si="10"/>
        <v>2.9606060606060605</v>
      </c>
      <c r="H110" s="244">
        <f t="shared" si="7"/>
        <v>2.9606060606060605</v>
      </c>
      <c r="I110" s="244">
        <f>Table1[[#This Row],[TOTAL ACRES]]-Table1[[#This Row],[ACRES PICKED]]</f>
        <v>0</v>
      </c>
      <c r="J110" s="244">
        <f>Table1[[#This Row],[ACRES PICKED]]</f>
        <v>2.9606060606060605</v>
      </c>
      <c r="K110" s="244"/>
      <c r="L110" s="244" t="s">
        <v>322</v>
      </c>
      <c r="M110" s="265">
        <f>3.75*6</f>
        <v>22.5</v>
      </c>
      <c r="N110" s="245">
        <f t="shared" si="11"/>
        <v>7.5997952917093148</v>
      </c>
      <c r="O110" s="246">
        <f t="shared" si="9"/>
        <v>0</v>
      </c>
      <c r="P110" s="247"/>
    </row>
    <row r="111" spans="1:18" s="280" customFormat="1" ht="13.5" customHeight="1" x14ac:dyDescent="0.3">
      <c r="A111" s="170">
        <v>46249</v>
      </c>
      <c r="B111" s="121" t="s">
        <v>45</v>
      </c>
      <c r="C111" s="171" cm="1">
        <f t="array" ref="C111">IF(B111="","",_xlfn._xlws.FILTER('Source List'!I$2:I$268,'Source List'!G$2:G$268='Row Counts'!B111," "))</f>
        <v>566</v>
      </c>
      <c r="D111" s="172" cm="1">
        <f t="array" ref="D111">IF(B111="","",_xlfn._xlws.FILTER('Source List'!J$2:J$268,'Source List'!G$2:G$268='Row Counts'!B111," "))</f>
        <v>8947</v>
      </c>
      <c r="E111" s="173">
        <f>IFERROR(Table1[[#This Row],[TOTAL VINES]]-Table1[[#This Row],[VINES LEFT]],"")</f>
        <v>8545</v>
      </c>
      <c r="F111" s="173">
        <v>402</v>
      </c>
      <c r="G111" s="174">
        <f t="shared" si="10"/>
        <v>15.807420494699647</v>
      </c>
      <c r="H111" s="174">
        <f t="shared" si="7"/>
        <v>15.097173144876326</v>
      </c>
      <c r="I111" s="174">
        <f>Table1[[#This Row],[TOTAL ACRES]]-Table1[[#This Row],[ACRES PICKED]]</f>
        <v>0.71024734982332127</v>
      </c>
      <c r="J111" s="174">
        <f>I103-Table1[[#This Row],[ACRES LEFT]]</f>
        <v>9.5583038869257955</v>
      </c>
      <c r="K111" s="174">
        <v>3</v>
      </c>
      <c r="L111" s="174" t="s">
        <v>308</v>
      </c>
      <c r="M111" s="175">
        <f>Table1[[#This Row],[LOADS]]*24</f>
        <v>72</v>
      </c>
      <c r="N111" s="176">
        <f t="shared" si="11"/>
        <v>7.53271719038817</v>
      </c>
      <c r="O111" s="177">
        <f t="shared" si="9"/>
        <v>0.23261271397572922</v>
      </c>
      <c r="P111" s="178" t="s">
        <v>236</v>
      </c>
      <c r="Q111" s="121" t="s">
        <v>331</v>
      </c>
      <c r="R111" s="121"/>
    </row>
    <row r="112" spans="1:18" s="121" customFormat="1" ht="13.5" customHeight="1" x14ac:dyDescent="0.3">
      <c r="A112" s="103">
        <v>46249</v>
      </c>
      <c r="B112" s="12" t="s">
        <v>24</v>
      </c>
      <c r="C112" s="9" cm="1">
        <f t="array" ref="C112">IF(B112="","",_xlfn._xlws.FILTER('Source List'!I$2:I$268,'Source List'!G$2:G$268='Row Counts'!B112," "))</f>
        <v>871</v>
      </c>
      <c r="D112" s="104" cm="1">
        <f t="array" ref="D112">IF(B112="","",_xlfn._xlws.FILTER('Source List'!J$2:J$268,'Source List'!G$2:G$268='Row Counts'!B112," "))</f>
        <v>36095</v>
      </c>
      <c r="E112" s="105">
        <f>IFERROR(Table1[[#This Row],[TOTAL VINES]]-Table1[[#This Row],[VINES LEFT]],"")</f>
        <v>36095</v>
      </c>
      <c r="F112" s="105">
        <v>0</v>
      </c>
      <c r="G112" s="106">
        <f t="shared" si="10"/>
        <v>41.440872560275544</v>
      </c>
      <c r="H112" s="106">
        <f t="shared" si="7"/>
        <v>41.440872560275544</v>
      </c>
      <c r="I112" s="106">
        <f>Table1[[#This Row],[TOTAL ACRES]]-Table1[[#This Row],[ACRES PICKED]]</f>
        <v>0</v>
      </c>
      <c r="J112" s="106">
        <f>I71</f>
        <v>27.784156142365099</v>
      </c>
      <c r="K112" s="106">
        <v>8</v>
      </c>
      <c r="L112" s="106" t="s">
        <v>221</v>
      </c>
      <c r="M112" s="107">
        <v>183.42</v>
      </c>
      <c r="N112" s="107">
        <f t="shared" si="11"/>
        <v>6.6016041322314045</v>
      </c>
      <c r="O112" s="108">
        <f t="shared" si="9"/>
        <v>0</v>
      </c>
      <c r="P112" s="109" t="s">
        <v>281</v>
      </c>
      <c r="Q112" s="12" t="s">
        <v>228</v>
      </c>
      <c r="R112" s="12"/>
    </row>
    <row r="113" spans="1:18" ht="13.5" customHeight="1" x14ac:dyDescent="0.3">
      <c r="A113" s="103">
        <v>46249</v>
      </c>
      <c r="B113" s="12" t="s">
        <v>28</v>
      </c>
      <c r="C113" s="9" cm="1">
        <f t="array" ref="C113">IF(B113="","",_xlfn._xlws.FILTER('Source List'!I$2:I$268,'Source List'!G$2:G$268='Row Counts'!B113," "))</f>
        <v>807</v>
      </c>
      <c r="D113" s="104" cm="1">
        <f t="array" ref="D113">IF(B113="","",_xlfn._xlws.FILTER('Source List'!J$2:J$268,'Source List'!G$2:G$268='Row Counts'!B113," "))</f>
        <v>37779</v>
      </c>
      <c r="E113" s="105">
        <f>IFERROR(Table1[[#This Row],[TOTAL VINES]]-Table1[[#This Row],[VINES LEFT]],"")</f>
        <v>37779</v>
      </c>
      <c r="F113" s="105">
        <v>0</v>
      </c>
      <c r="G113" s="106">
        <f t="shared" si="10"/>
        <v>46.814126394052046</v>
      </c>
      <c r="H113" s="106">
        <f t="shared" si="7"/>
        <v>46.814126394052046</v>
      </c>
      <c r="I113" s="106">
        <f>Table1[[#This Row],[TOTAL ACRES]]-Table1[[#This Row],[ACRES PICKED]]</f>
        <v>0</v>
      </c>
      <c r="J113" s="106">
        <f>I106</f>
        <v>13.897149938042133</v>
      </c>
      <c r="K113" s="106">
        <v>2</v>
      </c>
      <c r="L113" s="106" t="s">
        <v>229</v>
      </c>
      <c r="M113" s="209">
        <v>36.78</v>
      </c>
      <c r="N113" s="107">
        <f t="shared" si="11"/>
        <v>2.6465858225590724</v>
      </c>
      <c r="O113" s="108">
        <f t="shared" si="9"/>
        <v>0</v>
      </c>
      <c r="P113" s="109" t="s">
        <v>236</v>
      </c>
      <c r="Q113" s="12" t="s">
        <v>228</v>
      </c>
    </row>
    <row r="114" spans="1:18" s="123" customFormat="1" ht="13.5" customHeight="1" thickBot="1" x14ac:dyDescent="0.35">
      <c r="A114" s="199">
        <v>46249</v>
      </c>
      <c r="B114" s="123" t="s">
        <v>172</v>
      </c>
      <c r="C114" s="200" cm="1">
        <f t="array" ref="C114">IF(B114="","",_xlfn._xlws.FILTER('Source List'!I$2:I$268,'Source List'!G$2:G$268='Row Counts'!B114," "))</f>
        <v>691</v>
      </c>
      <c r="D114" s="201" cm="1">
        <f t="array" ref="D114">IF(B114="","",_xlfn._xlws.FILTER('Source List'!J$2:J$268,'Source List'!G$2:G$268='Row Counts'!B114," "))</f>
        <v>195</v>
      </c>
      <c r="E114" s="202">
        <f>IFERROR(Table1[[#This Row],[TOTAL VINES]]-Table1[[#This Row],[VINES LEFT]],"")</f>
        <v>195</v>
      </c>
      <c r="F114" s="202">
        <v>0</v>
      </c>
      <c r="G114" s="203">
        <f t="shared" si="10"/>
        <v>0.28219971056439941</v>
      </c>
      <c r="H114" s="203">
        <f t="shared" si="7"/>
        <v>0.28219971056439941</v>
      </c>
      <c r="I114" s="203">
        <f>Table1[[#This Row],[TOTAL ACRES]]-Table1[[#This Row],[ACRES PICKED]]</f>
        <v>0</v>
      </c>
      <c r="J114" s="203">
        <f>Table1[[#This Row],[ACRES PICKED]]</f>
        <v>0.28219971056439941</v>
      </c>
      <c r="K114" s="203"/>
      <c r="L114" s="203" t="s">
        <v>221</v>
      </c>
      <c r="M114" s="204">
        <v>1.35</v>
      </c>
      <c r="N114" s="204">
        <f t="shared" si="11"/>
        <v>4.7838461538461541</v>
      </c>
      <c r="O114" s="205">
        <f t="shared" si="9"/>
        <v>0</v>
      </c>
      <c r="P114" s="206" t="s">
        <v>236</v>
      </c>
      <c r="Q114" s="123" t="s">
        <v>228</v>
      </c>
    </row>
    <row r="115" spans="1:18" s="121" customFormat="1" ht="13.5" customHeight="1" x14ac:dyDescent="0.3">
      <c r="A115" s="170">
        <v>46252</v>
      </c>
      <c r="B115" s="12" t="s">
        <v>39</v>
      </c>
      <c r="C115" s="9" cm="1">
        <f t="array" ref="C115">IF(B115="","",_xlfn._xlws.FILTER('Source List'!I$2:I$268,'Source List'!G$2:G$268='Row Counts'!B115," "))</f>
        <v>622</v>
      </c>
      <c r="D115" s="104">
        <v>4778</v>
      </c>
      <c r="E115" s="105">
        <f>Table1[[#This Row],[TOTAL VINES]]-Table1[[#This Row],[VINES LEFT]]</f>
        <v>4778</v>
      </c>
      <c r="F115" s="105">
        <v>0</v>
      </c>
      <c r="G115" s="106">
        <f t="shared" si="10"/>
        <v>7.681672025723473</v>
      </c>
      <c r="H115" s="106">
        <f t="shared" si="7"/>
        <v>7.681672025723473</v>
      </c>
      <c r="I115" s="106">
        <f>Table1[[#This Row],[TOTAL ACRES]]-Table1[[#This Row],[ACRES PICKED]]</f>
        <v>0</v>
      </c>
      <c r="J115" s="106">
        <f>Table1[[#This Row],[ACRES PICKED]]</f>
        <v>7.681672025723473</v>
      </c>
      <c r="K115" s="106"/>
      <c r="L115" s="106"/>
      <c r="M115" s="118">
        <f>48+9</f>
        <v>57</v>
      </c>
      <c r="N115" s="107">
        <f t="shared" si="11"/>
        <v>7.4202595228128922</v>
      </c>
      <c r="O115" s="108">
        <f t="shared" si="9"/>
        <v>0</v>
      </c>
      <c r="P115" s="109"/>
      <c r="Q115" s="12" t="s">
        <v>333</v>
      </c>
      <c r="R115" s="215"/>
    </row>
    <row r="116" spans="1:18" s="121" customFormat="1" ht="13.5" customHeight="1" x14ac:dyDescent="0.3">
      <c r="A116" s="170">
        <v>46253</v>
      </c>
      <c r="B116" s="12" t="s">
        <v>39</v>
      </c>
      <c r="C116" s="9" cm="1">
        <f t="array" ref="C116">IF(B116="","",_xlfn._xlws.FILTER('Source List'!I$2:I$268,'Source List'!G$2:G$268='Row Counts'!B116," "))</f>
        <v>622</v>
      </c>
      <c r="D116" s="104">
        <f>23319-4778</f>
        <v>18541</v>
      </c>
      <c r="E116" s="105">
        <f>Table1[[#This Row],[TOTAL VINES]]-Table1[[#This Row],[VINES LEFT]]</f>
        <v>6667</v>
      </c>
      <c r="F116" s="105">
        <v>11874</v>
      </c>
      <c r="G116" s="106">
        <f t="shared" si="10"/>
        <v>29.808681672025724</v>
      </c>
      <c r="H116" s="106">
        <f t="shared" si="7"/>
        <v>10.718649517684888</v>
      </c>
      <c r="I116" s="106">
        <f>Table1[[#This Row],[TOTAL ACRES]]-Table1[[#This Row],[ACRES PICKED]]</f>
        <v>19.090032154340836</v>
      </c>
      <c r="J116" s="106">
        <f>Table1[[#This Row],[ACRES PICKED]]</f>
        <v>10.718649517684888</v>
      </c>
      <c r="K116" s="106"/>
      <c r="L116" s="106"/>
      <c r="M116" s="118">
        <f>72+15</f>
        <v>87</v>
      </c>
      <c r="N116" s="107">
        <f t="shared" si="11"/>
        <v>8.1166941652917348</v>
      </c>
      <c r="O116" s="108">
        <f t="shared" si="9"/>
        <v>6.7368675044508635</v>
      </c>
      <c r="P116" s="109"/>
      <c r="Q116" s="12" t="s">
        <v>334</v>
      </c>
      <c r="R116" s="215" t="s">
        <v>335</v>
      </c>
    </row>
    <row r="117" spans="1:18" ht="13.5" customHeight="1" x14ac:dyDescent="0.3">
      <c r="A117" s="170">
        <v>46254</v>
      </c>
      <c r="B117" s="12" t="s">
        <v>177</v>
      </c>
      <c r="C117" s="9" cm="1">
        <f t="array" ref="C117">IF(B117="","",_xlfn._xlws.FILTER('Source List'!I$2:I$268,'Source List'!G$2:G$268='Row Counts'!B117," "))</f>
        <v>691</v>
      </c>
      <c r="D117" s="104" cm="1">
        <f t="array" ref="D117">IF(B117="","",_xlfn._xlws.FILTER('Source List'!J$2:J$268,'Source List'!G$2:G$268='Row Counts'!B117," "))</f>
        <v>20669</v>
      </c>
      <c r="E117" s="105">
        <f>IFERROR(Table1[[#This Row],[TOTAL VINES]]-Table1[[#This Row],[VINES LEFT]],"")</f>
        <v>20669</v>
      </c>
      <c r="F117" s="105">
        <v>0</v>
      </c>
      <c r="G117" s="106">
        <f t="shared" si="10"/>
        <v>29.911722141823443</v>
      </c>
      <c r="H117" s="106">
        <f t="shared" si="7"/>
        <v>29.911722141823443</v>
      </c>
      <c r="I117" s="106">
        <f>Table1[[#This Row],[TOTAL ACRES]]-Table1[[#This Row],[ACRES PICKED]]</f>
        <v>0</v>
      </c>
      <c r="J117" s="106">
        <f>I104</f>
        <v>7.9319826338639636</v>
      </c>
      <c r="K117" s="106">
        <v>1.7</v>
      </c>
      <c r="L117" s="106" t="s">
        <v>226</v>
      </c>
      <c r="M117" s="209">
        <v>37.79</v>
      </c>
      <c r="N117" s="107">
        <f t="shared" si="11"/>
        <v>4.7642565225323859</v>
      </c>
      <c r="O117" s="108">
        <f t="shared" si="9"/>
        <v>0</v>
      </c>
      <c r="P117" s="109" t="s">
        <v>236</v>
      </c>
      <c r="Q117" s="12" t="s">
        <v>228</v>
      </c>
    </row>
    <row r="118" spans="1:18" ht="13.5" customHeight="1" x14ac:dyDescent="0.3">
      <c r="A118" s="170">
        <v>46251</v>
      </c>
      <c r="B118" s="12" t="s">
        <v>65</v>
      </c>
      <c r="C118" s="9" cm="1">
        <f t="array" ref="C118">IF(B118="","",_xlfn._xlws.FILTER('Source List'!I$2:I$268,'Source List'!G$2:G$268='Row Counts'!B118," "))</f>
        <v>622</v>
      </c>
      <c r="D118" s="104" cm="1">
        <f t="array" ref="D118">IF(B118="","",_xlfn._xlws.FILTER('Source List'!J$2:J$268,'Source List'!G$2:G$268='Row Counts'!B118," "))</f>
        <v>30664</v>
      </c>
      <c r="E118" s="105">
        <f>IFERROR(Table1[[#This Row],[TOTAL VINES]]-Table1[[#This Row],[VINES LEFT]],"")</f>
        <v>30664</v>
      </c>
      <c r="F118" s="105">
        <v>0</v>
      </c>
      <c r="G118" s="106">
        <f t="shared" si="10"/>
        <v>49.29903536977492</v>
      </c>
      <c r="H118" s="106">
        <f t="shared" si="7"/>
        <v>49.29903536977492</v>
      </c>
      <c r="I118" s="106">
        <f>Table1[[#This Row],[TOTAL ACRES]]-Table1[[#This Row],[ACRES PICKED]]</f>
        <v>0</v>
      </c>
      <c r="J118" s="106">
        <f>I107</f>
        <v>13.60450160771704</v>
      </c>
      <c r="K118" s="106">
        <v>4.75</v>
      </c>
      <c r="L118" s="106" t="s">
        <v>279</v>
      </c>
      <c r="M118" s="209">
        <v>113.17</v>
      </c>
      <c r="N118" s="107">
        <f t="shared" si="11"/>
        <v>8.3185700779957461</v>
      </c>
      <c r="O118" s="108">
        <f t="shared" si="9"/>
        <v>0</v>
      </c>
      <c r="P118" s="109" t="s">
        <v>236</v>
      </c>
      <c r="Q118" s="12" t="s">
        <v>228</v>
      </c>
    </row>
    <row r="119" spans="1:18" ht="13.5" customHeight="1" x14ac:dyDescent="0.3">
      <c r="A119" s="103">
        <v>46251</v>
      </c>
      <c r="B119" s="12" t="s">
        <v>141</v>
      </c>
      <c r="C119" s="9" cm="1">
        <f t="array" ref="C119">IF(B119="","",_xlfn._xlws.FILTER('Source List'!I$2:I$268,'Source List'!G$2:G$268='Row Counts'!B119," "))</f>
        <v>660</v>
      </c>
      <c r="D119" s="104" cm="1">
        <f t="array" ref="D119">IF(B119="","",_xlfn._xlws.FILTER('Source List'!J$2:J$268,'Source List'!G$2:G$268='Row Counts'!B119," "))</f>
        <v>14817</v>
      </c>
      <c r="E119" s="105">
        <f>IFERROR(Table1[[#This Row],[TOTAL VINES]]-Table1[[#This Row],[VINES LEFT]],"")</f>
        <v>14817</v>
      </c>
      <c r="F119" s="105">
        <v>0</v>
      </c>
      <c r="G119" s="106">
        <f t="shared" si="10"/>
        <v>22.45</v>
      </c>
      <c r="H119" s="106">
        <f t="shared" si="7"/>
        <v>22.45</v>
      </c>
      <c r="I119" s="106">
        <f>Table1[[#This Row],[TOTAL ACRES]]-Table1[[#This Row],[ACRES PICKED]]</f>
        <v>0</v>
      </c>
      <c r="J119" s="106">
        <f>I105</f>
        <v>4.5030303030303038</v>
      </c>
      <c r="L119" s="106" t="s">
        <v>322</v>
      </c>
      <c r="M119" s="118">
        <f>7.75*6</f>
        <v>46.5</v>
      </c>
      <c r="N119" s="107">
        <f t="shared" si="11"/>
        <v>10.326379542395692</v>
      </c>
      <c r="O119" s="108">
        <f t="shared" si="9"/>
        <v>0</v>
      </c>
      <c r="P119" s="109" t="s">
        <v>222</v>
      </c>
      <c r="Q119" s="26" t="s">
        <v>336</v>
      </c>
    </row>
    <row r="120" spans="1:18" ht="13.5" customHeight="1" x14ac:dyDescent="0.3">
      <c r="A120" s="170">
        <v>46251</v>
      </c>
      <c r="B120" s="12" t="s">
        <v>81</v>
      </c>
      <c r="C120" s="9" cm="1">
        <f t="array" ref="C120">IF(B120="","",_xlfn._xlws.FILTER('Source List'!I$2:I$268,'Source List'!G$2:G$268='Row Counts'!B120," "))</f>
        <v>726</v>
      </c>
      <c r="D120" s="104" cm="1">
        <f t="array" ref="D120">IF(B120="","",_xlfn._xlws.FILTER('Source List'!J$2:J$268,'Source List'!G$2:G$268='Row Counts'!B120," "))</f>
        <v>26701</v>
      </c>
      <c r="E120" s="105">
        <f>IFERROR(Table1[[#This Row],[TOTAL VINES]]-Table1[[#This Row],[VINES LEFT]],"")</f>
        <v>14172</v>
      </c>
      <c r="F120" s="105">
        <v>12529</v>
      </c>
      <c r="G120" s="106">
        <f t="shared" si="10"/>
        <v>36.778236914600548</v>
      </c>
      <c r="H120" s="106">
        <f t="shared" si="7"/>
        <v>19.520661157024794</v>
      </c>
      <c r="I120" s="106">
        <f>Table1[[#This Row],[TOTAL ACRES]]-Table1[[#This Row],[ACRES PICKED]]</f>
        <v>17.257575757575754</v>
      </c>
      <c r="J120" s="106">
        <f>I101-Table1[[#This Row],[ACRES LEFT]]</f>
        <v>11.224517906336086</v>
      </c>
      <c r="K120" s="106">
        <v>6</v>
      </c>
      <c r="L120" s="106" t="s">
        <v>322</v>
      </c>
      <c r="M120" s="209">
        <v>154.36000000000001</v>
      </c>
      <c r="N120" s="107">
        <f t="shared" si="11"/>
        <v>13.752038286906373</v>
      </c>
      <c r="O120" s="108">
        <f t="shared" si="9"/>
        <v>10.318558372059522</v>
      </c>
      <c r="P120" s="109" t="s">
        <v>222</v>
      </c>
      <c r="Q120" s="12" t="s">
        <v>337</v>
      </c>
    </row>
    <row r="121" spans="1:18" ht="13.5" customHeight="1" x14ac:dyDescent="0.3">
      <c r="A121" s="103">
        <v>46251</v>
      </c>
      <c r="B121" s="12" t="s">
        <v>38</v>
      </c>
      <c r="C121" s="9" cm="1">
        <f t="array" ref="C121">IF(B121="","",_xlfn._xlws.FILTER('Source List'!I$2:I$268,'Source List'!G$2:G$268='Row Counts'!B121," "))</f>
        <v>691</v>
      </c>
      <c r="D121" s="104" cm="1">
        <f t="array" ref="D121">IF(B121="","",_xlfn._xlws.FILTER('Source List'!J$2:J$268,'Source List'!G$2:G$268='Row Counts'!B121," "))</f>
        <v>25345</v>
      </c>
      <c r="E121" s="105">
        <f>IFERROR(Table1[[#This Row],[TOTAL VINES]]-Table1[[#This Row],[VINES LEFT]],"")</f>
        <v>8336</v>
      </c>
      <c r="F121" s="105">
        <v>17009</v>
      </c>
      <c r="G121" s="106">
        <f t="shared" si="10"/>
        <v>36.678726483357451</v>
      </c>
      <c r="H121" s="106">
        <f t="shared" si="7"/>
        <v>12.063675832127352</v>
      </c>
      <c r="I121" s="106">
        <f>Table1[[#This Row],[TOTAL ACRES]]-Table1[[#This Row],[ACRES PICKED]]</f>
        <v>24.615050651230099</v>
      </c>
      <c r="J121" s="106">
        <f>Table1[[#This Row],[ACRES PICKED]]</f>
        <v>12.063675832127352</v>
      </c>
      <c r="K121" s="106">
        <v>3</v>
      </c>
      <c r="L121" s="106" t="s">
        <v>221</v>
      </c>
      <c r="M121" s="209">
        <v>75.94</v>
      </c>
      <c r="N121" s="107">
        <f t="shared" si="11"/>
        <v>6.2949304222648745</v>
      </c>
      <c r="O121" s="108">
        <f t="shared" si="9"/>
        <v>6.7369578778269199</v>
      </c>
      <c r="P121" s="109" t="s">
        <v>281</v>
      </c>
      <c r="Q121" s="12" t="s">
        <v>338</v>
      </c>
    </row>
    <row r="122" spans="1:18" s="120" customFormat="1" ht="13.5" customHeight="1" x14ac:dyDescent="0.3">
      <c r="A122" s="281">
        <v>46251</v>
      </c>
      <c r="B122" s="120" t="s">
        <v>129</v>
      </c>
      <c r="C122" s="241" cm="1">
        <f t="array" ref="C122">IF(B122="","",_xlfn._xlws.FILTER('Source List'!I$2:I$268,'Source List'!G$2:G$268='Row Counts'!B122," "))</f>
        <v>660</v>
      </c>
      <c r="D122" s="242" cm="1">
        <f t="array" ref="D122">IF(B122="","",_xlfn._xlws.FILTER('Source List'!J$2:J$268,'Source List'!G$2:G$268='Row Counts'!B122," "))</f>
        <v>14099</v>
      </c>
      <c r="E122" s="243">
        <f>IFERROR(Table1[[#This Row],[TOTAL VINES]]-Table1[[#This Row],[VINES LEFT]],"")</f>
        <v>9283</v>
      </c>
      <c r="F122" s="243">
        <v>4816</v>
      </c>
      <c r="G122" s="244">
        <f t="shared" si="10"/>
        <v>21.362121212121213</v>
      </c>
      <c r="H122" s="244">
        <f t="shared" si="7"/>
        <v>14.065151515151515</v>
      </c>
      <c r="I122" s="244">
        <f>Table1[[#This Row],[TOTAL ACRES]]-Table1[[#This Row],[ACRES PICKED]]</f>
        <v>7.2969696969696987</v>
      </c>
      <c r="J122" s="244">
        <f>I109-Table1[[#This Row],[ACRES LEFT]]</f>
        <v>7.3272727272727263</v>
      </c>
      <c r="K122" s="244"/>
      <c r="L122" s="244" t="s">
        <v>322</v>
      </c>
      <c r="M122" s="265">
        <f>16.25*6</f>
        <v>97.5</v>
      </c>
      <c r="N122" s="245">
        <f t="shared" si="11"/>
        <v>13.306451612903228</v>
      </c>
      <c r="O122" s="246">
        <f t="shared" si="9"/>
        <v>4.2215988779803668</v>
      </c>
      <c r="P122" s="247" t="s">
        <v>222</v>
      </c>
      <c r="Q122" s="120" t="s">
        <v>339</v>
      </c>
    </row>
    <row r="123" spans="1:18" s="280" customFormat="1" ht="13.5" customHeight="1" x14ac:dyDescent="0.3">
      <c r="A123" s="170">
        <v>46252</v>
      </c>
      <c r="B123" s="121" t="s">
        <v>39</v>
      </c>
      <c r="C123" s="171" cm="1">
        <f t="array" ref="C123">IF(B123="","",_xlfn._xlws.FILTER('Source List'!I$2:I$268,'Source List'!G$2:G$268='Row Counts'!B123," "))</f>
        <v>622</v>
      </c>
      <c r="D123" s="172" cm="1">
        <f t="array" ref="D123">IF(B123="","",_xlfn._xlws.FILTER('Source List'!J$2:J$268,'Source List'!G$2:G$268='Row Counts'!B123," "))</f>
        <v>23319</v>
      </c>
      <c r="E123" s="173">
        <f>IFERROR(Table1[[#This Row],[TOTAL VINES]]-Table1[[#This Row],[VINES LEFT]],"")</f>
        <v>23114</v>
      </c>
      <c r="F123" s="173">
        <v>205</v>
      </c>
      <c r="G123" s="174">
        <f t="shared" si="10"/>
        <v>37.4903536977492</v>
      </c>
      <c r="H123" s="174">
        <f t="shared" si="7"/>
        <v>37.160771704180064</v>
      </c>
      <c r="I123" s="174">
        <f>Table1[[#This Row],[TOTAL ACRES]]-Table1[[#This Row],[ACRES PICKED]]</f>
        <v>0.32958199356913553</v>
      </c>
      <c r="J123" s="174" t="e">
        <f>#REF!-Table1[[#This Row],[ACRES LEFT]]</f>
        <v>#REF!</v>
      </c>
      <c r="K123" s="174">
        <v>6</v>
      </c>
      <c r="L123" s="174" t="s">
        <v>332</v>
      </c>
      <c r="M123" s="175">
        <f>Table1[[#This Row],[LOADS]]*24</f>
        <v>144</v>
      </c>
      <c r="N123" s="176">
        <f t="shared" si="11"/>
        <v>0</v>
      </c>
      <c r="O123" s="177">
        <f t="shared" si="9"/>
        <v>0</v>
      </c>
      <c r="P123" s="178" t="s">
        <v>236</v>
      </c>
      <c r="Q123" s="121" t="s">
        <v>340</v>
      </c>
      <c r="R123" s="121"/>
    </row>
    <row r="124" spans="1:18" s="128" customFormat="1" ht="13.5" customHeight="1" x14ac:dyDescent="0.3">
      <c r="A124" s="214">
        <v>46252</v>
      </c>
      <c r="B124" s="12" t="s">
        <v>341</v>
      </c>
      <c r="C124" s="9">
        <v>807</v>
      </c>
      <c r="D124" s="104">
        <f>D125+D126</f>
        <v>61566</v>
      </c>
      <c r="E124" s="105">
        <f>Table1[[#This Row],[TOTAL VINES]]-Table1[[#This Row],[VINES LEFT]]</f>
        <v>36258</v>
      </c>
      <c r="F124" s="105">
        <f>F125+F126</f>
        <v>25308</v>
      </c>
      <c r="G124" s="106">
        <f t="shared" si="10"/>
        <v>76.289962825278806</v>
      </c>
      <c r="H124" s="106">
        <f t="shared" ref="H124:H190" si="12">IFERROR(E124/C124,0)</f>
        <v>44.929368029739777</v>
      </c>
      <c r="I124" s="106">
        <f>Table1[[#This Row],[TOTAL ACRES]]-Table1[[#This Row],[ACRES PICKED]]</f>
        <v>31.360594795539029</v>
      </c>
      <c r="J124" s="106">
        <f>Table1[[#This Row],[ACRES PICKED]]</f>
        <v>44.929368029739777</v>
      </c>
      <c r="K124" s="106">
        <v>11</v>
      </c>
      <c r="L124" s="106" t="s">
        <v>292</v>
      </c>
      <c r="M124" s="209">
        <v>255.84</v>
      </c>
      <c r="N124" s="107">
        <f t="shared" si="11"/>
        <v>5.6942710574218101</v>
      </c>
      <c r="O124" s="108">
        <f t="shared" si="9"/>
        <v>7.7641620559900408</v>
      </c>
      <c r="P124" s="109"/>
      <c r="Q124" s="12"/>
      <c r="R124" s="215"/>
    </row>
    <row r="125" spans="1:18" s="121" customFormat="1" ht="13.5" customHeight="1" x14ac:dyDescent="0.3">
      <c r="A125" s="103">
        <v>46252</v>
      </c>
      <c r="B125" s="12" t="s">
        <v>102</v>
      </c>
      <c r="C125" s="9" cm="1">
        <f t="array" ref="C125">IF(B125="","",_xlfn._xlws.FILTER('Source List'!I$2:I$268,'Source List'!G$2:G$268='Row Counts'!B125," "))</f>
        <v>807</v>
      </c>
      <c r="D125" s="104" cm="1">
        <f t="array" ref="D125">IF(B125="","",_xlfn._xlws.FILTER('Source List'!J$2:J$268,'Source List'!G$2:G$268='Row Counts'!B125," "))</f>
        <v>30658</v>
      </c>
      <c r="E125" s="105">
        <f>IFERROR(Table1[[#This Row],[TOTAL VINES]]-Table1[[#This Row],[VINES LEFT]],"")</f>
        <v>20037</v>
      </c>
      <c r="F125" s="105">
        <v>10621</v>
      </c>
      <c r="G125" s="106">
        <f t="shared" si="10"/>
        <v>37.990086741016107</v>
      </c>
      <c r="H125" s="106">
        <f t="shared" si="12"/>
        <v>24.828996282527882</v>
      </c>
      <c r="I125" s="106">
        <f>Table1[[#This Row],[TOTAL ACRES]]-Table1[[#This Row],[ACRES PICKED]]</f>
        <v>13.161090458488225</v>
      </c>
      <c r="J125" s="106">
        <f>Table1[[#This Row],[ACRES PICKED]]</f>
        <v>24.828996282527882</v>
      </c>
      <c r="K125" s="106"/>
      <c r="L125" s="106" t="s">
        <v>226</v>
      </c>
      <c r="M125" s="118">
        <f>Table1[[#This Row],[LOADS]]*24</f>
        <v>0</v>
      </c>
      <c r="N125" s="107">
        <f t="shared" si="11"/>
        <v>0</v>
      </c>
      <c r="O125" s="108">
        <f t="shared" si="9"/>
        <v>0</v>
      </c>
      <c r="P125" s="109"/>
      <c r="Q125" t="s">
        <v>342</v>
      </c>
      <c r="R125" s="12"/>
    </row>
    <row r="126" spans="1:18" s="298" customFormat="1" ht="13.5" customHeight="1" x14ac:dyDescent="0.3">
      <c r="A126" s="309">
        <v>46252</v>
      </c>
      <c r="B126" s="308" t="s">
        <v>99</v>
      </c>
      <c r="C126" s="307" cm="1">
        <f t="array" ref="C126">IF(B126="","",_xlfn._xlws.FILTER('Source List'!I$2:I$268,'Source List'!G$2:G$268='Row Counts'!B126," "))</f>
        <v>807</v>
      </c>
      <c r="D126" s="306" cm="1">
        <f t="array" ref="D126">IF(B126="","",_xlfn._xlws.FILTER('Source List'!J$2:J$268,'Source List'!G$2:G$268='Row Counts'!B126," "))</f>
        <v>30908</v>
      </c>
      <c r="E126" s="305">
        <f>Table1[[#This Row],[TOTAL VINES]]-Table1[[#This Row],[VINES LEFT]]</f>
        <v>16221</v>
      </c>
      <c r="F126" s="305">
        <v>14687</v>
      </c>
      <c r="G126" s="304">
        <f t="shared" si="10"/>
        <v>38.299876084262699</v>
      </c>
      <c r="H126" s="304">
        <f t="shared" si="12"/>
        <v>20.100371747211895</v>
      </c>
      <c r="I126" s="304">
        <f>Table1[[#This Row],[TOTAL ACRES]]-Table1[[#This Row],[ACRES PICKED]]</f>
        <v>18.199504337050804</v>
      </c>
      <c r="J126" s="304">
        <f>Table1[[#This Row],[ACRES PICKED]]</f>
        <v>20.100371747211895</v>
      </c>
      <c r="K126" s="304"/>
      <c r="L126" s="106" t="s">
        <v>226</v>
      </c>
      <c r="M126" s="303">
        <f>Table1[[#This Row],[LOADS]]*24</f>
        <v>0</v>
      </c>
      <c r="N126" s="302">
        <f t="shared" si="11"/>
        <v>0</v>
      </c>
      <c r="O126" s="301">
        <f t="shared" si="9"/>
        <v>0</v>
      </c>
      <c r="P126" s="300"/>
      <c r="Q126" t="s">
        <v>343</v>
      </c>
      <c r="R126" s="299"/>
    </row>
    <row r="127" spans="1:18" ht="13.5" customHeight="1" x14ac:dyDescent="0.3">
      <c r="A127" s="170">
        <v>46252</v>
      </c>
      <c r="B127" s="12" t="s">
        <v>81</v>
      </c>
      <c r="C127" s="9" cm="1">
        <f t="array" ref="C127">IF(B127="","",_xlfn._xlws.FILTER('Source List'!I$2:I$268,'Source List'!G$2:G$268='Row Counts'!B127," "))</f>
        <v>726</v>
      </c>
      <c r="D127" s="104" cm="1">
        <f t="array" ref="D127">IF(B127="","",_xlfn._xlws.FILTER('Source List'!J$2:J$268,'Source List'!G$2:G$268='Row Counts'!B127," "))</f>
        <v>26701</v>
      </c>
      <c r="E127" s="105">
        <f>IFERROR(Table1[[#This Row],[TOTAL VINES]]-Table1[[#This Row],[VINES LEFT]],"")</f>
        <v>21782</v>
      </c>
      <c r="F127" s="105">
        <f>4889+30</f>
        <v>4919</v>
      </c>
      <c r="G127" s="106">
        <f t="shared" si="10"/>
        <v>36.778236914600548</v>
      </c>
      <c r="H127" s="106">
        <f t="shared" si="12"/>
        <v>30.002754820936641</v>
      </c>
      <c r="I127" s="106">
        <f>Table1[[#This Row],[TOTAL ACRES]]-Table1[[#This Row],[ACRES PICKED]]</f>
        <v>6.7754820936639071</v>
      </c>
      <c r="J127" s="106">
        <f>I120-Table1[[#This Row],[ACRES LEFT]]</f>
        <v>10.482093663911847</v>
      </c>
      <c r="K127" s="106">
        <v>6</v>
      </c>
      <c r="L127" s="106" t="s">
        <v>243</v>
      </c>
      <c r="M127" s="209">
        <v>148.77000000000001</v>
      </c>
      <c r="N127" s="107">
        <f t="shared" si="11"/>
        <v>14.1927752956636</v>
      </c>
      <c r="O127" s="108">
        <f t="shared" si="9"/>
        <v>4.1809954293549643</v>
      </c>
      <c r="P127" s="109" t="s">
        <v>222</v>
      </c>
      <c r="Q127" s="12" t="s">
        <v>344</v>
      </c>
    </row>
    <row r="128" spans="1:18" ht="13.5" customHeight="1" x14ac:dyDescent="0.3">
      <c r="A128" s="103">
        <v>46252</v>
      </c>
      <c r="B128" s="12" t="s">
        <v>129</v>
      </c>
      <c r="C128" s="9" cm="1">
        <f t="array" ref="C128">IF(B128="","",_xlfn._xlws.FILTER('Source List'!I$2:I$268,'Source List'!G$2:G$268='Row Counts'!B128," "))</f>
        <v>660</v>
      </c>
      <c r="D128" s="104" cm="1">
        <f t="array" ref="D128">IF(B128="","",_xlfn._xlws.FILTER('Source List'!J$2:J$268,'Source List'!G$2:G$268='Row Counts'!B128," "))</f>
        <v>14099</v>
      </c>
      <c r="E128" s="105">
        <f>IFERROR(Table1[[#This Row],[TOTAL VINES]]-Table1[[#This Row],[VINES LEFT]],"")</f>
        <v>14099</v>
      </c>
      <c r="F128" s="105">
        <v>0</v>
      </c>
      <c r="G128" s="106">
        <f t="shared" si="10"/>
        <v>21.362121212121213</v>
      </c>
      <c r="H128" s="106">
        <f t="shared" si="12"/>
        <v>21.362121212121213</v>
      </c>
      <c r="I128" s="106">
        <f>Table1[[#This Row],[TOTAL ACRES]]-Table1[[#This Row],[ACRES PICKED]]</f>
        <v>0</v>
      </c>
      <c r="J128" s="106">
        <f>I122</f>
        <v>7.2969696969696987</v>
      </c>
      <c r="K128" s="106">
        <v>4.25</v>
      </c>
      <c r="L128" s="106" t="s">
        <v>243</v>
      </c>
      <c r="M128" s="209">
        <v>107.28</v>
      </c>
      <c r="N128" s="107">
        <f t="shared" si="11"/>
        <v>14.701993355481724</v>
      </c>
      <c r="O128" s="108">
        <f t="shared" si="9"/>
        <v>0</v>
      </c>
      <c r="P128" s="109" t="s">
        <v>222</v>
      </c>
      <c r="Q128" s="12" t="s">
        <v>228</v>
      </c>
    </row>
    <row r="129" spans="1:18" s="135" customFormat="1" ht="13.5" customHeight="1" x14ac:dyDescent="0.3">
      <c r="A129" s="284">
        <v>46252</v>
      </c>
      <c r="B129" s="135" t="s">
        <v>155</v>
      </c>
      <c r="C129" s="285" cm="1">
        <f t="array" ref="C129">IF(B129="","",_xlfn._xlws.FILTER('Source List'!I$2:I$268,'Source List'!G$2:G$268='Row Counts'!B129," "))</f>
        <v>622</v>
      </c>
      <c r="D129" s="286" cm="1">
        <f t="array" ref="D129">IF(B129="","",_xlfn._xlws.FILTER('Source List'!J$2:J$268,'Source List'!G$2:G$268='Row Counts'!B129," "))</f>
        <v>25496</v>
      </c>
      <c r="E129" s="136">
        <v>11511</v>
      </c>
      <c r="F129" s="136">
        <f>Table1[[#This Row],[TOTAL VINES]]-Table1[[#This Row],[VINES PICKED]]</f>
        <v>13985</v>
      </c>
      <c r="G129" s="137">
        <f t="shared" si="10"/>
        <v>40.9903536977492</v>
      </c>
      <c r="H129" s="137">
        <f t="shared" si="12"/>
        <v>18.506430868167204</v>
      </c>
      <c r="I129" s="137">
        <f>Table1[[#This Row],[TOTAL ACRES]]-Table1[[#This Row],[ACRES PICKED]]</f>
        <v>22.483922829581996</v>
      </c>
      <c r="J129" s="137">
        <f>Table1[[#This Row],[ACRES PICKED]]</f>
        <v>18.506430868167204</v>
      </c>
      <c r="K129" s="137">
        <v>8</v>
      </c>
      <c r="L129" s="137" t="s">
        <v>279</v>
      </c>
      <c r="M129" s="333">
        <v>200.33</v>
      </c>
      <c r="N129" s="288">
        <f t="shared" si="11"/>
        <v>10.824885761445573</v>
      </c>
      <c r="O129" s="289">
        <f t="shared" si="9"/>
        <v>10.581995482581879</v>
      </c>
      <c r="P129" s="290"/>
      <c r="Q129" s="135" t="s">
        <v>345</v>
      </c>
    </row>
    <row r="130" spans="1:18" s="115" customFormat="1" ht="13.5" customHeight="1" x14ac:dyDescent="0.3">
      <c r="A130" s="131">
        <v>46252</v>
      </c>
      <c r="B130" s="115" t="s">
        <v>346</v>
      </c>
      <c r="C130" s="291" cm="1">
        <f t="array" ref="C130">IF(B130="","",_xlfn._xlws.FILTER('Source List'!I$2:I$268,'Source List'!G$2:G$268='Row Counts'!B130," "))</f>
        <v>622</v>
      </c>
      <c r="D130" s="292" cm="1">
        <f t="array" ref="D130">IF(B130="","",_xlfn._xlws.FILTER('Source List'!J$2:J$268,'Source List'!G$2:G$268='Row Counts'!B130," "))</f>
        <v>12034</v>
      </c>
      <c r="E130" s="112">
        <v>0</v>
      </c>
      <c r="F130" s="112">
        <f>Table1[[#This Row],[TOTAL VINES]]-Table1[[#This Row],[VINES PICKED]]</f>
        <v>12034</v>
      </c>
      <c r="G130" s="113">
        <f t="shared" si="10"/>
        <v>19.34726688102894</v>
      </c>
      <c r="H130" s="113">
        <f t="shared" si="12"/>
        <v>0</v>
      </c>
      <c r="I130" s="113">
        <f>Table1[[#This Row],[TOTAL ACRES]]-Table1[[#This Row],[ACRES PICKED]]</f>
        <v>19.34726688102894</v>
      </c>
      <c r="J130" s="113">
        <f>Table1[[#This Row],[ACRES PICKED]]</f>
        <v>0</v>
      </c>
      <c r="K130" s="113"/>
      <c r="L130" s="113"/>
      <c r="M130" s="293">
        <f>Table1[[#This Row],[LOADS]]*24</f>
        <v>0</v>
      </c>
      <c r="N130" s="294">
        <f t="shared" si="11"/>
        <v>0</v>
      </c>
      <c r="O130" s="295">
        <f t="shared" ref="O130:O196" si="13">IFERROR((N130*I130)/23,"")</f>
        <v>0</v>
      </c>
      <c r="P130" s="114"/>
      <c r="Q130" s="115" t="s">
        <v>347</v>
      </c>
    </row>
    <row r="131" spans="1:18" s="115" customFormat="1" ht="13.5" customHeight="1" x14ac:dyDescent="0.3">
      <c r="A131" s="296">
        <v>46252</v>
      </c>
      <c r="B131" s="115" t="s">
        <v>348</v>
      </c>
      <c r="C131" s="291" cm="1">
        <f t="array" ref="C131">IF(B131="","",_xlfn._xlws.FILTER('Source List'!I$2:I$268,'Source List'!G$2:G$268='Row Counts'!B131," "))</f>
        <v>622</v>
      </c>
      <c r="D131" s="292" cm="1">
        <f t="array" ref="D131">IF(B131="","",_xlfn._xlws.FILTER('Source List'!J$2:J$268,'Source List'!G$2:G$268='Row Counts'!B131," "))</f>
        <v>8666</v>
      </c>
      <c r="E131" s="112">
        <f>IFERROR(Table1[[#This Row],[TOTAL VINES]]-Table1[[#This Row],[VINES LEFT]],"")</f>
        <v>7254</v>
      </c>
      <c r="F131" s="112">
        <v>1412</v>
      </c>
      <c r="G131" s="113">
        <f t="shared" si="10"/>
        <v>13.932475884244372</v>
      </c>
      <c r="H131" s="113">
        <f t="shared" si="12"/>
        <v>11.662379421221864</v>
      </c>
      <c r="I131" s="113">
        <f>Table1[[#This Row],[TOTAL ACRES]]-Table1[[#This Row],[ACRES PICKED]]</f>
        <v>2.270096463022508</v>
      </c>
      <c r="J131" s="113">
        <f>Table1[[#This Row],[ACRES PICKED]]</f>
        <v>11.662379421221864</v>
      </c>
      <c r="K131" s="113"/>
      <c r="L131" s="113"/>
      <c r="M131" s="293">
        <f>Table1[[#This Row],[LOADS]]*24</f>
        <v>0</v>
      </c>
      <c r="N131" s="294">
        <f t="shared" si="11"/>
        <v>0</v>
      </c>
      <c r="O131" s="295">
        <f t="shared" si="13"/>
        <v>0</v>
      </c>
      <c r="P131" s="114"/>
      <c r="Q131" s="115" t="s">
        <v>349</v>
      </c>
    </row>
    <row r="132" spans="1:18" s="115" customFormat="1" ht="13.5" customHeight="1" x14ac:dyDescent="0.3">
      <c r="A132" s="131">
        <v>46252</v>
      </c>
      <c r="B132" s="115" t="s">
        <v>350</v>
      </c>
      <c r="C132" s="291" cm="1">
        <f t="array" ref="C132">IF(B132="","",_xlfn._xlws.FILTER('Source List'!I$2:I$268,'Source List'!G$2:G$268='Row Counts'!B132," "))</f>
        <v>622</v>
      </c>
      <c r="D132" s="292" cm="1">
        <f t="array" ref="D132">IF(B132="","",_xlfn._xlws.FILTER('Source List'!J$2:J$268,'Source List'!G$2:G$268='Row Counts'!B132," "))</f>
        <v>4796</v>
      </c>
      <c r="E132" s="112">
        <f>IFERROR(Table1[[#This Row],[TOTAL VINES]]-Table1[[#This Row],[VINES LEFT]],"")</f>
        <v>4257</v>
      </c>
      <c r="F132" s="112">
        <v>539</v>
      </c>
      <c r="G132" s="113">
        <f t="shared" si="10"/>
        <v>7.710610932475884</v>
      </c>
      <c r="H132" s="113">
        <f t="shared" si="12"/>
        <v>6.844051446945338</v>
      </c>
      <c r="I132" s="113">
        <f>Table1[[#This Row],[TOTAL ACRES]]-Table1[[#This Row],[ACRES PICKED]]</f>
        <v>0.86655948553054607</v>
      </c>
      <c r="J132" s="113">
        <f>Table1[[#This Row],[ACRES PICKED]]</f>
        <v>6.844051446945338</v>
      </c>
      <c r="K132" s="113"/>
      <c r="L132" s="113"/>
      <c r="M132" s="293"/>
      <c r="N132" s="294">
        <f t="shared" si="11"/>
        <v>0</v>
      </c>
      <c r="O132" s="295">
        <f t="shared" si="13"/>
        <v>0</v>
      </c>
      <c r="P132" s="114"/>
      <c r="Q132" s="115" t="s">
        <v>351</v>
      </c>
    </row>
    <row r="133" spans="1:18" ht="13.5" customHeight="1" x14ac:dyDescent="0.3">
      <c r="A133" s="170">
        <v>46252</v>
      </c>
      <c r="B133" s="12" t="s">
        <v>161</v>
      </c>
      <c r="C133" s="9" cm="1">
        <f t="array" ref="C133">IF(B133="","",_xlfn._xlws.FILTER('Source List'!I$2:I$268,'Source List'!G$2:G$268='Row Counts'!B133," "))</f>
        <v>681</v>
      </c>
      <c r="D133" s="104" cm="1">
        <f t="array" ref="D133">IF(B133="","",_xlfn._xlws.FILTER('Source List'!J$2:J$268,'Source List'!G$2:G$268='Row Counts'!B133," "))</f>
        <v>22329</v>
      </c>
      <c r="E133" s="105">
        <v>3346</v>
      </c>
      <c r="F133" s="105">
        <f>Table1[[#This Row],[TOTAL VINES]]-Table1[[#This Row],[VINES PICKED]]</f>
        <v>18983</v>
      </c>
      <c r="G133" s="106">
        <f t="shared" si="10"/>
        <v>32.78854625550661</v>
      </c>
      <c r="H133" s="106">
        <f t="shared" si="12"/>
        <v>4.9133627019089579</v>
      </c>
      <c r="I133" s="106">
        <f>Table1[[#This Row],[TOTAL ACRES]]-Table1[[#This Row],[ACRES PICKED]]</f>
        <v>27.875183553597651</v>
      </c>
      <c r="J133" s="106">
        <f>Table1[[#This Row],[ACRES PICKED]]</f>
        <v>4.9133627019089579</v>
      </c>
      <c r="L133" s="106" t="s">
        <v>279</v>
      </c>
      <c r="M133" s="118">
        <v>15</v>
      </c>
      <c r="N133" s="107">
        <f t="shared" si="11"/>
        <v>3.0528989838613265</v>
      </c>
      <c r="O133" s="108">
        <f t="shared" si="13"/>
        <v>3.7000051976402708</v>
      </c>
      <c r="Q133" s="12" t="s">
        <v>352</v>
      </c>
      <c r="R133" s="12" t="s">
        <v>353</v>
      </c>
    </row>
    <row r="134" spans="1:18" s="311" customFormat="1" ht="13.5" customHeight="1" x14ac:dyDescent="0.3">
      <c r="A134" s="310">
        <v>46252</v>
      </c>
      <c r="B134" s="311" t="s">
        <v>144</v>
      </c>
      <c r="C134" s="312" cm="1">
        <f t="array" ref="C134">IF(B134="","",_xlfn._xlws.FILTER('Source List'!I$2:I$268,'Source List'!G$2:G$268='Row Counts'!B134," "))</f>
        <v>660</v>
      </c>
      <c r="D134" s="313" cm="1">
        <f t="array" ref="D134">IF(B134="","",_xlfn._xlws.FILTER('Source List'!J$2:J$268,'Source List'!G$2:G$268='Row Counts'!B134," "))</f>
        <v>4148</v>
      </c>
      <c r="E134" s="314">
        <f>IFERROR(Table1[[#This Row],[TOTAL VINES]]-Table1[[#This Row],[VINES LEFT]],"")</f>
        <v>2501</v>
      </c>
      <c r="F134" s="314">
        <v>1647</v>
      </c>
      <c r="G134" s="315">
        <f t="shared" si="10"/>
        <v>6.2848484848484851</v>
      </c>
      <c r="H134" s="315">
        <f t="shared" si="12"/>
        <v>3.7893939393939395</v>
      </c>
      <c r="I134" s="315">
        <f>Table1[[#This Row],[TOTAL ACRES]]-Table1[[#This Row],[ACRES PICKED]]</f>
        <v>2.4954545454545456</v>
      </c>
      <c r="J134" s="315"/>
      <c r="K134" s="315">
        <v>0.25</v>
      </c>
      <c r="L134" s="315" t="s">
        <v>243</v>
      </c>
      <c r="M134" s="332">
        <v>4.41</v>
      </c>
      <c r="N134" s="316">
        <f t="shared" si="11"/>
        <v>0</v>
      </c>
      <c r="O134" s="317">
        <f t="shared" si="13"/>
        <v>0</v>
      </c>
      <c r="P134" s="318" t="s">
        <v>222</v>
      </c>
      <c r="Q134" s="311" t="s">
        <v>354</v>
      </c>
      <c r="R134" s="319" t="s">
        <v>355</v>
      </c>
    </row>
    <row r="135" spans="1:18" s="280" customFormat="1" ht="13.5" customHeight="1" x14ac:dyDescent="0.3">
      <c r="A135" s="170">
        <v>46253</v>
      </c>
      <c r="B135" s="121" t="s">
        <v>48</v>
      </c>
      <c r="C135" s="171" cm="1">
        <f t="array" ref="C135">IF(B135="","",_xlfn._xlws.FILTER('Source List'!I$2:I$268,'Source List'!G$2:G$268='Row Counts'!B135," "))</f>
        <v>622</v>
      </c>
      <c r="D135" s="172" cm="1">
        <f t="array" ref="D135">IF(B135="","",_xlfn._xlws.FILTER('Source List'!J$2:J$268,'Source List'!G$2:G$268='Row Counts'!B135," "))</f>
        <v>15330</v>
      </c>
      <c r="E135" s="173">
        <f>IFERROR(Table1[[#This Row],[TOTAL VINES]]-Table1[[#This Row],[VINES LEFT]],"")</f>
        <v>14763</v>
      </c>
      <c r="F135" s="173">
        <v>567</v>
      </c>
      <c r="G135" s="174">
        <f t="shared" si="10"/>
        <v>24.64630225080386</v>
      </c>
      <c r="H135" s="174">
        <f t="shared" si="12"/>
        <v>23.734726688102892</v>
      </c>
      <c r="I135" s="174">
        <f>Table1[[#This Row],[TOTAL ACRES]]-Table1[[#This Row],[ACRES PICKED]]</f>
        <v>0.91157556270096762</v>
      </c>
      <c r="J135" s="174">
        <f>I91-Table1[[#This Row],[ACRES LEFT]]</f>
        <v>6.9774919614147883</v>
      </c>
      <c r="K135" s="174">
        <v>2</v>
      </c>
      <c r="L135" s="174" t="s">
        <v>356</v>
      </c>
      <c r="M135" s="175">
        <f>Table1[[#This Row],[LOADS]]*24</f>
        <v>48</v>
      </c>
      <c r="N135" s="176">
        <f t="shared" si="11"/>
        <v>6.8792626728110626</v>
      </c>
      <c r="O135" s="177">
        <f t="shared" si="13"/>
        <v>0.2726507713885003</v>
      </c>
      <c r="P135" s="178" t="s">
        <v>236</v>
      </c>
      <c r="Q135" s="121" t="s">
        <v>357</v>
      </c>
      <c r="R135" s="121"/>
    </row>
    <row r="136" spans="1:18" s="121" customFormat="1" ht="13.5" customHeight="1" x14ac:dyDescent="0.3">
      <c r="A136" s="103">
        <v>46253</v>
      </c>
      <c r="B136" s="12" t="s">
        <v>99</v>
      </c>
      <c r="C136" s="9" cm="1">
        <f t="array" ref="C136">IF(B136="","",_xlfn._xlws.FILTER('Source List'!I$2:I$268,'Source List'!G$2:G$268='Row Counts'!B136," "))</f>
        <v>807</v>
      </c>
      <c r="D136" s="104" cm="1">
        <f t="array" ref="D136">IF(B136="","",_xlfn._xlws.FILTER('Source List'!J$2:J$268,'Source List'!G$2:G$268='Row Counts'!B136," "))</f>
        <v>30908</v>
      </c>
      <c r="E136" s="105">
        <f>IFERROR(Table1[[#This Row],[TOTAL VINES]]-Table1[[#This Row],[VINES LEFT]],"")</f>
        <v>30908</v>
      </c>
      <c r="F136" s="105">
        <v>0</v>
      </c>
      <c r="G136" s="106">
        <f t="shared" si="10"/>
        <v>38.299876084262699</v>
      </c>
      <c r="H136" s="106">
        <f t="shared" si="12"/>
        <v>38.299876084262699</v>
      </c>
      <c r="I136" s="106">
        <f>Table1[[#This Row],[TOTAL ACRES]]-Table1[[#This Row],[ACRES PICKED]]</f>
        <v>0</v>
      </c>
      <c r="J136" s="106">
        <f>I126</f>
        <v>18.199504337050804</v>
      </c>
      <c r="K136" s="106"/>
      <c r="L136" s="106" t="s">
        <v>226</v>
      </c>
      <c r="M136" s="118">
        <f>Table1[[#This Row],[LOADS]]*24</f>
        <v>0</v>
      </c>
      <c r="N136" s="107">
        <f t="shared" si="11"/>
        <v>0</v>
      </c>
      <c r="O136" s="108">
        <f t="shared" si="13"/>
        <v>0</v>
      </c>
      <c r="P136" s="109" t="s">
        <v>236</v>
      </c>
      <c r="Q136" s="12" t="s">
        <v>358</v>
      </c>
      <c r="R136" s="12"/>
    </row>
    <row r="137" spans="1:18" s="121" customFormat="1" ht="13.5" customHeight="1" x14ac:dyDescent="0.3">
      <c r="A137" s="170">
        <v>46253</v>
      </c>
      <c r="B137" s="12" t="s">
        <v>102</v>
      </c>
      <c r="C137" s="9" cm="1">
        <f t="array" ref="C137">IF(B137="","",_xlfn._xlws.FILTER('Source List'!I$2:I$268,'Source List'!G$2:G$268='Row Counts'!B137," "))</f>
        <v>807</v>
      </c>
      <c r="D137" s="104" cm="1">
        <f t="array" ref="D137">IF(B137="","",_xlfn._xlws.FILTER('Source List'!J$2:J$268,'Source List'!G$2:G$268='Row Counts'!B137," "))</f>
        <v>30658</v>
      </c>
      <c r="E137" s="105">
        <f>Table1[[#This Row],[TOTAL VINES]]-Table1[[#This Row],[VINES LEFT]]</f>
        <v>30658</v>
      </c>
      <c r="F137" s="105">
        <v>0</v>
      </c>
      <c r="G137" s="106">
        <f t="shared" si="10"/>
        <v>37.990086741016107</v>
      </c>
      <c r="H137" s="106">
        <f t="shared" si="12"/>
        <v>37.990086741016107</v>
      </c>
      <c r="I137" s="106">
        <f>Table1[[#This Row],[TOTAL ACRES]]-Table1[[#This Row],[ACRES PICKED]]</f>
        <v>0</v>
      </c>
      <c r="J137" s="106">
        <f>I125</f>
        <v>13.161090458488225</v>
      </c>
      <c r="K137" s="106"/>
      <c r="L137" s="106" t="s">
        <v>226</v>
      </c>
      <c r="M137" s="118">
        <f>Table1[[#This Row],[LOADS]]*24</f>
        <v>0</v>
      </c>
      <c r="N137" s="107">
        <f t="shared" si="11"/>
        <v>0</v>
      </c>
      <c r="O137" s="108">
        <f t="shared" si="13"/>
        <v>0</v>
      </c>
      <c r="P137" s="109" t="s">
        <v>236</v>
      </c>
      <c r="Q137" s="12" t="s">
        <v>358</v>
      </c>
      <c r="R137" s="215"/>
    </row>
    <row r="138" spans="1:18" s="135" customFormat="1" ht="13.5" customHeight="1" x14ac:dyDescent="0.3">
      <c r="A138" s="134">
        <v>46253</v>
      </c>
      <c r="B138" s="135" t="s">
        <v>155</v>
      </c>
      <c r="C138" s="285" cm="1">
        <f t="array" ref="C138">IF(B138="","",_xlfn._xlws.FILTER('Source List'!I$2:I$268,'Source List'!G$2:G$268='Row Counts'!B138," "))</f>
        <v>622</v>
      </c>
      <c r="D138" s="286" cm="1">
        <f t="array" ref="D138">IF(B138="","",_xlfn._xlws.FILTER('Source List'!J$2:J$268,'Source List'!G$2:G$268='Row Counts'!B138," "))</f>
        <v>25496</v>
      </c>
      <c r="E138" s="136">
        <f>IFERROR(Table1[[#This Row],[TOTAL VINES]]-Table1[[#This Row],[VINES LEFT]],"")</f>
        <v>21657</v>
      </c>
      <c r="F138" s="136">
        <v>3839</v>
      </c>
      <c r="G138" s="137">
        <f t="shared" si="10"/>
        <v>40.9903536977492</v>
      </c>
      <c r="H138" s="137">
        <f t="shared" si="12"/>
        <v>34.818327974276528</v>
      </c>
      <c r="I138" s="137">
        <f>Table1[[#This Row],[TOTAL ACRES]]-Table1[[#This Row],[ACRES PICKED]]</f>
        <v>6.1720257234726716</v>
      </c>
      <c r="J138" s="137">
        <f>I129-Table1[[#This Row],[ACRES LEFT]]</f>
        <v>16.311897106109324</v>
      </c>
      <c r="K138" s="137">
        <v>7</v>
      </c>
      <c r="L138" s="137" t="s">
        <v>279</v>
      </c>
      <c r="M138" s="333">
        <v>142.78</v>
      </c>
      <c r="N138" s="288">
        <f t="shared" si="11"/>
        <v>8.7531204415533228</v>
      </c>
      <c r="O138" s="289">
        <f t="shared" si="13"/>
        <v>2.3488906315618077</v>
      </c>
      <c r="P138" s="290"/>
      <c r="Q138" s="135" t="s">
        <v>345</v>
      </c>
    </row>
    <row r="139" spans="1:18" s="115" customFormat="1" ht="13.5" customHeight="1" x14ac:dyDescent="0.3">
      <c r="A139" s="296">
        <v>46253</v>
      </c>
      <c r="B139" s="115" t="s">
        <v>346</v>
      </c>
      <c r="C139" s="291" cm="1">
        <f t="array" ref="C139">IF(B139="","",_xlfn._xlws.FILTER('Source List'!I$2:I$268,'Source List'!G$2:G$268='Row Counts'!B139," "))</f>
        <v>622</v>
      </c>
      <c r="D139" s="292" cm="1">
        <f t="array" ref="D139">IF(B139="","",_xlfn._xlws.FILTER('Source List'!J$2:J$268,'Source List'!G$2:G$268='Row Counts'!B139," "))</f>
        <v>12034</v>
      </c>
      <c r="E139" s="112">
        <f>IFERROR(Table1[[#This Row],[TOTAL VINES]]-Table1[[#This Row],[VINES LEFT]],"")</f>
        <v>8195</v>
      </c>
      <c r="F139" s="112">
        <v>3839</v>
      </c>
      <c r="G139" s="113">
        <f t="shared" si="10"/>
        <v>19.34726688102894</v>
      </c>
      <c r="H139" s="113">
        <f t="shared" si="12"/>
        <v>13.17524115755627</v>
      </c>
      <c r="I139" s="113">
        <f>Table1[[#This Row],[TOTAL ACRES]]-Table1[[#This Row],[ACRES PICKED]]</f>
        <v>6.1720257234726699</v>
      </c>
      <c r="J139" s="113">
        <f>I130-Table1[[#This Row],[ACRES LEFT]]</f>
        <v>13.17524115755627</v>
      </c>
      <c r="K139" s="113"/>
      <c r="L139" s="113"/>
      <c r="M139" s="293">
        <f>Table1[[#This Row],[LOADS]]*24</f>
        <v>0</v>
      </c>
      <c r="N139" s="294">
        <f t="shared" si="11"/>
        <v>0</v>
      </c>
      <c r="O139" s="295">
        <f t="shared" si="13"/>
        <v>0</v>
      </c>
      <c r="P139" s="114" t="s">
        <v>359</v>
      </c>
      <c r="Q139" s="331" t="s">
        <v>360</v>
      </c>
    </row>
    <row r="140" spans="1:18" s="115" customFormat="1" ht="13.5" customHeight="1" x14ac:dyDescent="0.3">
      <c r="A140" s="131">
        <v>46253</v>
      </c>
      <c r="B140" s="115" t="s">
        <v>348</v>
      </c>
      <c r="C140" s="291" cm="1">
        <f t="array" ref="C140">IF(B140="","",_xlfn._xlws.FILTER('Source List'!I$2:I$268,'Source List'!G$2:G$268='Row Counts'!B140," "))</f>
        <v>622</v>
      </c>
      <c r="D140" s="292" cm="1">
        <f t="array" ref="D140">IF(B140="","",_xlfn._xlws.FILTER('Source List'!J$2:J$268,'Source List'!G$2:G$268='Row Counts'!B140," "))</f>
        <v>8666</v>
      </c>
      <c r="E140" s="112">
        <f>IFERROR(Table1[[#This Row],[TOTAL VINES]]-Table1[[#This Row],[VINES LEFT]],"")</f>
        <v>8666</v>
      </c>
      <c r="F140" s="112">
        <v>0</v>
      </c>
      <c r="G140" s="113">
        <f t="shared" si="10"/>
        <v>13.932475884244372</v>
      </c>
      <c r="H140" s="113">
        <f t="shared" si="12"/>
        <v>13.932475884244372</v>
      </c>
      <c r="I140" s="113">
        <f>Table1[[#This Row],[TOTAL ACRES]]-Table1[[#This Row],[ACRES PICKED]]</f>
        <v>0</v>
      </c>
      <c r="J140" s="113">
        <f>I131</f>
        <v>2.270096463022508</v>
      </c>
      <c r="K140" s="113"/>
      <c r="L140" s="113"/>
      <c r="M140" s="293">
        <f>Table1[[#This Row],[LOADS]]*24</f>
        <v>0</v>
      </c>
      <c r="N140" s="294">
        <f t="shared" si="11"/>
        <v>0</v>
      </c>
      <c r="O140" s="295">
        <f t="shared" si="13"/>
        <v>0</v>
      </c>
      <c r="P140" s="114" t="s">
        <v>359</v>
      </c>
    </row>
    <row r="141" spans="1:18" s="115" customFormat="1" ht="13.5" customHeight="1" x14ac:dyDescent="0.3">
      <c r="A141" s="296">
        <v>46253</v>
      </c>
      <c r="B141" s="115" t="s">
        <v>350</v>
      </c>
      <c r="C141" s="291" cm="1">
        <f t="array" ref="C141">IF(B141="","",_xlfn._xlws.FILTER('Source List'!I$2:I$268,'Source List'!G$2:G$268='Row Counts'!B141," "))</f>
        <v>622</v>
      </c>
      <c r="D141" s="292" cm="1">
        <f t="array" ref="D141">IF(B141="","",_xlfn._xlws.FILTER('Source List'!J$2:J$268,'Source List'!G$2:G$268='Row Counts'!B141," "))</f>
        <v>4796</v>
      </c>
      <c r="E141" s="112">
        <f>IFERROR(Table1[[#This Row],[TOTAL VINES]]-Table1[[#This Row],[VINES LEFT]],"")</f>
        <v>4796</v>
      </c>
      <c r="F141" s="112">
        <v>0</v>
      </c>
      <c r="G141" s="113">
        <f t="shared" si="10"/>
        <v>7.710610932475884</v>
      </c>
      <c r="H141" s="113">
        <f t="shared" si="12"/>
        <v>7.710610932475884</v>
      </c>
      <c r="I141" s="113">
        <f>Table1[[#This Row],[TOTAL ACRES]]-Table1[[#This Row],[ACRES PICKED]]</f>
        <v>0</v>
      </c>
      <c r="J141" s="113">
        <f>I132</f>
        <v>0.86655948553054607</v>
      </c>
      <c r="K141" s="113"/>
      <c r="L141" s="113"/>
      <c r="M141" s="293">
        <f>Table1[[#This Row],[LOADS]]*24</f>
        <v>0</v>
      </c>
      <c r="N141" s="294">
        <f t="shared" si="11"/>
        <v>0</v>
      </c>
      <c r="O141" s="295">
        <f t="shared" si="13"/>
        <v>0</v>
      </c>
      <c r="P141" s="114" t="s">
        <v>359</v>
      </c>
    </row>
    <row r="142" spans="1:18" ht="13.5" customHeight="1" x14ac:dyDescent="0.3">
      <c r="A142" s="103">
        <v>46253</v>
      </c>
      <c r="B142" s="12" t="s">
        <v>161</v>
      </c>
      <c r="C142" s="9" cm="1">
        <f t="array" ref="C142">IF(B142="","",_xlfn._xlws.FILTER('Source List'!I$2:I$268,'Source List'!G$2:G$268='Row Counts'!B142," "))</f>
        <v>681</v>
      </c>
      <c r="D142" s="104" cm="1">
        <f t="array" ref="D142">IF(B142="","",_xlfn._xlws.FILTER('Source List'!J$2:J$268,'Source List'!G$2:G$268='Row Counts'!B142," "))</f>
        <v>22329</v>
      </c>
      <c r="E142" s="105">
        <f>IFERROR(Table1[[#This Row],[TOTAL VINES]]-Table1[[#This Row],[VINES LEFT]],"")</f>
        <v>12478</v>
      </c>
      <c r="F142" s="105">
        <v>9851</v>
      </c>
      <c r="G142" s="106">
        <f t="shared" ref="G142:G208" si="14">IFERROR(D142/C142,0)</f>
        <v>32.78854625550661</v>
      </c>
      <c r="H142" s="106">
        <f t="shared" si="12"/>
        <v>18.323054331864906</v>
      </c>
      <c r="I142" s="106">
        <f>Table1[[#This Row],[TOTAL ACRES]]-Table1[[#This Row],[ACRES PICKED]]</f>
        <v>14.465491923641704</v>
      </c>
      <c r="J142" s="106">
        <f>I133-Table1[[#This Row],[ACRES LEFT]]</f>
        <v>13.409691629955947</v>
      </c>
      <c r="L142" s="106" t="s">
        <v>279</v>
      </c>
      <c r="M142" s="209">
        <v>33</v>
      </c>
      <c r="N142" s="107">
        <f t="shared" si="11"/>
        <v>2.4609067017082786</v>
      </c>
      <c r="O142" s="108">
        <f t="shared" si="13"/>
        <v>1.5477489573216021</v>
      </c>
      <c r="P142" s="109" t="s">
        <v>359</v>
      </c>
      <c r="Q142" s="12" t="s">
        <v>361</v>
      </c>
    </row>
    <row r="143" spans="1:18" s="135" customFormat="1" ht="13.5" customHeight="1" x14ac:dyDescent="0.3">
      <c r="A143" s="284">
        <v>46253</v>
      </c>
      <c r="B143" s="135" t="s">
        <v>83</v>
      </c>
      <c r="C143" s="285" cm="1">
        <f t="array" ref="C143">IF(B143="","",_xlfn._xlws.FILTER('Source List'!I$2:I$268,'Source List'!G$2:G$268='Row Counts'!B143," "))</f>
        <v>622</v>
      </c>
      <c r="D143" s="286" cm="1">
        <f t="array" ref="D143">IF(B143="","",_xlfn._xlws.FILTER('Source List'!J$2:J$268,'Source List'!G$2:G$268='Row Counts'!B143," "))</f>
        <v>36996</v>
      </c>
      <c r="E143" s="136">
        <f>IFERROR(Table1[[#This Row],[TOTAL VINES]]-Table1[[#This Row],[VINES LEFT]],"")</f>
        <v>20828</v>
      </c>
      <c r="F143" s="136">
        <v>16168</v>
      </c>
      <c r="G143" s="137">
        <f t="shared" si="14"/>
        <v>59.479099678456592</v>
      </c>
      <c r="H143" s="137">
        <f t="shared" si="12"/>
        <v>33.485530546623792</v>
      </c>
      <c r="I143" s="137">
        <f>Table1[[#This Row],[TOTAL ACRES]]-Table1[[#This Row],[ACRES PICKED]]</f>
        <v>25.9935691318328</v>
      </c>
      <c r="J143" s="137">
        <f>Table1[[#This Row],[ACRES PICKED]]</f>
        <v>33.485530546623792</v>
      </c>
      <c r="K143" s="137">
        <v>4</v>
      </c>
      <c r="L143" s="137" t="s">
        <v>362</v>
      </c>
      <c r="M143" s="287">
        <f>Table1[[#This Row],[LOADS]]*24</f>
        <v>96</v>
      </c>
      <c r="N143" s="288">
        <f t="shared" si="11"/>
        <v>2.8669099289418094</v>
      </c>
      <c r="O143" s="289">
        <f t="shared" si="13"/>
        <v>3.2400531057689905</v>
      </c>
      <c r="P143" s="290" t="s">
        <v>281</v>
      </c>
    </row>
    <row r="144" spans="1:18" s="122" customFormat="1" ht="13.5" customHeight="1" x14ac:dyDescent="0.3">
      <c r="A144" s="131">
        <v>46253</v>
      </c>
      <c r="B144" s="115" t="s">
        <v>363</v>
      </c>
      <c r="C144" s="291" cm="1">
        <f t="array" ref="C144">IF(B144="","",_xlfn._xlws.FILTER('Source List'!I$2:I$268,'Source List'!G$2:G$268='Row Counts'!B144," "))</f>
        <v>622</v>
      </c>
      <c r="D144" s="292" cm="1">
        <f t="array" ref="D144">IF(B144="","",_xlfn._xlws.FILTER('Source List'!J$2:J$268,'Source List'!G$2:G$268='Row Counts'!B144," "))</f>
        <v>21239</v>
      </c>
      <c r="E144" s="112">
        <f>IFERROR(Table1[[#This Row],[TOTAL VINES]]-Table1[[#This Row],[VINES LEFT]],"")</f>
        <v>15232</v>
      </c>
      <c r="F144" s="112">
        <v>6007</v>
      </c>
      <c r="G144" s="113">
        <f t="shared" si="14"/>
        <v>34.146302250803856</v>
      </c>
      <c r="H144" s="113">
        <f t="shared" si="12"/>
        <v>24.488745980707396</v>
      </c>
      <c r="I144" s="113">
        <f>Table1[[#This Row],[TOTAL ACRES]]-Table1[[#This Row],[ACRES PICKED]]</f>
        <v>9.6575562700964603</v>
      </c>
      <c r="J144" s="113">
        <f>Table1[[#This Row],[ACRES PICKED]]</f>
        <v>24.488745980707396</v>
      </c>
      <c r="K144" s="113"/>
      <c r="L144" s="113"/>
      <c r="M144" s="293">
        <f>Table1[[#This Row],[LOADS]]*24</f>
        <v>0</v>
      </c>
      <c r="N144" s="294">
        <f t="shared" si="11"/>
        <v>0</v>
      </c>
      <c r="O144" s="295">
        <f t="shared" si="13"/>
        <v>0</v>
      </c>
      <c r="P144" s="114"/>
      <c r="Q144" s="115" t="s">
        <v>364</v>
      </c>
      <c r="R144" s="115"/>
    </row>
    <row r="145" spans="1:18" s="330" customFormat="1" ht="13.5" customHeight="1" x14ac:dyDescent="0.3">
      <c r="A145" s="320">
        <v>46253</v>
      </c>
      <c r="B145" s="321" t="s">
        <v>365</v>
      </c>
      <c r="C145" s="322" cm="1">
        <f t="array" ref="C145">IF(B145="","",_xlfn._xlws.FILTER('Source List'!I$2:I$268,'Source List'!G$2:G$268='Row Counts'!B145," "))</f>
        <v>622</v>
      </c>
      <c r="D145" s="323" cm="1">
        <f t="array" ref="D145">IF(B145="","",_xlfn._xlws.FILTER('Source List'!J$2:J$268,'Source List'!G$2:G$268='Row Counts'!B145," "))</f>
        <v>15757</v>
      </c>
      <c r="E145" s="324">
        <f>IFERROR(Table1[[#This Row],[TOTAL VINES]]-Table1[[#This Row],[VINES LEFT]],"")</f>
        <v>5596</v>
      </c>
      <c r="F145" s="324">
        <v>10161</v>
      </c>
      <c r="G145" s="325">
        <f t="shared" si="14"/>
        <v>25.332797427652732</v>
      </c>
      <c r="H145" s="325">
        <f t="shared" si="12"/>
        <v>8.9967845659163981</v>
      </c>
      <c r="I145" s="325">
        <f>Table1[[#This Row],[TOTAL ACRES]]-Table1[[#This Row],[ACRES PICKED]]</f>
        <v>16.336012861736336</v>
      </c>
      <c r="J145" s="325">
        <f>Table1[[#This Row],[ACRES PICKED]]</f>
        <v>8.9967845659163981</v>
      </c>
      <c r="K145" s="325"/>
      <c r="L145" s="325"/>
      <c r="M145" s="326">
        <f>Table1[[#This Row],[LOADS]]*24</f>
        <v>0</v>
      </c>
      <c r="N145" s="327">
        <f t="shared" si="11"/>
        <v>0</v>
      </c>
      <c r="O145" s="328">
        <f t="shared" si="13"/>
        <v>0</v>
      </c>
      <c r="P145" s="329"/>
      <c r="Q145" s="321" t="s">
        <v>366</v>
      </c>
      <c r="R145" s="321"/>
    </row>
    <row r="146" spans="1:18" s="121" customFormat="1" ht="13.5" customHeight="1" x14ac:dyDescent="0.3">
      <c r="A146" s="170">
        <v>46254</v>
      </c>
      <c r="B146" s="121" t="s">
        <v>181</v>
      </c>
      <c r="C146" s="171" cm="1">
        <f t="array" ref="C146">IF(B146="","",_xlfn._xlws.FILTER('Source List'!I$2:I$268,'Source List'!G$2:G$268='Row Counts'!B146," "))</f>
        <v>622</v>
      </c>
      <c r="D146" s="172">
        <v>50920</v>
      </c>
      <c r="E146" s="173">
        <v>13253</v>
      </c>
      <c r="F146" s="173">
        <f>Table1[[#This Row],[TOTAL VINES]]-Table1[[#This Row],[VINES PICKED]]</f>
        <v>37667</v>
      </c>
      <c r="G146" s="174">
        <f t="shared" si="14"/>
        <v>81.864951768488751</v>
      </c>
      <c r="H146" s="174">
        <f t="shared" si="12"/>
        <v>21.307073954983924</v>
      </c>
      <c r="I146" s="174">
        <f>Table1[[#This Row],[TOTAL ACRES]]-Table1[[#This Row],[ACRES PICKED]]</f>
        <v>60.557877813504831</v>
      </c>
      <c r="J146" s="174">
        <f>Table1[[#This Row],[ACRES PICKED]]</f>
        <v>21.307073954983924</v>
      </c>
      <c r="K146" s="174">
        <v>6</v>
      </c>
      <c r="L146" s="174" t="s">
        <v>325</v>
      </c>
      <c r="M146" s="181">
        <v>148.41</v>
      </c>
      <c r="N146" s="176">
        <f t="shared" si="11"/>
        <v>6.9652923866294421</v>
      </c>
      <c r="O146" s="177">
        <f t="shared" si="13"/>
        <v>18.339275012384402</v>
      </c>
      <c r="P146" s="178" t="s">
        <v>222</v>
      </c>
      <c r="Q146" s="121" t="s">
        <v>367</v>
      </c>
    </row>
    <row r="147" spans="1:18" ht="13.5" customHeight="1" x14ac:dyDescent="0.3">
      <c r="A147" s="103">
        <v>46254</v>
      </c>
      <c r="B147" s="12" t="s">
        <v>155</v>
      </c>
      <c r="C147" s="9" cm="1">
        <f t="array" ref="C147">IF(B147="","",_xlfn._xlws.FILTER('Source List'!I$2:I$268,'Source List'!G$2:G$268='Row Counts'!B147," "))</f>
        <v>622</v>
      </c>
      <c r="D147" s="104" cm="1">
        <f t="array" ref="D147">IF(B147="","",_xlfn._xlws.FILTER('Source List'!J$2:J$268,'Source List'!G$2:G$268='Row Counts'!B147," "))</f>
        <v>25496</v>
      </c>
      <c r="E147" s="105">
        <f>IFERROR(Table1[[#This Row],[TOTAL VINES]]-Table1[[#This Row],[VINES LEFT]],"")</f>
        <v>25496</v>
      </c>
      <c r="F147" s="105">
        <v>0</v>
      </c>
      <c r="G147" s="106">
        <f t="shared" si="14"/>
        <v>40.9903536977492</v>
      </c>
      <c r="H147" s="106">
        <f t="shared" si="12"/>
        <v>40.9903536977492</v>
      </c>
      <c r="I147" s="106">
        <f>Table1[[#This Row],[TOTAL ACRES]]-Table1[[#This Row],[ACRES PICKED]]</f>
        <v>0</v>
      </c>
      <c r="J147" s="106">
        <f>I138</f>
        <v>6.1720257234726716</v>
      </c>
      <c r="L147" s="106" t="s">
        <v>368</v>
      </c>
      <c r="M147" s="209">
        <v>57.5</v>
      </c>
      <c r="N147" s="107">
        <f t="shared" si="11"/>
        <v>9.3162281844230233</v>
      </c>
      <c r="O147" s="108">
        <f t="shared" si="13"/>
        <v>0</v>
      </c>
      <c r="P147" s="109" t="s">
        <v>281</v>
      </c>
      <c r="Q147" s="12" t="s">
        <v>228</v>
      </c>
    </row>
    <row r="148" spans="1:18" ht="13.5" customHeight="1" x14ac:dyDescent="0.3">
      <c r="A148" s="170">
        <v>46254</v>
      </c>
      <c r="B148" s="12" t="s">
        <v>161</v>
      </c>
      <c r="C148" s="9" cm="1">
        <f t="array" ref="C148">IF(B148="","",_xlfn._xlws.FILTER('Source List'!I$2:I$268,'Source List'!G$2:G$268='Row Counts'!B148," "))</f>
        <v>681</v>
      </c>
      <c r="D148" s="104" cm="1">
        <f t="array" ref="D148">IF(B148="","",_xlfn._xlws.FILTER('Source List'!J$2:J$268,'Source List'!G$2:G$268='Row Counts'!B148," "))</f>
        <v>22329</v>
      </c>
      <c r="E148" s="105">
        <f>IFERROR(Table1[[#This Row],[TOTAL VINES]]-Table1[[#This Row],[VINES LEFT]],"")</f>
        <v>22329</v>
      </c>
      <c r="F148" s="105">
        <v>0</v>
      </c>
      <c r="G148" s="106">
        <f t="shared" si="14"/>
        <v>32.78854625550661</v>
      </c>
      <c r="H148" s="106">
        <f t="shared" si="12"/>
        <v>32.78854625550661</v>
      </c>
      <c r="I148" s="106">
        <f>Table1[[#This Row],[TOTAL ACRES]]-Table1[[#This Row],[ACRES PICKED]]</f>
        <v>0</v>
      </c>
      <c r="J148" s="106">
        <f>I142</f>
        <v>14.465491923641704</v>
      </c>
      <c r="L148" s="106" t="s">
        <v>368</v>
      </c>
      <c r="M148" s="209">
        <v>45.3</v>
      </c>
      <c r="N148" s="107">
        <f t="shared" si="11"/>
        <v>3.1315907014516289</v>
      </c>
      <c r="O148" s="108">
        <f t="shared" si="13"/>
        <v>0</v>
      </c>
      <c r="P148" s="109" t="s">
        <v>281</v>
      </c>
      <c r="Q148" s="12" t="s">
        <v>228</v>
      </c>
    </row>
    <row r="149" spans="1:18" s="124" customFormat="1" ht="13.5" customHeight="1" x14ac:dyDescent="0.3">
      <c r="A149" s="103">
        <v>46254</v>
      </c>
      <c r="B149" s="12" t="s">
        <v>43</v>
      </c>
      <c r="C149" s="9" cm="1">
        <f t="array" ref="C149">IF(B149="","",_xlfn._xlws.FILTER('Source List'!I$2:I$268,'Source List'!G$2:G$268='Row Counts'!B149," "))</f>
        <v>691</v>
      </c>
      <c r="D149" s="104" cm="1">
        <f t="array" ref="D149">IF(B149="","",_xlfn._xlws.FILTER('Source List'!J$2:J$268,'Source List'!G$2:G$268='Row Counts'!B149," "))</f>
        <v>5487</v>
      </c>
      <c r="E149" s="105">
        <f>IFERROR(Table1[[#This Row],[TOTAL VINES]]-Table1[[#This Row],[VINES LEFT]],"")</f>
        <v>5487</v>
      </c>
      <c r="F149" s="105">
        <v>0</v>
      </c>
      <c r="G149" s="106">
        <f t="shared" si="14"/>
        <v>7.9406657018813318</v>
      </c>
      <c r="H149" s="106">
        <f t="shared" si="12"/>
        <v>7.9406657018813318</v>
      </c>
      <c r="I149" s="106">
        <f>Table1[[#This Row],[TOTAL ACRES]]-Table1[[#This Row],[ACRES PICKED]]</f>
        <v>0</v>
      </c>
      <c r="J149" s="106">
        <f>Table1[[#This Row],[ACRES PICKED]]</f>
        <v>7.9406657018813318</v>
      </c>
      <c r="K149" s="106">
        <v>2</v>
      </c>
      <c r="L149" s="106" t="s">
        <v>240</v>
      </c>
      <c r="M149" s="118">
        <f>Table1[[#This Row],[LOADS]]*24</f>
        <v>48</v>
      </c>
      <c r="N149" s="107">
        <f t="shared" si="11"/>
        <v>6.0448332422088571</v>
      </c>
      <c r="O149" s="108">
        <f t="shared" si="13"/>
        <v>0</v>
      </c>
      <c r="P149" s="109" t="s">
        <v>236</v>
      </c>
      <c r="Q149" s="12" t="s">
        <v>228</v>
      </c>
      <c r="R149" s="12"/>
    </row>
    <row r="150" spans="1:18" s="124" customFormat="1" ht="13.5" customHeight="1" x14ac:dyDescent="0.3">
      <c r="A150" s="170">
        <v>46254</v>
      </c>
      <c r="B150" s="12" t="s">
        <v>133</v>
      </c>
      <c r="C150" s="9" cm="1">
        <f t="array" ref="C150">IF(B150="","",_xlfn._xlws.FILTER('Source List'!I$2:I$268,'Source List'!G$2:G$268='Row Counts'!B150," "))</f>
        <v>605</v>
      </c>
      <c r="D150" s="104" cm="1">
        <f t="array" ref="D150">IF(B150="","",_xlfn._xlws.FILTER('Source List'!J$2:J$268,'Source List'!G$2:G$268='Row Counts'!B150," "))</f>
        <v>11744</v>
      </c>
      <c r="E150" s="105">
        <f>IFERROR(Table1[[#This Row],[TOTAL VINES]]-Table1[[#This Row],[VINES LEFT]],"")</f>
        <v>11744</v>
      </c>
      <c r="F150" s="105">
        <v>0</v>
      </c>
      <c r="G150" s="106">
        <f t="shared" si="14"/>
        <v>19.411570247933884</v>
      </c>
      <c r="H150" s="106">
        <f t="shared" si="12"/>
        <v>19.411570247933884</v>
      </c>
      <c r="I150" s="106">
        <f>Table1[[#This Row],[TOTAL ACRES]]-Table1[[#This Row],[ACRES PICKED]]</f>
        <v>0</v>
      </c>
      <c r="J150" s="106">
        <f>Table1[[#This Row],[TOTAL ACRES]]</f>
        <v>19.411570247933884</v>
      </c>
      <c r="K150" s="106">
        <v>4</v>
      </c>
      <c r="L150" s="106" t="s">
        <v>369</v>
      </c>
      <c r="M150" s="209">
        <v>83.74</v>
      </c>
      <c r="N150" s="107">
        <f t="shared" si="11"/>
        <v>4.3139220027247953</v>
      </c>
      <c r="O150" s="108">
        <f t="shared" si="13"/>
        <v>0</v>
      </c>
      <c r="P150" s="109"/>
      <c r="Q150" s="12" t="s">
        <v>228</v>
      </c>
      <c r="R150" s="12"/>
    </row>
    <row r="151" spans="1:18" s="124" customFormat="1" ht="13.5" customHeight="1" x14ac:dyDescent="0.3">
      <c r="A151" s="162">
        <v>46254</v>
      </c>
      <c r="B151" s="124" t="s">
        <v>83</v>
      </c>
      <c r="C151" s="163" cm="1">
        <f t="array" ref="C151">IF(B151="","",_xlfn._xlws.FILTER('Source List'!I$2:I$268,'Source List'!G$2:G$268='Row Counts'!B151," "))</f>
        <v>622</v>
      </c>
      <c r="D151" s="164" cm="1">
        <f t="array" ref="D151">IF(B151="","",_xlfn._xlws.FILTER('Source List'!J$2:J$268,'Source List'!G$2:G$268='Row Counts'!B151," "))</f>
        <v>36996</v>
      </c>
      <c r="E151" s="165">
        <f>IFERROR(Table1[[#This Row],[TOTAL VINES]]-Table1[[#This Row],[VINES LEFT]],"")</f>
        <v>36996</v>
      </c>
      <c r="F151" s="165">
        <v>0</v>
      </c>
      <c r="G151" s="166">
        <f t="shared" si="14"/>
        <v>59.479099678456592</v>
      </c>
      <c r="H151" s="166">
        <f t="shared" si="12"/>
        <v>59.479099678456592</v>
      </c>
      <c r="I151" s="166">
        <f>Table1[[#This Row],[TOTAL ACRES]]-Table1[[#This Row],[ACRES PICKED]]</f>
        <v>0</v>
      </c>
      <c r="J151" s="166">
        <f>I143</f>
        <v>25.9935691318328</v>
      </c>
      <c r="K151" s="166">
        <v>3</v>
      </c>
      <c r="L151" s="166" t="s">
        <v>369</v>
      </c>
      <c r="M151" s="341">
        <f>Table1[[#This Row],[LOADS]]*24</f>
        <v>72</v>
      </c>
      <c r="N151" s="167">
        <f t="shared" si="11"/>
        <v>2.7699158832261253</v>
      </c>
      <c r="O151" s="168">
        <f t="shared" si="13"/>
        <v>0</v>
      </c>
      <c r="P151" s="169"/>
      <c r="Q151" s="124" t="s">
        <v>228</v>
      </c>
    </row>
    <row r="152" spans="1:18" ht="13.5" customHeight="1" x14ac:dyDescent="0.3">
      <c r="A152" s="103">
        <v>46254</v>
      </c>
      <c r="B152" s="12" t="s">
        <v>80</v>
      </c>
      <c r="C152" s="9" cm="1">
        <f t="array" ref="C152">IF(B152="","",_xlfn._xlws.FILTER('Source List'!I$2:I$268,'Source List'!G$2:G$268='Row Counts'!B152," "))</f>
        <v>681</v>
      </c>
      <c r="D152" s="104" cm="1">
        <f t="array" ref="D152">IF(B152="","",_xlfn._xlws.FILTER('Source List'!J$2:J$268,'Source List'!G$2:G$268='Row Counts'!B152," "))</f>
        <v>49099</v>
      </c>
      <c r="E152" s="105">
        <f ca="1">Table1[[#This Row],[TOTAL VINES]]-Table1[[#This Row],[VINES LEFT]]</f>
        <v>0</v>
      </c>
      <c r="F152" s="105">
        <f ca="1">Table1[[#This Row],[TOTAL VINES]]-Table1[[#This Row],[VINES PICKED]]</f>
        <v>0</v>
      </c>
      <c r="G152" s="106">
        <f>IFERROR(D152/C152,0)</f>
        <v>72.098384728340676</v>
      </c>
      <c r="H152" s="106">
        <f ca="1">IFERROR(E152/C152,0)</f>
        <v>0</v>
      </c>
      <c r="I152" s="106">
        <f ca="1">Table1[[#This Row],[TOTAL ACRES]]-Table1[[#This Row],[ACRES PICKED]]</f>
        <v>0</v>
      </c>
      <c r="J152" s="106">
        <f ca="1">Table1[[#This Row],[ACRES PICKED]]</f>
        <v>0</v>
      </c>
      <c r="L152" s="106" t="s">
        <v>495</v>
      </c>
      <c r="M152" s="118">
        <f>Table1[[#This Row],[LOADS]]*24</f>
        <v>0</v>
      </c>
      <c r="N152" s="107">
        <f ca="1">IFERROR(M152/J152,0)</f>
        <v>0</v>
      </c>
      <c r="O152" s="108">
        <f ca="1">IFERROR((N152*I152)/23,"")</f>
        <v>0</v>
      </c>
    </row>
    <row r="153" spans="1:18" ht="13.5" customHeight="1" x14ac:dyDescent="0.3">
      <c r="A153" s="103">
        <v>46254</v>
      </c>
      <c r="B153" s="12" t="s">
        <v>130</v>
      </c>
      <c r="C153" s="9" cm="1">
        <f t="array" ref="C153">IF(B153="","",_xlfn._xlws.FILTER('Source List'!I$2:I$268,'Source List'!G$2:G$268='Row Counts'!B153," "))</f>
        <v>605</v>
      </c>
      <c r="D153" s="104" cm="1">
        <f t="array" ref="D153">IF(B153="","",_xlfn._xlws.FILTER('Source List'!J$2:J$268,'Source List'!G$2:G$268='Row Counts'!B153," "))</f>
        <v>10120</v>
      </c>
      <c r="E153" s="105">
        <f ca="1">Table1[[#This Row],[TOTAL VINES]]-Table1[[#This Row],[VINES LEFT]]</f>
        <v>0</v>
      </c>
      <c r="F153" s="105">
        <f ca="1">Table1[[#This Row],[TOTAL VINES]]-Table1[[#This Row],[VINES PICKED]]</f>
        <v>0</v>
      </c>
      <c r="G153" s="106">
        <f>IFERROR(D153/C153,0)</f>
        <v>16.727272727272727</v>
      </c>
      <c r="H153" s="106">
        <f ca="1">IFERROR(E153/C153,0)</f>
        <v>0</v>
      </c>
      <c r="I153" s="106">
        <f ca="1">Table1[[#This Row],[TOTAL ACRES]]-Table1[[#This Row],[ACRES PICKED]]</f>
        <v>0</v>
      </c>
      <c r="J153" s="106">
        <f ca="1">Table1[[#This Row],[ACRES PICKED]]</f>
        <v>0</v>
      </c>
      <c r="L153" s="106" t="s">
        <v>495</v>
      </c>
      <c r="M153" s="118">
        <f>Table1[[#This Row],[LOADS]]*24</f>
        <v>0</v>
      </c>
      <c r="N153" s="107">
        <f ca="1">IFERROR(M153/J153,0)</f>
        <v>0</v>
      </c>
      <c r="O153" s="108">
        <f ca="1">IFERROR((N153*I153)/23,"")</f>
        <v>0</v>
      </c>
    </row>
    <row r="154" spans="1:18" s="123" customFormat="1" ht="13.5" customHeight="1" thickBot="1" x14ac:dyDescent="0.35">
      <c r="A154" s="199">
        <v>46254</v>
      </c>
      <c r="B154" s="123" t="s">
        <v>71</v>
      </c>
      <c r="C154" s="200" cm="1">
        <f t="array" ref="C154">IF(B154="","",_xlfn._xlws.FILTER('Source List'!I$2:I$268,'Source List'!G$2:G$268='Row Counts'!B154," "))</f>
        <v>681</v>
      </c>
      <c r="D154" s="201" cm="1">
        <f t="array" ref="D154">IF(B154="","",_xlfn._xlws.FILTER('Source List'!J$2:J$268,'Source List'!G$2:G$268='Row Counts'!B154," "))</f>
        <v>4658</v>
      </c>
      <c r="E154" s="202">
        <f ca="1">Table1[[#This Row],[TOTAL VINES]]-Table1[[#This Row],[VINES LEFT]]</f>
        <v>0</v>
      </c>
      <c r="F154" s="202">
        <f ca="1">Table1[[#This Row],[TOTAL VINES]]-Table1[[#This Row],[VINES PICKED]]</f>
        <v>0</v>
      </c>
      <c r="G154" s="203">
        <f>IFERROR(D154/C154,0)</f>
        <v>6.8399412628487521</v>
      </c>
      <c r="H154" s="203">
        <f ca="1">IFERROR(E154/C154,0)</f>
        <v>0</v>
      </c>
      <c r="I154" s="203">
        <f ca="1">Table1[[#This Row],[TOTAL ACRES]]-Table1[[#This Row],[ACRES PICKED]]</f>
        <v>0</v>
      </c>
      <c r="J154" s="203">
        <f ca="1">Table1[[#This Row],[ACRES PICKED]]</f>
        <v>0</v>
      </c>
      <c r="K154" s="203"/>
      <c r="L154" s="203" t="s">
        <v>495</v>
      </c>
      <c r="M154" s="342">
        <f>Table1[[#This Row],[LOADS]]*24</f>
        <v>0</v>
      </c>
      <c r="N154" s="204">
        <f ca="1">IFERROR(M154/J154,0)</f>
        <v>0</v>
      </c>
      <c r="O154" s="205">
        <f ca="1">IFERROR((N154*I154)/23,"")</f>
        <v>0</v>
      </c>
      <c r="P154" s="206"/>
    </row>
    <row r="155" spans="1:18" s="121" customFormat="1" ht="13.5" customHeight="1" x14ac:dyDescent="0.3">
      <c r="A155" s="170">
        <v>46255</v>
      </c>
      <c r="B155" s="121" t="s">
        <v>181</v>
      </c>
      <c r="C155" s="171" cm="1">
        <f t="array" ref="C155">IF(B155="","",_xlfn._xlws.FILTER('Source List'!I$2:I$268,'Source List'!G$2:G$268='Row Counts'!B155," "))</f>
        <v>622</v>
      </c>
      <c r="D155" s="172" cm="1">
        <f t="array" ref="D155">IF(B155="","",_xlfn._xlws.FILTER('Source List'!J$2:J$268,'Source List'!G$2:G$268='Row Counts'!B155," "))</f>
        <v>51248</v>
      </c>
      <c r="E155" s="173">
        <f>IFERROR(Table1[[#This Row],[TOTAL VINES]]-Table1[[#This Row],[VINES LEFT]],"")</f>
        <v>32819</v>
      </c>
      <c r="F155" s="173">
        <v>18429</v>
      </c>
      <c r="G155" s="174">
        <f t="shared" si="14"/>
        <v>82.39228295819936</v>
      </c>
      <c r="H155" s="174">
        <f t="shared" si="12"/>
        <v>52.763665594855304</v>
      </c>
      <c r="I155" s="174">
        <f>Table1[[#This Row],[TOTAL ACRES]]-Table1[[#This Row],[ACRES PICKED]]</f>
        <v>29.628617363344055</v>
      </c>
      <c r="J155" s="174">
        <f>I146-Table1[[#This Row],[ACRES LEFT]]</f>
        <v>30.929260450160776</v>
      </c>
      <c r="K155" s="174">
        <v>10</v>
      </c>
      <c r="L155" s="174" t="s">
        <v>325</v>
      </c>
      <c r="M155" s="175">
        <f>Table1[[#This Row],[LOADS]]*23.5</f>
        <v>235</v>
      </c>
      <c r="N155" s="176">
        <f t="shared" si="11"/>
        <v>7.5979831583324664</v>
      </c>
      <c r="O155" s="177">
        <f t="shared" si="13"/>
        <v>9.7877276404941309</v>
      </c>
      <c r="P155" s="178" t="s">
        <v>222</v>
      </c>
      <c r="Q155" s="213" t="s">
        <v>370</v>
      </c>
    </row>
    <row r="156" spans="1:18" s="125" customFormat="1" ht="13.5" customHeight="1" x14ac:dyDescent="0.3">
      <c r="A156" s="337">
        <v>46255</v>
      </c>
      <c r="B156" s="334" t="s">
        <v>25</v>
      </c>
      <c r="C156" s="9" cm="1">
        <f t="array" ref="C156">IF(B156="","",_xlfn._xlws.FILTER('Source List'!I$2:I$268,'Source List'!G$2:G$268='Row Counts'!B156," "))</f>
        <v>726</v>
      </c>
      <c r="D156" s="104" cm="1">
        <f t="array" ref="D156">IF(B156="","",_xlfn._xlws.FILTER('Source List'!J$2:J$268,'Source List'!G$2:G$268='Row Counts'!B156," "))</f>
        <v>30107</v>
      </c>
      <c r="E156" s="105">
        <f>IFERROR(Table1[[#This Row],[TOTAL VINES]]-Table1[[#This Row],[VINES LEFT]],"")</f>
        <v>30107</v>
      </c>
      <c r="F156" s="335">
        <v>0</v>
      </c>
      <c r="G156" s="106">
        <f t="shared" si="14"/>
        <v>41.469696969696969</v>
      </c>
      <c r="H156" s="106">
        <f t="shared" si="12"/>
        <v>41.469696969696969</v>
      </c>
      <c r="I156" s="106">
        <f>Table1[[#This Row],[TOTAL ACRES]]-Table1[[#This Row],[ACRES PICKED]]</f>
        <v>0</v>
      </c>
      <c r="J156" s="106">
        <f>I99</f>
        <v>27.207988980716252</v>
      </c>
      <c r="K156" s="209">
        <v>7.75</v>
      </c>
      <c r="L156" s="340" t="s">
        <v>221</v>
      </c>
      <c r="M156" s="209">
        <v>179.11</v>
      </c>
      <c r="N156" s="107">
        <f t="shared" si="11"/>
        <v>6.5829929630942141</v>
      </c>
      <c r="O156" s="108">
        <f t="shared" si="13"/>
        <v>0</v>
      </c>
      <c r="P156" s="336" t="s">
        <v>236</v>
      </c>
      <c r="Q156" s="334" t="s">
        <v>228</v>
      </c>
    </row>
    <row r="157" spans="1:18" ht="13.5" customHeight="1" x14ac:dyDescent="0.3">
      <c r="A157" s="170">
        <v>46255</v>
      </c>
      <c r="B157" s="12" t="s">
        <v>80</v>
      </c>
      <c r="C157" s="9" cm="1">
        <f t="array" ref="C157">IF(B157="","",_xlfn._xlws.FILTER('Source List'!I$2:I$268,'Source List'!G$2:G$268='Row Counts'!B157," "))</f>
        <v>681</v>
      </c>
      <c r="D157" s="104" cm="1">
        <f t="array" ref="D157">IF(B157="","",_xlfn._xlws.FILTER('Source List'!J$2:J$268,'Source List'!G$2:G$268='Row Counts'!B157," "))</f>
        <v>49099</v>
      </c>
      <c r="E157" s="105" t="str">
        <f ca="1">IFERROR(Table1[[#This Row],[TOTAL VINES]]-Table1[[#This Row],[VINES LEFT]],"")</f>
        <v/>
      </c>
      <c r="F157" s="105">
        <f ca="1">Table1[[#This Row],[TOTAL VINES]]-Table1[[#This Row],[VINES PICKED]]</f>
        <v>0</v>
      </c>
      <c r="G157" s="106">
        <f t="shared" si="14"/>
        <v>72.098384728340676</v>
      </c>
      <c r="H157" s="106">
        <f t="shared" ca="1" si="12"/>
        <v>0</v>
      </c>
      <c r="I157" s="106">
        <f ca="1">Table1[[#This Row],[TOTAL ACRES]]-Table1[[#This Row],[ACRES PICKED]]</f>
        <v>0</v>
      </c>
      <c r="J157" s="106">
        <f ca="1">Table1[[#This Row],[ACRES PICKED]]</f>
        <v>0</v>
      </c>
      <c r="L157" s="106" t="s">
        <v>495</v>
      </c>
      <c r="M157" s="118">
        <f>Table1[[#This Row],[LOADS]]*24</f>
        <v>0</v>
      </c>
      <c r="N157" s="107">
        <f t="shared" ca="1" si="11"/>
        <v>0</v>
      </c>
      <c r="O157" s="108" t="str">
        <f t="shared" ca="1" si="13"/>
        <v/>
      </c>
    </row>
    <row r="158" spans="1:18" s="123" customFormat="1" ht="13.5" customHeight="1" thickBot="1" x14ac:dyDescent="0.35">
      <c r="A158" s="343">
        <v>46255</v>
      </c>
      <c r="B158" s="123" t="s">
        <v>130</v>
      </c>
      <c r="C158" s="200" cm="1">
        <f t="array" ref="C158">IF(B158="","",_xlfn._xlws.FILTER('Source List'!I$2:I$268,'Source List'!G$2:G$268='Row Counts'!B158," "))</f>
        <v>605</v>
      </c>
      <c r="D158" s="201" cm="1">
        <f t="array" ref="D158">IF(B158="","",_xlfn._xlws.FILTER('Source List'!J$2:J$268,'Source List'!G$2:G$268='Row Counts'!B158," "))</f>
        <v>10120</v>
      </c>
      <c r="E158" s="202" t="str">
        <f ca="1">IFERROR(Table1[[#This Row],[TOTAL VINES]]-Table1[[#This Row],[VINES LEFT]],"")</f>
        <v/>
      </c>
      <c r="F158" s="202">
        <f ca="1">Table1[[#This Row],[TOTAL VINES]]-Table1[[#This Row],[VINES PICKED]]</f>
        <v>0</v>
      </c>
      <c r="G158" s="203">
        <f t="shared" si="14"/>
        <v>16.727272727272727</v>
      </c>
      <c r="H158" s="203">
        <f t="shared" ca="1" si="12"/>
        <v>0</v>
      </c>
      <c r="I158" s="203">
        <f ca="1">Table1[[#This Row],[TOTAL ACRES]]-Table1[[#This Row],[ACRES PICKED]]</f>
        <v>0</v>
      </c>
      <c r="J158" s="203">
        <f ca="1">Table1[[#This Row],[ACRES PICKED]]</f>
        <v>0</v>
      </c>
      <c r="K158" s="203"/>
      <c r="L158" s="203" t="s">
        <v>495</v>
      </c>
      <c r="M158" s="342">
        <f>Table1[[#This Row],[LOADS]]*24</f>
        <v>0</v>
      </c>
      <c r="N158" s="204">
        <f t="shared" ca="1" si="11"/>
        <v>0</v>
      </c>
      <c r="O158" s="205" t="str">
        <f t="shared" ca="1" si="13"/>
        <v/>
      </c>
      <c r="P158" s="206"/>
    </row>
    <row r="159" spans="1:18" s="121" customFormat="1" ht="13.5" customHeight="1" x14ac:dyDescent="0.3">
      <c r="A159" s="170">
        <v>46257</v>
      </c>
      <c r="B159" s="121" t="s">
        <v>128</v>
      </c>
      <c r="C159" s="171" cm="1">
        <f t="array" ref="C159">IF(B159="","",_xlfn._xlws.FILTER('Source List'!I$2:I$268,'Source List'!G$2:G$268='Row Counts'!B159," "))</f>
        <v>681</v>
      </c>
      <c r="D159" s="172" cm="1">
        <f t="array" ref="D159">IF(B159="","",_xlfn._xlws.FILTER('Source List'!J$2:J$268,'Source List'!G$2:G$268='Row Counts'!B159," "))</f>
        <v>47208</v>
      </c>
      <c r="E159" s="173">
        <v>8417</v>
      </c>
      <c r="F159" s="173">
        <f>Table1[[#This Row],[TOTAL VINES]]-Table1[[#This Row],[VINES PICKED]]</f>
        <v>38791</v>
      </c>
      <c r="G159" s="174">
        <f t="shared" si="14"/>
        <v>69.321585903083701</v>
      </c>
      <c r="H159" s="174">
        <f t="shared" si="12"/>
        <v>12.359765051395007</v>
      </c>
      <c r="I159" s="174">
        <f>Table1[[#This Row],[TOTAL ACRES]]-Table1[[#This Row],[ACRES PICKED]]</f>
        <v>56.961820851688692</v>
      </c>
      <c r="J159" s="174">
        <f>Table1[[#This Row],[ACRES PICKED]]</f>
        <v>12.359765051395007</v>
      </c>
      <c r="K159" s="174">
        <v>3</v>
      </c>
      <c r="L159" s="174" t="s">
        <v>221</v>
      </c>
      <c r="M159" s="175">
        <f>Table1[[#This Row],[LOADS]]*24</f>
        <v>72</v>
      </c>
      <c r="N159" s="176">
        <f t="shared" si="11"/>
        <v>5.8253534513484615</v>
      </c>
      <c r="O159" s="177">
        <f t="shared" si="13"/>
        <v>14.427075638846848</v>
      </c>
      <c r="P159" s="178" t="s">
        <v>236</v>
      </c>
      <c r="Q159" s="121" t="s">
        <v>496</v>
      </c>
    </row>
    <row r="160" spans="1:18" s="123" customFormat="1" ht="13.5" customHeight="1" thickBot="1" x14ac:dyDescent="0.35">
      <c r="A160" s="199">
        <v>46257</v>
      </c>
      <c r="B160" s="123" t="s">
        <v>77</v>
      </c>
      <c r="C160" s="200" cm="1">
        <f t="array" ref="C160">IF(B160="","",_xlfn._xlws.FILTER('Source List'!I$2:I$268,'Source List'!G$2:G$268='Row Counts'!B160," "))</f>
        <v>681</v>
      </c>
      <c r="D160" s="201" cm="1">
        <f t="array" ref="D160">IF(B160="","",_xlfn._xlws.FILTER('Source List'!J$2:J$268,'Source List'!G$2:G$268='Row Counts'!B160," "))</f>
        <v>40584</v>
      </c>
      <c r="E160" s="202">
        <v>10521</v>
      </c>
      <c r="F160" s="202">
        <f>Table1[[#This Row],[TOTAL VINES]]-Table1[[#This Row],[VINES PICKED]]</f>
        <v>30063</v>
      </c>
      <c r="G160" s="203">
        <f t="shared" si="14"/>
        <v>59.594713656387668</v>
      </c>
      <c r="H160" s="203">
        <f t="shared" si="12"/>
        <v>15.449339207048459</v>
      </c>
      <c r="I160" s="203">
        <f>Table1[[#This Row],[TOTAL ACRES]]-Table1[[#This Row],[ACRES PICKED]]</f>
        <v>44.145374449339208</v>
      </c>
      <c r="J160" s="203">
        <f>Table1[[#This Row],[ACRES PICKED]]</f>
        <v>15.449339207048459</v>
      </c>
      <c r="K160" s="203">
        <v>3</v>
      </c>
      <c r="L160" s="203" t="s">
        <v>221</v>
      </c>
      <c r="M160" s="204">
        <v>68.180000000000007</v>
      </c>
      <c r="N160" s="204">
        <f t="shared" si="11"/>
        <v>4.4131337325349307</v>
      </c>
      <c r="O160" s="205">
        <f t="shared" si="13"/>
        <v>8.4704104833810661</v>
      </c>
      <c r="P160" s="206" t="s">
        <v>236</v>
      </c>
      <c r="Q160" s="123" t="s">
        <v>497</v>
      </c>
    </row>
    <row r="161" spans="1:18" s="121" customFormat="1" ht="13.5" customHeight="1" x14ac:dyDescent="0.3">
      <c r="A161" s="170"/>
      <c r="C161" s="171" t="str" cm="1">
        <f t="array" ref="C161">IF(B161="","",_xlfn._xlws.FILTER('Source List'!I$2:I$268,'Source List'!G$2:G$268='Row Counts'!B161," "))</f>
        <v/>
      </c>
      <c r="D161" s="172" t="str" cm="1">
        <f t="array" ref="D161">IF(B161="","",_xlfn._xlws.FILTER('Source List'!J$2:J$268,'Source List'!G$2:G$268='Row Counts'!B161," "))</f>
        <v/>
      </c>
      <c r="E161" s="173" t="str">
        <f ca="1">IFERROR(Table1[[#This Row],[TOTAL VINES]]-Table1[[#This Row],[VINES LEFT]],"")</f>
        <v/>
      </c>
      <c r="F161" s="173">
        <f ca="1">Table1[[#This Row],[TOTAL VINES]]-Table1[[#This Row],[VINES PICKED]]</f>
        <v>0</v>
      </c>
      <c r="G161" s="174">
        <f t="shared" si="14"/>
        <v>0</v>
      </c>
      <c r="H161" s="174">
        <f t="shared" ca="1" si="12"/>
        <v>0</v>
      </c>
      <c r="I161" s="174">
        <f ca="1">Table1[[#This Row],[TOTAL ACRES]]-Table1[[#This Row],[ACRES PICKED]]</f>
        <v>0</v>
      </c>
      <c r="J161" s="174">
        <f ca="1">Table1[[#This Row],[ACRES PICKED]]</f>
        <v>0</v>
      </c>
      <c r="K161" s="174"/>
      <c r="L161" s="174"/>
      <c r="M161" s="175">
        <f>Table1[[#This Row],[LOADS]]*24</f>
        <v>0</v>
      </c>
      <c r="N161" s="176">
        <f t="shared" ca="1" si="11"/>
        <v>0</v>
      </c>
      <c r="O161" s="177" t="str">
        <f t="shared" ca="1" si="13"/>
        <v/>
      </c>
      <c r="P161" s="178"/>
    </row>
    <row r="162" spans="1:18" ht="13.5" customHeight="1" x14ac:dyDescent="0.3">
      <c r="C162" s="9" t="str" cm="1">
        <f t="array" ref="C162">IF(B162="","",_xlfn._xlws.FILTER('Source List'!I$2:I$268,'Source List'!G$2:G$268='Row Counts'!B162," "))</f>
        <v/>
      </c>
      <c r="D162" s="104" t="str" cm="1">
        <f t="array" ref="D162">IF(B162="","",_xlfn._xlws.FILTER('Source List'!J$2:J$268,'Source List'!G$2:G$268='Row Counts'!B162," "))</f>
        <v/>
      </c>
      <c r="E162" s="105" t="str">
        <f ca="1">IFERROR(Table1[[#This Row],[TOTAL VINES]]-Table1[[#This Row],[VINES LEFT]],"")</f>
        <v/>
      </c>
      <c r="F162" s="105">
        <f ca="1">Table1[[#This Row],[TOTAL VINES]]-Table1[[#This Row],[VINES PICKED]]</f>
        <v>0</v>
      </c>
      <c r="G162" s="106">
        <f t="shared" si="14"/>
        <v>0</v>
      </c>
      <c r="H162" s="106">
        <f t="shared" ca="1" si="12"/>
        <v>0</v>
      </c>
      <c r="I162" s="106">
        <f ca="1">Table1[[#This Row],[TOTAL ACRES]]-Table1[[#This Row],[ACRES PICKED]]</f>
        <v>0</v>
      </c>
      <c r="J162" s="106">
        <f ca="1">Table1[[#This Row],[ACRES PICKED]]</f>
        <v>0</v>
      </c>
      <c r="M162" s="118">
        <f>Table1[[#This Row],[LOADS]]*24</f>
        <v>0</v>
      </c>
      <c r="N162" s="107">
        <f t="shared" ca="1" si="11"/>
        <v>0</v>
      </c>
      <c r="O162" s="108" t="str">
        <f t="shared" ca="1" si="13"/>
        <v/>
      </c>
    </row>
    <row r="163" spans="1:18" ht="13.5" customHeight="1" x14ac:dyDescent="0.3">
      <c r="C163" s="9" t="str" cm="1">
        <f t="array" ref="C163">IF(B163="","",_xlfn._xlws.FILTER('Source List'!I$2:I$268,'Source List'!G$2:G$268='Row Counts'!B163," "))</f>
        <v/>
      </c>
      <c r="D163" s="104" t="str" cm="1">
        <f t="array" ref="D163">IF(B163="","",_xlfn._xlws.FILTER('Source List'!J$2:J$268,'Source List'!G$2:G$268='Row Counts'!B163," "))</f>
        <v/>
      </c>
      <c r="E163" s="105" t="str">
        <f ca="1">IFERROR(Table1[[#This Row],[TOTAL VINES]]-Table1[[#This Row],[VINES LEFT]],"")</f>
        <v/>
      </c>
      <c r="F163" s="105">
        <f ca="1">Table1[[#This Row],[TOTAL VINES]]-Table1[[#This Row],[VINES PICKED]]</f>
        <v>0</v>
      </c>
      <c r="G163" s="106">
        <f t="shared" si="14"/>
        <v>0</v>
      </c>
      <c r="H163" s="106">
        <f t="shared" ca="1" si="12"/>
        <v>0</v>
      </c>
      <c r="I163" s="106">
        <f ca="1">Table1[[#This Row],[TOTAL ACRES]]-Table1[[#This Row],[ACRES PICKED]]</f>
        <v>0</v>
      </c>
      <c r="J163" s="106">
        <f ca="1">Table1[[#This Row],[ACRES PICKED]]</f>
        <v>0</v>
      </c>
      <c r="M163" s="118">
        <f>Table1[[#This Row],[LOADS]]*24</f>
        <v>0</v>
      </c>
      <c r="N163" s="107">
        <f t="shared" ca="1" si="11"/>
        <v>0</v>
      </c>
      <c r="O163" s="108" t="str">
        <f t="shared" ca="1" si="13"/>
        <v/>
      </c>
    </row>
    <row r="164" spans="1:18" ht="13.5" customHeight="1" x14ac:dyDescent="0.3">
      <c r="C164" s="9" t="str" cm="1">
        <f t="array" ref="C164">IF(B164="","",_xlfn._xlws.FILTER('Source List'!I$2:I$268,'Source List'!G$2:G$268='Row Counts'!B164," "))</f>
        <v/>
      </c>
      <c r="D164" s="104" t="str" cm="1">
        <f t="array" ref="D164">IF(B164="","",_xlfn._xlws.FILTER('Source List'!J$2:J$268,'Source List'!G$2:G$268='Row Counts'!B164," "))</f>
        <v/>
      </c>
      <c r="E164" s="105" t="str">
        <f ca="1">IFERROR(Table1[[#This Row],[TOTAL VINES]]-Table1[[#This Row],[VINES LEFT]],"")</f>
        <v/>
      </c>
      <c r="F164" s="105">
        <f ca="1">Table1[[#This Row],[TOTAL VINES]]-Table1[[#This Row],[VINES PICKED]]</f>
        <v>0</v>
      </c>
      <c r="G164" s="106">
        <f t="shared" si="14"/>
        <v>0</v>
      </c>
      <c r="H164" s="106">
        <f t="shared" ca="1" si="12"/>
        <v>0</v>
      </c>
      <c r="I164" s="106">
        <f ca="1">Table1[[#This Row],[TOTAL ACRES]]-Table1[[#This Row],[ACRES PICKED]]</f>
        <v>0</v>
      </c>
      <c r="J164" s="106">
        <f ca="1">Table1[[#This Row],[ACRES PICKED]]</f>
        <v>0</v>
      </c>
      <c r="M164" s="118">
        <f>Table1[[#This Row],[LOADS]]*24</f>
        <v>0</v>
      </c>
      <c r="N164" s="107">
        <f t="shared" ca="1" si="11"/>
        <v>0</v>
      </c>
      <c r="O164" s="108" t="str">
        <f t="shared" ca="1" si="13"/>
        <v/>
      </c>
    </row>
    <row r="165" spans="1:18" ht="13.5" customHeight="1" x14ac:dyDescent="0.3">
      <c r="C165" s="9" t="str" cm="1">
        <f t="array" ref="C165">IF(B165="","",_xlfn._xlws.FILTER('Source List'!I$2:I$268,'Source List'!G$2:G$268='Row Counts'!B165," "))</f>
        <v/>
      </c>
      <c r="D165" s="104" t="str" cm="1">
        <f t="array" ref="D165">IF(B165="","",_xlfn._xlws.FILTER('Source List'!J$2:J$268,'Source List'!G$2:G$268='Row Counts'!B165," "))</f>
        <v/>
      </c>
      <c r="E165" s="105" t="str">
        <f ca="1">IFERROR(Table1[[#This Row],[TOTAL VINES]]-Table1[[#This Row],[VINES LEFT]],"")</f>
        <v/>
      </c>
      <c r="F165" s="105">
        <f ca="1">Table1[[#This Row],[TOTAL VINES]]-Table1[[#This Row],[VINES PICKED]]</f>
        <v>0</v>
      </c>
      <c r="G165" s="106">
        <f t="shared" si="14"/>
        <v>0</v>
      </c>
      <c r="H165" s="106">
        <f t="shared" ca="1" si="12"/>
        <v>0</v>
      </c>
      <c r="I165" s="106">
        <f ca="1">Table1[[#This Row],[TOTAL ACRES]]-Table1[[#This Row],[ACRES PICKED]]</f>
        <v>0</v>
      </c>
      <c r="J165" s="106">
        <f ca="1">Table1[[#This Row],[ACRES PICKED]]</f>
        <v>0</v>
      </c>
      <c r="M165" s="118">
        <f>Table1[[#This Row],[LOADS]]*24</f>
        <v>0</v>
      </c>
      <c r="N165" s="107">
        <f t="shared" ca="1" si="11"/>
        <v>0</v>
      </c>
      <c r="O165" s="108" t="str">
        <f t="shared" ca="1" si="13"/>
        <v/>
      </c>
    </row>
    <row r="166" spans="1:18" ht="13.5" customHeight="1" x14ac:dyDescent="0.3">
      <c r="C166" s="9" t="str" cm="1">
        <f t="array" ref="C166">IF(B166="","",_xlfn._xlws.FILTER('Source List'!I$2:I$268,'Source List'!G$2:G$268='Row Counts'!B166," "))</f>
        <v/>
      </c>
      <c r="D166" s="104" t="str" cm="1">
        <f t="array" ref="D166">IF(B166="","",_xlfn._xlws.FILTER('Source List'!J$2:J$268,'Source List'!G$2:G$268='Row Counts'!B166," "))</f>
        <v/>
      </c>
      <c r="E166" s="105" t="str">
        <f ca="1">IFERROR(Table1[[#This Row],[TOTAL VINES]]-Table1[[#This Row],[VINES LEFT]],"")</f>
        <v/>
      </c>
      <c r="F166" s="105">
        <f ca="1">Table1[[#This Row],[TOTAL VINES]]-Table1[[#This Row],[VINES PICKED]]</f>
        <v>0</v>
      </c>
      <c r="G166" s="106">
        <f t="shared" si="14"/>
        <v>0</v>
      </c>
      <c r="H166" s="106">
        <f t="shared" ca="1" si="12"/>
        <v>0</v>
      </c>
      <c r="I166" s="106">
        <f ca="1">Table1[[#This Row],[TOTAL ACRES]]-Table1[[#This Row],[ACRES PICKED]]</f>
        <v>0</v>
      </c>
      <c r="J166" s="106">
        <f ca="1">Table1[[#This Row],[ACRES PICKED]]</f>
        <v>0</v>
      </c>
      <c r="M166" s="118">
        <f>Table1[[#This Row],[LOADS]]*24</f>
        <v>0</v>
      </c>
      <c r="N166" s="107">
        <f t="shared" ca="1" si="11"/>
        <v>0</v>
      </c>
      <c r="O166" s="108" t="str">
        <f t="shared" ca="1" si="13"/>
        <v/>
      </c>
    </row>
    <row r="167" spans="1:18" ht="13.5" customHeight="1" x14ac:dyDescent="0.3">
      <c r="C167" s="9" t="str" cm="1">
        <f t="array" ref="C167">IF(B167="","",_xlfn._xlws.FILTER('Source List'!I$2:I$268,'Source List'!G$2:G$268='Row Counts'!B167," "))</f>
        <v/>
      </c>
      <c r="D167" s="104" t="str" cm="1">
        <f t="array" ref="D167">IF(B167="","",_xlfn._xlws.FILTER('Source List'!J$2:J$268,'Source List'!G$2:G$268='Row Counts'!B167," "))</f>
        <v/>
      </c>
      <c r="E167" s="105" t="str">
        <f ca="1">IFERROR(Table1[[#This Row],[TOTAL VINES]]-Table1[[#This Row],[VINES LEFT]],"")</f>
        <v/>
      </c>
      <c r="F167" s="105">
        <f ca="1">Table1[[#This Row],[TOTAL VINES]]-Table1[[#This Row],[VINES PICKED]]</f>
        <v>0</v>
      </c>
      <c r="G167" s="106">
        <f t="shared" si="14"/>
        <v>0</v>
      </c>
      <c r="H167" s="106">
        <f t="shared" ca="1" si="12"/>
        <v>0</v>
      </c>
      <c r="I167" s="106">
        <f ca="1">Table1[[#This Row],[TOTAL ACRES]]-Table1[[#This Row],[ACRES PICKED]]</f>
        <v>0</v>
      </c>
      <c r="J167" s="106">
        <f ca="1">Table1[[#This Row],[ACRES PICKED]]</f>
        <v>0</v>
      </c>
      <c r="M167" s="118">
        <f>Table1[[#This Row],[LOADS]]*24</f>
        <v>0</v>
      </c>
      <c r="N167" s="107">
        <f t="shared" ca="1" si="11"/>
        <v>0</v>
      </c>
      <c r="O167" s="108" t="str">
        <f t="shared" ca="1" si="13"/>
        <v/>
      </c>
    </row>
    <row r="168" spans="1:18" ht="13.5" customHeight="1" x14ac:dyDescent="0.3">
      <c r="C168" s="9" t="str" cm="1">
        <f t="array" ref="C168">IF(B168="","",_xlfn._xlws.FILTER('Source List'!I$2:I$268,'Source List'!G$2:G$268='Row Counts'!B168," "))</f>
        <v/>
      </c>
      <c r="D168" s="104" t="str" cm="1">
        <f t="array" ref="D168">IF(B168="","",_xlfn._xlws.FILTER('Source List'!J$2:J$268,'Source List'!G$2:G$268='Row Counts'!B168," "))</f>
        <v/>
      </c>
      <c r="E168" s="105" t="str">
        <f ca="1">IFERROR(Table1[[#This Row],[TOTAL VINES]]-Table1[[#This Row],[VINES LEFT]],"")</f>
        <v/>
      </c>
      <c r="F168" s="105">
        <f ca="1">Table1[[#This Row],[TOTAL VINES]]-Table1[[#This Row],[VINES PICKED]]</f>
        <v>0</v>
      </c>
      <c r="G168" s="106">
        <f t="shared" si="14"/>
        <v>0</v>
      </c>
      <c r="H168" s="106">
        <f t="shared" ca="1" si="12"/>
        <v>0</v>
      </c>
      <c r="I168" s="106">
        <f ca="1">Table1[[#This Row],[TOTAL ACRES]]-Table1[[#This Row],[ACRES PICKED]]</f>
        <v>0</v>
      </c>
      <c r="J168" s="106">
        <f ca="1">Table1[[#This Row],[ACRES PICKED]]</f>
        <v>0</v>
      </c>
      <c r="M168" s="118">
        <f>Table1[[#This Row],[LOADS]]*24</f>
        <v>0</v>
      </c>
      <c r="N168" s="107">
        <f t="shared" ref="N168:N231" ca="1" si="15">IFERROR(M168/J168,0)</f>
        <v>0</v>
      </c>
      <c r="O168" s="108" t="str">
        <f t="shared" ca="1" si="13"/>
        <v/>
      </c>
      <c r="Q168" s="110"/>
    </row>
    <row r="169" spans="1:18" s="123" customFormat="1" ht="13.5" customHeight="1" thickBot="1" x14ac:dyDescent="0.35">
      <c r="A169" s="103"/>
      <c r="B169" s="12"/>
      <c r="C169" s="9" t="str" cm="1">
        <f t="array" ref="C169">IF(B169="","",_xlfn._xlws.FILTER('Source List'!I$2:I$268,'Source List'!G$2:G$268='Row Counts'!B169," "))</f>
        <v/>
      </c>
      <c r="D169" s="104" t="str" cm="1">
        <f t="array" ref="D169">IF(B169="","",_xlfn._xlws.FILTER('Source List'!J$2:J$268,'Source List'!G$2:G$268='Row Counts'!B169," "))</f>
        <v/>
      </c>
      <c r="E169" s="105" t="str">
        <f ca="1">IFERROR(Table1[[#This Row],[TOTAL VINES]]-Table1[[#This Row],[VINES LEFT]],"")</f>
        <v/>
      </c>
      <c r="F169" s="105">
        <f ca="1">Table1[[#This Row],[TOTAL VINES]]-Table1[[#This Row],[VINES PICKED]]</f>
        <v>0</v>
      </c>
      <c r="G169" s="106">
        <f t="shared" si="14"/>
        <v>0</v>
      </c>
      <c r="H169" s="106">
        <f t="shared" ca="1" si="12"/>
        <v>0</v>
      </c>
      <c r="I169" s="106">
        <f ca="1">Table1[[#This Row],[TOTAL ACRES]]-Table1[[#This Row],[ACRES PICKED]]</f>
        <v>0</v>
      </c>
      <c r="J169" s="106">
        <f ca="1">Table1[[#This Row],[ACRES PICKED]]</f>
        <v>0</v>
      </c>
      <c r="K169" s="106"/>
      <c r="L169" s="106"/>
      <c r="M169" s="118">
        <f>Table1[[#This Row],[LOADS]]*24</f>
        <v>0</v>
      </c>
      <c r="N169" s="107">
        <f t="shared" ca="1" si="15"/>
        <v>0</v>
      </c>
      <c r="O169" s="108" t="str">
        <f t="shared" ca="1" si="13"/>
        <v/>
      </c>
      <c r="P169" s="109"/>
      <c r="Q169" s="12"/>
      <c r="R169" s="12"/>
    </row>
    <row r="170" spans="1:18" s="121" customFormat="1" ht="13.5" customHeight="1" x14ac:dyDescent="0.3">
      <c r="A170" s="103"/>
      <c r="B170" s="12"/>
      <c r="C170" s="9" t="str" cm="1">
        <f t="array" ref="C170">IF(B170="","",_xlfn._xlws.FILTER('Source List'!I$2:I$268,'Source List'!G$2:G$268='Row Counts'!B170," "))</f>
        <v/>
      </c>
      <c r="D170" s="104" t="str" cm="1">
        <f t="array" ref="D170">IF(B170="","",_xlfn._xlws.FILTER('Source List'!J$2:J$268,'Source List'!G$2:G$268='Row Counts'!B170," "))</f>
        <v/>
      </c>
      <c r="E170" s="105" t="str">
        <f ca="1">IFERROR(Table1[[#This Row],[TOTAL VINES]]-Table1[[#This Row],[VINES LEFT]],"")</f>
        <v/>
      </c>
      <c r="F170" s="105">
        <f ca="1">Table1[[#This Row],[TOTAL VINES]]-Table1[[#This Row],[VINES PICKED]]</f>
        <v>0</v>
      </c>
      <c r="G170" s="106">
        <f t="shared" si="14"/>
        <v>0</v>
      </c>
      <c r="H170" s="106">
        <f t="shared" ca="1" si="12"/>
        <v>0</v>
      </c>
      <c r="I170" s="106">
        <f ca="1">Table1[[#This Row],[TOTAL ACRES]]-Table1[[#This Row],[ACRES PICKED]]</f>
        <v>0</v>
      </c>
      <c r="J170" s="106">
        <f ca="1">Table1[[#This Row],[ACRES PICKED]]</f>
        <v>0</v>
      </c>
      <c r="K170" s="106"/>
      <c r="L170" s="106"/>
      <c r="M170" s="118">
        <f>Table1[[#This Row],[LOADS]]*24</f>
        <v>0</v>
      </c>
      <c r="N170" s="107">
        <f t="shared" ca="1" si="15"/>
        <v>0</v>
      </c>
      <c r="O170" s="108" t="str">
        <f t="shared" ca="1" si="13"/>
        <v/>
      </c>
      <c r="P170" s="109"/>
      <c r="Q170" s="12"/>
      <c r="R170" s="12"/>
    </row>
    <row r="171" spans="1:18" ht="13.5" customHeight="1" x14ac:dyDescent="0.3">
      <c r="C171" s="9" t="str" cm="1">
        <f t="array" ref="C171">IF(B171="","",_xlfn._xlws.FILTER('Source List'!I$2:I$268,'Source List'!G$2:G$268='Row Counts'!B171," "))</f>
        <v/>
      </c>
      <c r="D171" s="104" t="str" cm="1">
        <f t="array" ref="D171">IF(B171="","",_xlfn._xlws.FILTER('Source List'!J$2:J$268,'Source List'!G$2:G$268='Row Counts'!B171," "))</f>
        <v/>
      </c>
      <c r="E171" s="105" t="str">
        <f ca="1">IFERROR(Table1[[#This Row],[TOTAL VINES]]-Table1[[#This Row],[VINES LEFT]],"")</f>
        <v/>
      </c>
      <c r="F171" s="105">
        <f ca="1">Table1[[#This Row],[TOTAL VINES]]-Table1[[#This Row],[VINES PICKED]]</f>
        <v>0</v>
      </c>
      <c r="G171" s="106">
        <f t="shared" si="14"/>
        <v>0</v>
      </c>
      <c r="H171" s="106">
        <f t="shared" ca="1" si="12"/>
        <v>0</v>
      </c>
      <c r="I171" s="106">
        <f ca="1">Table1[[#This Row],[TOTAL ACRES]]-Table1[[#This Row],[ACRES PICKED]]</f>
        <v>0</v>
      </c>
      <c r="J171" s="106">
        <f ca="1">Table1[[#This Row],[ACRES PICKED]]</f>
        <v>0</v>
      </c>
      <c r="M171" s="118">
        <f>Table1[[#This Row],[LOADS]]*24</f>
        <v>0</v>
      </c>
      <c r="N171" s="107">
        <f t="shared" ca="1" si="15"/>
        <v>0</v>
      </c>
      <c r="O171" s="108" t="str">
        <f t="shared" ca="1" si="13"/>
        <v/>
      </c>
    </row>
    <row r="172" spans="1:18" ht="13.5" customHeight="1" x14ac:dyDescent="0.3">
      <c r="C172" s="9" t="str" cm="1">
        <f t="array" ref="C172">IF(B172="","",_xlfn._xlws.FILTER('Source List'!I$2:I$268,'Source List'!G$2:G$268='Row Counts'!B172," "))</f>
        <v/>
      </c>
      <c r="D172" s="104" t="str" cm="1">
        <f t="array" ref="D172">IF(B172="","",_xlfn._xlws.FILTER('Source List'!J$2:J$268,'Source List'!G$2:G$268='Row Counts'!B172," "))</f>
        <v/>
      </c>
      <c r="E172" s="105" t="str">
        <f ca="1">IFERROR(Table1[[#This Row],[TOTAL VINES]]-Table1[[#This Row],[VINES LEFT]],"")</f>
        <v/>
      </c>
      <c r="F172" s="105">
        <f ca="1">Table1[[#This Row],[TOTAL VINES]]-Table1[[#This Row],[VINES PICKED]]</f>
        <v>0</v>
      </c>
      <c r="G172" s="106">
        <f t="shared" si="14"/>
        <v>0</v>
      </c>
      <c r="H172" s="106">
        <f t="shared" ca="1" si="12"/>
        <v>0</v>
      </c>
      <c r="I172" s="106">
        <f ca="1">Table1[[#This Row],[TOTAL ACRES]]-Table1[[#This Row],[ACRES PICKED]]</f>
        <v>0</v>
      </c>
      <c r="J172" s="106">
        <f ca="1">Table1[[#This Row],[ACRES PICKED]]</f>
        <v>0</v>
      </c>
      <c r="M172" s="118">
        <f>Table1[[#This Row],[LOADS]]*24</f>
        <v>0</v>
      </c>
      <c r="N172" s="107">
        <f t="shared" ca="1" si="15"/>
        <v>0</v>
      </c>
      <c r="O172" s="108" t="str">
        <f t="shared" ca="1" si="13"/>
        <v/>
      </c>
    </row>
    <row r="173" spans="1:18" ht="13.5" customHeight="1" x14ac:dyDescent="0.3">
      <c r="C173" s="9" t="str" cm="1">
        <f t="array" ref="C173">IF(B173="","",_xlfn._xlws.FILTER('Source List'!I$2:I$268,'Source List'!G$2:G$268='Row Counts'!B173," "))</f>
        <v/>
      </c>
      <c r="D173" s="104" t="str" cm="1">
        <f t="array" ref="D173">IF(B173="","",_xlfn._xlws.FILTER('Source List'!J$2:J$268,'Source List'!G$2:G$268='Row Counts'!B173," "))</f>
        <v/>
      </c>
      <c r="E173" s="105" t="str">
        <f ca="1">IFERROR(Table1[[#This Row],[TOTAL VINES]]-Table1[[#This Row],[VINES LEFT]],"")</f>
        <v/>
      </c>
      <c r="F173" s="105">
        <f ca="1">Table1[[#This Row],[TOTAL VINES]]-Table1[[#This Row],[VINES PICKED]]</f>
        <v>0</v>
      </c>
      <c r="G173" s="106">
        <f t="shared" si="14"/>
        <v>0</v>
      </c>
      <c r="H173" s="106">
        <f t="shared" ca="1" si="12"/>
        <v>0</v>
      </c>
      <c r="I173" s="106">
        <f ca="1">Table1[[#This Row],[TOTAL ACRES]]-Table1[[#This Row],[ACRES PICKED]]</f>
        <v>0</v>
      </c>
      <c r="J173" s="106">
        <f ca="1">Table1[[#This Row],[ACRES PICKED]]</f>
        <v>0</v>
      </c>
      <c r="M173" s="118">
        <f>Table1[[#This Row],[LOADS]]*24</f>
        <v>0</v>
      </c>
      <c r="N173" s="107">
        <f t="shared" ca="1" si="15"/>
        <v>0</v>
      </c>
      <c r="O173" s="108" t="str">
        <f t="shared" ca="1" si="13"/>
        <v/>
      </c>
    </row>
    <row r="174" spans="1:18" ht="13.5" customHeight="1" x14ac:dyDescent="0.3">
      <c r="C174" s="9" t="str" cm="1">
        <f t="array" ref="C174">IF(B174="","",_xlfn._xlws.FILTER('Source List'!I$2:I$268,'Source List'!G$2:G$268='Row Counts'!B174," "))</f>
        <v/>
      </c>
      <c r="D174" s="104" t="str" cm="1">
        <f t="array" ref="D174">IF(B174="","",_xlfn._xlws.FILTER('Source List'!J$2:J$268,'Source List'!G$2:G$268='Row Counts'!B174," "))</f>
        <v/>
      </c>
      <c r="E174" s="105" t="str">
        <f ca="1">IFERROR(Table1[[#This Row],[TOTAL VINES]]-Table1[[#This Row],[VINES LEFT]],"")</f>
        <v/>
      </c>
      <c r="F174" s="105">
        <f ca="1">Table1[[#This Row],[TOTAL VINES]]-Table1[[#This Row],[VINES PICKED]]</f>
        <v>0</v>
      </c>
      <c r="G174" s="106">
        <f t="shared" si="14"/>
        <v>0</v>
      </c>
      <c r="H174" s="106">
        <f t="shared" ca="1" si="12"/>
        <v>0</v>
      </c>
      <c r="I174" s="106">
        <f ca="1">Table1[[#This Row],[TOTAL ACRES]]-Table1[[#This Row],[ACRES PICKED]]</f>
        <v>0</v>
      </c>
      <c r="J174" s="106">
        <f ca="1">Table1[[#This Row],[ACRES PICKED]]</f>
        <v>0</v>
      </c>
      <c r="M174" s="118">
        <f>Table1[[#This Row],[LOADS]]*24</f>
        <v>0</v>
      </c>
      <c r="N174" s="107">
        <f t="shared" ca="1" si="15"/>
        <v>0</v>
      </c>
      <c r="O174" s="108" t="str">
        <f t="shared" ca="1" si="13"/>
        <v/>
      </c>
    </row>
    <row r="175" spans="1:18" ht="13.5" customHeight="1" x14ac:dyDescent="0.3">
      <c r="C175" s="9" t="str" cm="1">
        <f t="array" ref="C175">IF(B175="","",_xlfn._xlws.FILTER('Source List'!I$2:I$268,'Source List'!G$2:G$268='Row Counts'!B175," "))</f>
        <v/>
      </c>
      <c r="D175" s="104" t="str" cm="1">
        <f t="array" ref="D175">IF(B175="","",_xlfn._xlws.FILTER('Source List'!J$2:J$268,'Source List'!G$2:G$268='Row Counts'!B175," "))</f>
        <v/>
      </c>
      <c r="E175" s="105" t="str">
        <f ca="1">IFERROR(Table1[[#This Row],[TOTAL VINES]]-Table1[[#This Row],[VINES LEFT]],"")</f>
        <v/>
      </c>
      <c r="F175" s="105">
        <f ca="1">Table1[[#This Row],[TOTAL VINES]]-Table1[[#This Row],[VINES PICKED]]</f>
        <v>0</v>
      </c>
      <c r="G175" s="106">
        <f t="shared" si="14"/>
        <v>0</v>
      </c>
      <c r="H175" s="106">
        <f t="shared" ca="1" si="12"/>
        <v>0</v>
      </c>
      <c r="I175" s="106">
        <f ca="1">Table1[[#This Row],[TOTAL ACRES]]-Table1[[#This Row],[ACRES PICKED]]</f>
        <v>0</v>
      </c>
      <c r="J175" s="106">
        <f ca="1">Table1[[#This Row],[ACRES PICKED]]</f>
        <v>0</v>
      </c>
      <c r="M175" s="118">
        <f>Table1[[#This Row],[LOADS]]*24</f>
        <v>0</v>
      </c>
      <c r="N175" s="107">
        <f t="shared" ca="1" si="15"/>
        <v>0</v>
      </c>
      <c r="O175" s="108" t="str">
        <f t="shared" ca="1" si="13"/>
        <v/>
      </c>
    </row>
    <row r="176" spans="1:18" ht="13.5" customHeight="1" x14ac:dyDescent="0.3">
      <c r="C176" s="9" t="str" cm="1">
        <f t="array" ref="C176">IF(B176="","",_xlfn._xlws.FILTER('Source List'!I$2:I$268,'Source List'!G$2:G$268='Row Counts'!B176," "))</f>
        <v/>
      </c>
      <c r="D176" s="104" t="str" cm="1">
        <f t="array" ref="D176">IF(B176="","",_xlfn._xlws.FILTER('Source List'!J$2:J$268,'Source List'!G$2:G$268='Row Counts'!B176," "))</f>
        <v/>
      </c>
      <c r="E176" s="105" t="str">
        <f ca="1">IFERROR(Table1[[#This Row],[TOTAL VINES]]-Table1[[#This Row],[VINES LEFT]],"")</f>
        <v/>
      </c>
      <c r="F176" s="105">
        <f ca="1">Table1[[#This Row],[TOTAL VINES]]-Table1[[#This Row],[VINES PICKED]]</f>
        <v>0</v>
      </c>
      <c r="G176" s="106">
        <f t="shared" si="14"/>
        <v>0</v>
      </c>
      <c r="H176" s="106">
        <f t="shared" ca="1" si="12"/>
        <v>0</v>
      </c>
      <c r="I176" s="106">
        <f ca="1">Table1[[#This Row],[TOTAL ACRES]]-Table1[[#This Row],[ACRES PICKED]]</f>
        <v>0</v>
      </c>
      <c r="J176" s="106">
        <f ca="1">Table1[[#This Row],[ACRES PICKED]]</f>
        <v>0</v>
      </c>
      <c r="M176" s="118">
        <f>Table1[[#This Row],[LOADS]]*24</f>
        <v>0</v>
      </c>
      <c r="N176" s="107">
        <f t="shared" ca="1" si="15"/>
        <v>0</v>
      </c>
      <c r="O176" s="108" t="str">
        <f t="shared" ca="1" si="13"/>
        <v/>
      </c>
    </row>
    <row r="177" spans="1:18" ht="13.5" customHeight="1" x14ac:dyDescent="0.3">
      <c r="C177" s="9" t="str" cm="1">
        <f t="array" ref="C177">IF(B177="","",_xlfn._xlws.FILTER('Source List'!I$2:I$268,'Source List'!G$2:G$268='Row Counts'!B177," "))</f>
        <v/>
      </c>
      <c r="D177" s="104" t="str" cm="1">
        <f t="array" ref="D177">IF(B177="","",_xlfn._xlws.FILTER('Source List'!J$2:J$268,'Source List'!G$2:G$268='Row Counts'!B177," "))</f>
        <v/>
      </c>
      <c r="E177" s="105" t="str">
        <f ca="1">IFERROR(Table1[[#This Row],[TOTAL VINES]]-Table1[[#This Row],[VINES LEFT]],"")</f>
        <v/>
      </c>
      <c r="F177" s="105">
        <f ca="1">Table1[[#This Row],[TOTAL VINES]]-Table1[[#This Row],[VINES PICKED]]</f>
        <v>0</v>
      </c>
      <c r="G177" s="106">
        <f t="shared" si="14"/>
        <v>0</v>
      </c>
      <c r="H177" s="106">
        <f t="shared" ca="1" si="12"/>
        <v>0</v>
      </c>
      <c r="I177" s="106">
        <f ca="1">Table1[[#This Row],[TOTAL ACRES]]-Table1[[#This Row],[ACRES PICKED]]</f>
        <v>0</v>
      </c>
      <c r="J177" s="106">
        <f ca="1">Table1[[#This Row],[ACRES PICKED]]</f>
        <v>0</v>
      </c>
      <c r="M177" s="118">
        <f>Table1[[#This Row],[LOADS]]*24</f>
        <v>0</v>
      </c>
      <c r="N177" s="107">
        <f t="shared" ca="1" si="15"/>
        <v>0</v>
      </c>
      <c r="O177" s="108" t="str">
        <f t="shared" ca="1" si="13"/>
        <v/>
      </c>
    </row>
    <row r="178" spans="1:18" ht="13.5" customHeight="1" x14ac:dyDescent="0.3">
      <c r="C178" s="9" t="str" cm="1">
        <f t="array" ref="C178">IF(B178="","",_xlfn._xlws.FILTER('Source List'!I$2:I$268,'Source List'!G$2:G$268='Row Counts'!B178," "))</f>
        <v/>
      </c>
      <c r="D178" s="104" t="str" cm="1">
        <f t="array" ref="D178">IF(B178="","",_xlfn._xlws.FILTER('Source List'!J$2:J$268,'Source List'!G$2:G$268='Row Counts'!B178," "))</f>
        <v/>
      </c>
      <c r="E178" s="105" t="str">
        <f ca="1">IFERROR(Table1[[#This Row],[TOTAL VINES]]-Table1[[#This Row],[VINES LEFT]],"")</f>
        <v/>
      </c>
      <c r="F178" s="105">
        <f ca="1">Table1[[#This Row],[TOTAL VINES]]-Table1[[#This Row],[VINES PICKED]]</f>
        <v>0</v>
      </c>
      <c r="G178" s="106">
        <f t="shared" si="14"/>
        <v>0</v>
      </c>
      <c r="H178" s="106">
        <f t="shared" ca="1" si="12"/>
        <v>0</v>
      </c>
      <c r="I178" s="106">
        <f ca="1">Table1[[#This Row],[TOTAL ACRES]]-Table1[[#This Row],[ACRES PICKED]]</f>
        <v>0</v>
      </c>
      <c r="J178" s="106">
        <f ca="1">Table1[[#This Row],[ACRES PICKED]]</f>
        <v>0</v>
      </c>
      <c r="M178" s="118">
        <f>Table1[[#This Row],[LOADS]]*24</f>
        <v>0</v>
      </c>
      <c r="N178" s="107">
        <f t="shared" ca="1" si="15"/>
        <v>0</v>
      </c>
      <c r="O178" s="108" t="str">
        <f t="shared" ca="1" si="13"/>
        <v/>
      </c>
    </row>
    <row r="179" spans="1:18" ht="13.5" customHeight="1" x14ac:dyDescent="0.3">
      <c r="C179" s="9" t="str" cm="1">
        <f t="array" ref="C179">IF(B179="","",_xlfn._xlws.FILTER('Source List'!I$2:I$268,'Source List'!G$2:G$268='Row Counts'!B179," "))</f>
        <v/>
      </c>
      <c r="D179" s="104" t="str" cm="1">
        <f t="array" ref="D179">IF(B179="","",_xlfn._xlws.FILTER('Source List'!J$2:J$268,'Source List'!G$2:G$268='Row Counts'!B179," "))</f>
        <v/>
      </c>
      <c r="E179" s="105" t="str">
        <f ca="1">IFERROR(Table1[[#This Row],[TOTAL VINES]]-Table1[[#This Row],[VINES LEFT]],"")</f>
        <v/>
      </c>
      <c r="F179" s="105">
        <f ca="1">Table1[[#This Row],[TOTAL VINES]]-Table1[[#This Row],[VINES PICKED]]</f>
        <v>0</v>
      </c>
      <c r="G179" s="106">
        <f t="shared" si="14"/>
        <v>0</v>
      </c>
      <c r="H179" s="106">
        <f t="shared" ca="1" si="12"/>
        <v>0</v>
      </c>
      <c r="I179" s="106">
        <f ca="1">Table1[[#This Row],[TOTAL ACRES]]-Table1[[#This Row],[ACRES PICKED]]</f>
        <v>0</v>
      </c>
      <c r="J179" s="106">
        <f ca="1">Table1[[#This Row],[ACRES PICKED]]</f>
        <v>0</v>
      </c>
      <c r="M179" s="118">
        <f>Table1[[#This Row],[LOADS]]*24</f>
        <v>0</v>
      </c>
      <c r="N179" s="107">
        <f t="shared" ca="1" si="15"/>
        <v>0</v>
      </c>
      <c r="O179" s="108" t="str">
        <f t="shared" ca="1" si="13"/>
        <v/>
      </c>
    </row>
    <row r="180" spans="1:18" ht="13.5" customHeight="1" x14ac:dyDescent="0.3">
      <c r="C180" s="9" t="str" cm="1">
        <f t="array" ref="C180">IF(B180="","",_xlfn._xlws.FILTER('Source List'!I$2:I$268,'Source List'!G$2:G$268='Row Counts'!B180," "))</f>
        <v/>
      </c>
      <c r="D180" s="104" t="str" cm="1">
        <f t="array" ref="D180">IF(B180="","",_xlfn._xlws.FILTER('Source List'!J$2:J$268,'Source List'!G$2:G$268='Row Counts'!B180," "))</f>
        <v/>
      </c>
      <c r="E180" s="105" t="str">
        <f ca="1">IFERROR(Table1[[#This Row],[TOTAL VINES]]-Table1[[#This Row],[VINES LEFT]],"")</f>
        <v/>
      </c>
      <c r="F180" s="105">
        <f ca="1">Table1[[#This Row],[TOTAL VINES]]-Table1[[#This Row],[VINES PICKED]]</f>
        <v>0</v>
      </c>
      <c r="G180" s="106">
        <f t="shared" si="14"/>
        <v>0</v>
      </c>
      <c r="H180" s="106">
        <f t="shared" ca="1" si="12"/>
        <v>0</v>
      </c>
      <c r="I180" s="106">
        <f ca="1">Table1[[#This Row],[TOTAL ACRES]]-Table1[[#This Row],[ACRES PICKED]]</f>
        <v>0</v>
      </c>
      <c r="J180" s="106">
        <f ca="1">Table1[[#This Row],[ACRES PICKED]]</f>
        <v>0</v>
      </c>
      <c r="M180" s="118">
        <f>Table1[[#This Row],[LOADS]]*24</f>
        <v>0</v>
      </c>
      <c r="N180" s="107">
        <f t="shared" ca="1" si="15"/>
        <v>0</v>
      </c>
      <c r="O180" s="108" t="str">
        <f t="shared" ca="1" si="13"/>
        <v/>
      </c>
    </row>
    <row r="181" spans="1:18" ht="13.5" customHeight="1" x14ac:dyDescent="0.3">
      <c r="C181" s="9" t="str" cm="1">
        <f t="array" ref="C181">IF(B181="","",_xlfn._xlws.FILTER('Source List'!I$2:I$268,'Source List'!G$2:G$268='Row Counts'!B181," "))</f>
        <v/>
      </c>
      <c r="D181" s="104" t="str" cm="1">
        <f t="array" ref="D181">IF(B181="","",_xlfn._xlws.FILTER('Source List'!J$2:J$268,'Source List'!G$2:G$268='Row Counts'!B181," "))</f>
        <v/>
      </c>
      <c r="E181" s="105" t="str">
        <f ca="1">IFERROR(Table1[[#This Row],[TOTAL VINES]]-Table1[[#This Row],[VINES LEFT]],"")</f>
        <v/>
      </c>
      <c r="F181" s="105">
        <f ca="1">Table1[[#This Row],[TOTAL VINES]]-Table1[[#This Row],[VINES PICKED]]</f>
        <v>0</v>
      </c>
      <c r="G181" s="106">
        <f t="shared" si="14"/>
        <v>0</v>
      </c>
      <c r="H181" s="106">
        <f t="shared" ca="1" si="12"/>
        <v>0</v>
      </c>
      <c r="I181" s="106">
        <f ca="1">Table1[[#This Row],[TOTAL ACRES]]-Table1[[#This Row],[ACRES PICKED]]</f>
        <v>0</v>
      </c>
      <c r="J181" s="106">
        <f ca="1">Table1[[#This Row],[ACRES PICKED]]</f>
        <v>0</v>
      </c>
      <c r="M181" s="118">
        <f>Table1[[#This Row],[LOADS]]*24</f>
        <v>0</v>
      </c>
      <c r="N181" s="107">
        <f t="shared" ca="1" si="15"/>
        <v>0</v>
      </c>
      <c r="O181" s="108" t="str">
        <f t="shared" ca="1" si="13"/>
        <v/>
      </c>
    </row>
    <row r="182" spans="1:18" ht="13.5" customHeight="1" x14ac:dyDescent="0.3">
      <c r="C182" s="9" t="str" cm="1">
        <f t="array" ref="C182">IF(B182="","",_xlfn._xlws.FILTER('Source List'!I$2:I$268,'Source List'!G$2:G$268='Row Counts'!B182," "))</f>
        <v/>
      </c>
      <c r="D182" s="104" t="str" cm="1">
        <f t="array" ref="D182">IF(B182="","",_xlfn._xlws.FILTER('Source List'!J$2:J$268,'Source List'!G$2:G$268='Row Counts'!B182," "))</f>
        <v/>
      </c>
      <c r="E182" s="105" t="str">
        <f ca="1">IFERROR(Table1[[#This Row],[TOTAL VINES]]-Table1[[#This Row],[VINES LEFT]],"")</f>
        <v/>
      </c>
      <c r="F182" s="105">
        <f ca="1">Table1[[#This Row],[TOTAL VINES]]-Table1[[#This Row],[VINES PICKED]]</f>
        <v>0</v>
      </c>
      <c r="G182" s="106">
        <f t="shared" si="14"/>
        <v>0</v>
      </c>
      <c r="H182" s="106">
        <f t="shared" ca="1" si="12"/>
        <v>0</v>
      </c>
      <c r="I182" s="106">
        <f ca="1">Table1[[#This Row],[TOTAL ACRES]]-Table1[[#This Row],[ACRES PICKED]]</f>
        <v>0</v>
      </c>
      <c r="J182" s="106">
        <f ca="1">Table1[[#This Row],[ACRES PICKED]]</f>
        <v>0</v>
      </c>
      <c r="M182" s="118">
        <f>Table1[[#This Row],[LOADS]]*24</f>
        <v>0</v>
      </c>
      <c r="N182" s="107">
        <f t="shared" ca="1" si="15"/>
        <v>0</v>
      </c>
      <c r="O182" s="108" t="str">
        <f t="shared" ca="1" si="13"/>
        <v/>
      </c>
    </row>
    <row r="183" spans="1:18" ht="13.5" customHeight="1" x14ac:dyDescent="0.3">
      <c r="C183" s="9" t="str" cm="1">
        <f t="array" ref="C183">IF(B183="","",_xlfn._xlws.FILTER('Source List'!I$2:I$268,'Source List'!G$2:G$268='Row Counts'!B183," "))</f>
        <v/>
      </c>
      <c r="D183" s="104" t="str" cm="1">
        <f t="array" ref="D183">IF(B183="","",_xlfn._xlws.FILTER('Source List'!J$2:J$268,'Source List'!G$2:G$268='Row Counts'!B183," "))</f>
        <v/>
      </c>
      <c r="E183" s="105" t="str">
        <f ca="1">IFERROR(Table1[[#This Row],[TOTAL VINES]]-Table1[[#This Row],[VINES LEFT]],"")</f>
        <v/>
      </c>
      <c r="F183" s="105">
        <f ca="1">Table1[[#This Row],[TOTAL VINES]]-Table1[[#This Row],[VINES PICKED]]</f>
        <v>0</v>
      </c>
      <c r="G183" s="106">
        <f t="shared" si="14"/>
        <v>0</v>
      </c>
      <c r="H183" s="106">
        <f t="shared" ca="1" si="12"/>
        <v>0</v>
      </c>
      <c r="I183" s="106">
        <f ca="1">Table1[[#This Row],[TOTAL ACRES]]-Table1[[#This Row],[ACRES PICKED]]</f>
        <v>0</v>
      </c>
      <c r="J183" s="106">
        <f ca="1">Table1[[#This Row],[ACRES PICKED]]</f>
        <v>0</v>
      </c>
      <c r="M183" s="118">
        <f>Table1[[#This Row],[LOADS]]*24</f>
        <v>0</v>
      </c>
      <c r="N183" s="107">
        <f t="shared" ca="1" si="15"/>
        <v>0</v>
      </c>
      <c r="O183" s="108" t="str">
        <f t="shared" ca="1" si="13"/>
        <v/>
      </c>
    </row>
    <row r="184" spans="1:18" ht="13.5" customHeight="1" x14ac:dyDescent="0.3">
      <c r="C184" s="9" t="str" cm="1">
        <f t="array" ref="C184">IF(B184="","",_xlfn._xlws.FILTER('Source List'!I$2:I$268,'Source List'!G$2:G$268='Row Counts'!B184," "))</f>
        <v/>
      </c>
      <c r="D184" s="104" t="str" cm="1">
        <f t="array" ref="D184">IF(B184="","",_xlfn._xlws.FILTER('Source List'!J$2:J$268,'Source List'!G$2:G$268='Row Counts'!B184," "))</f>
        <v/>
      </c>
      <c r="E184" s="105" t="str">
        <f ca="1">IFERROR(Table1[[#This Row],[TOTAL VINES]]-Table1[[#This Row],[VINES LEFT]],"")</f>
        <v/>
      </c>
      <c r="F184" s="105">
        <f ca="1">Table1[[#This Row],[TOTAL VINES]]-Table1[[#This Row],[VINES PICKED]]</f>
        <v>0</v>
      </c>
      <c r="G184" s="106">
        <f t="shared" si="14"/>
        <v>0</v>
      </c>
      <c r="H184" s="106">
        <f t="shared" ca="1" si="12"/>
        <v>0</v>
      </c>
      <c r="I184" s="106">
        <f ca="1">Table1[[#This Row],[TOTAL ACRES]]-Table1[[#This Row],[ACRES PICKED]]</f>
        <v>0</v>
      </c>
      <c r="J184" s="106">
        <f ca="1">Table1[[#This Row],[ACRES PICKED]]</f>
        <v>0</v>
      </c>
      <c r="M184" s="118">
        <f>Table1[[#This Row],[LOADS]]*24</f>
        <v>0</v>
      </c>
      <c r="N184" s="107">
        <f t="shared" ca="1" si="15"/>
        <v>0</v>
      </c>
      <c r="O184" s="108" t="str">
        <f t="shared" ca="1" si="13"/>
        <v/>
      </c>
    </row>
    <row r="185" spans="1:18" s="123" customFormat="1" ht="13.5" customHeight="1" thickBot="1" x14ac:dyDescent="0.35">
      <c r="A185" s="103"/>
      <c r="B185" s="12"/>
      <c r="C185" s="9" t="str" cm="1">
        <f t="array" ref="C185">IF(B185="","",_xlfn._xlws.FILTER('Source List'!I$2:I$268,'Source List'!G$2:G$268='Row Counts'!B185," "))</f>
        <v/>
      </c>
      <c r="D185" s="104" t="str" cm="1">
        <f t="array" ref="D185">IF(B185="","",_xlfn._xlws.FILTER('Source List'!J$2:J$268,'Source List'!G$2:G$268='Row Counts'!B185," "))</f>
        <v/>
      </c>
      <c r="E185" s="105" t="str">
        <f ca="1">IFERROR(Table1[[#This Row],[TOTAL VINES]]-Table1[[#This Row],[VINES LEFT]],"")</f>
        <v/>
      </c>
      <c r="F185" s="105">
        <f ca="1">Table1[[#This Row],[TOTAL VINES]]-Table1[[#This Row],[VINES PICKED]]</f>
        <v>0</v>
      </c>
      <c r="G185" s="106">
        <f t="shared" si="14"/>
        <v>0</v>
      </c>
      <c r="H185" s="106">
        <f t="shared" ca="1" si="12"/>
        <v>0</v>
      </c>
      <c r="I185" s="106">
        <f ca="1">Table1[[#This Row],[TOTAL ACRES]]-Table1[[#This Row],[ACRES PICKED]]</f>
        <v>0</v>
      </c>
      <c r="J185" s="106">
        <f ca="1">Table1[[#This Row],[ACRES PICKED]]</f>
        <v>0</v>
      </c>
      <c r="K185" s="106"/>
      <c r="L185" s="106"/>
      <c r="M185" s="118">
        <f>Table1[[#This Row],[LOADS]]*24</f>
        <v>0</v>
      </c>
      <c r="N185" s="107">
        <f t="shared" ca="1" si="15"/>
        <v>0</v>
      </c>
      <c r="O185" s="108" t="str">
        <f t="shared" ca="1" si="13"/>
        <v/>
      </c>
      <c r="P185" s="109"/>
      <c r="Q185" s="12"/>
      <c r="R185" s="12"/>
    </row>
    <row r="186" spans="1:18" s="121" customFormat="1" ht="13.5" customHeight="1" x14ac:dyDescent="0.3">
      <c r="A186" s="103"/>
      <c r="B186" s="12"/>
      <c r="C186" s="9" t="str" cm="1">
        <f t="array" ref="C186">IF(B186="","",_xlfn._xlws.FILTER('Source List'!I$2:I$268,'Source List'!G$2:G$268='Row Counts'!B186," "))</f>
        <v/>
      </c>
      <c r="D186" s="104" t="str" cm="1">
        <f t="array" ref="D186">IF(B186="","",_xlfn._xlws.FILTER('Source List'!J$2:J$268,'Source List'!G$2:G$268='Row Counts'!B186," "))</f>
        <v/>
      </c>
      <c r="E186" s="105" t="str">
        <f ca="1">IFERROR(Table1[[#This Row],[TOTAL VINES]]-Table1[[#This Row],[VINES LEFT]],"")</f>
        <v/>
      </c>
      <c r="F186" s="105">
        <f ca="1">Table1[[#This Row],[TOTAL VINES]]-Table1[[#This Row],[VINES PICKED]]</f>
        <v>0</v>
      </c>
      <c r="G186" s="106">
        <f t="shared" si="14"/>
        <v>0</v>
      </c>
      <c r="H186" s="106">
        <f t="shared" ca="1" si="12"/>
        <v>0</v>
      </c>
      <c r="I186" s="106">
        <f ca="1">Table1[[#This Row],[TOTAL ACRES]]-Table1[[#This Row],[ACRES PICKED]]</f>
        <v>0</v>
      </c>
      <c r="J186" s="106">
        <f ca="1">Table1[[#This Row],[ACRES PICKED]]</f>
        <v>0</v>
      </c>
      <c r="K186" s="106"/>
      <c r="L186" s="106"/>
      <c r="M186" s="118">
        <f>Table1[[#This Row],[LOADS]]*24</f>
        <v>0</v>
      </c>
      <c r="N186" s="107">
        <f t="shared" ca="1" si="15"/>
        <v>0</v>
      </c>
      <c r="O186" s="108" t="str">
        <f t="shared" ca="1" si="13"/>
        <v/>
      </c>
      <c r="P186" s="109"/>
      <c r="Q186" s="12"/>
      <c r="R186" s="12"/>
    </row>
    <row r="187" spans="1:18" ht="13.5" customHeight="1" x14ac:dyDescent="0.3">
      <c r="C187" s="9" t="str" cm="1">
        <f t="array" ref="C187">IF(B187="","",_xlfn._xlws.FILTER('Source List'!I$2:I$268,'Source List'!G$2:G$268='Row Counts'!B187," "))</f>
        <v/>
      </c>
      <c r="D187" s="104" t="str" cm="1">
        <f t="array" ref="D187">IF(B187="","",_xlfn._xlws.FILTER('Source List'!J$2:J$268,'Source List'!G$2:G$268='Row Counts'!B187," "))</f>
        <v/>
      </c>
      <c r="E187" s="105" t="str">
        <f ca="1">IFERROR(Table1[[#This Row],[TOTAL VINES]]-Table1[[#This Row],[VINES LEFT]],"")</f>
        <v/>
      </c>
      <c r="F187" s="105">
        <f ca="1">Table1[[#This Row],[TOTAL VINES]]-Table1[[#This Row],[VINES PICKED]]</f>
        <v>0</v>
      </c>
      <c r="G187" s="106">
        <f t="shared" si="14"/>
        <v>0</v>
      </c>
      <c r="H187" s="106">
        <f t="shared" ca="1" si="12"/>
        <v>0</v>
      </c>
      <c r="I187" s="106">
        <f ca="1">Table1[[#This Row],[TOTAL ACRES]]-Table1[[#This Row],[ACRES PICKED]]</f>
        <v>0</v>
      </c>
      <c r="J187" s="106">
        <f ca="1">Table1[[#This Row],[ACRES PICKED]]</f>
        <v>0</v>
      </c>
      <c r="M187" s="118">
        <f>Table1[[#This Row],[LOADS]]*24</f>
        <v>0</v>
      </c>
      <c r="N187" s="107">
        <f t="shared" ca="1" si="15"/>
        <v>0</v>
      </c>
      <c r="O187" s="108" t="str">
        <f t="shared" ca="1" si="13"/>
        <v/>
      </c>
    </row>
    <row r="188" spans="1:18" ht="13.5" customHeight="1" x14ac:dyDescent="0.3">
      <c r="C188" s="9" t="str" cm="1">
        <f t="array" ref="C188">IF(B188="","",_xlfn._xlws.FILTER('Source List'!I$2:I$268,'Source List'!G$2:G$268='Row Counts'!B188," "))</f>
        <v/>
      </c>
      <c r="D188" s="104" t="str" cm="1">
        <f t="array" ref="D188">IF(B188="","",_xlfn._xlws.FILTER('Source List'!J$2:J$268,'Source List'!G$2:G$268='Row Counts'!B188," "))</f>
        <v/>
      </c>
      <c r="E188" s="105" t="str">
        <f ca="1">IFERROR(Table1[[#This Row],[TOTAL VINES]]-Table1[[#This Row],[VINES LEFT]],"")</f>
        <v/>
      </c>
      <c r="F188" s="105">
        <f ca="1">Table1[[#This Row],[TOTAL VINES]]-Table1[[#This Row],[VINES PICKED]]</f>
        <v>0</v>
      </c>
      <c r="G188" s="106">
        <f t="shared" si="14"/>
        <v>0</v>
      </c>
      <c r="H188" s="106">
        <f t="shared" ca="1" si="12"/>
        <v>0</v>
      </c>
      <c r="I188" s="106">
        <f ca="1">Table1[[#This Row],[TOTAL ACRES]]-Table1[[#This Row],[ACRES PICKED]]</f>
        <v>0</v>
      </c>
      <c r="J188" s="106">
        <f ca="1">Table1[[#This Row],[ACRES PICKED]]</f>
        <v>0</v>
      </c>
      <c r="M188" s="118">
        <f>Table1[[#This Row],[LOADS]]*24</f>
        <v>0</v>
      </c>
      <c r="N188" s="107">
        <f t="shared" ca="1" si="15"/>
        <v>0</v>
      </c>
      <c r="O188" s="108" t="str">
        <f t="shared" ca="1" si="13"/>
        <v/>
      </c>
      <c r="Q188" s="26"/>
    </row>
    <row r="189" spans="1:18" ht="13.5" customHeight="1" x14ac:dyDescent="0.3">
      <c r="C189" s="9" t="str" cm="1">
        <f t="array" ref="C189">IF(B189="","",_xlfn._xlws.FILTER('Source List'!I$2:I$268,'Source List'!G$2:G$268='Row Counts'!B189," "))</f>
        <v/>
      </c>
      <c r="D189" s="104" t="str" cm="1">
        <f t="array" ref="D189">IF(B189="","",_xlfn._xlws.FILTER('Source List'!J$2:J$268,'Source List'!G$2:G$268='Row Counts'!B189," "))</f>
        <v/>
      </c>
      <c r="E189" s="105" t="str">
        <f ca="1">IFERROR(Table1[[#This Row],[TOTAL VINES]]-Table1[[#This Row],[VINES LEFT]],"")</f>
        <v/>
      </c>
      <c r="F189" s="105">
        <f ca="1">Table1[[#This Row],[TOTAL VINES]]-Table1[[#This Row],[VINES PICKED]]</f>
        <v>0</v>
      </c>
      <c r="G189" s="106">
        <f t="shared" si="14"/>
        <v>0</v>
      </c>
      <c r="H189" s="106">
        <f t="shared" ca="1" si="12"/>
        <v>0</v>
      </c>
      <c r="I189" s="106">
        <f ca="1">Table1[[#This Row],[TOTAL ACRES]]-Table1[[#This Row],[ACRES PICKED]]</f>
        <v>0</v>
      </c>
      <c r="J189" s="106">
        <f ca="1">Table1[[#This Row],[ACRES PICKED]]</f>
        <v>0</v>
      </c>
      <c r="M189" s="118">
        <f>Table1[[#This Row],[LOADS]]*24</f>
        <v>0</v>
      </c>
      <c r="N189" s="107">
        <f t="shared" ca="1" si="15"/>
        <v>0</v>
      </c>
      <c r="O189" s="108" t="str">
        <f t="shared" ca="1" si="13"/>
        <v/>
      </c>
    </row>
    <row r="190" spans="1:18" ht="13.5" customHeight="1" x14ac:dyDescent="0.3">
      <c r="C190" s="9" t="str" cm="1">
        <f t="array" ref="C190">IF(B190="","",_xlfn._xlws.FILTER('Source List'!I$2:I$268,'Source List'!G$2:G$268='Row Counts'!B190," "))</f>
        <v/>
      </c>
      <c r="D190" s="104" t="str" cm="1">
        <f t="array" ref="D190">IF(B190="","",_xlfn._xlws.FILTER('Source List'!J$2:J$268,'Source List'!G$2:G$268='Row Counts'!B190," "))</f>
        <v/>
      </c>
      <c r="E190" s="105" t="str">
        <f ca="1">IFERROR(Table1[[#This Row],[TOTAL VINES]]-Table1[[#This Row],[VINES LEFT]],"")</f>
        <v/>
      </c>
      <c r="F190" s="105">
        <f ca="1">Table1[[#This Row],[TOTAL VINES]]-Table1[[#This Row],[VINES PICKED]]</f>
        <v>0</v>
      </c>
      <c r="G190" s="106">
        <f t="shared" si="14"/>
        <v>0</v>
      </c>
      <c r="H190" s="106">
        <f t="shared" ca="1" si="12"/>
        <v>0</v>
      </c>
      <c r="I190" s="106">
        <f ca="1">Table1[[#This Row],[TOTAL ACRES]]-Table1[[#This Row],[ACRES PICKED]]</f>
        <v>0</v>
      </c>
      <c r="J190" s="106">
        <f ca="1">Table1[[#This Row],[ACRES PICKED]]</f>
        <v>0</v>
      </c>
      <c r="M190" s="118">
        <f>Table1[[#This Row],[LOADS]]*24</f>
        <v>0</v>
      </c>
      <c r="N190" s="107">
        <f t="shared" ca="1" si="15"/>
        <v>0</v>
      </c>
      <c r="O190" s="108" t="str">
        <f t="shared" ca="1" si="13"/>
        <v/>
      </c>
    </row>
    <row r="191" spans="1:18" ht="13.5" customHeight="1" x14ac:dyDescent="0.3">
      <c r="C191" s="9" t="str" cm="1">
        <f t="array" ref="C191">IF(B191="","",_xlfn._xlws.FILTER('Source List'!I$2:I$268,'Source List'!G$2:G$268='Row Counts'!B191," "))</f>
        <v/>
      </c>
      <c r="D191" s="104" t="str" cm="1">
        <f t="array" ref="D191">IF(B191="","",_xlfn._xlws.FILTER('Source List'!J$2:J$268,'Source List'!G$2:G$268='Row Counts'!B191," "))</f>
        <v/>
      </c>
      <c r="E191" s="105" t="str">
        <f ca="1">IFERROR(Table1[[#This Row],[TOTAL VINES]]-Table1[[#This Row],[VINES LEFT]],"")</f>
        <v/>
      </c>
      <c r="F191" s="105">
        <f ca="1">Table1[[#This Row],[TOTAL VINES]]-Table1[[#This Row],[VINES PICKED]]</f>
        <v>0</v>
      </c>
      <c r="G191" s="106">
        <f t="shared" si="14"/>
        <v>0</v>
      </c>
      <c r="H191" s="106">
        <f t="shared" ref="H191:H254" ca="1" si="16">IFERROR(E191/C191,0)</f>
        <v>0</v>
      </c>
      <c r="I191" s="106">
        <f ca="1">Table1[[#This Row],[TOTAL ACRES]]-Table1[[#This Row],[ACRES PICKED]]</f>
        <v>0</v>
      </c>
      <c r="J191" s="106">
        <f ca="1">Table1[[#This Row],[ACRES PICKED]]</f>
        <v>0</v>
      </c>
      <c r="M191" s="118">
        <f>Table1[[#This Row],[LOADS]]*24</f>
        <v>0</v>
      </c>
      <c r="N191" s="107">
        <f t="shared" ca="1" si="15"/>
        <v>0</v>
      </c>
      <c r="O191" s="108" t="str">
        <f t="shared" ca="1" si="13"/>
        <v/>
      </c>
      <c r="R191" s="25"/>
    </row>
    <row r="192" spans="1:18" ht="13.5" customHeight="1" x14ac:dyDescent="0.3">
      <c r="C192" s="9" t="str" cm="1">
        <f t="array" ref="C192">IF(B192="","",_xlfn._xlws.FILTER('Source List'!I$2:I$268,'Source List'!G$2:G$268='Row Counts'!B192," "))</f>
        <v/>
      </c>
      <c r="D192" s="104" t="str" cm="1">
        <f t="array" ref="D192">IF(B192="","",_xlfn._xlws.FILTER('Source List'!J$2:J$268,'Source List'!G$2:G$268='Row Counts'!B192," "))</f>
        <v/>
      </c>
      <c r="E192" s="105" t="str">
        <f ca="1">IFERROR(Table1[[#This Row],[TOTAL VINES]]-Table1[[#This Row],[VINES LEFT]],"")</f>
        <v/>
      </c>
      <c r="F192" s="105">
        <f ca="1">Table1[[#This Row],[TOTAL VINES]]-Table1[[#This Row],[VINES PICKED]]</f>
        <v>0</v>
      </c>
      <c r="G192" s="106">
        <f t="shared" si="14"/>
        <v>0</v>
      </c>
      <c r="H192" s="106">
        <f t="shared" ca="1" si="16"/>
        <v>0</v>
      </c>
      <c r="I192" s="106">
        <f ca="1">Table1[[#This Row],[TOTAL ACRES]]-Table1[[#This Row],[ACRES PICKED]]</f>
        <v>0</v>
      </c>
      <c r="J192" s="106">
        <f ca="1">Table1[[#This Row],[ACRES PICKED]]</f>
        <v>0</v>
      </c>
      <c r="M192" s="118">
        <f>Table1[[#This Row],[LOADS]]*24</f>
        <v>0</v>
      </c>
      <c r="N192" s="107">
        <f t="shared" ca="1" si="15"/>
        <v>0</v>
      </c>
      <c r="O192" s="108" t="str">
        <f t="shared" ca="1" si="13"/>
        <v/>
      </c>
    </row>
    <row r="193" spans="1:18" ht="13.5" customHeight="1" x14ac:dyDescent="0.3">
      <c r="C193" s="9" t="str" cm="1">
        <f t="array" ref="C193">IF(B193="","",_xlfn._xlws.FILTER('Source List'!I$2:I$268,'Source List'!G$2:G$268='Row Counts'!B193," "))</f>
        <v/>
      </c>
      <c r="D193" s="104" t="str" cm="1">
        <f t="array" ref="D193">IF(B193="","",_xlfn._xlws.FILTER('Source List'!J$2:J$268,'Source List'!G$2:G$268='Row Counts'!B193," "))</f>
        <v/>
      </c>
      <c r="E193" s="105" t="str">
        <f ca="1">IFERROR(Table1[[#This Row],[TOTAL VINES]]-Table1[[#This Row],[VINES LEFT]],"")</f>
        <v/>
      </c>
      <c r="F193" s="105">
        <f ca="1">Table1[[#This Row],[TOTAL VINES]]-Table1[[#This Row],[VINES PICKED]]</f>
        <v>0</v>
      </c>
      <c r="G193" s="106">
        <f t="shared" si="14"/>
        <v>0</v>
      </c>
      <c r="H193" s="106">
        <f t="shared" ca="1" si="16"/>
        <v>0</v>
      </c>
      <c r="I193" s="106">
        <f ca="1">Table1[[#This Row],[TOTAL ACRES]]-Table1[[#This Row],[ACRES PICKED]]</f>
        <v>0</v>
      </c>
      <c r="J193" s="106">
        <f ca="1">Table1[[#This Row],[ACRES PICKED]]</f>
        <v>0</v>
      </c>
      <c r="M193" s="118">
        <f>Table1[[#This Row],[LOADS]]*24</f>
        <v>0</v>
      </c>
      <c r="N193" s="107">
        <f t="shared" ca="1" si="15"/>
        <v>0</v>
      </c>
      <c r="O193" s="108" t="str">
        <f t="shared" ca="1" si="13"/>
        <v/>
      </c>
    </row>
    <row r="194" spans="1:18" ht="13.5" customHeight="1" x14ac:dyDescent="0.3">
      <c r="C194" s="9" t="str" cm="1">
        <f t="array" ref="C194">IF(B194="","",_xlfn._xlws.FILTER('Source List'!I$2:I$268,'Source List'!G$2:G$268='Row Counts'!B194," "))</f>
        <v/>
      </c>
      <c r="D194" s="104" t="str" cm="1">
        <f t="array" ref="D194">IF(B194="","",_xlfn._xlws.FILTER('Source List'!J$2:J$268,'Source List'!G$2:G$268='Row Counts'!B194," "))</f>
        <v/>
      </c>
      <c r="E194" s="105" t="str">
        <f ca="1">IFERROR(Table1[[#This Row],[TOTAL VINES]]-Table1[[#This Row],[VINES LEFT]],"")</f>
        <v/>
      </c>
      <c r="F194" s="105">
        <f ca="1">Table1[[#This Row],[TOTAL VINES]]-Table1[[#This Row],[VINES PICKED]]</f>
        <v>0</v>
      </c>
      <c r="G194" s="106">
        <f t="shared" si="14"/>
        <v>0</v>
      </c>
      <c r="H194" s="106">
        <f t="shared" ca="1" si="16"/>
        <v>0</v>
      </c>
      <c r="I194" s="106">
        <f ca="1">Table1[[#This Row],[TOTAL ACRES]]-Table1[[#This Row],[ACRES PICKED]]</f>
        <v>0</v>
      </c>
      <c r="J194" s="106">
        <f ca="1">Table1[[#This Row],[ACRES PICKED]]</f>
        <v>0</v>
      </c>
      <c r="M194" s="118">
        <f>Table1[[#This Row],[LOADS]]*24</f>
        <v>0</v>
      </c>
      <c r="N194" s="107">
        <f t="shared" ca="1" si="15"/>
        <v>0</v>
      </c>
      <c r="O194" s="108" t="str">
        <f t="shared" ca="1" si="13"/>
        <v/>
      </c>
    </row>
    <row r="195" spans="1:18" ht="13.5" customHeight="1" x14ac:dyDescent="0.3">
      <c r="C195" s="9" t="str" cm="1">
        <f t="array" ref="C195">IF(B195="","",_xlfn._xlws.FILTER('Source List'!I$2:I$268,'Source List'!G$2:G$268='Row Counts'!B195," "))</f>
        <v/>
      </c>
      <c r="D195" s="104" t="str" cm="1">
        <f t="array" ref="D195">IF(B195="","",_xlfn._xlws.FILTER('Source List'!J$2:J$268,'Source List'!G$2:G$268='Row Counts'!B195," "))</f>
        <v/>
      </c>
      <c r="E195" s="105" t="str">
        <f ca="1">IFERROR(Table1[[#This Row],[TOTAL VINES]]-Table1[[#This Row],[VINES LEFT]],"")</f>
        <v/>
      </c>
      <c r="F195" s="105">
        <f ca="1">Table1[[#This Row],[TOTAL VINES]]-Table1[[#This Row],[VINES PICKED]]</f>
        <v>0</v>
      </c>
      <c r="G195" s="106">
        <f t="shared" si="14"/>
        <v>0</v>
      </c>
      <c r="H195" s="106">
        <f t="shared" ca="1" si="16"/>
        <v>0</v>
      </c>
      <c r="I195" s="106">
        <f ca="1">Table1[[#This Row],[TOTAL ACRES]]-Table1[[#This Row],[ACRES PICKED]]</f>
        <v>0</v>
      </c>
      <c r="J195" s="106">
        <f ca="1">Table1[[#This Row],[ACRES PICKED]]</f>
        <v>0</v>
      </c>
      <c r="M195" s="118">
        <f>Table1[[#This Row],[LOADS]]*24</f>
        <v>0</v>
      </c>
      <c r="N195" s="107">
        <f t="shared" ca="1" si="15"/>
        <v>0</v>
      </c>
      <c r="O195" s="108" t="str">
        <f t="shared" ca="1" si="13"/>
        <v/>
      </c>
    </row>
    <row r="196" spans="1:18" s="124" customFormat="1" ht="13.5" customHeight="1" x14ac:dyDescent="0.3">
      <c r="A196" s="103"/>
      <c r="B196" s="12"/>
      <c r="C196" s="9" t="str" cm="1">
        <f t="array" ref="C196">IF(B196="","",_xlfn._xlws.FILTER('Source List'!I$2:I$268,'Source List'!G$2:G$268='Row Counts'!B196," "))</f>
        <v/>
      </c>
      <c r="D196" s="104" t="str" cm="1">
        <f t="array" ref="D196">IF(B196="","",_xlfn._xlws.FILTER('Source List'!J$2:J$268,'Source List'!G$2:G$268='Row Counts'!B196," "))</f>
        <v/>
      </c>
      <c r="E196" s="105" t="str">
        <f ca="1">IFERROR(Table1[[#This Row],[TOTAL VINES]]-Table1[[#This Row],[VINES LEFT]],"")</f>
        <v/>
      </c>
      <c r="F196" s="105">
        <f ca="1">Table1[[#This Row],[TOTAL VINES]]-Table1[[#This Row],[VINES PICKED]]</f>
        <v>0</v>
      </c>
      <c r="G196" s="106">
        <f t="shared" si="14"/>
        <v>0</v>
      </c>
      <c r="H196" s="106">
        <f t="shared" ca="1" si="16"/>
        <v>0</v>
      </c>
      <c r="I196" s="106">
        <f ca="1">Table1[[#This Row],[TOTAL ACRES]]-Table1[[#This Row],[ACRES PICKED]]</f>
        <v>0</v>
      </c>
      <c r="J196" s="106">
        <f ca="1">Table1[[#This Row],[ACRES PICKED]]</f>
        <v>0</v>
      </c>
      <c r="K196" s="106"/>
      <c r="L196" s="106"/>
      <c r="M196" s="118">
        <f>Table1[[#This Row],[LOADS]]*24</f>
        <v>0</v>
      </c>
      <c r="N196" s="107">
        <f t="shared" ca="1" si="15"/>
        <v>0</v>
      </c>
      <c r="O196" s="108" t="str">
        <f t="shared" ca="1" si="13"/>
        <v/>
      </c>
      <c r="P196" s="109"/>
      <c r="Q196" s="12"/>
      <c r="R196" s="12"/>
    </row>
    <row r="197" spans="1:18" s="123" customFormat="1" ht="13.5" customHeight="1" thickBot="1" x14ac:dyDescent="0.35">
      <c r="A197" s="103"/>
      <c r="B197" s="12"/>
      <c r="C197" s="9" t="str" cm="1">
        <f t="array" ref="C197">IF(B197="","",_xlfn._xlws.FILTER('Source List'!I$2:I$268,'Source List'!G$2:G$268='Row Counts'!B197," "))</f>
        <v/>
      </c>
      <c r="D197" s="104" t="str" cm="1">
        <f t="array" ref="D197">IF(B197="","",_xlfn._xlws.FILTER('Source List'!J$2:J$268,'Source List'!G$2:G$268='Row Counts'!B197," "))</f>
        <v/>
      </c>
      <c r="E197" s="105" t="str">
        <f ca="1">IFERROR(Table1[[#This Row],[TOTAL VINES]]-Table1[[#This Row],[VINES LEFT]],"")</f>
        <v/>
      </c>
      <c r="F197" s="105">
        <f ca="1">Table1[[#This Row],[TOTAL VINES]]-Table1[[#This Row],[VINES PICKED]]</f>
        <v>0</v>
      </c>
      <c r="G197" s="106">
        <f t="shared" si="14"/>
        <v>0</v>
      </c>
      <c r="H197" s="106">
        <f t="shared" ca="1" si="16"/>
        <v>0</v>
      </c>
      <c r="I197" s="106">
        <f ca="1">Table1[[#This Row],[TOTAL ACRES]]-Table1[[#This Row],[ACRES PICKED]]</f>
        <v>0</v>
      </c>
      <c r="J197" s="106">
        <f ca="1">Table1[[#This Row],[ACRES PICKED]]</f>
        <v>0</v>
      </c>
      <c r="K197" s="106"/>
      <c r="L197" s="106"/>
      <c r="M197" s="118">
        <f>Table1[[#This Row],[LOADS]]*24</f>
        <v>0</v>
      </c>
      <c r="N197" s="107">
        <f t="shared" ca="1" si="15"/>
        <v>0</v>
      </c>
      <c r="O197" s="108" t="str">
        <f t="shared" ref="O197:O260" ca="1" si="17">IFERROR((N197*I197)/23,"")</f>
        <v/>
      </c>
      <c r="P197" s="109"/>
      <c r="Q197" s="12"/>
      <c r="R197" s="12"/>
    </row>
    <row r="198" spans="1:18" s="121" customFormat="1" ht="13.5" customHeight="1" x14ac:dyDescent="0.3">
      <c r="A198" s="103"/>
      <c r="B198" s="12"/>
      <c r="C198" s="9" t="str" cm="1">
        <f t="array" ref="C198">IF(B198="","",_xlfn._xlws.FILTER('Source List'!I$2:I$268,'Source List'!G$2:G$268='Row Counts'!B198," "))</f>
        <v/>
      </c>
      <c r="D198" s="104" t="str" cm="1">
        <f t="array" ref="D198">IF(B198="","",_xlfn._xlws.FILTER('Source List'!J$2:J$268,'Source List'!G$2:G$268='Row Counts'!B198," "))</f>
        <v/>
      </c>
      <c r="E198" s="105" t="str">
        <f ca="1">IFERROR(Table1[[#This Row],[TOTAL VINES]]-Table1[[#This Row],[VINES LEFT]],"")</f>
        <v/>
      </c>
      <c r="F198" s="105">
        <f ca="1">Table1[[#This Row],[TOTAL VINES]]-Table1[[#This Row],[VINES PICKED]]</f>
        <v>0</v>
      </c>
      <c r="G198" s="106">
        <f t="shared" si="14"/>
        <v>0</v>
      </c>
      <c r="H198" s="106">
        <f t="shared" ca="1" si="16"/>
        <v>0</v>
      </c>
      <c r="I198" s="106">
        <f ca="1">Table1[[#This Row],[TOTAL ACRES]]-Table1[[#This Row],[ACRES PICKED]]</f>
        <v>0</v>
      </c>
      <c r="J198" s="106">
        <f ca="1">Table1[[#This Row],[ACRES PICKED]]</f>
        <v>0</v>
      </c>
      <c r="K198" s="106"/>
      <c r="L198" s="106"/>
      <c r="M198" s="118">
        <f>Table1[[#This Row],[LOADS]]*24</f>
        <v>0</v>
      </c>
      <c r="N198" s="107">
        <f t="shared" ca="1" si="15"/>
        <v>0</v>
      </c>
      <c r="O198" s="108" t="str">
        <f t="shared" ca="1" si="17"/>
        <v/>
      </c>
      <c r="P198" s="109"/>
      <c r="Q198" s="26"/>
      <c r="R198" s="12"/>
    </row>
    <row r="199" spans="1:18" ht="13.5" customHeight="1" x14ac:dyDescent="0.3">
      <c r="C199" s="9" t="str" cm="1">
        <f t="array" ref="C199">IF(B199="","",_xlfn._xlws.FILTER('Source List'!I$2:I$268,'Source List'!G$2:G$268='Row Counts'!B199," "))</f>
        <v/>
      </c>
      <c r="D199" s="104" t="str" cm="1">
        <f t="array" ref="D199">IF(B199="","",_xlfn._xlws.FILTER('Source List'!J$2:J$268,'Source List'!G$2:G$268='Row Counts'!B199," "))</f>
        <v/>
      </c>
      <c r="E199" s="105" t="str">
        <f ca="1">IFERROR(Table1[[#This Row],[TOTAL VINES]]-Table1[[#This Row],[VINES LEFT]],"")</f>
        <v/>
      </c>
      <c r="F199" s="105">
        <f ca="1">Table1[[#This Row],[TOTAL VINES]]-Table1[[#This Row],[VINES PICKED]]</f>
        <v>0</v>
      </c>
      <c r="G199" s="106">
        <f t="shared" si="14"/>
        <v>0</v>
      </c>
      <c r="H199" s="106">
        <f t="shared" ca="1" si="16"/>
        <v>0</v>
      </c>
      <c r="I199" s="106">
        <f ca="1">Table1[[#This Row],[TOTAL ACRES]]-Table1[[#This Row],[ACRES PICKED]]</f>
        <v>0</v>
      </c>
      <c r="J199" s="106">
        <f ca="1">Table1[[#This Row],[ACRES PICKED]]</f>
        <v>0</v>
      </c>
      <c r="M199" s="118">
        <f>Table1[[#This Row],[LOADS]]*24</f>
        <v>0</v>
      </c>
      <c r="N199" s="107">
        <f t="shared" ca="1" si="15"/>
        <v>0</v>
      </c>
      <c r="O199" s="108" t="str">
        <f t="shared" ca="1" si="17"/>
        <v/>
      </c>
      <c r="Q199" s="26"/>
    </row>
    <row r="200" spans="1:18" ht="13.5" customHeight="1" x14ac:dyDescent="0.3">
      <c r="C200" s="9" t="str" cm="1">
        <f t="array" ref="C200">IF(B200="","",_xlfn._xlws.FILTER('Source List'!I$2:I$268,'Source List'!G$2:G$268='Row Counts'!B200," "))</f>
        <v/>
      </c>
      <c r="D200" s="104" t="str" cm="1">
        <f t="array" ref="D200">IF(B200="","",_xlfn._xlws.FILTER('Source List'!J$2:J$268,'Source List'!G$2:G$268='Row Counts'!B200," "))</f>
        <v/>
      </c>
      <c r="E200" s="105" t="str">
        <f ca="1">IFERROR(Table1[[#This Row],[TOTAL VINES]]-Table1[[#This Row],[VINES LEFT]],"")</f>
        <v/>
      </c>
      <c r="F200" s="105">
        <f ca="1">Table1[[#This Row],[TOTAL VINES]]-Table1[[#This Row],[VINES PICKED]]</f>
        <v>0</v>
      </c>
      <c r="G200" s="106">
        <f t="shared" si="14"/>
        <v>0</v>
      </c>
      <c r="H200" s="106">
        <f t="shared" ca="1" si="16"/>
        <v>0</v>
      </c>
      <c r="I200" s="106">
        <f ca="1">Table1[[#This Row],[TOTAL ACRES]]-Table1[[#This Row],[ACRES PICKED]]</f>
        <v>0</v>
      </c>
      <c r="J200" s="106">
        <f ca="1">Table1[[#This Row],[ACRES PICKED]]</f>
        <v>0</v>
      </c>
      <c r="M200" s="118">
        <f>Table1[[#This Row],[LOADS]]*24</f>
        <v>0</v>
      </c>
      <c r="N200" s="107">
        <f t="shared" ca="1" si="15"/>
        <v>0</v>
      </c>
      <c r="O200" s="108" t="str">
        <f t="shared" ca="1" si="17"/>
        <v/>
      </c>
    </row>
    <row r="201" spans="1:18" ht="13.5" customHeight="1" x14ac:dyDescent="0.3">
      <c r="C201" s="9" t="str" cm="1">
        <f t="array" ref="C201">IF(B201="","",_xlfn._xlws.FILTER('Source List'!I$2:I$268,'Source List'!G$2:G$268='Row Counts'!B201," "))</f>
        <v/>
      </c>
      <c r="D201" s="104" t="str" cm="1">
        <f t="array" ref="D201">IF(B201="","",_xlfn._xlws.FILTER('Source List'!J$2:J$268,'Source List'!G$2:G$268='Row Counts'!B201," "))</f>
        <v/>
      </c>
      <c r="E201" s="105" t="str">
        <f ca="1">IFERROR(Table1[[#This Row],[TOTAL VINES]]-Table1[[#This Row],[VINES LEFT]],"")</f>
        <v/>
      </c>
      <c r="F201" s="105">
        <f ca="1">Table1[[#This Row],[TOTAL VINES]]-Table1[[#This Row],[VINES PICKED]]</f>
        <v>0</v>
      </c>
      <c r="G201" s="106">
        <f t="shared" si="14"/>
        <v>0</v>
      </c>
      <c r="H201" s="106">
        <f t="shared" ca="1" si="16"/>
        <v>0</v>
      </c>
      <c r="I201" s="106">
        <f ca="1">Table1[[#This Row],[TOTAL ACRES]]-Table1[[#This Row],[ACRES PICKED]]</f>
        <v>0</v>
      </c>
      <c r="J201" s="106">
        <f ca="1">Table1[[#This Row],[ACRES PICKED]]</f>
        <v>0</v>
      </c>
      <c r="M201" s="118">
        <f>Table1[[#This Row],[LOADS]]*24</f>
        <v>0</v>
      </c>
      <c r="N201" s="107">
        <f t="shared" ca="1" si="15"/>
        <v>0</v>
      </c>
      <c r="O201" s="108" t="str">
        <f t="shared" ca="1" si="17"/>
        <v/>
      </c>
      <c r="Q201" s="26"/>
    </row>
    <row r="202" spans="1:18" ht="13.5" customHeight="1" x14ac:dyDescent="0.3">
      <c r="C202" s="9" t="str" cm="1">
        <f t="array" ref="C202">IF(B202="","",_xlfn._xlws.FILTER('Source List'!I$2:I$268,'Source List'!G$2:G$268='Row Counts'!B202," "))</f>
        <v/>
      </c>
      <c r="D202" s="104" t="str" cm="1">
        <f t="array" ref="D202">IF(B202="","",_xlfn._xlws.FILTER('Source List'!J$2:J$268,'Source List'!G$2:G$268='Row Counts'!B202," "))</f>
        <v/>
      </c>
      <c r="E202" s="105" t="str">
        <f ca="1">IFERROR(Table1[[#This Row],[TOTAL VINES]]-Table1[[#This Row],[VINES LEFT]],"")</f>
        <v/>
      </c>
      <c r="F202" s="105">
        <f ca="1">Table1[[#This Row],[TOTAL VINES]]-Table1[[#This Row],[VINES PICKED]]</f>
        <v>0</v>
      </c>
      <c r="G202" s="106">
        <f t="shared" si="14"/>
        <v>0</v>
      </c>
      <c r="H202" s="106">
        <f t="shared" ca="1" si="16"/>
        <v>0</v>
      </c>
      <c r="I202" s="106">
        <f ca="1">Table1[[#This Row],[TOTAL ACRES]]-Table1[[#This Row],[ACRES PICKED]]</f>
        <v>0</v>
      </c>
      <c r="J202" s="106">
        <f ca="1">Table1[[#This Row],[ACRES PICKED]]</f>
        <v>0</v>
      </c>
      <c r="M202" s="118">
        <f>Table1[[#This Row],[LOADS]]*24</f>
        <v>0</v>
      </c>
      <c r="N202" s="107">
        <f t="shared" ca="1" si="15"/>
        <v>0</v>
      </c>
      <c r="O202" s="108" t="str">
        <f t="shared" ca="1" si="17"/>
        <v/>
      </c>
    </row>
    <row r="203" spans="1:18" ht="13.5" customHeight="1" x14ac:dyDescent="0.3">
      <c r="C203" s="9" t="str" cm="1">
        <f t="array" ref="C203">IF(B203="","",_xlfn._xlws.FILTER('Source List'!I$2:I$268,'Source List'!G$2:G$268='Row Counts'!B203," "))</f>
        <v/>
      </c>
      <c r="D203" s="104" t="str" cm="1">
        <f t="array" ref="D203">IF(B203="","",_xlfn._xlws.FILTER('Source List'!J$2:J$268,'Source List'!G$2:G$268='Row Counts'!B203," "))</f>
        <v/>
      </c>
      <c r="E203" s="105" t="str">
        <f ca="1">IFERROR(Table1[[#This Row],[TOTAL VINES]]-Table1[[#This Row],[VINES LEFT]],"")</f>
        <v/>
      </c>
      <c r="F203" s="105">
        <f ca="1">Table1[[#This Row],[TOTAL VINES]]-Table1[[#This Row],[VINES PICKED]]</f>
        <v>0</v>
      </c>
      <c r="G203" s="106">
        <f t="shared" si="14"/>
        <v>0</v>
      </c>
      <c r="H203" s="106">
        <f t="shared" ca="1" si="16"/>
        <v>0</v>
      </c>
      <c r="I203" s="106">
        <f ca="1">Table1[[#This Row],[TOTAL ACRES]]-Table1[[#This Row],[ACRES PICKED]]</f>
        <v>0</v>
      </c>
      <c r="J203" s="106">
        <f ca="1">Table1[[#This Row],[ACRES PICKED]]</f>
        <v>0</v>
      </c>
      <c r="M203" s="118">
        <f>Table1[[#This Row],[LOADS]]*24</f>
        <v>0</v>
      </c>
      <c r="N203" s="107">
        <f t="shared" ca="1" si="15"/>
        <v>0</v>
      </c>
      <c r="O203" s="108" t="str">
        <f t="shared" ca="1" si="17"/>
        <v/>
      </c>
    </row>
    <row r="204" spans="1:18" ht="13.5" customHeight="1" x14ac:dyDescent="0.3">
      <c r="C204" s="9" t="str" cm="1">
        <f t="array" ref="C204">IF(B204="","",_xlfn._xlws.FILTER('Source List'!I$2:I$268,'Source List'!G$2:G$268='Row Counts'!B204," "))</f>
        <v/>
      </c>
      <c r="D204" s="104" t="str" cm="1">
        <f t="array" ref="D204">IF(B204="","",_xlfn._xlws.FILTER('Source List'!J$2:J$268,'Source List'!G$2:G$268='Row Counts'!B204," "))</f>
        <v/>
      </c>
      <c r="E204" s="105" t="str">
        <f ca="1">IFERROR(Table1[[#This Row],[TOTAL VINES]]-Table1[[#This Row],[VINES LEFT]],"")</f>
        <v/>
      </c>
      <c r="F204" s="105">
        <f ca="1">Table1[[#This Row],[TOTAL VINES]]-Table1[[#This Row],[VINES PICKED]]</f>
        <v>0</v>
      </c>
      <c r="G204" s="106">
        <f t="shared" si="14"/>
        <v>0</v>
      </c>
      <c r="H204" s="106">
        <f t="shared" ca="1" si="16"/>
        <v>0</v>
      </c>
      <c r="I204" s="106">
        <f ca="1">Table1[[#This Row],[TOTAL ACRES]]-Table1[[#This Row],[ACRES PICKED]]</f>
        <v>0</v>
      </c>
      <c r="J204" s="106">
        <f ca="1">Table1[[#This Row],[ACRES PICKED]]</f>
        <v>0</v>
      </c>
      <c r="M204" s="118">
        <f>Table1[[#This Row],[LOADS]]*24</f>
        <v>0</v>
      </c>
      <c r="N204" s="107">
        <f t="shared" ca="1" si="15"/>
        <v>0</v>
      </c>
      <c r="O204" s="108" t="str">
        <f t="shared" ca="1" si="17"/>
        <v/>
      </c>
    </row>
    <row r="205" spans="1:18" ht="13.5" customHeight="1" x14ac:dyDescent="0.3">
      <c r="C205" s="9" t="str" cm="1">
        <f t="array" ref="C205">IF(B205="","",_xlfn._xlws.FILTER('Source List'!I$2:I$268,'Source List'!G$2:G$268='Row Counts'!B205," "))</f>
        <v/>
      </c>
      <c r="D205" s="104" t="str" cm="1">
        <f t="array" ref="D205">IF(B205="","",_xlfn._xlws.FILTER('Source List'!J$2:J$268,'Source List'!G$2:G$268='Row Counts'!B205," "))</f>
        <v/>
      </c>
      <c r="E205" s="105" t="str">
        <f ca="1">IFERROR(Table1[[#This Row],[TOTAL VINES]]-Table1[[#This Row],[VINES LEFT]],"")</f>
        <v/>
      </c>
      <c r="F205" s="105">
        <f ca="1">Table1[[#This Row],[TOTAL VINES]]-Table1[[#This Row],[VINES PICKED]]</f>
        <v>0</v>
      </c>
      <c r="G205" s="106">
        <f t="shared" si="14"/>
        <v>0</v>
      </c>
      <c r="H205" s="106">
        <f t="shared" ca="1" si="16"/>
        <v>0</v>
      </c>
      <c r="I205" s="106">
        <f ca="1">Table1[[#This Row],[TOTAL ACRES]]-Table1[[#This Row],[ACRES PICKED]]</f>
        <v>0</v>
      </c>
      <c r="J205" s="106">
        <f ca="1">Table1[[#This Row],[ACRES PICKED]]</f>
        <v>0</v>
      </c>
      <c r="M205" s="118">
        <f>Table1[[#This Row],[LOADS]]*24</f>
        <v>0</v>
      </c>
      <c r="N205" s="107">
        <f t="shared" ca="1" si="15"/>
        <v>0</v>
      </c>
      <c r="O205" s="108" t="str">
        <f t="shared" ca="1" si="17"/>
        <v/>
      </c>
      <c r="Q205" s="26"/>
    </row>
    <row r="206" spans="1:18" ht="13.5" customHeight="1" x14ac:dyDescent="0.3">
      <c r="C206" s="9" t="str" cm="1">
        <f t="array" ref="C206">IF(B206="","",_xlfn._xlws.FILTER('Source List'!I$2:I$268,'Source List'!G$2:G$268='Row Counts'!B206," "))</f>
        <v/>
      </c>
      <c r="D206" s="104" t="str" cm="1">
        <f t="array" ref="D206">IF(B206="","",_xlfn._xlws.FILTER('Source List'!J$2:J$268,'Source List'!G$2:G$268='Row Counts'!B206," "))</f>
        <v/>
      </c>
      <c r="E206" s="105" t="str">
        <f ca="1">IFERROR(Table1[[#This Row],[TOTAL VINES]]-Table1[[#This Row],[VINES LEFT]],"")</f>
        <v/>
      </c>
      <c r="F206" s="105">
        <f ca="1">Table1[[#This Row],[TOTAL VINES]]-Table1[[#This Row],[VINES PICKED]]</f>
        <v>0</v>
      </c>
      <c r="G206" s="106">
        <f t="shared" si="14"/>
        <v>0</v>
      </c>
      <c r="H206" s="106">
        <f t="shared" ca="1" si="16"/>
        <v>0</v>
      </c>
      <c r="I206" s="106">
        <f ca="1">Table1[[#This Row],[TOTAL ACRES]]-Table1[[#This Row],[ACRES PICKED]]</f>
        <v>0</v>
      </c>
      <c r="J206" s="106">
        <f ca="1">Table1[[#This Row],[ACRES PICKED]]</f>
        <v>0</v>
      </c>
      <c r="M206" s="118">
        <f>Table1[[#This Row],[LOADS]]*24</f>
        <v>0</v>
      </c>
      <c r="N206" s="107">
        <f t="shared" ca="1" si="15"/>
        <v>0</v>
      </c>
      <c r="O206" s="108" t="str">
        <f t="shared" ca="1" si="17"/>
        <v/>
      </c>
    </row>
    <row r="207" spans="1:18" ht="13.5" customHeight="1" x14ac:dyDescent="0.3">
      <c r="C207" s="9" t="str" cm="1">
        <f t="array" ref="C207">IF(B207="","",_xlfn._xlws.FILTER('Source List'!I$2:I$268,'Source List'!G$2:G$268='Row Counts'!B207," "))</f>
        <v/>
      </c>
      <c r="D207" s="104" t="str" cm="1">
        <f t="array" ref="D207">IF(B207="","",_xlfn._xlws.FILTER('Source List'!J$2:J$268,'Source List'!G$2:G$268='Row Counts'!B207," "))</f>
        <v/>
      </c>
      <c r="E207" s="105" t="str">
        <f ca="1">IFERROR(Table1[[#This Row],[TOTAL VINES]]-Table1[[#This Row],[VINES LEFT]],"")</f>
        <v/>
      </c>
      <c r="F207" s="105">
        <f ca="1">Table1[[#This Row],[TOTAL VINES]]-Table1[[#This Row],[VINES PICKED]]</f>
        <v>0</v>
      </c>
      <c r="G207" s="106">
        <f t="shared" si="14"/>
        <v>0</v>
      </c>
      <c r="H207" s="106">
        <f t="shared" ca="1" si="16"/>
        <v>0</v>
      </c>
      <c r="I207" s="106">
        <f ca="1">Table1[[#This Row],[TOTAL ACRES]]-Table1[[#This Row],[ACRES PICKED]]</f>
        <v>0</v>
      </c>
      <c r="J207" s="106">
        <f ca="1">Table1[[#This Row],[ACRES PICKED]]</f>
        <v>0</v>
      </c>
      <c r="M207" s="118">
        <f>Table1[[#This Row],[LOADS]]*24</f>
        <v>0</v>
      </c>
      <c r="N207" s="107">
        <f t="shared" ca="1" si="15"/>
        <v>0</v>
      </c>
      <c r="O207" s="108" t="str">
        <f t="shared" ca="1" si="17"/>
        <v/>
      </c>
      <c r="Q207" s="126"/>
    </row>
    <row r="208" spans="1:18" ht="13.5" customHeight="1" x14ac:dyDescent="0.3">
      <c r="C208" s="9" t="str" cm="1">
        <f t="array" ref="C208">IF(B208="","",_xlfn._xlws.FILTER('Source List'!I$2:I$268,'Source List'!G$2:G$268='Row Counts'!B208," "))</f>
        <v/>
      </c>
      <c r="D208" s="104" t="str" cm="1">
        <f t="array" ref="D208">IF(B208="","",_xlfn._xlws.FILTER('Source List'!J$2:J$268,'Source List'!G$2:G$268='Row Counts'!B208," "))</f>
        <v/>
      </c>
      <c r="E208" s="105" t="str">
        <f ca="1">IFERROR(Table1[[#This Row],[TOTAL VINES]]-Table1[[#This Row],[VINES LEFT]],"")</f>
        <v/>
      </c>
      <c r="F208" s="105">
        <f ca="1">Table1[[#This Row],[TOTAL VINES]]-Table1[[#This Row],[VINES PICKED]]</f>
        <v>0</v>
      </c>
      <c r="G208" s="106">
        <f t="shared" si="14"/>
        <v>0</v>
      </c>
      <c r="H208" s="106">
        <f t="shared" ca="1" si="16"/>
        <v>0</v>
      </c>
      <c r="I208" s="106">
        <f ca="1">Table1[[#This Row],[TOTAL ACRES]]-Table1[[#This Row],[ACRES PICKED]]</f>
        <v>0</v>
      </c>
      <c r="J208" s="106">
        <f ca="1">Table1[[#This Row],[ACRES PICKED]]</f>
        <v>0</v>
      </c>
      <c r="M208" s="118">
        <f>Table1[[#This Row],[LOADS]]*24</f>
        <v>0</v>
      </c>
      <c r="N208" s="107">
        <f t="shared" ca="1" si="15"/>
        <v>0</v>
      </c>
      <c r="O208" s="108" t="str">
        <f t="shared" ca="1" si="17"/>
        <v/>
      </c>
      <c r="Q208" s="126"/>
    </row>
    <row r="209" spans="1:18" ht="13.5" customHeight="1" x14ac:dyDescent="0.3">
      <c r="C209" s="9" t="str" cm="1">
        <f t="array" ref="C209">IF(B209="","",_xlfn._xlws.FILTER('Source List'!I$2:I$268,'Source List'!G$2:G$268='Row Counts'!B209," "))</f>
        <v/>
      </c>
      <c r="D209" s="104" t="str" cm="1">
        <f t="array" ref="D209">IF(B209="","",_xlfn._xlws.FILTER('Source List'!J$2:J$268,'Source List'!G$2:G$268='Row Counts'!B209," "))</f>
        <v/>
      </c>
      <c r="E209" s="105" t="str">
        <f ca="1">IFERROR(Table1[[#This Row],[TOTAL VINES]]-Table1[[#This Row],[VINES LEFT]],"")</f>
        <v/>
      </c>
      <c r="F209" s="105">
        <f ca="1">Table1[[#This Row],[TOTAL VINES]]-Table1[[#This Row],[VINES PICKED]]</f>
        <v>0</v>
      </c>
      <c r="G209" s="106">
        <f t="shared" ref="G209:G272" si="18">IFERROR(D209/C209,0)</f>
        <v>0</v>
      </c>
      <c r="H209" s="106">
        <f t="shared" ca="1" si="16"/>
        <v>0</v>
      </c>
      <c r="I209" s="106">
        <f ca="1">Table1[[#This Row],[TOTAL ACRES]]-Table1[[#This Row],[ACRES PICKED]]</f>
        <v>0</v>
      </c>
      <c r="J209" s="106">
        <f ca="1">Table1[[#This Row],[ACRES PICKED]]</f>
        <v>0</v>
      </c>
      <c r="M209" s="118">
        <f>Table1[[#This Row],[LOADS]]*24</f>
        <v>0</v>
      </c>
      <c r="N209" s="107">
        <f t="shared" ca="1" si="15"/>
        <v>0</v>
      </c>
      <c r="O209" s="108" t="str">
        <f t="shared" ca="1" si="17"/>
        <v/>
      </c>
    </row>
    <row r="210" spans="1:18" s="124" customFormat="1" ht="13.5" customHeight="1" x14ac:dyDescent="0.3">
      <c r="A210" s="103"/>
      <c r="B210" s="12"/>
      <c r="C210" s="9" t="str" cm="1">
        <f t="array" ref="C210">IF(B210="","",_xlfn._xlws.FILTER('Source List'!I$2:I$268,'Source List'!G$2:G$268='Row Counts'!B210," "))</f>
        <v/>
      </c>
      <c r="D210" s="104" t="str" cm="1">
        <f t="array" ref="D210">IF(B210="","",_xlfn._xlws.FILTER('Source List'!J$2:J$268,'Source List'!G$2:G$268='Row Counts'!B210," "))</f>
        <v/>
      </c>
      <c r="E210" s="105" t="str">
        <f ca="1">IFERROR(Table1[[#This Row],[TOTAL VINES]]-Table1[[#This Row],[VINES LEFT]],"")</f>
        <v/>
      </c>
      <c r="F210" s="105">
        <f ca="1">Table1[[#This Row],[TOTAL VINES]]-Table1[[#This Row],[VINES PICKED]]</f>
        <v>0</v>
      </c>
      <c r="G210" s="106">
        <f t="shared" si="18"/>
        <v>0</v>
      </c>
      <c r="H210" s="106">
        <f t="shared" ca="1" si="16"/>
        <v>0</v>
      </c>
      <c r="I210" s="106">
        <f ca="1">Table1[[#This Row],[TOTAL ACRES]]-Table1[[#This Row],[ACRES PICKED]]</f>
        <v>0</v>
      </c>
      <c r="J210" s="106">
        <f ca="1">Table1[[#This Row],[ACRES PICKED]]</f>
        <v>0</v>
      </c>
      <c r="K210" s="106"/>
      <c r="L210" s="106"/>
      <c r="M210" s="118">
        <f>Table1[[#This Row],[LOADS]]*24</f>
        <v>0</v>
      </c>
      <c r="N210" s="107">
        <f t="shared" ca="1" si="15"/>
        <v>0</v>
      </c>
      <c r="O210" s="108" t="str">
        <f t="shared" ca="1" si="17"/>
        <v/>
      </c>
      <c r="P210" s="109"/>
      <c r="Q210" s="12"/>
      <c r="R210" s="12"/>
    </row>
    <row r="211" spans="1:18" s="123" customFormat="1" ht="13.5" customHeight="1" thickBot="1" x14ac:dyDescent="0.35">
      <c r="A211" s="103"/>
      <c r="B211" s="12"/>
      <c r="C211" s="9" t="str" cm="1">
        <f t="array" ref="C211">IF(B211="","",_xlfn._xlws.FILTER('Source List'!I$2:I$268,'Source List'!G$2:G$268='Row Counts'!B211," "))</f>
        <v/>
      </c>
      <c r="D211" s="104" t="str" cm="1">
        <f t="array" ref="D211">IF(B211="","",_xlfn._xlws.FILTER('Source List'!J$2:J$268,'Source List'!G$2:G$268='Row Counts'!B211," "))</f>
        <v/>
      </c>
      <c r="E211" s="105" t="str">
        <f ca="1">IFERROR(Table1[[#This Row],[TOTAL VINES]]-Table1[[#This Row],[VINES LEFT]],"")</f>
        <v/>
      </c>
      <c r="F211" s="105">
        <f ca="1">Table1[[#This Row],[TOTAL VINES]]-Table1[[#This Row],[VINES PICKED]]</f>
        <v>0</v>
      </c>
      <c r="G211" s="106">
        <f t="shared" si="18"/>
        <v>0</v>
      </c>
      <c r="H211" s="106">
        <f t="shared" ca="1" si="16"/>
        <v>0</v>
      </c>
      <c r="I211" s="106">
        <f ca="1">Table1[[#This Row],[TOTAL ACRES]]-Table1[[#This Row],[ACRES PICKED]]</f>
        <v>0</v>
      </c>
      <c r="J211" s="106">
        <f ca="1">Table1[[#This Row],[ACRES PICKED]]</f>
        <v>0</v>
      </c>
      <c r="K211" s="106"/>
      <c r="L211" s="106"/>
      <c r="M211" s="118">
        <f>Table1[[#This Row],[LOADS]]*24</f>
        <v>0</v>
      </c>
      <c r="N211" s="107">
        <f t="shared" ca="1" si="15"/>
        <v>0</v>
      </c>
      <c r="O211" s="108" t="str">
        <f t="shared" ca="1" si="17"/>
        <v/>
      </c>
      <c r="P211" s="109"/>
      <c r="Q211" s="12"/>
      <c r="R211" s="12"/>
    </row>
    <row r="212" spans="1:18" s="121" customFormat="1" ht="13.5" customHeight="1" x14ac:dyDescent="0.3">
      <c r="A212" s="103"/>
      <c r="B212" s="12"/>
      <c r="C212" s="9" t="str" cm="1">
        <f t="array" ref="C212">IF(B212="","",_xlfn._xlws.FILTER('Source List'!I$2:I$268,'Source List'!G$2:G$268='Row Counts'!B212," "))</f>
        <v/>
      </c>
      <c r="D212" s="104" t="str" cm="1">
        <f t="array" ref="D212">IF(B212="","",_xlfn._xlws.FILTER('Source List'!J$2:J$268,'Source List'!G$2:G$268='Row Counts'!B212," "))</f>
        <v/>
      </c>
      <c r="E212" s="105" t="str">
        <f ca="1">IFERROR(Table1[[#This Row],[TOTAL VINES]]-Table1[[#This Row],[VINES LEFT]],"")</f>
        <v/>
      </c>
      <c r="F212" s="105">
        <f ca="1">Table1[[#This Row],[TOTAL VINES]]-Table1[[#This Row],[VINES PICKED]]</f>
        <v>0</v>
      </c>
      <c r="G212" s="106">
        <f t="shared" si="18"/>
        <v>0</v>
      </c>
      <c r="H212" s="106">
        <f t="shared" ca="1" si="16"/>
        <v>0</v>
      </c>
      <c r="I212" s="106">
        <f ca="1">Table1[[#This Row],[TOTAL ACRES]]-Table1[[#This Row],[ACRES PICKED]]</f>
        <v>0</v>
      </c>
      <c r="J212" s="106">
        <f ca="1">Table1[[#This Row],[ACRES PICKED]]</f>
        <v>0</v>
      </c>
      <c r="K212" s="106"/>
      <c r="L212" s="106"/>
      <c r="M212" s="118">
        <f>Table1[[#This Row],[LOADS]]*24</f>
        <v>0</v>
      </c>
      <c r="N212" s="107">
        <f t="shared" ca="1" si="15"/>
        <v>0</v>
      </c>
      <c r="O212" s="108" t="str">
        <f t="shared" ca="1" si="17"/>
        <v/>
      </c>
      <c r="P212" s="109"/>
      <c r="Q212" s="12"/>
      <c r="R212" s="12"/>
    </row>
    <row r="213" spans="1:18" ht="13.5" customHeight="1" x14ac:dyDescent="0.3">
      <c r="C213" s="9" t="str" cm="1">
        <f t="array" ref="C213">IF(B213="","",_xlfn._xlws.FILTER('Source List'!I$2:I$268,'Source List'!G$2:G$268='Row Counts'!B213," "))</f>
        <v/>
      </c>
      <c r="D213" s="104" t="str" cm="1">
        <f t="array" ref="D213">IF(B213="","",_xlfn._xlws.FILTER('Source List'!J$2:J$268,'Source List'!G$2:G$268='Row Counts'!B213," "))</f>
        <v/>
      </c>
      <c r="E213" s="105" t="str">
        <f ca="1">IFERROR(Table1[[#This Row],[TOTAL VINES]]-Table1[[#This Row],[VINES LEFT]],"")</f>
        <v/>
      </c>
      <c r="F213" s="105">
        <f ca="1">Table1[[#This Row],[TOTAL VINES]]-Table1[[#This Row],[VINES PICKED]]</f>
        <v>0</v>
      </c>
      <c r="G213" s="106">
        <f t="shared" si="18"/>
        <v>0</v>
      </c>
      <c r="H213" s="106">
        <f t="shared" ca="1" si="16"/>
        <v>0</v>
      </c>
      <c r="I213" s="106">
        <f ca="1">Table1[[#This Row],[TOTAL ACRES]]-Table1[[#This Row],[ACRES PICKED]]</f>
        <v>0</v>
      </c>
      <c r="J213" s="106">
        <f ca="1">Table1[[#This Row],[ACRES PICKED]]</f>
        <v>0</v>
      </c>
      <c r="M213" s="118">
        <f>Table1[[#This Row],[LOADS]]*24</f>
        <v>0</v>
      </c>
      <c r="N213" s="107">
        <f t="shared" ca="1" si="15"/>
        <v>0</v>
      </c>
      <c r="O213" s="108" t="str">
        <f t="shared" ca="1" si="17"/>
        <v/>
      </c>
    </row>
    <row r="214" spans="1:18" ht="13.5" customHeight="1" x14ac:dyDescent="0.3">
      <c r="C214" s="9" t="str" cm="1">
        <f t="array" ref="C214">IF(B214="","",_xlfn._xlws.FILTER('Source List'!I$2:I$268,'Source List'!G$2:G$268='Row Counts'!B214," "))</f>
        <v/>
      </c>
      <c r="D214" s="104" t="str" cm="1">
        <f t="array" ref="D214">IF(B214="","",_xlfn._xlws.FILTER('Source List'!J$2:J$268,'Source List'!G$2:G$268='Row Counts'!B214," "))</f>
        <v/>
      </c>
      <c r="E214" s="105" t="str">
        <f ca="1">IFERROR(Table1[[#This Row],[TOTAL VINES]]-Table1[[#This Row],[VINES LEFT]],"")</f>
        <v/>
      </c>
      <c r="F214" s="105">
        <f ca="1">Table1[[#This Row],[TOTAL VINES]]-Table1[[#This Row],[VINES PICKED]]</f>
        <v>0</v>
      </c>
      <c r="G214" s="106">
        <f t="shared" si="18"/>
        <v>0</v>
      </c>
      <c r="H214" s="106">
        <f t="shared" ca="1" si="16"/>
        <v>0</v>
      </c>
      <c r="I214" s="106">
        <f ca="1">Table1[[#This Row],[TOTAL ACRES]]-Table1[[#This Row],[ACRES PICKED]]</f>
        <v>0</v>
      </c>
      <c r="J214" s="106">
        <f ca="1">Table1[[#This Row],[ACRES PICKED]]</f>
        <v>0</v>
      </c>
      <c r="M214" s="118">
        <f>Table1[[#This Row],[LOADS]]*24</f>
        <v>0</v>
      </c>
      <c r="N214" s="107">
        <f t="shared" ca="1" si="15"/>
        <v>0</v>
      </c>
      <c r="O214" s="108" t="str">
        <f t="shared" ca="1" si="17"/>
        <v/>
      </c>
    </row>
    <row r="215" spans="1:18" ht="13.5" customHeight="1" x14ac:dyDescent="0.3">
      <c r="C215" s="9" t="str" cm="1">
        <f t="array" ref="C215">IF(B215="","",_xlfn._xlws.FILTER('Source List'!I$2:I$268,'Source List'!G$2:G$268='Row Counts'!B215," "))</f>
        <v/>
      </c>
      <c r="D215" s="104" t="str" cm="1">
        <f t="array" ref="D215">IF(B215="","",_xlfn._xlws.FILTER('Source List'!J$2:J$268,'Source List'!G$2:G$268='Row Counts'!B215," "))</f>
        <v/>
      </c>
      <c r="E215" s="105" t="str">
        <f ca="1">IFERROR(Table1[[#This Row],[TOTAL VINES]]-Table1[[#This Row],[VINES LEFT]],"")</f>
        <v/>
      </c>
      <c r="F215" s="105">
        <f ca="1">Table1[[#This Row],[TOTAL VINES]]-Table1[[#This Row],[VINES PICKED]]</f>
        <v>0</v>
      </c>
      <c r="G215" s="106">
        <f t="shared" si="18"/>
        <v>0</v>
      </c>
      <c r="H215" s="106">
        <f t="shared" ca="1" si="16"/>
        <v>0</v>
      </c>
      <c r="I215" s="106">
        <f ca="1">Table1[[#This Row],[TOTAL ACRES]]-Table1[[#This Row],[ACRES PICKED]]</f>
        <v>0</v>
      </c>
      <c r="J215" s="106">
        <f ca="1">Table1[[#This Row],[ACRES PICKED]]</f>
        <v>0</v>
      </c>
      <c r="M215" s="118">
        <f>Table1[[#This Row],[LOADS]]*24</f>
        <v>0</v>
      </c>
      <c r="N215" s="107">
        <f t="shared" ca="1" si="15"/>
        <v>0</v>
      </c>
      <c r="O215" s="108" t="str">
        <f t="shared" ca="1" si="17"/>
        <v/>
      </c>
    </row>
    <row r="216" spans="1:18" ht="13.5" customHeight="1" x14ac:dyDescent="0.3">
      <c r="C216" s="9" t="str" cm="1">
        <f t="array" ref="C216">IF(B216="","",_xlfn._xlws.FILTER('Source List'!I$2:I$268,'Source List'!G$2:G$268='Row Counts'!B216," "))</f>
        <v/>
      </c>
      <c r="D216" s="104" t="str" cm="1">
        <f t="array" ref="D216">IF(B216="","",_xlfn._xlws.FILTER('Source List'!J$2:J$268,'Source List'!G$2:G$268='Row Counts'!B216," "))</f>
        <v/>
      </c>
      <c r="E216" s="105" t="str">
        <f ca="1">IFERROR(Table1[[#This Row],[TOTAL VINES]]-Table1[[#This Row],[VINES LEFT]],"")</f>
        <v/>
      </c>
      <c r="F216" s="105">
        <f ca="1">Table1[[#This Row],[TOTAL VINES]]-Table1[[#This Row],[VINES PICKED]]</f>
        <v>0</v>
      </c>
      <c r="G216" s="106">
        <f t="shared" si="18"/>
        <v>0</v>
      </c>
      <c r="H216" s="106">
        <f t="shared" ca="1" si="16"/>
        <v>0</v>
      </c>
      <c r="I216" s="106">
        <f ca="1">Table1[[#This Row],[TOTAL ACRES]]-Table1[[#This Row],[ACRES PICKED]]</f>
        <v>0</v>
      </c>
      <c r="J216" s="106">
        <f ca="1">Table1[[#This Row],[ACRES PICKED]]</f>
        <v>0</v>
      </c>
      <c r="M216" s="118">
        <f>Table1[[#This Row],[LOADS]]*24</f>
        <v>0</v>
      </c>
      <c r="N216" s="107">
        <f t="shared" ca="1" si="15"/>
        <v>0</v>
      </c>
      <c r="O216" s="108" t="str">
        <f t="shared" ca="1" si="17"/>
        <v/>
      </c>
    </row>
    <row r="217" spans="1:18" ht="13.5" customHeight="1" x14ac:dyDescent="0.3">
      <c r="C217" s="9" t="str" cm="1">
        <f t="array" ref="C217">IF(B217="","",_xlfn._xlws.FILTER('Source List'!I$2:I$268,'Source List'!G$2:G$268='Row Counts'!B217," "))</f>
        <v/>
      </c>
      <c r="D217" s="104" t="str" cm="1">
        <f t="array" ref="D217">IF(B217="","",_xlfn._xlws.FILTER('Source List'!J$2:J$268,'Source List'!G$2:G$268='Row Counts'!B217," "))</f>
        <v/>
      </c>
      <c r="E217" s="105" t="str">
        <f ca="1">IFERROR(Table1[[#This Row],[TOTAL VINES]]-Table1[[#This Row],[VINES LEFT]],"")</f>
        <v/>
      </c>
      <c r="F217" s="105">
        <f ca="1">Table1[[#This Row],[TOTAL VINES]]-Table1[[#This Row],[VINES PICKED]]</f>
        <v>0</v>
      </c>
      <c r="G217" s="106">
        <f t="shared" si="18"/>
        <v>0</v>
      </c>
      <c r="H217" s="106">
        <f t="shared" ca="1" si="16"/>
        <v>0</v>
      </c>
      <c r="I217" s="106">
        <f ca="1">Table1[[#This Row],[TOTAL ACRES]]-Table1[[#This Row],[ACRES PICKED]]</f>
        <v>0</v>
      </c>
      <c r="J217" s="106">
        <f ca="1">Table1[[#This Row],[ACRES PICKED]]</f>
        <v>0</v>
      </c>
      <c r="M217" s="118">
        <f>Table1[[#This Row],[LOADS]]*24</f>
        <v>0</v>
      </c>
      <c r="N217" s="107">
        <f t="shared" ca="1" si="15"/>
        <v>0</v>
      </c>
      <c r="O217" s="108" t="str">
        <f t="shared" ca="1" si="17"/>
        <v/>
      </c>
    </row>
    <row r="218" spans="1:18" ht="13.5" customHeight="1" x14ac:dyDescent="0.3">
      <c r="C218" s="9" t="str" cm="1">
        <f t="array" ref="C218">IF(B218="","",_xlfn._xlws.FILTER('Source List'!I$2:I$268,'Source List'!G$2:G$268='Row Counts'!B218," "))</f>
        <v/>
      </c>
      <c r="D218" s="104" t="str" cm="1">
        <f t="array" ref="D218">IF(B218="","",_xlfn._xlws.FILTER('Source List'!J$2:J$268,'Source List'!G$2:G$268='Row Counts'!B218," "))</f>
        <v/>
      </c>
      <c r="E218" s="105" t="str">
        <f ca="1">IFERROR(Table1[[#This Row],[TOTAL VINES]]-Table1[[#This Row],[VINES LEFT]],"")</f>
        <v/>
      </c>
      <c r="F218" s="105">
        <f ca="1">Table1[[#This Row],[TOTAL VINES]]-Table1[[#This Row],[VINES PICKED]]</f>
        <v>0</v>
      </c>
      <c r="G218" s="106">
        <f t="shared" si="18"/>
        <v>0</v>
      </c>
      <c r="H218" s="106">
        <f t="shared" ca="1" si="16"/>
        <v>0</v>
      </c>
      <c r="I218" s="106">
        <f ca="1">Table1[[#This Row],[TOTAL ACRES]]-Table1[[#This Row],[ACRES PICKED]]</f>
        <v>0</v>
      </c>
      <c r="J218" s="106">
        <f ca="1">Table1[[#This Row],[ACRES PICKED]]</f>
        <v>0</v>
      </c>
      <c r="M218" s="118">
        <f>Table1[[#This Row],[LOADS]]*24</f>
        <v>0</v>
      </c>
      <c r="N218" s="107">
        <f t="shared" ca="1" si="15"/>
        <v>0</v>
      </c>
      <c r="O218" s="108" t="str">
        <f t="shared" ca="1" si="17"/>
        <v/>
      </c>
    </row>
    <row r="219" spans="1:18" ht="13.5" customHeight="1" x14ac:dyDescent="0.3">
      <c r="C219" s="9" t="str" cm="1">
        <f t="array" ref="C219">IF(B219="","",_xlfn._xlws.FILTER('Source List'!I$2:I$268,'Source List'!G$2:G$268='Row Counts'!B219," "))</f>
        <v/>
      </c>
      <c r="D219" s="104" t="str" cm="1">
        <f t="array" ref="D219">IF(B219="","",_xlfn._xlws.FILTER('Source List'!J$2:J$268,'Source List'!G$2:G$268='Row Counts'!B219," "))</f>
        <v/>
      </c>
      <c r="E219" s="105" t="str">
        <f ca="1">IFERROR(Table1[[#This Row],[TOTAL VINES]]-Table1[[#This Row],[VINES LEFT]],"")</f>
        <v/>
      </c>
      <c r="F219" s="105">
        <f ca="1">Table1[[#This Row],[TOTAL VINES]]-Table1[[#This Row],[VINES PICKED]]</f>
        <v>0</v>
      </c>
      <c r="G219" s="106">
        <f t="shared" si="18"/>
        <v>0</v>
      </c>
      <c r="H219" s="106">
        <f t="shared" ca="1" si="16"/>
        <v>0</v>
      </c>
      <c r="I219" s="106">
        <f ca="1">Table1[[#This Row],[TOTAL ACRES]]-Table1[[#This Row],[ACRES PICKED]]</f>
        <v>0</v>
      </c>
      <c r="J219" s="106">
        <f ca="1">Table1[[#This Row],[ACRES PICKED]]</f>
        <v>0</v>
      </c>
      <c r="M219" s="118">
        <f>Table1[[#This Row],[LOADS]]*24</f>
        <v>0</v>
      </c>
      <c r="N219" s="107">
        <f t="shared" ca="1" si="15"/>
        <v>0</v>
      </c>
      <c r="O219" s="108" t="str">
        <f t="shared" ca="1" si="17"/>
        <v/>
      </c>
    </row>
    <row r="220" spans="1:18" ht="13.5" customHeight="1" x14ac:dyDescent="0.3">
      <c r="C220" s="9" t="str" cm="1">
        <f t="array" ref="C220">IF(B220="","",_xlfn._xlws.FILTER('Source List'!I$2:I$268,'Source List'!G$2:G$268='Row Counts'!B220," "))</f>
        <v/>
      </c>
      <c r="D220" s="104" t="str" cm="1">
        <f t="array" ref="D220">IF(B220="","",_xlfn._xlws.FILTER('Source List'!J$2:J$268,'Source List'!G$2:G$268='Row Counts'!B220," "))</f>
        <v/>
      </c>
      <c r="E220" s="105" t="str">
        <f ca="1">IFERROR(Table1[[#This Row],[TOTAL VINES]]-Table1[[#This Row],[VINES LEFT]],"")</f>
        <v/>
      </c>
      <c r="F220" s="105">
        <f ca="1">Table1[[#This Row],[TOTAL VINES]]-Table1[[#This Row],[VINES PICKED]]</f>
        <v>0</v>
      </c>
      <c r="G220" s="106">
        <f t="shared" si="18"/>
        <v>0</v>
      </c>
      <c r="H220" s="106">
        <f t="shared" ca="1" si="16"/>
        <v>0</v>
      </c>
      <c r="I220" s="106">
        <f ca="1">Table1[[#This Row],[TOTAL ACRES]]-Table1[[#This Row],[ACRES PICKED]]</f>
        <v>0</v>
      </c>
      <c r="J220" s="106">
        <f ca="1">Table1[[#This Row],[ACRES PICKED]]</f>
        <v>0</v>
      </c>
      <c r="M220" s="118">
        <f>Table1[[#This Row],[LOADS]]*24</f>
        <v>0</v>
      </c>
      <c r="N220" s="107">
        <f t="shared" ca="1" si="15"/>
        <v>0</v>
      </c>
      <c r="O220" s="108" t="str">
        <f t="shared" ca="1" si="17"/>
        <v/>
      </c>
    </row>
    <row r="221" spans="1:18" s="123" customFormat="1" ht="13.5" customHeight="1" thickBot="1" x14ac:dyDescent="0.35">
      <c r="A221" s="103"/>
      <c r="B221" s="12"/>
      <c r="C221" s="9" t="str" cm="1">
        <f t="array" ref="C221">IF(B221="","",_xlfn._xlws.FILTER('Source List'!I$2:I$268,'Source List'!G$2:G$268='Row Counts'!B221," "))</f>
        <v/>
      </c>
      <c r="D221" s="104" t="str" cm="1">
        <f t="array" ref="D221">IF(B221="","",_xlfn._xlws.FILTER('Source List'!J$2:J$268,'Source List'!G$2:G$268='Row Counts'!B221," "))</f>
        <v/>
      </c>
      <c r="E221" s="105" t="str">
        <f ca="1">IFERROR(Table1[[#This Row],[TOTAL VINES]]-Table1[[#This Row],[VINES LEFT]],"")</f>
        <v/>
      </c>
      <c r="F221" s="105">
        <f ca="1">Table1[[#This Row],[TOTAL VINES]]-Table1[[#This Row],[VINES PICKED]]</f>
        <v>0</v>
      </c>
      <c r="G221" s="106">
        <f t="shared" si="18"/>
        <v>0</v>
      </c>
      <c r="H221" s="106">
        <f t="shared" ca="1" si="16"/>
        <v>0</v>
      </c>
      <c r="I221" s="106">
        <f ca="1">Table1[[#This Row],[TOTAL ACRES]]-Table1[[#This Row],[ACRES PICKED]]</f>
        <v>0</v>
      </c>
      <c r="J221" s="106">
        <f ca="1">Table1[[#This Row],[ACRES PICKED]]</f>
        <v>0</v>
      </c>
      <c r="K221" s="106"/>
      <c r="L221" s="106"/>
      <c r="M221" s="118">
        <f>Table1[[#This Row],[LOADS]]*24</f>
        <v>0</v>
      </c>
      <c r="N221" s="107">
        <f t="shared" ca="1" si="15"/>
        <v>0</v>
      </c>
      <c r="O221" s="108" t="str">
        <f t="shared" ca="1" si="17"/>
        <v/>
      </c>
      <c r="P221" s="109"/>
      <c r="Q221" s="12"/>
      <c r="R221" s="12"/>
    </row>
    <row r="222" spans="1:18" s="121" customFormat="1" ht="13.5" customHeight="1" x14ac:dyDescent="0.3">
      <c r="A222" s="103"/>
      <c r="B222" s="12"/>
      <c r="C222" s="9" t="str" cm="1">
        <f t="array" ref="C222">IF(B222="","",_xlfn._xlws.FILTER('Source List'!I$2:I$268,'Source List'!G$2:G$268='Row Counts'!B222," "))</f>
        <v/>
      </c>
      <c r="D222" s="104" t="str" cm="1">
        <f t="array" ref="D222">IF(B222="","",_xlfn._xlws.FILTER('Source List'!J$2:J$268,'Source List'!G$2:G$268='Row Counts'!B222," "))</f>
        <v/>
      </c>
      <c r="E222" s="105" t="str">
        <f ca="1">IFERROR(Table1[[#This Row],[TOTAL VINES]]-Table1[[#This Row],[VINES LEFT]],"")</f>
        <v/>
      </c>
      <c r="F222" s="105">
        <f ca="1">Table1[[#This Row],[TOTAL VINES]]-Table1[[#This Row],[VINES PICKED]]</f>
        <v>0</v>
      </c>
      <c r="G222" s="106">
        <f t="shared" si="18"/>
        <v>0</v>
      </c>
      <c r="H222" s="106">
        <f t="shared" ca="1" si="16"/>
        <v>0</v>
      </c>
      <c r="I222" s="106">
        <f ca="1">Table1[[#This Row],[TOTAL ACRES]]-Table1[[#This Row],[ACRES PICKED]]</f>
        <v>0</v>
      </c>
      <c r="J222" s="106">
        <f ca="1">Table1[[#This Row],[ACRES PICKED]]</f>
        <v>0</v>
      </c>
      <c r="K222" s="106"/>
      <c r="L222" s="106"/>
      <c r="M222" s="118">
        <f>Table1[[#This Row],[LOADS]]*24</f>
        <v>0</v>
      </c>
      <c r="N222" s="107">
        <f t="shared" ca="1" si="15"/>
        <v>0</v>
      </c>
      <c r="O222" s="108" t="str">
        <f t="shared" ca="1" si="17"/>
        <v/>
      </c>
      <c r="P222" s="109"/>
      <c r="Q222" s="12"/>
      <c r="R222" s="12"/>
    </row>
    <row r="223" spans="1:18" ht="13.5" customHeight="1" x14ac:dyDescent="0.3">
      <c r="C223" s="9" t="str" cm="1">
        <f t="array" ref="C223">IF(B223="","",_xlfn._xlws.FILTER('Source List'!I$2:I$268,'Source List'!G$2:G$268='Row Counts'!B223," "))</f>
        <v/>
      </c>
      <c r="D223" s="104" t="str" cm="1">
        <f t="array" ref="D223">IF(B223="","",_xlfn._xlws.FILTER('Source List'!J$2:J$268,'Source List'!G$2:G$268='Row Counts'!B223," "))</f>
        <v/>
      </c>
      <c r="E223" s="105" t="str">
        <f ca="1">IFERROR(Table1[[#This Row],[TOTAL VINES]]-Table1[[#This Row],[VINES LEFT]],"")</f>
        <v/>
      </c>
      <c r="F223" s="105">
        <f ca="1">Table1[[#This Row],[TOTAL VINES]]-Table1[[#This Row],[VINES PICKED]]</f>
        <v>0</v>
      </c>
      <c r="G223" s="106">
        <f t="shared" si="18"/>
        <v>0</v>
      </c>
      <c r="H223" s="106">
        <f t="shared" ca="1" si="16"/>
        <v>0</v>
      </c>
      <c r="I223" s="106">
        <f ca="1">Table1[[#This Row],[TOTAL ACRES]]-Table1[[#This Row],[ACRES PICKED]]</f>
        <v>0</v>
      </c>
      <c r="J223" s="106">
        <f ca="1">Table1[[#This Row],[ACRES PICKED]]</f>
        <v>0</v>
      </c>
      <c r="M223" s="118">
        <f>Table1[[#This Row],[LOADS]]*24</f>
        <v>0</v>
      </c>
      <c r="N223" s="107">
        <f t="shared" ca="1" si="15"/>
        <v>0</v>
      </c>
      <c r="O223" s="108" t="str">
        <f t="shared" ca="1" si="17"/>
        <v/>
      </c>
    </row>
    <row r="224" spans="1:18" s="123" customFormat="1" ht="13.5" customHeight="1" thickBot="1" x14ac:dyDescent="0.35">
      <c r="A224" s="103"/>
      <c r="B224" s="12"/>
      <c r="C224" s="9" t="str" cm="1">
        <f t="array" ref="C224">IF(B224="","",_xlfn._xlws.FILTER('Source List'!I$2:I$268,'Source List'!G$2:G$268='Row Counts'!B224," "))</f>
        <v/>
      </c>
      <c r="D224" s="104" t="str" cm="1">
        <f t="array" ref="D224">IF(B224="","",_xlfn._xlws.FILTER('Source List'!J$2:J$268,'Source List'!G$2:G$268='Row Counts'!B224," "))</f>
        <v/>
      </c>
      <c r="E224" s="105" t="str">
        <f ca="1">IFERROR(Table1[[#This Row],[TOTAL VINES]]-Table1[[#This Row],[VINES LEFT]],"")</f>
        <v/>
      </c>
      <c r="F224" s="105">
        <f ca="1">Table1[[#This Row],[TOTAL VINES]]-Table1[[#This Row],[VINES PICKED]]</f>
        <v>0</v>
      </c>
      <c r="G224" s="106">
        <f t="shared" si="18"/>
        <v>0</v>
      </c>
      <c r="H224" s="106">
        <f t="shared" ca="1" si="16"/>
        <v>0</v>
      </c>
      <c r="I224" s="106">
        <f ca="1">Table1[[#This Row],[TOTAL ACRES]]-Table1[[#This Row],[ACRES PICKED]]</f>
        <v>0</v>
      </c>
      <c r="J224" s="106">
        <f ca="1">Table1[[#This Row],[ACRES PICKED]]</f>
        <v>0</v>
      </c>
      <c r="K224" s="106"/>
      <c r="L224" s="106"/>
      <c r="M224" s="118">
        <f>Table1[[#This Row],[LOADS]]*24</f>
        <v>0</v>
      </c>
      <c r="N224" s="107">
        <f t="shared" ca="1" si="15"/>
        <v>0</v>
      </c>
      <c r="O224" s="108" t="str">
        <f t="shared" ca="1" si="17"/>
        <v/>
      </c>
      <c r="P224" s="109"/>
      <c r="Q224" s="12"/>
      <c r="R224" s="12"/>
    </row>
    <row r="225" spans="1:18" s="121" customFormat="1" ht="13.5" customHeight="1" x14ac:dyDescent="0.3">
      <c r="A225" s="103"/>
      <c r="B225" s="12"/>
      <c r="C225" s="9" t="str" cm="1">
        <f t="array" ref="C225">IF(B225="","",_xlfn._xlws.FILTER('Source List'!I$2:I$268,'Source List'!G$2:G$268='Row Counts'!B225," "))</f>
        <v/>
      </c>
      <c r="D225" s="104" t="str" cm="1">
        <f t="array" ref="D225">IF(B225="","",_xlfn._xlws.FILTER('Source List'!J$2:J$268,'Source List'!G$2:G$268='Row Counts'!B225," "))</f>
        <v/>
      </c>
      <c r="E225" s="105" t="str">
        <f ca="1">IFERROR(Table1[[#This Row],[TOTAL VINES]]-Table1[[#This Row],[VINES LEFT]],"")</f>
        <v/>
      </c>
      <c r="F225" s="105">
        <f ca="1">Table1[[#This Row],[TOTAL VINES]]-Table1[[#This Row],[VINES PICKED]]</f>
        <v>0</v>
      </c>
      <c r="G225" s="106">
        <f t="shared" si="18"/>
        <v>0</v>
      </c>
      <c r="H225" s="106">
        <f t="shared" ca="1" si="16"/>
        <v>0</v>
      </c>
      <c r="I225" s="106">
        <f ca="1">Table1[[#This Row],[TOTAL ACRES]]-Table1[[#This Row],[ACRES PICKED]]</f>
        <v>0</v>
      </c>
      <c r="J225" s="106">
        <f ca="1">Table1[[#This Row],[ACRES PICKED]]</f>
        <v>0</v>
      </c>
      <c r="K225" s="106"/>
      <c r="L225" s="106"/>
      <c r="M225" s="118">
        <f>Table1[[#This Row],[LOADS]]*24</f>
        <v>0</v>
      </c>
      <c r="N225" s="107">
        <f t="shared" ca="1" si="15"/>
        <v>0</v>
      </c>
      <c r="O225" s="108" t="str">
        <f t="shared" ca="1" si="17"/>
        <v/>
      </c>
      <c r="P225" s="109"/>
      <c r="Q225" s="12"/>
      <c r="R225" s="12"/>
    </row>
    <row r="226" spans="1:18" ht="13.5" customHeight="1" x14ac:dyDescent="0.3">
      <c r="C226" s="9" t="str" cm="1">
        <f t="array" ref="C226">IF(B226="","",_xlfn._xlws.FILTER('Source List'!I$2:I$268,'Source List'!G$2:G$268='Row Counts'!B226," "))</f>
        <v/>
      </c>
      <c r="D226" s="104" t="str" cm="1">
        <f t="array" ref="D226">IF(B226="","",_xlfn._xlws.FILTER('Source List'!J$2:J$268,'Source List'!G$2:G$268='Row Counts'!B226," "))</f>
        <v/>
      </c>
      <c r="E226" s="105" t="str">
        <f ca="1">IFERROR(Table1[[#This Row],[TOTAL VINES]]-Table1[[#This Row],[VINES LEFT]],"")</f>
        <v/>
      </c>
      <c r="F226" s="105">
        <f ca="1">Table1[[#This Row],[TOTAL VINES]]-Table1[[#This Row],[VINES PICKED]]</f>
        <v>0</v>
      </c>
      <c r="G226" s="106">
        <f t="shared" si="18"/>
        <v>0</v>
      </c>
      <c r="H226" s="106">
        <f t="shared" ca="1" si="16"/>
        <v>0</v>
      </c>
      <c r="I226" s="106">
        <f ca="1">Table1[[#This Row],[TOTAL ACRES]]-Table1[[#This Row],[ACRES PICKED]]</f>
        <v>0</v>
      </c>
      <c r="J226" s="106">
        <f ca="1">Table1[[#This Row],[ACRES PICKED]]</f>
        <v>0</v>
      </c>
      <c r="M226" s="118">
        <f>Table1[[#This Row],[LOADS]]*24</f>
        <v>0</v>
      </c>
      <c r="N226" s="107">
        <f t="shared" ca="1" si="15"/>
        <v>0</v>
      </c>
      <c r="O226" s="108" t="str">
        <f t="shared" ca="1" si="17"/>
        <v/>
      </c>
    </row>
    <row r="227" spans="1:18" ht="13.5" customHeight="1" x14ac:dyDescent="0.3">
      <c r="C227" s="9" t="str" cm="1">
        <f t="array" ref="C227">IF(B227="","",_xlfn._xlws.FILTER('Source List'!I$2:I$268,'Source List'!G$2:G$268='Row Counts'!B227," "))</f>
        <v/>
      </c>
      <c r="D227" s="104" t="str" cm="1">
        <f t="array" ref="D227">IF(B227="","",_xlfn._xlws.FILTER('Source List'!J$2:J$268,'Source List'!G$2:G$268='Row Counts'!B227," "))</f>
        <v/>
      </c>
      <c r="E227" s="105" t="str">
        <f ca="1">IFERROR(Table1[[#This Row],[TOTAL VINES]]-Table1[[#This Row],[VINES LEFT]],"")</f>
        <v/>
      </c>
      <c r="F227" s="105">
        <f ca="1">Table1[[#This Row],[TOTAL VINES]]-Table1[[#This Row],[VINES PICKED]]</f>
        <v>0</v>
      </c>
      <c r="G227" s="106">
        <f t="shared" si="18"/>
        <v>0</v>
      </c>
      <c r="H227" s="106">
        <f t="shared" ca="1" si="16"/>
        <v>0</v>
      </c>
      <c r="I227" s="106">
        <f ca="1">Table1[[#This Row],[TOTAL ACRES]]-Table1[[#This Row],[ACRES PICKED]]</f>
        <v>0</v>
      </c>
      <c r="J227" s="106">
        <f ca="1">Table1[[#This Row],[ACRES PICKED]]</f>
        <v>0</v>
      </c>
      <c r="M227" s="118">
        <f>Table1[[#This Row],[LOADS]]*24</f>
        <v>0</v>
      </c>
      <c r="N227" s="107">
        <f t="shared" ca="1" si="15"/>
        <v>0</v>
      </c>
      <c r="O227" s="108" t="str">
        <f t="shared" ca="1" si="17"/>
        <v/>
      </c>
    </row>
    <row r="228" spans="1:18" ht="13.5" customHeight="1" x14ac:dyDescent="0.3">
      <c r="C228" s="9" t="str" cm="1">
        <f t="array" ref="C228">IF(B228="","",_xlfn._xlws.FILTER('Source List'!I$2:I$268,'Source List'!G$2:G$268='Row Counts'!B228," "))</f>
        <v/>
      </c>
      <c r="D228" s="104" t="str" cm="1">
        <f t="array" ref="D228">IF(B228="","",_xlfn._xlws.FILTER('Source List'!J$2:J$268,'Source List'!G$2:G$268='Row Counts'!B228," "))</f>
        <v/>
      </c>
      <c r="E228" s="105" t="str">
        <f ca="1">IFERROR(Table1[[#This Row],[TOTAL VINES]]-Table1[[#This Row],[VINES LEFT]],"")</f>
        <v/>
      </c>
      <c r="F228" s="105">
        <f ca="1">Table1[[#This Row],[TOTAL VINES]]-Table1[[#This Row],[VINES PICKED]]</f>
        <v>0</v>
      </c>
      <c r="G228" s="106">
        <f t="shared" si="18"/>
        <v>0</v>
      </c>
      <c r="H228" s="106">
        <f t="shared" ca="1" si="16"/>
        <v>0</v>
      </c>
      <c r="I228" s="106">
        <f ca="1">Table1[[#This Row],[TOTAL ACRES]]-Table1[[#This Row],[ACRES PICKED]]</f>
        <v>0</v>
      </c>
      <c r="J228" s="106">
        <f ca="1">Table1[[#This Row],[ACRES PICKED]]</f>
        <v>0</v>
      </c>
      <c r="M228" s="118">
        <f>Table1[[#This Row],[LOADS]]*24</f>
        <v>0</v>
      </c>
      <c r="N228" s="107">
        <f t="shared" ca="1" si="15"/>
        <v>0</v>
      </c>
      <c r="O228" s="108" t="str">
        <f t="shared" ca="1" si="17"/>
        <v/>
      </c>
    </row>
    <row r="229" spans="1:18" ht="13.5" customHeight="1" x14ac:dyDescent="0.3">
      <c r="C229" s="9" t="str" cm="1">
        <f t="array" ref="C229">IF(B229="","",_xlfn._xlws.FILTER('Source List'!I$2:I$268,'Source List'!G$2:G$268='Row Counts'!B229," "))</f>
        <v/>
      </c>
      <c r="D229" s="104" t="str" cm="1">
        <f t="array" ref="D229">IF(B229="","",_xlfn._xlws.FILTER('Source List'!J$2:J$268,'Source List'!G$2:G$268='Row Counts'!B229," "))</f>
        <v/>
      </c>
      <c r="E229" s="105" t="str">
        <f ca="1">IFERROR(Table1[[#This Row],[TOTAL VINES]]-Table1[[#This Row],[VINES LEFT]],"")</f>
        <v/>
      </c>
      <c r="F229" s="105">
        <f ca="1">Table1[[#This Row],[TOTAL VINES]]-Table1[[#This Row],[VINES PICKED]]</f>
        <v>0</v>
      </c>
      <c r="G229" s="106">
        <f t="shared" si="18"/>
        <v>0</v>
      </c>
      <c r="H229" s="106">
        <f t="shared" ca="1" si="16"/>
        <v>0</v>
      </c>
      <c r="I229" s="106">
        <f ca="1">Table1[[#This Row],[TOTAL ACRES]]-Table1[[#This Row],[ACRES PICKED]]</f>
        <v>0</v>
      </c>
      <c r="J229" s="106">
        <f ca="1">Table1[[#This Row],[ACRES PICKED]]</f>
        <v>0</v>
      </c>
      <c r="M229" s="118">
        <f>Table1[[#This Row],[LOADS]]*24</f>
        <v>0</v>
      </c>
      <c r="N229" s="107">
        <f t="shared" ca="1" si="15"/>
        <v>0</v>
      </c>
      <c r="O229" s="108" t="str">
        <f t="shared" ca="1" si="17"/>
        <v/>
      </c>
    </row>
    <row r="230" spans="1:18" ht="13.5" customHeight="1" x14ac:dyDescent="0.3">
      <c r="C230" s="9" t="str" cm="1">
        <f t="array" ref="C230">IF(B230="","",_xlfn._xlws.FILTER('Source List'!I$2:I$268,'Source List'!G$2:G$268='Row Counts'!B230," "))</f>
        <v/>
      </c>
      <c r="D230" s="104" t="str" cm="1">
        <f t="array" ref="D230">IF(B230="","",_xlfn._xlws.FILTER('Source List'!J$2:J$268,'Source List'!G$2:G$268='Row Counts'!B230," "))</f>
        <v/>
      </c>
      <c r="E230" s="105" t="str">
        <f ca="1">IFERROR(Table1[[#This Row],[TOTAL VINES]]-Table1[[#This Row],[VINES LEFT]],"")</f>
        <v/>
      </c>
      <c r="F230" s="105">
        <f ca="1">Table1[[#This Row],[TOTAL VINES]]-Table1[[#This Row],[VINES PICKED]]</f>
        <v>0</v>
      </c>
      <c r="G230" s="106">
        <f t="shared" si="18"/>
        <v>0</v>
      </c>
      <c r="H230" s="106">
        <f t="shared" ca="1" si="16"/>
        <v>0</v>
      </c>
      <c r="I230" s="106">
        <f ca="1">Table1[[#This Row],[TOTAL ACRES]]-Table1[[#This Row],[ACRES PICKED]]</f>
        <v>0</v>
      </c>
      <c r="J230" s="106">
        <f ca="1">Table1[[#This Row],[ACRES PICKED]]</f>
        <v>0</v>
      </c>
      <c r="M230" s="118">
        <f>Table1[[#This Row],[LOADS]]*24</f>
        <v>0</v>
      </c>
      <c r="N230" s="107">
        <f t="shared" ca="1" si="15"/>
        <v>0</v>
      </c>
      <c r="O230" s="108" t="str">
        <f t="shared" ca="1" si="17"/>
        <v/>
      </c>
    </row>
    <row r="231" spans="1:18" s="123" customFormat="1" ht="13.5" customHeight="1" thickBot="1" x14ac:dyDescent="0.35">
      <c r="A231" s="103"/>
      <c r="B231" s="12"/>
      <c r="C231" s="9" t="str" cm="1">
        <f t="array" ref="C231">IF(B231="","",_xlfn._xlws.FILTER('Source List'!I$2:I$268,'Source List'!G$2:G$268='Row Counts'!B231," "))</f>
        <v/>
      </c>
      <c r="D231" s="104" t="str" cm="1">
        <f t="array" ref="D231">IF(B231="","",_xlfn._xlws.FILTER('Source List'!J$2:J$268,'Source List'!G$2:G$268='Row Counts'!B231," "))</f>
        <v/>
      </c>
      <c r="E231" s="105" t="str">
        <f ca="1">IFERROR(Table1[[#This Row],[TOTAL VINES]]-Table1[[#This Row],[VINES LEFT]],"")</f>
        <v/>
      </c>
      <c r="F231" s="105">
        <f ca="1">Table1[[#This Row],[TOTAL VINES]]-Table1[[#This Row],[VINES PICKED]]</f>
        <v>0</v>
      </c>
      <c r="G231" s="106">
        <f t="shared" si="18"/>
        <v>0</v>
      </c>
      <c r="H231" s="106">
        <f t="shared" ca="1" si="16"/>
        <v>0</v>
      </c>
      <c r="I231" s="106">
        <f ca="1">Table1[[#This Row],[TOTAL ACRES]]-Table1[[#This Row],[ACRES PICKED]]</f>
        <v>0</v>
      </c>
      <c r="J231" s="106">
        <f ca="1">Table1[[#This Row],[ACRES PICKED]]</f>
        <v>0</v>
      </c>
      <c r="K231" s="106"/>
      <c r="L231" s="106"/>
      <c r="M231" s="118">
        <f>Table1[[#This Row],[LOADS]]*24</f>
        <v>0</v>
      </c>
      <c r="N231" s="107">
        <f t="shared" ca="1" si="15"/>
        <v>0</v>
      </c>
      <c r="O231" s="108" t="str">
        <f t="shared" ca="1" si="17"/>
        <v/>
      </c>
      <c r="P231" s="109"/>
      <c r="Q231" s="12"/>
      <c r="R231" s="12"/>
    </row>
    <row r="232" spans="1:18" s="121" customFormat="1" ht="13.5" customHeight="1" x14ac:dyDescent="0.3">
      <c r="A232" s="103"/>
      <c r="B232" s="12"/>
      <c r="C232" s="9" t="str" cm="1">
        <f t="array" ref="C232">IF(B232="","",_xlfn._xlws.FILTER('Source List'!I$2:I$268,'Source List'!G$2:G$268='Row Counts'!B232," "))</f>
        <v/>
      </c>
      <c r="D232" s="104" t="str" cm="1">
        <f t="array" ref="D232">IF(B232="","",_xlfn._xlws.FILTER('Source List'!J$2:J$268,'Source List'!G$2:G$268='Row Counts'!B232," "))</f>
        <v/>
      </c>
      <c r="E232" s="105" t="str">
        <f ca="1">IFERROR(Table1[[#This Row],[TOTAL VINES]]-Table1[[#This Row],[VINES LEFT]],"")</f>
        <v/>
      </c>
      <c r="F232" s="105">
        <f ca="1">Table1[[#This Row],[TOTAL VINES]]-Table1[[#This Row],[VINES PICKED]]</f>
        <v>0</v>
      </c>
      <c r="G232" s="106">
        <f t="shared" si="18"/>
        <v>0</v>
      </c>
      <c r="H232" s="106">
        <f t="shared" ca="1" si="16"/>
        <v>0</v>
      </c>
      <c r="I232" s="106">
        <f ca="1">Table1[[#This Row],[TOTAL ACRES]]-Table1[[#This Row],[ACRES PICKED]]</f>
        <v>0</v>
      </c>
      <c r="J232" s="106">
        <f ca="1">Table1[[#This Row],[ACRES PICKED]]</f>
        <v>0</v>
      </c>
      <c r="K232" s="106"/>
      <c r="L232" s="106"/>
      <c r="M232" s="118">
        <f>Table1[[#This Row],[LOADS]]*24</f>
        <v>0</v>
      </c>
      <c r="N232" s="107">
        <f t="shared" ref="N232:N295" ca="1" si="19">IFERROR(M232/J232,0)</f>
        <v>0</v>
      </c>
      <c r="O232" s="108" t="str">
        <f t="shared" ca="1" si="17"/>
        <v/>
      </c>
      <c r="P232" s="109"/>
      <c r="Q232" s="12"/>
      <c r="R232" s="12"/>
    </row>
    <row r="233" spans="1:18" ht="13.5" customHeight="1" x14ac:dyDescent="0.3">
      <c r="C233" s="9" t="str" cm="1">
        <f t="array" ref="C233">IF(B233="","",_xlfn._xlws.FILTER('Source List'!I$2:I$268,'Source List'!G$2:G$268='Row Counts'!B233," "))</f>
        <v/>
      </c>
      <c r="D233" s="104" t="str" cm="1">
        <f t="array" ref="D233">IF(B233="","",_xlfn._xlws.FILTER('Source List'!J$2:J$268,'Source List'!G$2:G$268='Row Counts'!B233," "))</f>
        <v/>
      </c>
      <c r="E233" s="105" t="str">
        <f ca="1">IFERROR(Table1[[#This Row],[TOTAL VINES]]-Table1[[#This Row],[VINES LEFT]],"")</f>
        <v/>
      </c>
      <c r="F233" s="105">
        <f ca="1">Table1[[#This Row],[TOTAL VINES]]-Table1[[#This Row],[VINES PICKED]]</f>
        <v>0</v>
      </c>
      <c r="G233" s="106">
        <f t="shared" si="18"/>
        <v>0</v>
      </c>
      <c r="H233" s="106">
        <f t="shared" ca="1" si="16"/>
        <v>0</v>
      </c>
      <c r="I233" s="106">
        <f ca="1">Table1[[#This Row],[TOTAL ACRES]]-Table1[[#This Row],[ACRES PICKED]]</f>
        <v>0</v>
      </c>
      <c r="J233" s="106">
        <f ca="1">Table1[[#This Row],[ACRES PICKED]]</f>
        <v>0</v>
      </c>
      <c r="M233" s="118">
        <f>Table1[[#This Row],[LOADS]]*24</f>
        <v>0</v>
      </c>
      <c r="N233" s="107">
        <f t="shared" ca="1" si="19"/>
        <v>0</v>
      </c>
      <c r="O233" s="108" t="str">
        <f t="shared" ca="1" si="17"/>
        <v/>
      </c>
    </row>
    <row r="234" spans="1:18" ht="13.5" customHeight="1" x14ac:dyDescent="0.3">
      <c r="C234" s="9" t="str" cm="1">
        <f t="array" ref="C234">IF(B234="","",_xlfn._xlws.FILTER('Source List'!I$2:I$268,'Source List'!G$2:G$268='Row Counts'!B234," "))</f>
        <v/>
      </c>
      <c r="D234" s="104" t="str" cm="1">
        <f t="array" ref="D234">IF(B234="","",_xlfn._xlws.FILTER('Source List'!J$2:J$268,'Source List'!G$2:G$268='Row Counts'!B234," "))</f>
        <v/>
      </c>
      <c r="E234" s="105" t="str">
        <f ca="1">IFERROR(Table1[[#This Row],[TOTAL VINES]]-Table1[[#This Row],[VINES LEFT]],"")</f>
        <v/>
      </c>
      <c r="F234" s="105">
        <f ca="1">Table1[[#This Row],[TOTAL VINES]]-Table1[[#This Row],[VINES PICKED]]</f>
        <v>0</v>
      </c>
      <c r="G234" s="106">
        <f t="shared" si="18"/>
        <v>0</v>
      </c>
      <c r="H234" s="106">
        <f t="shared" ca="1" si="16"/>
        <v>0</v>
      </c>
      <c r="I234" s="106">
        <f ca="1">Table1[[#This Row],[TOTAL ACRES]]-Table1[[#This Row],[ACRES PICKED]]</f>
        <v>0</v>
      </c>
      <c r="J234" s="106">
        <f ca="1">Table1[[#This Row],[ACRES PICKED]]</f>
        <v>0</v>
      </c>
      <c r="M234" s="118">
        <f>Table1[[#This Row],[LOADS]]*24</f>
        <v>0</v>
      </c>
      <c r="N234" s="107">
        <f t="shared" ca="1" si="19"/>
        <v>0</v>
      </c>
      <c r="O234" s="108" t="str">
        <f t="shared" ca="1" si="17"/>
        <v/>
      </c>
    </row>
    <row r="235" spans="1:18" ht="13.5" customHeight="1" x14ac:dyDescent="0.3">
      <c r="C235" s="9" t="str" cm="1">
        <f t="array" ref="C235">IF(B235="","",_xlfn._xlws.FILTER('Source List'!I$2:I$268,'Source List'!G$2:G$268='Row Counts'!B235," "))</f>
        <v/>
      </c>
      <c r="D235" s="104" t="str" cm="1">
        <f t="array" ref="D235">IF(B235="","",_xlfn._xlws.FILTER('Source List'!J$2:J$268,'Source List'!G$2:G$268='Row Counts'!B235," "))</f>
        <v/>
      </c>
      <c r="E235" s="105" t="str">
        <f ca="1">IFERROR(Table1[[#This Row],[TOTAL VINES]]-Table1[[#This Row],[VINES LEFT]],"")</f>
        <v/>
      </c>
      <c r="F235" s="105">
        <f ca="1">Table1[[#This Row],[TOTAL VINES]]-Table1[[#This Row],[VINES PICKED]]</f>
        <v>0</v>
      </c>
      <c r="G235" s="106">
        <f t="shared" si="18"/>
        <v>0</v>
      </c>
      <c r="H235" s="106">
        <f t="shared" ca="1" si="16"/>
        <v>0</v>
      </c>
      <c r="I235" s="106">
        <f ca="1">Table1[[#This Row],[TOTAL ACRES]]-Table1[[#This Row],[ACRES PICKED]]</f>
        <v>0</v>
      </c>
      <c r="J235" s="106">
        <f ca="1">Table1[[#This Row],[ACRES PICKED]]</f>
        <v>0</v>
      </c>
      <c r="M235" s="118">
        <f>Table1[[#This Row],[LOADS]]*24</f>
        <v>0</v>
      </c>
      <c r="N235" s="107">
        <f t="shared" ca="1" si="19"/>
        <v>0</v>
      </c>
      <c r="O235" s="108" t="str">
        <f t="shared" ca="1" si="17"/>
        <v/>
      </c>
    </row>
    <row r="236" spans="1:18" ht="13.5" customHeight="1" x14ac:dyDescent="0.3">
      <c r="C236" s="9" t="str" cm="1">
        <f t="array" ref="C236">IF(B236="","",_xlfn._xlws.FILTER('Source List'!I$2:I$268,'Source List'!G$2:G$268='Row Counts'!B236," "))</f>
        <v/>
      </c>
      <c r="D236" s="104" t="str" cm="1">
        <f t="array" ref="D236">IF(B236="","",_xlfn._xlws.FILTER('Source List'!J$2:J$268,'Source List'!G$2:G$268='Row Counts'!B236," "))</f>
        <v/>
      </c>
      <c r="E236" s="105" t="str">
        <f ca="1">IFERROR(Table1[[#This Row],[TOTAL VINES]]-Table1[[#This Row],[VINES LEFT]],"")</f>
        <v/>
      </c>
      <c r="F236" s="105">
        <f ca="1">Table1[[#This Row],[TOTAL VINES]]-Table1[[#This Row],[VINES PICKED]]</f>
        <v>0</v>
      </c>
      <c r="G236" s="106">
        <f t="shared" si="18"/>
        <v>0</v>
      </c>
      <c r="H236" s="106">
        <f t="shared" ca="1" si="16"/>
        <v>0</v>
      </c>
      <c r="I236" s="106">
        <f ca="1">Table1[[#This Row],[TOTAL ACRES]]-Table1[[#This Row],[ACRES PICKED]]</f>
        <v>0</v>
      </c>
      <c r="J236" s="106">
        <f ca="1">Table1[[#This Row],[ACRES PICKED]]</f>
        <v>0</v>
      </c>
      <c r="M236" s="118">
        <f>Table1[[#This Row],[LOADS]]*24</f>
        <v>0</v>
      </c>
      <c r="N236" s="107">
        <f t="shared" ca="1" si="19"/>
        <v>0</v>
      </c>
      <c r="O236" s="108" t="str">
        <f t="shared" ca="1" si="17"/>
        <v/>
      </c>
    </row>
    <row r="237" spans="1:18" ht="13.5" customHeight="1" x14ac:dyDescent="0.3">
      <c r="C237" s="9" t="str" cm="1">
        <f t="array" ref="C237">IF(B237="","",_xlfn._xlws.FILTER('Source List'!I$2:I$268,'Source List'!G$2:G$268='Row Counts'!B237," "))</f>
        <v/>
      </c>
      <c r="D237" s="104" t="str" cm="1">
        <f t="array" ref="D237">IF(B237="","",_xlfn._xlws.FILTER('Source List'!J$2:J$268,'Source List'!G$2:G$268='Row Counts'!B237," "))</f>
        <v/>
      </c>
      <c r="E237" s="105" t="str">
        <f ca="1">IFERROR(Table1[[#This Row],[TOTAL VINES]]-Table1[[#This Row],[VINES LEFT]],"")</f>
        <v/>
      </c>
      <c r="F237" s="105">
        <f ca="1">Table1[[#This Row],[TOTAL VINES]]-Table1[[#This Row],[VINES PICKED]]</f>
        <v>0</v>
      </c>
      <c r="G237" s="106">
        <f t="shared" si="18"/>
        <v>0</v>
      </c>
      <c r="H237" s="106">
        <f t="shared" ca="1" si="16"/>
        <v>0</v>
      </c>
      <c r="I237" s="106">
        <f ca="1">Table1[[#This Row],[TOTAL ACRES]]-Table1[[#This Row],[ACRES PICKED]]</f>
        <v>0</v>
      </c>
      <c r="J237" s="106">
        <f ca="1">Table1[[#This Row],[ACRES PICKED]]</f>
        <v>0</v>
      </c>
      <c r="M237" s="118">
        <f>Table1[[#This Row],[LOADS]]*24</f>
        <v>0</v>
      </c>
      <c r="N237" s="107">
        <f t="shared" ca="1" si="19"/>
        <v>0</v>
      </c>
      <c r="O237" s="108" t="str">
        <f t="shared" ca="1" si="17"/>
        <v/>
      </c>
    </row>
    <row r="238" spans="1:18" ht="13.5" customHeight="1" x14ac:dyDescent="0.3">
      <c r="C238" s="9" t="str" cm="1">
        <f t="array" ref="C238">IF(B238="","",_xlfn._xlws.FILTER('Source List'!I$2:I$268,'Source List'!G$2:G$268='Row Counts'!B238," "))</f>
        <v/>
      </c>
      <c r="D238" s="104" t="str" cm="1">
        <f t="array" ref="D238">IF(B238="","",_xlfn._xlws.FILTER('Source List'!J$2:J$268,'Source List'!G$2:G$268='Row Counts'!B238," "))</f>
        <v/>
      </c>
      <c r="E238" s="105" t="str">
        <f ca="1">IFERROR(Table1[[#This Row],[TOTAL VINES]]-Table1[[#This Row],[VINES LEFT]],"")</f>
        <v/>
      </c>
      <c r="F238" s="105">
        <f ca="1">Table1[[#This Row],[TOTAL VINES]]-Table1[[#This Row],[VINES PICKED]]</f>
        <v>0</v>
      </c>
      <c r="G238" s="106">
        <f t="shared" si="18"/>
        <v>0</v>
      </c>
      <c r="H238" s="106">
        <f t="shared" ca="1" si="16"/>
        <v>0</v>
      </c>
      <c r="I238" s="106">
        <f ca="1">Table1[[#This Row],[TOTAL ACRES]]-Table1[[#This Row],[ACRES PICKED]]</f>
        <v>0</v>
      </c>
      <c r="J238" s="106">
        <f ca="1">Table1[[#This Row],[ACRES PICKED]]</f>
        <v>0</v>
      </c>
      <c r="M238" s="118">
        <f>Table1[[#This Row],[LOADS]]*24</f>
        <v>0</v>
      </c>
      <c r="N238" s="107">
        <f t="shared" ca="1" si="19"/>
        <v>0</v>
      </c>
      <c r="O238" s="108" t="str">
        <f t="shared" ca="1" si="17"/>
        <v/>
      </c>
    </row>
    <row r="239" spans="1:18" s="123" customFormat="1" ht="13.5" customHeight="1" thickBot="1" x14ac:dyDescent="0.35">
      <c r="A239" s="103"/>
      <c r="B239" s="12"/>
      <c r="C239" s="9" t="str" cm="1">
        <f t="array" ref="C239">IF(B239="","",_xlfn._xlws.FILTER('Source List'!I$2:I$268,'Source List'!G$2:G$268='Row Counts'!B239," "))</f>
        <v/>
      </c>
      <c r="D239" s="104" t="str" cm="1">
        <f t="array" ref="D239">IF(B239="","",_xlfn._xlws.FILTER('Source List'!J$2:J$268,'Source List'!G$2:G$268='Row Counts'!B239," "))</f>
        <v/>
      </c>
      <c r="E239" s="105" t="str">
        <f ca="1">IFERROR(Table1[[#This Row],[TOTAL VINES]]-Table1[[#This Row],[VINES LEFT]],"")</f>
        <v/>
      </c>
      <c r="F239" s="105">
        <f ca="1">Table1[[#This Row],[TOTAL VINES]]-Table1[[#This Row],[VINES PICKED]]</f>
        <v>0</v>
      </c>
      <c r="G239" s="106">
        <f t="shared" si="18"/>
        <v>0</v>
      </c>
      <c r="H239" s="106">
        <f t="shared" ca="1" si="16"/>
        <v>0</v>
      </c>
      <c r="I239" s="106">
        <f ca="1">Table1[[#This Row],[TOTAL ACRES]]-Table1[[#This Row],[ACRES PICKED]]</f>
        <v>0</v>
      </c>
      <c r="J239" s="106">
        <f ca="1">Table1[[#This Row],[ACRES PICKED]]</f>
        <v>0</v>
      </c>
      <c r="K239" s="106"/>
      <c r="L239" s="106"/>
      <c r="M239" s="118">
        <f>Table1[[#This Row],[LOADS]]*24</f>
        <v>0</v>
      </c>
      <c r="N239" s="107">
        <f t="shared" ca="1" si="19"/>
        <v>0</v>
      </c>
      <c r="O239" s="108" t="str">
        <f t="shared" ca="1" si="17"/>
        <v/>
      </c>
      <c r="P239" s="109"/>
      <c r="Q239" s="12"/>
      <c r="R239" s="12"/>
    </row>
    <row r="240" spans="1:18" s="121" customFormat="1" ht="13.5" customHeight="1" x14ac:dyDescent="0.3">
      <c r="A240" s="103"/>
      <c r="B240" s="12"/>
      <c r="C240" s="9" t="str" cm="1">
        <f t="array" ref="C240">IF(B240="","",_xlfn._xlws.FILTER('Source List'!I$2:I$268,'Source List'!G$2:G$268='Row Counts'!B240," "))</f>
        <v/>
      </c>
      <c r="D240" s="104" t="str" cm="1">
        <f t="array" ref="D240">IF(B240="","",_xlfn._xlws.FILTER('Source List'!J$2:J$268,'Source List'!G$2:G$268='Row Counts'!B240," "))</f>
        <v/>
      </c>
      <c r="E240" s="105" t="str">
        <f ca="1">IFERROR(Table1[[#This Row],[TOTAL VINES]]-Table1[[#This Row],[VINES LEFT]],"")</f>
        <v/>
      </c>
      <c r="F240" s="105">
        <f ca="1">Table1[[#This Row],[TOTAL VINES]]-Table1[[#This Row],[VINES PICKED]]</f>
        <v>0</v>
      </c>
      <c r="G240" s="106">
        <f t="shared" si="18"/>
        <v>0</v>
      </c>
      <c r="H240" s="106">
        <f t="shared" ca="1" si="16"/>
        <v>0</v>
      </c>
      <c r="I240" s="106">
        <f ca="1">Table1[[#This Row],[TOTAL ACRES]]-Table1[[#This Row],[ACRES PICKED]]</f>
        <v>0</v>
      </c>
      <c r="J240" s="106">
        <f ca="1">Table1[[#This Row],[ACRES PICKED]]</f>
        <v>0</v>
      </c>
      <c r="K240" s="106"/>
      <c r="L240" s="106"/>
      <c r="M240" s="118">
        <f>Table1[[#This Row],[LOADS]]*24</f>
        <v>0</v>
      </c>
      <c r="N240" s="107">
        <f t="shared" ca="1" si="19"/>
        <v>0</v>
      </c>
      <c r="O240" s="108" t="str">
        <f t="shared" ca="1" si="17"/>
        <v/>
      </c>
      <c r="P240" s="109"/>
      <c r="Q240" s="12"/>
      <c r="R240" s="12"/>
    </row>
    <row r="241" spans="1:18" ht="13.5" customHeight="1" x14ac:dyDescent="0.3">
      <c r="C241" s="9" t="str" cm="1">
        <f t="array" ref="C241">IF(B241="","",_xlfn._xlws.FILTER('Source List'!I$2:I$268,'Source List'!G$2:G$268='Row Counts'!B241," "))</f>
        <v/>
      </c>
      <c r="D241" s="104" t="str" cm="1">
        <f t="array" ref="D241">IF(B241="","",_xlfn._xlws.FILTER('Source List'!J$2:J$268,'Source List'!G$2:G$268='Row Counts'!B241," "))</f>
        <v/>
      </c>
      <c r="E241" s="105" t="str">
        <f ca="1">IFERROR(Table1[[#This Row],[TOTAL VINES]]-Table1[[#This Row],[VINES LEFT]],"")</f>
        <v/>
      </c>
      <c r="F241" s="105">
        <f ca="1">Table1[[#This Row],[TOTAL VINES]]-Table1[[#This Row],[VINES PICKED]]</f>
        <v>0</v>
      </c>
      <c r="G241" s="106">
        <f t="shared" si="18"/>
        <v>0</v>
      </c>
      <c r="H241" s="106">
        <f t="shared" ca="1" si="16"/>
        <v>0</v>
      </c>
      <c r="I241" s="106">
        <f ca="1">Table1[[#This Row],[TOTAL ACRES]]-Table1[[#This Row],[ACRES PICKED]]</f>
        <v>0</v>
      </c>
      <c r="J241" s="106">
        <f ca="1">Table1[[#This Row],[ACRES PICKED]]</f>
        <v>0</v>
      </c>
      <c r="M241" s="118">
        <f>Table1[[#This Row],[LOADS]]*24</f>
        <v>0</v>
      </c>
      <c r="N241" s="107">
        <f t="shared" ca="1" si="19"/>
        <v>0</v>
      </c>
      <c r="O241" s="108" t="str">
        <f t="shared" ca="1" si="17"/>
        <v/>
      </c>
    </row>
    <row r="242" spans="1:18" ht="13.5" customHeight="1" x14ac:dyDescent="0.3">
      <c r="C242" s="9" t="str" cm="1">
        <f t="array" ref="C242">IF(B242="","",_xlfn._xlws.FILTER('Source List'!I$2:I$268,'Source List'!G$2:G$268='Row Counts'!B242," "))</f>
        <v/>
      </c>
      <c r="D242" s="104" t="str" cm="1">
        <f t="array" ref="D242">IF(B242="","",_xlfn._xlws.FILTER('Source List'!J$2:J$268,'Source List'!G$2:G$268='Row Counts'!B242," "))</f>
        <v/>
      </c>
      <c r="E242" s="105" t="str">
        <f ca="1">IFERROR(Table1[[#This Row],[TOTAL VINES]]-Table1[[#This Row],[VINES LEFT]],"")</f>
        <v/>
      </c>
      <c r="F242" s="105">
        <f ca="1">Table1[[#This Row],[TOTAL VINES]]-Table1[[#This Row],[VINES PICKED]]</f>
        <v>0</v>
      </c>
      <c r="G242" s="106">
        <f t="shared" si="18"/>
        <v>0</v>
      </c>
      <c r="H242" s="106">
        <f t="shared" ca="1" si="16"/>
        <v>0</v>
      </c>
      <c r="I242" s="106">
        <f ca="1">Table1[[#This Row],[TOTAL ACRES]]-Table1[[#This Row],[ACRES PICKED]]</f>
        <v>0</v>
      </c>
      <c r="J242" s="106">
        <f ca="1">Table1[[#This Row],[ACRES PICKED]]</f>
        <v>0</v>
      </c>
      <c r="M242" s="118">
        <f>Table1[[#This Row],[LOADS]]*24</f>
        <v>0</v>
      </c>
      <c r="N242" s="107">
        <f t="shared" ca="1" si="19"/>
        <v>0</v>
      </c>
      <c r="O242" s="108" t="str">
        <f t="shared" ca="1" si="17"/>
        <v/>
      </c>
    </row>
    <row r="243" spans="1:18" ht="13.5" customHeight="1" x14ac:dyDescent="0.3">
      <c r="C243" s="9" t="str" cm="1">
        <f t="array" ref="C243">IF(B243="","",_xlfn._xlws.FILTER('Source List'!I$2:I$268,'Source List'!G$2:G$268='Row Counts'!B243," "))</f>
        <v/>
      </c>
      <c r="D243" s="104" t="str" cm="1">
        <f t="array" ref="D243">IF(B243="","",_xlfn._xlws.FILTER('Source List'!J$2:J$268,'Source List'!G$2:G$268='Row Counts'!B243," "))</f>
        <v/>
      </c>
      <c r="E243" s="105" t="str">
        <f ca="1">IFERROR(Table1[[#This Row],[TOTAL VINES]]-Table1[[#This Row],[VINES LEFT]],"")</f>
        <v/>
      </c>
      <c r="F243" s="105">
        <f ca="1">Table1[[#This Row],[TOTAL VINES]]-Table1[[#This Row],[VINES PICKED]]</f>
        <v>0</v>
      </c>
      <c r="G243" s="106">
        <f t="shared" si="18"/>
        <v>0</v>
      </c>
      <c r="H243" s="106">
        <f t="shared" ca="1" si="16"/>
        <v>0</v>
      </c>
      <c r="I243" s="106">
        <f ca="1">Table1[[#This Row],[TOTAL ACRES]]-Table1[[#This Row],[ACRES PICKED]]</f>
        <v>0</v>
      </c>
      <c r="J243" s="106">
        <f ca="1">Table1[[#This Row],[ACRES PICKED]]</f>
        <v>0</v>
      </c>
      <c r="M243" s="118">
        <f>Table1[[#This Row],[LOADS]]*24</f>
        <v>0</v>
      </c>
      <c r="N243" s="107">
        <f t="shared" ca="1" si="19"/>
        <v>0</v>
      </c>
      <c r="O243" s="108" t="str">
        <f t="shared" ca="1" si="17"/>
        <v/>
      </c>
    </row>
    <row r="244" spans="1:18" s="123" customFormat="1" ht="13.5" customHeight="1" thickBot="1" x14ac:dyDescent="0.35">
      <c r="A244" s="103"/>
      <c r="B244" s="12"/>
      <c r="C244" s="9" t="str" cm="1">
        <f t="array" ref="C244">IF(B244="","",_xlfn._xlws.FILTER('Source List'!I$2:I$268,'Source List'!G$2:G$268='Row Counts'!B244," "))</f>
        <v/>
      </c>
      <c r="D244" s="104" t="str" cm="1">
        <f t="array" ref="D244">IF(B244="","",_xlfn._xlws.FILTER('Source List'!J$2:J$268,'Source List'!G$2:G$268='Row Counts'!B244," "))</f>
        <v/>
      </c>
      <c r="E244" s="105" t="str">
        <f ca="1">IFERROR(Table1[[#This Row],[TOTAL VINES]]-Table1[[#This Row],[VINES LEFT]],"")</f>
        <v/>
      </c>
      <c r="F244" s="105">
        <f ca="1">Table1[[#This Row],[TOTAL VINES]]-Table1[[#This Row],[VINES PICKED]]</f>
        <v>0</v>
      </c>
      <c r="G244" s="106">
        <f t="shared" si="18"/>
        <v>0</v>
      </c>
      <c r="H244" s="106">
        <f t="shared" ca="1" si="16"/>
        <v>0</v>
      </c>
      <c r="I244" s="106">
        <f ca="1">Table1[[#This Row],[TOTAL ACRES]]-Table1[[#This Row],[ACRES PICKED]]</f>
        <v>0</v>
      </c>
      <c r="J244" s="106">
        <f ca="1">Table1[[#This Row],[ACRES PICKED]]</f>
        <v>0</v>
      </c>
      <c r="K244" s="106"/>
      <c r="L244" s="106"/>
      <c r="M244" s="118">
        <f>Table1[[#This Row],[LOADS]]*24</f>
        <v>0</v>
      </c>
      <c r="N244" s="107">
        <f t="shared" ca="1" si="19"/>
        <v>0</v>
      </c>
      <c r="O244" s="108" t="str">
        <f t="shared" ca="1" si="17"/>
        <v/>
      </c>
      <c r="P244" s="109"/>
      <c r="Q244" s="12"/>
      <c r="R244" s="12"/>
    </row>
    <row r="245" spans="1:18" s="121" customFormat="1" ht="13.5" customHeight="1" x14ac:dyDescent="0.3">
      <c r="A245" s="103"/>
      <c r="B245" s="12"/>
      <c r="C245" s="9" t="str" cm="1">
        <f t="array" ref="C245">IF(B245="","",_xlfn._xlws.FILTER('Source List'!I$2:I$268,'Source List'!G$2:G$268='Row Counts'!B245," "))</f>
        <v/>
      </c>
      <c r="D245" s="104" t="str" cm="1">
        <f t="array" ref="D245">IF(B245="","",_xlfn._xlws.FILTER('Source List'!J$2:J$268,'Source List'!G$2:G$268='Row Counts'!B245," "))</f>
        <v/>
      </c>
      <c r="E245" s="105" t="str">
        <f ca="1">IFERROR(Table1[[#This Row],[TOTAL VINES]]-Table1[[#This Row],[VINES LEFT]],"")</f>
        <v/>
      </c>
      <c r="F245" s="105">
        <f ca="1">Table1[[#This Row],[TOTAL VINES]]-Table1[[#This Row],[VINES PICKED]]</f>
        <v>0</v>
      </c>
      <c r="G245" s="106">
        <f t="shared" si="18"/>
        <v>0</v>
      </c>
      <c r="H245" s="106">
        <f t="shared" ca="1" si="16"/>
        <v>0</v>
      </c>
      <c r="I245" s="106">
        <f ca="1">Table1[[#This Row],[TOTAL ACRES]]-Table1[[#This Row],[ACRES PICKED]]</f>
        <v>0</v>
      </c>
      <c r="J245" s="106">
        <f ca="1">Table1[[#This Row],[ACRES PICKED]]</f>
        <v>0</v>
      </c>
      <c r="K245" s="106"/>
      <c r="L245" s="106"/>
      <c r="M245" s="118">
        <f>Table1[[#This Row],[LOADS]]*24</f>
        <v>0</v>
      </c>
      <c r="N245" s="107">
        <f t="shared" ca="1" si="19"/>
        <v>0</v>
      </c>
      <c r="O245" s="108" t="str">
        <f t="shared" ca="1" si="17"/>
        <v/>
      </c>
      <c r="P245" s="109"/>
      <c r="Q245" s="12"/>
      <c r="R245" s="12"/>
    </row>
    <row r="246" spans="1:18" ht="13.5" customHeight="1" x14ac:dyDescent="0.3">
      <c r="C246" s="9" t="str" cm="1">
        <f t="array" ref="C246">IF(B246="","",_xlfn._xlws.FILTER('Source List'!I$2:I$268,'Source List'!G$2:G$268='Row Counts'!B246," "))</f>
        <v/>
      </c>
      <c r="D246" s="104" t="str" cm="1">
        <f t="array" ref="D246">IF(B246="","",_xlfn._xlws.FILTER('Source List'!J$2:J$268,'Source List'!G$2:G$268='Row Counts'!B246," "))</f>
        <v/>
      </c>
      <c r="E246" s="105" t="str">
        <f ca="1">IFERROR(Table1[[#This Row],[TOTAL VINES]]-Table1[[#This Row],[VINES LEFT]],"")</f>
        <v/>
      </c>
      <c r="F246" s="105">
        <f ca="1">Table1[[#This Row],[TOTAL VINES]]-Table1[[#This Row],[VINES PICKED]]</f>
        <v>0</v>
      </c>
      <c r="G246" s="106">
        <f t="shared" si="18"/>
        <v>0</v>
      </c>
      <c r="H246" s="106">
        <f t="shared" ca="1" si="16"/>
        <v>0</v>
      </c>
      <c r="I246" s="106">
        <f ca="1">Table1[[#This Row],[TOTAL ACRES]]-Table1[[#This Row],[ACRES PICKED]]</f>
        <v>0</v>
      </c>
      <c r="J246" s="106">
        <f ca="1">Table1[[#This Row],[ACRES PICKED]]</f>
        <v>0</v>
      </c>
      <c r="M246" s="118">
        <f>Table1[[#This Row],[LOADS]]*24</f>
        <v>0</v>
      </c>
      <c r="N246" s="107">
        <f t="shared" ca="1" si="19"/>
        <v>0</v>
      </c>
      <c r="O246" s="108" t="str">
        <f t="shared" ca="1" si="17"/>
        <v/>
      </c>
    </row>
    <row r="247" spans="1:18" ht="13.5" customHeight="1" x14ac:dyDescent="0.3">
      <c r="C247" s="9" t="str" cm="1">
        <f t="array" ref="C247">IF(B247="","",_xlfn._xlws.FILTER('Source List'!I$2:I$268,'Source List'!G$2:G$268='Row Counts'!B247," "))</f>
        <v/>
      </c>
      <c r="D247" s="104" t="str" cm="1">
        <f t="array" ref="D247">IF(B247="","",_xlfn._xlws.FILTER('Source List'!J$2:J$268,'Source List'!G$2:G$268='Row Counts'!B247," "))</f>
        <v/>
      </c>
      <c r="E247" s="105" t="str">
        <f ca="1">IFERROR(Table1[[#This Row],[TOTAL VINES]]-Table1[[#This Row],[VINES LEFT]],"")</f>
        <v/>
      </c>
      <c r="F247" s="105">
        <f ca="1">Table1[[#This Row],[TOTAL VINES]]-Table1[[#This Row],[VINES PICKED]]</f>
        <v>0</v>
      </c>
      <c r="G247" s="106">
        <f t="shared" si="18"/>
        <v>0</v>
      </c>
      <c r="H247" s="106">
        <f t="shared" ca="1" si="16"/>
        <v>0</v>
      </c>
      <c r="I247" s="106">
        <f ca="1">Table1[[#This Row],[TOTAL ACRES]]-Table1[[#This Row],[ACRES PICKED]]</f>
        <v>0</v>
      </c>
      <c r="J247" s="106">
        <f ca="1">Table1[[#This Row],[ACRES PICKED]]</f>
        <v>0</v>
      </c>
      <c r="M247" s="118">
        <f>Table1[[#This Row],[LOADS]]*24</f>
        <v>0</v>
      </c>
      <c r="N247" s="107">
        <f t="shared" ca="1" si="19"/>
        <v>0</v>
      </c>
      <c r="O247" s="108" t="str">
        <f t="shared" ca="1" si="17"/>
        <v/>
      </c>
    </row>
    <row r="248" spans="1:18" ht="13.5" customHeight="1" x14ac:dyDescent="0.3">
      <c r="C248" s="9" t="str" cm="1">
        <f t="array" ref="C248">IF(B248="","",_xlfn._xlws.FILTER('Source List'!I$2:I$268,'Source List'!G$2:G$268='Row Counts'!B248," "))</f>
        <v/>
      </c>
      <c r="D248" s="104" t="str" cm="1">
        <f t="array" ref="D248">IF(B248="","",_xlfn._xlws.FILTER('Source List'!J$2:J$268,'Source List'!G$2:G$268='Row Counts'!B248," "))</f>
        <v/>
      </c>
      <c r="E248" s="105" t="str">
        <f ca="1">IFERROR(Table1[[#This Row],[TOTAL VINES]]-Table1[[#This Row],[VINES LEFT]],"")</f>
        <v/>
      </c>
      <c r="F248" s="105">
        <f ca="1">Table1[[#This Row],[TOTAL VINES]]-Table1[[#This Row],[VINES PICKED]]</f>
        <v>0</v>
      </c>
      <c r="G248" s="106">
        <f t="shared" si="18"/>
        <v>0</v>
      </c>
      <c r="H248" s="106">
        <f t="shared" ca="1" si="16"/>
        <v>0</v>
      </c>
      <c r="I248" s="106">
        <f ca="1">Table1[[#This Row],[TOTAL ACRES]]-Table1[[#This Row],[ACRES PICKED]]</f>
        <v>0</v>
      </c>
      <c r="J248" s="106">
        <f ca="1">Table1[[#This Row],[ACRES PICKED]]</f>
        <v>0</v>
      </c>
      <c r="M248" s="118">
        <f>Table1[[#This Row],[LOADS]]*24</f>
        <v>0</v>
      </c>
      <c r="N248" s="107">
        <f t="shared" ca="1" si="19"/>
        <v>0</v>
      </c>
      <c r="O248" s="108" t="str">
        <f t="shared" ca="1" si="17"/>
        <v/>
      </c>
    </row>
    <row r="249" spans="1:18" ht="13.5" customHeight="1" x14ac:dyDescent="0.3">
      <c r="C249" s="9" t="str" cm="1">
        <f t="array" ref="C249">IF(B249="","",_xlfn._xlws.FILTER('Source List'!I$2:I$268,'Source List'!G$2:G$268='Row Counts'!B249," "))</f>
        <v/>
      </c>
      <c r="D249" s="104" t="str" cm="1">
        <f t="array" ref="D249">IF(B249="","",_xlfn._xlws.FILTER('Source List'!J$2:J$268,'Source List'!G$2:G$268='Row Counts'!B249," "))</f>
        <v/>
      </c>
      <c r="E249" s="105" t="str">
        <f ca="1">IFERROR(Table1[[#This Row],[TOTAL VINES]]-Table1[[#This Row],[VINES LEFT]],"")</f>
        <v/>
      </c>
      <c r="F249" s="105">
        <f ca="1">Table1[[#This Row],[TOTAL VINES]]-Table1[[#This Row],[VINES PICKED]]</f>
        <v>0</v>
      </c>
      <c r="G249" s="106">
        <f t="shared" si="18"/>
        <v>0</v>
      </c>
      <c r="H249" s="106">
        <f t="shared" ca="1" si="16"/>
        <v>0</v>
      </c>
      <c r="I249" s="106">
        <f ca="1">Table1[[#This Row],[TOTAL ACRES]]-Table1[[#This Row],[ACRES PICKED]]</f>
        <v>0</v>
      </c>
      <c r="J249" s="106">
        <f ca="1">Table1[[#This Row],[ACRES PICKED]]</f>
        <v>0</v>
      </c>
      <c r="M249" s="118">
        <f>Table1[[#This Row],[LOADS]]*24</f>
        <v>0</v>
      </c>
      <c r="N249" s="107">
        <f t="shared" ca="1" si="19"/>
        <v>0</v>
      </c>
      <c r="O249" s="108" t="str">
        <f t="shared" ca="1" si="17"/>
        <v/>
      </c>
    </row>
    <row r="250" spans="1:18" ht="13.5" customHeight="1" x14ac:dyDescent="0.3">
      <c r="C250" s="9" t="str" cm="1">
        <f t="array" ref="C250">IF(B250="","",_xlfn._xlws.FILTER('Source List'!I$2:I$268,'Source List'!G$2:G$268='Row Counts'!B250," "))</f>
        <v/>
      </c>
      <c r="D250" s="104" t="str" cm="1">
        <f t="array" ref="D250">IF(B250="","",_xlfn._xlws.FILTER('Source List'!J$2:J$268,'Source List'!G$2:G$268='Row Counts'!B250," "))</f>
        <v/>
      </c>
      <c r="E250" s="105" t="str">
        <f ca="1">IFERROR(Table1[[#This Row],[TOTAL VINES]]-Table1[[#This Row],[VINES LEFT]],"")</f>
        <v/>
      </c>
      <c r="F250" s="105">
        <f ca="1">Table1[[#This Row],[TOTAL VINES]]-Table1[[#This Row],[VINES PICKED]]</f>
        <v>0</v>
      </c>
      <c r="G250" s="106">
        <f t="shared" si="18"/>
        <v>0</v>
      </c>
      <c r="H250" s="106">
        <f t="shared" ca="1" si="16"/>
        <v>0</v>
      </c>
      <c r="I250" s="106">
        <f ca="1">Table1[[#This Row],[TOTAL ACRES]]-Table1[[#This Row],[ACRES PICKED]]</f>
        <v>0</v>
      </c>
      <c r="J250" s="106">
        <f ca="1">Table1[[#This Row],[ACRES PICKED]]</f>
        <v>0</v>
      </c>
      <c r="M250" s="118">
        <f>Table1[[#This Row],[LOADS]]*24</f>
        <v>0</v>
      </c>
      <c r="N250" s="107">
        <f t="shared" ca="1" si="19"/>
        <v>0</v>
      </c>
      <c r="O250" s="108" t="str">
        <f t="shared" ca="1" si="17"/>
        <v/>
      </c>
    </row>
    <row r="251" spans="1:18" ht="13.5" customHeight="1" x14ac:dyDescent="0.3">
      <c r="C251" s="9" t="str" cm="1">
        <f t="array" ref="C251">IF(B251="","",_xlfn._xlws.FILTER('Source List'!I$2:I$268,'Source List'!G$2:G$268='Row Counts'!B251," "))</f>
        <v/>
      </c>
      <c r="D251" s="104" t="str" cm="1">
        <f t="array" ref="D251">IF(B251="","",_xlfn._xlws.FILTER('Source List'!J$2:J$268,'Source List'!G$2:G$268='Row Counts'!B251," "))</f>
        <v/>
      </c>
      <c r="E251" s="105" t="str">
        <f ca="1">IFERROR(Table1[[#This Row],[TOTAL VINES]]-Table1[[#This Row],[VINES LEFT]],"")</f>
        <v/>
      </c>
      <c r="F251" s="105">
        <f ca="1">Table1[[#This Row],[TOTAL VINES]]-Table1[[#This Row],[VINES PICKED]]</f>
        <v>0</v>
      </c>
      <c r="G251" s="106">
        <f t="shared" si="18"/>
        <v>0</v>
      </c>
      <c r="H251" s="106">
        <f t="shared" ca="1" si="16"/>
        <v>0</v>
      </c>
      <c r="I251" s="106">
        <f ca="1">Table1[[#This Row],[TOTAL ACRES]]-Table1[[#This Row],[ACRES PICKED]]</f>
        <v>0</v>
      </c>
      <c r="J251" s="106">
        <f ca="1">Table1[[#This Row],[ACRES PICKED]]</f>
        <v>0</v>
      </c>
      <c r="M251" s="118">
        <f>Table1[[#This Row],[LOADS]]*24</f>
        <v>0</v>
      </c>
      <c r="N251" s="107">
        <f t="shared" ca="1" si="19"/>
        <v>0</v>
      </c>
      <c r="O251" s="108" t="str">
        <f t="shared" ca="1" si="17"/>
        <v/>
      </c>
    </row>
    <row r="252" spans="1:18" ht="13.5" customHeight="1" x14ac:dyDescent="0.3">
      <c r="C252" s="9" t="str" cm="1">
        <f t="array" ref="C252">IF(B252="","",_xlfn._xlws.FILTER('Source List'!I$2:I$268,'Source List'!G$2:G$268='Row Counts'!B252," "))</f>
        <v/>
      </c>
      <c r="D252" s="104" t="str" cm="1">
        <f t="array" ref="D252">IF(B252="","",_xlfn._xlws.FILTER('Source List'!J$2:J$268,'Source List'!G$2:G$268='Row Counts'!B252," "))</f>
        <v/>
      </c>
      <c r="E252" s="105" t="str">
        <f ca="1">IFERROR(Table1[[#This Row],[TOTAL VINES]]-Table1[[#This Row],[VINES LEFT]],"")</f>
        <v/>
      </c>
      <c r="F252" s="105">
        <f ca="1">Table1[[#This Row],[TOTAL VINES]]-Table1[[#This Row],[VINES PICKED]]</f>
        <v>0</v>
      </c>
      <c r="G252" s="106">
        <f t="shared" si="18"/>
        <v>0</v>
      </c>
      <c r="H252" s="106">
        <f t="shared" ca="1" si="16"/>
        <v>0</v>
      </c>
      <c r="I252" s="106">
        <f ca="1">Table1[[#This Row],[TOTAL ACRES]]-Table1[[#This Row],[ACRES PICKED]]</f>
        <v>0</v>
      </c>
      <c r="J252" s="106">
        <f ca="1">Table1[[#This Row],[ACRES PICKED]]</f>
        <v>0</v>
      </c>
      <c r="M252" s="118">
        <f>Table1[[#This Row],[LOADS]]*24</f>
        <v>0</v>
      </c>
      <c r="N252" s="107">
        <f t="shared" ca="1" si="19"/>
        <v>0</v>
      </c>
      <c r="O252" s="108" t="str">
        <f t="shared" ca="1" si="17"/>
        <v/>
      </c>
    </row>
    <row r="253" spans="1:18" ht="13.5" customHeight="1" x14ac:dyDescent="0.3">
      <c r="C253" s="9" t="str" cm="1">
        <f t="array" ref="C253">IF(B253="","",_xlfn._xlws.FILTER('Source List'!I$2:I$268,'Source List'!G$2:G$268='Row Counts'!B253," "))</f>
        <v/>
      </c>
      <c r="D253" s="104" t="str" cm="1">
        <f t="array" ref="D253">IF(B253="","",_xlfn._xlws.FILTER('Source List'!J$2:J$268,'Source List'!G$2:G$268='Row Counts'!B253," "))</f>
        <v/>
      </c>
      <c r="E253" s="105" t="str">
        <f ca="1">IFERROR(Table1[[#This Row],[TOTAL VINES]]-Table1[[#This Row],[VINES LEFT]],"")</f>
        <v/>
      </c>
      <c r="F253" s="105">
        <f ca="1">Table1[[#This Row],[TOTAL VINES]]-Table1[[#This Row],[VINES PICKED]]</f>
        <v>0</v>
      </c>
      <c r="G253" s="106">
        <f t="shared" si="18"/>
        <v>0</v>
      </c>
      <c r="H253" s="106">
        <f t="shared" ca="1" si="16"/>
        <v>0</v>
      </c>
      <c r="I253" s="106">
        <f ca="1">Table1[[#This Row],[TOTAL ACRES]]-Table1[[#This Row],[ACRES PICKED]]</f>
        <v>0</v>
      </c>
      <c r="J253" s="106">
        <f ca="1">Table1[[#This Row],[ACRES PICKED]]</f>
        <v>0</v>
      </c>
      <c r="M253" s="118">
        <f>Table1[[#This Row],[LOADS]]*24</f>
        <v>0</v>
      </c>
      <c r="N253" s="107">
        <f t="shared" ca="1" si="19"/>
        <v>0</v>
      </c>
      <c r="O253" s="108" t="str">
        <f t="shared" ca="1" si="17"/>
        <v/>
      </c>
    </row>
    <row r="254" spans="1:18" s="124" customFormat="1" ht="13.5" customHeight="1" x14ac:dyDescent="0.3">
      <c r="A254" s="103"/>
      <c r="B254" s="12"/>
      <c r="C254" s="9" t="str" cm="1">
        <f t="array" ref="C254">IF(B254="","",_xlfn._xlws.FILTER('Source List'!I$2:I$268,'Source List'!G$2:G$268='Row Counts'!B254," "))</f>
        <v/>
      </c>
      <c r="D254" s="104" t="str" cm="1">
        <f t="array" ref="D254">IF(B254="","",_xlfn._xlws.FILTER('Source List'!J$2:J$268,'Source List'!G$2:G$268='Row Counts'!B254," "))</f>
        <v/>
      </c>
      <c r="E254" s="105" t="str">
        <f ca="1">IFERROR(Table1[[#This Row],[TOTAL VINES]]-Table1[[#This Row],[VINES LEFT]],"")</f>
        <v/>
      </c>
      <c r="F254" s="105">
        <f ca="1">Table1[[#This Row],[TOTAL VINES]]-Table1[[#This Row],[VINES PICKED]]</f>
        <v>0</v>
      </c>
      <c r="G254" s="106">
        <f t="shared" si="18"/>
        <v>0</v>
      </c>
      <c r="H254" s="106">
        <f t="shared" ca="1" si="16"/>
        <v>0</v>
      </c>
      <c r="I254" s="106">
        <f ca="1">Table1[[#This Row],[TOTAL ACRES]]-Table1[[#This Row],[ACRES PICKED]]</f>
        <v>0</v>
      </c>
      <c r="J254" s="106">
        <f ca="1">Table1[[#This Row],[ACRES PICKED]]</f>
        <v>0</v>
      </c>
      <c r="K254" s="106"/>
      <c r="L254" s="106"/>
      <c r="M254" s="118">
        <f>Table1[[#This Row],[LOADS]]*24</f>
        <v>0</v>
      </c>
      <c r="N254" s="107">
        <f t="shared" ca="1" si="19"/>
        <v>0</v>
      </c>
      <c r="O254" s="108" t="str">
        <f t="shared" ca="1" si="17"/>
        <v/>
      </c>
      <c r="P254" s="109"/>
      <c r="Q254" s="12"/>
      <c r="R254" s="12"/>
    </row>
    <row r="255" spans="1:18" s="123" customFormat="1" ht="13.5" customHeight="1" thickBot="1" x14ac:dyDescent="0.35">
      <c r="A255" s="103"/>
      <c r="B255" s="12"/>
      <c r="C255" s="9" t="str" cm="1">
        <f t="array" ref="C255">IF(B255="","",_xlfn._xlws.FILTER('Source List'!I$2:I$268,'Source List'!G$2:G$268='Row Counts'!B255," "))</f>
        <v/>
      </c>
      <c r="D255" s="104" t="str" cm="1">
        <f t="array" ref="D255">IF(B255="","",_xlfn._xlws.FILTER('Source List'!J$2:J$268,'Source List'!G$2:G$268='Row Counts'!B255," "))</f>
        <v/>
      </c>
      <c r="E255" s="105" t="str">
        <f ca="1">IFERROR(Table1[[#This Row],[TOTAL VINES]]-Table1[[#This Row],[VINES LEFT]],"")</f>
        <v/>
      </c>
      <c r="F255" s="105">
        <f ca="1">Table1[[#This Row],[TOTAL VINES]]-Table1[[#This Row],[VINES PICKED]]</f>
        <v>0</v>
      </c>
      <c r="G255" s="106">
        <f t="shared" si="18"/>
        <v>0</v>
      </c>
      <c r="H255" s="106">
        <f t="shared" ref="H255:H318" ca="1" si="20">IFERROR(E255/C255,0)</f>
        <v>0</v>
      </c>
      <c r="I255" s="106">
        <f ca="1">Table1[[#This Row],[TOTAL ACRES]]-Table1[[#This Row],[ACRES PICKED]]</f>
        <v>0</v>
      </c>
      <c r="J255" s="106">
        <f ca="1">Table1[[#This Row],[ACRES PICKED]]</f>
        <v>0</v>
      </c>
      <c r="K255" s="106"/>
      <c r="L255" s="106"/>
      <c r="M255" s="118">
        <f>Table1[[#This Row],[LOADS]]*24</f>
        <v>0</v>
      </c>
      <c r="N255" s="107">
        <f t="shared" ca="1" si="19"/>
        <v>0</v>
      </c>
      <c r="O255" s="108" t="str">
        <f t="shared" ca="1" si="17"/>
        <v/>
      </c>
      <c r="P255" s="109"/>
      <c r="Q255" s="12"/>
      <c r="R255" s="12"/>
    </row>
    <row r="256" spans="1:18" s="121" customFormat="1" ht="13.5" customHeight="1" x14ac:dyDescent="0.3">
      <c r="A256" s="103"/>
      <c r="B256" s="12"/>
      <c r="C256" s="9" t="str" cm="1">
        <f t="array" ref="C256">IF(B256="","",_xlfn._xlws.FILTER('Source List'!I$2:I$268,'Source List'!G$2:G$268='Row Counts'!B256," "))</f>
        <v/>
      </c>
      <c r="D256" s="104" t="str" cm="1">
        <f t="array" ref="D256">IF(B256="","",_xlfn._xlws.FILTER('Source List'!J$2:J$268,'Source List'!G$2:G$268='Row Counts'!B256," "))</f>
        <v/>
      </c>
      <c r="E256" s="105" t="str">
        <f ca="1">IFERROR(Table1[[#This Row],[TOTAL VINES]]-Table1[[#This Row],[VINES LEFT]],"")</f>
        <v/>
      </c>
      <c r="F256" s="105">
        <f ca="1">Table1[[#This Row],[TOTAL VINES]]-Table1[[#This Row],[VINES PICKED]]</f>
        <v>0</v>
      </c>
      <c r="G256" s="106">
        <f t="shared" si="18"/>
        <v>0</v>
      </c>
      <c r="H256" s="106">
        <f t="shared" ca="1" si="20"/>
        <v>0</v>
      </c>
      <c r="I256" s="106">
        <f ca="1">Table1[[#This Row],[TOTAL ACRES]]-Table1[[#This Row],[ACRES PICKED]]</f>
        <v>0</v>
      </c>
      <c r="J256" s="106">
        <f ca="1">Table1[[#This Row],[ACRES PICKED]]</f>
        <v>0</v>
      </c>
      <c r="K256" s="106"/>
      <c r="L256" s="106"/>
      <c r="M256" s="118">
        <f>Table1[[#This Row],[LOADS]]*24</f>
        <v>0</v>
      </c>
      <c r="N256" s="107">
        <f t="shared" ca="1" si="19"/>
        <v>0</v>
      </c>
      <c r="O256" s="108" t="str">
        <f t="shared" ca="1" si="17"/>
        <v/>
      </c>
      <c r="P256" s="109"/>
      <c r="Q256" s="12"/>
      <c r="R256" s="12"/>
    </row>
    <row r="257" spans="1:18" ht="13.5" customHeight="1" x14ac:dyDescent="0.3">
      <c r="C257" s="9" t="str" cm="1">
        <f t="array" ref="C257">IF(B257="","",_xlfn._xlws.FILTER('Source List'!I$2:I$268,'Source List'!G$2:G$268='Row Counts'!B257," "))</f>
        <v/>
      </c>
      <c r="D257" s="104" t="str" cm="1">
        <f t="array" ref="D257">IF(B257="","",_xlfn._xlws.FILTER('Source List'!J$2:J$268,'Source List'!G$2:G$268='Row Counts'!B257," "))</f>
        <v/>
      </c>
      <c r="E257" s="105" t="str">
        <f ca="1">IFERROR(Table1[[#This Row],[TOTAL VINES]]-Table1[[#This Row],[VINES LEFT]],"")</f>
        <v/>
      </c>
      <c r="F257" s="105">
        <f ca="1">Table1[[#This Row],[TOTAL VINES]]-Table1[[#This Row],[VINES PICKED]]</f>
        <v>0</v>
      </c>
      <c r="G257" s="106">
        <f t="shared" si="18"/>
        <v>0</v>
      </c>
      <c r="H257" s="106">
        <f t="shared" ca="1" si="20"/>
        <v>0</v>
      </c>
      <c r="I257" s="106">
        <f ca="1">Table1[[#This Row],[TOTAL ACRES]]-Table1[[#This Row],[ACRES PICKED]]</f>
        <v>0</v>
      </c>
      <c r="J257" s="106">
        <f ca="1">Table1[[#This Row],[ACRES PICKED]]</f>
        <v>0</v>
      </c>
      <c r="M257" s="118">
        <f>Table1[[#This Row],[LOADS]]*24</f>
        <v>0</v>
      </c>
      <c r="N257" s="107">
        <f t="shared" ca="1" si="19"/>
        <v>0</v>
      </c>
      <c r="O257" s="108" t="str">
        <f t="shared" ca="1" si="17"/>
        <v/>
      </c>
    </row>
    <row r="258" spans="1:18" ht="13.5" customHeight="1" x14ac:dyDescent="0.3">
      <c r="C258" s="9" t="str" cm="1">
        <f t="array" ref="C258">IF(B258="","",_xlfn._xlws.FILTER('Source List'!I$2:I$268,'Source List'!G$2:G$268='Row Counts'!B258," "))</f>
        <v/>
      </c>
      <c r="D258" s="104" t="str" cm="1">
        <f t="array" ref="D258">IF(B258="","",_xlfn._xlws.FILTER('Source List'!J$2:J$268,'Source List'!G$2:G$268='Row Counts'!B258," "))</f>
        <v/>
      </c>
      <c r="E258" s="105" t="str">
        <f ca="1">IFERROR(Table1[[#This Row],[TOTAL VINES]]-Table1[[#This Row],[VINES LEFT]],"")</f>
        <v/>
      </c>
      <c r="F258" s="105">
        <f ca="1">Table1[[#This Row],[TOTAL VINES]]-Table1[[#This Row],[VINES PICKED]]</f>
        <v>0</v>
      </c>
      <c r="G258" s="106">
        <f t="shared" si="18"/>
        <v>0</v>
      </c>
      <c r="H258" s="106">
        <f t="shared" ca="1" si="20"/>
        <v>0</v>
      </c>
      <c r="I258" s="106">
        <f ca="1">Table1[[#This Row],[TOTAL ACRES]]-Table1[[#This Row],[ACRES PICKED]]</f>
        <v>0</v>
      </c>
      <c r="J258" s="106">
        <f ca="1">Table1[[#This Row],[ACRES PICKED]]</f>
        <v>0</v>
      </c>
      <c r="M258" s="118">
        <f>Table1[[#This Row],[LOADS]]*24</f>
        <v>0</v>
      </c>
      <c r="N258" s="107">
        <f t="shared" ca="1" si="19"/>
        <v>0</v>
      </c>
      <c r="O258" s="108" t="str">
        <f t="shared" ca="1" si="17"/>
        <v/>
      </c>
    </row>
    <row r="259" spans="1:18" ht="13.5" customHeight="1" x14ac:dyDescent="0.3">
      <c r="C259" s="9" t="str" cm="1">
        <f t="array" ref="C259">IF(B259="","",_xlfn._xlws.FILTER('Source List'!I$2:I$268,'Source List'!G$2:G$268='Row Counts'!B259," "))</f>
        <v/>
      </c>
      <c r="D259" s="104" t="str" cm="1">
        <f t="array" ref="D259">IF(B259="","",_xlfn._xlws.FILTER('Source List'!J$2:J$268,'Source List'!G$2:G$268='Row Counts'!B259," "))</f>
        <v/>
      </c>
      <c r="E259" s="105" t="str">
        <f ca="1">IFERROR(Table1[[#This Row],[TOTAL VINES]]-Table1[[#This Row],[VINES LEFT]],"")</f>
        <v/>
      </c>
      <c r="F259" s="105">
        <f ca="1">Table1[[#This Row],[TOTAL VINES]]-Table1[[#This Row],[VINES PICKED]]</f>
        <v>0</v>
      </c>
      <c r="G259" s="106">
        <f t="shared" si="18"/>
        <v>0</v>
      </c>
      <c r="H259" s="106">
        <f t="shared" ca="1" si="20"/>
        <v>0</v>
      </c>
      <c r="I259" s="106">
        <f ca="1">Table1[[#This Row],[TOTAL ACRES]]-Table1[[#This Row],[ACRES PICKED]]</f>
        <v>0</v>
      </c>
      <c r="J259" s="106">
        <f ca="1">Table1[[#This Row],[ACRES PICKED]]</f>
        <v>0</v>
      </c>
      <c r="M259" s="118">
        <f>Table1[[#This Row],[LOADS]]*24</f>
        <v>0</v>
      </c>
      <c r="N259" s="107">
        <f t="shared" ca="1" si="19"/>
        <v>0</v>
      </c>
      <c r="O259" s="108" t="str">
        <f t="shared" ca="1" si="17"/>
        <v/>
      </c>
    </row>
    <row r="260" spans="1:18" ht="13.5" customHeight="1" x14ac:dyDescent="0.3">
      <c r="C260" s="9" t="str" cm="1">
        <f t="array" ref="C260">IF(B260="","",_xlfn._xlws.FILTER('Source List'!I$2:I$268,'Source List'!G$2:G$268='Row Counts'!B260," "))</f>
        <v/>
      </c>
      <c r="D260" s="104" t="str" cm="1">
        <f t="array" ref="D260">IF(B260="","",_xlfn._xlws.FILTER('Source List'!J$2:J$268,'Source List'!G$2:G$268='Row Counts'!B260," "))</f>
        <v/>
      </c>
      <c r="E260" s="105" t="str">
        <f ca="1">IFERROR(Table1[[#This Row],[TOTAL VINES]]-Table1[[#This Row],[VINES LEFT]],"")</f>
        <v/>
      </c>
      <c r="F260" s="105">
        <f ca="1">Table1[[#This Row],[TOTAL VINES]]-Table1[[#This Row],[VINES PICKED]]</f>
        <v>0</v>
      </c>
      <c r="G260" s="106">
        <f t="shared" si="18"/>
        <v>0</v>
      </c>
      <c r="H260" s="106">
        <f t="shared" ca="1" si="20"/>
        <v>0</v>
      </c>
      <c r="I260" s="106">
        <f ca="1">Table1[[#This Row],[TOTAL ACRES]]-Table1[[#This Row],[ACRES PICKED]]</f>
        <v>0</v>
      </c>
      <c r="J260" s="106">
        <f ca="1">Table1[[#This Row],[ACRES PICKED]]</f>
        <v>0</v>
      </c>
      <c r="M260" s="118">
        <f>Table1[[#This Row],[LOADS]]*24</f>
        <v>0</v>
      </c>
      <c r="N260" s="107">
        <f t="shared" ca="1" si="19"/>
        <v>0</v>
      </c>
      <c r="O260" s="108" t="str">
        <f t="shared" ca="1" si="17"/>
        <v/>
      </c>
    </row>
    <row r="261" spans="1:18" ht="13.5" customHeight="1" x14ac:dyDescent="0.3">
      <c r="C261" s="9" t="str" cm="1">
        <f t="array" ref="C261">IF(B261="","",_xlfn._xlws.FILTER('Source List'!I$2:I$268,'Source List'!G$2:G$268='Row Counts'!B261," "))</f>
        <v/>
      </c>
      <c r="D261" s="104" t="str" cm="1">
        <f t="array" ref="D261">IF(B261="","",_xlfn._xlws.FILTER('Source List'!J$2:J$268,'Source List'!G$2:G$268='Row Counts'!B261," "))</f>
        <v/>
      </c>
      <c r="E261" s="105" t="str">
        <f ca="1">IFERROR(Table1[[#This Row],[TOTAL VINES]]-Table1[[#This Row],[VINES LEFT]],"")</f>
        <v/>
      </c>
      <c r="F261" s="105">
        <f ca="1">Table1[[#This Row],[TOTAL VINES]]-Table1[[#This Row],[VINES PICKED]]</f>
        <v>0</v>
      </c>
      <c r="G261" s="106">
        <f t="shared" si="18"/>
        <v>0</v>
      </c>
      <c r="H261" s="106">
        <f t="shared" ca="1" si="20"/>
        <v>0</v>
      </c>
      <c r="I261" s="106">
        <f ca="1">Table1[[#This Row],[TOTAL ACRES]]-Table1[[#This Row],[ACRES PICKED]]</f>
        <v>0</v>
      </c>
      <c r="J261" s="106">
        <f ca="1">Table1[[#This Row],[ACRES PICKED]]</f>
        <v>0</v>
      </c>
      <c r="M261" s="118">
        <f>Table1[[#This Row],[LOADS]]*24</f>
        <v>0</v>
      </c>
      <c r="N261" s="107">
        <f t="shared" ca="1" si="19"/>
        <v>0</v>
      </c>
      <c r="O261" s="108" t="str">
        <f t="shared" ref="O261:O324" ca="1" si="21">IFERROR((N261*I261)/23,"")</f>
        <v/>
      </c>
    </row>
    <row r="262" spans="1:18" ht="13.5" customHeight="1" x14ac:dyDescent="0.3">
      <c r="C262" s="9" t="str" cm="1">
        <f t="array" ref="C262">IF(B262="","",_xlfn._xlws.FILTER('Source List'!I$2:I$268,'Source List'!G$2:G$268='Row Counts'!B262," "))</f>
        <v/>
      </c>
      <c r="D262" s="104" t="str" cm="1">
        <f t="array" ref="D262">IF(B262="","",_xlfn._xlws.FILTER('Source List'!J$2:J$268,'Source List'!G$2:G$268='Row Counts'!B262," "))</f>
        <v/>
      </c>
      <c r="E262" s="105" t="str">
        <f ca="1">IFERROR(Table1[[#This Row],[TOTAL VINES]]-Table1[[#This Row],[VINES LEFT]],"")</f>
        <v/>
      </c>
      <c r="F262" s="105">
        <f ca="1">Table1[[#This Row],[TOTAL VINES]]-Table1[[#This Row],[VINES PICKED]]</f>
        <v>0</v>
      </c>
      <c r="G262" s="106">
        <f t="shared" si="18"/>
        <v>0</v>
      </c>
      <c r="H262" s="106">
        <f t="shared" ca="1" si="20"/>
        <v>0</v>
      </c>
      <c r="I262" s="106">
        <f ca="1">Table1[[#This Row],[TOTAL ACRES]]-Table1[[#This Row],[ACRES PICKED]]</f>
        <v>0</v>
      </c>
      <c r="J262" s="106">
        <f ca="1">Table1[[#This Row],[ACRES PICKED]]</f>
        <v>0</v>
      </c>
      <c r="M262" s="118">
        <f>Table1[[#This Row],[LOADS]]*24</f>
        <v>0</v>
      </c>
      <c r="N262" s="107">
        <f t="shared" ca="1" si="19"/>
        <v>0</v>
      </c>
      <c r="O262" s="108" t="str">
        <f t="shared" ca="1" si="21"/>
        <v/>
      </c>
    </row>
    <row r="263" spans="1:18" ht="13.5" customHeight="1" x14ac:dyDescent="0.3">
      <c r="C263" s="9" t="str" cm="1">
        <f t="array" ref="C263">IF(B263="","",_xlfn._xlws.FILTER('Source List'!I$2:I$268,'Source List'!G$2:G$268='Row Counts'!B263," "))</f>
        <v/>
      </c>
      <c r="D263" s="104" t="str" cm="1">
        <f t="array" ref="D263">IF(B263="","",_xlfn._xlws.FILTER('Source List'!J$2:J$268,'Source List'!G$2:G$268='Row Counts'!B263," "))</f>
        <v/>
      </c>
      <c r="E263" s="105" t="str">
        <f ca="1">IFERROR(Table1[[#This Row],[TOTAL VINES]]-Table1[[#This Row],[VINES LEFT]],"")</f>
        <v/>
      </c>
      <c r="F263" s="105">
        <f ca="1">Table1[[#This Row],[TOTAL VINES]]-Table1[[#This Row],[VINES PICKED]]</f>
        <v>0</v>
      </c>
      <c r="G263" s="106">
        <f t="shared" si="18"/>
        <v>0</v>
      </c>
      <c r="H263" s="106">
        <f t="shared" ca="1" si="20"/>
        <v>0</v>
      </c>
      <c r="I263" s="106">
        <f ca="1">Table1[[#This Row],[TOTAL ACRES]]-Table1[[#This Row],[ACRES PICKED]]</f>
        <v>0</v>
      </c>
      <c r="J263" s="106">
        <f ca="1">Table1[[#This Row],[ACRES PICKED]]</f>
        <v>0</v>
      </c>
      <c r="M263" s="118">
        <f>Table1[[#This Row],[LOADS]]*24</f>
        <v>0</v>
      </c>
      <c r="N263" s="107">
        <f t="shared" ca="1" si="19"/>
        <v>0</v>
      </c>
      <c r="O263" s="108" t="str">
        <f t="shared" ca="1" si="21"/>
        <v/>
      </c>
    </row>
    <row r="264" spans="1:18" s="124" customFormat="1" ht="13.5" customHeight="1" x14ac:dyDescent="0.3">
      <c r="A264" s="103"/>
      <c r="B264" s="12"/>
      <c r="C264" s="9" t="str" cm="1">
        <f t="array" ref="C264">IF(B264="","",_xlfn._xlws.FILTER('Source List'!I$2:I$268,'Source List'!G$2:G$268='Row Counts'!B264," "))</f>
        <v/>
      </c>
      <c r="D264" s="104" t="str" cm="1">
        <f t="array" ref="D264">IF(B264="","",_xlfn._xlws.FILTER('Source List'!J$2:J$268,'Source List'!G$2:G$268='Row Counts'!B264," "))</f>
        <v/>
      </c>
      <c r="E264" s="105" t="str">
        <f ca="1">IFERROR(Table1[[#This Row],[TOTAL VINES]]-Table1[[#This Row],[VINES LEFT]],"")</f>
        <v/>
      </c>
      <c r="F264" s="105">
        <f ca="1">Table1[[#This Row],[TOTAL VINES]]-Table1[[#This Row],[VINES PICKED]]</f>
        <v>0</v>
      </c>
      <c r="G264" s="106">
        <f t="shared" si="18"/>
        <v>0</v>
      </c>
      <c r="H264" s="106">
        <f t="shared" ca="1" si="20"/>
        <v>0</v>
      </c>
      <c r="I264" s="106">
        <f ca="1">Table1[[#This Row],[TOTAL ACRES]]-Table1[[#This Row],[ACRES PICKED]]</f>
        <v>0</v>
      </c>
      <c r="J264" s="106">
        <f ca="1">Table1[[#This Row],[ACRES PICKED]]</f>
        <v>0</v>
      </c>
      <c r="K264" s="106"/>
      <c r="L264" s="106"/>
      <c r="M264" s="118">
        <f>Table1[[#This Row],[LOADS]]*24</f>
        <v>0</v>
      </c>
      <c r="N264" s="107">
        <f t="shared" ca="1" si="19"/>
        <v>0</v>
      </c>
      <c r="O264" s="108" t="str">
        <f t="shared" ca="1" si="21"/>
        <v/>
      </c>
      <c r="P264" s="109"/>
      <c r="Q264" s="12"/>
      <c r="R264" s="12"/>
    </row>
    <row r="265" spans="1:18" s="123" customFormat="1" ht="13.5" customHeight="1" thickBot="1" x14ac:dyDescent="0.35">
      <c r="A265" s="103"/>
      <c r="B265" s="12"/>
      <c r="C265" s="9" t="str" cm="1">
        <f t="array" ref="C265">IF(B265="","",_xlfn._xlws.FILTER('Source List'!I$2:I$268,'Source List'!G$2:G$268='Row Counts'!B265," "))</f>
        <v/>
      </c>
      <c r="D265" s="104" t="str" cm="1">
        <f t="array" ref="D265">IF(B265="","",_xlfn._xlws.FILTER('Source List'!J$2:J$268,'Source List'!G$2:G$268='Row Counts'!B265," "))</f>
        <v/>
      </c>
      <c r="E265" s="105" t="str">
        <f ca="1">IFERROR(Table1[[#This Row],[TOTAL VINES]]-Table1[[#This Row],[VINES LEFT]],"")</f>
        <v/>
      </c>
      <c r="F265" s="105">
        <f ca="1">Table1[[#This Row],[TOTAL VINES]]-Table1[[#This Row],[VINES PICKED]]</f>
        <v>0</v>
      </c>
      <c r="G265" s="106">
        <f t="shared" si="18"/>
        <v>0</v>
      </c>
      <c r="H265" s="106">
        <f t="shared" ca="1" si="20"/>
        <v>0</v>
      </c>
      <c r="I265" s="106">
        <f ca="1">Table1[[#This Row],[TOTAL ACRES]]-Table1[[#This Row],[ACRES PICKED]]</f>
        <v>0</v>
      </c>
      <c r="J265" s="106">
        <f ca="1">Table1[[#This Row],[ACRES PICKED]]</f>
        <v>0</v>
      </c>
      <c r="K265" s="106"/>
      <c r="L265" s="106"/>
      <c r="M265" s="118">
        <f>Table1[[#This Row],[LOADS]]*24</f>
        <v>0</v>
      </c>
      <c r="N265" s="107">
        <f t="shared" ca="1" si="19"/>
        <v>0</v>
      </c>
      <c r="O265" s="108" t="str">
        <f t="shared" ca="1" si="21"/>
        <v/>
      </c>
      <c r="P265" s="109"/>
      <c r="Q265" s="12"/>
      <c r="R265" s="12"/>
    </row>
    <row r="266" spans="1:18" s="121" customFormat="1" ht="13.5" customHeight="1" x14ac:dyDescent="0.3">
      <c r="A266" s="103"/>
      <c r="B266" s="12"/>
      <c r="C266" s="9" t="str" cm="1">
        <f t="array" ref="C266">IF(B266="","",_xlfn._xlws.FILTER('Source List'!I$2:I$268,'Source List'!G$2:G$268='Row Counts'!B266," "))</f>
        <v/>
      </c>
      <c r="D266" s="104" t="str" cm="1">
        <f t="array" ref="D266">IF(B266="","",_xlfn._xlws.FILTER('Source List'!J$2:J$268,'Source List'!G$2:G$268='Row Counts'!B266," "))</f>
        <v/>
      </c>
      <c r="E266" s="105" t="str">
        <f ca="1">IFERROR(Table1[[#This Row],[TOTAL VINES]]-Table1[[#This Row],[VINES LEFT]],"")</f>
        <v/>
      </c>
      <c r="F266" s="105">
        <f ca="1">Table1[[#This Row],[TOTAL VINES]]-Table1[[#This Row],[VINES PICKED]]</f>
        <v>0</v>
      </c>
      <c r="G266" s="106">
        <f t="shared" si="18"/>
        <v>0</v>
      </c>
      <c r="H266" s="106">
        <f t="shared" ca="1" si="20"/>
        <v>0</v>
      </c>
      <c r="I266" s="106">
        <f ca="1">Table1[[#This Row],[TOTAL ACRES]]-Table1[[#This Row],[ACRES PICKED]]</f>
        <v>0</v>
      </c>
      <c r="J266" s="106">
        <f ca="1">Table1[[#This Row],[ACRES PICKED]]</f>
        <v>0</v>
      </c>
      <c r="K266" s="106"/>
      <c r="L266" s="106"/>
      <c r="M266" s="118">
        <f>Table1[[#This Row],[LOADS]]*24</f>
        <v>0</v>
      </c>
      <c r="N266" s="107">
        <f t="shared" ca="1" si="19"/>
        <v>0</v>
      </c>
      <c r="O266" s="108" t="str">
        <f t="shared" ca="1" si="21"/>
        <v/>
      </c>
      <c r="P266" s="109"/>
      <c r="Q266" s="12"/>
      <c r="R266" s="12"/>
    </row>
    <row r="267" spans="1:18" ht="13.5" customHeight="1" x14ac:dyDescent="0.3">
      <c r="C267" s="9" t="str" cm="1">
        <f t="array" ref="C267">IF(B267="","",_xlfn._xlws.FILTER('Source List'!I$2:I$268,'Source List'!G$2:G$268='Row Counts'!B267," "))</f>
        <v/>
      </c>
      <c r="D267" s="104" t="str" cm="1">
        <f t="array" ref="D267">IF(B267="","",_xlfn._xlws.FILTER('Source List'!J$2:J$268,'Source List'!G$2:G$268='Row Counts'!B267," "))</f>
        <v/>
      </c>
      <c r="E267" s="105" t="str">
        <f ca="1">IFERROR(Table1[[#This Row],[TOTAL VINES]]-Table1[[#This Row],[VINES LEFT]],"")</f>
        <v/>
      </c>
      <c r="F267" s="105">
        <f ca="1">Table1[[#This Row],[TOTAL VINES]]-Table1[[#This Row],[VINES PICKED]]</f>
        <v>0</v>
      </c>
      <c r="G267" s="106">
        <f t="shared" si="18"/>
        <v>0</v>
      </c>
      <c r="H267" s="106">
        <f t="shared" ca="1" si="20"/>
        <v>0</v>
      </c>
      <c r="I267" s="106">
        <f ca="1">Table1[[#This Row],[TOTAL ACRES]]-Table1[[#This Row],[ACRES PICKED]]</f>
        <v>0</v>
      </c>
      <c r="J267" s="106">
        <f ca="1">Table1[[#This Row],[ACRES PICKED]]</f>
        <v>0</v>
      </c>
      <c r="M267" s="118">
        <f>Table1[[#This Row],[LOADS]]*24</f>
        <v>0</v>
      </c>
      <c r="N267" s="107">
        <f t="shared" ca="1" si="19"/>
        <v>0</v>
      </c>
      <c r="O267" s="108" t="str">
        <f t="shared" ca="1" si="21"/>
        <v/>
      </c>
    </row>
    <row r="268" spans="1:18" ht="13.5" customHeight="1" x14ac:dyDescent="0.3">
      <c r="C268" s="9" t="str" cm="1">
        <f t="array" ref="C268">IF(B268="","",_xlfn._xlws.FILTER('Source List'!I$2:I$268,'Source List'!G$2:G$268='Row Counts'!B268," "))</f>
        <v/>
      </c>
      <c r="D268" s="104" t="str" cm="1">
        <f t="array" ref="D268">IF(B268="","",_xlfn._xlws.FILTER('Source List'!J$2:J$268,'Source List'!G$2:G$268='Row Counts'!B268," "))</f>
        <v/>
      </c>
      <c r="E268" s="105" t="str">
        <f ca="1">IFERROR(Table1[[#This Row],[TOTAL VINES]]-Table1[[#This Row],[VINES LEFT]],"")</f>
        <v/>
      </c>
      <c r="F268" s="105">
        <f ca="1">Table1[[#This Row],[TOTAL VINES]]-Table1[[#This Row],[VINES PICKED]]</f>
        <v>0</v>
      </c>
      <c r="G268" s="106">
        <f t="shared" si="18"/>
        <v>0</v>
      </c>
      <c r="H268" s="106">
        <f t="shared" ca="1" si="20"/>
        <v>0</v>
      </c>
      <c r="I268" s="106">
        <f ca="1">Table1[[#This Row],[TOTAL ACRES]]-Table1[[#This Row],[ACRES PICKED]]</f>
        <v>0</v>
      </c>
      <c r="J268" s="106">
        <f ca="1">Table1[[#This Row],[ACRES PICKED]]</f>
        <v>0</v>
      </c>
      <c r="M268" s="118">
        <f>Table1[[#This Row],[LOADS]]*24</f>
        <v>0</v>
      </c>
      <c r="N268" s="107">
        <f t="shared" ca="1" si="19"/>
        <v>0</v>
      </c>
      <c r="O268" s="108" t="str">
        <f t="shared" ca="1" si="21"/>
        <v/>
      </c>
    </row>
    <row r="269" spans="1:18" s="123" customFormat="1" ht="13.5" customHeight="1" thickBot="1" x14ac:dyDescent="0.35">
      <c r="A269" s="103"/>
      <c r="B269" s="12"/>
      <c r="C269" s="9" t="str" cm="1">
        <f t="array" ref="C269">IF(B269="","",_xlfn._xlws.FILTER('Source List'!I$2:I$268,'Source List'!G$2:G$268='Row Counts'!B269," "))</f>
        <v/>
      </c>
      <c r="D269" s="104" t="str" cm="1">
        <f t="array" ref="D269">IF(B269="","",_xlfn._xlws.FILTER('Source List'!J$2:J$268,'Source List'!G$2:G$268='Row Counts'!B269," "))</f>
        <v/>
      </c>
      <c r="E269" s="105" t="str">
        <f ca="1">IFERROR(Table1[[#This Row],[TOTAL VINES]]-Table1[[#This Row],[VINES LEFT]],"")</f>
        <v/>
      </c>
      <c r="F269" s="105">
        <f ca="1">Table1[[#This Row],[TOTAL VINES]]-Table1[[#This Row],[VINES PICKED]]</f>
        <v>0</v>
      </c>
      <c r="G269" s="106">
        <f t="shared" si="18"/>
        <v>0</v>
      </c>
      <c r="H269" s="106">
        <f t="shared" ca="1" si="20"/>
        <v>0</v>
      </c>
      <c r="I269" s="106">
        <f ca="1">Table1[[#This Row],[TOTAL ACRES]]-Table1[[#This Row],[ACRES PICKED]]</f>
        <v>0</v>
      </c>
      <c r="J269" s="106">
        <f ca="1">Table1[[#This Row],[ACRES PICKED]]</f>
        <v>0</v>
      </c>
      <c r="K269" s="106"/>
      <c r="L269" s="106"/>
      <c r="M269" s="118">
        <f>Table1[[#This Row],[LOADS]]*24</f>
        <v>0</v>
      </c>
      <c r="N269" s="107">
        <f t="shared" ca="1" si="19"/>
        <v>0</v>
      </c>
      <c r="O269" s="108" t="str">
        <f t="shared" ca="1" si="21"/>
        <v/>
      </c>
      <c r="P269" s="109"/>
      <c r="Q269" s="12"/>
      <c r="R269" s="12"/>
    </row>
    <row r="270" spans="1:18" s="121" customFormat="1" ht="13.5" customHeight="1" x14ac:dyDescent="0.3">
      <c r="A270" s="103"/>
      <c r="B270" s="12"/>
      <c r="C270" s="9" t="str" cm="1">
        <f t="array" ref="C270">IF(B270="","",_xlfn._xlws.FILTER('Source List'!I$2:I$268,'Source List'!G$2:G$268='Row Counts'!B270," "))</f>
        <v/>
      </c>
      <c r="D270" s="104" t="str" cm="1">
        <f t="array" ref="D270">IF(B270="","",_xlfn._xlws.FILTER('Source List'!J$2:J$268,'Source List'!G$2:G$268='Row Counts'!B270," "))</f>
        <v/>
      </c>
      <c r="E270" s="105" t="str">
        <f ca="1">IFERROR(Table1[[#This Row],[TOTAL VINES]]-Table1[[#This Row],[VINES LEFT]],"")</f>
        <v/>
      </c>
      <c r="F270" s="105">
        <f ca="1">Table1[[#This Row],[TOTAL VINES]]-Table1[[#This Row],[VINES PICKED]]</f>
        <v>0</v>
      </c>
      <c r="G270" s="106">
        <f t="shared" si="18"/>
        <v>0</v>
      </c>
      <c r="H270" s="106">
        <f t="shared" ca="1" si="20"/>
        <v>0</v>
      </c>
      <c r="I270" s="106">
        <f ca="1">Table1[[#This Row],[TOTAL ACRES]]-Table1[[#This Row],[ACRES PICKED]]</f>
        <v>0</v>
      </c>
      <c r="J270" s="106">
        <f ca="1">Table1[[#This Row],[ACRES PICKED]]</f>
        <v>0</v>
      </c>
      <c r="K270" s="106"/>
      <c r="L270" s="106"/>
      <c r="M270" s="118">
        <f>Table1[[#This Row],[LOADS]]*24</f>
        <v>0</v>
      </c>
      <c r="N270" s="107">
        <f t="shared" ca="1" si="19"/>
        <v>0</v>
      </c>
      <c r="O270" s="108" t="str">
        <f t="shared" ca="1" si="21"/>
        <v/>
      </c>
      <c r="P270" s="109"/>
      <c r="Q270" s="12"/>
      <c r="R270" s="12"/>
    </row>
    <row r="271" spans="1:18" ht="13.5" customHeight="1" x14ac:dyDescent="0.3">
      <c r="C271" s="9" t="str" cm="1">
        <f t="array" ref="C271">IF(B271="","",_xlfn._xlws.FILTER('Source List'!I$2:I$268,'Source List'!G$2:G$268='Row Counts'!B271," "))</f>
        <v/>
      </c>
      <c r="D271" s="104" t="str" cm="1">
        <f t="array" ref="D271">IF(B271="","",_xlfn._xlws.FILTER('Source List'!J$2:J$268,'Source List'!G$2:G$268='Row Counts'!B271," "))</f>
        <v/>
      </c>
      <c r="E271" s="105" t="str">
        <f ca="1">IFERROR(Table1[[#This Row],[TOTAL VINES]]-Table1[[#This Row],[VINES LEFT]],"")</f>
        <v/>
      </c>
      <c r="F271" s="105">
        <f ca="1">Table1[[#This Row],[TOTAL VINES]]-Table1[[#This Row],[VINES PICKED]]</f>
        <v>0</v>
      </c>
      <c r="G271" s="106">
        <f t="shared" si="18"/>
        <v>0</v>
      </c>
      <c r="H271" s="106">
        <f t="shared" ca="1" si="20"/>
        <v>0</v>
      </c>
      <c r="I271" s="106">
        <f ca="1">Table1[[#This Row],[TOTAL ACRES]]-Table1[[#This Row],[ACRES PICKED]]</f>
        <v>0</v>
      </c>
      <c r="J271" s="106">
        <f ca="1">Table1[[#This Row],[ACRES PICKED]]</f>
        <v>0</v>
      </c>
      <c r="M271" s="118">
        <f>Table1[[#This Row],[LOADS]]*24</f>
        <v>0</v>
      </c>
      <c r="N271" s="107">
        <f t="shared" ca="1" si="19"/>
        <v>0</v>
      </c>
      <c r="O271" s="108" t="str">
        <f t="shared" ca="1" si="21"/>
        <v/>
      </c>
    </row>
    <row r="272" spans="1:18" ht="13.5" customHeight="1" x14ac:dyDescent="0.3">
      <c r="C272" s="9" t="str" cm="1">
        <f t="array" ref="C272">IF(B272="","",_xlfn._xlws.FILTER('Source List'!I$2:I$268,'Source List'!G$2:G$268='Row Counts'!B272," "))</f>
        <v/>
      </c>
      <c r="D272" s="104" t="str" cm="1">
        <f t="array" ref="D272">IF(B272="","",_xlfn._xlws.FILTER('Source List'!J$2:J$268,'Source List'!G$2:G$268='Row Counts'!B272," "))</f>
        <v/>
      </c>
      <c r="E272" s="105" t="str">
        <f ca="1">IFERROR(Table1[[#This Row],[TOTAL VINES]]-Table1[[#This Row],[VINES LEFT]],"")</f>
        <v/>
      </c>
      <c r="F272" s="105">
        <f ca="1">Table1[[#This Row],[TOTAL VINES]]-Table1[[#This Row],[VINES PICKED]]</f>
        <v>0</v>
      </c>
      <c r="G272" s="106">
        <f t="shared" si="18"/>
        <v>0</v>
      </c>
      <c r="H272" s="106">
        <f t="shared" ca="1" si="20"/>
        <v>0</v>
      </c>
      <c r="I272" s="106">
        <f ca="1">Table1[[#This Row],[TOTAL ACRES]]-Table1[[#This Row],[ACRES PICKED]]</f>
        <v>0</v>
      </c>
      <c r="J272" s="106">
        <f ca="1">Table1[[#This Row],[ACRES PICKED]]</f>
        <v>0</v>
      </c>
      <c r="M272" s="118">
        <f>Table1[[#This Row],[LOADS]]*24</f>
        <v>0</v>
      </c>
      <c r="N272" s="107">
        <f t="shared" ca="1" si="19"/>
        <v>0</v>
      </c>
      <c r="O272" s="108" t="str">
        <f t="shared" ca="1" si="21"/>
        <v/>
      </c>
    </row>
    <row r="273" spans="1:18" ht="13.5" customHeight="1" x14ac:dyDescent="0.3">
      <c r="C273" s="9" t="str" cm="1">
        <f t="array" ref="C273">IF(B273="","",_xlfn._xlws.FILTER('Source List'!I$2:I$268,'Source List'!G$2:G$268='Row Counts'!B273," "))</f>
        <v/>
      </c>
      <c r="D273" s="104" t="str" cm="1">
        <f t="array" ref="D273">IF(B273="","",_xlfn._xlws.FILTER('Source List'!J$2:J$268,'Source List'!G$2:G$268='Row Counts'!B273," "))</f>
        <v/>
      </c>
      <c r="E273" s="105" t="str">
        <f ca="1">IFERROR(Table1[[#This Row],[TOTAL VINES]]-Table1[[#This Row],[VINES LEFT]],"")</f>
        <v/>
      </c>
      <c r="F273" s="105">
        <f ca="1">Table1[[#This Row],[TOTAL VINES]]-Table1[[#This Row],[VINES PICKED]]</f>
        <v>0</v>
      </c>
      <c r="G273" s="106">
        <f t="shared" ref="G273:G336" si="22">IFERROR(D273/C273,0)</f>
        <v>0</v>
      </c>
      <c r="H273" s="106">
        <f t="shared" ca="1" si="20"/>
        <v>0</v>
      </c>
      <c r="I273" s="106">
        <f ca="1">Table1[[#This Row],[TOTAL ACRES]]-Table1[[#This Row],[ACRES PICKED]]</f>
        <v>0</v>
      </c>
      <c r="J273" s="106">
        <f ca="1">Table1[[#This Row],[ACRES PICKED]]</f>
        <v>0</v>
      </c>
      <c r="M273" s="118">
        <f>Table1[[#This Row],[LOADS]]*24</f>
        <v>0</v>
      </c>
      <c r="N273" s="107">
        <f t="shared" ca="1" si="19"/>
        <v>0</v>
      </c>
      <c r="O273" s="108" t="str">
        <f t="shared" ca="1" si="21"/>
        <v/>
      </c>
    </row>
    <row r="274" spans="1:18" ht="13.5" customHeight="1" x14ac:dyDescent="0.3">
      <c r="C274" s="9" t="str" cm="1">
        <f t="array" ref="C274">IF(B274="","",_xlfn._xlws.FILTER('Source List'!I$2:I$268,'Source List'!G$2:G$268='Row Counts'!B274," "))</f>
        <v/>
      </c>
      <c r="D274" s="104" t="str" cm="1">
        <f t="array" ref="D274">IF(B274="","",_xlfn._xlws.FILTER('Source List'!J$2:J$268,'Source List'!G$2:G$268='Row Counts'!B274," "))</f>
        <v/>
      </c>
      <c r="E274" s="105" t="str">
        <f ca="1">IFERROR(Table1[[#This Row],[TOTAL VINES]]-Table1[[#This Row],[VINES LEFT]],"")</f>
        <v/>
      </c>
      <c r="F274" s="105">
        <f ca="1">Table1[[#This Row],[TOTAL VINES]]-Table1[[#This Row],[VINES PICKED]]</f>
        <v>0</v>
      </c>
      <c r="G274" s="106">
        <f t="shared" si="22"/>
        <v>0</v>
      </c>
      <c r="H274" s="106">
        <f t="shared" ca="1" si="20"/>
        <v>0</v>
      </c>
      <c r="I274" s="106">
        <f ca="1">Table1[[#This Row],[TOTAL ACRES]]-Table1[[#This Row],[ACRES PICKED]]</f>
        <v>0</v>
      </c>
      <c r="J274" s="106">
        <f ca="1">Table1[[#This Row],[ACRES PICKED]]</f>
        <v>0</v>
      </c>
      <c r="M274" s="118">
        <f>Table1[[#This Row],[LOADS]]*24</f>
        <v>0</v>
      </c>
      <c r="N274" s="107">
        <f t="shared" ca="1" si="19"/>
        <v>0</v>
      </c>
      <c r="O274" s="108" t="str">
        <f t="shared" ca="1" si="21"/>
        <v/>
      </c>
    </row>
    <row r="275" spans="1:18" ht="13.5" customHeight="1" x14ac:dyDescent="0.3">
      <c r="C275" s="9" t="str" cm="1">
        <f t="array" ref="C275">IF(B275="","",_xlfn._xlws.FILTER('Source List'!I$2:I$268,'Source List'!G$2:G$268='Row Counts'!B275," "))</f>
        <v/>
      </c>
      <c r="D275" s="104" t="str" cm="1">
        <f t="array" ref="D275">IF(B275="","",_xlfn._xlws.FILTER('Source List'!J$2:J$268,'Source List'!G$2:G$268='Row Counts'!B275," "))</f>
        <v/>
      </c>
      <c r="E275" s="105" t="str">
        <f ca="1">IFERROR(Table1[[#This Row],[TOTAL VINES]]-Table1[[#This Row],[VINES LEFT]],"")</f>
        <v/>
      </c>
      <c r="F275" s="105">
        <f ca="1">Table1[[#This Row],[TOTAL VINES]]-Table1[[#This Row],[VINES PICKED]]</f>
        <v>0</v>
      </c>
      <c r="G275" s="106">
        <f t="shared" si="22"/>
        <v>0</v>
      </c>
      <c r="H275" s="106">
        <f t="shared" ca="1" si="20"/>
        <v>0</v>
      </c>
      <c r="I275" s="106">
        <f ca="1">Table1[[#This Row],[TOTAL ACRES]]-Table1[[#This Row],[ACRES PICKED]]</f>
        <v>0</v>
      </c>
      <c r="J275" s="106">
        <f ca="1">Table1[[#This Row],[ACRES PICKED]]</f>
        <v>0</v>
      </c>
      <c r="M275" s="118">
        <f>Table1[[#This Row],[LOADS]]*24</f>
        <v>0</v>
      </c>
      <c r="N275" s="107">
        <f t="shared" ca="1" si="19"/>
        <v>0</v>
      </c>
      <c r="O275" s="108" t="str">
        <f t="shared" ca="1" si="21"/>
        <v/>
      </c>
    </row>
    <row r="276" spans="1:18" ht="13.5" customHeight="1" x14ac:dyDescent="0.3">
      <c r="C276" s="9" t="str" cm="1">
        <f t="array" ref="C276">IF(B276="","",_xlfn._xlws.FILTER('Source List'!I$2:I$268,'Source List'!G$2:G$268='Row Counts'!B276," "))</f>
        <v/>
      </c>
      <c r="D276" s="104" t="str" cm="1">
        <f t="array" ref="D276">IF(B276="","",_xlfn._xlws.FILTER('Source List'!J$2:J$268,'Source List'!G$2:G$268='Row Counts'!B276," "))</f>
        <v/>
      </c>
      <c r="E276" s="105" t="str">
        <f ca="1">IFERROR(Table1[[#This Row],[TOTAL VINES]]-Table1[[#This Row],[VINES LEFT]],"")</f>
        <v/>
      </c>
      <c r="F276" s="105">
        <f ca="1">Table1[[#This Row],[TOTAL VINES]]-Table1[[#This Row],[VINES PICKED]]</f>
        <v>0</v>
      </c>
      <c r="G276" s="106">
        <f t="shared" si="22"/>
        <v>0</v>
      </c>
      <c r="H276" s="106">
        <f t="shared" ca="1" si="20"/>
        <v>0</v>
      </c>
      <c r="I276" s="106">
        <f ca="1">Table1[[#This Row],[TOTAL ACRES]]-Table1[[#This Row],[ACRES PICKED]]</f>
        <v>0</v>
      </c>
      <c r="J276" s="106">
        <f ca="1">Table1[[#This Row],[ACRES PICKED]]</f>
        <v>0</v>
      </c>
      <c r="M276" s="118">
        <f>Table1[[#This Row],[LOADS]]*24</f>
        <v>0</v>
      </c>
      <c r="N276" s="107">
        <f t="shared" ca="1" si="19"/>
        <v>0</v>
      </c>
      <c r="O276" s="108" t="str">
        <f t="shared" ca="1" si="21"/>
        <v/>
      </c>
    </row>
    <row r="277" spans="1:18" ht="13.5" customHeight="1" x14ac:dyDescent="0.3">
      <c r="C277" s="9" t="str" cm="1">
        <f t="array" ref="C277">IF(B277="","",_xlfn._xlws.FILTER('Source List'!I$2:I$268,'Source List'!G$2:G$268='Row Counts'!B277," "))</f>
        <v/>
      </c>
      <c r="D277" s="104" t="str" cm="1">
        <f t="array" ref="D277">IF(B277="","",_xlfn._xlws.FILTER('Source List'!J$2:J$268,'Source List'!G$2:G$268='Row Counts'!B277," "))</f>
        <v/>
      </c>
      <c r="E277" s="105" t="str">
        <f ca="1">IFERROR(Table1[[#This Row],[TOTAL VINES]]-Table1[[#This Row],[VINES LEFT]],"")</f>
        <v/>
      </c>
      <c r="F277" s="105">
        <f ca="1">Table1[[#This Row],[TOTAL VINES]]-Table1[[#This Row],[VINES PICKED]]</f>
        <v>0</v>
      </c>
      <c r="G277" s="106">
        <f t="shared" si="22"/>
        <v>0</v>
      </c>
      <c r="H277" s="106">
        <f t="shared" ca="1" si="20"/>
        <v>0</v>
      </c>
      <c r="I277" s="106">
        <f ca="1">Table1[[#This Row],[TOTAL ACRES]]-Table1[[#This Row],[ACRES PICKED]]</f>
        <v>0</v>
      </c>
      <c r="J277" s="106">
        <f ca="1">Table1[[#This Row],[ACRES PICKED]]</f>
        <v>0</v>
      </c>
      <c r="M277" s="118">
        <f>Table1[[#This Row],[LOADS]]*24</f>
        <v>0</v>
      </c>
      <c r="N277" s="107">
        <f t="shared" ca="1" si="19"/>
        <v>0</v>
      </c>
      <c r="O277" s="108" t="str">
        <f t="shared" ca="1" si="21"/>
        <v/>
      </c>
    </row>
    <row r="278" spans="1:18" s="123" customFormat="1" ht="13.5" customHeight="1" thickBot="1" x14ac:dyDescent="0.35">
      <c r="A278" s="103"/>
      <c r="B278" s="12"/>
      <c r="C278" s="9" t="str" cm="1">
        <f t="array" ref="C278">IF(B278="","",_xlfn._xlws.FILTER('Source List'!I$2:I$268,'Source List'!G$2:G$268='Row Counts'!B278," "))</f>
        <v/>
      </c>
      <c r="D278" s="104" t="str" cm="1">
        <f t="array" ref="D278">IF(B278="","",_xlfn._xlws.FILTER('Source List'!J$2:J$268,'Source List'!G$2:G$268='Row Counts'!B278," "))</f>
        <v/>
      </c>
      <c r="E278" s="105" t="str">
        <f ca="1">IFERROR(Table1[[#This Row],[TOTAL VINES]]-Table1[[#This Row],[VINES LEFT]],"")</f>
        <v/>
      </c>
      <c r="F278" s="105">
        <f ca="1">Table1[[#This Row],[TOTAL VINES]]-Table1[[#This Row],[VINES PICKED]]</f>
        <v>0</v>
      </c>
      <c r="G278" s="106">
        <f t="shared" si="22"/>
        <v>0</v>
      </c>
      <c r="H278" s="106">
        <f t="shared" ca="1" si="20"/>
        <v>0</v>
      </c>
      <c r="I278" s="106">
        <f ca="1">Table1[[#This Row],[TOTAL ACRES]]-Table1[[#This Row],[ACRES PICKED]]</f>
        <v>0</v>
      </c>
      <c r="J278" s="106">
        <f ca="1">Table1[[#This Row],[ACRES PICKED]]</f>
        <v>0</v>
      </c>
      <c r="K278" s="106"/>
      <c r="L278" s="106"/>
      <c r="M278" s="118">
        <f>Table1[[#This Row],[LOADS]]*24</f>
        <v>0</v>
      </c>
      <c r="N278" s="107">
        <f t="shared" ca="1" si="19"/>
        <v>0</v>
      </c>
      <c r="O278" s="108" t="str">
        <f t="shared" ca="1" si="21"/>
        <v/>
      </c>
      <c r="P278" s="109"/>
      <c r="Q278" s="12"/>
      <c r="R278" s="12"/>
    </row>
    <row r="279" spans="1:18" s="121" customFormat="1" ht="13.5" customHeight="1" x14ac:dyDescent="0.3">
      <c r="A279" s="103"/>
      <c r="B279" s="12"/>
      <c r="C279" s="9" t="str" cm="1">
        <f t="array" ref="C279">IF(B279="","",_xlfn._xlws.FILTER('Source List'!I$2:I$268,'Source List'!G$2:G$268='Row Counts'!B279," "))</f>
        <v/>
      </c>
      <c r="D279" s="104" t="str" cm="1">
        <f t="array" ref="D279">IF(B279="","",_xlfn._xlws.FILTER('Source List'!J$2:J$268,'Source List'!G$2:G$268='Row Counts'!B279," "))</f>
        <v/>
      </c>
      <c r="E279" s="105" t="str">
        <f ca="1">IFERROR(Table1[[#This Row],[TOTAL VINES]]-Table1[[#This Row],[VINES LEFT]],"")</f>
        <v/>
      </c>
      <c r="F279" s="105">
        <f ca="1">Table1[[#This Row],[TOTAL VINES]]-Table1[[#This Row],[VINES PICKED]]</f>
        <v>0</v>
      </c>
      <c r="G279" s="106">
        <f t="shared" si="22"/>
        <v>0</v>
      </c>
      <c r="H279" s="106">
        <f t="shared" ca="1" si="20"/>
        <v>0</v>
      </c>
      <c r="I279" s="106">
        <f ca="1">Table1[[#This Row],[TOTAL ACRES]]-Table1[[#This Row],[ACRES PICKED]]</f>
        <v>0</v>
      </c>
      <c r="J279" s="106">
        <f ca="1">Table1[[#This Row],[ACRES PICKED]]</f>
        <v>0</v>
      </c>
      <c r="K279" s="106"/>
      <c r="L279" s="106"/>
      <c r="M279" s="118">
        <f>Table1[[#This Row],[LOADS]]*24</f>
        <v>0</v>
      </c>
      <c r="N279" s="107">
        <f t="shared" ca="1" si="19"/>
        <v>0</v>
      </c>
      <c r="O279" s="108" t="str">
        <f t="shared" ca="1" si="21"/>
        <v/>
      </c>
      <c r="P279" s="109"/>
      <c r="Q279" s="12"/>
      <c r="R279" s="12"/>
    </row>
    <row r="280" spans="1:18" ht="13.5" customHeight="1" x14ac:dyDescent="0.3">
      <c r="C280" s="9" t="str" cm="1">
        <f t="array" ref="C280">IF(B280="","",_xlfn._xlws.FILTER('Source List'!I$2:I$268,'Source List'!G$2:G$268='Row Counts'!B280," "))</f>
        <v/>
      </c>
      <c r="D280" s="104" t="str" cm="1">
        <f t="array" ref="D280">IF(B280="","",_xlfn._xlws.FILTER('Source List'!J$2:J$268,'Source List'!G$2:G$268='Row Counts'!B280," "))</f>
        <v/>
      </c>
      <c r="E280" s="105" t="str">
        <f ca="1">IFERROR(Table1[[#This Row],[TOTAL VINES]]-Table1[[#This Row],[VINES LEFT]],"")</f>
        <v/>
      </c>
      <c r="F280" s="105">
        <f ca="1">Table1[[#This Row],[TOTAL VINES]]-Table1[[#This Row],[VINES PICKED]]</f>
        <v>0</v>
      </c>
      <c r="G280" s="106">
        <f t="shared" si="22"/>
        <v>0</v>
      </c>
      <c r="H280" s="106">
        <f t="shared" ca="1" si="20"/>
        <v>0</v>
      </c>
      <c r="I280" s="106">
        <f ca="1">Table1[[#This Row],[TOTAL ACRES]]-Table1[[#This Row],[ACRES PICKED]]</f>
        <v>0</v>
      </c>
      <c r="J280" s="106">
        <f ca="1">Table1[[#This Row],[ACRES PICKED]]</f>
        <v>0</v>
      </c>
      <c r="M280" s="118">
        <f>Table1[[#This Row],[LOADS]]*24</f>
        <v>0</v>
      </c>
      <c r="N280" s="107">
        <f t="shared" ca="1" si="19"/>
        <v>0</v>
      </c>
      <c r="O280" s="108" t="str">
        <f t="shared" ca="1" si="21"/>
        <v/>
      </c>
    </row>
    <row r="281" spans="1:18" ht="13.5" customHeight="1" x14ac:dyDescent="0.3">
      <c r="C281" s="9" t="str" cm="1">
        <f t="array" ref="C281">IF(B281="","",_xlfn._xlws.FILTER('Source List'!I$2:I$268,'Source List'!G$2:G$268='Row Counts'!B281," "))</f>
        <v/>
      </c>
      <c r="D281" s="104" t="str" cm="1">
        <f t="array" ref="D281">IF(B281="","",_xlfn._xlws.FILTER('Source List'!J$2:J$268,'Source List'!G$2:G$268='Row Counts'!B281," "))</f>
        <v/>
      </c>
      <c r="E281" s="105" t="str">
        <f ca="1">IFERROR(Table1[[#This Row],[TOTAL VINES]]-Table1[[#This Row],[VINES LEFT]],"")</f>
        <v/>
      </c>
      <c r="F281" s="105">
        <f ca="1">Table1[[#This Row],[TOTAL VINES]]-Table1[[#This Row],[VINES PICKED]]</f>
        <v>0</v>
      </c>
      <c r="G281" s="106">
        <f t="shared" si="22"/>
        <v>0</v>
      </c>
      <c r="H281" s="106">
        <f t="shared" ca="1" si="20"/>
        <v>0</v>
      </c>
      <c r="I281" s="106">
        <f ca="1">Table1[[#This Row],[TOTAL ACRES]]-Table1[[#This Row],[ACRES PICKED]]</f>
        <v>0</v>
      </c>
      <c r="J281" s="106">
        <f ca="1">Table1[[#This Row],[ACRES PICKED]]</f>
        <v>0</v>
      </c>
      <c r="M281" s="118">
        <f>Table1[[#This Row],[LOADS]]*24</f>
        <v>0</v>
      </c>
      <c r="N281" s="107">
        <f t="shared" ca="1" si="19"/>
        <v>0</v>
      </c>
      <c r="O281" s="108" t="str">
        <f t="shared" ca="1" si="21"/>
        <v/>
      </c>
    </row>
    <row r="282" spans="1:18" ht="13.5" customHeight="1" x14ac:dyDescent="0.3">
      <c r="C282" s="9" t="str" cm="1">
        <f t="array" ref="C282">IF(B282="","",_xlfn._xlws.FILTER('Source List'!I$2:I$268,'Source List'!G$2:G$268='Row Counts'!B282," "))</f>
        <v/>
      </c>
      <c r="D282" s="104" t="str" cm="1">
        <f t="array" ref="D282">IF(B282="","",_xlfn._xlws.FILTER('Source List'!J$2:J$268,'Source List'!G$2:G$268='Row Counts'!B282," "))</f>
        <v/>
      </c>
      <c r="E282" s="105" t="str">
        <f ca="1">IFERROR(Table1[[#This Row],[TOTAL VINES]]-Table1[[#This Row],[VINES LEFT]],"")</f>
        <v/>
      </c>
      <c r="F282" s="105">
        <f ca="1">Table1[[#This Row],[TOTAL VINES]]-Table1[[#This Row],[VINES PICKED]]</f>
        <v>0</v>
      </c>
      <c r="G282" s="106">
        <f t="shared" si="22"/>
        <v>0</v>
      </c>
      <c r="H282" s="106">
        <f t="shared" ca="1" si="20"/>
        <v>0</v>
      </c>
      <c r="I282" s="106">
        <f ca="1">Table1[[#This Row],[TOTAL ACRES]]-Table1[[#This Row],[ACRES PICKED]]</f>
        <v>0</v>
      </c>
      <c r="J282" s="106">
        <f ca="1">Table1[[#This Row],[ACRES PICKED]]</f>
        <v>0</v>
      </c>
      <c r="M282" s="118">
        <f>Table1[[#This Row],[LOADS]]*24</f>
        <v>0</v>
      </c>
      <c r="N282" s="107">
        <f t="shared" ca="1" si="19"/>
        <v>0</v>
      </c>
      <c r="O282" s="108" t="str">
        <f t="shared" ca="1" si="21"/>
        <v/>
      </c>
    </row>
    <row r="283" spans="1:18" ht="13.5" customHeight="1" x14ac:dyDescent="0.3">
      <c r="C283" s="9" t="str" cm="1">
        <f t="array" ref="C283">IF(B283="","",_xlfn._xlws.FILTER('Source List'!I$2:I$268,'Source List'!G$2:G$268='Row Counts'!B283," "))</f>
        <v/>
      </c>
      <c r="D283" s="104" t="str" cm="1">
        <f t="array" ref="D283">IF(B283="","",_xlfn._xlws.FILTER('Source List'!J$2:J$268,'Source List'!G$2:G$268='Row Counts'!B283," "))</f>
        <v/>
      </c>
      <c r="E283" s="105" t="str">
        <f ca="1">IFERROR(Table1[[#This Row],[TOTAL VINES]]-Table1[[#This Row],[VINES LEFT]],"")</f>
        <v/>
      </c>
      <c r="F283" s="105">
        <f ca="1">Table1[[#This Row],[TOTAL VINES]]-Table1[[#This Row],[VINES PICKED]]</f>
        <v>0</v>
      </c>
      <c r="G283" s="106">
        <f t="shared" si="22"/>
        <v>0</v>
      </c>
      <c r="H283" s="106">
        <f t="shared" ca="1" si="20"/>
        <v>0</v>
      </c>
      <c r="I283" s="106">
        <f ca="1">Table1[[#This Row],[TOTAL ACRES]]-Table1[[#This Row],[ACRES PICKED]]</f>
        <v>0</v>
      </c>
      <c r="J283" s="106">
        <f ca="1">Table1[[#This Row],[ACRES PICKED]]</f>
        <v>0</v>
      </c>
      <c r="M283" s="118">
        <f>Table1[[#This Row],[LOADS]]*24</f>
        <v>0</v>
      </c>
      <c r="N283" s="107">
        <f t="shared" ca="1" si="19"/>
        <v>0</v>
      </c>
      <c r="O283" s="108" t="str">
        <f t="shared" ca="1" si="21"/>
        <v/>
      </c>
      <c r="Q283" s="25"/>
    </row>
    <row r="284" spans="1:18" s="111" customFormat="1" ht="13.5" customHeight="1" x14ac:dyDescent="0.3">
      <c r="A284" s="103"/>
      <c r="C284" s="9" t="str" cm="1">
        <f t="array" ref="C284">IF(B284="","",_xlfn._xlws.FILTER('Source List'!I$2:I$268,'Source List'!G$2:G$268='Row Counts'!B284," "))</f>
        <v/>
      </c>
      <c r="D284" s="104" t="str" cm="1">
        <f t="array" ref="D284">IF(B284="","",_xlfn._xlws.FILTER('Source List'!J$2:J$268,'Source List'!G$2:G$268='Row Counts'!B284," "))</f>
        <v/>
      </c>
      <c r="E284" s="105" t="str">
        <f ca="1">IFERROR(Table1[[#This Row],[TOTAL VINES]]-Table1[[#This Row],[VINES LEFT]],"")</f>
        <v/>
      </c>
      <c r="F284" s="116">
        <f ca="1">Table1[[#This Row],[TOTAL VINES]]-Table1[[#This Row],[VINES PICKED]]</f>
        <v>0</v>
      </c>
      <c r="G284" s="106">
        <f t="shared" si="22"/>
        <v>0</v>
      </c>
      <c r="H284" s="106">
        <f t="shared" ca="1" si="20"/>
        <v>0</v>
      </c>
      <c r="I284" s="106">
        <f ca="1">Table1[[#This Row],[TOTAL ACRES]]-Table1[[#This Row],[ACRES PICKED]]</f>
        <v>0</v>
      </c>
      <c r="J284" s="106">
        <f ca="1">Table1[[#This Row],[ACRES PICKED]]</f>
        <v>0</v>
      </c>
      <c r="K284" s="117"/>
      <c r="L284" s="117"/>
      <c r="M284" s="118">
        <f>Table1[[#This Row],[LOADS]]*24</f>
        <v>0</v>
      </c>
      <c r="N284" s="107">
        <f t="shared" ca="1" si="19"/>
        <v>0</v>
      </c>
      <c r="O284" s="108" t="str">
        <f t="shared" ca="1" si="21"/>
        <v/>
      </c>
      <c r="P284" s="119"/>
    </row>
    <row r="285" spans="1:18" ht="13.5" customHeight="1" x14ac:dyDescent="0.3">
      <c r="C285" s="9" t="str" cm="1">
        <f t="array" ref="C285">IF(B285="","",_xlfn._xlws.FILTER('Source List'!I$2:I$268,'Source List'!G$2:G$268='Row Counts'!B285," "))</f>
        <v/>
      </c>
      <c r="D285" s="104" t="str" cm="1">
        <f t="array" ref="D285">IF(B285="","",_xlfn._xlws.FILTER('Source List'!J$2:J$268,'Source List'!G$2:G$268='Row Counts'!B285," "))</f>
        <v/>
      </c>
      <c r="E285" s="105" t="str">
        <f ca="1">IFERROR(Table1[[#This Row],[TOTAL VINES]]-Table1[[#This Row],[VINES LEFT]],"")</f>
        <v/>
      </c>
      <c r="F285" s="105">
        <f ca="1">Table1[[#This Row],[TOTAL VINES]]-Table1[[#This Row],[VINES PICKED]]</f>
        <v>0</v>
      </c>
      <c r="G285" s="106">
        <f t="shared" si="22"/>
        <v>0</v>
      </c>
      <c r="H285" s="106">
        <f t="shared" ca="1" si="20"/>
        <v>0</v>
      </c>
      <c r="I285" s="106">
        <f ca="1">Table1[[#This Row],[TOTAL ACRES]]-Table1[[#This Row],[ACRES PICKED]]</f>
        <v>0</v>
      </c>
      <c r="J285" s="106">
        <f ca="1">Table1[[#This Row],[ACRES PICKED]]</f>
        <v>0</v>
      </c>
      <c r="M285" s="118">
        <f>Table1[[#This Row],[LOADS]]*24</f>
        <v>0</v>
      </c>
      <c r="N285" s="107">
        <f t="shared" ca="1" si="19"/>
        <v>0</v>
      </c>
      <c r="O285" s="108" t="str">
        <f t="shared" ca="1" si="21"/>
        <v/>
      </c>
    </row>
    <row r="286" spans="1:18" s="124" customFormat="1" ht="13.5" customHeight="1" x14ac:dyDescent="0.3">
      <c r="A286" s="103"/>
      <c r="B286" s="12"/>
      <c r="C286" s="9" t="str" cm="1">
        <f t="array" ref="C286">IF(B286="","",_xlfn._xlws.FILTER('Source List'!I$2:I$268,'Source List'!G$2:G$268='Row Counts'!B286," "))</f>
        <v/>
      </c>
      <c r="D286" s="104" t="str" cm="1">
        <f t="array" ref="D286">IF(B286="","",_xlfn._xlws.FILTER('Source List'!J$2:J$268,'Source List'!G$2:G$268='Row Counts'!B286," "))</f>
        <v/>
      </c>
      <c r="E286" s="105" t="str">
        <f ca="1">IFERROR(Table1[[#This Row],[TOTAL VINES]]-Table1[[#This Row],[VINES LEFT]],"")</f>
        <v/>
      </c>
      <c r="F286" s="105">
        <f ca="1">Table1[[#This Row],[TOTAL VINES]]-Table1[[#This Row],[VINES PICKED]]</f>
        <v>0</v>
      </c>
      <c r="G286" s="106">
        <f t="shared" si="22"/>
        <v>0</v>
      </c>
      <c r="H286" s="106">
        <f t="shared" ca="1" si="20"/>
        <v>0</v>
      </c>
      <c r="I286" s="106">
        <f ca="1">Table1[[#This Row],[TOTAL ACRES]]-Table1[[#This Row],[ACRES PICKED]]</f>
        <v>0</v>
      </c>
      <c r="J286" s="106">
        <f ca="1">Table1[[#This Row],[ACRES PICKED]]</f>
        <v>0</v>
      </c>
      <c r="K286" s="106"/>
      <c r="L286" s="106"/>
      <c r="M286" s="118">
        <f>Table1[[#This Row],[LOADS]]*24</f>
        <v>0</v>
      </c>
      <c r="N286" s="107">
        <f t="shared" ca="1" si="19"/>
        <v>0</v>
      </c>
      <c r="O286" s="108" t="str">
        <f t="shared" ca="1" si="21"/>
        <v/>
      </c>
      <c r="P286" s="109"/>
      <c r="Q286" s="12"/>
      <c r="R286" s="12"/>
    </row>
    <row r="287" spans="1:18" s="123" customFormat="1" ht="13.5" customHeight="1" thickBot="1" x14ac:dyDescent="0.35">
      <c r="A287" s="103"/>
      <c r="B287" s="12"/>
      <c r="C287" s="9" t="str" cm="1">
        <f t="array" ref="C287">IF(B287="","",_xlfn._xlws.FILTER('Source List'!I$2:I$268,'Source List'!G$2:G$268='Row Counts'!B287," "))</f>
        <v/>
      </c>
      <c r="D287" s="104" t="str" cm="1">
        <f t="array" ref="D287">IF(B287="","",_xlfn._xlws.FILTER('Source List'!J$2:J$268,'Source List'!G$2:G$268='Row Counts'!B287," "))</f>
        <v/>
      </c>
      <c r="E287" s="105" t="str">
        <f ca="1">IFERROR(Table1[[#This Row],[TOTAL VINES]]-Table1[[#This Row],[VINES LEFT]],"")</f>
        <v/>
      </c>
      <c r="F287" s="105">
        <f ca="1">Table1[[#This Row],[TOTAL VINES]]-Table1[[#This Row],[VINES PICKED]]</f>
        <v>0</v>
      </c>
      <c r="G287" s="106">
        <f t="shared" si="22"/>
        <v>0</v>
      </c>
      <c r="H287" s="106">
        <f t="shared" ca="1" si="20"/>
        <v>0</v>
      </c>
      <c r="I287" s="106">
        <f ca="1">Table1[[#This Row],[TOTAL ACRES]]-Table1[[#This Row],[ACRES PICKED]]</f>
        <v>0</v>
      </c>
      <c r="J287" s="106">
        <f ca="1">Table1[[#This Row],[ACRES PICKED]]</f>
        <v>0</v>
      </c>
      <c r="K287" s="106"/>
      <c r="L287" s="106"/>
      <c r="M287" s="118">
        <f>Table1[[#This Row],[LOADS]]*24</f>
        <v>0</v>
      </c>
      <c r="N287" s="107">
        <f t="shared" ca="1" si="19"/>
        <v>0</v>
      </c>
      <c r="O287" s="108" t="str">
        <f t="shared" ca="1" si="21"/>
        <v/>
      </c>
      <c r="P287" s="109"/>
      <c r="Q287" s="12"/>
      <c r="R287" s="12"/>
    </row>
    <row r="288" spans="1:18" s="121" customFormat="1" ht="13.5" customHeight="1" x14ac:dyDescent="0.3">
      <c r="A288" s="103"/>
      <c r="B288" s="12"/>
      <c r="C288" s="9" t="str" cm="1">
        <f t="array" ref="C288">IF(B288="","",_xlfn._xlws.FILTER('Source List'!I$2:I$268,'Source List'!G$2:G$268='Row Counts'!B288," "))</f>
        <v/>
      </c>
      <c r="D288" s="104" t="str" cm="1">
        <f t="array" ref="D288">IF(B288="","",_xlfn._xlws.FILTER('Source List'!J$2:J$268,'Source List'!G$2:G$268='Row Counts'!B288," "))</f>
        <v/>
      </c>
      <c r="E288" s="105" t="str">
        <f ca="1">IFERROR(Table1[[#This Row],[TOTAL VINES]]-Table1[[#This Row],[VINES LEFT]],"")</f>
        <v/>
      </c>
      <c r="F288" s="105">
        <f ca="1">Table1[[#This Row],[TOTAL VINES]]-Table1[[#This Row],[VINES PICKED]]</f>
        <v>0</v>
      </c>
      <c r="G288" s="106">
        <f t="shared" si="22"/>
        <v>0</v>
      </c>
      <c r="H288" s="106">
        <f t="shared" ca="1" si="20"/>
        <v>0</v>
      </c>
      <c r="I288" s="106">
        <f ca="1">Table1[[#This Row],[TOTAL ACRES]]-Table1[[#This Row],[ACRES PICKED]]</f>
        <v>0</v>
      </c>
      <c r="J288" s="106">
        <f ca="1">Table1[[#This Row],[ACRES PICKED]]</f>
        <v>0</v>
      </c>
      <c r="K288" s="106"/>
      <c r="L288" s="106"/>
      <c r="M288" s="118">
        <f>Table1[[#This Row],[LOADS]]*24</f>
        <v>0</v>
      </c>
      <c r="N288" s="107">
        <f t="shared" ca="1" si="19"/>
        <v>0</v>
      </c>
      <c r="O288" s="108" t="str">
        <f t="shared" ca="1" si="21"/>
        <v/>
      </c>
      <c r="P288" s="109"/>
      <c r="Q288" s="12"/>
      <c r="R288" s="12"/>
    </row>
    <row r="289" spans="1:18" ht="13.5" customHeight="1" x14ac:dyDescent="0.3">
      <c r="C289" s="9" t="str" cm="1">
        <f t="array" ref="C289">IF(B289="","",_xlfn._xlws.FILTER('Source List'!I$2:I$268,'Source List'!G$2:G$268='Row Counts'!B289," "))</f>
        <v/>
      </c>
      <c r="D289" s="104" t="str" cm="1">
        <f t="array" ref="D289">IF(B289="","",_xlfn._xlws.FILTER('Source List'!J$2:J$268,'Source List'!G$2:G$268='Row Counts'!B289," "))</f>
        <v/>
      </c>
      <c r="E289" s="105" t="str">
        <f ca="1">IFERROR(Table1[[#This Row],[TOTAL VINES]]-Table1[[#This Row],[VINES LEFT]],"")</f>
        <v/>
      </c>
      <c r="F289" s="105">
        <f ca="1">Table1[[#This Row],[TOTAL VINES]]-Table1[[#This Row],[VINES PICKED]]</f>
        <v>0</v>
      </c>
      <c r="G289" s="106">
        <f t="shared" si="22"/>
        <v>0</v>
      </c>
      <c r="H289" s="106">
        <f t="shared" ca="1" si="20"/>
        <v>0</v>
      </c>
      <c r="I289" s="106">
        <f ca="1">Table1[[#This Row],[TOTAL ACRES]]-Table1[[#This Row],[ACRES PICKED]]</f>
        <v>0</v>
      </c>
      <c r="J289" s="106">
        <f ca="1">Table1[[#This Row],[ACRES PICKED]]</f>
        <v>0</v>
      </c>
      <c r="M289" s="118">
        <f>Table1[[#This Row],[LOADS]]*24</f>
        <v>0</v>
      </c>
      <c r="N289" s="107">
        <f t="shared" ca="1" si="19"/>
        <v>0</v>
      </c>
      <c r="O289" s="108" t="str">
        <f t="shared" ca="1" si="21"/>
        <v/>
      </c>
    </row>
    <row r="290" spans="1:18" ht="13.5" customHeight="1" x14ac:dyDescent="0.3">
      <c r="C290" s="9" t="str" cm="1">
        <f t="array" ref="C290">IF(B290="","",_xlfn._xlws.FILTER('Source List'!I$2:I$268,'Source List'!G$2:G$268='Row Counts'!B290," "))</f>
        <v/>
      </c>
      <c r="D290" s="104" t="str" cm="1">
        <f t="array" ref="D290">IF(B290="","",_xlfn._xlws.FILTER('Source List'!J$2:J$268,'Source List'!G$2:G$268='Row Counts'!B290," "))</f>
        <v/>
      </c>
      <c r="E290" s="105" t="str">
        <f ca="1">IFERROR(Table1[[#This Row],[TOTAL VINES]]-Table1[[#This Row],[VINES LEFT]],"")</f>
        <v/>
      </c>
      <c r="F290" s="105">
        <f ca="1">Table1[[#This Row],[TOTAL VINES]]-Table1[[#This Row],[VINES PICKED]]</f>
        <v>0</v>
      </c>
      <c r="G290" s="106">
        <f t="shared" si="22"/>
        <v>0</v>
      </c>
      <c r="H290" s="106">
        <f t="shared" ca="1" si="20"/>
        <v>0</v>
      </c>
      <c r="I290" s="106">
        <f ca="1">Table1[[#This Row],[TOTAL ACRES]]-Table1[[#This Row],[ACRES PICKED]]</f>
        <v>0</v>
      </c>
      <c r="J290" s="106">
        <f ca="1">Table1[[#This Row],[ACRES PICKED]]</f>
        <v>0</v>
      </c>
      <c r="M290" s="118">
        <f>Table1[[#This Row],[LOADS]]*24</f>
        <v>0</v>
      </c>
      <c r="N290" s="107">
        <f t="shared" ca="1" si="19"/>
        <v>0</v>
      </c>
      <c r="O290" s="108" t="str">
        <f t="shared" ca="1" si="21"/>
        <v/>
      </c>
    </row>
    <row r="291" spans="1:18" ht="13.5" customHeight="1" x14ac:dyDescent="0.3">
      <c r="B291" s="111"/>
      <c r="C291" s="9" t="str" cm="1">
        <f t="array" ref="C291">IF(B291="","",_xlfn._xlws.FILTER('Source List'!I$2:I$268,'Source List'!G$2:G$268='Row Counts'!B291," "))</f>
        <v/>
      </c>
      <c r="D291" s="104" t="str" cm="1">
        <f t="array" ref="D291">IF(B291="","",_xlfn._xlws.FILTER('Source List'!J$2:J$268,'Source List'!G$2:G$268='Row Counts'!B291," "))</f>
        <v/>
      </c>
      <c r="E291" s="105" t="str">
        <f ca="1">IFERROR(Table1[[#This Row],[TOTAL VINES]]-Table1[[#This Row],[VINES LEFT]],"")</f>
        <v/>
      </c>
      <c r="F291" s="105">
        <f ca="1">Table1[[#This Row],[TOTAL VINES]]-Table1[[#This Row],[VINES PICKED]]</f>
        <v>0</v>
      </c>
      <c r="G291" s="106">
        <f t="shared" si="22"/>
        <v>0</v>
      </c>
      <c r="H291" s="106">
        <f t="shared" ca="1" si="20"/>
        <v>0</v>
      </c>
      <c r="I291" s="106">
        <f ca="1">Table1[[#This Row],[TOTAL ACRES]]-Table1[[#This Row],[ACRES PICKED]]</f>
        <v>0</v>
      </c>
      <c r="J291" s="106">
        <f ca="1">Table1[[#This Row],[ACRES PICKED]]</f>
        <v>0</v>
      </c>
      <c r="M291" s="118">
        <f>Table1[[#This Row],[LOADS]]*24</f>
        <v>0</v>
      </c>
      <c r="N291" s="107">
        <f t="shared" ca="1" si="19"/>
        <v>0</v>
      </c>
      <c r="O291" s="108" t="str">
        <f t="shared" ca="1" si="21"/>
        <v/>
      </c>
    </row>
    <row r="292" spans="1:18" ht="13.5" customHeight="1" x14ac:dyDescent="0.3">
      <c r="C292" s="9" t="str" cm="1">
        <f t="array" ref="C292">IF(B292="","",_xlfn._xlws.FILTER('Source List'!I$2:I$268,'Source List'!G$2:G$268='Row Counts'!B292," "))</f>
        <v/>
      </c>
      <c r="D292" s="104" t="str" cm="1">
        <f t="array" ref="D292">IF(B292="","",_xlfn._xlws.FILTER('Source List'!J$2:J$268,'Source List'!G$2:G$268='Row Counts'!B292," "))</f>
        <v/>
      </c>
      <c r="E292" s="105" t="str">
        <f ca="1">IFERROR(Table1[[#This Row],[TOTAL VINES]]-Table1[[#This Row],[VINES LEFT]],"")</f>
        <v/>
      </c>
      <c r="F292" s="105">
        <f ca="1">Table1[[#This Row],[TOTAL VINES]]-Table1[[#This Row],[VINES PICKED]]</f>
        <v>0</v>
      </c>
      <c r="G292" s="106">
        <f t="shared" si="22"/>
        <v>0</v>
      </c>
      <c r="H292" s="106">
        <f t="shared" ca="1" si="20"/>
        <v>0</v>
      </c>
      <c r="I292" s="106">
        <f ca="1">Table1[[#This Row],[TOTAL ACRES]]-Table1[[#This Row],[ACRES PICKED]]</f>
        <v>0</v>
      </c>
      <c r="J292" s="106">
        <f ca="1">Table1[[#This Row],[ACRES PICKED]]</f>
        <v>0</v>
      </c>
      <c r="M292" s="118">
        <f>Table1[[#This Row],[LOADS]]*24</f>
        <v>0</v>
      </c>
      <c r="N292" s="107">
        <f t="shared" ca="1" si="19"/>
        <v>0</v>
      </c>
      <c r="O292" s="108" t="str">
        <f t="shared" ca="1" si="21"/>
        <v/>
      </c>
    </row>
    <row r="293" spans="1:18" ht="13.5" customHeight="1" x14ac:dyDescent="0.3">
      <c r="C293" s="9" t="str" cm="1">
        <f t="array" ref="C293">IF(B293="","",_xlfn._xlws.FILTER('Source List'!I$2:I$268,'Source List'!G$2:G$268='Row Counts'!B293," "))</f>
        <v/>
      </c>
      <c r="D293" s="104" t="str" cm="1">
        <f t="array" ref="D293">IF(B293="","",_xlfn._xlws.FILTER('Source List'!J$2:J$268,'Source List'!G$2:G$268='Row Counts'!B293," "))</f>
        <v/>
      </c>
      <c r="E293" s="105" t="str">
        <f ca="1">IFERROR(Table1[[#This Row],[TOTAL VINES]]-Table1[[#This Row],[VINES LEFT]],"")</f>
        <v/>
      </c>
      <c r="F293" s="105">
        <f ca="1">Table1[[#This Row],[TOTAL VINES]]-Table1[[#This Row],[VINES PICKED]]</f>
        <v>0</v>
      </c>
      <c r="G293" s="106">
        <f t="shared" si="22"/>
        <v>0</v>
      </c>
      <c r="H293" s="106">
        <f t="shared" ca="1" si="20"/>
        <v>0</v>
      </c>
      <c r="I293" s="106">
        <f ca="1">Table1[[#This Row],[TOTAL ACRES]]-Table1[[#This Row],[ACRES PICKED]]</f>
        <v>0</v>
      </c>
      <c r="J293" s="106">
        <f ca="1">Table1[[#This Row],[ACRES PICKED]]</f>
        <v>0</v>
      </c>
      <c r="M293" s="118">
        <f>Table1[[#This Row],[LOADS]]*24</f>
        <v>0</v>
      </c>
      <c r="N293" s="107">
        <f t="shared" ca="1" si="19"/>
        <v>0</v>
      </c>
      <c r="O293" s="108" t="str">
        <f t="shared" ca="1" si="21"/>
        <v/>
      </c>
    </row>
    <row r="294" spans="1:18" s="123" customFormat="1" ht="13.5" customHeight="1" thickBot="1" x14ac:dyDescent="0.35">
      <c r="A294" s="103"/>
      <c r="B294" s="12"/>
      <c r="C294" s="9" t="str" cm="1">
        <f t="array" ref="C294">IF(B294="","",_xlfn._xlws.FILTER('Source List'!I$2:I$268,'Source List'!G$2:G$268='Row Counts'!B294," "))</f>
        <v/>
      </c>
      <c r="D294" s="104" t="str" cm="1">
        <f t="array" ref="D294">IF(B294="","",_xlfn._xlws.FILTER('Source List'!J$2:J$268,'Source List'!G$2:G$268='Row Counts'!B294," "))</f>
        <v/>
      </c>
      <c r="E294" s="105" t="str">
        <f ca="1">IFERROR(Table1[[#This Row],[TOTAL VINES]]-Table1[[#This Row],[VINES LEFT]],"")</f>
        <v/>
      </c>
      <c r="F294" s="105">
        <f ca="1">Table1[[#This Row],[TOTAL VINES]]-Table1[[#This Row],[VINES PICKED]]</f>
        <v>0</v>
      </c>
      <c r="G294" s="106">
        <f t="shared" si="22"/>
        <v>0</v>
      </c>
      <c r="H294" s="106">
        <f t="shared" ca="1" si="20"/>
        <v>0</v>
      </c>
      <c r="I294" s="106">
        <f ca="1">Table1[[#This Row],[TOTAL ACRES]]-Table1[[#This Row],[ACRES PICKED]]</f>
        <v>0</v>
      </c>
      <c r="J294" s="106">
        <f ca="1">Table1[[#This Row],[ACRES PICKED]]</f>
        <v>0</v>
      </c>
      <c r="K294" s="106"/>
      <c r="L294" s="106"/>
      <c r="M294" s="118">
        <f>Table1[[#This Row],[LOADS]]*24</f>
        <v>0</v>
      </c>
      <c r="N294" s="107">
        <f t="shared" ca="1" si="19"/>
        <v>0</v>
      </c>
      <c r="O294" s="108" t="str">
        <f t="shared" ca="1" si="21"/>
        <v/>
      </c>
      <c r="P294" s="109"/>
      <c r="Q294" s="12"/>
      <c r="R294" s="12"/>
    </row>
    <row r="295" spans="1:18" s="121" customFormat="1" ht="13.5" customHeight="1" x14ac:dyDescent="0.3">
      <c r="A295" s="103"/>
      <c r="B295" s="12"/>
      <c r="C295" s="9" t="str" cm="1">
        <f t="array" ref="C295">IF(B295="","",_xlfn._xlws.FILTER('Source List'!I$2:I$268,'Source List'!G$2:G$268='Row Counts'!B295," "))</f>
        <v/>
      </c>
      <c r="D295" s="104" t="str" cm="1">
        <f t="array" ref="D295">IF(B295="","",_xlfn._xlws.FILTER('Source List'!J$2:J$268,'Source List'!G$2:G$268='Row Counts'!B295," "))</f>
        <v/>
      </c>
      <c r="E295" s="105" t="str">
        <f ca="1">IFERROR(Table1[[#This Row],[TOTAL VINES]]-Table1[[#This Row],[VINES LEFT]],"")</f>
        <v/>
      </c>
      <c r="F295" s="105">
        <f ca="1">Table1[[#This Row],[TOTAL VINES]]-Table1[[#This Row],[VINES PICKED]]</f>
        <v>0</v>
      </c>
      <c r="G295" s="106">
        <f t="shared" si="22"/>
        <v>0</v>
      </c>
      <c r="H295" s="106">
        <f t="shared" ca="1" si="20"/>
        <v>0</v>
      </c>
      <c r="I295" s="106">
        <f ca="1">Table1[[#This Row],[TOTAL ACRES]]-Table1[[#This Row],[ACRES PICKED]]</f>
        <v>0</v>
      </c>
      <c r="J295" s="106">
        <f ca="1">Table1[[#This Row],[ACRES PICKED]]</f>
        <v>0</v>
      </c>
      <c r="K295" s="106"/>
      <c r="L295" s="106"/>
      <c r="M295" s="118">
        <f>Table1[[#This Row],[LOADS]]*24</f>
        <v>0</v>
      </c>
      <c r="N295" s="107">
        <f t="shared" ca="1" si="19"/>
        <v>0</v>
      </c>
      <c r="O295" s="108" t="str">
        <f t="shared" ca="1" si="21"/>
        <v/>
      </c>
      <c r="P295" s="109"/>
      <c r="Q295" s="12"/>
      <c r="R295" s="12"/>
    </row>
    <row r="296" spans="1:18" ht="13.5" customHeight="1" x14ac:dyDescent="0.3">
      <c r="C296" s="9" t="str" cm="1">
        <f t="array" ref="C296">IF(B296="","",_xlfn._xlws.FILTER('Source List'!I$2:I$268,'Source List'!G$2:G$268='Row Counts'!B296," "))</f>
        <v/>
      </c>
      <c r="D296" s="104" t="str" cm="1">
        <f t="array" ref="D296">IF(B296="","",_xlfn._xlws.FILTER('Source List'!J$2:J$268,'Source List'!G$2:G$268='Row Counts'!B296," "))</f>
        <v/>
      </c>
      <c r="E296" s="105" t="str">
        <f ca="1">IFERROR(Table1[[#This Row],[TOTAL VINES]]-Table1[[#This Row],[VINES LEFT]],"")</f>
        <v/>
      </c>
      <c r="F296" s="105">
        <f ca="1">Table1[[#This Row],[TOTAL VINES]]-Table1[[#This Row],[VINES PICKED]]</f>
        <v>0</v>
      </c>
      <c r="G296" s="106">
        <f t="shared" si="22"/>
        <v>0</v>
      </c>
      <c r="H296" s="106">
        <f t="shared" ca="1" si="20"/>
        <v>0</v>
      </c>
      <c r="I296" s="106">
        <f ca="1">Table1[[#This Row],[TOTAL ACRES]]-Table1[[#This Row],[ACRES PICKED]]</f>
        <v>0</v>
      </c>
      <c r="J296" s="106">
        <f ca="1">Table1[[#This Row],[ACRES PICKED]]</f>
        <v>0</v>
      </c>
      <c r="M296" s="118">
        <f>Table1[[#This Row],[LOADS]]*24</f>
        <v>0</v>
      </c>
      <c r="N296" s="107">
        <f t="shared" ref="N296:N359" ca="1" si="23">IFERROR(M296/J296,0)</f>
        <v>0</v>
      </c>
      <c r="O296" s="108" t="str">
        <f t="shared" ca="1" si="21"/>
        <v/>
      </c>
    </row>
    <row r="297" spans="1:18" ht="13.5" customHeight="1" x14ac:dyDescent="0.3">
      <c r="C297" s="9" t="str" cm="1">
        <f t="array" ref="C297">IF(B297="","",_xlfn._xlws.FILTER('Source List'!I$2:I$268,'Source List'!G$2:G$268='Row Counts'!B297," "))</f>
        <v/>
      </c>
      <c r="D297" s="104" t="str" cm="1">
        <f t="array" ref="D297">IF(B297="","",_xlfn._xlws.FILTER('Source List'!J$2:J$268,'Source List'!G$2:G$268='Row Counts'!B297," "))</f>
        <v/>
      </c>
      <c r="E297" s="105" t="str">
        <f ca="1">IFERROR(Table1[[#This Row],[TOTAL VINES]]-Table1[[#This Row],[VINES LEFT]],"")</f>
        <v/>
      </c>
      <c r="F297" s="105">
        <f ca="1">Table1[[#This Row],[TOTAL VINES]]-Table1[[#This Row],[VINES PICKED]]</f>
        <v>0</v>
      </c>
      <c r="G297" s="106">
        <f t="shared" si="22"/>
        <v>0</v>
      </c>
      <c r="H297" s="106">
        <f t="shared" ca="1" si="20"/>
        <v>0</v>
      </c>
      <c r="I297" s="106">
        <f ca="1">Table1[[#This Row],[TOTAL ACRES]]-Table1[[#This Row],[ACRES PICKED]]</f>
        <v>0</v>
      </c>
      <c r="J297" s="106">
        <f ca="1">Table1[[#This Row],[ACRES PICKED]]</f>
        <v>0</v>
      </c>
      <c r="M297" s="118">
        <f>Table1[[#This Row],[LOADS]]*24</f>
        <v>0</v>
      </c>
      <c r="N297" s="107">
        <f t="shared" ca="1" si="23"/>
        <v>0</v>
      </c>
      <c r="O297" s="108" t="str">
        <f t="shared" ca="1" si="21"/>
        <v/>
      </c>
    </row>
    <row r="298" spans="1:18" ht="13.5" customHeight="1" x14ac:dyDescent="0.3">
      <c r="C298" s="9" t="str" cm="1">
        <f t="array" ref="C298">IF(B298="","",_xlfn._xlws.FILTER('Source List'!I$2:I$268,'Source List'!G$2:G$268='Row Counts'!B298," "))</f>
        <v/>
      </c>
      <c r="D298" s="104" t="str" cm="1">
        <f t="array" ref="D298">IF(B298="","",_xlfn._xlws.FILTER('Source List'!J$2:J$268,'Source List'!G$2:G$268='Row Counts'!B298," "))</f>
        <v/>
      </c>
      <c r="E298" s="105" t="str">
        <f ca="1">IFERROR(Table1[[#This Row],[TOTAL VINES]]-Table1[[#This Row],[VINES LEFT]],"")</f>
        <v/>
      </c>
      <c r="F298" s="105">
        <f ca="1">Table1[[#This Row],[TOTAL VINES]]-Table1[[#This Row],[VINES PICKED]]</f>
        <v>0</v>
      </c>
      <c r="G298" s="106">
        <f t="shared" si="22"/>
        <v>0</v>
      </c>
      <c r="H298" s="106">
        <f t="shared" ca="1" si="20"/>
        <v>0</v>
      </c>
      <c r="I298" s="106">
        <f ca="1">Table1[[#This Row],[TOTAL ACRES]]-Table1[[#This Row],[ACRES PICKED]]</f>
        <v>0</v>
      </c>
      <c r="J298" s="106">
        <f ca="1">Table1[[#This Row],[ACRES PICKED]]</f>
        <v>0</v>
      </c>
      <c r="M298" s="118">
        <f>Table1[[#This Row],[LOADS]]*24</f>
        <v>0</v>
      </c>
      <c r="N298" s="107">
        <f t="shared" ca="1" si="23"/>
        <v>0</v>
      </c>
      <c r="O298" s="108" t="str">
        <f t="shared" ca="1" si="21"/>
        <v/>
      </c>
    </row>
    <row r="299" spans="1:18" s="123" customFormat="1" ht="13.5" customHeight="1" thickBot="1" x14ac:dyDescent="0.35">
      <c r="A299" s="103"/>
      <c r="B299" s="12"/>
      <c r="C299" s="9" t="str" cm="1">
        <f t="array" ref="C299">IF(B299="","",_xlfn._xlws.FILTER('Source List'!I$2:I$268,'Source List'!G$2:G$268='Row Counts'!B299," "))</f>
        <v/>
      </c>
      <c r="D299" s="104" t="str" cm="1">
        <f t="array" ref="D299">IF(B299="","",_xlfn._xlws.FILTER('Source List'!J$2:J$268,'Source List'!G$2:G$268='Row Counts'!B299," "))</f>
        <v/>
      </c>
      <c r="E299" s="105" t="str">
        <f ca="1">IFERROR(Table1[[#This Row],[TOTAL VINES]]-Table1[[#This Row],[VINES LEFT]],"")</f>
        <v/>
      </c>
      <c r="F299" s="105">
        <f ca="1">Table1[[#This Row],[TOTAL VINES]]-Table1[[#This Row],[VINES PICKED]]</f>
        <v>0</v>
      </c>
      <c r="G299" s="106">
        <f t="shared" si="22"/>
        <v>0</v>
      </c>
      <c r="H299" s="106">
        <f t="shared" ca="1" si="20"/>
        <v>0</v>
      </c>
      <c r="I299" s="106">
        <f ca="1">Table1[[#This Row],[TOTAL ACRES]]-Table1[[#This Row],[ACRES PICKED]]</f>
        <v>0</v>
      </c>
      <c r="J299" s="106">
        <f ca="1">Table1[[#This Row],[ACRES PICKED]]</f>
        <v>0</v>
      </c>
      <c r="K299" s="106"/>
      <c r="L299" s="106"/>
      <c r="M299" s="118">
        <f>Table1[[#This Row],[LOADS]]*24</f>
        <v>0</v>
      </c>
      <c r="N299" s="107">
        <f t="shared" ca="1" si="23"/>
        <v>0</v>
      </c>
      <c r="O299" s="108" t="str">
        <f t="shared" ca="1" si="21"/>
        <v/>
      </c>
      <c r="P299" s="109"/>
      <c r="Q299" s="12"/>
      <c r="R299" s="12"/>
    </row>
    <row r="300" spans="1:18" s="121" customFormat="1" ht="13.5" customHeight="1" x14ac:dyDescent="0.3">
      <c r="A300" s="103"/>
      <c r="B300" s="12"/>
      <c r="C300" s="9" t="str" cm="1">
        <f t="array" ref="C300">IF(B300="","",_xlfn._xlws.FILTER('Source List'!I$2:I$268,'Source List'!G$2:G$268='Row Counts'!B300," "))</f>
        <v/>
      </c>
      <c r="D300" s="104" t="str" cm="1">
        <f t="array" ref="D300">IF(B300="","",_xlfn._xlws.FILTER('Source List'!J$2:J$268,'Source List'!G$2:G$268='Row Counts'!B300," "))</f>
        <v/>
      </c>
      <c r="E300" s="105" t="str">
        <f ca="1">IFERROR(Table1[[#This Row],[TOTAL VINES]]-Table1[[#This Row],[VINES LEFT]],"")</f>
        <v/>
      </c>
      <c r="F300" s="105">
        <f ca="1">Table1[[#This Row],[TOTAL VINES]]-Table1[[#This Row],[VINES PICKED]]</f>
        <v>0</v>
      </c>
      <c r="G300" s="106">
        <f t="shared" si="22"/>
        <v>0</v>
      </c>
      <c r="H300" s="106">
        <f t="shared" ca="1" si="20"/>
        <v>0</v>
      </c>
      <c r="I300" s="106">
        <f ca="1">Table1[[#This Row],[TOTAL ACRES]]-Table1[[#This Row],[ACRES PICKED]]</f>
        <v>0</v>
      </c>
      <c r="J300" s="106">
        <f ca="1">Table1[[#This Row],[ACRES PICKED]]</f>
        <v>0</v>
      </c>
      <c r="K300" s="106"/>
      <c r="L300" s="106"/>
      <c r="M300" s="118">
        <f>Table1[[#This Row],[LOADS]]*24</f>
        <v>0</v>
      </c>
      <c r="N300" s="107">
        <f t="shared" ca="1" si="23"/>
        <v>0</v>
      </c>
      <c r="O300" s="108" t="str">
        <f t="shared" ca="1" si="21"/>
        <v/>
      </c>
      <c r="P300" s="109"/>
      <c r="Q300" s="133"/>
      <c r="R300" s="12"/>
    </row>
    <row r="301" spans="1:18" ht="13.5" customHeight="1" x14ac:dyDescent="0.3">
      <c r="C301" s="9" t="str" cm="1">
        <f t="array" ref="C301">IF(B301="","",_xlfn._xlws.FILTER('Source List'!I$2:I$268,'Source List'!G$2:G$268='Row Counts'!B301," "))</f>
        <v/>
      </c>
      <c r="D301" s="104" t="str" cm="1">
        <f t="array" ref="D301">IF(B301="","",_xlfn._xlws.FILTER('Source List'!J$2:J$268,'Source List'!G$2:G$268='Row Counts'!B301," "))</f>
        <v/>
      </c>
      <c r="E301" s="105" t="str">
        <f ca="1">IFERROR(Table1[[#This Row],[TOTAL VINES]]-Table1[[#This Row],[VINES LEFT]],"")</f>
        <v/>
      </c>
      <c r="F301" s="105">
        <f ca="1">Table1[[#This Row],[TOTAL VINES]]-Table1[[#This Row],[VINES PICKED]]</f>
        <v>0</v>
      </c>
      <c r="G301" s="106">
        <f t="shared" si="22"/>
        <v>0</v>
      </c>
      <c r="H301" s="106">
        <f t="shared" ca="1" si="20"/>
        <v>0</v>
      </c>
      <c r="I301" s="106">
        <f ca="1">Table1[[#This Row],[TOTAL ACRES]]-Table1[[#This Row],[ACRES PICKED]]</f>
        <v>0</v>
      </c>
      <c r="J301" s="106">
        <f ca="1">Table1[[#This Row],[ACRES PICKED]]</f>
        <v>0</v>
      </c>
      <c r="M301" s="118">
        <f>Table1[[#This Row],[LOADS]]*24</f>
        <v>0</v>
      </c>
      <c r="N301" s="107">
        <f t="shared" ca="1" si="23"/>
        <v>0</v>
      </c>
      <c r="O301" s="108" t="str">
        <f t="shared" ca="1" si="21"/>
        <v/>
      </c>
    </row>
    <row r="302" spans="1:18" ht="13.5" customHeight="1" x14ac:dyDescent="0.3">
      <c r="C302" s="9" t="str" cm="1">
        <f t="array" ref="C302">IF(B302="","",_xlfn._xlws.FILTER('Source List'!I$2:I$268,'Source List'!G$2:G$268='Row Counts'!B302," "))</f>
        <v/>
      </c>
      <c r="D302" s="104" t="str" cm="1">
        <f t="array" ref="D302">IF(B302="","",_xlfn._xlws.FILTER('Source List'!J$2:J$268,'Source List'!G$2:G$268='Row Counts'!B302," "))</f>
        <v/>
      </c>
      <c r="E302" s="105" t="str">
        <f ca="1">IFERROR(Table1[[#This Row],[TOTAL VINES]]-Table1[[#This Row],[VINES LEFT]],"")</f>
        <v/>
      </c>
      <c r="F302" s="105">
        <f ca="1">Table1[[#This Row],[TOTAL VINES]]-Table1[[#This Row],[VINES PICKED]]</f>
        <v>0</v>
      </c>
      <c r="G302" s="106">
        <f t="shared" si="22"/>
        <v>0</v>
      </c>
      <c r="H302" s="106">
        <f t="shared" ca="1" si="20"/>
        <v>0</v>
      </c>
      <c r="I302" s="106">
        <f ca="1">Table1[[#This Row],[TOTAL ACRES]]-Table1[[#This Row],[ACRES PICKED]]</f>
        <v>0</v>
      </c>
      <c r="J302" s="106">
        <f ca="1">Table1[[#This Row],[ACRES PICKED]]</f>
        <v>0</v>
      </c>
      <c r="M302" s="118">
        <f>Table1[[#This Row],[LOADS]]*24</f>
        <v>0</v>
      </c>
      <c r="N302" s="107">
        <f t="shared" ca="1" si="23"/>
        <v>0</v>
      </c>
      <c r="O302" s="108" t="str">
        <f t="shared" ca="1" si="21"/>
        <v/>
      </c>
    </row>
    <row r="303" spans="1:18" ht="13.5" customHeight="1" x14ac:dyDescent="0.3">
      <c r="C303" s="9" t="str" cm="1">
        <f t="array" ref="C303">IF(B303="","",_xlfn._xlws.FILTER('Source List'!I$2:I$268,'Source List'!G$2:G$268='Row Counts'!B303," "))</f>
        <v/>
      </c>
      <c r="D303" s="104" t="str" cm="1">
        <f t="array" ref="D303">IF(B303="","",_xlfn._xlws.FILTER('Source List'!J$2:J$268,'Source List'!G$2:G$268='Row Counts'!B303," "))</f>
        <v/>
      </c>
      <c r="E303" s="105" t="str">
        <f ca="1">IFERROR(Table1[[#This Row],[TOTAL VINES]]-Table1[[#This Row],[VINES LEFT]],"")</f>
        <v/>
      </c>
      <c r="F303" s="105">
        <f ca="1">Table1[[#This Row],[TOTAL VINES]]-Table1[[#This Row],[VINES PICKED]]</f>
        <v>0</v>
      </c>
      <c r="G303" s="106">
        <f t="shared" si="22"/>
        <v>0</v>
      </c>
      <c r="H303" s="106">
        <f t="shared" ca="1" si="20"/>
        <v>0</v>
      </c>
      <c r="I303" s="106">
        <f ca="1">Table1[[#This Row],[TOTAL ACRES]]-Table1[[#This Row],[ACRES PICKED]]</f>
        <v>0</v>
      </c>
      <c r="J303" s="106">
        <f ca="1">Table1[[#This Row],[ACRES PICKED]]</f>
        <v>0</v>
      </c>
      <c r="M303" s="118">
        <f>Table1[[#This Row],[LOADS]]*24</f>
        <v>0</v>
      </c>
      <c r="N303" s="107">
        <f t="shared" ca="1" si="23"/>
        <v>0</v>
      </c>
      <c r="O303" s="108" t="str">
        <f t="shared" ca="1" si="21"/>
        <v/>
      </c>
    </row>
    <row r="304" spans="1:18" ht="13.5" customHeight="1" x14ac:dyDescent="0.3">
      <c r="C304" s="9" t="str" cm="1">
        <f t="array" ref="C304">IF(B304="","",_xlfn._xlws.FILTER('Source List'!I$2:I$268,'Source List'!G$2:G$268='Row Counts'!B304," "))</f>
        <v/>
      </c>
      <c r="D304" s="104" t="str" cm="1">
        <f t="array" ref="D304">IF(B304="","",_xlfn._xlws.FILTER('Source List'!J$2:J$268,'Source List'!G$2:G$268='Row Counts'!B304," "))</f>
        <v/>
      </c>
      <c r="E304" s="105" t="str">
        <f ca="1">IFERROR(Table1[[#This Row],[TOTAL VINES]]-Table1[[#This Row],[VINES LEFT]],"")</f>
        <v/>
      </c>
      <c r="F304" s="105">
        <f ca="1">Table1[[#This Row],[TOTAL VINES]]-Table1[[#This Row],[VINES PICKED]]</f>
        <v>0</v>
      </c>
      <c r="G304" s="106">
        <f t="shared" si="22"/>
        <v>0</v>
      </c>
      <c r="H304" s="106">
        <f t="shared" ca="1" si="20"/>
        <v>0</v>
      </c>
      <c r="I304" s="106">
        <f ca="1">Table1[[#This Row],[TOTAL ACRES]]-Table1[[#This Row],[ACRES PICKED]]</f>
        <v>0</v>
      </c>
      <c r="J304" s="106">
        <f ca="1">Table1[[#This Row],[ACRES PICKED]]</f>
        <v>0</v>
      </c>
      <c r="M304" s="118">
        <f>Table1[[#This Row],[LOADS]]*24</f>
        <v>0</v>
      </c>
      <c r="N304" s="107">
        <f t="shared" ca="1" si="23"/>
        <v>0</v>
      </c>
      <c r="O304" s="108" t="str">
        <f t="shared" ca="1" si="21"/>
        <v/>
      </c>
    </row>
    <row r="305" spans="1:18" ht="13.5" customHeight="1" x14ac:dyDescent="0.3">
      <c r="C305" s="9" t="str" cm="1">
        <f t="array" ref="C305">IF(B305="","",_xlfn._xlws.FILTER('Source List'!I$2:I$268,'Source List'!G$2:G$268='Row Counts'!B305," "))</f>
        <v/>
      </c>
      <c r="D305" s="104" t="str" cm="1">
        <f t="array" ref="D305">IF(B305="","",_xlfn._xlws.FILTER('Source List'!J$2:J$268,'Source List'!G$2:G$268='Row Counts'!B305," "))</f>
        <v/>
      </c>
      <c r="E305" s="105" t="str">
        <f ca="1">IFERROR(Table1[[#This Row],[TOTAL VINES]]-Table1[[#This Row],[VINES LEFT]],"")</f>
        <v/>
      </c>
      <c r="F305" s="105">
        <f ca="1">Table1[[#This Row],[TOTAL VINES]]-Table1[[#This Row],[VINES PICKED]]</f>
        <v>0</v>
      </c>
      <c r="G305" s="106">
        <f t="shared" si="22"/>
        <v>0</v>
      </c>
      <c r="H305" s="106">
        <f t="shared" ca="1" si="20"/>
        <v>0</v>
      </c>
      <c r="I305" s="106">
        <f ca="1">Table1[[#This Row],[TOTAL ACRES]]-Table1[[#This Row],[ACRES PICKED]]</f>
        <v>0</v>
      </c>
      <c r="J305" s="106">
        <f ca="1">Table1[[#This Row],[ACRES PICKED]]</f>
        <v>0</v>
      </c>
      <c r="M305" s="118">
        <f>Table1[[#This Row],[LOADS]]*24</f>
        <v>0</v>
      </c>
      <c r="N305" s="107">
        <f t="shared" ca="1" si="23"/>
        <v>0</v>
      </c>
      <c r="O305" s="108" t="str">
        <f t="shared" ca="1" si="21"/>
        <v/>
      </c>
    </row>
    <row r="306" spans="1:18" ht="13.5" customHeight="1" x14ac:dyDescent="0.3">
      <c r="C306" s="9" t="str" cm="1">
        <f t="array" ref="C306">IF(B306="","",_xlfn._xlws.FILTER('Source List'!I$2:I$268,'Source List'!G$2:G$268='Row Counts'!B306," "))</f>
        <v/>
      </c>
      <c r="D306" s="104" t="str" cm="1">
        <f t="array" ref="D306">IF(B306="","",_xlfn._xlws.FILTER('Source List'!J$2:J$268,'Source List'!G$2:G$268='Row Counts'!B306," "))</f>
        <v/>
      </c>
      <c r="E306" s="105" t="str">
        <f ca="1">IFERROR(Table1[[#This Row],[TOTAL VINES]]-Table1[[#This Row],[VINES LEFT]],"")</f>
        <v/>
      </c>
      <c r="F306" s="105">
        <f ca="1">Table1[[#This Row],[TOTAL VINES]]-Table1[[#This Row],[VINES PICKED]]</f>
        <v>0</v>
      </c>
      <c r="G306" s="106">
        <f t="shared" si="22"/>
        <v>0</v>
      </c>
      <c r="H306" s="106">
        <f t="shared" ca="1" si="20"/>
        <v>0</v>
      </c>
      <c r="I306" s="106">
        <f ca="1">Table1[[#This Row],[TOTAL ACRES]]-Table1[[#This Row],[ACRES PICKED]]</f>
        <v>0</v>
      </c>
      <c r="J306" s="106">
        <f ca="1">Table1[[#This Row],[ACRES PICKED]]</f>
        <v>0</v>
      </c>
      <c r="M306" s="118">
        <f>Table1[[#This Row],[LOADS]]*24</f>
        <v>0</v>
      </c>
      <c r="N306" s="107">
        <f t="shared" ca="1" si="23"/>
        <v>0</v>
      </c>
      <c r="O306" s="108" t="str">
        <f t="shared" ca="1" si="21"/>
        <v/>
      </c>
    </row>
    <row r="307" spans="1:18" s="123" customFormat="1" ht="13.5" customHeight="1" thickBot="1" x14ac:dyDescent="0.35">
      <c r="A307" s="103"/>
      <c r="B307" s="12"/>
      <c r="C307" s="9" t="str" cm="1">
        <f t="array" ref="C307">IF(B307="","",_xlfn._xlws.FILTER('Source List'!I$2:I$268,'Source List'!G$2:G$268='Row Counts'!B307," "))</f>
        <v/>
      </c>
      <c r="D307" s="104" t="str" cm="1">
        <f t="array" ref="D307">IF(B307="","",_xlfn._xlws.FILTER('Source List'!J$2:J$268,'Source List'!G$2:G$268='Row Counts'!B307," "))</f>
        <v/>
      </c>
      <c r="E307" s="105" t="str">
        <f ca="1">IFERROR(Table1[[#This Row],[TOTAL VINES]]-Table1[[#This Row],[VINES LEFT]],"")</f>
        <v/>
      </c>
      <c r="F307" s="105">
        <f ca="1">Table1[[#This Row],[TOTAL VINES]]-Table1[[#This Row],[VINES PICKED]]</f>
        <v>0</v>
      </c>
      <c r="G307" s="106">
        <f t="shared" si="22"/>
        <v>0</v>
      </c>
      <c r="H307" s="106">
        <f t="shared" ca="1" si="20"/>
        <v>0</v>
      </c>
      <c r="I307" s="106">
        <f ca="1">Table1[[#This Row],[TOTAL ACRES]]-Table1[[#This Row],[ACRES PICKED]]</f>
        <v>0</v>
      </c>
      <c r="J307" s="106">
        <f ca="1">Table1[[#This Row],[ACRES PICKED]]</f>
        <v>0</v>
      </c>
      <c r="K307" s="106"/>
      <c r="L307" s="106"/>
      <c r="M307" s="118">
        <f>Table1[[#This Row],[LOADS]]*24</f>
        <v>0</v>
      </c>
      <c r="N307" s="107">
        <f t="shared" ca="1" si="23"/>
        <v>0</v>
      </c>
      <c r="O307" s="108" t="str">
        <f t="shared" ca="1" si="21"/>
        <v/>
      </c>
      <c r="P307" s="109"/>
      <c r="Q307" s="12"/>
      <c r="R307" s="12"/>
    </row>
    <row r="308" spans="1:18" s="121" customFormat="1" ht="13.5" customHeight="1" x14ac:dyDescent="0.3">
      <c r="A308" s="103"/>
      <c r="B308" s="12"/>
      <c r="C308" s="9" t="str" cm="1">
        <f t="array" ref="C308">IF(B308="","",_xlfn._xlws.FILTER('Source List'!I$2:I$268,'Source List'!G$2:G$268='Row Counts'!B308," "))</f>
        <v/>
      </c>
      <c r="D308" s="104" t="str" cm="1">
        <f t="array" ref="D308">IF(B308="","",_xlfn._xlws.FILTER('Source List'!J$2:J$268,'Source List'!G$2:G$268='Row Counts'!B308," "))</f>
        <v/>
      </c>
      <c r="E308" s="105" t="str">
        <f ca="1">IFERROR(Table1[[#This Row],[TOTAL VINES]]-Table1[[#This Row],[VINES LEFT]],"")</f>
        <v/>
      </c>
      <c r="F308" s="105">
        <f ca="1">Table1[[#This Row],[TOTAL VINES]]-Table1[[#This Row],[VINES PICKED]]</f>
        <v>0</v>
      </c>
      <c r="G308" s="106">
        <f t="shared" si="22"/>
        <v>0</v>
      </c>
      <c r="H308" s="106">
        <f t="shared" ca="1" si="20"/>
        <v>0</v>
      </c>
      <c r="I308" s="106">
        <f ca="1">Table1[[#This Row],[TOTAL ACRES]]-Table1[[#This Row],[ACRES PICKED]]</f>
        <v>0</v>
      </c>
      <c r="J308" s="106">
        <f ca="1">Table1[[#This Row],[ACRES PICKED]]</f>
        <v>0</v>
      </c>
      <c r="K308" s="106"/>
      <c r="L308" s="106"/>
      <c r="M308" s="118">
        <f>Table1[[#This Row],[LOADS]]*24</f>
        <v>0</v>
      </c>
      <c r="N308" s="107">
        <f t="shared" ca="1" si="23"/>
        <v>0</v>
      </c>
      <c r="O308" s="108" t="str">
        <f t="shared" ca="1" si="21"/>
        <v/>
      </c>
      <c r="P308" s="109"/>
      <c r="Q308" s="12"/>
      <c r="R308" s="12"/>
    </row>
    <row r="309" spans="1:18" ht="13.5" customHeight="1" x14ac:dyDescent="0.3">
      <c r="C309" s="9" t="str" cm="1">
        <f t="array" ref="C309">IF(B309="","",_xlfn._xlws.FILTER('Source List'!I$2:I$268,'Source List'!G$2:G$268='Row Counts'!B309," "))</f>
        <v/>
      </c>
      <c r="D309" s="104" t="str" cm="1">
        <f t="array" ref="D309">IF(B309="","",_xlfn._xlws.FILTER('Source List'!J$2:J$268,'Source List'!G$2:G$268='Row Counts'!B309," "))</f>
        <v/>
      </c>
      <c r="E309" s="105" t="str">
        <f ca="1">IFERROR(Table1[[#This Row],[TOTAL VINES]]-Table1[[#This Row],[VINES LEFT]],"")</f>
        <v/>
      </c>
      <c r="F309" s="105">
        <f ca="1">Table1[[#This Row],[TOTAL VINES]]-Table1[[#This Row],[VINES PICKED]]</f>
        <v>0</v>
      </c>
      <c r="G309" s="106">
        <f t="shared" si="22"/>
        <v>0</v>
      </c>
      <c r="H309" s="106">
        <f t="shared" ca="1" si="20"/>
        <v>0</v>
      </c>
      <c r="I309" s="106">
        <f ca="1">Table1[[#This Row],[TOTAL ACRES]]-Table1[[#This Row],[ACRES PICKED]]</f>
        <v>0</v>
      </c>
      <c r="J309" s="106">
        <f ca="1">Table1[[#This Row],[ACRES PICKED]]</f>
        <v>0</v>
      </c>
      <c r="M309" s="118">
        <f>Table1[[#This Row],[LOADS]]*24</f>
        <v>0</v>
      </c>
      <c r="N309" s="107">
        <f t="shared" ca="1" si="23"/>
        <v>0</v>
      </c>
      <c r="O309" s="108" t="str">
        <f t="shared" ca="1" si="21"/>
        <v/>
      </c>
    </row>
    <row r="310" spans="1:18" ht="13.5" customHeight="1" x14ac:dyDescent="0.3">
      <c r="C310" s="9" t="str" cm="1">
        <f t="array" ref="C310">IF(B310="","",_xlfn._xlws.FILTER('Source List'!I$2:I$268,'Source List'!G$2:G$268='Row Counts'!B310," "))</f>
        <v/>
      </c>
      <c r="D310" s="104" t="str" cm="1">
        <f t="array" ref="D310">IF(B310="","",_xlfn._xlws.FILTER('Source List'!J$2:J$268,'Source List'!G$2:G$268='Row Counts'!B310," "))</f>
        <v/>
      </c>
      <c r="E310" s="105" t="str">
        <f ca="1">IFERROR(Table1[[#This Row],[TOTAL VINES]]-Table1[[#This Row],[VINES LEFT]],"")</f>
        <v/>
      </c>
      <c r="F310" s="105">
        <f ca="1">Table1[[#This Row],[TOTAL VINES]]-Table1[[#This Row],[VINES PICKED]]</f>
        <v>0</v>
      </c>
      <c r="G310" s="106">
        <f t="shared" si="22"/>
        <v>0</v>
      </c>
      <c r="H310" s="106">
        <f t="shared" ca="1" si="20"/>
        <v>0</v>
      </c>
      <c r="I310" s="106">
        <f ca="1">Table1[[#This Row],[TOTAL ACRES]]-Table1[[#This Row],[ACRES PICKED]]</f>
        <v>0</v>
      </c>
      <c r="J310" s="106">
        <f ca="1">Table1[[#This Row],[ACRES PICKED]]</f>
        <v>0</v>
      </c>
      <c r="M310" s="118">
        <f>Table1[[#This Row],[LOADS]]*24</f>
        <v>0</v>
      </c>
      <c r="N310" s="107">
        <f t="shared" ca="1" si="23"/>
        <v>0</v>
      </c>
      <c r="O310" s="108" t="str">
        <f t="shared" ca="1" si="21"/>
        <v/>
      </c>
    </row>
    <row r="311" spans="1:18" ht="13.5" customHeight="1" x14ac:dyDescent="0.3">
      <c r="C311" s="9" t="str" cm="1">
        <f t="array" ref="C311">IF(B311="","",_xlfn._xlws.FILTER('Source List'!I$2:I$268,'Source List'!G$2:G$268='Row Counts'!B311," "))</f>
        <v/>
      </c>
      <c r="D311" s="104" t="str" cm="1">
        <f t="array" ref="D311">IF(B311="","",_xlfn._xlws.FILTER('Source List'!J$2:J$268,'Source List'!G$2:G$268='Row Counts'!B311," "))</f>
        <v/>
      </c>
      <c r="E311" s="105" t="str">
        <f ca="1">IFERROR(Table1[[#This Row],[TOTAL VINES]]-Table1[[#This Row],[VINES LEFT]],"")</f>
        <v/>
      </c>
      <c r="F311" s="105">
        <f ca="1">Table1[[#This Row],[TOTAL VINES]]-Table1[[#This Row],[VINES PICKED]]</f>
        <v>0</v>
      </c>
      <c r="G311" s="106">
        <f t="shared" si="22"/>
        <v>0</v>
      </c>
      <c r="H311" s="106">
        <f t="shared" ca="1" si="20"/>
        <v>0</v>
      </c>
      <c r="I311" s="106">
        <f ca="1">Table1[[#This Row],[TOTAL ACRES]]-Table1[[#This Row],[ACRES PICKED]]</f>
        <v>0</v>
      </c>
      <c r="J311" s="106">
        <f ca="1">Table1[[#This Row],[ACRES PICKED]]</f>
        <v>0</v>
      </c>
      <c r="M311" s="118">
        <f>Table1[[#This Row],[LOADS]]*24</f>
        <v>0</v>
      </c>
      <c r="N311" s="107">
        <f t="shared" ca="1" si="23"/>
        <v>0</v>
      </c>
      <c r="O311" s="108" t="str">
        <f t="shared" ca="1" si="21"/>
        <v/>
      </c>
    </row>
    <row r="312" spans="1:18" s="123" customFormat="1" ht="13.5" customHeight="1" thickBot="1" x14ac:dyDescent="0.35">
      <c r="A312" s="103"/>
      <c r="B312" s="12"/>
      <c r="C312" s="9" t="str" cm="1">
        <f t="array" ref="C312">IF(B312="","",_xlfn._xlws.FILTER('Source List'!I$2:I$268,'Source List'!G$2:G$268='Row Counts'!B312," "))</f>
        <v/>
      </c>
      <c r="D312" s="104" t="str" cm="1">
        <f t="array" ref="D312">IF(B312="","",_xlfn._xlws.FILTER('Source List'!J$2:J$268,'Source List'!G$2:G$268='Row Counts'!B312," "))</f>
        <v/>
      </c>
      <c r="E312" s="105" t="str">
        <f ca="1">IFERROR(Table1[[#This Row],[TOTAL VINES]]-Table1[[#This Row],[VINES LEFT]],"")</f>
        <v/>
      </c>
      <c r="F312" s="105">
        <f ca="1">Table1[[#This Row],[TOTAL VINES]]-Table1[[#This Row],[VINES PICKED]]</f>
        <v>0</v>
      </c>
      <c r="G312" s="106">
        <f t="shared" si="22"/>
        <v>0</v>
      </c>
      <c r="H312" s="106">
        <f t="shared" ca="1" si="20"/>
        <v>0</v>
      </c>
      <c r="I312" s="106">
        <f ca="1">Table1[[#This Row],[TOTAL ACRES]]-Table1[[#This Row],[ACRES PICKED]]</f>
        <v>0</v>
      </c>
      <c r="J312" s="106">
        <f ca="1">Table1[[#This Row],[ACRES PICKED]]</f>
        <v>0</v>
      </c>
      <c r="K312" s="106"/>
      <c r="L312" s="106"/>
      <c r="M312" s="118">
        <f>Table1[[#This Row],[LOADS]]*24</f>
        <v>0</v>
      </c>
      <c r="N312" s="107">
        <f t="shared" ca="1" si="23"/>
        <v>0</v>
      </c>
      <c r="O312" s="108" t="str">
        <f t="shared" ca="1" si="21"/>
        <v/>
      </c>
      <c r="P312" s="109"/>
      <c r="Q312" s="12"/>
      <c r="R312" s="12"/>
    </row>
    <row r="313" spans="1:18" s="121" customFormat="1" ht="13.5" customHeight="1" x14ac:dyDescent="0.3">
      <c r="A313" s="103"/>
      <c r="B313" s="12"/>
      <c r="C313" s="9" t="str" cm="1">
        <f t="array" ref="C313">IF(B313="","",_xlfn._xlws.FILTER('Source List'!I$2:I$268,'Source List'!G$2:G$268='Row Counts'!B313," "))</f>
        <v/>
      </c>
      <c r="D313" s="104" t="str" cm="1">
        <f t="array" ref="D313">IF(B313="","",_xlfn._xlws.FILTER('Source List'!J$2:J$268,'Source List'!G$2:G$268='Row Counts'!B313," "))</f>
        <v/>
      </c>
      <c r="E313" s="105" t="str">
        <f ca="1">IFERROR(Table1[[#This Row],[TOTAL VINES]]-Table1[[#This Row],[VINES LEFT]],"")</f>
        <v/>
      </c>
      <c r="F313" s="105">
        <f ca="1">Table1[[#This Row],[TOTAL VINES]]-Table1[[#This Row],[VINES PICKED]]</f>
        <v>0</v>
      </c>
      <c r="G313" s="106">
        <f t="shared" si="22"/>
        <v>0</v>
      </c>
      <c r="H313" s="106">
        <f t="shared" ca="1" si="20"/>
        <v>0</v>
      </c>
      <c r="I313" s="106">
        <f ca="1">Table1[[#This Row],[TOTAL ACRES]]-Table1[[#This Row],[ACRES PICKED]]</f>
        <v>0</v>
      </c>
      <c r="J313" s="106">
        <f ca="1">Table1[[#This Row],[ACRES PICKED]]</f>
        <v>0</v>
      </c>
      <c r="K313" s="106"/>
      <c r="L313" s="106"/>
      <c r="M313" s="118">
        <f>Table1[[#This Row],[LOADS]]*24</f>
        <v>0</v>
      </c>
      <c r="N313" s="107">
        <f t="shared" ca="1" si="23"/>
        <v>0</v>
      </c>
      <c r="O313" s="108" t="str">
        <f t="shared" ca="1" si="21"/>
        <v/>
      </c>
      <c r="P313" s="109"/>
      <c r="Q313" s="12"/>
      <c r="R313" s="12"/>
    </row>
    <row r="314" spans="1:18" s="123" customFormat="1" ht="13.5" customHeight="1" thickBot="1" x14ac:dyDescent="0.35">
      <c r="A314" s="103"/>
      <c r="B314" s="12"/>
      <c r="C314" s="9" t="str" cm="1">
        <f t="array" ref="C314">IF(B314="","",_xlfn._xlws.FILTER('Source List'!I$2:I$268,'Source List'!G$2:G$268='Row Counts'!B314," "))</f>
        <v/>
      </c>
      <c r="D314" s="104" t="str" cm="1">
        <f t="array" ref="D314">IF(B314="","",_xlfn._xlws.FILTER('Source List'!J$2:J$268,'Source List'!G$2:G$268='Row Counts'!B314," "))</f>
        <v/>
      </c>
      <c r="E314" s="105" t="str">
        <f ca="1">IFERROR(Table1[[#This Row],[TOTAL VINES]]-Table1[[#This Row],[VINES LEFT]],"")</f>
        <v/>
      </c>
      <c r="F314" s="105">
        <f ca="1">Table1[[#This Row],[TOTAL VINES]]-Table1[[#This Row],[VINES PICKED]]</f>
        <v>0</v>
      </c>
      <c r="G314" s="106">
        <f t="shared" si="22"/>
        <v>0</v>
      </c>
      <c r="H314" s="106">
        <f t="shared" ca="1" si="20"/>
        <v>0</v>
      </c>
      <c r="I314" s="106">
        <f ca="1">Table1[[#This Row],[TOTAL ACRES]]-Table1[[#This Row],[ACRES PICKED]]</f>
        <v>0</v>
      </c>
      <c r="J314" s="106">
        <f ca="1">Table1[[#This Row],[ACRES PICKED]]</f>
        <v>0</v>
      </c>
      <c r="K314" s="106"/>
      <c r="L314" s="106"/>
      <c r="M314" s="118">
        <f>Table1[[#This Row],[LOADS]]*24</f>
        <v>0</v>
      </c>
      <c r="N314" s="107">
        <f t="shared" ca="1" si="23"/>
        <v>0</v>
      </c>
      <c r="O314" s="108" t="str">
        <f t="shared" ca="1" si="21"/>
        <v/>
      </c>
      <c r="P314" s="109"/>
      <c r="Q314" s="12"/>
      <c r="R314" s="12"/>
    </row>
    <row r="315" spans="1:18" s="121" customFormat="1" ht="13.5" customHeight="1" x14ac:dyDescent="0.3">
      <c r="A315" s="103"/>
      <c r="B315" s="12"/>
      <c r="C315" s="9" t="str" cm="1">
        <f t="array" ref="C315">IF(B315="","",_xlfn._xlws.FILTER('Source List'!I$2:I$268,'Source List'!G$2:G$268='Row Counts'!B315," "))</f>
        <v/>
      </c>
      <c r="D315" s="104" t="str" cm="1">
        <f t="array" ref="D315">IF(B315="","",_xlfn._xlws.FILTER('Source List'!J$2:J$268,'Source List'!G$2:G$268='Row Counts'!B315," "))</f>
        <v/>
      </c>
      <c r="E315" s="105" t="str">
        <f ca="1">IFERROR(Table1[[#This Row],[TOTAL VINES]]-Table1[[#This Row],[VINES LEFT]],"")</f>
        <v/>
      </c>
      <c r="F315" s="105">
        <f ca="1">Table1[[#This Row],[TOTAL VINES]]-Table1[[#This Row],[VINES PICKED]]</f>
        <v>0</v>
      </c>
      <c r="G315" s="106">
        <f t="shared" si="22"/>
        <v>0</v>
      </c>
      <c r="H315" s="106">
        <f t="shared" ca="1" si="20"/>
        <v>0</v>
      </c>
      <c r="I315" s="106">
        <f ca="1">Table1[[#This Row],[TOTAL ACRES]]-Table1[[#This Row],[ACRES PICKED]]</f>
        <v>0</v>
      </c>
      <c r="J315" s="106">
        <f ca="1">Table1[[#This Row],[ACRES PICKED]]</f>
        <v>0</v>
      </c>
      <c r="K315" s="106"/>
      <c r="L315" s="106"/>
      <c r="M315" s="118">
        <f>Table1[[#This Row],[LOADS]]*24</f>
        <v>0</v>
      </c>
      <c r="N315" s="107">
        <f t="shared" ca="1" si="23"/>
        <v>0</v>
      </c>
      <c r="O315" s="108" t="str">
        <f t="shared" ca="1" si="21"/>
        <v/>
      </c>
      <c r="P315" s="109"/>
      <c r="Q315" s="12"/>
      <c r="R315" s="12"/>
    </row>
    <row r="316" spans="1:18" ht="13.5" customHeight="1" x14ac:dyDescent="0.3">
      <c r="C316" s="9" t="str" cm="1">
        <f t="array" ref="C316">IF(B316="","",_xlfn._xlws.FILTER('Source List'!I$2:I$268,'Source List'!G$2:G$268='Row Counts'!B316," "))</f>
        <v/>
      </c>
      <c r="D316" s="104" t="str" cm="1">
        <f t="array" ref="D316">IF(B316="","",_xlfn._xlws.FILTER('Source List'!J$2:J$268,'Source List'!G$2:G$268='Row Counts'!B316," "))</f>
        <v/>
      </c>
      <c r="E316" s="105" t="str">
        <f ca="1">IFERROR(Table1[[#This Row],[TOTAL VINES]]-Table1[[#This Row],[VINES LEFT]],"")</f>
        <v/>
      </c>
      <c r="F316" s="105">
        <f ca="1">Table1[[#This Row],[TOTAL VINES]]-Table1[[#This Row],[VINES PICKED]]</f>
        <v>0</v>
      </c>
      <c r="G316" s="106">
        <f t="shared" si="22"/>
        <v>0</v>
      </c>
      <c r="H316" s="106">
        <f t="shared" ca="1" si="20"/>
        <v>0</v>
      </c>
      <c r="I316" s="106">
        <f ca="1">Table1[[#This Row],[TOTAL ACRES]]-Table1[[#This Row],[ACRES PICKED]]</f>
        <v>0</v>
      </c>
      <c r="J316" s="106">
        <f ca="1">Table1[[#This Row],[ACRES PICKED]]</f>
        <v>0</v>
      </c>
      <c r="M316" s="118">
        <f>Table1[[#This Row],[LOADS]]*24</f>
        <v>0</v>
      </c>
      <c r="N316" s="107">
        <f t="shared" ca="1" si="23"/>
        <v>0</v>
      </c>
      <c r="O316" s="108" t="str">
        <f t="shared" ca="1" si="21"/>
        <v/>
      </c>
    </row>
    <row r="317" spans="1:18" ht="13.5" customHeight="1" x14ac:dyDescent="0.3">
      <c r="C317" s="9" t="str" cm="1">
        <f t="array" ref="C317">IF(B317="","",_xlfn._xlws.FILTER('Source List'!I$2:I$268,'Source List'!G$2:G$268='Row Counts'!B317," "))</f>
        <v/>
      </c>
      <c r="D317" s="104" t="str" cm="1">
        <f t="array" ref="D317">IF(B317="","",_xlfn._xlws.FILTER('Source List'!J$2:J$268,'Source List'!G$2:G$268='Row Counts'!B317," "))</f>
        <v/>
      </c>
      <c r="E317" s="105" t="str">
        <f ca="1">IFERROR(Table1[[#This Row],[TOTAL VINES]]-Table1[[#This Row],[VINES LEFT]],"")</f>
        <v/>
      </c>
      <c r="F317" s="105">
        <f ca="1">Table1[[#This Row],[TOTAL VINES]]-Table1[[#This Row],[VINES PICKED]]</f>
        <v>0</v>
      </c>
      <c r="G317" s="106">
        <f t="shared" si="22"/>
        <v>0</v>
      </c>
      <c r="H317" s="106">
        <f t="shared" ca="1" si="20"/>
        <v>0</v>
      </c>
      <c r="I317" s="106">
        <f ca="1">Table1[[#This Row],[TOTAL ACRES]]-Table1[[#This Row],[ACRES PICKED]]</f>
        <v>0</v>
      </c>
      <c r="J317" s="106">
        <f ca="1">Table1[[#This Row],[ACRES PICKED]]</f>
        <v>0</v>
      </c>
      <c r="M317" s="118">
        <f>Table1[[#This Row],[LOADS]]*24</f>
        <v>0</v>
      </c>
      <c r="N317" s="107">
        <f t="shared" ca="1" si="23"/>
        <v>0</v>
      </c>
      <c r="O317" s="108" t="str">
        <f t="shared" ca="1" si="21"/>
        <v/>
      </c>
    </row>
    <row r="318" spans="1:18" ht="13.5" customHeight="1" x14ac:dyDescent="0.3">
      <c r="C318" s="9" t="str" cm="1">
        <f t="array" ref="C318">IF(B318="","",_xlfn._xlws.FILTER('Source List'!I$2:I$268,'Source List'!G$2:G$268='Row Counts'!B318," "))</f>
        <v/>
      </c>
      <c r="D318" s="104" t="str" cm="1">
        <f t="array" ref="D318">IF(B318="","",_xlfn._xlws.FILTER('Source List'!J$2:J$268,'Source List'!G$2:G$268='Row Counts'!B318," "))</f>
        <v/>
      </c>
      <c r="E318" s="105" t="str">
        <f ca="1">IFERROR(Table1[[#This Row],[TOTAL VINES]]-Table1[[#This Row],[VINES LEFT]],"")</f>
        <v/>
      </c>
      <c r="F318" s="105">
        <f ca="1">Table1[[#This Row],[TOTAL VINES]]-Table1[[#This Row],[VINES PICKED]]</f>
        <v>0</v>
      </c>
      <c r="G318" s="106">
        <f t="shared" si="22"/>
        <v>0</v>
      </c>
      <c r="H318" s="106">
        <f t="shared" ca="1" si="20"/>
        <v>0</v>
      </c>
      <c r="I318" s="106">
        <f ca="1">Table1[[#This Row],[TOTAL ACRES]]-Table1[[#This Row],[ACRES PICKED]]</f>
        <v>0</v>
      </c>
      <c r="J318" s="106">
        <f ca="1">Table1[[#This Row],[ACRES PICKED]]</f>
        <v>0</v>
      </c>
      <c r="M318" s="118">
        <f>Table1[[#This Row],[LOADS]]*24</f>
        <v>0</v>
      </c>
      <c r="N318" s="107">
        <f t="shared" ca="1" si="23"/>
        <v>0</v>
      </c>
      <c r="O318" s="108" t="str">
        <f t="shared" ca="1" si="21"/>
        <v/>
      </c>
    </row>
    <row r="319" spans="1:18" ht="13.5" customHeight="1" x14ac:dyDescent="0.3">
      <c r="C319" s="9" t="str" cm="1">
        <f t="array" ref="C319">IF(B319="","",_xlfn._xlws.FILTER('Source List'!I$2:I$268,'Source List'!G$2:G$268='Row Counts'!B319," "))</f>
        <v/>
      </c>
      <c r="D319" s="104" t="str" cm="1">
        <f t="array" ref="D319">IF(B319="","",_xlfn._xlws.FILTER('Source List'!J$2:J$268,'Source List'!G$2:G$268='Row Counts'!B319," "))</f>
        <v/>
      </c>
      <c r="E319" s="105" t="str">
        <f ca="1">IFERROR(Table1[[#This Row],[TOTAL VINES]]-Table1[[#This Row],[VINES LEFT]],"")</f>
        <v/>
      </c>
      <c r="F319" s="105">
        <f ca="1">Table1[[#This Row],[TOTAL VINES]]-Table1[[#This Row],[VINES PICKED]]</f>
        <v>0</v>
      </c>
      <c r="G319" s="106">
        <f t="shared" si="22"/>
        <v>0</v>
      </c>
      <c r="H319" s="106">
        <f t="shared" ref="H319:H382" ca="1" si="24">IFERROR(E319/C319,0)</f>
        <v>0</v>
      </c>
      <c r="I319" s="106">
        <f ca="1">Table1[[#This Row],[TOTAL ACRES]]-Table1[[#This Row],[ACRES PICKED]]</f>
        <v>0</v>
      </c>
      <c r="J319" s="106">
        <f ca="1">Table1[[#This Row],[ACRES PICKED]]</f>
        <v>0</v>
      </c>
      <c r="M319" s="118">
        <f>Table1[[#This Row],[LOADS]]*24</f>
        <v>0</v>
      </c>
      <c r="N319" s="107">
        <f t="shared" ca="1" si="23"/>
        <v>0</v>
      </c>
      <c r="O319" s="108" t="str">
        <f t="shared" ca="1" si="21"/>
        <v/>
      </c>
    </row>
    <row r="320" spans="1:18" ht="13.5" customHeight="1" x14ac:dyDescent="0.3">
      <c r="C320" s="9" t="str" cm="1">
        <f t="array" ref="C320">IF(B320="","",_xlfn._xlws.FILTER('Source List'!I$2:I$268,'Source List'!G$2:G$268='Row Counts'!B320," "))</f>
        <v/>
      </c>
      <c r="D320" s="104" t="str" cm="1">
        <f t="array" ref="D320">IF(B320="","",_xlfn._xlws.FILTER('Source List'!J$2:J$268,'Source List'!G$2:G$268='Row Counts'!B320," "))</f>
        <v/>
      </c>
      <c r="E320" s="105" t="str">
        <f ca="1">IFERROR(Table1[[#This Row],[TOTAL VINES]]-Table1[[#This Row],[VINES LEFT]],"")</f>
        <v/>
      </c>
      <c r="F320" s="105">
        <f ca="1">Table1[[#This Row],[TOTAL VINES]]-Table1[[#This Row],[VINES PICKED]]</f>
        <v>0</v>
      </c>
      <c r="G320" s="106">
        <f t="shared" si="22"/>
        <v>0</v>
      </c>
      <c r="H320" s="106">
        <f t="shared" ca="1" si="24"/>
        <v>0</v>
      </c>
      <c r="I320" s="106">
        <f ca="1">Table1[[#This Row],[TOTAL ACRES]]-Table1[[#This Row],[ACRES PICKED]]</f>
        <v>0</v>
      </c>
      <c r="J320" s="106">
        <f ca="1">Table1[[#This Row],[ACRES PICKED]]</f>
        <v>0</v>
      </c>
      <c r="M320" s="118">
        <f>Table1[[#This Row],[LOADS]]*24</f>
        <v>0</v>
      </c>
      <c r="N320" s="107">
        <f t="shared" ca="1" si="23"/>
        <v>0</v>
      </c>
      <c r="O320" s="108" t="str">
        <f t="shared" ca="1" si="21"/>
        <v/>
      </c>
    </row>
    <row r="321" spans="1:18" s="111" customFormat="1" ht="13.5" customHeight="1" x14ac:dyDescent="0.3">
      <c r="A321" s="132"/>
      <c r="C321" s="9" t="str" cm="1">
        <f t="array" ref="C321">IF(B321="","",_xlfn._xlws.FILTER('Source List'!I$2:I$268,'Source List'!G$2:G$268='Row Counts'!B321," "))</f>
        <v/>
      </c>
      <c r="D321" s="104" t="str" cm="1">
        <f t="array" ref="D321">IF(B321="","",_xlfn._xlws.FILTER('Source List'!J$2:J$268,'Source List'!G$2:G$268='Row Counts'!B321," "))</f>
        <v/>
      </c>
      <c r="E321" s="105" t="str">
        <f ca="1">IFERROR(Table1[[#This Row],[TOTAL VINES]]-Table1[[#This Row],[VINES LEFT]],"")</f>
        <v/>
      </c>
      <c r="F321" s="116">
        <f ca="1">Table1[[#This Row],[TOTAL VINES]]-Table1[[#This Row],[VINES PICKED]]</f>
        <v>0</v>
      </c>
      <c r="G321" s="106">
        <f t="shared" si="22"/>
        <v>0</v>
      </c>
      <c r="H321" s="106">
        <f t="shared" ca="1" si="24"/>
        <v>0</v>
      </c>
      <c r="I321" s="106">
        <f ca="1">Table1[[#This Row],[TOTAL ACRES]]-Table1[[#This Row],[ACRES PICKED]]</f>
        <v>0</v>
      </c>
      <c r="J321" s="106">
        <f ca="1">Table1[[#This Row],[ACRES PICKED]]</f>
        <v>0</v>
      </c>
      <c r="K321" s="117"/>
      <c r="L321" s="117"/>
      <c r="M321" s="118">
        <f>Table1[[#This Row],[LOADS]]*24</f>
        <v>0</v>
      </c>
      <c r="N321" s="107">
        <f t="shared" ca="1" si="23"/>
        <v>0</v>
      </c>
      <c r="O321" s="108" t="str">
        <f t="shared" ca="1" si="21"/>
        <v/>
      </c>
      <c r="P321" s="119"/>
    </row>
    <row r="322" spans="1:18" s="115" customFormat="1" ht="13.5" customHeight="1" x14ac:dyDescent="0.3">
      <c r="A322" s="131"/>
      <c r="C322" s="9" t="str" cm="1">
        <f t="array" ref="C322">IF(B322="","",_xlfn._xlws.FILTER('Source List'!I$2:I$268,'Source List'!G$2:G$268='Row Counts'!B322," "))</f>
        <v/>
      </c>
      <c r="D322" s="104" t="str" cm="1">
        <f t="array" ref="D322">IF(B322="","",_xlfn._xlws.FILTER('Source List'!J$2:J$268,'Source List'!G$2:G$268='Row Counts'!B322," "))</f>
        <v/>
      </c>
      <c r="E322" s="105" t="str">
        <f ca="1">IFERROR(Table1[[#This Row],[TOTAL VINES]]-Table1[[#This Row],[VINES LEFT]],"")</f>
        <v/>
      </c>
      <c r="F322" s="112">
        <f ca="1">Table1[[#This Row],[TOTAL VINES]]-Table1[[#This Row],[VINES PICKED]]</f>
        <v>0</v>
      </c>
      <c r="G322" s="106">
        <f t="shared" si="22"/>
        <v>0</v>
      </c>
      <c r="H322" s="106">
        <f t="shared" ca="1" si="24"/>
        <v>0</v>
      </c>
      <c r="I322" s="106">
        <f ca="1">Table1[[#This Row],[TOTAL ACRES]]-Table1[[#This Row],[ACRES PICKED]]</f>
        <v>0</v>
      </c>
      <c r="J322" s="106">
        <f ca="1">Table1[[#This Row],[ACRES PICKED]]</f>
        <v>0</v>
      </c>
      <c r="K322" s="113"/>
      <c r="L322" s="113"/>
      <c r="M322" s="118">
        <f>Table1[[#This Row],[LOADS]]*24</f>
        <v>0</v>
      </c>
      <c r="N322" s="107">
        <f t="shared" ca="1" si="23"/>
        <v>0</v>
      </c>
      <c r="O322" s="108" t="str">
        <f t="shared" ca="1" si="21"/>
        <v/>
      </c>
      <c r="P322" s="114"/>
    </row>
    <row r="323" spans="1:18" s="122" customFormat="1" ht="13.5" customHeight="1" thickBot="1" x14ac:dyDescent="0.35">
      <c r="A323" s="131"/>
      <c r="B323" s="115"/>
      <c r="C323" s="9" t="str" cm="1">
        <f t="array" ref="C323">IF(B323="","",_xlfn._xlws.FILTER('Source List'!I$2:I$268,'Source List'!G$2:G$268='Row Counts'!B323," "))</f>
        <v/>
      </c>
      <c r="D323" s="104" t="str" cm="1">
        <f t="array" ref="D323">IF(B323="","",_xlfn._xlws.FILTER('Source List'!J$2:J$268,'Source List'!G$2:G$268='Row Counts'!B323," "))</f>
        <v/>
      </c>
      <c r="E323" s="105" t="str">
        <f ca="1">IFERROR(Table1[[#This Row],[TOTAL VINES]]-Table1[[#This Row],[VINES LEFT]],"")</f>
        <v/>
      </c>
      <c r="F323" s="112">
        <f ca="1">Table1[[#This Row],[TOTAL VINES]]-Table1[[#This Row],[VINES PICKED]]</f>
        <v>0</v>
      </c>
      <c r="G323" s="106">
        <f t="shared" si="22"/>
        <v>0</v>
      </c>
      <c r="H323" s="106">
        <f t="shared" ca="1" si="24"/>
        <v>0</v>
      </c>
      <c r="I323" s="106">
        <f ca="1">Table1[[#This Row],[TOTAL ACRES]]-Table1[[#This Row],[ACRES PICKED]]</f>
        <v>0</v>
      </c>
      <c r="J323" s="106">
        <f ca="1">Table1[[#This Row],[ACRES PICKED]]</f>
        <v>0</v>
      </c>
      <c r="K323" s="113"/>
      <c r="L323" s="113"/>
      <c r="M323" s="118">
        <f>Table1[[#This Row],[LOADS]]*24</f>
        <v>0</v>
      </c>
      <c r="N323" s="107">
        <f t="shared" ca="1" si="23"/>
        <v>0</v>
      </c>
      <c r="O323" s="108" t="str">
        <f t="shared" ca="1" si="21"/>
        <v/>
      </c>
      <c r="P323" s="114"/>
      <c r="Q323" s="115"/>
      <c r="R323" s="115"/>
    </row>
    <row r="324" spans="1:18" s="121" customFormat="1" ht="13.5" customHeight="1" x14ac:dyDescent="0.3">
      <c r="A324" s="103"/>
      <c r="B324" s="12"/>
      <c r="C324" s="9" t="str" cm="1">
        <f t="array" ref="C324">IF(B324="","",_xlfn._xlws.FILTER('Source List'!I$2:I$268,'Source List'!G$2:G$268='Row Counts'!B324," "))</f>
        <v/>
      </c>
      <c r="D324" s="104" t="str" cm="1">
        <f t="array" ref="D324">IF(B324="","",_xlfn._xlws.FILTER('Source List'!J$2:J$268,'Source List'!G$2:G$268='Row Counts'!B324," "))</f>
        <v/>
      </c>
      <c r="E324" s="105" t="str">
        <f ca="1">IFERROR(Table1[[#This Row],[TOTAL VINES]]-Table1[[#This Row],[VINES LEFT]],"")</f>
        <v/>
      </c>
      <c r="F324" s="105">
        <f ca="1">Table1[[#This Row],[TOTAL VINES]]-Table1[[#This Row],[VINES PICKED]]</f>
        <v>0</v>
      </c>
      <c r="G324" s="106">
        <f t="shared" si="22"/>
        <v>0</v>
      </c>
      <c r="H324" s="106">
        <f t="shared" ca="1" si="24"/>
        <v>0</v>
      </c>
      <c r="I324" s="106">
        <f ca="1">Table1[[#This Row],[TOTAL ACRES]]-Table1[[#This Row],[ACRES PICKED]]</f>
        <v>0</v>
      </c>
      <c r="J324" s="106">
        <f ca="1">Table1[[#This Row],[ACRES PICKED]]</f>
        <v>0</v>
      </c>
      <c r="K324" s="106"/>
      <c r="L324" s="106"/>
      <c r="M324" s="118">
        <f>Table1[[#This Row],[LOADS]]*24</f>
        <v>0</v>
      </c>
      <c r="N324" s="107">
        <f t="shared" ca="1" si="23"/>
        <v>0</v>
      </c>
      <c r="O324" s="108" t="str">
        <f t="shared" ca="1" si="21"/>
        <v/>
      </c>
      <c r="P324" s="109"/>
      <c r="Q324" s="12"/>
      <c r="R324" s="12"/>
    </row>
    <row r="325" spans="1:18" ht="13.5" customHeight="1" x14ac:dyDescent="0.3">
      <c r="C325" s="9" t="str" cm="1">
        <f t="array" ref="C325">IF(B325="","",_xlfn._xlws.FILTER('Source List'!I$2:I$268,'Source List'!G$2:G$268='Row Counts'!B325," "))</f>
        <v/>
      </c>
      <c r="D325" s="104" t="str" cm="1">
        <f t="array" ref="D325">IF(B325="","",_xlfn._xlws.FILTER('Source List'!J$2:J$268,'Source List'!G$2:G$268='Row Counts'!B325," "))</f>
        <v/>
      </c>
      <c r="E325" s="105" t="str">
        <f ca="1">IFERROR(Table1[[#This Row],[TOTAL VINES]]-Table1[[#This Row],[VINES LEFT]],"")</f>
        <v/>
      </c>
      <c r="F325" s="105">
        <f ca="1">Table1[[#This Row],[TOTAL VINES]]-Table1[[#This Row],[VINES PICKED]]</f>
        <v>0</v>
      </c>
      <c r="G325" s="106">
        <f t="shared" si="22"/>
        <v>0</v>
      </c>
      <c r="H325" s="106">
        <f t="shared" ca="1" si="24"/>
        <v>0</v>
      </c>
      <c r="I325" s="106">
        <f ca="1">Table1[[#This Row],[TOTAL ACRES]]-Table1[[#This Row],[ACRES PICKED]]</f>
        <v>0</v>
      </c>
      <c r="J325" s="106">
        <f ca="1">Table1[[#This Row],[ACRES PICKED]]</f>
        <v>0</v>
      </c>
      <c r="M325" s="118">
        <f>Table1[[#This Row],[LOADS]]*24</f>
        <v>0</v>
      </c>
      <c r="N325" s="107">
        <f t="shared" ca="1" si="23"/>
        <v>0</v>
      </c>
      <c r="O325" s="108" t="str">
        <f t="shared" ref="O325:O388" ca="1" si="25">IFERROR((N325*I325)/23,"")</f>
        <v/>
      </c>
    </row>
    <row r="326" spans="1:18" ht="13.5" customHeight="1" x14ac:dyDescent="0.3">
      <c r="C326" s="9" t="str" cm="1">
        <f t="array" ref="C326">IF(B326="","",_xlfn._xlws.FILTER('Source List'!I$2:I$268,'Source List'!G$2:G$268='Row Counts'!B326," "))</f>
        <v/>
      </c>
      <c r="D326" s="104" t="str" cm="1">
        <f t="array" ref="D326">IF(B326="","",_xlfn._xlws.FILTER('Source List'!J$2:J$268,'Source List'!G$2:G$268='Row Counts'!B326," "))</f>
        <v/>
      </c>
      <c r="E326" s="105" t="str">
        <f ca="1">IFERROR(Table1[[#This Row],[TOTAL VINES]]-Table1[[#This Row],[VINES LEFT]],"")</f>
        <v/>
      </c>
      <c r="F326" s="105">
        <f ca="1">Table1[[#This Row],[TOTAL VINES]]-Table1[[#This Row],[VINES PICKED]]</f>
        <v>0</v>
      </c>
      <c r="G326" s="106">
        <f t="shared" si="22"/>
        <v>0</v>
      </c>
      <c r="H326" s="106">
        <f t="shared" ca="1" si="24"/>
        <v>0</v>
      </c>
      <c r="I326" s="106">
        <f ca="1">Table1[[#This Row],[TOTAL ACRES]]-Table1[[#This Row],[ACRES PICKED]]</f>
        <v>0</v>
      </c>
      <c r="J326" s="106">
        <f ca="1">Table1[[#This Row],[ACRES PICKED]]</f>
        <v>0</v>
      </c>
      <c r="M326" s="118">
        <f>Table1[[#This Row],[LOADS]]*24</f>
        <v>0</v>
      </c>
      <c r="N326" s="107">
        <f t="shared" ca="1" si="23"/>
        <v>0</v>
      </c>
      <c r="O326" s="108" t="str">
        <f t="shared" ca="1" si="25"/>
        <v/>
      </c>
    </row>
    <row r="327" spans="1:18" ht="13.5" customHeight="1" x14ac:dyDescent="0.3">
      <c r="C327" s="9" t="str" cm="1">
        <f t="array" ref="C327">IF(B327="","",_xlfn._xlws.FILTER('Source List'!I$2:I$268,'Source List'!G$2:G$268='Row Counts'!B327," "))</f>
        <v/>
      </c>
      <c r="D327" s="104" t="str" cm="1">
        <f t="array" ref="D327">IF(B327="","",_xlfn._xlws.FILTER('Source List'!J$2:J$268,'Source List'!G$2:G$268='Row Counts'!B327," "))</f>
        <v/>
      </c>
      <c r="E327" s="105" t="str">
        <f ca="1">IFERROR(Table1[[#This Row],[TOTAL VINES]]-Table1[[#This Row],[VINES LEFT]],"")</f>
        <v/>
      </c>
      <c r="F327" s="105">
        <f ca="1">Table1[[#This Row],[TOTAL VINES]]-Table1[[#This Row],[VINES PICKED]]</f>
        <v>0</v>
      </c>
      <c r="G327" s="106">
        <f t="shared" si="22"/>
        <v>0</v>
      </c>
      <c r="H327" s="106">
        <f t="shared" ca="1" si="24"/>
        <v>0</v>
      </c>
      <c r="I327" s="106">
        <f ca="1">Table1[[#This Row],[TOTAL ACRES]]-Table1[[#This Row],[ACRES PICKED]]</f>
        <v>0</v>
      </c>
      <c r="J327" s="106">
        <f ca="1">Table1[[#This Row],[ACRES PICKED]]</f>
        <v>0</v>
      </c>
      <c r="M327" s="118">
        <f>Table1[[#This Row],[LOADS]]*24</f>
        <v>0</v>
      </c>
      <c r="N327" s="107">
        <f t="shared" ca="1" si="23"/>
        <v>0</v>
      </c>
      <c r="O327" s="108" t="str">
        <f t="shared" ca="1" si="25"/>
        <v/>
      </c>
    </row>
    <row r="328" spans="1:18" ht="13.5" customHeight="1" x14ac:dyDescent="0.3">
      <c r="C328" s="9" t="str" cm="1">
        <f t="array" ref="C328">IF(B328="","",_xlfn._xlws.FILTER('Source List'!I$2:I$268,'Source List'!G$2:G$268='Row Counts'!B328," "))</f>
        <v/>
      </c>
      <c r="D328" s="104" t="str" cm="1">
        <f t="array" ref="D328">IF(B328="","",_xlfn._xlws.FILTER('Source List'!J$2:J$268,'Source List'!G$2:G$268='Row Counts'!B328," "))</f>
        <v/>
      </c>
      <c r="E328" s="105" t="str">
        <f ca="1">IFERROR(Table1[[#This Row],[TOTAL VINES]]-Table1[[#This Row],[VINES LEFT]],"")</f>
        <v/>
      </c>
      <c r="F328" s="105">
        <f ca="1">Table1[[#This Row],[TOTAL VINES]]-Table1[[#This Row],[VINES PICKED]]</f>
        <v>0</v>
      </c>
      <c r="G328" s="106">
        <f t="shared" si="22"/>
        <v>0</v>
      </c>
      <c r="H328" s="106">
        <f t="shared" ca="1" si="24"/>
        <v>0</v>
      </c>
      <c r="I328" s="106">
        <f ca="1">Table1[[#This Row],[TOTAL ACRES]]-Table1[[#This Row],[ACRES PICKED]]</f>
        <v>0</v>
      </c>
      <c r="J328" s="106">
        <f ca="1">Table1[[#This Row],[ACRES PICKED]]</f>
        <v>0</v>
      </c>
      <c r="M328" s="118">
        <f>Table1[[#This Row],[LOADS]]*24</f>
        <v>0</v>
      </c>
      <c r="N328" s="107">
        <f t="shared" ca="1" si="23"/>
        <v>0</v>
      </c>
      <c r="O328" s="108" t="str">
        <f t="shared" ca="1" si="25"/>
        <v/>
      </c>
    </row>
    <row r="329" spans="1:18" ht="13.5" customHeight="1" x14ac:dyDescent="0.3">
      <c r="C329" s="9" t="str" cm="1">
        <f t="array" ref="C329">IF(B329="","",_xlfn._xlws.FILTER('Source List'!I$2:I$268,'Source List'!G$2:G$268='Row Counts'!B329," "))</f>
        <v/>
      </c>
      <c r="D329" s="104" t="str" cm="1">
        <f t="array" ref="D329">IF(B329="","",_xlfn._xlws.FILTER('Source List'!J$2:J$268,'Source List'!G$2:G$268='Row Counts'!B329," "))</f>
        <v/>
      </c>
      <c r="E329" s="105" t="str">
        <f ca="1">IFERROR(Table1[[#This Row],[TOTAL VINES]]-Table1[[#This Row],[VINES LEFT]],"")</f>
        <v/>
      </c>
      <c r="F329" s="105">
        <f ca="1">Table1[[#This Row],[TOTAL VINES]]-Table1[[#This Row],[VINES PICKED]]</f>
        <v>0</v>
      </c>
      <c r="G329" s="106">
        <f t="shared" si="22"/>
        <v>0</v>
      </c>
      <c r="H329" s="106">
        <f t="shared" ca="1" si="24"/>
        <v>0</v>
      </c>
      <c r="I329" s="106">
        <f ca="1">Table1[[#This Row],[TOTAL ACRES]]-Table1[[#This Row],[ACRES PICKED]]</f>
        <v>0</v>
      </c>
      <c r="J329" s="106">
        <f ca="1">Table1[[#This Row],[ACRES PICKED]]</f>
        <v>0</v>
      </c>
      <c r="M329" s="118">
        <f>Table1[[#This Row],[LOADS]]*24</f>
        <v>0</v>
      </c>
      <c r="N329" s="107">
        <f t="shared" ca="1" si="23"/>
        <v>0</v>
      </c>
      <c r="O329" s="108" t="str">
        <f t="shared" ca="1" si="25"/>
        <v/>
      </c>
    </row>
    <row r="330" spans="1:18" s="111" customFormat="1" ht="13.5" customHeight="1" x14ac:dyDescent="0.3">
      <c r="A330" s="132"/>
      <c r="C330" s="9" t="str" cm="1">
        <f t="array" ref="C330">IF(B330="","",_xlfn._xlws.FILTER('Source List'!I$2:I$268,'Source List'!G$2:G$268='Row Counts'!B330," "))</f>
        <v/>
      </c>
      <c r="D330" s="104" t="str" cm="1">
        <f t="array" ref="D330">IF(B330="","",_xlfn._xlws.FILTER('Source List'!J$2:J$268,'Source List'!G$2:G$268='Row Counts'!B330," "))</f>
        <v/>
      </c>
      <c r="E330" s="105" t="str">
        <f ca="1">IFERROR(Table1[[#This Row],[TOTAL VINES]]-Table1[[#This Row],[VINES LEFT]],"")</f>
        <v/>
      </c>
      <c r="F330" s="116">
        <f ca="1">Table1[[#This Row],[TOTAL VINES]]-Table1[[#This Row],[VINES PICKED]]</f>
        <v>0</v>
      </c>
      <c r="G330" s="106">
        <f t="shared" si="22"/>
        <v>0</v>
      </c>
      <c r="H330" s="106">
        <f t="shared" ca="1" si="24"/>
        <v>0</v>
      </c>
      <c r="I330" s="106">
        <f ca="1">Table1[[#This Row],[TOTAL ACRES]]-Table1[[#This Row],[ACRES PICKED]]</f>
        <v>0</v>
      </c>
      <c r="J330" s="106">
        <f ca="1">Table1[[#This Row],[ACRES PICKED]]</f>
        <v>0</v>
      </c>
      <c r="K330" s="117"/>
      <c r="L330" s="117"/>
      <c r="M330" s="118">
        <f>Table1[[#This Row],[LOADS]]*24</f>
        <v>0</v>
      </c>
      <c r="N330" s="107">
        <f t="shared" ca="1" si="23"/>
        <v>0</v>
      </c>
      <c r="O330" s="108" t="str">
        <f t="shared" ca="1" si="25"/>
        <v/>
      </c>
      <c r="P330" s="119"/>
    </row>
    <row r="331" spans="1:18" s="115" customFormat="1" ht="13.5" customHeight="1" x14ac:dyDescent="0.3">
      <c r="A331" s="131"/>
      <c r="C331" s="9" t="str" cm="1">
        <f t="array" ref="C331">IF(B331="","",_xlfn._xlws.FILTER('Source List'!I$2:I$268,'Source List'!G$2:G$268='Row Counts'!B331," "))</f>
        <v/>
      </c>
      <c r="D331" s="104" t="str" cm="1">
        <f t="array" ref="D331">IF(B331="","",_xlfn._xlws.FILTER('Source List'!J$2:J$268,'Source List'!G$2:G$268='Row Counts'!B331," "))</f>
        <v/>
      </c>
      <c r="E331" s="105" t="str">
        <f ca="1">IFERROR(Table1[[#This Row],[TOTAL VINES]]-Table1[[#This Row],[VINES LEFT]],"")</f>
        <v/>
      </c>
      <c r="F331" s="112">
        <f ca="1">Table1[[#This Row],[TOTAL VINES]]-Table1[[#This Row],[VINES PICKED]]</f>
        <v>0</v>
      </c>
      <c r="G331" s="106">
        <f t="shared" si="22"/>
        <v>0</v>
      </c>
      <c r="H331" s="106">
        <f t="shared" ca="1" si="24"/>
        <v>0</v>
      </c>
      <c r="I331" s="106">
        <f ca="1">Table1[[#This Row],[TOTAL ACRES]]-Table1[[#This Row],[ACRES PICKED]]</f>
        <v>0</v>
      </c>
      <c r="J331" s="106">
        <f ca="1">Table1[[#This Row],[ACRES PICKED]]</f>
        <v>0</v>
      </c>
      <c r="K331" s="113"/>
      <c r="L331" s="113"/>
      <c r="M331" s="118">
        <f>Table1[[#This Row],[LOADS]]*24</f>
        <v>0</v>
      </c>
      <c r="N331" s="107">
        <f t="shared" ca="1" si="23"/>
        <v>0</v>
      </c>
      <c r="O331" s="108" t="str">
        <f t="shared" ca="1" si="25"/>
        <v/>
      </c>
      <c r="P331" s="114"/>
    </row>
    <row r="332" spans="1:18" s="122" customFormat="1" ht="13.5" customHeight="1" thickBot="1" x14ac:dyDescent="0.35">
      <c r="A332" s="131"/>
      <c r="B332" s="115"/>
      <c r="C332" s="9" t="str" cm="1">
        <f t="array" ref="C332">IF(B332="","",_xlfn._xlws.FILTER('Source List'!I$2:I$268,'Source List'!G$2:G$268='Row Counts'!B332," "))</f>
        <v/>
      </c>
      <c r="D332" s="104" t="str" cm="1">
        <f t="array" ref="D332">IF(B332="","",_xlfn._xlws.FILTER('Source List'!J$2:J$268,'Source List'!G$2:G$268='Row Counts'!B332," "))</f>
        <v/>
      </c>
      <c r="E332" s="105" t="str">
        <f ca="1">IFERROR(Table1[[#This Row],[TOTAL VINES]]-Table1[[#This Row],[VINES LEFT]],"")</f>
        <v/>
      </c>
      <c r="F332" s="112">
        <f ca="1">Table1[[#This Row],[TOTAL VINES]]-Table1[[#This Row],[VINES PICKED]]</f>
        <v>0</v>
      </c>
      <c r="G332" s="106">
        <f t="shared" si="22"/>
        <v>0</v>
      </c>
      <c r="H332" s="106">
        <f t="shared" ca="1" si="24"/>
        <v>0</v>
      </c>
      <c r="I332" s="106">
        <f ca="1">Table1[[#This Row],[TOTAL ACRES]]-Table1[[#This Row],[ACRES PICKED]]</f>
        <v>0</v>
      </c>
      <c r="J332" s="106">
        <f ca="1">Table1[[#This Row],[ACRES PICKED]]</f>
        <v>0</v>
      </c>
      <c r="K332" s="113"/>
      <c r="L332" s="113"/>
      <c r="M332" s="118">
        <f>Table1[[#This Row],[LOADS]]*24</f>
        <v>0</v>
      </c>
      <c r="N332" s="107">
        <f t="shared" ca="1" si="23"/>
        <v>0</v>
      </c>
      <c r="O332" s="108" t="str">
        <f t="shared" ca="1" si="25"/>
        <v/>
      </c>
      <c r="P332" s="114"/>
      <c r="Q332" s="115"/>
      <c r="R332" s="115"/>
    </row>
    <row r="333" spans="1:18" s="121" customFormat="1" ht="13.5" customHeight="1" x14ac:dyDescent="0.3">
      <c r="A333" s="103"/>
      <c r="B333" s="12"/>
      <c r="C333" s="9" t="str" cm="1">
        <f t="array" ref="C333">IF(B333="","",_xlfn._xlws.FILTER('Source List'!I$2:I$268,'Source List'!G$2:G$268='Row Counts'!B333," "))</f>
        <v/>
      </c>
      <c r="D333" s="104" t="str" cm="1">
        <f t="array" ref="D333">IF(B333="","",_xlfn._xlws.FILTER('Source List'!J$2:J$268,'Source List'!G$2:G$268='Row Counts'!B333," "))</f>
        <v/>
      </c>
      <c r="E333" s="105" t="str">
        <f ca="1">IFERROR(Table1[[#This Row],[TOTAL VINES]]-Table1[[#This Row],[VINES LEFT]],"")</f>
        <v/>
      </c>
      <c r="F333" s="105">
        <f ca="1">Table1[[#This Row],[TOTAL VINES]]-Table1[[#This Row],[VINES PICKED]]</f>
        <v>0</v>
      </c>
      <c r="G333" s="106">
        <f t="shared" si="22"/>
        <v>0</v>
      </c>
      <c r="H333" s="106">
        <f t="shared" ca="1" si="24"/>
        <v>0</v>
      </c>
      <c r="I333" s="106">
        <f ca="1">Table1[[#This Row],[TOTAL ACRES]]-Table1[[#This Row],[ACRES PICKED]]</f>
        <v>0</v>
      </c>
      <c r="J333" s="106">
        <f ca="1">Table1[[#This Row],[ACRES PICKED]]</f>
        <v>0</v>
      </c>
      <c r="K333" s="106"/>
      <c r="L333" s="106"/>
      <c r="M333" s="118">
        <f>Table1[[#This Row],[LOADS]]*24</f>
        <v>0</v>
      </c>
      <c r="N333" s="107">
        <f t="shared" ca="1" si="23"/>
        <v>0</v>
      </c>
      <c r="O333" s="108" t="str">
        <f t="shared" ca="1" si="25"/>
        <v/>
      </c>
      <c r="P333" s="109"/>
      <c r="Q333" s="12"/>
      <c r="R333" s="12"/>
    </row>
    <row r="334" spans="1:18" ht="13.5" customHeight="1" x14ac:dyDescent="0.3">
      <c r="C334" s="9" t="str" cm="1">
        <f t="array" ref="C334">IF(B334="","",_xlfn._xlws.FILTER('Source List'!I$2:I$268,'Source List'!G$2:G$268='Row Counts'!B334," "))</f>
        <v/>
      </c>
      <c r="D334" s="104" t="str" cm="1">
        <f t="array" ref="D334">IF(B334="","",_xlfn._xlws.FILTER('Source List'!J$2:J$268,'Source List'!G$2:G$268='Row Counts'!B334," "))</f>
        <v/>
      </c>
      <c r="E334" s="105" t="str">
        <f ca="1">IFERROR(Table1[[#This Row],[TOTAL VINES]]-Table1[[#This Row],[VINES LEFT]],"")</f>
        <v/>
      </c>
      <c r="F334" s="105">
        <f ca="1">Table1[[#This Row],[TOTAL VINES]]-Table1[[#This Row],[VINES PICKED]]</f>
        <v>0</v>
      </c>
      <c r="G334" s="106">
        <f t="shared" si="22"/>
        <v>0</v>
      </c>
      <c r="H334" s="106">
        <f t="shared" ca="1" si="24"/>
        <v>0</v>
      </c>
      <c r="I334" s="106">
        <f ca="1">Table1[[#This Row],[TOTAL ACRES]]-Table1[[#This Row],[ACRES PICKED]]</f>
        <v>0</v>
      </c>
      <c r="J334" s="106">
        <f ca="1">Table1[[#This Row],[ACRES PICKED]]</f>
        <v>0</v>
      </c>
      <c r="M334" s="118">
        <f>Table1[[#This Row],[LOADS]]*24</f>
        <v>0</v>
      </c>
      <c r="N334" s="107">
        <f t="shared" ca="1" si="23"/>
        <v>0</v>
      </c>
      <c r="O334" s="108" t="str">
        <f t="shared" ca="1" si="25"/>
        <v/>
      </c>
    </row>
    <row r="335" spans="1:18" ht="13.5" customHeight="1" x14ac:dyDescent="0.3">
      <c r="C335" s="9" t="str" cm="1">
        <f t="array" ref="C335">IF(B335="","",_xlfn._xlws.FILTER('Source List'!I$2:I$268,'Source List'!G$2:G$268='Row Counts'!B335," "))</f>
        <v/>
      </c>
      <c r="D335" s="104" t="str" cm="1">
        <f t="array" ref="D335">IF(B335="","",_xlfn._xlws.FILTER('Source List'!J$2:J$268,'Source List'!G$2:G$268='Row Counts'!B335," "))</f>
        <v/>
      </c>
      <c r="E335" s="105" t="str">
        <f ca="1">IFERROR(Table1[[#This Row],[TOTAL VINES]]-Table1[[#This Row],[VINES LEFT]],"")</f>
        <v/>
      </c>
      <c r="F335" s="105">
        <f ca="1">Table1[[#This Row],[TOTAL VINES]]-Table1[[#This Row],[VINES PICKED]]</f>
        <v>0</v>
      </c>
      <c r="G335" s="106">
        <f t="shared" si="22"/>
        <v>0</v>
      </c>
      <c r="H335" s="106">
        <f t="shared" ca="1" si="24"/>
        <v>0</v>
      </c>
      <c r="I335" s="106">
        <f ca="1">Table1[[#This Row],[TOTAL ACRES]]-Table1[[#This Row],[ACRES PICKED]]</f>
        <v>0</v>
      </c>
      <c r="J335" s="106">
        <f ca="1">Table1[[#This Row],[ACRES PICKED]]</f>
        <v>0</v>
      </c>
      <c r="M335" s="118">
        <f>Table1[[#This Row],[LOADS]]*24</f>
        <v>0</v>
      </c>
      <c r="N335" s="107">
        <f t="shared" ca="1" si="23"/>
        <v>0</v>
      </c>
      <c r="O335" s="108" t="str">
        <f t="shared" ca="1" si="25"/>
        <v/>
      </c>
    </row>
    <row r="336" spans="1:18" s="111" customFormat="1" ht="13.5" customHeight="1" x14ac:dyDescent="0.3">
      <c r="A336" s="103"/>
      <c r="C336" s="9" t="str" cm="1">
        <f t="array" ref="C336">IF(B336="","",_xlfn._xlws.FILTER('Source List'!I$2:I$268,'Source List'!G$2:G$268='Row Counts'!B336," "))</f>
        <v/>
      </c>
      <c r="D336" s="104" t="str" cm="1">
        <f t="array" ref="D336">IF(B336="","",_xlfn._xlws.FILTER('Source List'!J$2:J$268,'Source List'!G$2:G$268='Row Counts'!B336," "))</f>
        <v/>
      </c>
      <c r="E336" s="105" t="str">
        <f ca="1">IFERROR(Table1[[#This Row],[TOTAL VINES]]-Table1[[#This Row],[VINES LEFT]],"")</f>
        <v/>
      </c>
      <c r="F336" s="116">
        <f ca="1">Table1[[#This Row],[TOTAL VINES]]-Table1[[#This Row],[VINES PICKED]]</f>
        <v>0</v>
      </c>
      <c r="G336" s="106">
        <f t="shared" si="22"/>
        <v>0</v>
      </c>
      <c r="H336" s="106">
        <f t="shared" ca="1" si="24"/>
        <v>0</v>
      </c>
      <c r="I336" s="106">
        <f ca="1">Table1[[#This Row],[TOTAL ACRES]]-Table1[[#This Row],[ACRES PICKED]]</f>
        <v>0</v>
      </c>
      <c r="J336" s="106">
        <f ca="1">Table1[[#This Row],[ACRES PICKED]]</f>
        <v>0</v>
      </c>
      <c r="K336" s="117"/>
      <c r="L336" s="117"/>
      <c r="M336" s="118">
        <f>Table1[[#This Row],[LOADS]]*24</f>
        <v>0</v>
      </c>
      <c r="N336" s="107">
        <f t="shared" ca="1" si="23"/>
        <v>0</v>
      </c>
      <c r="O336" s="108" t="str">
        <f t="shared" ca="1" si="25"/>
        <v/>
      </c>
      <c r="P336" s="119"/>
    </row>
    <row r="337" spans="1:18" s="115" customFormat="1" ht="13.5" customHeight="1" x14ac:dyDescent="0.3">
      <c r="A337" s="103"/>
      <c r="C337" s="9" t="str" cm="1">
        <f t="array" ref="C337">IF(B337="","",_xlfn._xlws.FILTER('Source List'!I$2:I$268,'Source List'!G$2:G$268='Row Counts'!B337," "))</f>
        <v/>
      </c>
      <c r="D337" s="104" t="str" cm="1">
        <f t="array" ref="D337">IF(B337="","",_xlfn._xlws.FILTER('Source List'!J$2:J$268,'Source List'!G$2:G$268='Row Counts'!B337," "))</f>
        <v/>
      </c>
      <c r="E337" s="105" t="str">
        <f ca="1">IFERROR(Table1[[#This Row],[TOTAL VINES]]-Table1[[#This Row],[VINES LEFT]],"")</f>
        <v/>
      </c>
      <c r="F337" s="112">
        <f ca="1">Table1[[#This Row],[TOTAL VINES]]-Table1[[#This Row],[VINES PICKED]]</f>
        <v>0</v>
      </c>
      <c r="G337" s="106">
        <f t="shared" ref="G337:G400" si="26">IFERROR(D337/C337,0)</f>
        <v>0</v>
      </c>
      <c r="H337" s="106">
        <f t="shared" ca="1" si="24"/>
        <v>0</v>
      </c>
      <c r="I337" s="106">
        <f ca="1">Table1[[#This Row],[TOTAL ACRES]]-Table1[[#This Row],[ACRES PICKED]]</f>
        <v>0</v>
      </c>
      <c r="J337" s="106">
        <f ca="1">Table1[[#This Row],[ACRES PICKED]]</f>
        <v>0</v>
      </c>
      <c r="K337" s="113"/>
      <c r="L337" s="113"/>
      <c r="M337" s="118">
        <f>Table1[[#This Row],[LOADS]]*24</f>
        <v>0</v>
      </c>
      <c r="N337" s="107">
        <f t="shared" ca="1" si="23"/>
        <v>0</v>
      </c>
      <c r="O337" s="108" t="str">
        <f t="shared" ca="1" si="25"/>
        <v/>
      </c>
      <c r="P337" s="114"/>
    </row>
    <row r="338" spans="1:18" s="115" customFormat="1" ht="13.5" customHeight="1" x14ac:dyDescent="0.3">
      <c r="A338" s="103"/>
      <c r="C338" s="9" t="str" cm="1">
        <f t="array" ref="C338">IF(B338="","",_xlfn._xlws.FILTER('Source List'!I$2:I$268,'Source List'!G$2:G$268='Row Counts'!B338," "))</f>
        <v/>
      </c>
      <c r="D338" s="104" t="str" cm="1">
        <f t="array" ref="D338">IF(B338="","",_xlfn._xlws.FILTER('Source List'!J$2:J$268,'Source List'!G$2:G$268='Row Counts'!B338," "))</f>
        <v/>
      </c>
      <c r="E338" s="105" t="str">
        <f ca="1">IFERROR(Table1[[#This Row],[TOTAL VINES]]-Table1[[#This Row],[VINES LEFT]],"")</f>
        <v/>
      </c>
      <c r="F338" s="112">
        <f ca="1">Table1[[#This Row],[TOTAL VINES]]-Table1[[#This Row],[VINES PICKED]]</f>
        <v>0</v>
      </c>
      <c r="G338" s="106">
        <f t="shared" si="26"/>
        <v>0</v>
      </c>
      <c r="H338" s="106">
        <f t="shared" ca="1" si="24"/>
        <v>0</v>
      </c>
      <c r="I338" s="106">
        <f ca="1">Table1[[#This Row],[TOTAL ACRES]]-Table1[[#This Row],[ACRES PICKED]]</f>
        <v>0</v>
      </c>
      <c r="J338" s="106">
        <f ca="1">Table1[[#This Row],[ACRES PICKED]]</f>
        <v>0</v>
      </c>
      <c r="K338" s="113"/>
      <c r="L338" s="113"/>
      <c r="M338" s="118">
        <f>Table1[[#This Row],[LOADS]]*24</f>
        <v>0</v>
      </c>
      <c r="N338" s="107">
        <f t="shared" ca="1" si="23"/>
        <v>0</v>
      </c>
      <c r="O338" s="108" t="str">
        <f t="shared" ca="1" si="25"/>
        <v/>
      </c>
      <c r="P338" s="114"/>
    </row>
    <row r="339" spans="1:18" s="124" customFormat="1" ht="13.5" customHeight="1" x14ac:dyDescent="0.3">
      <c r="A339" s="103"/>
      <c r="B339" s="12"/>
      <c r="C339" s="9" t="str" cm="1">
        <f t="array" ref="C339">IF(B339="","",_xlfn._xlws.FILTER('Source List'!I$2:I$268,'Source List'!G$2:G$268='Row Counts'!B339," "))</f>
        <v/>
      </c>
      <c r="D339" s="104" t="str" cm="1">
        <f t="array" ref="D339">IF(B339="","",_xlfn._xlws.FILTER('Source List'!J$2:J$268,'Source List'!G$2:G$268='Row Counts'!B339," "))</f>
        <v/>
      </c>
      <c r="E339" s="105" t="str">
        <f ca="1">IFERROR(Table1[[#This Row],[TOTAL VINES]]-Table1[[#This Row],[VINES LEFT]],"")</f>
        <v/>
      </c>
      <c r="F339" s="105">
        <f ca="1">Table1[[#This Row],[TOTAL VINES]]-Table1[[#This Row],[VINES PICKED]]</f>
        <v>0</v>
      </c>
      <c r="G339" s="106">
        <f t="shared" si="26"/>
        <v>0</v>
      </c>
      <c r="H339" s="106">
        <f t="shared" ca="1" si="24"/>
        <v>0</v>
      </c>
      <c r="I339" s="106">
        <f ca="1">Table1[[#This Row],[TOTAL ACRES]]-Table1[[#This Row],[ACRES PICKED]]</f>
        <v>0</v>
      </c>
      <c r="J339" s="106">
        <f ca="1">Table1[[#This Row],[ACRES PICKED]]</f>
        <v>0</v>
      </c>
      <c r="K339" s="106"/>
      <c r="L339" s="106"/>
      <c r="M339" s="118">
        <f>Table1[[#This Row],[LOADS]]*24</f>
        <v>0</v>
      </c>
      <c r="N339" s="107">
        <f t="shared" ca="1" si="23"/>
        <v>0</v>
      </c>
      <c r="O339" s="108" t="str">
        <f t="shared" ca="1" si="25"/>
        <v/>
      </c>
      <c r="P339" s="109"/>
      <c r="Q339" s="12"/>
      <c r="R339" s="12"/>
    </row>
    <row r="340" spans="1:18" s="123" customFormat="1" ht="13.5" customHeight="1" thickBot="1" x14ac:dyDescent="0.35">
      <c r="A340" s="103"/>
      <c r="B340" s="12"/>
      <c r="C340" s="9" t="str" cm="1">
        <f t="array" ref="C340">IF(B340="","",_xlfn._xlws.FILTER('Source List'!I$2:I$268,'Source List'!G$2:G$268='Row Counts'!B340," "))</f>
        <v/>
      </c>
      <c r="D340" s="104" t="str" cm="1">
        <f t="array" ref="D340">IF(B340="","",_xlfn._xlws.FILTER('Source List'!J$2:J$268,'Source List'!G$2:G$268='Row Counts'!B340," "))</f>
        <v/>
      </c>
      <c r="E340" s="105" t="str">
        <f ca="1">IFERROR(Table1[[#This Row],[TOTAL VINES]]-Table1[[#This Row],[VINES LEFT]],"")</f>
        <v/>
      </c>
      <c r="F340" s="105">
        <f ca="1">Table1[[#This Row],[TOTAL VINES]]-Table1[[#This Row],[VINES PICKED]]</f>
        <v>0</v>
      </c>
      <c r="G340" s="106">
        <f t="shared" si="26"/>
        <v>0</v>
      </c>
      <c r="H340" s="106">
        <f t="shared" ca="1" si="24"/>
        <v>0</v>
      </c>
      <c r="I340" s="106">
        <f ca="1">Table1[[#This Row],[TOTAL ACRES]]-Table1[[#This Row],[ACRES PICKED]]</f>
        <v>0</v>
      </c>
      <c r="J340" s="106">
        <f ca="1">Table1[[#This Row],[ACRES PICKED]]</f>
        <v>0</v>
      </c>
      <c r="K340" s="106"/>
      <c r="L340" s="106"/>
      <c r="M340" s="118">
        <f>Table1[[#This Row],[LOADS]]*24</f>
        <v>0</v>
      </c>
      <c r="N340" s="107">
        <f t="shared" ca="1" si="23"/>
        <v>0</v>
      </c>
      <c r="O340" s="108" t="str">
        <f t="shared" ca="1" si="25"/>
        <v/>
      </c>
      <c r="P340" s="109"/>
      <c r="Q340" s="12"/>
      <c r="R340" s="12"/>
    </row>
    <row r="341" spans="1:18" s="121" customFormat="1" ht="13.5" customHeight="1" x14ac:dyDescent="0.3">
      <c r="A341" s="134"/>
      <c r="B341" s="135"/>
      <c r="C341" s="9" t="str" cm="1">
        <f t="array" ref="C341">IF(B341="","",_xlfn._xlws.FILTER('Source List'!I$2:I$268,'Source List'!G$2:G$268='Row Counts'!B341," "))</f>
        <v/>
      </c>
      <c r="D341" s="104" t="str" cm="1">
        <f t="array" ref="D341">IF(B341="","",_xlfn._xlws.FILTER('Source List'!J$2:J$268,'Source List'!G$2:G$268='Row Counts'!B341," "))</f>
        <v/>
      </c>
      <c r="E341" s="105" t="str">
        <f ca="1">IFERROR(Table1[[#This Row],[TOTAL VINES]]-Table1[[#This Row],[VINES LEFT]],"")</f>
        <v/>
      </c>
      <c r="F341" s="136">
        <f ca="1">Table1[[#This Row],[TOTAL VINES]]-Table1[[#This Row],[VINES PICKED]]</f>
        <v>0</v>
      </c>
      <c r="G341" s="106">
        <f t="shared" si="26"/>
        <v>0</v>
      </c>
      <c r="H341" s="106">
        <f t="shared" ca="1" si="24"/>
        <v>0</v>
      </c>
      <c r="I341" s="106">
        <f ca="1">Table1[[#This Row],[TOTAL ACRES]]-Table1[[#This Row],[ACRES PICKED]]</f>
        <v>0</v>
      </c>
      <c r="J341" s="106">
        <f ca="1">Table1[[#This Row],[ACRES PICKED]]</f>
        <v>0</v>
      </c>
      <c r="K341" s="137"/>
      <c r="L341" s="137"/>
      <c r="M341" s="118">
        <f>Table1[[#This Row],[LOADS]]*24</f>
        <v>0</v>
      </c>
      <c r="N341" s="107">
        <f t="shared" ca="1" si="23"/>
        <v>0</v>
      </c>
      <c r="O341" s="108" t="str">
        <f t="shared" ca="1" si="25"/>
        <v/>
      </c>
      <c r="P341" s="109"/>
      <c r="Q341" s="12"/>
      <c r="R341" s="12"/>
    </row>
    <row r="342" spans="1:18" ht="13.5" customHeight="1" x14ac:dyDescent="0.3">
      <c r="C342" s="9" t="str" cm="1">
        <f t="array" ref="C342">IF(B342="","",_xlfn._xlws.FILTER('Source List'!I$2:I$268,'Source List'!G$2:G$268='Row Counts'!B342," "))</f>
        <v/>
      </c>
      <c r="D342" s="104" t="str" cm="1">
        <f t="array" ref="D342">IF(B342="","",_xlfn._xlws.FILTER('Source List'!J$2:J$268,'Source List'!G$2:G$268='Row Counts'!B342," "))</f>
        <v/>
      </c>
      <c r="E342" s="105" t="str">
        <f ca="1">IFERROR(Table1[[#This Row],[TOTAL VINES]]-Table1[[#This Row],[VINES LEFT]],"")</f>
        <v/>
      </c>
      <c r="F342" s="105">
        <f ca="1">Table1[[#This Row],[TOTAL VINES]]-Table1[[#This Row],[VINES PICKED]]</f>
        <v>0</v>
      </c>
      <c r="G342" s="106">
        <f t="shared" si="26"/>
        <v>0</v>
      </c>
      <c r="H342" s="106">
        <f t="shared" ca="1" si="24"/>
        <v>0</v>
      </c>
      <c r="I342" s="106">
        <f ca="1">Table1[[#This Row],[TOTAL ACRES]]-Table1[[#This Row],[ACRES PICKED]]</f>
        <v>0</v>
      </c>
      <c r="J342" s="106">
        <f ca="1">Table1[[#This Row],[ACRES PICKED]]</f>
        <v>0</v>
      </c>
      <c r="M342" s="118">
        <f>Table1[[#This Row],[LOADS]]*24</f>
        <v>0</v>
      </c>
      <c r="N342" s="107">
        <f t="shared" ca="1" si="23"/>
        <v>0</v>
      </c>
      <c r="O342" s="108" t="str">
        <f t="shared" ca="1" si="25"/>
        <v/>
      </c>
    </row>
    <row r="343" spans="1:18" ht="13.5" customHeight="1" x14ac:dyDescent="0.3">
      <c r="C343" s="9" t="str" cm="1">
        <f t="array" ref="C343">IF(B343="","",_xlfn._xlws.FILTER('Source List'!I$2:I$268,'Source List'!G$2:G$268='Row Counts'!B343," "))</f>
        <v/>
      </c>
      <c r="D343" s="104" t="str" cm="1">
        <f t="array" ref="D343">IF(B343="","",_xlfn._xlws.FILTER('Source List'!J$2:J$268,'Source List'!G$2:G$268='Row Counts'!B343," "))</f>
        <v/>
      </c>
      <c r="E343" s="105" t="str">
        <f ca="1">IFERROR(Table1[[#This Row],[TOTAL VINES]]-Table1[[#This Row],[VINES LEFT]],"")</f>
        <v/>
      </c>
      <c r="F343" s="105">
        <f ca="1">Table1[[#This Row],[TOTAL VINES]]-Table1[[#This Row],[VINES PICKED]]</f>
        <v>0</v>
      </c>
      <c r="G343" s="106">
        <f t="shared" si="26"/>
        <v>0</v>
      </c>
      <c r="H343" s="106">
        <f t="shared" ca="1" si="24"/>
        <v>0</v>
      </c>
      <c r="I343" s="106">
        <f ca="1">Table1[[#This Row],[TOTAL ACRES]]-Table1[[#This Row],[ACRES PICKED]]</f>
        <v>0</v>
      </c>
      <c r="J343" s="106">
        <f ca="1">Table1[[#This Row],[ACRES PICKED]]</f>
        <v>0</v>
      </c>
      <c r="M343" s="118">
        <f>Table1[[#This Row],[LOADS]]*24</f>
        <v>0</v>
      </c>
      <c r="N343" s="107">
        <f t="shared" ca="1" si="23"/>
        <v>0</v>
      </c>
      <c r="O343" s="108" t="str">
        <f t="shared" ca="1" si="25"/>
        <v/>
      </c>
    </row>
    <row r="344" spans="1:18" ht="13.5" customHeight="1" x14ac:dyDescent="0.3">
      <c r="C344" s="9" t="str" cm="1">
        <f t="array" ref="C344">IF(B344="","",_xlfn._xlws.FILTER('Source List'!I$2:I$268,'Source List'!G$2:G$268='Row Counts'!B344," "))</f>
        <v/>
      </c>
      <c r="D344" s="104" t="str" cm="1">
        <f t="array" ref="D344">IF(B344="","",_xlfn._xlws.FILTER('Source List'!J$2:J$268,'Source List'!G$2:G$268='Row Counts'!B344," "))</f>
        <v/>
      </c>
      <c r="E344" s="105" t="str">
        <f ca="1">IFERROR(Table1[[#This Row],[TOTAL VINES]]-Table1[[#This Row],[VINES LEFT]],"")</f>
        <v/>
      </c>
      <c r="F344" s="105">
        <f ca="1">Table1[[#This Row],[TOTAL VINES]]-Table1[[#This Row],[VINES PICKED]]</f>
        <v>0</v>
      </c>
      <c r="G344" s="106">
        <f t="shared" si="26"/>
        <v>0</v>
      </c>
      <c r="H344" s="106">
        <f t="shared" ca="1" si="24"/>
        <v>0</v>
      </c>
      <c r="I344" s="106">
        <f ca="1">Table1[[#This Row],[TOTAL ACRES]]-Table1[[#This Row],[ACRES PICKED]]</f>
        <v>0</v>
      </c>
      <c r="J344" s="106">
        <f ca="1">Table1[[#This Row],[ACRES PICKED]]</f>
        <v>0</v>
      </c>
      <c r="M344" s="118">
        <f>Table1[[#This Row],[LOADS]]*24</f>
        <v>0</v>
      </c>
      <c r="N344" s="107">
        <f t="shared" ca="1" si="23"/>
        <v>0</v>
      </c>
      <c r="O344" s="108" t="str">
        <f t="shared" ca="1" si="25"/>
        <v/>
      </c>
      <c r="Q344" s="25"/>
    </row>
    <row r="345" spans="1:18" ht="13.5" customHeight="1" x14ac:dyDescent="0.3">
      <c r="C345" s="9" t="str" cm="1">
        <f t="array" ref="C345">IF(B345="","",_xlfn._xlws.FILTER('Source List'!I$2:I$268,'Source List'!G$2:G$268='Row Counts'!B345," "))</f>
        <v/>
      </c>
      <c r="D345" s="104" t="str" cm="1">
        <f t="array" ref="D345">IF(B345="","",_xlfn._xlws.FILTER('Source List'!J$2:J$268,'Source List'!G$2:G$268='Row Counts'!B345," "))</f>
        <v/>
      </c>
      <c r="E345" s="105" t="str">
        <f ca="1">IFERROR(Table1[[#This Row],[TOTAL VINES]]-Table1[[#This Row],[VINES LEFT]],"")</f>
        <v/>
      </c>
      <c r="F345" s="105">
        <f ca="1">Table1[[#This Row],[TOTAL VINES]]-Table1[[#This Row],[VINES PICKED]]</f>
        <v>0</v>
      </c>
      <c r="G345" s="106">
        <f t="shared" si="26"/>
        <v>0</v>
      </c>
      <c r="H345" s="106">
        <f t="shared" ca="1" si="24"/>
        <v>0</v>
      </c>
      <c r="I345" s="106">
        <f ca="1">Table1[[#This Row],[TOTAL ACRES]]-Table1[[#This Row],[ACRES PICKED]]</f>
        <v>0</v>
      </c>
      <c r="J345" s="106">
        <f ca="1">Table1[[#This Row],[ACRES PICKED]]</f>
        <v>0</v>
      </c>
      <c r="M345" s="118">
        <f>Table1[[#This Row],[LOADS]]*24</f>
        <v>0</v>
      </c>
      <c r="N345" s="107">
        <f t="shared" ca="1" si="23"/>
        <v>0</v>
      </c>
      <c r="O345" s="108" t="str">
        <f t="shared" ca="1" si="25"/>
        <v/>
      </c>
      <c r="Q345" s="138"/>
    </row>
    <row r="346" spans="1:18" s="120" customFormat="1" ht="13.5" customHeight="1" thickBot="1" x14ac:dyDescent="0.35">
      <c r="A346" s="103"/>
      <c r="B346" s="12"/>
      <c r="C346" s="9" t="str" cm="1">
        <f t="array" ref="C346">IF(B346="","",_xlfn._xlws.FILTER('Source List'!I$2:I$268,'Source List'!G$2:G$268='Row Counts'!B346," "))</f>
        <v/>
      </c>
      <c r="D346" s="104" t="str" cm="1">
        <f t="array" ref="D346">IF(B346="","",_xlfn._xlws.FILTER('Source List'!J$2:J$268,'Source List'!G$2:G$268='Row Counts'!B346," "))</f>
        <v/>
      </c>
      <c r="E346" s="105" t="str">
        <f ca="1">IFERROR(Table1[[#This Row],[TOTAL VINES]]-Table1[[#This Row],[VINES LEFT]],"")</f>
        <v/>
      </c>
      <c r="F346" s="105">
        <f ca="1">Table1[[#This Row],[TOTAL VINES]]-Table1[[#This Row],[VINES PICKED]]</f>
        <v>0</v>
      </c>
      <c r="G346" s="106">
        <f t="shared" si="26"/>
        <v>0</v>
      </c>
      <c r="H346" s="106">
        <f t="shared" ca="1" si="24"/>
        <v>0</v>
      </c>
      <c r="I346" s="106">
        <f ca="1">Table1[[#This Row],[TOTAL ACRES]]-Table1[[#This Row],[ACRES PICKED]]</f>
        <v>0</v>
      </c>
      <c r="J346" s="106">
        <f ca="1">Table1[[#This Row],[ACRES PICKED]]</f>
        <v>0</v>
      </c>
      <c r="K346" s="106"/>
      <c r="L346" s="106"/>
      <c r="M346" s="118">
        <f>Table1[[#This Row],[LOADS]]*24</f>
        <v>0</v>
      </c>
      <c r="N346" s="107">
        <f t="shared" ca="1" si="23"/>
        <v>0</v>
      </c>
      <c r="O346" s="108" t="str">
        <f t="shared" ca="1" si="25"/>
        <v/>
      </c>
      <c r="P346" s="109"/>
      <c r="Q346" s="139"/>
      <c r="R346" s="12"/>
    </row>
    <row r="347" spans="1:18" s="121" customFormat="1" ht="13.5" customHeight="1" x14ac:dyDescent="0.3">
      <c r="A347" s="103"/>
      <c r="B347" s="12"/>
      <c r="C347" s="9" t="str" cm="1">
        <f t="array" ref="C347">IF(B347="","",_xlfn._xlws.FILTER('Source List'!I$2:I$268,'Source List'!G$2:G$268='Row Counts'!B347," "))</f>
        <v/>
      </c>
      <c r="D347" s="104" t="str" cm="1">
        <f t="array" ref="D347">IF(B347="","",_xlfn._xlws.FILTER('Source List'!J$2:J$268,'Source List'!G$2:G$268='Row Counts'!B347," "))</f>
        <v/>
      </c>
      <c r="E347" s="105" t="str">
        <f ca="1">IFERROR(Table1[[#This Row],[TOTAL VINES]]-Table1[[#This Row],[VINES LEFT]],"")</f>
        <v/>
      </c>
      <c r="F347" s="105">
        <f ca="1">Table1[[#This Row],[TOTAL VINES]]-Table1[[#This Row],[VINES PICKED]]</f>
        <v>0</v>
      </c>
      <c r="G347" s="106">
        <f t="shared" si="26"/>
        <v>0</v>
      </c>
      <c r="H347" s="106">
        <f t="shared" ca="1" si="24"/>
        <v>0</v>
      </c>
      <c r="I347" s="106">
        <f ca="1">Table1[[#This Row],[TOTAL ACRES]]-Table1[[#This Row],[ACRES PICKED]]</f>
        <v>0</v>
      </c>
      <c r="J347" s="106">
        <f ca="1">Table1[[#This Row],[ACRES PICKED]]</f>
        <v>0</v>
      </c>
      <c r="K347" s="106"/>
      <c r="L347" s="106"/>
      <c r="M347" s="118">
        <f>Table1[[#This Row],[LOADS]]*24</f>
        <v>0</v>
      </c>
      <c r="N347" s="107">
        <f t="shared" ca="1" si="23"/>
        <v>0</v>
      </c>
      <c r="O347" s="108" t="str">
        <f t="shared" ca="1" si="25"/>
        <v/>
      </c>
      <c r="P347" s="109"/>
      <c r="Q347" s="12"/>
      <c r="R347" s="12"/>
    </row>
    <row r="348" spans="1:18" ht="13.5" customHeight="1" x14ac:dyDescent="0.3">
      <c r="C348" s="9" t="str" cm="1">
        <f t="array" ref="C348">IF(B348="","",_xlfn._xlws.FILTER('Source List'!I$2:I$268,'Source List'!G$2:G$268='Row Counts'!B348," "))</f>
        <v/>
      </c>
      <c r="D348" s="104" t="str" cm="1">
        <f t="array" ref="D348">IF(B348="","",_xlfn._xlws.FILTER('Source List'!J$2:J$268,'Source List'!G$2:G$268='Row Counts'!B348," "))</f>
        <v/>
      </c>
      <c r="E348" s="105" t="str">
        <f ca="1">IFERROR(Table1[[#This Row],[TOTAL VINES]]-Table1[[#This Row],[VINES LEFT]],"")</f>
        <v/>
      </c>
      <c r="F348" s="105">
        <f ca="1">Table1[[#This Row],[TOTAL VINES]]-Table1[[#This Row],[VINES PICKED]]</f>
        <v>0</v>
      </c>
      <c r="G348" s="106">
        <f t="shared" si="26"/>
        <v>0</v>
      </c>
      <c r="H348" s="106">
        <f t="shared" ca="1" si="24"/>
        <v>0</v>
      </c>
      <c r="I348" s="106">
        <f ca="1">Table1[[#This Row],[TOTAL ACRES]]-Table1[[#This Row],[ACRES PICKED]]</f>
        <v>0</v>
      </c>
      <c r="J348" s="106">
        <f ca="1">Table1[[#This Row],[ACRES PICKED]]</f>
        <v>0</v>
      </c>
      <c r="M348" s="118">
        <f>Table1[[#This Row],[LOADS]]*24</f>
        <v>0</v>
      </c>
      <c r="N348" s="107">
        <f t="shared" ca="1" si="23"/>
        <v>0</v>
      </c>
      <c r="O348" s="108" t="str">
        <f t="shared" ca="1" si="25"/>
        <v/>
      </c>
    </row>
    <row r="349" spans="1:18" ht="13.5" customHeight="1" x14ac:dyDescent="0.3">
      <c r="C349" s="9" t="str" cm="1">
        <f t="array" ref="C349">IF(B349="","",_xlfn._xlws.FILTER('Source List'!I$2:I$268,'Source List'!G$2:G$268='Row Counts'!B349," "))</f>
        <v/>
      </c>
      <c r="D349" s="104" t="str" cm="1">
        <f t="array" ref="D349">IF(B349="","",_xlfn._xlws.FILTER('Source List'!J$2:J$268,'Source List'!G$2:G$268='Row Counts'!B349," "))</f>
        <v/>
      </c>
      <c r="E349" s="105" t="str">
        <f ca="1">IFERROR(Table1[[#This Row],[TOTAL VINES]]-Table1[[#This Row],[VINES LEFT]],"")</f>
        <v/>
      </c>
      <c r="F349" s="105">
        <f ca="1">Table1[[#This Row],[TOTAL VINES]]-Table1[[#This Row],[VINES PICKED]]</f>
        <v>0</v>
      </c>
      <c r="G349" s="106">
        <f t="shared" si="26"/>
        <v>0</v>
      </c>
      <c r="H349" s="106">
        <f t="shared" ca="1" si="24"/>
        <v>0</v>
      </c>
      <c r="I349" s="106">
        <f ca="1">Table1[[#This Row],[TOTAL ACRES]]-Table1[[#This Row],[ACRES PICKED]]</f>
        <v>0</v>
      </c>
      <c r="J349" s="106">
        <f ca="1">Table1[[#This Row],[ACRES PICKED]]</f>
        <v>0</v>
      </c>
      <c r="M349" s="118">
        <f>Table1[[#This Row],[LOADS]]*24</f>
        <v>0</v>
      </c>
      <c r="N349" s="107">
        <f t="shared" ca="1" si="23"/>
        <v>0</v>
      </c>
      <c r="O349" s="108" t="str">
        <f t="shared" ca="1" si="25"/>
        <v/>
      </c>
    </row>
    <row r="350" spans="1:18" s="124" customFormat="1" ht="13.5" customHeight="1" x14ac:dyDescent="0.3">
      <c r="A350" s="103"/>
      <c r="B350" s="12"/>
      <c r="C350" s="9" t="str" cm="1">
        <f t="array" ref="C350">IF(B350="","",_xlfn._xlws.FILTER('Source List'!I$2:I$268,'Source List'!G$2:G$268='Row Counts'!B350," "))</f>
        <v/>
      </c>
      <c r="D350" s="104" t="str" cm="1">
        <f t="array" ref="D350">IF(B350="","",_xlfn._xlws.FILTER('Source List'!J$2:J$268,'Source List'!G$2:G$268='Row Counts'!B350," "))</f>
        <v/>
      </c>
      <c r="E350" s="105" t="str">
        <f ca="1">IFERROR(Table1[[#This Row],[TOTAL VINES]]-Table1[[#This Row],[VINES LEFT]],"")</f>
        <v/>
      </c>
      <c r="F350" s="105">
        <f ca="1">Table1[[#This Row],[TOTAL VINES]]-Table1[[#This Row],[VINES PICKED]]</f>
        <v>0</v>
      </c>
      <c r="G350" s="106">
        <f t="shared" si="26"/>
        <v>0</v>
      </c>
      <c r="H350" s="106">
        <f t="shared" ca="1" si="24"/>
        <v>0</v>
      </c>
      <c r="I350" s="106">
        <f ca="1">Table1[[#This Row],[TOTAL ACRES]]-Table1[[#This Row],[ACRES PICKED]]</f>
        <v>0</v>
      </c>
      <c r="J350" s="106">
        <f ca="1">Table1[[#This Row],[ACRES PICKED]]</f>
        <v>0</v>
      </c>
      <c r="K350" s="106"/>
      <c r="L350" s="106"/>
      <c r="M350" s="118">
        <f>Table1[[#This Row],[LOADS]]*24</f>
        <v>0</v>
      </c>
      <c r="N350" s="107">
        <f t="shared" ca="1" si="23"/>
        <v>0</v>
      </c>
      <c r="O350" s="108" t="str">
        <f t="shared" ca="1" si="25"/>
        <v/>
      </c>
      <c r="P350" s="109"/>
      <c r="Q350" s="12"/>
      <c r="R350" s="12"/>
    </row>
    <row r="351" spans="1:18" s="123" customFormat="1" ht="13.5" customHeight="1" thickBot="1" x14ac:dyDescent="0.35">
      <c r="A351" s="103"/>
      <c r="B351" s="12"/>
      <c r="C351" s="9" t="str" cm="1">
        <f t="array" ref="C351">IF(B351="","",_xlfn._xlws.FILTER('Source List'!I$2:I$268,'Source List'!G$2:G$268='Row Counts'!B351," "))</f>
        <v/>
      </c>
      <c r="D351" s="104" t="str" cm="1">
        <f t="array" ref="D351">IF(B351="","",_xlfn._xlws.FILTER('Source List'!J$2:J$268,'Source List'!G$2:G$268='Row Counts'!B351," "))</f>
        <v/>
      </c>
      <c r="E351" s="105" t="str">
        <f ca="1">IFERROR(Table1[[#This Row],[TOTAL VINES]]-Table1[[#This Row],[VINES LEFT]],"")</f>
        <v/>
      </c>
      <c r="F351" s="105">
        <f ca="1">Table1[[#This Row],[TOTAL VINES]]-Table1[[#This Row],[VINES PICKED]]</f>
        <v>0</v>
      </c>
      <c r="G351" s="106">
        <f t="shared" si="26"/>
        <v>0</v>
      </c>
      <c r="H351" s="106">
        <f t="shared" ca="1" si="24"/>
        <v>0</v>
      </c>
      <c r="I351" s="106">
        <f ca="1">Table1[[#This Row],[TOTAL ACRES]]-Table1[[#This Row],[ACRES PICKED]]</f>
        <v>0</v>
      </c>
      <c r="J351" s="106">
        <f ca="1">Table1[[#This Row],[ACRES PICKED]]</f>
        <v>0</v>
      </c>
      <c r="K351" s="106"/>
      <c r="L351" s="106"/>
      <c r="M351" s="118">
        <f>Table1[[#This Row],[LOADS]]*24</f>
        <v>0</v>
      </c>
      <c r="N351" s="107">
        <f t="shared" ca="1" si="23"/>
        <v>0</v>
      </c>
      <c r="O351" s="108" t="str">
        <f t="shared" ca="1" si="25"/>
        <v/>
      </c>
      <c r="P351" s="25"/>
      <c r="Q351" s="12"/>
      <c r="R351" s="12"/>
    </row>
    <row r="352" spans="1:18" s="121" customFormat="1" ht="13.5" customHeight="1" x14ac:dyDescent="0.3">
      <c r="A352" s="103"/>
      <c r="B352" s="12"/>
      <c r="C352" s="9" t="str" cm="1">
        <f t="array" ref="C352">IF(B352="","",_xlfn._xlws.FILTER('Source List'!I$2:I$268,'Source List'!G$2:G$268='Row Counts'!B352," "))</f>
        <v/>
      </c>
      <c r="D352" s="104" t="str" cm="1">
        <f t="array" ref="D352">IF(B352="","",_xlfn._xlws.FILTER('Source List'!J$2:J$268,'Source List'!G$2:G$268='Row Counts'!B352," "))</f>
        <v/>
      </c>
      <c r="E352" s="105" t="str">
        <f ca="1">IFERROR(Table1[[#This Row],[TOTAL VINES]]-Table1[[#This Row],[VINES LEFT]],"")</f>
        <v/>
      </c>
      <c r="F352" s="105">
        <f ca="1">Table1[[#This Row],[TOTAL VINES]]-Table1[[#This Row],[VINES PICKED]]</f>
        <v>0</v>
      </c>
      <c r="G352" s="106">
        <f t="shared" si="26"/>
        <v>0</v>
      </c>
      <c r="H352" s="106">
        <f t="shared" ca="1" si="24"/>
        <v>0</v>
      </c>
      <c r="I352" s="106">
        <f ca="1">Table1[[#This Row],[TOTAL ACRES]]-Table1[[#This Row],[ACRES PICKED]]</f>
        <v>0</v>
      </c>
      <c r="J352" s="106">
        <f ca="1">Table1[[#This Row],[ACRES PICKED]]</f>
        <v>0</v>
      </c>
      <c r="K352" s="106"/>
      <c r="L352" s="106"/>
      <c r="M352" s="118">
        <f>Table1[[#This Row],[LOADS]]*24</f>
        <v>0</v>
      </c>
      <c r="N352" s="107">
        <f t="shared" ca="1" si="23"/>
        <v>0</v>
      </c>
      <c r="O352" s="108" t="str">
        <f t="shared" ca="1" si="25"/>
        <v/>
      </c>
      <c r="P352" s="109"/>
      <c r="Q352" s="12"/>
      <c r="R352" s="12"/>
    </row>
    <row r="353" spans="1:18" ht="13.5" customHeight="1" x14ac:dyDescent="0.3">
      <c r="C353" s="9" t="str" cm="1">
        <f t="array" ref="C353">IF(B353="","",_xlfn._xlws.FILTER('Source List'!I$2:I$268,'Source List'!G$2:G$268='Row Counts'!B353," "))</f>
        <v/>
      </c>
      <c r="D353" s="104" t="str" cm="1">
        <f t="array" ref="D353">IF(B353="","",_xlfn._xlws.FILTER('Source List'!J$2:J$268,'Source List'!G$2:G$268='Row Counts'!B353," "))</f>
        <v/>
      </c>
      <c r="E353" s="105" t="str">
        <f ca="1">IFERROR(Table1[[#This Row],[TOTAL VINES]]-Table1[[#This Row],[VINES LEFT]],"")</f>
        <v/>
      </c>
      <c r="F353" s="105">
        <f ca="1">Table1[[#This Row],[TOTAL VINES]]-Table1[[#This Row],[VINES PICKED]]</f>
        <v>0</v>
      </c>
      <c r="G353" s="106">
        <f t="shared" si="26"/>
        <v>0</v>
      </c>
      <c r="H353" s="106">
        <f t="shared" ca="1" si="24"/>
        <v>0</v>
      </c>
      <c r="I353" s="106">
        <f ca="1">Table1[[#This Row],[TOTAL ACRES]]-Table1[[#This Row],[ACRES PICKED]]</f>
        <v>0</v>
      </c>
      <c r="J353" s="106">
        <f ca="1">Table1[[#This Row],[ACRES PICKED]]</f>
        <v>0</v>
      </c>
      <c r="M353" s="118">
        <f>Table1[[#This Row],[LOADS]]*24</f>
        <v>0</v>
      </c>
      <c r="N353" s="107">
        <f t="shared" ca="1" si="23"/>
        <v>0</v>
      </c>
      <c r="O353" s="108" t="str">
        <f t="shared" ca="1" si="25"/>
        <v/>
      </c>
    </row>
    <row r="354" spans="1:18" ht="13.5" customHeight="1" x14ac:dyDescent="0.3">
      <c r="C354" s="9" t="str" cm="1">
        <f t="array" ref="C354">IF(B354="","",_xlfn._xlws.FILTER('Source List'!I$2:I$268,'Source List'!G$2:G$268='Row Counts'!B354," "))</f>
        <v/>
      </c>
      <c r="D354" s="104" t="str" cm="1">
        <f t="array" ref="D354">IF(B354="","",_xlfn._xlws.FILTER('Source List'!J$2:J$268,'Source List'!G$2:G$268='Row Counts'!B354," "))</f>
        <v/>
      </c>
      <c r="E354" s="105" t="str">
        <f ca="1">IFERROR(Table1[[#This Row],[TOTAL VINES]]-Table1[[#This Row],[VINES LEFT]],"")</f>
        <v/>
      </c>
      <c r="F354" s="105">
        <f ca="1">Table1[[#This Row],[TOTAL VINES]]-Table1[[#This Row],[VINES PICKED]]</f>
        <v>0</v>
      </c>
      <c r="G354" s="106">
        <f t="shared" si="26"/>
        <v>0</v>
      </c>
      <c r="H354" s="106">
        <f t="shared" ca="1" si="24"/>
        <v>0</v>
      </c>
      <c r="I354" s="106">
        <f ca="1">Table1[[#This Row],[TOTAL ACRES]]-Table1[[#This Row],[ACRES PICKED]]</f>
        <v>0</v>
      </c>
      <c r="J354" s="106">
        <f ca="1">Table1[[#This Row],[ACRES PICKED]]</f>
        <v>0</v>
      </c>
      <c r="M354" s="118">
        <f>Table1[[#This Row],[LOADS]]*24</f>
        <v>0</v>
      </c>
      <c r="N354" s="107">
        <f t="shared" ca="1" si="23"/>
        <v>0</v>
      </c>
      <c r="O354" s="108" t="str">
        <f t="shared" ca="1" si="25"/>
        <v/>
      </c>
    </row>
    <row r="355" spans="1:18" ht="13.5" customHeight="1" x14ac:dyDescent="0.3">
      <c r="C355" s="9" t="str" cm="1">
        <f t="array" ref="C355">IF(B355="","",_xlfn._xlws.FILTER('Source List'!I$2:I$268,'Source List'!G$2:G$268='Row Counts'!B355," "))</f>
        <v/>
      </c>
      <c r="D355" s="104" t="str" cm="1">
        <f t="array" ref="D355">IF(B355="","",_xlfn._xlws.FILTER('Source List'!J$2:J$268,'Source List'!G$2:G$268='Row Counts'!B355," "))</f>
        <v/>
      </c>
      <c r="E355" s="105" t="str">
        <f ca="1">IFERROR(Table1[[#This Row],[TOTAL VINES]]-Table1[[#This Row],[VINES LEFT]],"")</f>
        <v/>
      </c>
      <c r="F355" s="105">
        <f ca="1">Table1[[#This Row],[TOTAL VINES]]-Table1[[#This Row],[VINES PICKED]]</f>
        <v>0</v>
      </c>
      <c r="G355" s="106">
        <f t="shared" si="26"/>
        <v>0</v>
      </c>
      <c r="H355" s="106">
        <f t="shared" ca="1" si="24"/>
        <v>0</v>
      </c>
      <c r="I355" s="106">
        <f ca="1">Table1[[#This Row],[TOTAL ACRES]]-Table1[[#This Row],[ACRES PICKED]]</f>
        <v>0</v>
      </c>
      <c r="J355" s="106">
        <f ca="1">Table1[[#This Row],[ACRES PICKED]]</f>
        <v>0</v>
      </c>
      <c r="M355" s="118">
        <f>Table1[[#This Row],[LOADS]]*24</f>
        <v>0</v>
      </c>
      <c r="N355" s="107">
        <f t="shared" ca="1" si="23"/>
        <v>0</v>
      </c>
      <c r="O355" s="108" t="str">
        <f t="shared" ca="1" si="25"/>
        <v/>
      </c>
    </row>
    <row r="356" spans="1:18" ht="13.5" customHeight="1" x14ac:dyDescent="0.3">
      <c r="B356" s="111"/>
      <c r="C356" s="9" t="str" cm="1">
        <f t="array" ref="C356">IF(B356="","",_xlfn._xlws.FILTER('Source List'!I$2:I$268,'Source List'!G$2:G$268='Row Counts'!B356," "))</f>
        <v/>
      </c>
      <c r="D356" s="104" t="str" cm="1">
        <f t="array" ref="D356">IF(B356="","",_xlfn._xlws.FILTER('Source List'!J$2:J$268,'Source List'!G$2:G$268='Row Counts'!B356," "))</f>
        <v/>
      </c>
      <c r="E356" s="105" t="str">
        <f ca="1">IFERROR(Table1[[#This Row],[TOTAL VINES]]-Table1[[#This Row],[VINES LEFT]],"")</f>
        <v/>
      </c>
      <c r="F356" s="105">
        <f ca="1">Table1[[#This Row],[TOTAL VINES]]-Table1[[#This Row],[VINES PICKED]]</f>
        <v>0</v>
      </c>
      <c r="G356" s="106">
        <f t="shared" si="26"/>
        <v>0</v>
      </c>
      <c r="H356" s="106">
        <f t="shared" ca="1" si="24"/>
        <v>0</v>
      </c>
      <c r="I356" s="106">
        <f ca="1">Table1[[#This Row],[TOTAL ACRES]]-Table1[[#This Row],[ACRES PICKED]]</f>
        <v>0</v>
      </c>
      <c r="J356" s="106">
        <f ca="1">Table1[[#This Row],[ACRES PICKED]]</f>
        <v>0</v>
      </c>
      <c r="M356" s="118">
        <f>Table1[[#This Row],[LOADS]]*24</f>
        <v>0</v>
      </c>
      <c r="N356" s="107">
        <f t="shared" ca="1" si="23"/>
        <v>0</v>
      </c>
      <c r="O356" s="108" t="str">
        <f t="shared" ca="1" si="25"/>
        <v/>
      </c>
    </row>
    <row r="357" spans="1:18" s="123" customFormat="1" ht="13.5" customHeight="1" thickBot="1" x14ac:dyDescent="0.35">
      <c r="A357" s="103"/>
      <c r="B357" s="12"/>
      <c r="C357" s="9" t="str" cm="1">
        <f t="array" ref="C357">IF(B357="","",_xlfn._xlws.FILTER('Source List'!I$2:I$268,'Source List'!G$2:G$268='Row Counts'!B357," "))</f>
        <v/>
      </c>
      <c r="D357" s="104" t="str" cm="1">
        <f t="array" ref="D357">IF(B357="","",_xlfn._xlws.FILTER('Source List'!J$2:J$268,'Source List'!G$2:G$268='Row Counts'!B357," "))</f>
        <v/>
      </c>
      <c r="E357" s="105" t="str">
        <f ca="1">IFERROR(Table1[[#This Row],[TOTAL VINES]]-Table1[[#This Row],[VINES LEFT]],"")</f>
        <v/>
      </c>
      <c r="F357" s="105">
        <f ca="1">Table1[[#This Row],[TOTAL VINES]]-Table1[[#This Row],[VINES PICKED]]</f>
        <v>0</v>
      </c>
      <c r="G357" s="106">
        <f t="shared" si="26"/>
        <v>0</v>
      </c>
      <c r="H357" s="106">
        <f t="shared" ca="1" si="24"/>
        <v>0</v>
      </c>
      <c r="I357" s="106">
        <f ca="1">Table1[[#This Row],[TOTAL ACRES]]-Table1[[#This Row],[ACRES PICKED]]</f>
        <v>0</v>
      </c>
      <c r="J357" s="106">
        <f ca="1">Table1[[#This Row],[ACRES PICKED]]</f>
        <v>0</v>
      </c>
      <c r="K357" s="106"/>
      <c r="L357" s="106"/>
      <c r="M357" s="118">
        <f>Table1[[#This Row],[LOADS]]*24</f>
        <v>0</v>
      </c>
      <c r="N357" s="107">
        <f t="shared" ca="1" si="23"/>
        <v>0</v>
      </c>
      <c r="O357" s="108" t="str">
        <f t="shared" ca="1" si="25"/>
        <v/>
      </c>
      <c r="P357" s="109"/>
      <c r="Q357" s="110"/>
      <c r="R357" s="12"/>
    </row>
    <row r="358" spans="1:18" s="121" customFormat="1" ht="13.5" customHeight="1" x14ac:dyDescent="0.3">
      <c r="A358" s="103"/>
      <c r="B358" s="12"/>
      <c r="C358" s="9" t="str" cm="1">
        <f t="array" ref="C358">IF(B358="","",_xlfn._xlws.FILTER('Source List'!I$2:I$268,'Source List'!G$2:G$268='Row Counts'!B358," "))</f>
        <v/>
      </c>
      <c r="D358" s="104" t="str" cm="1">
        <f t="array" ref="D358">IF(B358="","",_xlfn._xlws.FILTER('Source List'!J$2:J$268,'Source List'!G$2:G$268='Row Counts'!B358," "))</f>
        <v/>
      </c>
      <c r="E358" s="105" t="str">
        <f ca="1">IFERROR(Table1[[#This Row],[TOTAL VINES]]-Table1[[#This Row],[VINES LEFT]],"")</f>
        <v/>
      </c>
      <c r="F358" s="105">
        <f ca="1">Table1[[#This Row],[TOTAL VINES]]-Table1[[#This Row],[VINES PICKED]]</f>
        <v>0</v>
      </c>
      <c r="G358" s="106">
        <f t="shared" si="26"/>
        <v>0</v>
      </c>
      <c r="H358" s="106">
        <f t="shared" ca="1" si="24"/>
        <v>0</v>
      </c>
      <c r="I358" s="106">
        <f ca="1">Table1[[#This Row],[TOTAL ACRES]]-Table1[[#This Row],[ACRES PICKED]]</f>
        <v>0</v>
      </c>
      <c r="J358" s="106">
        <f ca="1">Table1[[#This Row],[ACRES PICKED]]</f>
        <v>0</v>
      </c>
      <c r="K358" s="106"/>
      <c r="L358" s="106"/>
      <c r="M358" s="118">
        <f>Table1[[#This Row],[LOADS]]*24</f>
        <v>0</v>
      </c>
      <c r="N358" s="107">
        <f t="shared" ca="1" si="23"/>
        <v>0</v>
      </c>
      <c r="O358" s="108" t="str">
        <f t="shared" ca="1" si="25"/>
        <v/>
      </c>
      <c r="P358" s="109"/>
      <c r="Q358" s="12"/>
      <c r="R358" s="12"/>
    </row>
    <row r="359" spans="1:18" ht="13.5" customHeight="1" x14ac:dyDescent="0.3">
      <c r="C359" s="9" t="str" cm="1">
        <f t="array" ref="C359">IF(B359="","",_xlfn._xlws.FILTER('Source List'!I$2:I$268,'Source List'!G$2:G$268='Row Counts'!B359," "))</f>
        <v/>
      </c>
      <c r="D359" s="104" t="str" cm="1">
        <f t="array" ref="D359">IF(B359="","",_xlfn._xlws.FILTER('Source List'!J$2:J$268,'Source List'!G$2:G$268='Row Counts'!B359," "))</f>
        <v/>
      </c>
      <c r="E359" s="105" t="str">
        <f ca="1">IFERROR(Table1[[#This Row],[TOTAL VINES]]-Table1[[#This Row],[VINES LEFT]],"")</f>
        <v/>
      </c>
      <c r="F359" s="105">
        <f ca="1">Table1[[#This Row],[TOTAL VINES]]-Table1[[#This Row],[VINES PICKED]]</f>
        <v>0</v>
      </c>
      <c r="G359" s="106">
        <f t="shared" si="26"/>
        <v>0</v>
      </c>
      <c r="H359" s="106">
        <f t="shared" ca="1" si="24"/>
        <v>0</v>
      </c>
      <c r="I359" s="106">
        <f ca="1">Table1[[#This Row],[TOTAL ACRES]]-Table1[[#This Row],[ACRES PICKED]]</f>
        <v>0</v>
      </c>
      <c r="J359" s="106">
        <f ca="1">Table1[[#This Row],[ACRES PICKED]]</f>
        <v>0</v>
      </c>
      <c r="M359" s="118">
        <f>Table1[[#This Row],[LOADS]]*24</f>
        <v>0</v>
      </c>
      <c r="N359" s="107">
        <f t="shared" ca="1" si="23"/>
        <v>0</v>
      </c>
      <c r="O359" s="108" t="str">
        <f t="shared" ca="1" si="25"/>
        <v/>
      </c>
      <c r="Q359" s="139"/>
    </row>
    <row r="360" spans="1:18" ht="13.5" customHeight="1" x14ac:dyDescent="0.3">
      <c r="C360" s="9" t="str" cm="1">
        <f t="array" ref="C360">IF(B360="","",_xlfn._xlws.FILTER('Source List'!I$2:I$268,'Source List'!G$2:G$268='Row Counts'!B360," "))</f>
        <v/>
      </c>
      <c r="D360" s="104" t="str" cm="1">
        <f t="array" ref="D360">IF(B360="","",_xlfn._xlws.FILTER('Source List'!J$2:J$268,'Source List'!G$2:G$268='Row Counts'!B360," "))</f>
        <v/>
      </c>
      <c r="E360" s="105" t="str">
        <f ca="1">IFERROR(Table1[[#This Row],[TOTAL VINES]]-Table1[[#This Row],[VINES LEFT]],"")</f>
        <v/>
      </c>
      <c r="F360" s="105">
        <f ca="1">Table1[[#This Row],[TOTAL VINES]]-Table1[[#This Row],[VINES PICKED]]</f>
        <v>0</v>
      </c>
      <c r="G360" s="106">
        <f t="shared" si="26"/>
        <v>0</v>
      </c>
      <c r="H360" s="106">
        <f t="shared" ca="1" si="24"/>
        <v>0</v>
      </c>
      <c r="I360" s="106">
        <f ca="1">Table1[[#This Row],[TOTAL ACRES]]-Table1[[#This Row],[ACRES PICKED]]</f>
        <v>0</v>
      </c>
      <c r="J360" s="106">
        <f ca="1">Table1[[#This Row],[ACRES PICKED]]</f>
        <v>0</v>
      </c>
      <c r="M360" s="118">
        <f>Table1[[#This Row],[LOADS]]*24</f>
        <v>0</v>
      </c>
      <c r="N360" s="107">
        <f t="shared" ref="N360:N423" ca="1" si="27">IFERROR(M360/J360,0)</f>
        <v>0</v>
      </c>
      <c r="O360" s="108" t="str">
        <f t="shared" ca="1" si="25"/>
        <v/>
      </c>
      <c r="Q360" s="139"/>
    </row>
    <row r="361" spans="1:18" ht="13.5" customHeight="1" x14ac:dyDescent="0.3">
      <c r="C361" s="9" t="str" cm="1">
        <f t="array" ref="C361">IF(B361="","",_xlfn._xlws.FILTER('Source List'!I$2:I$268,'Source List'!G$2:G$268='Row Counts'!B361," "))</f>
        <v/>
      </c>
      <c r="D361" s="104" t="str" cm="1">
        <f t="array" ref="D361">IF(B361="","",_xlfn._xlws.FILTER('Source List'!J$2:J$268,'Source List'!G$2:G$268='Row Counts'!B361," "))</f>
        <v/>
      </c>
      <c r="E361" s="105" t="str">
        <f ca="1">IFERROR(Table1[[#This Row],[TOTAL VINES]]-Table1[[#This Row],[VINES LEFT]],"")</f>
        <v/>
      </c>
      <c r="F361" s="105">
        <f ca="1">Table1[[#This Row],[TOTAL VINES]]-Table1[[#This Row],[VINES PICKED]]</f>
        <v>0</v>
      </c>
      <c r="G361" s="106">
        <f t="shared" si="26"/>
        <v>0</v>
      </c>
      <c r="H361" s="106">
        <f t="shared" ca="1" si="24"/>
        <v>0</v>
      </c>
      <c r="I361" s="106">
        <f ca="1">Table1[[#This Row],[TOTAL ACRES]]-Table1[[#This Row],[ACRES PICKED]]</f>
        <v>0</v>
      </c>
      <c r="J361" s="106">
        <f ca="1">Table1[[#This Row],[ACRES PICKED]]</f>
        <v>0</v>
      </c>
      <c r="M361" s="118">
        <f>Table1[[#This Row],[LOADS]]*24</f>
        <v>0</v>
      </c>
      <c r="N361" s="107">
        <f t="shared" ca="1" si="27"/>
        <v>0</v>
      </c>
      <c r="O361" s="108" t="str">
        <f t="shared" ca="1" si="25"/>
        <v/>
      </c>
    </row>
    <row r="362" spans="1:18" s="120" customFormat="1" ht="13.5" customHeight="1" thickBot="1" x14ac:dyDescent="0.35">
      <c r="A362" s="103"/>
      <c r="B362" s="12"/>
      <c r="C362" s="9" t="str" cm="1">
        <f t="array" ref="C362">IF(B362="","",_xlfn._xlws.FILTER('Source List'!I$2:I$268,'Source List'!G$2:G$268='Row Counts'!B362," "))</f>
        <v/>
      </c>
      <c r="D362" s="104" t="str" cm="1">
        <f t="array" ref="D362">IF(B362="","",_xlfn._xlws.FILTER('Source List'!J$2:J$268,'Source List'!G$2:G$268='Row Counts'!B362," "))</f>
        <v/>
      </c>
      <c r="E362" s="105" t="str">
        <f ca="1">IFERROR(Table1[[#This Row],[TOTAL VINES]]-Table1[[#This Row],[VINES LEFT]],"")</f>
        <v/>
      </c>
      <c r="F362" s="105">
        <f ca="1">Table1[[#This Row],[TOTAL VINES]]-Table1[[#This Row],[VINES PICKED]]</f>
        <v>0</v>
      </c>
      <c r="G362" s="106">
        <f t="shared" si="26"/>
        <v>0</v>
      </c>
      <c r="H362" s="106">
        <f t="shared" ca="1" si="24"/>
        <v>0</v>
      </c>
      <c r="I362" s="106">
        <f ca="1">Table1[[#This Row],[TOTAL ACRES]]-Table1[[#This Row],[ACRES PICKED]]</f>
        <v>0</v>
      </c>
      <c r="J362" s="106">
        <f ca="1">Table1[[#This Row],[ACRES PICKED]]</f>
        <v>0</v>
      </c>
      <c r="K362" s="106"/>
      <c r="L362" s="106"/>
      <c r="M362" s="118">
        <f>Table1[[#This Row],[LOADS]]*24</f>
        <v>0</v>
      </c>
      <c r="N362" s="107">
        <f t="shared" ca="1" si="27"/>
        <v>0</v>
      </c>
      <c r="O362" s="108" t="str">
        <f t="shared" ca="1" si="25"/>
        <v/>
      </c>
      <c r="P362" s="109"/>
      <c r="Q362" s="25"/>
      <c r="R362" s="12"/>
    </row>
    <row r="363" spans="1:18" s="121" customFormat="1" ht="13.5" customHeight="1" x14ac:dyDescent="0.3">
      <c r="A363" s="103"/>
      <c r="B363" s="12"/>
      <c r="C363" s="9" t="str" cm="1">
        <f t="array" ref="C363">IF(B363="","",_xlfn._xlws.FILTER('Source List'!I$2:I$268,'Source List'!G$2:G$268='Row Counts'!B363," "))</f>
        <v/>
      </c>
      <c r="D363" s="104" t="str" cm="1">
        <f t="array" ref="D363">IF(B363="","",_xlfn._xlws.FILTER('Source List'!J$2:J$268,'Source List'!G$2:G$268='Row Counts'!B363," "))</f>
        <v/>
      </c>
      <c r="E363" s="105" t="str">
        <f ca="1">IFERROR(Table1[[#This Row],[TOTAL VINES]]-Table1[[#This Row],[VINES LEFT]],"")</f>
        <v/>
      </c>
      <c r="F363" s="105">
        <f ca="1">Table1[[#This Row],[TOTAL VINES]]-Table1[[#This Row],[VINES PICKED]]</f>
        <v>0</v>
      </c>
      <c r="G363" s="106">
        <f t="shared" si="26"/>
        <v>0</v>
      </c>
      <c r="H363" s="106">
        <f t="shared" ca="1" si="24"/>
        <v>0</v>
      </c>
      <c r="I363" s="106">
        <f ca="1">Table1[[#This Row],[TOTAL ACRES]]-Table1[[#This Row],[ACRES PICKED]]</f>
        <v>0</v>
      </c>
      <c r="J363" s="106">
        <f ca="1">Table1[[#This Row],[ACRES PICKED]]</f>
        <v>0</v>
      </c>
      <c r="K363" s="106"/>
      <c r="L363" s="106"/>
      <c r="M363" s="118">
        <f>Table1[[#This Row],[LOADS]]*24</f>
        <v>0</v>
      </c>
      <c r="N363" s="107">
        <f t="shared" ca="1" si="27"/>
        <v>0</v>
      </c>
      <c r="O363" s="108" t="str">
        <f t="shared" ca="1" si="25"/>
        <v/>
      </c>
      <c r="P363" s="109"/>
      <c r="Q363" s="12"/>
      <c r="R363" s="12"/>
    </row>
    <row r="364" spans="1:18" ht="13.5" customHeight="1" x14ac:dyDescent="0.3">
      <c r="C364" s="9" t="str" cm="1">
        <f t="array" ref="C364">IF(B364="","",_xlfn._xlws.FILTER('Source List'!I$2:I$268,'Source List'!G$2:G$268='Row Counts'!B364," "))</f>
        <v/>
      </c>
      <c r="D364" s="104" t="str" cm="1">
        <f t="array" ref="D364">IF(B364="","",_xlfn._xlws.FILTER('Source List'!J$2:J$268,'Source List'!G$2:G$268='Row Counts'!B364," "))</f>
        <v/>
      </c>
      <c r="E364" s="105" t="str">
        <f ca="1">IFERROR(Table1[[#This Row],[TOTAL VINES]]-Table1[[#This Row],[VINES LEFT]],"")</f>
        <v/>
      </c>
      <c r="F364" s="105">
        <f ca="1">Table1[[#This Row],[TOTAL VINES]]-Table1[[#This Row],[VINES PICKED]]</f>
        <v>0</v>
      </c>
      <c r="G364" s="106">
        <f t="shared" si="26"/>
        <v>0</v>
      </c>
      <c r="H364" s="106">
        <f t="shared" ca="1" si="24"/>
        <v>0</v>
      </c>
      <c r="I364" s="106">
        <f ca="1">Table1[[#This Row],[TOTAL ACRES]]-Table1[[#This Row],[ACRES PICKED]]</f>
        <v>0</v>
      </c>
      <c r="J364" s="106">
        <f ca="1">Table1[[#This Row],[ACRES PICKED]]</f>
        <v>0</v>
      </c>
      <c r="M364" s="118">
        <f>Table1[[#This Row],[LOADS]]*24</f>
        <v>0</v>
      </c>
      <c r="N364" s="107">
        <f t="shared" ca="1" si="27"/>
        <v>0</v>
      </c>
      <c r="O364" s="108" t="str">
        <f t="shared" ca="1" si="25"/>
        <v/>
      </c>
    </row>
    <row r="365" spans="1:18" ht="13.5" customHeight="1" x14ac:dyDescent="0.3">
      <c r="C365" s="9" t="str" cm="1">
        <f t="array" ref="C365">IF(B365="","",_xlfn._xlws.FILTER('Source List'!I$2:I$268,'Source List'!G$2:G$268='Row Counts'!B365," "))</f>
        <v/>
      </c>
      <c r="D365" s="104" t="str" cm="1">
        <f t="array" ref="D365">IF(B365="","",_xlfn._xlws.FILTER('Source List'!J$2:J$268,'Source List'!G$2:G$268='Row Counts'!B365," "))</f>
        <v/>
      </c>
      <c r="E365" s="105" t="str">
        <f ca="1">IFERROR(Table1[[#This Row],[TOTAL VINES]]-Table1[[#This Row],[VINES LEFT]],"")</f>
        <v/>
      </c>
      <c r="F365" s="105">
        <f ca="1">Table1[[#This Row],[TOTAL VINES]]-Table1[[#This Row],[VINES PICKED]]</f>
        <v>0</v>
      </c>
      <c r="G365" s="106">
        <f t="shared" si="26"/>
        <v>0</v>
      </c>
      <c r="H365" s="106">
        <f t="shared" ca="1" si="24"/>
        <v>0</v>
      </c>
      <c r="I365" s="106">
        <f ca="1">Table1[[#This Row],[TOTAL ACRES]]-Table1[[#This Row],[ACRES PICKED]]</f>
        <v>0</v>
      </c>
      <c r="J365" s="106">
        <f ca="1">Table1[[#This Row],[ACRES PICKED]]</f>
        <v>0</v>
      </c>
      <c r="M365" s="118">
        <f>Table1[[#This Row],[LOADS]]*24</f>
        <v>0</v>
      </c>
      <c r="N365" s="107">
        <f t="shared" ca="1" si="27"/>
        <v>0</v>
      </c>
      <c r="O365" s="108" t="str">
        <f t="shared" ca="1" si="25"/>
        <v/>
      </c>
    </row>
    <row r="366" spans="1:18" ht="13.5" customHeight="1" x14ac:dyDescent="0.3">
      <c r="C366" s="9" t="str" cm="1">
        <f t="array" ref="C366">IF(B366="","",_xlfn._xlws.FILTER('Source List'!I$2:I$268,'Source List'!G$2:G$268='Row Counts'!B366," "))</f>
        <v/>
      </c>
      <c r="D366" s="104" t="str" cm="1">
        <f t="array" ref="D366">IF(B366="","",_xlfn._xlws.FILTER('Source List'!J$2:J$268,'Source List'!G$2:G$268='Row Counts'!B366," "))</f>
        <v/>
      </c>
      <c r="E366" s="105" t="str">
        <f ca="1">IFERROR(Table1[[#This Row],[TOTAL VINES]]-Table1[[#This Row],[VINES LEFT]],"")</f>
        <v/>
      </c>
      <c r="F366" s="105">
        <f ca="1">Table1[[#This Row],[TOTAL VINES]]-Table1[[#This Row],[VINES PICKED]]</f>
        <v>0</v>
      </c>
      <c r="G366" s="106">
        <f t="shared" si="26"/>
        <v>0</v>
      </c>
      <c r="H366" s="106">
        <f t="shared" ca="1" si="24"/>
        <v>0</v>
      </c>
      <c r="I366" s="106">
        <f ca="1">Table1[[#This Row],[TOTAL ACRES]]-Table1[[#This Row],[ACRES PICKED]]</f>
        <v>0</v>
      </c>
      <c r="J366" s="106">
        <f ca="1">Table1[[#This Row],[ACRES PICKED]]</f>
        <v>0</v>
      </c>
      <c r="M366" s="118">
        <f>Table1[[#This Row],[LOADS]]*24</f>
        <v>0</v>
      </c>
      <c r="N366" s="107">
        <f t="shared" ca="1" si="27"/>
        <v>0</v>
      </c>
      <c r="O366" s="108" t="str">
        <f t="shared" ca="1" si="25"/>
        <v/>
      </c>
    </row>
    <row r="367" spans="1:18" ht="13.5" customHeight="1" x14ac:dyDescent="0.3">
      <c r="C367" s="9" t="str" cm="1">
        <f t="array" ref="C367">IF(B367="","",_xlfn._xlws.FILTER('Source List'!I$2:I$268,'Source List'!G$2:G$268='Row Counts'!B367," "))</f>
        <v/>
      </c>
      <c r="D367" s="104" t="str" cm="1">
        <f t="array" ref="D367">IF(B367="","",_xlfn._xlws.FILTER('Source List'!J$2:J$268,'Source List'!G$2:G$268='Row Counts'!B367," "))</f>
        <v/>
      </c>
      <c r="E367" s="105" t="str">
        <f ca="1">IFERROR(Table1[[#This Row],[TOTAL VINES]]-Table1[[#This Row],[VINES LEFT]],"")</f>
        <v/>
      </c>
      <c r="F367" s="105">
        <f ca="1">Table1[[#This Row],[TOTAL VINES]]-Table1[[#This Row],[VINES PICKED]]</f>
        <v>0</v>
      </c>
      <c r="G367" s="106">
        <f t="shared" si="26"/>
        <v>0</v>
      </c>
      <c r="H367" s="106">
        <f t="shared" ca="1" si="24"/>
        <v>0</v>
      </c>
      <c r="I367" s="106">
        <f ca="1">Table1[[#This Row],[TOTAL ACRES]]-Table1[[#This Row],[ACRES PICKED]]</f>
        <v>0</v>
      </c>
      <c r="J367" s="106">
        <f ca="1">Table1[[#This Row],[ACRES PICKED]]</f>
        <v>0</v>
      </c>
      <c r="M367" s="118">
        <f>Table1[[#This Row],[LOADS]]*24</f>
        <v>0</v>
      </c>
      <c r="N367" s="107">
        <f t="shared" ca="1" si="27"/>
        <v>0</v>
      </c>
      <c r="O367" s="108" t="str">
        <f t="shared" ca="1" si="25"/>
        <v/>
      </c>
    </row>
    <row r="368" spans="1:18" ht="13.5" customHeight="1" x14ac:dyDescent="0.3">
      <c r="C368" s="9" t="str" cm="1">
        <f t="array" ref="C368">IF(B368="","",_xlfn._xlws.FILTER('Source List'!I$2:I$268,'Source List'!G$2:G$268='Row Counts'!B368," "))</f>
        <v/>
      </c>
      <c r="D368" s="104" t="str" cm="1">
        <f t="array" ref="D368">IF(B368="","",_xlfn._xlws.FILTER('Source List'!J$2:J$268,'Source List'!G$2:G$268='Row Counts'!B368," "))</f>
        <v/>
      </c>
      <c r="E368" s="105" t="str">
        <f ca="1">IFERROR(Table1[[#This Row],[TOTAL VINES]]-Table1[[#This Row],[VINES LEFT]],"")</f>
        <v/>
      </c>
      <c r="F368" s="105">
        <f ca="1">Table1[[#This Row],[TOTAL VINES]]-Table1[[#This Row],[VINES PICKED]]</f>
        <v>0</v>
      </c>
      <c r="G368" s="106">
        <f t="shared" si="26"/>
        <v>0</v>
      </c>
      <c r="H368" s="106">
        <f t="shared" ca="1" si="24"/>
        <v>0</v>
      </c>
      <c r="I368" s="106">
        <f ca="1">Table1[[#This Row],[TOTAL ACRES]]-Table1[[#This Row],[ACRES PICKED]]</f>
        <v>0</v>
      </c>
      <c r="J368" s="106">
        <f ca="1">Table1[[#This Row],[ACRES PICKED]]</f>
        <v>0</v>
      </c>
      <c r="M368" s="118">
        <f>Table1[[#This Row],[LOADS]]*24</f>
        <v>0</v>
      </c>
      <c r="N368" s="107">
        <f t="shared" ca="1" si="27"/>
        <v>0</v>
      </c>
      <c r="O368" s="108" t="str">
        <f t="shared" ca="1" si="25"/>
        <v/>
      </c>
    </row>
    <row r="369" spans="1:18" ht="13.5" customHeight="1" x14ac:dyDescent="0.3">
      <c r="C369" s="9" t="str" cm="1">
        <f t="array" ref="C369">IF(B369="","",_xlfn._xlws.FILTER('Source List'!I$2:I$268,'Source List'!G$2:G$268='Row Counts'!B369," "))</f>
        <v/>
      </c>
      <c r="D369" s="104" t="str" cm="1">
        <f t="array" ref="D369">IF(B369="","",_xlfn._xlws.FILTER('Source List'!J$2:J$268,'Source List'!G$2:G$268='Row Counts'!B369," "))</f>
        <v/>
      </c>
      <c r="E369" s="105" t="str">
        <f ca="1">IFERROR(Table1[[#This Row],[TOTAL VINES]]-Table1[[#This Row],[VINES LEFT]],"")</f>
        <v/>
      </c>
      <c r="F369" s="105">
        <f ca="1">Table1[[#This Row],[TOTAL VINES]]-Table1[[#This Row],[VINES PICKED]]</f>
        <v>0</v>
      </c>
      <c r="G369" s="106">
        <f t="shared" si="26"/>
        <v>0</v>
      </c>
      <c r="H369" s="106">
        <f t="shared" ca="1" si="24"/>
        <v>0</v>
      </c>
      <c r="I369" s="106">
        <f ca="1">Table1[[#This Row],[TOTAL ACRES]]-Table1[[#This Row],[ACRES PICKED]]</f>
        <v>0</v>
      </c>
      <c r="J369" s="106">
        <f ca="1">Table1[[#This Row],[ACRES PICKED]]</f>
        <v>0</v>
      </c>
      <c r="M369" s="118">
        <f>Table1[[#This Row],[LOADS]]*24</f>
        <v>0</v>
      </c>
      <c r="N369" s="107">
        <f t="shared" ca="1" si="27"/>
        <v>0</v>
      </c>
      <c r="O369" s="108" t="str">
        <f t="shared" ca="1" si="25"/>
        <v/>
      </c>
      <c r="Q369" s="25"/>
    </row>
    <row r="370" spans="1:18" ht="13.5" customHeight="1" x14ac:dyDescent="0.3">
      <c r="C370" s="9" t="str" cm="1">
        <f t="array" ref="C370">IF(B370="","",_xlfn._xlws.FILTER('Source List'!I$2:I$268,'Source List'!G$2:G$268='Row Counts'!B370," "))</f>
        <v/>
      </c>
      <c r="D370" s="104" t="str" cm="1">
        <f t="array" ref="D370">IF(B370="","",_xlfn._xlws.FILTER('Source List'!J$2:J$268,'Source List'!G$2:G$268='Row Counts'!B370," "))</f>
        <v/>
      </c>
      <c r="E370" s="105" t="str">
        <f ca="1">IFERROR(Table1[[#This Row],[TOTAL VINES]]-Table1[[#This Row],[VINES LEFT]],"")</f>
        <v/>
      </c>
      <c r="F370" s="105">
        <f ca="1">Table1[[#This Row],[TOTAL VINES]]-Table1[[#This Row],[VINES PICKED]]</f>
        <v>0</v>
      </c>
      <c r="G370" s="106">
        <f t="shared" si="26"/>
        <v>0</v>
      </c>
      <c r="H370" s="106">
        <f t="shared" ca="1" si="24"/>
        <v>0</v>
      </c>
      <c r="I370" s="106">
        <f ca="1">Table1[[#This Row],[TOTAL ACRES]]-Table1[[#This Row],[ACRES PICKED]]</f>
        <v>0</v>
      </c>
      <c r="J370" s="106">
        <f ca="1">Table1[[#This Row],[ACRES PICKED]]</f>
        <v>0</v>
      </c>
      <c r="M370" s="118">
        <f>Table1[[#This Row],[LOADS]]*24</f>
        <v>0</v>
      </c>
      <c r="N370" s="107">
        <f t="shared" ca="1" si="27"/>
        <v>0</v>
      </c>
      <c r="O370" s="108" t="str">
        <f t="shared" ca="1" si="25"/>
        <v/>
      </c>
    </row>
    <row r="371" spans="1:18" ht="13.5" customHeight="1" x14ac:dyDescent="0.3">
      <c r="C371" s="9" t="str" cm="1">
        <f t="array" ref="C371">IF(B371="","",_xlfn._xlws.FILTER('Source List'!I$2:I$268,'Source List'!G$2:G$268='Row Counts'!B371," "))</f>
        <v/>
      </c>
      <c r="D371" s="104" t="str" cm="1">
        <f t="array" ref="D371">IF(B371="","",_xlfn._xlws.FILTER('Source List'!J$2:J$268,'Source List'!G$2:G$268='Row Counts'!B371," "))</f>
        <v/>
      </c>
      <c r="E371" s="105" t="str">
        <f ca="1">IFERROR(Table1[[#This Row],[TOTAL VINES]]-Table1[[#This Row],[VINES LEFT]],"")</f>
        <v/>
      </c>
      <c r="F371" s="105">
        <f ca="1">Table1[[#This Row],[TOTAL VINES]]-Table1[[#This Row],[VINES PICKED]]</f>
        <v>0</v>
      </c>
      <c r="G371" s="106">
        <f t="shared" si="26"/>
        <v>0</v>
      </c>
      <c r="H371" s="106">
        <f t="shared" ca="1" si="24"/>
        <v>0</v>
      </c>
      <c r="I371" s="106">
        <f ca="1">Table1[[#This Row],[TOTAL ACRES]]-Table1[[#This Row],[ACRES PICKED]]</f>
        <v>0</v>
      </c>
      <c r="J371" s="106">
        <f ca="1">Table1[[#This Row],[ACRES PICKED]]</f>
        <v>0</v>
      </c>
      <c r="M371" s="118">
        <f>Table1[[#This Row],[LOADS]]*24</f>
        <v>0</v>
      </c>
      <c r="N371" s="107">
        <f t="shared" ca="1" si="27"/>
        <v>0</v>
      </c>
      <c r="O371" s="108" t="str">
        <f t="shared" ca="1" si="25"/>
        <v/>
      </c>
    </row>
    <row r="372" spans="1:18" ht="13.5" customHeight="1" x14ac:dyDescent="0.3">
      <c r="C372" s="9" t="str" cm="1">
        <f t="array" ref="C372">IF(B372="","",_xlfn._xlws.FILTER('Source List'!I$2:I$268,'Source List'!G$2:G$268='Row Counts'!B372," "))</f>
        <v/>
      </c>
      <c r="D372" s="104" t="str" cm="1">
        <f t="array" ref="D372">IF(B372="","",_xlfn._xlws.FILTER('Source List'!J$2:J$268,'Source List'!G$2:G$268='Row Counts'!B372," "))</f>
        <v/>
      </c>
      <c r="E372" s="105" t="str">
        <f ca="1">IFERROR(Table1[[#This Row],[TOTAL VINES]]-Table1[[#This Row],[VINES LEFT]],"")</f>
        <v/>
      </c>
      <c r="F372" s="105">
        <f ca="1">Table1[[#This Row],[TOTAL VINES]]-Table1[[#This Row],[VINES PICKED]]</f>
        <v>0</v>
      </c>
      <c r="G372" s="106">
        <f t="shared" si="26"/>
        <v>0</v>
      </c>
      <c r="H372" s="106">
        <f t="shared" ca="1" si="24"/>
        <v>0</v>
      </c>
      <c r="I372" s="106">
        <f ca="1">Table1[[#This Row],[TOTAL ACRES]]-Table1[[#This Row],[ACRES PICKED]]</f>
        <v>0</v>
      </c>
      <c r="J372" s="106">
        <f ca="1">Table1[[#This Row],[ACRES PICKED]]</f>
        <v>0</v>
      </c>
      <c r="M372" s="118">
        <f>Table1[[#This Row],[LOADS]]*24</f>
        <v>0</v>
      </c>
      <c r="N372" s="107">
        <f t="shared" ca="1" si="27"/>
        <v>0</v>
      </c>
      <c r="O372" s="108" t="str">
        <f t="shared" ca="1" si="25"/>
        <v/>
      </c>
    </row>
    <row r="373" spans="1:18" ht="13.5" customHeight="1" x14ac:dyDescent="0.3">
      <c r="C373" s="9" t="str" cm="1">
        <f t="array" ref="C373">IF(B373="","",_xlfn._xlws.FILTER('Source List'!I$2:I$268,'Source List'!G$2:G$268='Row Counts'!B373," "))</f>
        <v/>
      </c>
      <c r="D373" s="104" t="str" cm="1">
        <f t="array" ref="D373">IF(B373="","",_xlfn._xlws.FILTER('Source List'!J$2:J$268,'Source List'!G$2:G$268='Row Counts'!B373," "))</f>
        <v/>
      </c>
      <c r="E373" s="105" t="str">
        <f ca="1">IFERROR(Table1[[#This Row],[TOTAL VINES]]-Table1[[#This Row],[VINES LEFT]],"")</f>
        <v/>
      </c>
      <c r="F373" s="105">
        <f ca="1">Table1[[#This Row],[TOTAL VINES]]-Table1[[#This Row],[VINES PICKED]]</f>
        <v>0</v>
      </c>
      <c r="G373" s="106">
        <f t="shared" si="26"/>
        <v>0</v>
      </c>
      <c r="H373" s="106">
        <f t="shared" ca="1" si="24"/>
        <v>0</v>
      </c>
      <c r="I373" s="106">
        <f ca="1">Table1[[#This Row],[TOTAL ACRES]]-Table1[[#This Row],[ACRES PICKED]]</f>
        <v>0</v>
      </c>
      <c r="J373" s="106">
        <f ca="1">Table1[[#This Row],[ACRES PICKED]]</f>
        <v>0</v>
      </c>
      <c r="M373" s="118">
        <f>Table1[[#This Row],[LOADS]]*24</f>
        <v>0</v>
      </c>
      <c r="N373" s="107">
        <f t="shared" ca="1" si="27"/>
        <v>0</v>
      </c>
      <c r="O373" s="108" t="str">
        <f t="shared" ca="1" si="25"/>
        <v/>
      </c>
    </row>
    <row r="374" spans="1:18" ht="13.5" customHeight="1" x14ac:dyDescent="0.3">
      <c r="C374" s="9" t="str" cm="1">
        <f t="array" ref="C374">IF(B374="","",_xlfn._xlws.FILTER('Source List'!I$2:I$268,'Source List'!G$2:G$268='Row Counts'!B374," "))</f>
        <v/>
      </c>
      <c r="D374" s="104" t="str" cm="1">
        <f t="array" ref="D374">IF(B374="","",_xlfn._xlws.FILTER('Source List'!J$2:J$268,'Source List'!G$2:G$268='Row Counts'!B374," "))</f>
        <v/>
      </c>
      <c r="E374" s="105" t="str">
        <f ca="1">IFERROR(Table1[[#This Row],[TOTAL VINES]]-Table1[[#This Row],[VINES LEFT]],"")</f>
        <v/>
      </c>
      <c r="F374" s="105">
        <f ca="1">Table1[[#This Row],[TOTAL VINES]]-Table1[[#This Row],[VINES PICKED]]</f>
        <v>0</v>
      </c>
      <c r="G374" s="106">
        <f t="shared" si="26"/>
        <v>0</v>
      </c>
      <c r="H374" s="106">
        <f t="shared" ca="1" si="24"/>
        <v>0</v>
      </c>
      <c r="I374" s="106">
        <f ca="1">Table1[[#This Row],[TOTAL ACRES]]-Table1[[#This Row],[ACRES PICKED]]</f>
        <v>0</v>
      </c>
      <c r="J374" s="106">
        <f ca="1">Table1[[#This Row],[ACRES PICKED]]</f>
        <v>0</v>
      </c>
      <c r="M374" s="118">
        <f>Table1[[#This Row],[LOADS]]*24</f>
        <v>0</v>
      </c>
      <c r="N374" s="107">
        <f t="shared" ca="1" si="27"/>
        <v>0</v>
      </c>
      <c r="O374" s="108" t="str">
        <f t="shared" ca="1" si="25"/>
        <v/>
      </c>
    </row>
    <row r="375" spans="1:18" ht="13.5" customHeight="1" x14ac:dyDescent="0.3">
      <c r="C375" s="9" t="str" cm="1">
        <f t="array" ref="C375">IF(B375="","",_xlfn._xlws.FILTER('Source List'!I$2:I$268,'Source List'!G$2:G$268='Row Counts'!B375," "))</f>
        <v/>
      </c>
      <c r="D375" s="104" t="str" cm="1">
        <f t="array" ref="D375">IF(B375="","",_xlfn._xlws.FILTER('Source List'!J$2:J$268,'Source List'!G$2:G$268='Row Counts'!B375," "))</f>
        <v/>
      </c>
      <c r="E375" s="105" t="str">
        <f ca="1">IFERROR(Table1[[#This Row],[TOTAL VINES]]-Table1[[#This Row],[VINES LEFT]],"")</f>
        <v/>
      </c>
      <c r="F375" s="105">
        <f ca="1">Table1[[#This Row],[TOTAL VINES]]-Table1[[#This Row],[VINES PICKED]]</f>
        <v>0</v>
      </c>
      <c r="G375" s="106">
        <f t="shared" si="26"/>
        <v>0</v>
      </c>
      <c r="H375" s="106">
        <f t="shared" ca="1" si="24"/>
        <v>0</v>
      </c>
      <c r="I375" s="106">
        <f ca="1">Table1[[#This Row],[TOTAL ACRES]]-Table1[[#This Row],[ACRES PICKED]]</f>
        <v>0</v>
      </c>
      <c r="J375" s="106">
        <f ca="1">Table1[[#This Row],[ACRES PICKED]]</f>
        <v>0</v>
      </c>
      <c r="M375" s="118">
        <f>Table1[[#This Row],[LOADS]]*24</f>
        <v>0</v>
      </c>
      <c r="N375" s="107">
        <f t="shared" ca="1" si="27"/>
        <v>0</v>
      </c>
      <c r="O375" s="108" t="str">
        <f t="shared" ca="1" si="25"/>
        <v/>
      </c>
    </row>
    <row r="376" spans="1:18" ht="13.5" customHeight="1" x14ac:dyDescent="0.3">
      <c r="C376" s="9" t="str" cm="1">
        <f t="array" ref="C376">IF(B376="","",_xlfn._xlws.FILTER('Source List'!I$2:I$268,'Source List'!G$2:G$268='Row Counts'!B376," "))</f>
        <v/>
      </c>
      <c r="D376" s="104" t="str" cm="1">
        <f t="array" ref="D376">IF(B376="","",_xlfn._xlws.FILTER('Source List'!J$2:J$268,'Source List'!G$2:G$268='Row Counts'!B376," "))</f>
        <v/>
      </c>
      <c r="E376" s="105" t="str">
        <f ca="1">IFERROR(Table1[[#This Row],[TOTAL VINES]]-Table1[[#This Row],[VINES LEFT]],"")</f>
        <v/>
      </c>
      <c r="F376" s="105">
        <f ca="1">Table1[[#This Row],[TOTAL VINES]]-Table1[[#This Row],[VINES PICKED]]</f>
        <v>0</v>
      </c>
      <c r="G376" s="106">
        <f t="shared" si="26"/>
        <v>0</v>
      </c>
      <c r="H376" s="106">
        <f t="shared" ca="1" si="24"/>
        <v>0</v>
      </c>
      <c r="I376" s="106">
        <f ca="1">Table1[[#This Row],[TOTAL ACRES]]-Table1[[#This Row],[ACRES PICKED]]</f>
        <v>0</v>
      </c>
      <c r="J376" s="106">
        <f ca="1">Table1[[#This Row],[ACRES PICKED]]</f>
        <v>0</v>
      </c>
      <c r="M376" s="118">
        <f>Table1[[#This Row],[LOADS]]*24</f>
        <v>0</v>
      </c>
      <c r="N376" s="107">
        <f t="shared" ca="1" si="27"/>
        <v>0</v>
      </c>
      <c r="O376" s="108" t="str">
        <f t="shared" ca="1" si="25"/>
        <v/>
      </c>
    </row>
    <row r="377" spans="1:18" ht="13.5" customHeight="1" x14ac:dyDescent="0.3">
      <c r="C377" s="9" t="str" cm="1">
        <f t="array" ref="C377">IF(B377="","",_xlfn._xlws.FILTER('Source List'!I$2:I$268,'Source List'!G$2:G$268='Row Counts'!B377," "))</f>
        <v/>
      </c>
      <c r="D377" s="104" t="str" cm="1">
        <f t="array" ref="D377">IF(B377="","",_xlfn._xlws.FILTER('Source List'!J$2:J$268,'Source List'!G$2:G$268='Row Counts'!B377," "))</f>
        <v/>
      </c>
      <c r="E377" s="105" t="str">
        <f ca="1">IFERROR(Table1[[#This Row],[TOTAL VINES]]-Table1[[#This Row],[VINES LEFT]],"")</f>
        <v/>
      </c>
      <c r="F377" s="105">
        <f ca="1">Table1[[#This Row],[TOTAL VINES]]-Table1[[#This Row],[VINES PICKED]]</f>
        <v>0</v>
      </c>
      <c r="G377" s="106">
        <f t="shared" si="26"/>
        <v>0</v>
      </c>
      <c r="H377" s="106">
        <f t="shared" ca="1" si="24"/>
        <v>0</v>
      </c>
      <c r="I377" s="106">
        <f ca="1">Table1[[#This Row],[TOTAL ACRES]]-Table1[[#This Row],[ACRES PICKED]]</f>
        <v>0</v>
      </c>
      <c r="J377" s="106">
        <f ca="1">Table1[[#This Row],[ACRES PICKED]]</f>
        <v>0</v>
      </c>
      <c r="M377" s="118">
        <f>Table1[[#This Row],[LOADS]]*24</f>
        <v>0</v>
      </c>
      <c r="N377" s="107">
        <f t="shared" ca="1" si="27"/>
        <v>0</v>
      </c>
      <c r="O377" s="108" t="str">
        <f t="shared" ca="1" si="25"/>
        <v/>
      </c>
    </row>
    <row r="378" spans="1:18" ht="13.5" customHeight="1" x14ac:dyDescent="0.3">
      <c r="C378" s="9" t="str" cm="1">
        <f t="array" ref="C378">IF(B378="","",_xlfn._xlws.FILTER('Source List'!I$2:I$268,'Source List'!G$2:G$268='Row Counts'!B378," "))</f>
        <v/>
      </c>
      <c r="D378" s="104" t="str" cm="1">
        <f t="array" ref="D378">IF(B378="","",_xlfn._xlws.FILTER('Source List'!J$2:J$268,'Source List'!G$2:G$268='Row Counts'!B378," "))</f>
        <v/>
      </c>
      <c r="E378" s="105" t="str">
        <f ca="1">IFERROR(Table1[[#This Row],[TOTAL VINES]]-Table1[[#This Row],[VINES LEFT]],"")</f>
        <v/>
      </c>
      <c r="F378" s="105">
        <f ca="1">Table1[[#This Row],[TOTAL VINES]]-Table1[[#This Row],[VINES PICKED]]</f>
        <v>0</v>
      </c>
      <c r="G378" s="106">
        <f t="shared" si="26"/>
        <v>0</v>
      </c>
      <c r="H378" s="106">
        <f t="shared" ca="1" si="24"/>
        <v>0</v>
      </c>
      <c r="I378" s="106">
        <f ca="1">Table1[[#This Row],[TOTAL ACRES]]-Table1[[#This Row],[ACRES PICKED]]</f>
        <v>0</v>
      </c>
      <c r="J378" s="106">
        <f ca="1">Table1[[#This Row],[ACRES PICKED]]</f>
        <v>0</v>
      </c>
      <c r="M378" s="118">
        <f>Table1[[#This Row],[LOADS]]*24</f>
        <v>0</v>
      </c>
      <c r="N378" s="107">
        <f t="shared" ca="1" si="27"/>
        <v>0</v>
      </c>
      <c r="O378" s="108" t="str">
        <f t="shared" ca="1" si="25"/>
        <v/>
      </c>
    </row>
    <row r="379" spans="1:18" s="124" customFormat="1" ht="13.5" customHeight="1" x14ac:dyDescent="0.3">
      <c r="A379" s="103"/>
      <c r="B379" s="12"/>
      <c r="C379" s="9" t="str" cm="1">
        <f t="array" ref="C379">IF(B379="","",_xlfn._xlws.FILTER('Source List'!I$2:I$268,'Source List'!G$2:G$268='Row Counts'!B379," "))</f>
        <v/>
      </c>
      <c r="D379" s="104" t="str" cm="1">
        <f t="array" ref="D379">IF(B379="","",_xlfn._xlws.FILTER('Source List'!J$2:J$268,'Source List'!G$2:G$268='Row Counts'!B379," "))</f>
        <v/>
      </c>
      <c r="E379" s="105" t="str">
        <f ca="1">IFERROR(Table1[[#This Row],[TOTAL VINES]]-Table1[[#This Row],[VINES LEFT]],"")</f>
        <v/>
      </c>
      <c r="F379" s="105">
        <f ca="1">Table1[[#This Row],[TOTAL VINES]]-Table1[[#This Row],[VINES PICKED]]</f>
        <v>0</v>
      </c>
      <c r="G379" s="106">
        <f t="shared" si="26"/>
        <v>0</v>
      </c>
      <c r="H379" s="106">
        <f t="shared" ca="1" si="24"/>
        <v>0</v>
      </c>
      <c r="I379" s="106">
        <f ca="1">Table1[[#This Row],[TOTAL ACRES]]-Table1[[#This Row],[ACRES PICKED]]</f>
        <v>0</v>
      </c>
      <c r="J379" s="106">
        <f ca="1">Table1[[#This Row],[ACRES PICKED]]</f>
        <v>0</v>
      </c>
      <c r="K379" s="106"/>
      <c r="L379" s="106"/>
      <c r="M379" s="118">
        <f>Table1[[#This Row],[LOADS]]*24</f>
        <v>0</v>
      </c>
      <c r="N379" s="107">
        <f t="shared" ca="1" si="27"/>
        <v>0</v>
      </c>
      <c r="O379" s="108" t="str">
        <f t="shared" ca="1" si="25"/>
        <v/>
      </c>
      <c r="P379" s="109"/>
      <c r="Q379" s="12"/>
      <c r="R379" s="12"/>
    </row>
    <row r="380" spans="1:18" s="123" customFormat="1" ht="13.5" customHeight="1" thickBot="1" x14ac:dyDescent="0.35">
      <c r="A380" s="103"/>
      <c r="B380" s="12"/>
      <c r="C380" s="9" t="str" cm="1">
        <f t="array" ref="C380">IF(B380="","",_xlfn._xlws.FILTER('Source List'!I$2:I$268,'Source List'!G$2:G$268='Row Counts'!B380," "))</f>
        <v/>
      </c>
      <c r="D380" s="104" t="str" cm="1">
        <f t="array" ref="D380">IF(B380="","",_xlfn._xlws.FILTER('Source List'!J$2:J$268,'Source List'!G$2:G$268='Row Counts'!B380," "))</f>
        <v/>
      </c>
      <c r="E380" s="105" t="str">
        <f ca="1">IFERROR(Table1[[#This Row],[TOTAL VINES]]-Table1[[#This Row],[VINES LEFT]],"")</f>
        <v/>
      </c>
      <c r="F380" s="105">
        <f ca="1">Table1[[#This Row],[TOTAL VINES]]-Table1[[#This Row],[VINES PICKED]]</f>
        <v>0</v>
      </c>
      <c r="G380" s="106">
        <f t="shared" si="26"/>
        <v>0</v>
      </c>
      <c r="H380" s="106">
        <f t="shared" ca="1" si="24"/>
        <v>0</v>
      </c>
      <c r="I380" s="106">
        <f ca="1">Table1[[#This Row],[TOTAL ACRES]]-Table1[[#This Row],[ACRES PICKED]]</f>
        <v>0</v>
      </c>
      <c r="J380" s="106">
        <f ca="1">Table1[[#This Row],[ACRES PICKED]]</f>
        <v>0</v>
      </c>
      <c r="K380" s="106"/>
      <c r="L380" s="106"/>
      <c r="M380" s="118">
        <f>Table1[[#This Row],[LOADS]]*24</f>
        <v>0</v>
      </c>
      <c r="N380" s="107">
        <f t="shared" ca="1" si="27"/>
        <v>0</v>
      </c>
      <c r="O380" s="108" t="str">
        <f t="shared" ca="1" si="25"/>
        <v/>
      </c>
      <c r="P380" s="109"/>
      <c r="Q380" s="12"/>
      <c r="R380" s="12"/>
    </row>
    <row r="381" spans="1:18" s="121" customFormat="1" ht="13.5" customHeight="1" x14ac:dyDescent="0.3">
      <c r="A381" s="103"/>
      <c r="B381" s="12"/>
      <c r="C381" s="9" t="str" cm="1">
        <f t="array" ref="C381">IF(B381="","",_xlfn._xlws.FILTER('Source List'!I$2:I$268,'Source List'!G$2:G$268='Row Counts'!B381," "))</f>
        <v/>
      </c>
      <c r="D381" s="104" t="str" cm="1">
        <f t="array" ref="D381">IF(B381="","",_xlfn._xlws.FILTER('Source List'!J$2:J$268,'Source List'!G$2:G$268='Row Counts'!B381," "))</f>
        <v/>
      </c>
      <c r="E381" s="105" t="str">
        <f ca="1">IFERROR(Table1[[#This Row],[TOTAL VINES]]-Table1[[#This Row],[VINES LEFT]],"")</f>
        <v/>
      </c>
      <c r="F381" s="105">
        <f ca="1">Table1[[#This Row],[TOTAL VINES]]-Table1[[#This Row],[VINES PICKED]]</f>
        <v>0</v>
      </c>
      <c r="G381" s="106">
        <f t="shared" si="26"/>
        <v>0</v>
      </c>
      <c r="H381" s="106">
        <f t="shared" ca="1" si="24"/>
        <v>0</v>
      </c>
      <c r="I381" s="106">
        <f ca="1">Table1[[#This Row],[TOTAL ACRES]]-Table1[[#This Row],[ACRES PICKED]]</f>
        <v>0</v>
      </c>
      <c r="J381" s="106">
        <f ca="1">Table1[[#This Row],[ACRES PICKED]]</f>
        <v>0</v>
      </c>
      <c r="K381" s="106"/>
      <c r="L381" s="106"/>
      <c r="M381" s="118">
        <f>Table1[[#This Row],[LOADS]]*24</f>
        <v>0</v>
      </c>
      <c r="N381" s="107">
        <f t="shared" ca="1" si="27"/>
        <v>0</v>
      </c>
      <c r="O381" s="108" t="str">
        <f t="shared" ca="1" si="25"/>
        <v/>
      </c>
      <c r="P381" s="109"/>
      <c r="Q381" s="12"/>
      <c r="R381" s="12"/>
    </row>
    <row r="382" spans="1:18" ht="13.5" customHeight="1" x14ac:dyDescent="0.3">
      <c r="C382" s="9" t="str" cm="1">
        <f t="array" ref="C382">IF(B382="","",_xlfn._xlws.FILTER('Source List'!I$2:I$268,'Source List'!G$2:G$268='Row Counts'!B382," "))</f>
        <v/>
      </c>
      <c r="D382" s="104" t="str" cm="1">
        <f t="array" ref="D382">IF(B382="","",_xlfn._xlws.FILTER('Source List'!J$2:J$268,'Source List'!G$2:G$268='Row Counts'!B382," "))</f>
        <v/>
      </c>
      <c r="E382" s="105" t="str">
        <f ca="1">IFERROR(Table1[[#This Row],[TOTAL VINES]]-Table1[[#This Row],[VINES LEFT]],"")</f>
        <v/>
      </c>
      <c r="F382" s="105">
        <f ca="1">Table1[[#This Row],[TOTAL VINES]]-Table1[[#This Row],[VINES PICKED]]</f>
        <v>0</v>
      </c>
      <c r="G382" s="106">
        <f t="shared" si="26"/>
        <v>0</v>
      </c>
      <c r="H382" s="106">
        <f t="shared" ca="1" si="24"/>
        <v>0</v>
      </c>
      <c r="I382" s="106">
        <f ca="1">Table1[[#This Row],[TOTAL ACRES]]-Table1[[#This Row],[ACRES PICKED]]</f>
        <v>0</v>
      </c>
      <c r="J382" s="106">
        <f ca="1">Table1[[#This Row],[ACRES PICKED]]</f>
        <v>0</v>
      </c>
      <c r="M382" s="118">
        <f>Table1[[#This Row],[LOADS]]*24</f>
        <v>0</v>
      </c>
      <c r="N382" s="107">
        <f t="shared" ca="1" si="27"/>
        <v>0</v>
      </c>
      <c r="O382" s="108" t="str">
        <f t="shared" ca="1" si="25"/>
        <v/>
      </c>
    </row>
    <row r="383" spans="1:18" ht="13.5" customHeight="1" x14ac:dyDescent="0.3">
      <c r="C383" s="9" t="str" cm="1">
        <f t="array" ref="C383">IF(B383="","",_xlfn._xlws.FILTER('Source List'!I$2:I$268,'Source List'!G$2:G$268='Row Counts'!B383," "))</f>
        <v/>
      </c>
      <c r="D383" s="104" t="str" cm="1">
        <f t="array" ref="D383">IF(B383="","",_xlfn._xlws.FILTER('Source List'!J$2:J$268,'Source List'!G$2:G$268='Row Counts'!B383," "))</f>
        <v/>
      </c>
      <c r="E383" s="105" t="str">
        <f ca="1">IFERROR(Table1[[#This Row],[TOTAL VINES]]-Table1[[#This Row],[VINES LEFT]],"")</f>
        <v/>
      </c>
      <c r="F383" s="105">
        <f ca="1">Table1[[#This Row],[TOTAL VINES]]-Table1[[#This Row],[VINES PICKED]]</f>
        <v>0</v>
      </c>
      <c r="G383" s="106">
        <f t="shared" si="26"/>
        <v>0</v>
      </c>
      <c r="H383" s="106">
        <f t="shared" ref="H383:H446" ca="1" si="28">IFERROR(E383/C383,0)</f>
        <v>0</v>
      </c>
      <c r="I383" s="106">
        <f ca="1">Table1[[#This Row],[TOTAL ACRES]]-Table1[[#This Row],[ACRES PICKED]]</f>
        <v>0</v>
      </c>
      <c r="J383" s="106">
        <f ca="1">Table1[[#This Row],[ACRES PICKED]]</f>
        <v>0</v>
      </c>
      <c r="M383" s="118">
        <f>Table1[[#This Row],[LOADS]]*24</f>
        <v>0</v>
      </c>
      <c r="N383" s="107">
        <f t="shared" ca="1" si="27"/>
        <v>0</v>
      </c>
      <c r="O383" s="108" t="str">
        <f t="shared" ca="1" si="25"/>
        <v/>
      </c>
    </row>
    <row r="384" spans="1:18" ht="13.5" customHeight="1" x14ac:dyDescent="0.3">
      <c r="C384" s="9" t="str" cm="1">
        <f t="array" ref="C384">IF(B384="","",_xlfn._xlws.FILTER('Source List'!I$2:I$268,'Source List'!G$2:G$268='Row Counts'!B384," "))</f>
        <v/>
      </c>
      <c r="D384" s="104" t="str" cm="1">
        <f t="array" ref="D384">IF(B384="","",_xlfn._xlws.FILTER('Source List'!J$2:J$268,'Source List'!G$2:G$268='Row Counts'!B384," "))</f>
        <v/>
      </c>
      <c r="E384" s="105" t="str">
        <f ca="1">IFERROR(Table1[[#This Row],[TOTAL VINES]]-Table1[[#This Row],[VINES LEFT]],"")</f>
        <v/>
      </c>
      <c r="F384" s="105">
        <f ca="1">Table1[[#This Row],[TOTAL VINES]]-Table1[[#This Row],[VINES PICKED]]</f>
        <v>0</v>
      </c>
      <c r="G384" s="106">
        <f t="shared" si="26"/>
        <v>0</v>
      </c>
      <c r="H384" s="106">
        <f t="shared" ca="1" si="28"/>
        <v>0</v>
      </c>
      <c r="I384" s="106">
        <f ca="1">Table1[[#This Row],[TOTAL ACRES]]-Table1[[#This Row],[ACRES PICKED]]</f>
        <v>0</v>
      </c>
      <c r="J384" s="106">
        <f ca="1">Table1[[#This Row],[ACRES PICKED]]</f>
        <v>0</v>
      </c>
      <c r="M384" s="118">
        <f>Table1[[#This Row],[LOADS]]*24</f>
        <v>0</v>
      </c>
      <c r="N384" s="107">
        <f t="shared" ca="1" si="27"/>
        <v>0</v>
      </c>
      <c r="O384" s="108" t="str">
        <f t="shared" ca="1" si="25"/>
        <v/>
      </c>
    </row>
    <row r="385" spans="1:18" ht="13.5" customHeight="1" x14ac:dyDescent="0.3">
      <c r="C385" s="9" t="str" cm="1">
        <f t="array" ref="C385">IF(B385="","",_xlfn._xlws.FILTER('Source List'!I$2:I$268,'Source List'!G$2:G$268='Row Counts'!B385," "))</f>
        <v/>
      </c>
      <c r="D385" s="104" t="str" cm="1">
        <f t="array" ref="D385">IF(B385="","",_xlfn._xlws.FILTER('Source List'!J$2:J$268,'Source List'!G$2:G$268='Row Counts'!B385," "))</f>
        <v/>
      </c>
      <c r="E385" s="105" t="str">
        <f ca="1">IFERROR(Table1[[#This Row],[TOTAL VINES]]-Table1[[#This Row],[VINES LEFT]],"")</f>
        <v/>
      </c>
      <c r="F385" s="105">
        <f ca="1">Table1[[#This Row],[TOTAL VINES]]-Table1[[#This Row],[VINES PICKED]]</f>
        <v>0</v>
      </c>
      <c r="G385" s="106">
        <f t="shared" si="26"/>
        <v>0</v>
      </c>
      <c r="H385" s="106">
        <f t="shared" ca="1" si="28"/>
        <v>0</v>
      </c>
      <c r="I385" s="106">
        <f ca="1">Table1[[#This Row],[TOTAL ACRES]]-Table1[[#This Row],[ACRES PICKED]]</f>
        <v>0</v>
      </c>
      <c r="J385" s="106">
        <f ca="1">Table1[[#This Row],[ACRES PICKED]]</f>
        <v>0</v>
      </c>
      <c r="M385" s="118">
        <f>Table1[[#This Row],[LOADS]]*24</f>
        <v>0</v>
      </c>
      <c r="N385" s="107">
        <f t="shared" ca="1" si="27"/>
        <v>0</v>
      </c>
      <c r="O385" s="108" t="str">
        <f t="shared" ca="1" si="25"/>
        <v/>
      </c>
    </row>
    <row r="386" spans="1:18" ht="13.5" customHeight="1" x14ac:dyDescent="0.3">
      <c r="C386" s="9" t="str" cm="1">
        <f t="array" ref="C386">IF(B386="","",_xlfn._xlws.FILTER('Source List'!I$2:I$268,'Source List'!G$2:G$268='Row Counts'!B386," "))</f>
        <v/>
      </c>
      <c r="D386" s="104" t="str" cm="1">
        <f t="array" ref="D386">IF(B386="","",_xlfn._xlws.FILTER('Source List'!J$2:J$268,'Source List'!G$2:G$268='Row Counts'!B386," "))</f>
        <v/>
      </c>
      <c r="E386" s="105" t="str">
        <f ca="1">IFERROR(Table1[[#This Row],[TOTAL VINES]]-Table1[[#This Row],[VINES LEFT]],"")</f>
        <v/>
      </c>
      <c r="F386" s="105">
        <f ca="1">Table1[[#This Row],[TOTAL VINES]]-Table1[[#This Row],[VINES PICKED]]</f>
        <v>0</v>
      </c>
      <c r="G386" s="106">
        <f t="shared" si="26"/>
        <v>0</v>
      </c>
      <c r="H386" s="106">
        <f t="shared" ca="1" si="28"/>
        <v>0</v>
      </c>
      <c r="I386" s="106">
        <f ca="1">Table1[[#This Row],[TOTAL ACRES]]-Table1[[#This Row],[ACRES PICKED]]</f>
        <v>0</v>
      </c>
      <c r="J386" s="106">
        <f ca="1">Table1[[#This Row],[ACRES PICKED]]</f>
        <v>0</v>
      </c>
      <c r="M386" s="118">
        <f>Table1[[#This Row],[LOADS]]*24</f>
        <v>0</v>
      </c>
      <c r="N386" s="107">
        <f t="shared" ca="1" si="27"/>
        <v>0</v>
      </c>
      <c r="O386" s="108" t="str">
        <f t="shared" ca="1" si="25"/>
        <v/>
      </c>
    </row>
    <row r="387" spans="1:18" ht="13.5" customHeight="1" x14ac:dyDescent="0.3">
      <c r="C387" s="9" t="str" cm="1">
        <f t="array" ref="C387">IF(B387="","",_xlfn._xlws.FILTER('Source List'!I$2:I$268,'Source List'!G$2:G$268='Row Counts'!B387," "))</f>
        <v/>
      </c>
      <c r="D387" s="104" t="str" cm="1">
        <f t="array" ref="D387">IF(B387="","",_xlfn._xlws.FILTER('Source List'!J$2:J$268,'Source List'!G$2:G$268='Row Counts'!B387," "))</f>
        <v/>
      </c>
      <c r="E387" s="105" t="str">
        <f ca="1">IFERROR(Table1[[#This Row],[TOTAL VINES]]-Table1[[#This Row],[VINES LEFT]],"")</f>
        <v/>
      </c>
      <c r="F387" s="105">
        <f ca="1">Table1[[#This Row],[TOTAL VINES]]-Table1[[#This Row],[VINES PICKED]]</f>
        <v>0</v>
      </c>
      <c r="G387" s="106">
        <f t="shared" si="26"/>
        <v>0</v>
      </c>
      <c r="H387" s="106">
        <f t="shared" ca="1" si="28"/>
        <v>0</v>
      </c>
      <c r="I387" s="106">
        <f ca="1">Table1[[#This Row],[TOTAL ACRES]]-Table1[[#This Row],[ACRES PICKED]]</f>
        <v>0</v>
      </c>
      <c r="J387" s="106">
        <f ca="1">Table1[[#This Row],[ACRES PICKED]]</f>
        <v>0</v>
      </c>
      <c r="M387" s="118">
        <f>Table1[[#This Row],[LOADS]]*24</f>
        <v>0</v>
      </c>
      <c r="N387" s="107">
        <f t="shared" ca="1" si="27"/>
        <v>0</v>
      </c>
      <c r="O387" s="108" t="str">
        <f t="shared" ca="1" si="25"/>
        <v/>
      </c>
    </row>
    <row r="388" spans="1:18" ht="13.5" customHeight="1" x14ac:dyDescent="0.3">
      <c r="B388" s="111"/>
      <c r="C388" s="9" t="str" cm="1">
        <f t="array" ref="C388">IF(B388="","",_xlfn._xlws.FILTER('Source List'!I$2:I$268,'Source List'!G$2:G$268='Row Counts'!B388," "))</f>
        <v/>
      </c>
      <c r="D388" s="104" t="str" cm="1">
        <f t="array" ref="D388">IF(B388="","",_xlfn._xlws.FILTER('Source List'!J$2:J$268,'Source List'!G$2:G$268='Row Counts'!B388," "))</f>
        <v/>
      </c>
      <c r="E388" s="105" t="str">
        <f ca="1">IFERROR(Table1[[#This Row],[TOTAL VINES]]-Table1[[#This Row],[VINES LEFT]],"")</f>
        <v/>
      </c>
      <c r="F388" s="105">
        <f ca="1">Table1[[#This Row],[TOTAL VINES]]-Table1[[#This Row],[VINES PICKED]]</f>
        <v>0</v>
      </c>
      <c r="G388" s="106">
        <f t="shared" si="26"/>
        <v>0</v>
      </c>
      <c r="H388" s="106">
        <f t="shared" ca="1" si="28"/>
        <v>0</v>
      </c>
      <c r="I388" s="106">
        <f ca="1">Table1[[#This Row],[TOTAL ACRES]]-Table1[[#This Row],[ACRES PICKED]]</f>
        <v>0</v>
      </c>
      <c r="J388" s="106">
        <f ca="1">Table1[[#This Row],[ACRES PICKED]]</f>
        <v>0</v>
      </c>
      <c r="M388" s="118">
        <f>Table1[[#This Row],[LOADS]]*24</f>
        <v>0</v>
      </c>
      <c r="N388" s="107">
        <f t="shared" ca="1" si="27"/>
        <v>0</v>
      </c>
      <c r="O388" s="108" t="str">
        <f t="shared" ca="1" si="25"/>
        <v/>
      </c>
    </row>
    <row r="389" spans="1:18" ht="13.5" customHeight="1" x14ac:dyDescent="0.3">
      <c r="C389" s="9" t="str" cm="1">
        <f t="array" ref="C389">IF(B389="","",_xlfn._xlws.FILTER('Source List'!I$2:I$268,'Source List'!G$2:G$268='Row Counts'!B389," "))</f>
        <v/>
      </c>
      <c r="D389" s="104" t="str" cm="1">
        <f t="array" ref="D389">IF(B389="","",_xlfn._xlws.FILTER('Source List'!J$2:J$268,'Source List'!G$2:G$268='Row Counts'!B389," "))</f>
        <v/>
      </c>
      <c r="E389" s="105" t="str">
        <f ca="1">IFERROR(Table1[[#This Row],[TOTAL VINES]]-Table1[[#This Row],[VINES LEFT]],"")</f>
        <v/>
      </c>
      <c r="F389" s="105">
        <f ca="1">Table1[[#This Row],[TOTAL VINES]]-Table1[[#This Row],[VINES PICKED]]</f>
        <v>0</v>
      </c>
      <c r="G389" s="106">
        <f t="shared" si="26"/>
        <v>0</v>
      </c>
      <c r="H389" s="106">
        <f t="shared" ca="1" si="28"/>
        <v>0</v>
      </c>
      <c r="I389" s="106">
        <f ca="1">Table1[[#This Row],[TOTAL ACRES]]-Table1[[#This Row],[ACRES PICKED]]</f>
        <v>0</v>
      </c>
      <c r="J389" s="106">
        <f ca="1">Table1[[#This Row],[ACRES PICKED]]</f>
        <v>0</v>
      </c>
      <c r="M389" s="118">
        <f>Table1[[#This Row],[LOADS]]*24</f>
        <v>0</v>
      </c>
      <c r="N389" s="107">
        <f t="shared" ca="1" si="27"/>
        <v>0</v>
      </c>
      <c r="O389" s="108" t="str">
        <f t="shared" ref="O389:O452" ca="1" si="29">IFERROR((N389*I389)/23,"")</f>
        <v/>
      </c>
    </row>
    <row r="390" spans="1:18" ht="13.5" customHeight="1" x14ac:dyDescent="0.3">
      <c r="C390" s="9" t="str" cm="1">
        <f t="array" ref="C390">IF(B390="","",_xlfn._xlws.FILTER('Source List'!I$2:I$268,'Source List'!G$2:G$268='Row Counts'!B390," "))</f>
        <v/>
      </c>
      <c r="D390" s="104" t="str" cm="1">
        <f t="array" ref="D390">IF(B390="","",_xlfn._xlws.FILTER('Source List'!J$2:J$268,'Source List'!G$2:G$268='Row Counts'!B390," "))</f>
        <v/>
      </c>
      <c r="E390" s="105" t="str">
        <f ca="1">IFERROR(Table1[[#This Row],[TOTAL VINES]]-Table1[[#This Row],[VINES LEFT]],"")</f>
        <v/>
      </c>
      <c r="F390" s="105">
        <f ca="1">Table1[[#This Row],[TOTAL VINES]]-Table1[[#This Row],[VINES PICKED]]</f>
        <v>0</v>
      </c>
      <c r="G390" s="106">
        <f t="shared" si="26"/>
        <v>0</v>
      </c>
      <c r="H390" s="106">
        <f t="shared" ca="1" si="28"/>
        <v>0</v>
      </c>
      <c r="I390" s="106">
        <f ca="1">Table1[[#This Row],[TOTAL ACRES]]-Table1[[#This Row],[ACRES PICKED]]</f>
        <v>0</v>
      </c>
      <c r="J390" s="106">
        <f ca="1">Table1[[#This Row],[ACRES PICKED]]</f>
        <v>0</v>
      </c>
      <c r="M390" s="118">
        <f>Table1[[#This Row],[LOADS]]*24</f>
        <v>0</v>
      </c>
      <c r="N390" s="107">
        <f t="shared" ca="1" si="27"/>
        <v>0</v>
      </c>
      <c r="O390" s="108" t="str">
        <f t="shared" ca="1" si="29"/>
        <v/>
      </c>
    </row>
    <row r="391" spans="1:18" ht="13.5" customHeight="1" x14ac:dyDescent="0.3">
      <c r="C391" s="9" t="str" cm="1">
        <f t="array" ref="C391">IF(B391="","",_xlfn._xlws.FILTER('Source List'!I$2:I$268,'Source List'!G$2:G$268='Row Counts'!B391," "))</f>
        <v/>
      </c>
      <c r="D391" s="104" t="str" cm="1">
        <f t="array" ref="D391">IF(B391="","",_xlfn._xlws.FILTER('Source List'!J$2:J$268,'Source List'!G$2:G$268='Row Counts'!B391," "))</f>
        <v/>
      </c>
      <c r="E391" s="105" t="str">
        <f ca="1">IFERROR(Table1[[#This Row],[TOTAL VINES]]-Table1[[#This Row],[VINES LEFT]],"")</f>
        <v/>
      </c>
      <c r="F391" s="105">
        <f ca="1">Table1[[#This Row],[TOTAL VINES]]-Table1[[#This Row],[VINES PICKED]]</f>
        <v>0</v>
      </c>
      <c r="G391" s="106">
        <f t="shared" si="26"/>
        <v>0</v>
      </c>
      <c r="H391" s="106">
        <f t="shared" ca="1" si="28"/>
        <v>0</v>
      </c>
      <c r="I391" s="106">
        <f ca="1">Table1[[#This Row],[TOTAL ACRES]]-Table1[[#This Row],[ACRES PICKED]]</f>
        <v>0</v>
      </c>
      <c r="J391" s="106">
        <f ca="1">Table1[[#This Row],[ACRES PICKED]]</f>
        <v>0</v>
      </c>
      <c r="M391" s="118">
        <f>Table1[[#This Row],[LOADS]]*24</f>
        <v>0</v>
      </c>
      <c r="N391" s="107">
        <f t="shared" ca="1" si="27"/>
        <v>0</v>
      </c>
      <c r="O391" s="108" t="str">
        <f t="shared" ca="1" si="29"/>
        <v/>
      </c>
    </row>
    <row r="392" spans="1:18" ht="13.5" customHeight="1" x14ac:dyDescent="0.3">
      <c r="C392" s="9" t="str" cm="1">
        <f t="array" ref="C392">IF(B392="","",_xlfn._xlws.FILTER('Source List'!I$2:I$268,'Source List'!G$2:G$268='Row Counts'!B392," "))</f>
        <v/>
      </c>
      <c r="D392" s="104" t="str" cm="1">
        <f t="array" ref="D392">IF(B392="","",_xlfn._xlws.FILTER('Source List'!J$2:J$268,'Source List'!G$2:G$268='Row Counts'!B392," "))</f>
        <v/>
      </c>
      <c r="E392" s="105" t="str">
        <f ca="1">IFERROR(Table1[[#This Row],[TOTAL VINES]]-Table1[[#This Row],[VINES LEFT]],"")</f>
        <v/>
      </c>
      <c r="F392" s="105">
        <f ca="1">Table1[[#This Row],[TOTAL VINES]]-Table1[[#This Row],[VINES PICKED]]</f>
        <v>0</v>
      </c>
      <c r="G392" s="106">
        <f t="shared" si="26"/>
        <v>0</v>
      </c>
      <c r="H392" s="106">
        <f t="shared" ca="1" si="28"/>
        <v>0</v>
      </c>
      <c r="I392" s="106">
        <f ca="1">Table1[[#This Row],[TOTAL ACRES]]-Table1[[#This Row],[ACRES PICKED]]</f>
        <v>0</v>
      </c>
      <c r="J392" s="106">
        <f ca="1">Table1[[#This Row],[ACRES PICKED]]</f>
        <v>0</v>
      </c>
      <c r="M392" s="118">
        <f>Table1[[#This Row],[LOADS]]*24</f>
        <v>0</v>
      </c>
      <c r="N392" s="107">
        <f t="shared" ca="1" si="27"/>
        <v>0</v>
      </c>
      <c r="O392" s="108" t="str">
        <f t="shared" ca="1" si="29"/>
        <v/>
      </c>
    </row>
    <row r="393" spans="1:18" ht="13.5" customHeight="1" x14ac:dyDescent="0.3">
      <c r="C393" s="9" t="str" cm="1">
        <f t="array" ref="C393">IF(B393="","",_xlfn._xlws.FILTER('Source List'!I$2:I$268,'Source List'!G$2:G$268='Row Counts'!B393," "))</f>
        <v/>
      </c>
      <c r="D393" s="104" t="str" cm="1">
        <f t="array" ref="D393">IF(B393="","",_xlfn._xlws.FILTER('Source List'!J$2:J$268,'Source List'!G$2:G$268='Row Counts'!B393," "))</f>
        <v/>
      </c>
      <c r="E393" s="105" t="str">
        <f ca="1">IFERROR(Table1[[#This Row],[TOTAL VINES]]-Table1[[#This Row],[VINES LEFT]],"")</f>
        <v/>
      </c>
      <c r="F393" s="105">
        <f ca="1">Table1[[#This Row],[TOTAL VINES]]-Table1[[#This Row],[VINES PICKED]]</f>
        <v>0</v>
      </c>
      <c r="G393" s="106">
        <f t="shared" si="26"/>
        <v>0</v>
      </c>
      <c r="H393" s="106">
        <f t="shared" ca="1" si="28"/>
        <v>0</v>
      </c>
      <c r="I393" s="106">
        <f ca="1">Table1[[#This Row],[TOTAL ACRES]]-Table1[[#This Row],[ACRES PICKED]]</f>
        <v>0</v>
      </c>
      <c r="J393" s="106">
        <f ca="1">Table1[[#This Row],[ACRES PICKED]]</f>
        <v>0</v>
      </c>
      <c r="M393" s="118">
        <f>Table1[[#This Row],[LOADS]]*24</f>
        <v>0</v>
      </c>
      <c r="N393" s="107">
        <f t="shared" ca="1" si="27"/>
        <v>0</v>
      </c>
      <c r="O393" s="108" t="str">
        <f t="shared" ca="1" si="29"/>
        <v/>
      </c>
    </row>
    <row r="394" spans="1:18" ht="13.5" customHeight="1" x14ac:dyDescent="0.3">
      <c r="C394" s="9" t="str" cm="1">
        <f t="array" ref="C394">IF(B394="","",_xlfn._xlws.FILTER('Source List'!I$2:I$268,'Source List'!G$2:G$268='Row Counts'!B394," "))</f>
        <v/>
      </c>
      <c r="D394" s="104" t="str" cm="1">
        <f t="array" ref="D394">IF(B394="","",_xlfn._xlws.FILTER('Source List'!J$2:J$268,'Source List'!G$2:G$268='Row Counts'!B394," "))</f>
        <v/>
      </c>
      <c r="E394" s="105" t="str">
        <f ca="1">IFERROR(Table1[[#This Row],[TOTAL VINES]]-Table1[[#This Row],[VINES LEFT]],"")</f>
        <v/>
      </c>
      <c r="F394" s="105">
        <f ca="1">Table1[[#This Row],[TOTAL VINES]]-Table1[[#This Row],[VINES PICKED]]</f>
        <v>0</v>
      </c>
      <c r="G394" s="106">
        <f t="shared" si="26"/>
        <v>0</v>
      </c>
      <c r="H394" s="106">
        <f t="shared" ca="1" si="28"/>
        <v>0</v>
      </c>
      <c r="I394" s="106">
        <f ca="1">Table1[[#This Row],[TOTAL ACRES]]-Table1[[#This Row],[ACRES PICKED]]</f>
        <v>0</v>
      </c>
      <c r="J394" s="106">
        <f ca="1">Table1[[#This Row],[ACRES PICKED]]</f>
        <v>0</v>
      </c>
      <c r="M394" s="118">
        <f>Table1[[#This Row],[LOADS]]*24</f>
        <v>0</v>
      </c>
      <c r="N394" s="107">
        <f t="shared" ca="1" si="27"/>
        <v>0</v>
      </c>
      <c r="O394" s="108" t="str">
        <f t="shared" ca="1" si="29"/>
        <v/>
      </c>
    </row>
    <row r="395" spans="1:18" ht="13.5" customHeight="1" x14ac:dyDescent="0.3">
      <c r="C395" s="9" t="str" cm="1">
        <f t="array" ref="C395">IF(B395="","",_xlfn._xlws.FILTER('Source List'!I$2:I$268,'Source List'!G$2:G$268='Row Counts'!B395," "))</f>
        <v/>
      </c>
      <c r="D395" s="104" t="str" cm="1">
        <f t="array" ref="D395">IF(B395="","",_xlfn._xlws.FILTER('Source List'!J$2:J$268,'Source List'!G$2:G$268='Row Counts'!B395," "))</f>
        <v/>
      </c>
      <c r="E395" s="105" t="str">
        <f ca="1">IFERROR(Table1[[#This Row],[TOTAL VINES]]-Table1[[#This Row],[VINES LEFT]],"")</f>
        <v/>
      </c>
      <c r="F395" s="105">
        <f ca="1">Table1[[#This Row],[TOTAL VINES]]-Table1[[#This Row],[VINES PICKED]]</f>
        <v>0</v>
      </c>
      <c r="G395" s="106">
        <f t="shared" si="26"/>
        <v>0</v>
      </c>
      <c r="H395" s="106">
        <f t="shared" ca="1" si="28"/>
        <v>0</v>
      </c>
      <c r="I395" s="106">
        <f ca="1">Table1[[#This Row],[TOTAL ACRES]]-Table1[[#This Row],[ACRES PICKED]]</f>
        <v>0</v>
      </c>
      <c r="J395" s="106">
        <f ca="1">Table1[[#This Row],[ACRES PICKED]]</f>
        <v>0</v>
      </c>
      <c r="M395" s="118">
        <f>Table1[[#This Row],[LOADS]]*24</f>
        <v>0</v>
      </c>
      <c r="N395" s="107">
        <f t="shared" ca="1" si="27"/>
        <v>0</v>
      </c>
      <c r="O395" s="108" t="str">
        <f t="shared" ca="1" si="29"/>
        <v/>
      </c>
    </row>
    <row r="396" spans="1:18" ht="13.5" customHeight="1" x14ac:dyDescent="0.3">
      <c r="C396" s="9" t="str" cm="1">
        <f t="array" ref="C396">IF(B396="","",_xlfn._xlws.FILTER('Source List'!I$2:I$268,'Source List'!G$2:G$268='Row Counts'!B396," "))</f>
        <v/>
      </c>
      <c r="D396" s="104" t="str" cm="1">
        <f t="array" ref="D396">IF(B396="","",_xlfn._xlws.FILTER('Source List'!J$2:J$268,'Source List'!G$2:G$268='Row Counts'!B396," "))</f>
        <v/>
      </c>
      <c r="E396" s="105" t="str">
        <f ca="1">IFERROR(Table1[[#This Row],[TOTAL VINES]]-Table1[[#This Row],[VINES LEFT]],"")</f>
        <v/>
      </c>
      <c r="F396" s="105">
        <f ca="1">Table1[[#This Row],[TOTAL VINES]]-Table1[[#This Row],[VINES PICKED]]</f>
        <v>0</v>
      </c>
      <c r="G396" s="106">
        <f t="shared" si="26"/>
        <v>0</v>
      </c>
      <c r="H396" s="106">
        <f t="shared" ca="1" si="28"/>
        <v>0</v>
      </c>
      <c r="I396" s="106">
        <f ca="1">Table1[[#This Row],[TOTAL ACRES]]-Table1[[#This Row],[ACRES PICKED]]</f>
        <v>0</v>
      </c>
      <c r="J396" s="106">
        <f ca="1">Table1[[#This Row],[ACRES PICKED]]</f>
        <v>0</v>
      </c>
      <c r="M396" s="118">
        <f>Table1[[#This Row],[LOADS]]*24</f>
        <v>0</v>
      </c>
      <c r="N396" s="107">
        <f t="shared" ca="1" si="27"/>
        <v>0</v>
      </c>
      <c r="O396" s="108" t="str">
        <f t="shared" ca="1" si="29"/>
        <v/>
      </c>
    </row>
    <row r="397" spans="1:18" ht="13.5" customHeight="1" x14ac:dyDescent="0.3">
      <c r="C397" s="9" t="str" cm="1">
        <f t="array" ref="C397">IF(B397="","",_xlfn._xlws.FILTER('Source List'!I$2:I$268,'Source List'!G$2:G$268='Row Counts'!B397," "))</f>
        <v/>
      </c>
      <c r="D397" s="104" t="str" cm="1">
        <f t="array" ref="D397">IF(B397="","",_xlfn._xlws.FILTER('Source List'!J$2:J$268,'Source List'!G$2:G$268='Row Counts'!B397," "))</f>
        <v/>
      </c>
      <c r="E397" s="105" t="str">
        <f ca="1">IFERROR(Table1[[#This Row],[TOTAL VINES]]-Table1[[#This Row],[VINES LEFT]],"")</f>
        <v/>
      </c>
      <c r="F397" s="105">
        <f ca="1">Table1[[#This Row],[TOTAL VINES]]-Table1[[#This Row],[VINES PICKED]]</f>
        <v>0</v>
      </c>
      <c r="G397" s="106">
        <f t="shared" si="26"/>
        <v>0</v>
      </c>
      <c r="H397" s="106">
        <f t="shared" ca="1" si="28"/>
        <v>0</v>
      </c>
      <c r="I397" s="106">
        <f ca="1">Table1[[#This Row],[TOTAL ACRES]]-Table1[[#This Row],[ACRES PICKED]]</f>
        <v>0</v>
      </c>
      <c r="J397" s="106">
        <f ca="1">Table1[[#This Row],[ACRES PICKED]]</f>
        <v>0</v>
      </c>
      <c r="M397" s="118">
        <f>Table1[[#This Row],[LOADS]]*24</f>
        <v>0</v>
      </c>
      <c r="N397" s="107">
        <f t="shared" ca="1" si="27"/>
        <v>0</v>
      </c>
      <c r="O397" s="108" t="str">
        <f t="shared" ca="1" si="29"/>
        <v/>
      </c>
    </row>
    <row r="398" spans="1:18" ht="13.5" customHeight="1" x14ac:dyDescent="0.3">
      <c r="C398" s="9" t="str" cm="1">
        <f t="array" ref="C398">IF(B398="","",_xlfn._xlws.FILTER('Source List'!I$2:I$268,'Source List'!G$2:G$268='Row Counts'!B398," "))</f>
        <v/>
      </c>
      <c r="D398" s="104" t="str" cm="1">
        <f t="array" ref="D398">IF(B398="","",_xlfn._xlws.FILTER('Source List'!J$2:J$268,'Source List'!G$2:G$268='Row Counts'!B398," "))</f>
        <v/>
      </c>
      <c r="E398" s="105" t="str">
        <f ca="1">IFERROR(Table1[[#This Row],[TOTAL VINES]]-Table1[[#This Row],[VINES LEFT]],"")</f>
        <v/>
      </c>
      <c r="F398" s="105">
        <f ca="1">Table1[[#This Row],[TOTAL VINES]]-Table1[[#This Row],[VINES PICKED]]</f>
        <v>0</v>
      </c>
      <c r="G398" s="106">
        <f t="shared" si="26"/>
        <v>0</v>
      </c>
      <c r="H398" s="106">
        <f t="shared" ca="1" si="28"/>
        <v>0</v>
      </c>
      <c r="I398" s="106">
        <f ca="1">Table1[[#This Row],[TOTAL ACRES]]-Table1[[#This Row],[ACRES PICKED]]</f>
        <v>0</v>
      </c>
      <c r="J398" s="106">
        <f ca="1">Table1[[#This Row],[ACRES PICKED]]</f>
        <v>0</v>
      </c>
      <c r="M398" s="118">
        <f>Table1[[#This Row],[LOADS]]*24</f>
        <v>0</v>
      </c>
      <c r="N398" s="107">
        <f t="shared" ca="1" si="27"/>
        <v>0</v>
      </c>
      <c r="O398" s="108" t="str">
        <f t="shared" ca="1" si="29"/>
        <v/>
      </c>
    </row>
    <row r="399" spans="1:18" s="123" customFormat="1" ht="13.5" customHeight="1" thickBot="1" x14ac:dyDescent="0.35">
      <c r="A399" s="103"/>
      <c r="B399" s="12"/>
      <c r="C399" s="9" t="str" cm="1">
        <f t="array" ref="C399">IF(B399="","",_xlfn._xlws.FILTER('Source List'!I$2:I$268,'Source List'!G$2:G$268='Row Counts'!B399," "))</f>
        <v/>
      </c>
      <c r="D399" s="104" t="str" cm="1">
        <f t="array" ref="D399">IF(B399="","",_xlfn._xlws.FILTER('Source List'!J$2:J$268,'Source List'!G$2:G$268='Row Counts'!B399," "))</f>
        <v/>
      </c>
      <c r="E399" s="105" t="str">
        <f ca="1">IFERROR(Table1[[#This Row],[TOTAL VINES]]-Table1[[#This Row],[VINES LEFT]],"")</f>
        <v/>
      </c>
      <c r="F399" s="105">
        <f ca="1">Table1[[#This Row],[TOTAL VINES]]-Table1[[#This Row],[VINES PICKED]]</f>
        <v>0</v>
      </c>
      <c r="G399" s="106">
        <f t="shared" si="26"/>
        <v>0</v>
      </c>
      <c r="H399" s="106">
        <f t="shared" ca="1" si="28"/>
        <v>0</v>
      </c>
      <c r="I399" s="106">
        <f ca="1">Table1[[#This Row],[TOTAL ACRES]]-Table1[[#This Row],[ACRES PICKED]]</f>
        <v>0</v>
      </c>
      <c r="J399" s="106">
        <f ca="1">Table1[[#This Row],[ACRES PICKED]]</f>
        <v>0</v>
      </c>
      <c r="K399" s="106"/>
      <c r="L399" s="106"/>
      <c r="M399" s="118">
        <f>Table1[[#This Row],[LOADS]]*24</f>
        <v>0</v>
      </c>
      <c r="N399" s="107">
        <f t="shared" ca="1" si="27"/>
        <v>0</v>
      </c>
      <c r="O399" s="108" t="str">
        <f t="shared" ca="1" si="29"/>
        <v/>
      </c>
      <c r="P399" s="109"/>
      <c r="Q399" s="12"/>
      <c r="R399" s="12"/>
    </row>
    <row r="400" spans="1:18" s="121" customFormat="1" ht="13.5" customHeight="1" x14ac:dyDescent="0.3">
      <c r="A400" s="103"/>
      <c r="B400" s="12"/>
      <c r="C400" s="9" t="str" cm="1">
        <f t="array" ref="C400">IF(B400="","",_xlfn._xlws.FILTER('Source List'!I$2:I$268,'Source List'!G$2:G$268='Row Counts'!B400," "))</f>
        <v/>
      </c>
      <c r="D400" s="104" t="str" cm="1">
        <f t="array" ref="D400">IF(B400="","",_xlfn._xlws.FILTER('Source List'!J$2:J$268,'Source List'!G$2:G$268='Row Counts'!B400," "))</f>
        <v/>
      </c>
      <c r="E400" s="105" t="str">
        <f ca="1">IFERROR(Table1[[#This Row],[TOTAL VINES]]-Table1[[#This Row],[VINES LEFT]],"")</f>
        <v/>
      </c>
      <c r="F400" s="105">
        <f ca="1">Table1[[#This Row],[TOTAL VINES]]-Table1[[#This Row],[VINES PICKED]]</f>
        <v>0</v>
      </c>
      <c r="G400" s="106">
        <f t="shared" si="26"/>
        <v>0</v>
      </c>
      <c r="H400" s="106">
        <f t="shared" ca="1" si="28"/>
        <v>0</v>
      </c>
      <c r="I400" s="106">
        <f ca="1">Table1[[#This Row],[TOTAL ACRES]]-Table1[[#This Row],[ACRES PICKED]]</f>
        <v>0</v>
      </c>
      <c r="J400" s="106">
        <f ca="1">Table1[[#This Row],[ACRES PICKED]]</f>
        <v>0</v>
      </c>
      <c r="K400" s="106"/>
      <c r="L400" s="106"/>
      <c r="M400" s="118">
        <f>Table1[[#This Row],[LOADS]]*24</f>
        <v>0</v>
      </c>
      <c r="N400" s="107">
        <f t="shared" ca="1" si="27"/>
        <v>0</v>
      </c>
      <c r="O400" s="108" t="str">
        <f t="shared" ca="1" si="29"/>
        <v/>
      </c>
      <c r="P400" s="109"/>
      <c r="Q400" s="12"/>
      <c r="R400" s="12"/>
    </row>
    <row r="401" spans="1:18" ht="13.5" customHeight="1" x14ac:dyDescent="0.3">
      <c r="C401" s="9" t="str" cm="1">
        <f t="array" ref="C401">IF(B401="","",_xlfn._xlws.FILTER('Source List'!I$2:I$268,'Source List'!G$2:G$268='Row Counts'!B401," "))</f>
        <v/>
      </c>
      <c r="D401" s="104" t="str" cm="1">
        <f t="array" ref="D401">IF(B401="","",_xlfn._xlws.FILTER('Source List'!J$2:J$268,'Source List'!G$2:G$268='Row Counts'!B401," "))</f>
        <v/>
      </c>
      <c r="E401" s="105" t="str">
        <f ca="1">IFERROR(Table1[[#This Row],[TOTAL VINES]]-Table1[[#This Row],[VINES LEFT]],"")</f>
        <v/>
      </c>
      <c r="F401" s="105">
        <f ca="1">Table1[[#This Row],[TOTAL VINES]]-Table1[[#This Row],[VINES PICKED]]</f>
        <v>0</v>
      </c>
      <c r="G401" s="106">
        <f t="shared" ref="G401:G455" si="30">IFERROR(D401/C401,0)</f>
        <v>0</v>
      </c>
      <c r="H401" s="106">
        <f t="shared" ca="1" si="28"/>
        <v>0</v>
      </c>
      <c r="I401" s="106">
        <f ca="1">Table1[[#This Row],[TOTAL ACRES]]-Table1[[#This Row],[ACRES PICKED]]</f>
        <v>0</v>
      </c>
      <c r="J401" s="106">
        <f ca="1">Table1[[#This Row],[ACRES PICKED]]</f>
        <v>0</v>
      </c>
      <c r="M401" s="118">
        <f>Table1[[#This Row],[LOADS]]*24</f>
        <v>0</v>
      </c>
      <c r="N401" s="107">
        <f t="shared" ca="1" si="27"/>
        <v>0</v>
      </c>
      <c r="O401" s="108" t="str">
        <f t="shared" ca="1" si="29"/>
        <v/>
      </c>
    </row>
    <row r="402" spans="1:18" ht="13.5" customHeight="1" x14ac:dyDescent="0.3">
      <c r="C402" s="9" t="str" cm="1">
        <f t="array" ref="C402">IF(B402="","",_xlfn._xlws.FILTER('Source List'!I$2:I$268,'Source List'!G$2:G$268='Row Counts'!B402," "))</f>
        <v/>
      </c>
      <c r="D402" s="104" t="str" cm="1">
        <f t="array" ref="D402">IF(B402="","",_xlfn._xlws.FILTER('Source List'!J$2:J$268,'Source List'!G$2:G$268='Row Counts'!B402," "))</f>
        <v/>
      </c>
      <c r="E402" s="105" t="str">
        <f ca="1">IFERROR(Table1[[#This Row],[TOTAL VINES]]-Table1[[#This Row],[VINES LEFT]],"")</f>
        <v/>
      </c>
      <c r="F402" s="105">
        <f ca="1">Table1[[#This Row],[TOTAL VINES]]-Table1[[#This Row],[VINES PICKED]]</f>
        <v>0</v>
      </c>
      <c r="G402" s="106">
        <f t="shared" si="30"/>
        <v>0</v>
      </c>
      <c r="H402" s="106">
        <f t="shared" ca="1" si="28"/>
        <v>0</v>
      </c>
      <c r="I402" s="106">
        <f ca="1">Table1[[#This Row],[TOTAL ACRES]]-Table1[[#This Row],[ACRES PICKED]]</f>
        <v>0</v>
      </c>
      <c r="J402" s="106">
        <f ca="1">Table1[[#This Row],[ACRES PICKED]]</f>
        <v>0</v>
      </c>
      <c r="M402" s="118">
        <f>Table1[[#This Row],[LOADS]]*24</f>
        <v>0</v>
      </c>
      <c r="N402" s="107">
        <f t="shared" ca="1" si="27"/>
        <v>0</v>
      </c>
      <c r="O402" s="108" t="str">
        <f t="shared" ca="1" si="29"/>
        <v/>
      </c>
    </row>
    <row r="403" spans="1:18" ht="13.5" customHeight="1" x14ac:dyDescent="0.3">
      <c r="C403" s="9" t="str" cm="1">
        <f t="array" ref="C403">IF(B403="","",_xlfn._xlws.FILTER('Source List'!I$2:I$268,'Source List'!G$2:G$268='Row Counts'!B403," "))</f>
        <v/>
      </c>
      <c r="D403" s="104" t="str" cm="1">
        <f t="array" ref="D403">IF(B403="","",_xlfn._xlws.FILTER('Source List'!J$2:J$268,'Source List'!G$2:G$268='Row Counts'!B403," "))</f>
        <v/>
      </c>
      <c r="E403" s="105" t="str">
        <f ca="1">IFERROR(Table1[[#This Row],[TOTAL VINES]]-Table1[[#This Row],[VINES LEFT]],"")</f>
        <v/>
      </c>
      <c r="F403" s="105">
        <f ca="1">Table1[[#This Row],[TOTAL VINES]]-Table1[[#This Row],[VINES PICKED]]</f>
        <v>0</v>
      </c>
      <c r="G403" s="106">
        <f t="shared" si="30"/>
        <v>0</v>
      </c>
      <c r="H403" s="106">
        <f t="shared" ca="1" si="28"/>
        <v>0</v>
      </c>
      <c r="I403" s="106">
        <f ca="1">Table1[[#This Row],[TOTAL ACRES]]-Table1[[#This Row],[ACRES PICKED]]</f>
        <v>0</v>
      </c>
      <c r="J403" s="106">
        <f ca="1">Table1[[#This Row],[ACRES PICKED]]</f>
        <v>0</v>
      </c>
      <c r="M403" s="118">
        <f>Table1[[#This Row],[LOADS]]*24</f>
        <v>0</v>
      </c>
      <c r="N403" s="107">
        <f t="shared" ca="1" si="27"/>
        <v>0</v>
      </c>
      <c r="O403" s="108" t="str">
        <f t="shared" ca="1" si="29"/>
        <v/>
      </c>
    </row>
    <row r="404" spans="1:18" ht="13.5" customHeight="1" x14ac:dyDescent="0.3">
      <c r="C404" s="9" t="str" cm="1">
        <f t="array" ref="C404">IF(B404="","",_xlfn._xlws.FILTER('Source List'!I$2:I$268,'Source List'!G$2:G$268='Row Counts'!B404," "))</f>
        <v/>
      </c>
      <c r="D404" s="104" t="str" cm="1">
        <f t="array" ref="D404">IF(B404="","",_xlfn._xlws.FILTER('Source List'!J$2:J$268,'Source List'!G$2:G$268='Row Counts'!B404," "))</f>
        <v/>
      </c>
      <c r="E404" s="105" t="str">
        <f ca="1">IFERROR(Table1[[#This Row],[TOTAL VINES]]-Table1[[#This Row],[VINES LEFT]],"")</f>
        <v/>
      </c>
      <c r="F404" s="105">
        <f ca="1">Table1[[#This Row],[TOTAL VINES]]-Table1[[#This Row],[VINES PICKED]]</f>
        <v>0</v>
      </c>
      <c r="G404" s="106">
        <f t="shared" si="30"/>
        <v>0</v>
      </c>
      <c r="H404" s="106">
        <f t="shared" ca="1" si="28"/>
        <v>0</v>
      </c>
      <c r="I404" s="106">
        <f ca="1">Table1[[#This Row],[TOTAL ACRES]]-Table1[[#This Row],[ACRES PICKED]]</f>
        <v>0</v>
      </c>
      <c r="J404" s="106">
        <f ca="1">Table1[[#This Row],[ACRES PICKED]]</f>
        <v>0</v>
      </c>
      <c r="M404" s="118">
        <f>Table1[[#This Row],[LOADS]]*24</f>
        <v>0</v>
      </c>
      <c r="N404" s="107">
        <f t="shared" ca="1" si="27"/>
        <v>0</v>
      </c>
      <c r="O404" s="108" t="str">
        <f t="shared" ca="1" si="29"/>
        <v/>
      </c>
    </row>
    <row r="405" spans="1:18" ht="13.5" customHeight="1" x14ac:dyDescent="0.3">
      <c r="C405" s="9" t="str" cm="1">
        <f t="array" ref="C405">IF(B405="","",_xlfn._xlws.FILTER('Source List'!I$2:I$268,'Source List'!G$2:G$268='Row Counts'!B405," "))</f>
        <v/>
      </c>
      <c r="D405" s="104" t="str" cm="1">
        <f t="array" ref="D405">IF(B405="","",_xlfn._xlws.FILTER('Source List'!J$2:J$268,'Source List'!G$2:G$268='Row Counts'!B405," "))</f>
        <v/>
      </c>
      <c r="E405" s="105" t="str">
        <f ca="1">IFERROR(Table1[[#This Row],[TOTAL VINES]]-Table1[[#This Row],[VINES LEFT]],"")</f>
        <v/>
      </c>
      <c r="F405" s="105">
        <f ca="1">Table1[[#This Row],[TOTAL VINES]]-Table1[[#This Row],[VINES PICKED]]</f>
        <v>0</v>
      </c>
      <c r="G405" s="106">
        <f t="shared" si="30"/>
        <v>0</v>
      </c>
      <c r="H405" s="106">
        <f t="shared" ca="1" si="28"/>
        <v>0</v>
      </c>
      <c r="I405" s="106">
        <f ca="1">Table1[[#This Row],[TOTAL ACRES]]-Table1[[#This Row],[ACRES PICKED]]</f>
        <v>0</v>
      </c>
      <c r="J405" s="106">
        <f ca="1">Table1[[#This Row],[ACRES PICKED]]</f>
        <v>0</v>
      </c>
      <c r="M405" s="118">
        <f>Table1[[#This Row],[LOADS]]*24</f>
        <v>0</v>
      </c>
      <c r="N405" s="107">
        <f t="shared" ca="1" si="27"/>
        <v>0</v>
      </c>
      <c r="O405" s="108" t="str">
        <f t="shared" ca="1" si="29"/>
        <v/>
      </c>
    </row>
    <row r="406" spans="1:18" ht="13.5" customHeight="1" x14ac:dyDescent="0.3">
      <c r="C406" s="9" t="str" cm="1">
        <f t="array" ref="C406">IF(B406="","",_xlfn._xlws.FILTER('Source List'!I$2:I$268,'Source List'!G$2:G$268='Row Counts'!B406," "))</f>
        <v/>
      </c>
      <c r="E406" s="105">
        <f ca="1">IFERROR(Table1[[#This Row],[TOTAL VINES]]-Table1[[#This Row],[VINES LEFT]],"")</f>
        <v>0</v>
      </c>
      <c r="F406" s="105">
        <f ca="1">Table1[[#This Row],[TOTAL VINES]]-Table1[[#This Row],[VINES PICKED]]</f>
        <v>0</v>
      </c>
      <c r="G406" s="106">
        <f t="shared" si="30"/>
        <v>0</v>
      </c>
      <c r="H406" s="106">
        <f t="shared" ca="1" si="28"/>
        <v>0</v>
      </c>
      <c r="I406" s="106">
        <f ca="1">Table1[[#This Row],[TOTAL ACRES]]-Table1[[#This Row],[ACRES PICKED]]</f>
        <v>0</v>
      </c>
      <c r="J406" s="106">
        <f ca="1">Table1[[#This Row],[ACRES PICKED]]</f>
        <v>0</v>
      </c>
      <c r="M406" s="118">
        <f>Table1[[#This Row],[LOADS]]*24</f>
        <v>0</v>
      </c>
      <c r="N406" s="107">
        <f t="shared" ca="1" si="27"/>
        <v>0</v>
      </c>
      <c r="O406" s="108" t="str">
        <f t="shared" ca="1" si="29"/>
        <v/>
      </c>
    </row>
    <row r="407" spans="1:18" ht="13.5" customHeight="1" x14ac:dyDescent="0.3">
      <c r="C407" s="9" t="str" cm="1">
        <f t="array" ref="C407">IF(B407="","",_xlfn._xlws.FILTER('Source List'!I$2:I$268,'Source List'!G$2:G$268='Row Counts'!B407," "))</f>
        <v/>
      </c>
      <c r="E407" s="105">
        <f ca="1">IFERROR(Table1[[#This Row],[TOTAL VINES]]-Table1[[#This Row],[VINES LEFT]],"")</f>
        <v>0</v>
      </c>
      <c r="F407" s="105">
        <f ca="1">Table1[[#This Row],[TOTAL VINES]]-Table1[[#This Row],[VINES PICKED]]</f>
        <v>0</v>
      </c>
      <c r="G407" s="106">
        <f t="shared" si="30"/>
        <v>0</v>
      </c>
      <c r="H407" s="106">
        <f t="shared" ca="1" si="28"/>
        <v>0</v>
      </c>
      <c r="I407" s="106">
        <f ca="1">Table1[[#This Row],[TOTAL ACRES]]-Table1[[#This Row],[ACRES PICKED]]</f>
        <v>0</v>
      </c>
      <c r="J407" s="106">
        <f ca="1">Table1[[#This Row],[ACRES PICKED]]</f>
        <v>0</v>
      </c>
      <c r="M407" s="118">
        <f>Table1[[#This Row],[LOADS]]*24</f>
        <v>0</v>
      </c>
      <c r="N407" s="107">
        <f t="shared" ca="1" si="27"/>
        <v>0</v>
      </c>
      <c r="O407" s="108" t="str">
        <f t="shared" ca="1" si="29"/>
        <v/>
      </c>
    </row>
    <row r="408" spans="1:18" ht="13.5" customHeight="1" x14ac:dyDescent="0.3">
      <c r="C408" s="9" t="str" cm="1">
        <f t="array" ref="C408">IF(B408="","",_xlfn._xlws.FILTER('Source List'!I$2:I$268,'Source List'!G$2:G$268='Row Counts'!B408," "))</f>
        <v/>
      </c>
      <c r="E408" s="105">
        <f ca="1">IFERROR(Table1[[#This Row],[TOTAL VINES]]-Table1[[#This Row],[VINES LEFT]],"")</f>
        <v>0</v>
      </c>
      <c r="F408" s="105">
        <f ca="1">Table1[[#This Row],[TOTAL VINES]]-Table1[[#This Row],[VINES PICKED]]</f>
        <v>0</v>
      </c>
      <c r="G408" s="106">
        <f t="shared" si="30"/>
        <v>0</v>
      </c>
      <c r="H408" s="106">
        <f t="shared" ca="1" si="28"/>
        <v>0</v>
      </c>
      <c r="I408" s="106">
        <f ca="1">Table1[[#This Row],[TOTAL ACRES]]-Table1[[#This Row],[ACRES PICKED]]</f>
        <v>0</v>
      </c>
      <c r="J408" s="106">
        <f ca="1">Table1[[#This Row],[ACRES PICKED]]</f>
        <v>0</v>
      </c>
      <c r="M408" s="118">
        <f>Table1[[#This Row],[LOADS]]*24</f>
        <v>0</v>
      </c>
      <c r="N408" s="107">
        <f t="shared" ca="1" si="27"/>
        <v>0</v>
      </c>
      <c r="O408" s="108" t="str">
        <f t="shared" ca="1" si="29"/>
        <v/>
      </c>
    </row>
    <row r="409" spans="1:18" ht="13.5" customHeight="1" x14ac:dyDescent="0.3">
      <c r="C409" s="9" t="str" cm="1">
        <f t="array" ref="C409">IF(B409="","",_xlfn._xlws.FILTER('Source List'!I$2:I$268,'Source List'!G$2:G$268='Row Counts'!B409," "))</f>
        <v/>
      </c>
      <c r="E409" s="105">
        <f ca="1">IFERROR(Table1[[#This Row],[TOTAL VINES]]-Table1[[#This Row],[VINES LEFT]],"")</f>
        <v>0</v>
      </c>
      <c r="F409" s="105">
        <f ca="1">Table1[[#This Row],[TOTAL VINES]]-Table1[[#This Row],[VINES PICKED]]</f>
        <v>0</v>
      </c>
      <c r="G409" s="106">
        <f t="shared" si="30"/>
        <v>0</v>
      </c>
      <c r="H409" s="106">
        <f t="shared" ca="1" si="28"/>
        <v>0</v>
      </c>
      <c r="I409" s="106">
        <f ca="1">Table1[[#This Row],[TOTAL ACRES]]-Table1[[#This Row],[ACRES PICKED]]</f>
        <v>0</v>
      </c>
      <c r="J409" s="106">
        <f ca="1">Table1[[#This Row],[ACRES PICKED]]</f>
        <v>0</v>
      </c>
      <c r="M409" s="118">
        <f>Table1[[#This Row],[LOADS]]*24</f>
        <v>0</v>
      </c>
      <c r="N409" s="107">
        <f t="shared" ca="1" si="27"/>
        <v>0</v>
      </c>
      <c r="O409" s="108" t="str">
        <f t="shared" ca="1" si="29"/>
        <v/>
      </c>
    </row>
    <row r="410" spans="1:18" ht="13.5" customHeight="1" x14ac:dyDescent="0.3">
      <c r="C410" s="9" t="str" cm="1">
        <f t="array" ref="C410">IF(B410="","",_xlfn._xlws.FILTER('Source List'!I$2:I$268,'Source List'!G$2:G$268='Row Counts'!B410," "))</f>
        <v/>
      </c>
      <c r="E410" s="105">
        <f ca="1">IFERROR(Table1[[#This Row],[TOTAL VINES]]-Table1[[#This Row],[VINES LEFT]],"")</f>
        <v>0</v>
      </c>
      <c r="F410" s="105">
        <f ca="1">Table1[[#This Row],[TOTAL VINES]]-Table1[[#This Row],[VINES PICKED]]</f>
        <v>0</v>
      </c>
      <c r="G410" s="106">
        <f t="shared" si="30"/>
        <v>0</v>
      </c>
      <c r="H410" s="106">
        <f t="shared" ca="1" si="28"/>
        <v>0</v>
      </c>
      <c r="I410" s="106">
        <f ca="1">Table1[[#This Row],[TOTAL ACRES]]-Table1[[#This Row],[ACRES PICKED]]</f>
        <v>0</v>
      </c>
      <c r="J410" s="106">
        <f ca="1">Table1[[#This Row],[ACRES PICKED]]</f>
        <v>0</v>
      </c>
      <c r="M410" s="118">
        <f>Table1[[#This Row],[LOADS]]*24</f>
        <v>0</v>
      </c>
      <c r="N410" s="107">
        <f t="shared" ca="1" si="27"/>
        <v>0</v>
      </c>
      <c r="O410" s="108" t="str">
        <f t="shared" ca="1" si="29"/>
        <v/>
      </c>
    </row>
    <row r="411" spans="1:18" ht="13.5" customHeight="1" x14ac:dyDescent="0.3">
      <c r="C411" s="9" t="str" cm="1">
        <f t="array" ref="C411">IF(B411="","",_xlfn._xlws.FILTER('Source List'!I$2:I$268,'Source List'!G$2:G$268='Row Counts'!B411," "))</f>
        <v/>
      </c>
      <c r="E411" s="105">
        <f ca="1">IFERROR(Table1[[#This Row],[TOTAL VINES]]-Table1[[#This Row],[VINES LEFT]],"")</f>
        <v>0</v>
      </c>
      <c r="F411" s="105">
        <f ca="1">Table1[[#This Row],[TOTAL VINES]]-Table1[[#This Row],[VINES PICKED]]</f>
        <v>0</v>
      </c>
      <c r="G411" s="106">
        <f t="shared" si="30"/>
        <v>0</v>
      </c>
      <c r="H411" s="106">
        <f t="shared" ca="1" si="28"/>
        <v>0</v>
      </c>
      <c r="I411" s="106">
        <f ca="1">Table1[[#This Row],[TOTAL ACRES]]-Table1[[#This Row],[ACRES PICKED]]</f>
        <v>0</v>
      </c>
      <c r="J411" s="106">
        <f ca="1">Table1[[#This Row],[ACRES PICKED]]</f>
        <v>0</v>
      </c>
      <c r="M411" s="118">
        <f>Table1[[#This Row],[LOADS]]*24</f>
        <v>0</v>
      </c>
      <c r="N411" s="107">
        <f t="shared" ca="1" si="27"/>
        <v>0</v>
      </c>
      <c r="O411" s="108" t="str">
        <f t="shared" ca="1" si="29"/>
        <v/>
      </c>
    </row>
    <row r="412" spans="1:18" ht="13.5" customHeight="1" x14ac:dyDescent="0.3">
      <c r="C412" s="9" t="str" cm="1">
        <f t="array" ref="C412">IF(B412="","",_xlfn._xlws.FILTER('Source List'!I$2:I$268,'Source List'!G$2:G$268='Row Counts'!B412," "))</f>
        <v/>
      </c>
      <c r="E412" s="105">
        <f ca="1">IFERROR(Table1[[#This Row],[TOTAL VINES]]-Table1[[#This Row],[VINES LEFT]],"")</f>
        <v>0</v>
      </c>
      <c r="F412" s="105">
        <f ca="1">Table1[[#This Row],[TOTAL VINES]]-Table1[[#This Row],[VINES PICKED]]</f>
        <v>0</v>
      </c>
      <c r="G412" s="106">
        <f t="shared" si="30"/>
        <v>0</v>
      </c>
      <c r="H412" s="106">
        <f t="shared" ca="1" si="28"/>
        <v>0</v>
      </c>
      <c r="I412" s="106">
        <f ca="1">Table1[[#This Row],[TOTAL ACRES]]-Table1[[#This Row],[ACRES PICKED]]</f>
        <v>0</v>
      </c>
      <c r="J412" s="106">
        <f ca="1">Table1[[#This Row],[ACRES PICKED]]</f>
        <v>0</v>
      </c>
      <c r="M412" s="118">
        <f>Table1[[#This Row],[LOADS]]*24</f>
        <v>0</v>
      </c>
      <c r="N412" s="107">
        <f t="shared" ca="1" si="27"/>
        <v>0</v>
      </c>
      <c r="O412" s="108" t="str">
        <f t="shared" ca="1" si="29"/>
        <v/>
      </c>
    </row>
    <row r="413" spans="1:18" ht="13.5" customHeight="1" x14ac:dyDescent="0.3">
      <c r="C413" s="9" t="str" cm="1">
        <f t="array" ref="C413">IF(B413="","",_xlfn._xlws.FILTER('Source List'!I$2:I$268,'Source List'!G$2:G$268='Row Counts'!B413," "))</f>
        <v/>
      </c>
      <c r="E413" s="105">
        <f ca="1">IFERROR(Table1[[#This Row],[TOTAL VINES]]-Table1[[#This Row],[VINES LEFT]],"")</f>
        <v>0</v>
      </c>
      <c r="F413" s="105">
        <f ca="1">Table1[[#This Row],[TOTAL VINES]]-Table1[[#This Row],[VINES PICKED]]</f>
        <v>0</v>
      </c>
      <c r="G413" s="106">
        <f t="shared" si="30"/>
        <v>0</v>
      </c>
      <c r="H413" s="106">
        <f t="shared" ca="1" si="28"/>
        <v>0</v>
      </c>
      <c r="I413" s="106">
        <f ca="1">Table1[[#This Row],[TOTAL ACRES]]-Table1[[#This Row],[ACRES PICKED]]</f>
        <v>0</v>
      </c>
      <c r="J413" s="106">
        <f ca="1">Table1[[#This Row],[ACRES PICKED]]</f>
        <v>0</v>
      </c>
      <c r="M413" s="118">
        <f>Table1[[#This Row],[LOADS]]*24</f>
        <v>0</v>
      </c>
      <c r="N413" s="107">
        <f t="shared" ca="1" si="27"/>
        <v>0</v>
      </c>
      <c r="O413" s="108" t="str">
        <f t="shared" ca="1" si="29"/>
        <v/>
      </c>
    </row>
    <row r="414" spans="1:18" ht="13.5" customHeight="1" x14ac:dyDescent="0.3">
      <c r="C414" s="9" t="str" cm="1">
        <f t="array" ref="C414">IF(B414="","",_xlfn._xlws.FILTER('Source List'!I$2:I$268,'Source List'!G$2:G$268='Row Counts'!B414," "))</f>
        <v/>
      </c>
      <c r="E414" s="105">
        <f ca="1">IFERROR(Table1[[#This Row],[TOTAL VINES]]-Table1[[#This Row],[VINES LEFT]],"")</f>
        <v>0</v>
      </c>
      <c r="F414" s="105">
        <f ca="1">Table1[[#This Row],[TOTAL VINES]]-Table1[[#This Row],[VINES PICKED]]</f>
        <v>0</v>
      </c>
      <c r="G414" s="106">
        <f t="shared" si="30"/>
        <v>0</v>
      </c>
      <c r="H414" s="106">
        <f t="shared" ca="1" si="28"/>
        <v>0</v>
      </c>
      <c r="I414" s="106">
        <f ca="1">Table1[[#This Row],[TOTAL ACRES]]-Table1[[#This Row],[ACRES PICKED]]</f>
        <v>0</v>
      </c>
      <c r="J414" s="106">
        <f ca="1">Table1[[#This Row],[ACRES PICKED]]</f>
        <v>0</v>
      </c>
      <c r="M414" s="118">
        <f>Table1[[#This Row],[LOADS]]*24</f>
        <v>0</v>
      </c>
      <c r="N414" s="107">
        <f t="shared" ca="1" si="27"/>
        <v>0</v>
      </c>
      <c r="O414" s="108" t="str">
        <f t="shared" ca="1" si="29"/>
        <v/>
      </c>
    </row>
    <row r="415" spans="1:18" ht="13.5" customHeight="1" x14ac:dyDescent="0.3">
      <c r="C415" s="9" t="str" cm="1">
        <f t="array" ref="C415">IF(B415="","",_xlfn._xlws.FILTER('Source List'!I$2:I$268,'Source List'!G$2:G$268='Row Counts'!B415," "))</f>
        <v/>
      </c>
      <c r="E415" s="105">
        <f ca="1">IFERROR(Table1[[#This Row],[TOTAL VINES]]-Table1[[#This Row],[VINES LEFT]],"")</f>
        <v>0</v>
      </c>
      <c r="F415" s="105">
        <f ca="1">Table1[[#This Row],[TOTAL VINES]]-Table1[[#This Row],[VINES PICKED]]</f>
        <v>0</v>
      </c>
      <c r="G415" s="106">
        <f t="shared" si="30"/>
        <v>0</v>
      </c>
      <c r="H415" s="106">
        <f t="shared" ca="1" si="28"/>
        <v>0</v>
      </c>
      <c r="I415" s="106">
        <f ca="1">Table1[[#This Row],[TOTAL ACRES]]-Table1[[#This Row],[ACRES PICKED]]</f>
        <v>0</v>
      </c>
      <c r="J415" s="106">
        <f ca="1">Table1[[#This Row],[ACRES PICKED]]</f>
        <v>0</v>
      </c>
      <c r="M415" s="118">
        <f>Table1[[#This Row],[LOADS]]*24</f>
        <v>0</v>
      </c>
      <c r="N415" s="107">
        <f t="shared" ca="1" si="27"/>
        <v>0</v>
      </c>
      <c r="O415" s="108" t="str">
        <f t="shared" ca="1" si="29"/>
        <v/>
      </c>
    </row>
    <row r="416" spans="1:18" s="123" customFormat="1" ht="13.5" customHeight="1" thickBot="1" x14ac:dyDescent="0.35">
      <c r="A416" s="103"/>
      <c r="B416" s="12"/>
      <c r="C416" s="9" t="str" cm="1">
        <f t="array" ref="C416">IF(B416="","",_xlfn._xlws.FILTER('Source List'!I$2:I$268,'Source List'!G$2:G$268='Row Counts'!B416," "))</f>
        <v/>
      </c>
      <c r="D416" s="104"/>
      <c r="E416" s="105">
        <f ca="1">IFERROR(Table1[[#This Row],[TOTAL VINES]]-Table1[[#This Row],[VINES LEFT]],"")</f>
        <v>0</v>
      </c>
      <c r="F416" s="105">
        <f ca="1">Table1[[#This Row],[TOTAL VINES]]-Table1[[#This Row],[VINES PICKED]]</f>
        <v>0</v>
      </c>
      <c r="G416" s="106">
        <f t="shared" si="30"/>
        <v>0</v>
      </c>
      <c r="H416" s="106">
        <f t="shared" ca="1" si="28"/>
        <v>0</v>
      </c>
      <c r="I416" s="106">
        <f ca="1">Table1[[#This Row],[TOTAL ACRES]]-Table1[[#This Row],[ACRES PICKED]]</f>
        <v>0</v>
      </c>
      <c r="J416" s="106">
        <f ca="1">Table1[[#This Row],[ACRES PICKED]]</f>
        <v>0</v>
      </c>
      <c r="K416" s="106"/>
      <c r="L416" s="106"/>
      <c r="M416" s="118">
        <f>Table1[[#This Row],[LOADS]]*24</f>
        <v>0</v>
      </c>
      <c r="N416" s="107">
        <f t="shared" ca="1" si="27"/>
        <v>0</v>
      </c>
      <c r="O416" s="108" t="str">
        <f t="shared" ca="1" si="29"/>
        <v/>
      </c>
      <c r="P416" s="109"/>
      <c r="Q416" s="12"/>
      <c r="R416" s="12"/>
    </row>
    <row r="417" spans="1:18" s="121" customFormat="1" ht="13.5" customHeight="1" x14ac:dyDescent="0.3">
      <c r="A417" s="103"/>
      <c r="B417" s="12"/>
      <c r="C417" s="9" t="str" cm="1">
        <f t="array" ref="C417">IF(B417="","",_xlfn._xlws.FILTER('Source List'!I$2:I$268,'Source List'!G$2:G$268='Row Counts'!B417," "))</f>
        <v/>
      </c>
      <c r="D417" s="104"/>
      <c r="E417" s="105">
        <f ca="1">IFERROR(Table1[[#This Row],[TOTAL VINES]]-Table1[[#This Row],[VINES LEFT]],"")</f>
        <v>0</v>
      </c>
      <c r="F417" s="105">
        <f ca="1">Table1[[#This Row],[TOTAL VINES]]-Table1[[#This Row],[VINES PICKED]]</f>
        <v>0</v>
      </c>
      <c r="G417" s="106">
        <f t="shared" si="30"/>
        <v>0</v>
      </c>
      <c r="H417" s="106">
        <f t="shared" ca="1" si="28"/>
        <v>0</v>
      </c>
      <c r="I417" s="106">
        <f ca="1">Table1[[#This Row],[TOTAL ACRES]]-Table1[[#This Row],[ACRES PICKED]]</f>
        <v>0</v>
      </c>
      <c r="J417" s="106">
        <f ca="1">Table1[[#This Row],[ACRES PICKED]]</f>
        <v>0</v>
      </c>
      <c r="K417" s="106"/>
      <c r="L417" s="106"/>
      <c r="M417" s="118">
        <f>Table1[[#This Row],[LOADS]]*24</f>
        <v>0</v>
      </c>
      <c r="N417" s="107">
        <f t="shared" ca="1" si="27"/>
        <v>0</v>
      </c>
      <c r="O417" s="108" t="str">
        <f t="shared" ca="1" si="29"/>
        <v/>
      </c>
      <c r="P417" s="109"/>
      <c r="Q417" s="12"/>
      <c r="R417" s="12"/>
    </row>
    <row r="418" spans="1:18" ht="13.5" customHeight="1" x14ac:dyDescent="0.3">
      <c r="C418" s="9" t="str" cm="1">
        <f t="array" ref="C418">IF(B418="","",_xlfn._xlws.FILTER('Source List'!I$2:I$268,'Source List'!G$2:G$268='Row Counts'!B418," "))</f>
        <v/>
      </c>
      <c r="E418" s="105">
        <f ca="1">IFERROR(Table1[[#This Row],[TOTAL VINES]]-Table1[[#This Row],[VINES LEFT]],"")</f>
        <v>0</v>
      </c>
      <c r="F418" s="105">
        <f ca="1">Table1[[#This Row],[TOTAL VINES]]-Table1[[#This Row],[VINES PICKED]]</f>
        <v>0</v>
      </c>
      <c r="G418" s="106">
        <f t="shared" si="30"/>
        <v>0</v>
      </c>
      <c r="H418" s="106">
        <f t="shared" ca="1" si="28"/>
        <v>0</v>
      </c>
      <c r="I418" s="106">
        <f ca="1">Table1[[#This Row],[TOTAL ACRES]]-Table1[[#This Row],[ACRES PICKED]]</f>
        <v>0</v>
      </c>
      <c r="J418" s="106">
        <f ca="1">Table1[[#This Row],[ACRES PICKED]]</f>
        <v>0</v>
      </c>
      <c r="M418" s="118">
        <f>Table1[[#This Row],[LOADS]]*24</f>
        <v>0</v>
      </c>
      <c r="N418" s="107">
        <f t="shared" ca="1" si="27"/>
        <v>0</v>
      </c>
      <c r="O418" s="108" t="str">
        <f t="shared" ca="1" si="29"/>
        <v/>
      </c>
    </row>
    <row r="419" spans="1:18" ht="13.5" customHeight="1" x14ac:dyDescent="0.3">
      <c r="C419" s="9" t="str" cm="1">
        <f t="array" ref="C419">IF(B419="","",_xlfn._xlws.FILTER('Source List'!I$2:I$268,'Source List'!G$2:G$268='Row Counts'!B419," "))</f>
        <v/>
      </c>
      <c r="E419" s="105">
        <f ca="1">IFERROR(Table1[[#This Row],[TOTAL VINES]]-Table1[[#This Row],[VINES LEFT]],"")</f>
        <v>0</v>
      </c>
      <c r="F419" s="105">
        <f ca="1">Table1[[#This Row],[TOTAL VINES]]-Table1[[#This Row],[VINES PICKED]]</f>
        <v>0</v>
      </c>
      <c r="G419" s="106">
        <f t="shared" si="30"/>
        <v>0</v>
      </c>
      <c r="H419" s="106">
        <f t="shared" ca="1" si="28"/>
        <v>0</v>
      </c>
      <c r="I419" s="106">
        <f ca="1">Table1[[#This Row],[TOTAL ACRES]]-Table1[[#This Row],[ACRES PICKED]]</f>
        <v>0</v>
      </c>
      <c r="J419" s="106">
        <f ca="1">Table1[[#This Row],[ACRES PICKED]]</f>
        <v>0</v>
      </c>
      <c r="M419" s="118">
        <f>Table1[[#This Row],[LOADS]]*24</f>
        <v>0</v>
      </c>
      <c r="N419" s="107">
        <f t="shared" ca="1" si="27"/>
        <v>0</v>
      </c>
      <c r="O419" s="108" t="str">
        <f t="shared" ca="1" si="29"/>
        <v/>
      </c>
    </row>
    <row r="420" spans="1:18" ht="13.5" customHeight="1" x14ac:dyDescent="0.3">
      <c r="C420" s="9" t="str" cm="1">
        <f t="array" ref="C420">IF(B420="","",_xlfn._xlws.FILTER('Source List'!I$2:I$268,'Source List'!G$2:G$268='Row Counts'!B420," "))</f>
        <v/>
      </c>
      <c r="E420" s="105">
        <f ca="1">IFERROR(Table1[[#This Row],[TOTAL VINES]]-Table1[[#This Row],[VINES LEFT]],"")</f>
        <v>0</v>
      </c>
      <c r="F420" s="105">
        <f ca="1">Table1[[#This Row],[TOTAL VINES]]-Table1[[#This Row],[VINES PICKED]]</f>
        <v>0</v>
      </c>
      <c r="G420" s="106">
        <f t="shared" si="30"/>
        <v>0</v>
      </c>
      <c r="H420" s="106">
        <f t="shared" ca="1" si="28"/>
        <v>0</v>
      </c>
      <c r="I420" s="106">
        <f ca="1">Table1[[#This Row],[TOTAL ACRES]]-Table1[[#This Row],[ACRES PICKED]]</f>
        <v>0</v>
      </c>
      <c r="J420" s="106">
        <f ca="1">Table1[[#This Row],[ACRES PICKED]]</f>
        <v>0</v>
      </c>
      <c r="M420" s="118">
        <f>Table1[[#This Row],[LOADS]]*24</f>
        <v>0</v>
      </c>
      <c r="N420" s="107">
        <f t="shared" ca="1" si="27"/>
        <v>0</v>
      </c>
      <c r="O420" s="108" t="str">
        <f t="shared" ca="1" si="29"/>
        <v/>
      </c>
    </row>
    <row r="421" spans="1:18" ht="13.5" customHeight="1" x14ac:dyDescent="0.3">
      <c r="C421" s="9" t="str" cm="1">
        <f t="array" ref="C421">IF(B421="","",_xlfn._xlws.FILTER('Source List'!I$2:I$268,'Source List'!G$2:G$268='Row Counts'!B421," "))</f>
        <v/>
      </c>
      <c r="E421" s="105">
        <f ca="1">IFERROR(Table1[[#This Row],[TOTAL VINES]]-Table1[[#This Row],[VINES LEFT]],"")</f>
        <v>0</v>
      </c>
      <c r="F421" s="105">
        <f ca="1">Table1[[#This Row],[TOTAL VINES]]-Table1[[#This Row],[VINES PICKED]]</f>
        <v>0</v>
      </c>
      <c r="G421" s="106">
        <f t="shared" si="30"/>
        <v>0</v>
      </c>
      <c r="H421" s="106">
        <f t="shared" ca="1" si="28"/>
        <v>0</v>
      </c>
      <c r="I421" s="106">
        <f ca="1">Table1[[#This Row],[TOTAL ACRES]]-Table1[[#This Row],[ACRES PICKED]]</f>
        <v>0</v>
      </c>
      <c r="J421" s="106">
        <f ca="1">Table1[[#This Row],[ACRES PICKED]]</f>
        <v>0</v>
      </c>
      <c r="M421" s="118">
        <f>Table1[[#This Row],[LOADS]]*24</f>
        <v>0</v>
      </c>
      <c r="N421" s="107">
        <f t="shared" ca="1" si="27"/>
        <v>0</v>
      </c>
      <c r="O421" s="108" t="str">
        <f t="shared" ca="1" si="29"/>
        <v/>
      </c>
    </row>
    <row r="422" spans="1:18" ht="13.5" customHeight="1" x14ac:dyDescent="0.3">
      <c r="C422" s="9" t="str" cm="1">
        <f t="array" ref="C422">IF(B422="","",_xlfn._xlws.FILTER('Source List'!I$2:I$268,'Source List'!G$2:G$268='Row Counts'!B422," "))</f>
        <v/>
      </c>
      <c r="E422" s="105">
        <f ca="1">IFERROR(Table1[[#This Row],[TOTAL VINES]]-Table1[[#This Row],[VINES LEFT]],"")</f>
        <v>0</v>
      </c>
      <c r="F422" s="105">
        <f ca="1">Table1[[#This Row],[TOTAL VINES]]-Table1[[#This Row],[VINES PICKED]]</f>
        <v>0</v>
      </c>
      <c r="G422" s="106">
        <f t="shared" si="30"/>
        <v>0</v>
      </c>
      <c r="H422" s="106">
        <f t="shared" ca="1" si="28"/>
        <v>0</v>
      </c>
      <c r="I422" s="106">
        <f ca="1">Table1[[#This Row],[TOTAL ACRES]]-Table1[[#This Row],[ACRES PICKED]]</f>
        <v>0</v>
      </c>
      <c r="J422" s="106">
        <f ca="1">Table1[[#This Row],[ACRES PICKED]]</f>
        <v>0</v>
      </c>
      <c r="M422" s="118">
        <f>Table1[[#This Row],[LOADS]]*24</f>
        <v>0</v>
      </c>
      <c r="N422" s="107">
        <f t="shared" ca="1" si="27"/>
        <v>0</v>
      </c>
      <c r="O422" s="108" t="str">
        <f t="shared" ca="1" si="29"/>
        <v/>
      </c>
    </row>
    <row r="423" spans="1:18" ht="13.5" customHeight="1" x14ac:dyDescent="0.3">
      <c r="C423" s="9" t="str" cm="1">
        <f t="array" ref="C423">IF(B423="","",_xlfn._xlws.FILTER('Source List'!I$2:I$268,'Source List'!G$2:G$268='Row Counts'!B423," "))</f>
        <v/>
      </c>
      <c r="E423" s="105">
        <f ca="1">IFERROR(Table1[[#This Row],[TOTAL VINES]]-Table1[[#This Row],[VINES LEFT]],"")</f>
        <v>0</v>
      </c>
      <c r="F423" s="105">
        <f ca="1">Table1[[#This Row],[TOTAL VINES]]-Table1[[#This Row],[VINES PICKED]]</f>
        <v>0</v>
      </c>
      <c r="G423" s="106">
        <f t="shared" si="30"/>
        <v>0</v>
      </c>
      <c r="H423" s="106">
        <f t="shared" ca="1" si="28"/>
        <v>0</v>
      </c>
      <c r="I423" s="106">
        <f ca="1">Table1[[#This Row],[TOTAL ACRES]]-Table1[[#This Row],[ACRES PICKED]]</f>
        <v>0</v>
      </c>
      <c r="J423" s="106">
        <f ca="1">Table1[[#This Row],[ACRES PICKED]]</f>
        <v>0</v>
      </c>
      <c r="M423" s="118">
        <f>Table1[[#This Row],[LOADS]]*24</f>
        <v>0</v>
      </c>
      <c r="N423" s="107">
        <f t="shared" ca="1" si="27"/>
        <v>0</v>
      </c>
      <c r="O423" s="108" t="str">
        <f t="shared" ca="1" si="29"/>
        <v/>
      </c>
    </row>
    <row r="424" spans="1:18" ht="13.5" customHeight="1" x14ac:dyDescent="0.3">
      <c r="C424" s="9" t="str" cm="1">
        <f t="array" ref="C424">IF(B424="","",_xlfn._xlws.FILTER('Source List'!I$2:I$268,'Source List'!G$2:G$268='Row Counts'!B424," "))</f>
        <v/>
      </c>
      <c r="E424" s="105">
        <f ca="1">IFERROR(Table1[[#This Row],[TOTAL VINES]]-Table1[[#This Row],[VINES LEFT]],"")</f>
        <v>0</v>
      </c>
      <c r="F424" s="105">
        <f ca="1">Table1[[#This Row],[TOTAL VINES]]-Table1[[#This Row],[VINES PICKED]]</f>
        <v>0</v>
      </c>
      <c r="G424" s="106">
        <f t="shared" si="30"/>
        <v>0</v>
      </c>
      <c r="H424" s="106">
        <f t="shared" ca="1" si="28"/>
        <v>0</v>
      </c>
      <c r="I424" s="106">
        <f ca="1">Table1[[#This Row],[TOTAL ACRES]]-Table1[[#This Row],[ACRES PICKED]]</f>
        <v>0</v>
      </c>
      <c r="J424" s="106">
        <f ca="1">Table1[[#This Row],[ACRES PICKED]]</f>
        <v>0</v>
      </c>
      <c r="M424" s="118">
        <f>Table1[[#This Row],[LOADS]]*24</f>
        <v>0</v>
      </c>
      <c r="N424" s="107">
        <f t="shared" ref="N424:N455" ca="1" si="31">IFERROR(M424/J424,0)</f>
        <v>0</v>
      </c>
      <c r="O424" s="108" t="str">
        <f t="shared" ca="1" si="29"/>
        <v/>
      </c>
    </row>
    <row r="425" spans="1:18" ht="13.5" customHeight="1" x14ac:dyDescent="0.3">
      <c r="C425" s="9" t="str" cm="1">
        <f t="array" ref="C425">IF(B425="","",_xlfn._xlws.FILTER('Source List'!I$2:I$268,'Source List'!G$2:G$268='Row Counts'!B425," "))</f>
        <v/>
      </c>
      <c r="E425" s="105">
        <f ca="1">IFERROR(Table1[[#This Row],[TOTAL VINES]]-Table1[[#This Row],[VINES LEFT]],"")</f>
        <v>0</v>
      </c>
      <c r="F425" s="105">
        <f ca="1">Table1[[#This Row],[TOTAL VINES]]-Table1[[#This Row],[VINES PICKED]]</f>
        <v>0</v>
      </c>
      <c r="G425" s="106">
        <f t="shared" si="30"/>
        <v>0</v>
      </c>
      <c r="H425" s="106">
        <f t="shared" ca="1" si="28"/>
        <v>0</v>
      </c>
      <c r="I425" s="106">
        <f ca="1">Table1[[#This Row],[TOTAL ACRES]]-Table1[[#This Row],[ACRES PICKED]]</f>
        <v>0</v>
      </c>
      <c r="J425" s="106">
        <f ca="1">Table1[[#This Row],[ACRES PICKED]]</f>
        <v>0</v>
      </c>
      <c r="M425" s="118">
        <f>Table1[[#This Row],[LOADS]]*24</f>
        <v>0</v>
      </c>
      <c r="N425" s="107">
        <f t="shared" ca="1" si="31"/>
        <v>0</v>
      </c>
      <c r="O425" s="108" t="str">
        <f t="shared" ca="1" si="29"/>
        <v/>
      </c>
      <c r="Q425" s="110"/>
    </row>
    <row r="426" spans="1:18" ht="13.5" customHeight="1" x14ac:dyDescent="0.3">
      <c r="C426" s="9" t="str" cm="1">
        <f t="array" ref="C426">IF(B426="","",_xlfn._xlws.FILTER('Source List'!I$2:I$268,'Source List'!G$2:G$268='Row Counts'!B426," "))</f>
        <v/>
      </c>
      <c r="E426" s="105">
        <f ca="1">IFERROR(Table1[[#This Row],[TOTAL VINES]]-Table1[[#This Row],[VINES LEFT]],"")</f>
        <v>0</v>
      </c>
      <c r="F426" s="105">
        <f ca="1">Table1[[#This Row],[TOTAL VINES]]-Table1[[#This Row],[VINES PICKED]]</f>
        <v>0</v>
      </c>
      <c r="G426" s="106">
        <f t="shared" si="30"/>
        <v>0</v>
      </c>
      <c r="H426" s="106">
        <f t="shared" ca="1" si="28"/>
        <v>0</v>
      </c>
      <c r="I426" s="106">
        <f ca="1">Table1[[#This Row],[TOTAL ACRES]]-Table1[[#This Row],[ACRES PICKED]]</f>
        <v>0</v>
      </c>
      <c r="J426" s="106">
        <f ca="1">Table1[[#This Row],[ACRES PICKED]]</f>
        <v>0</v>
      </c>
      <c r="M426" s="118">
        <f>Table1[[#This Row],[LOADS]]*24</f>
        <v>0</v>
      </c>
      <c r="N426" s="107">
        <f t="shared" ca="1" si="31"/>
        <v>0</v>
      </c>
      <c r="O426" s="108" t="str">
        <f t="shared" ca="1" si="29"/>
        <v/>
      </c>
      <c r="Q426" s="110"/>
    </row>
    <row r="427" spans="1:18" s="123" customFormat="1" ht="13.5" customHeight="1" thickBot="1" x14ac:dyDescent="0.35">
      <c r="A427" s="103"/>
      <c r="B427" s="12"/>
      <c r="C427" s="9" t="str" cm="1">
        <f t="array" ref="C427">IF(B427="","",_xlfn._xlws.FILTER('Source List'!I$2:I$268,'Source List'!G$2:G$268='Row Counts'!B427," "))</f>
        <v/>
      </c>
      <c r="D427" s="104"/>
      <c r="E427" s="105">
        <f ca="1">IFERROR(Table1[[#This Row],[TOTAL VINES]]-Table1[[#This Row],[VINES LEFT]],"")</f>
        <v>0</v>
      </c>
      <c r="F427" s="105">
        <f ca="1">Table1[[#This Row],[TOTAL VINES]]-Table1[[#This Row],[VINES PICKED]]</f>
        <v>0</v>
      </c>
      <c r="G427" s="106">
        <f t="shared" si="30"/>
        <v>0</v>
      </c>
      <c r="H427" s="106">
        <f t="shared" ca="1" si="28"/>
        <v>0</v>
      </c>
      <c r="I427" s="106">
        <f ca="1">Table1[[#This Row],[TOTAL ACRES]]-Table1[[#This Row],[ACRES PICKED]]</f>
        <v>0</v>
      </c>
      <c r="J427" s="106">
        <f ca="1">Table1[[#This Row],[ACRES PICKED]]</f>
        <v>0</v>
      </c>
      <c r="K427" s="106"/>
      <c r="L427" s="106"/>
      <c r="M427" s="118">
        <f>Table1[[#This Row],[LOADS]]*24</f>
        <v>0</v>
      </c>
      <c r="N427" s="107">
        <f t="shared" ca="1" si="31"/>
        <v>0</v>
      </c>
      <c r="O427" s="108" t="str">
        <f t="shared" ca="1" si="29"/>
        <v/>
      </c>
      <c r="P427" s="109"/>
      <c r="Q427" s="12"/>
      <c r="R427" s="12"/>
    </row>
    <row r="428" spans="1:18" s="121" customFormat="1" ht="13.5" customHeight="1" x14ac:dyDescent="0.3">
      <c r="A428" s="103"/>
      <c r="B428" s="12"/>
      <c r="C428" s="9" t="str" cm="1">
        <f t="array" ref="C428">IF(B428="","",_xlfn._xlws.FILTER('Source List'!I$2:I$268,'Source List'!G$2:G$268='Row Counts'!B428," "))</f>
        <v/>
      </c>
      <c r="D428" s="104"/>
      <c r="E428" s="105">
        <f ca="1">IFERROR(Table1[[#This Row],[TOTAL VINES]]-Table1[[#This Row],[VINES LEFT]],"")</f>
        <v>0</v>
      </c>
      <c r="F428" s="105">
        <f ca="1">Table1[[#This Row],[TOTAL VINES]]-Table1[[#This Row],[VINES PICKED]]</f>
        <v>0</v>
      </c>
      <c r="G428" s="106">
        <f t="shared" si="30"/>
        <v>0</v>
      </c>
      <c r="H428" s="106">
        <f t="shared" ca="1" si="28"/>
        <v>0</v>
      </c>
      <c r="I428" s="106">
        <f ca="1">Table1[[#This Row],[TOTAL ACRES]]-Table1[[#This Row],[ACRES PICKED]]</f>
        <v>0</v>
      </c>
      <c r="J428" s="106">
        <f ca="1">Table1[[#This Row],[ACRES PICKED]]</f>
        <v>0</v>
      </c>
      <c r="K428" s="106"/>
      <c r="L428" s="106"/>
      <c r="M428" s="118">
        <f>Table1[[#This Row],[LOADS]]*24</f>
        <v>0</v>
      </c>
      <c r="N428" s="107">
        <f t="shared" ca="1" si="31"/>
        <v>0</v>
      </c>
      <c r="O428" s="108" t="str">
        <f t="shared" ca="1" si="29"/>
        <v/>
      </c>
      <c r="P428" s="109"/>
      <c r="Q428" s="12"/>
      <c r="R428" s="12"/>
    </row>
    <row r="429" spans="1:18" s="121" customFormat="1" ht="13.5" customHeight="1" x14ac:dyDescent="0.3">
      <c r="A429" s="103"/>
      <c r="B429" s="12"/>
      <c r="C429" s="9" t="str" cm="1">
        <f t="array" ref="C429">IF(B429="","",_xlfn._xlws.FILTER('Source List'!I$2:I$268,'Source List'!G$2:G$268='Row Counts'!B429," "))</f>
        <v/>
      </c>
      <c r="D429" s="104"/>
      <c r="E429" s="105">
        <f ca="1">IFERROR(Table1[[#This Row],[TOTAL VINES]]-Table1[[#This Row],[VINES LEFT]],"")</f>
        <v>0</v>
      </c>
      <c r="F429" s="105">
        <f ca="1">Table1[[#This Row],[TOTAL VINES]]-Table1[[#This Row],[VINES PICKED]]</f>
        <v>0</v>
      </c>
      <c r="G429" s="106">
        <f t="shared" si="30"/>
        <v>0</v>
      </c>
      <c r="H429" s="106">
        <f t="shared" ca="1" si="28"/>
        <v>0</v>
      </c>
      <c r="I429" s="106">
        <f ca="1">Table1[[#This Row],[TOTAL ACRES]]-Table1[[#This Row],[ACRES PICKED]]</f>
        <v>0</v>
      </c>
      <c r="J429" s="106">
        <f ca="1">Table1[[#This Row],[ACRES PICKED]]</f>
        <v>0</v>
      </c>
      <c r="K429" s="106"/>
      <c r="L429" s="106"/>
      <c r="M429" s="118">
        <f>Table1[[#This Row],[LOADS]]*24</f>
        <v>0</v>
      </c>
      <c r="N429" s="107">
        <f t="shared" ca="1" si="31"/>
        <v>0</v>
      </c>
      <c r="O429" s="108" t="str">
        <f t="shared" ca="1" si="29"/>
        <v/>
      </c>
      <c r="P429" s="109"/>
      <c r="Q429" s="12"/>
      <c r="R429" s="12"/>
    </row>
    <row r="430" spans="1:18" ht="13.5" customHeight="1" x14ac:dyDescent="0.3">
      <c r="C430" s="9" t="str" cm="1">
        <f t="array" ref="C430">IF(B430="","",_xlfn._xlws.FILTER('Source List'!I$2:I$268,'Source List'!G$2:G$268='Row Counts'!B430," "))</f>
        <v/>
      </c>
      <c r="E430" s="105">
        <f ca="1">IFERROR(Table1[[#This Row],[TOTAL VINES]]-Table1[[#This Row],[VINES LEFT]],"")</f>
        <v>0</v>
      </c>
      <c r="F430" s="105">
        <f ca="1">Table1[[#This Row],[TOTAL VINES]]-Table1[[#This Row],[VINES PICKED]]</f>
        <v>0</v>
      </c>
      <c r="G430" s="106">
        <f t="shared" si="30"/>
        <v>0</v>
      </c>
      <c r="H430" s="106">
        <f t="shared" ca="1" si="28"/>
        <v>0</v>
      </c>
      <c r="I430" s="106">
        <f ca="1">Table1[[#This Row],[TOTAL ACRES]]-Table1[[#This Row],[ACRES PICKED]]</f>
        <v>0</v>
      </c>
      <c r="J430" s="106">
        <f ca="1">Table1[[#This Row],[ACRES PICKED]]</f>
        <v>0</v>
      </c>
      <c r="M430" s="118">
        <f>Table1[[#This Row],[LOADS]]*24</f>
        <v>0</v>
      </c>
      <c r="N430" s="107">
        <f t="shared" ca="1" si="31"/>
        <v>0</v>
      </c>
      <c r="O430" s="108" t="str">
        <f t="shared" ca="1" si="29"/>
        <v/>
      </c>
    </row>
    <row r="431" spans="1:18" ht="13.5" customHeight="1" x14ac:dyDescent="0.3">
      <c r="C431" s="9" t="str" cm="1">
        <f t="array" ref="C431">IF(B431="","",_xlfn._xlws.FILTER('Source List'!I$2:I$268,'Source List'!G$2:G$268='Row Counts'!B431," "))</f>
        <v/>
      </c>
      <c r="E431" s="105">
        <f ca="1">IFERROR(Table1[[#This Row],[TOTAL VINES]]-Table1[[#This Row],[VINES LEFT]],"")</f>
        <v>0</v>
      </c>
      <c r="F431" s="105">
        <f ca="1">Table1[[#This Row],[TOTAL VINES]]-Table1[[#This Row],[VINES PICKED]]</f>
        <v>0</v>
      </c>
      <c r="G431" s="106">
        <f t="shared" si="30"/>
        <v>0</v>
      </c>
      <c r="H431" s="106">
        <f t="shared" ca="1" si="28"/>
        <v>0</v>
      </c>
      <c r="I431" s="106">
        <f ca="1">Table1[[#This Row],[TOTAL ACRES]]-Table1[[#This Row],[ACRES PICKED]]</f>
        <v>0</v>
      </c>
      <c r="J431" s="106">
        <f ca="1">Table1[[#This Row],[ACRES PICKED]]</f>
        <v>0</v>
      </c>
      <c r="M431" s="118">
        <f>Table1[[#This Row],[LOADS]]*24</f>
        <v>0</v>
      </c>
      <c r="N431" s="107">
        <f t="shared" ca="1" si="31"/>
        <v>0</v>
      </c>
      <c r="O431" s="108" t="str">
        <f t="shared" ca="1" si="29"/>
        <v/>
      </c>
    </row>
    <row r="432" spans="1:18" ht="13.5" customHeight="1" x14ac:dyDescent="0.3">
      <c r="C432" s="9" t="str" cm="1">
        <f t="array" ref="C432">IF(B432="","",_xlfn._xlws.FILTER('Source List'!I$2:I$268,'Source List'!G$2:G$268='Row Counts'!B432," "))</f>
        <v/>
      </c>
      <c r="E432" s="105">
        <f ca="1">IFERROR(Table1[[#This Row],[TOTAL VINES]]-Table1[[#This Row],[VINES LEFT]],"")</f>
        <v>0</v>
      </c>
      <c r="F432" s="105">
        <f ca="1">Table1[[#This Row],[TOTAL VINES]]-Table1[[#This Row],[VINES PICKED]]</f>
        <v>0</v>
      </c>
      <c r="G432" s="106">
        <f t="shared" si="30"/>
        <v>0</v>
      </c>
      <c r="H432" s="106">
        <f t="shared" ca="1" si="28"/>
        <v>0</v>
      </c>
      <c r="I432" s="106">
        <f ca="1">Table1[[#This Row],[TOTAL ACRES]]-Table1[[#This Row],[ACRES PICKED]]</f>
        <v>0</v>
      </c>
      <c r="J432" s="106">
        <f ca="1">Table1[[#This Row],[ACRES PICKED]]</f>
        <v>0</v>
      </c>
      <c r="M432" s="118">
        <f>Table1[[#This Row],[LOADS]]*24</f>
        <v>0</v>
      </c>
      <c r="N432" s="107">
        <f t="shared" ca="1" si="31"/>
        <v>0</v>
      </c>
      <c r="O432" s="108" t="str">
        <f t="shared" ca="1" si="29"/>
        <v/>
      </c>
    </row>
    <row r="433" spans="1:18" ht="13.5" customHeight="1" x14ac:dyDescent="0.3">
      <c r="C433" s="9" t="str" cm="1">
        <f t="array" ref="C433">IF(B433="","",_xlfn._xlws.FILTER('Source List'!I$2:I$268,'Source List'!G$2:G$268='Row Counts'!B433," "))</f>
        <v/>
      </c>
      <c r="E433" s="105">
        <f ca="1">IFERROR(Table1[[#This Row],[TOTAL VINES]]-Table1[[#This Row],[VINES LEFT]],"")</f>
        <v>0</v>
      </c>
      <c r="F433" s="105">
        <f ca="1">Table1[[#This Row],[TOTAL VINES]]-Table1[[#This Row],[VINES PICKED]]</f>
        <v>0</v>
      </c>
      <c r="G433" s="106">
        <f t="shared" si="30"/>
        <v>0</v>
      </c>
      <c r="H433" s="106">
        <f t="shared" ca="1" si="28"/>
        <v>0</v>
      </c>
      <c r="I433" s="106">
        <f ca="1">Table1[[#This Row],[TOTAL ACRES]]-Table1[[#This Row],[ACRES PICKED]]</f>
        <v>0</v>
      </c>
      <c r="J433" s="106">
        <f ca="1">Table1[[#This Row],[ACRES PICKED]]</f>
        <v>0</v>
      </c>
      <c r="M433" s="118">
        <f>Table1[[#This Row],[LOADS]]*24</f>
        <v>0</v>
      </c>
      <c r="N433" s="107">
        <f t="shared" ca="1" si="31"/>
        <v>0</v>
      </c>
      <c r="O433" s="108" t="str">
        <f t="shared" ca="1" si="29"/>
        <v/>
      </c>
    </row>
    <row r="434" spans="1:18" ht="13.5" customHeight="1" x14ac:dyDescent="0.3">
      <c r="C434" s="9" t="str" cm="1">
        <f t="array" ref="C434">IF(B434="","",_xlfn._xlws.FILTER('Source List'!I$2:I$268,'Source List'!G$2:G$268='Row Counts'!B434," "))</f>
        <v/>
      </c>
      <c r="E434" s="105">
        <f ca="1">IFERROR(Table1[[#This Row],[TOTAL VINES]]-Table1[[#This Row],[VINES LEFT]],"")</f>
        <v>0</v>
      </c>
      <c r="F434" s="105">
        <f ca="1">Table1[[#This Row],[TOTAL VINES]]-Table1[[#This Row],[VINES PICKED]]</f>
        <v>0</v>
      </c>
      <c r="G434" s="106">
        <f t="shared" si="30"/>
        <v>0</v>
      </c>
      <c r="H434" s="106">
        <f t="shared" ca="1" si="28"/>
        <v>0</v>
      </c>
      <c r="I434" s="106">
        <f ca="1">Table1[[#This Row],[TOTAL ACRES]]-Table1[[#This Row],[ACRES PICKED]]</f>
        <v>0</v>
      </c>
      <c r="J434" s="106">
        <f ca="1">Table1[[#This Row],[ACRES PICKED]]</f>
        <v>0</v>
      </c>
      <c r="M434" s="118">
        <f>Table1[[#This Row],[LOADS]]*24</f>
        <v>0</v>
      </c>
      <c r="N434" s="107">
        <f t="shared" ca="1" si="31"/>
        <v>0</v>
      </c>
      <c r="O434" s="108" t="str">
        <f t="shared" ca="1" si="29"/>
        <v/>
      </c>
    </row>
    <row r="435" spans="1:18" ht="13.5" customHeight="1" x14ac:dyDescent="0.3">
      <c r="C435" s="9" t="str" cm="1">
        <f t="array" ref="C435">IF(B435="","",_xlfn._xlws.FILTER('Source List'!I$2:I$268,'Source List'!G$2:G$268='Row Counts'!B435," "))</f>
        <v/>
      </c>
      <c r="E435" s="105">
        <f ca="1">IFERROR(Table1[[#This Row],[TOTAL VINES]]-Table1[[#This Row],[VINES LEFT]],"")</f>
        <v>0</v>
      </c>
      <c r="F435" s="105">
        <f ca="1">Table1[[#This Row],[TOTAL VINES]]-Table1[[#This Row],[VINES PICKED]]</f>
        <v>0</v>
      </c>
      <c r="G435" s="106">
        <f t="shared" si="30"/>
        <v>0</v>
      </c>
      <c r="H435" s="106">
        <f t="shared" ca="1" si="28"/>
        <v>0</v>
      </c>
      <c r="I435" s="106">
        <f ca="1">Table1[[#This Row],[TOTAL ACRES]]-Table1[[#This Row],[ACRES PICKED]]</f>
        <v>0</v>
      </c>
      <c r="J435" s="106">
        <f ca="1">Table1[[#This Row],[ACRES PICKED]]</f>
        <v>0</v>
      </c>
      <c r="M435" s="118">
        <f>Table1[[#This Row],[LOADS]]*24</f>
        <v>0</v>
      </c>
      <c r="N435" s="107">
        <f t="shared" ca="1" si="31"/>
        <v>0</v>
      </c>
      <c r="O435" s="108" t="str">
        <f t="shared" ca="1" si="29"/>
        <v/>
      </c>
    </row>
    <row r="436" spans="1:18" ht="13.5" customHeight="1" x14ac:dyDescent="0.3">
      <c r="C436" s="9" t="str" cm="1">
        <f t="array" ref="C436">IF(B436="","",_xlfn._xlws.FILTER('Source List'!I$2:I$268,'Source List'!G$2:G$268='Row Counts'!B436," "))</f>
        <v/>
      </c>
      <c r="E436" s="105">
        <f ca="1">IFERROR(Table1[[#This Row],[TOTAL VINES]]-Table1[[#This Row],[VINES LEFT]],"")</f>
        <v>0</v>
      </c>
      <c r="F436" s="105">
        <f ca="1">Table1[[#This Row],[TOTAL VINES]]-Table1[[#This Row],[VINES PICKED]]</f>
        <v>0</v>
      </c>
      <c r="G436" s="106">
        <f t="shared" si="30"/>
        <v>0</v>
      </c>
      <c r="H436" s="106">
        <f t="shared" ca="1" si="28"/>
        <v>0</v>
      </c>
      <c r="I436" s="106">
        <f ca="1">Table1[[#This Row],[TOTAL ACRES]]-Table1[[#This Row],[ACRES PICKED]]</f>
        <v>0</v>
      </c>
      <c r="J436" s="106">
        <f ca="1">Table1[[#This Row],[ACRES PICKED]]</f>
        <v>0</v>
      </c>
      <c r="M436" s="118">
        <f>Table1[[#This Row],[LOADS]]*24</f>
        <v>0</v>
      </c>
      <c r="N436" s="107">
        <f t="shared" ca="1" si="31"/>
        <v>0</v>
      </c>
      <c r="O436" s="108" t="str">
        <f t="shared" ca="1" si="29"/>
        <v/>
      </c>
    </row>
    <row r="437" spans="1:18" ht="13.5" customHeight="1" x14ac:dyDescent="0.3">
      <c r="C437" s="9" t="str" cm="1">
        <f t="array" ref="C437">IF(B437="","",_xlfn._xlws.FILTER('Source List'!I$2:I$268,'Source List'!G$2:G$268='Row Counts'!B437," "))</f>
        <v/>
      </c>
      <c r="E437" s="105">
        <f ca="1">IFERROR(Table1[[#This Row],[TOTAL VINES]]-Table1[[#This Row],[VINES LEFT]],"")</f>
        <v>0</v>
      </c>
      <c r="F437" s="105">
        <f ca="1">Table1[[#This Row],[TOTAL VINES]]-Table1[[#This Row],[VINES PICKED]]</f>
        <v>0</v>
      </c>
      <c r="G437" s="106">
        <f t="shared" si="30"/>
        <v>0</v>
      </c>
      <c r="H437" s="106">
        <f t="shared" ca="1" si="28"/>
        <v>0</v>
      </c>
      <c r="I437" s="106">
        <f ca="1">Table1[[#This Row],[TOTAL ACRES]]-Table1[[#This Row],[ACRES PICKED]]</f>
        <v>0</v>
      </c>
      <c r="J437" s="106">
        <f ca="1">Table1[[#This Row],[ACRES PICKED]]</f>
        <v>0</v>
      </c>
      <c r="M437" s="118">
        <f>Table1[[#This Row],[LOADS]]*24</f>
        <v>0</v>
      </c>
      <c r="N437" s="107">
        <f t="shared" ca="1" si="31"/>
        <v>0</v>
      </c>
      <c r="O437" s="108" t="str">
        <f t="shared" ca="1" si="29"/>
        <v/>
      </c>
    </row>
    <row r="438" spans="1:18" s="123" customFormat="1" ht="13.5" customHeight="1" thickBot="1" x14ac:dyDescent="0.35">
      <c r="A438" s="103"/>
      <c r="B438" s="12"/>
      <c r="C438" s="9" t="str" cm="1">
        <f t="array" ref="C438">IF(B438="","",_xlfn._xlws.FILTER('Source List'!I$2:I$268,'Source List'!G$2:G$268='Row Counts'!B438," "))</f>
        <v/>
      </c>
      <c r="D438" s="104"/>
      <c r="E438" s="105">
        <f ca="1">IFERROR(Table1[[#This Row],[TOTAL VINES]]-Table1[[#This Row],[VINES LEFT]],"")</f>
        <v>0</v>
      </c>
      <c r="F438" s="105">
        <f ca="1">Table1[[#This Row],[TOTAL VINES]]-Table1[[#This Row],[VINES PICKED]]</f>
        <v>0</v>
      </c>
      <c r="G438" s="106">
        <f t="shared" si="30"/>
        <v>0</v>
      </c>
      <c r="H438" s="106">
        <f t="shared" ca="1" si="28"/>
        <v>0</v>
      </c>
      <c r="I438" s="106">
        <f ca="1">Table1[[#This Row],[TOTAL ACRES]]-Table1[[#This Row],[ACRES PICKED]]</f>
        <v>0</v>
      </c>
      <c r="J438" s="106">
        <f ca="1">Table1[[#This Row],[ACRES PICKED]]</f>
        <v>0</v>
      </c>
      <c r="K438" s="106"/>
      <c r="L438" s="106"/>
      <c r="M438" s="118">
        <f>Table1[[#This Row],[LOADS]]*24</f>
        <v>0</v>
      </c>
      <c r="N438" s="107">
        <f t="shared" ca="1" si="31"/>
        <v>0</v>
      </c>
      <c r="O438" s="108" t="str">
        <f t="shared" ca="1" si="29"/>
        <v/>
      </c>
      <c r="P438" s="109"/>
      <c r="Q438" s="12"/>
      <c r="R438" s="12"/>
    </row>
    <row r="439" spans="1:18" s="127" customFormat="1" ht="13.5" customHeight="1" thickBot="1" x14ac:dyDescent="0.35">
      <c r="A439" s="103"/>
      <c r="B439" s="12"/>
      <c r="C439" s="9" t="str" cm="1">
        <f t="array" ref="C439">IF(B439="","",_xlfn._xlws.FILTER('Source List'!I$2:I$268,'Source List'!G$2:G$268='Row Counts'!B439," "))</f>
        <v/>
      </c>
      <c r="D439" s="104"/>
      <c r="E439" s="105">
        <f ca="1">IFERROR(Table1[[#This Row],[TOTAL VINES]]-Table1[[#This Row],[VINES LEFT]],"")</f>
        <v>0</v>
      </c>
      <c r="F439" s="105">
        <f ca="1">Table1[[#This Row],[TOTAL VINES]]-Table1[[#This Row],[VINES PICKED]]</f>
        <v>0</v>
      </c>
      <c r="G439" s="106">
        <f t="shared" si="30"/>
        <v>0</v>
      </c>
      <c r="H439" s="106">
        <f t="shared" ca="1" si="28"/>
        <v>0</v>
      </c>
      <c r="I439" s="106">
        <f ca="1">Table1[[#This Row],[TOTAL ACRES]]-Table1[[#This Row],[ACRES PICKED]]</f>
        <v>0</v>
      </c>
      <c r="J439" s="106">
        <f ca="1">Table1[[#This Row],[ACRES PICKED]]</f>
        <v>0</v>
      </c>
      <c r="K439" s="106"/>
      <c r="L439" s="106"/>
      <c r="M439" s="118">
        <f>Table1[[#This Row],[LOADS]]*24</f>
        <v>0</v>
      </c>
      <c r="N439" s="107">
        <f t="shared" ca="1" si="31"/>
        <v>0</v>
      </c>
      <c r="O439" s="108" t="str">
        <f t="shared" ca="1" si="29"/>
        <v/>
      </c>
      <c r="P439" s="109"/>
      <c r="Q439" s="12"/>
      <c r="R439" s="12"/>
    </row>
    <row r="440" spans="1:18" s="121" customFormat="1" ht="13.5" customHeight="1" x14ac:dyDescent="0.3">
      <c r="A440" s="103"/>
      <c r="B440" s="12"/>
      <c r="C440" s="9" t="str" cm="1">
        <f t="array" ref="C440">IF(B440="","",_xlfn._xlws.FILTER('Source List'!I$2:I$268,'Source List'!G$2:G$268='Row Counts'!B440," "))</f>
        <v/>
      </c>
      <c r="D440" s="104"/>
      <c r="E440" s="105">
        <f ca="1">IFERROR(Table1[[#This Row],[TOTAL VINES]]-Table1[[#This Row],[VINES LEFT]],"")</f>
        <v>0</v>
      </c>
      <c r="F440" s="105">
        <f ca="1">Table1[[#This Row],[TOTAL VINES]]-Table1[[#This Row],[VINES PICKED]]</f>
        <v>0</v>
      </c>
      <c r="G440" s="106">
        <f t="shared" si="30"/>
        <v>0</v>
      </c>
      <c r="H440" s="106">
        <f t="shared" ca="1" si="28"/>
        <v>0</v>
      </c>
      <c r="I440" s="106">
        <f ca="1">Table1[[#This Row],[TOTAL ACRES]]-Table1[[#This Row],[ACRES PICKED]]</f>
        <v>0</v>
      </c>
      <c r="J440" s="106">
        <f ca="1">Table1[[#This Row],[ACRES PICKED]]</f>
        <v>0</v>
      </c>
      <c r="K440" s="106"/>
      <c r="L440" s="106"/>
      <c r="M440" s="118">
        <f>Table1[[#This Row],[LOADS]]*24</f>
        <v>0</v>
      </c>
      <c r="N440" s="107">
        <f t="shared" ca="1" si="31"/>
        <v>0</v>
      </c>
      <c r="O440" s="108" t="str">
        <f t="shared" ca="1" si="29"/>
        <v/>
      </c>
      <c r="P440" s="109"/>
      <c r="Q440" s="12"/>
      <c r="R440" s="12"/>
    </row>
    <row r="441" spans="1:18" ht="13.5" customHeight="1" x14ac:dyDescent="0.3">
      <c r="C441" s="9" t="str" cm="1">
        <f t="array" ref="C441">IF(B441="","",_xlfn._xlws.FILTER('Source List'!I$2:I$268,'Source List'!G$2:G$268='Row Counts'!B441," "))</f>
        <v/>
      </c>
      <c r="E441" s="105">
        <f ca="1">IFERROR(Table1[[#This Row],[TOTAL VINES]]-Table1[[#This Row],[VINES LEFT]],"")</f>
        <v>0</v>
      </c>
      <c r="F441" s="105">
        <f ca="1">Table1[[#This Row],[TOTAL VINES]]-Table1[[#This Row],[VINES PICKED]]</f>
        <v>0</v>
      </c>
      <c r="G441" s="106">
        <f t="shared" si="30"/>
        <v>0</v>
      </c>
      <c r="H441" s="106">
        <f t="shared" ca="1" si="28"/>
        <v>0</v>
      </c>
      <c r="I441" s="106">
        <f ca="1">Table1[[#This Row],[TOTAL ACRES]]-Table1[[#This Row],[ACRES PICKED]]</f>
        <v>0</v>
      </c>
      <c r="J441" s="106">
        <f ca="1">Table1[[#This Row],[ACRES PICKED]]</f>
        <v>0</v>
      </c>
      <c r="M441" s="118">
        <f>Table1[[#This Row],[LOADS]]*24</f>
        <v>0</v>
      </c>
      <c r="N441" s="107">
        <f t="shared" ca="1" si="31"/>
        <v>0</v>
      </c>
      <c r="O441" s="108" t="str">
        <f t="shared" ca="1" si="29"/>
        <v/>
      </c>
    </row>
    <row r="442" spans="1:18" ht="13.5" customHeight="1" x14ac:dyDescent="0.3">
      <c r="C442" s="9" t="str" cm="1">
        <f t="array" ref="C442">IF(B442="","",_xlfn._xlws.FILTER('Source List'!I$2:I$268,'Source List'!G$2:G$268='Row Counts'!B442," "))</f>
        <v/>
      </c>
      <c r="E442" s="105">
        <f ca="1">IFERROR(Table1[[#This Row],[TOTAL VINES]]-Table1[[#This Row],[VINES LEFT]],"")</f>
        <v>0</v>
      </c>
      <c r="F442" s="105">
        <f ca="1">Table1[[#This Row],[TOTAL VINES]]-Table1[[#This Row],[VINES PICKED]]</f>
        <v>0</v>
      </c>
      <c r="G442" s="106">
        <f t="shared" si="30"/>
        <v>0</v>
      </c>
      <c r="H442" s="106">
        <f t="shared" ca="1" si="28"/>
        <v>0</v>
      </c>
      <c r="I442" s="106">
        <f ca="1">Table1[[#This Row],[TOTAL ACRES]]-Table1[[#This Row],[ACRES PICKED]]</f>
        <v>0</v>
      </c>
      <c r="J442" s="106">
        <f ca="1">Table1[[#This Row],[ACRES PICKED]]</f>
        <v>0</v>
      </c>
      <c r="M442" s="118">
        <f>Table1[[#This Row],[LOADS]]*24</f>
        <v>0</v>
      </c>
      <c r="N442" s="107">
        <f t="shared" ca="1" si="31"/>
        <v>0</v>
      </c>
      <c r="O442" s="108" t="str">
        <f t="shared" ca="1" si="29"/>
        <v/>
      </c>
    </row>
    <row r="443" spans="1:18" s="124" customFormat="1" ht="13.5" customHeight="1" x14ac:dyDescent="0.3">
      <c r="A443" s="103"/>
      <c r="B443" s="12"/>
      <c r="C443" s="9" t="str" cm="1">
        <f t="array" ref="C443">IF(B443="","",_xlfn._xlws.FILTER('Source List'!I$2:I$268,'Source List'!G$2:G$268='Row Counts'!B443," "))</f>
        <v/>
      </c>
      <c r="D443" s="104"/>
      <c r="E443" s="105">
        <f ca="1">IFERROR(Table1[[#This Row],[TOTAL VINES]]-Table1[[#This Row],[VINES LEFT]],"")</f>
        <v>0</v>
      </c>
      <c r="F443" s="105">
        <f ca="1">Table1[[#This Row],[TOTAL VINES]]-Table1[[#This Row],[VINES PICKED]]</f>
        <v>0</v>
      </c>
      <c r="G443" s="106">
        <f t="shared" si="30"/>
        <v>0</v>
      </c>
      <c r="H443" s="106">
        <f t="shared" ca="1" si="28"/>
        <v>0</v>
      </c>
      <c r="I443" s="106">
        <f ca="1">Table1[[#This Row],[TOTAL ACRES]]-Table1[[#This Row],[ACRES PICKED]]</f>
        <v>0</v>
      </c>
      <c r="J443" s="106">
        <f ca="1">Table1[[#This Row],[ACRES PICKED]]</f>
        <v>0</v>
      </c>
      <c r="K443" s="106"/>
      <c r="L443" s="106"/>
      <c r="M443" s="118">
        <f>Table1[[#This Row],[LOADS]]*24</f>
        <v>0</v>
      </c>
      <c r="N443" s="107">
        <f t="shared" ca="1" si="31"/>
        <v>0</v>
      </c>
      <c r="O443" s="108" t="str">
        <f t="shared" ca="1" si="29"/>
        <v/>
      </c>
      <c r="P443" s="109"/>
      <c r="Q443" s="12"/>
      <c r="R443" s="12"/>
    </row>
    <row r="444" spans="1:18" s="124" customFormat="1" ht="13.5" customHeight="1" thickBot="1" x14ac:dyDescent="0.35">
      <c r="A444" s="103"/>
      <c r="B444" s="12"/>
      <c r="C444" s="9" t="str" cm="1">
        <f t="array" ref="C444">IF(B444="","",_xlfn._xlws.FILTER('Source List'!I$2:I$268,'Source List'!G$2:G$268='Row Counts'!B444," "))</f>
        <v/>
      </c>
      <c r="D444" s="104"/>
      <c r="E444" s="105">
        <f ca="1">IFERROR(Table1[[#This Row],[TOTAL VINES]]-Table1[[#This Row],[VINES LEFT]],"")</f>
        <v>0</v>
      </c>
      <c r="F444" s="105">
        <f ca="1">Table1[[#This Row],[TOTAL VINES]]-Table1[[#This Row],[VINES PICKED]]</f>
        <v>0</v>
      </c>
      <c r="G444" s="106">
        <f t="shared" si="30"/>
        <v>0</v>
      </c>
      <c r="H444" s="106">
        <f t="shared" ca="1" si="28"/>
        <v>0</v>
      </c>
      <c r="I444" s="106">
        <f ca="1">Table1[[#This Row],[TOTAL ACRES]]-Table1[[#This Row],[ACRES PICKED]]</f>
        <v>0</v>
      </c>
      <c r="J444" s="106">
        <f ca="1">Table1[[#This Row],[ACRES PICKED]]</f>
        <v>0</v>
      </c>
      <c r="K444" s="106"/>
      <c r="L444" s="106"/>
      <c r="M444" s="118">
        <f>Table1[[#This Row],[LOADS]]*24</f>
        <v>0</v>
      </c>
      <c r="N444" s="107">
        <f t="shared" ca="1" si="31"/>
        <v>0</v>
      </c>
      <c r="O444" s="108" t="str">
        <f t="shared" ca="1" si="29"/>
        <v/>
      </c>
      <c r="P444" s="109"/>
      <c r="Q444" s="12"/>
      <c r="R444" s="12"/>
    </row>
    <row r="445" spans="1:18" s="127" customFormat="1" ht="13.5" customHeight="1" thickBot="1" x14ac:dyDescent="0.35">
      <c r="A445" s="103"/>
      <c r="B445" s="12"/>
      <c r="C445" s="9" t="str" cm="1">
        <f t="array" ref="C445">IF(B445="","",_xlfn._xlws.FILTER('Source List'!I$2:I$268,'Source List'!G$2:G$268='Row Counts'!B445," "))</f>
        <v/>
      </c>
      <c r="D445" s="104"/>
      <c r="E445" s="105">
        <f ca="1">IFERROR(Table1[[#This Row],[TOTAL VINES]]-Table1[[#This Row],[VINES LEFT]],"")</f>
        <v>0</v>
      </c>
      <c r="F445" s="105">
        <f ca="1">Table1[[#This Row],[TOTAL VINES]]-Table1[[#This Row],[VINES PICKED]]</f>
        <v>0</v>
      </c>
      <c r="G445" s="106">
        <f t="shared" si="30"/>
        <v>0</v>
      </c>
      <c r="H445" s="106">
        <f t="shared" ca="1" si="28"/>
        <v>0</v>
      </c>
      <c r="I445" s="106">
        <f ca="1">Table1[[#This Row],[TOTAL ACRES]]-Table1[[#This Row],[ACRES PICKED]]</f>
        <v>0</v>
      </c>
      <c r="J445" s="106">
        <f ca="1">Table1[[#This Row],[ACRES PICKED]]</f>
        <v>0</v>
      </c>
      <c r="K445" s="106"/>
      <c r="L445" s="106"/>
      <c r="M445" s="118">
        <f>Table1[[#This Row],[LOADS]]*24</f>
        <v>0</v>
      </c>
      <c r="N445" s="107">
        <f t="shared" ca="1" si="31"/>
        <v>0</v>
      </c>
      <c r="O445" s="108" t="str">
        <f t="shared" ca="1" si="29"/>
        <v/>
      </c>
      <c r="P445" s="109"/>
      <c r="Q445" s="12"/>
      <c r="R445" s="12"/>
    </row>
    <row r="446" spans="1:18" s="128" customFormat="1" ht="13.5" customHeight="1" x14ac:dyDescent="0.3">
      <c r="A446" s="103"/>
      <c r="B446" s="12"/>
      <c r="C446" s="9" t="str" cm="1">
        <f t="array" ref="C446">IF(B446="","",_xlfn._xlws.FILTER('Source List'!I$2:I$268,'Source List'!G$2:G$268='Row Counts'!B446," "))</f>
        <v/>
      </c>
      <c r="D446" s="104"/>
      <c r="E446" s="105">
        <f ca="1">IFERROR(Table1[[#This Row],[TOTAL VINES]]-Table1[[#This Row],[VINES LEFT]],"")</f>
        <v>0</v>
      </c>
      <c r="F446" s="105">
        <f ca="1">Table1[[#This Row],[TOTAL VINES]]-Table1[[#This Row],[VINES PICKED]]</f>
        <v>0</v>
      </c>
      <c r="G446" s="106">
        <f t="shared" si="30"/>
        <v>0</v>
      </c>
      <c r="H446" s="106">
        <f t="shared" ca="1" si="28"/>
        <v>0</v>
      </c>
      <c r="I446" s="106">
        <f ca="1">Table1[[#This Row],[TOTAL ACRES]]-Table1[[#This Row],[ACRES PICKED]]</f>
        <v>0</v>
      </c>
      <c r="J446" s="106">
        <f ca="1">Table1[[#This Row],[ACRES PICKED]]</f>
        <v>0</v>
      </c>
      <c r="K446" s="106"/>
      <c r="L446" s="106"/>
      <c r="M446" s="118">
        <f>Table1[[#This Row],[LOADS]]*24</f>
        <v>0</v>
      </c>
      <c r="N446" s="107">
        <f t="shared" ca="1" si="31"/>
        <v>0</v>
      </c>
      <c r="O446" s="108" t="str">
        <f t="shared" ca="1" si="29"/>
        <v/>
      </c>
      <c r="P446" s="109"/>
      <c r="Q446" s="12"/>
      <c r="R446" s="12"/>
    </row>
    <row r="447" spans="1:18" s="123" customFormat="1" ht="13.5" customHeight="1" thickBot="1" x14ac:dyDescent="0.35">
      <c r="A447" s="103"/>
      <c r="B447" s="12"/>
      <c r="C447" s="9" t="str" cm="1">
        <f t="array" ref="C447">IF(B447="","",_xlfn._xlws.FILTER('Source List'!I$2:I$268,'Source List'!G$2:G$268='Row Counts'!B447," "))</f>
        <v/>
      </c>
      <c r="D447" s="104"/>
      <c r="E447" s="105">
        <f ca="1">IFERROR(Table1[[#This Row],[TOTAL VINES]]-Table1[[#This Row],[VINES LEFT]],"")</f>
        <v>0</v>
      </c>
      <c r="F447" s="105">
        <f ca="1">Table1[[#This Row],[TOTAL VINES]]-Table1[[#This Row],[VINES PICKED]]</f>
        <v>0</v>
      </c>
      <c r="G447" s="106">
        <f t="shared" si="30"/>
        <v>0</v>
      </c>
      <c r="H447" s="106">
        <f t="shared" ref="H447:H455" ca="1" si="32">IFERROR(E447/C447,0)</f>
        <v>0</v>
      </c>
      <c r="I447" s="106">
        <f ca="1">Table1[[#This Row],[TOTAL ACRES]]-Table1[[#This Row],[ACRES PICKED]]</f>
        <v>0</v>
      </c>
      <c r="J447" s="106">
        <f ca="1">Table1[[#This Row],[ACRES PICKED]]</f>
        <v>0</v>
      </c>
      <c r="K447" s="106"/>
      <c r="L447" s="106"/>
      <c r="M447" s="118">
        <f>Table1[[#This Row],[LOADS]]*24</f>
        <v>0</v>
      </c>
      <c r="N447" s="107">
        <f t="shared" ca="1" si="31"/>
        <v>0</v>
      </c>
      <c r="O447" s="108" t="str">
        <f t="shared" ca="1" si="29"/>
        <v/>
      </c>
      <c r="P447" s="109"/>
      <c r="Q447" s="12"/>
      <c r="R447" s="12"/>
    </row>
    <row r="448" spans="1:18" s="127" customFormat="1" ht="13.5" customHeight="1" thickBot="1" x14ac:dyDescent="0.35">
      <c r="A448" s="103"/>
      <c r="B448" s="12"/>
      <c r="C448" s="9" t="str" cm="1">
        <f t="array" ref="C448">IF(B448="","",_xlfn._xlws.FILTER('Source List'!I$2:I$268,'Source List'!G$2:G$268='Row Counts'!B448," "))</f>
        <v/>
      </c>
      <c r="D448" s="104"/>
      <c r="E448" s="105">
        <f ca="1">IFERROR(Table1[[#This Row],[TOTAL VINES]]-Table1[[#This Row],[VINES LEFT]],"")</f>
        <v>0</v>
      </c>
      <c r="F448" s="105">
        <f ca="1">Table1[[#This Row],[TOTAL VINES]]-Table1[[#This Row],[VINES PICKED]]</f>
        <v>0</v>
      </c>
      <c r="G448" s="106">
        <f t="shared" si="30"/>
        <v>0</v>
      </c>
      <c r="H448" s="106">
        <f t="shared" ca="1" si="32"/>
        <v>0</v>
      </c>
      <c r="I448" s="106">
        <f ca="1">Table1[[#This Row],[TOTAL ACRES]]-Table1[[#This Row],[ACRES PICKED]]</f>
        <v>0</v>
      </c>
      <c r="J448" s="106">
        <f ca="1">Table1[[#This Row],[ACRES PICKED]]</f>
        <v>0</v>
      </c>
      <c r="K448" s="106"/>
      <c r="L448" s="106"/>
      <c r="M448" s="118">
        <f>Table1[[#This Row],[LOADS]]*24</f>
        <v>0</v>
      </c>
      <c r="N448" s="107">
        <f t="shared" ca="1" si="31"/>
        <v>0</v>
      </c>
      <c r="O448" s="108" t="str">
        <f t="shared" ca="1" si="29"/>
        <v/>
      </c>
      <c r="P448" s="109"/>
      <c r="Q448" s="110"/>
      <c r="R448" s="12"/>
    </row>
    <row r="449" spans="1:18" s="121" customFormat="1" ht="13.5" customHeight="1" x14ac:dyDescent="0.3">
      <c r="A449" s="103"/>
      <c r="B449" s="12"/>
      <c r="C449" s="9" t="str" cm="1">
        <f t="array" ref="C449">IF(B449="","",_xlfn._xlws.FILTER('Source List'!I$2:I$268,'Source List'!G$2:G$268='Row Counts'!B449," "))</f>
        <v/>
      </c>
      <c r="D449" s="104"/>
      <c r="E449" s="105">
        <f ca="1">IFERROR(Table1[[#This Row],[TOTAL VINES]]-Table1[[#This Row],[VINES LEFT]],"")</f>
        <v>0</v>
      </c>
      <c r="F449" s="105">
        <f ca="1">Table1[[#This Row],[TOTAL VINES]]-Table1[[#This Row],[VINES PICKED]]</f>
        <v>0</v>
      </c>
      <c r="G449" s="106">
        <f t="shared" si="30"/>
        <v>0</v>
      </c>
      <c r="H449" s="106">
        <f t="shared" ca="1" si="32"/>
        <v>0</v>
      </c>
      <c r="I449" s="106">
        <f ca="1">Table1[[#This Row],[TOTAL ACRES]]-Table1[[#This Row],[ACRES PICKED]]</f>
        <v>0</v>
      </c>
      <c r="J449" s="106">
        <f ca="1">Table1[[#This Row],[ACRES PICKED]]</f>
        <v>0</v>
      </c>
      <c r="K449" s="106"/>
      <c r="L449" s="106"/>
      <c r="M449" s="118">
        <f>Table1[[#This Row],[LOADS]]*24</f>
        <v>0</v>
      </c>
      <c r="N449" s="107">
        <f t="shared" ca="1" si="31"/>
        <v>0</v>
      </c>
      <c r="O449" s="108" t="str">
        <f t="shared" ca="1" si="29"/>
        <v/>
      </c>
      <c r="P449" s="109"/>
      <c r="Q449" s="110"/>
      <c r="R449" s="12"/>
    </row>
    <row r="450" spans="1:18" ht="13.5" customHeight="1" x14ac:dyDescent="0.3">
      <c r="C450" s="9" t="str" cm="1">
        <f t="array" ref="C450">IF(B450="","",_xlfn._xlws.FILTER('Source List'!I$2:I$268,'Source List'!G$2:G$268='Row Counts'!B450," "))</f>
        <v/>
      </c>
      <c r="E450" s="105">
        <f ca="1">IFERROR(Table1[[#This Row],[TOTAL VINES]]-Table1[[#This Row],[VINES LEFT]],"")</f>
        <v>0</v>
      </c>
      <c r="F450" s="105">
        <f ca="1">Table1[[#This Row],[TOTAL VINES]]-Table1[[#This Row],[VINES PICKED]]</f>
        <v>0</v>
      </c>
      <c r="G450" s="106">
        <f t="shared" si="30"/>
        <v>0</v>
      </c>
      <c r="H450" s="106">
        <f t="shared" ca="1" si="32"/>
        <v>0</v>
      </c>
      <c r="I450" s="106">
        <f ca="1">Table1[[#This Row],[TOTAL ACRES]]-Table1[[#This Row],[ACRES PICKED]]</f>
        <v>0</v>
      </c>
      <c r="J450" s="106">
        <f ca="1">Table1[[#This Row],[ACRES PICKED]]</f>
        <v>0</v>
      </c>
      <c r="M450" s="118">
        <f>Table1[[#This Row],[LOADS]]*24</f>
        <v>0</v>
      </c>
      <c r="N450" s="107">
        <f t="shared" ca="1" si="31"/>
        <v>0</v>
      </c>
      <c r="O450" s="108" t="str">
        <f t="shared" ca="1" si="29"/>
        <v/>
      </c>
      <c r="Q450" s="110"/>
    </row>
    <row r="451" spans="1:18" ht="13.5" customHeight="1" x14ac:dyDescent="0.3">
      <c r="C451" s="9" t="str" cm="1">
        <f t="array" ref="C451">IF(B451="","",_xlfn._xlws.FILTER('Source List'!I$2:I$268,'Source List'!G$2:G$268='Row Counts'!B451," "))</f>
        <v/>
      </c>
      <c r="E451" s="105">
        <f ca="1">IFERROR(Table1[[#This Row],[TOTAL VINES]]-Table1[[#This Row],[VINES LEFT]],"")</f>
        <v>0</v>
      </c>
      <c r="F451" s="105">
        <f ca="1">Table1[[#This Row],[TOTAL VINES]]-Table1[[#This Row],[VINES PICKED]]</f>
        <v>0</v>
      </c>
      <c r="G451" s="106">
        <f t="shared" si="30"/>
        <v>0</v>
      </c>
      <c r="H451" s="106">
        <f t="shared" ca="1" si="32"/>
        <v>0</v>
      </c>
      <c r="I451" s="106">
        <f ca="1">Table1[[#This Row],[TOTAL ACRES]]-Table1[[#This Row],[ACRES PICKED]]</f>
        <v>0</v>
      </c>
      <c r="J451" s="106">
        <f ca="1">Table1[[#This Row],[ACRES PICKED]]</f>
        <v>0</v>
      </c>
      <c r="M451" s="118">
        <f>Table1[[#This Row],[LOADS]]*24</f>
        <v>0</v>
      </c>
      <c r="N451" s="107">
        <f t="shared" ca="1" si="31"/>
        <v>0</v>
      </c>
      <c r="O451" s="108" t="str">
        <f t="shared" ca="1" si="29"/>
        <v/>
      </c>
    </row>
    <row r="452" spans="1:18" ht="13.5" customHeight="1" x14ac:dyDescent="0.3">
      <c r="C452" s="9" t="str" cm="1">
        <f t="array" ref="C452">IF(B452="","",_xlfn._xlws.FILTER('Source List'!I$2:I$268,'Source List'!G$2:G$268='Row Counts'!B452," "))</f>
        <v/>
      </c>
      <c r="E452" s="105">
        <f ca="1">IFERROR(Table1[[#This Row],[TOTAL VINES]]-Table1[[#This Row],[VINES LEFT]],"")</f>
        <v>0</v>
      </c>
      <c r="F452" s="105">
        <f ca="1">Table1[[#This Row],[TOTAL VINES]]-Table1[[#This Row],[VINES PICKED]]</f>
        <v>0</v>
      </c>
      <c r="G452" s="106">
        <f t="shared" si="30"/>
        <v>0</v>
      </c>
      <c r="H452" s="106">
        <f t="shared" ca="1" si="32"/>
        <v>0</v>
      </c>
      <c r="I452" s="106">
        <f ca="1">Table1[[#This Row],[TOTAL ACRES]]-Table1[[#This Row],[ACRES PICKED]]</f>
        <v>0</v>
      </c>
      <c r="J452" s="106">
        <f ca="1">Table1[[#This Row],[ACRES PICKED]]</f>
        <v>0</v>
      </c>
      <c r="M452" s="118">
        <f>Table1[[#This Row],[LOADS]]*24</f>
        <v>0</v>
      </c>
      <c r="N452" s="107">
        <f t="shared" ca="1" si="31"/>
        <v>0</v>
      </c>
      <c r="O452" s="108" t="str">
        <f t="shared" ca="1" si="29"/>
        <v/>
      </c>
    </row>
    <row r="453" spans="1:18" s="124" customFormat="1" ht="13.5" customHeight="1" x14ac:dyDescent="0.3">
      <c r="A453" s="103"/>
      <c r="B453" s="12"/>
      <c r="C453" s="9" t="str" cm="1">
        <f t="array" ref="C453">IF(B453="","",_xlfn._xlws.FILTER('Source List'!I$2:I$268,'Source List'!G$2:G$268='Row Counts'!B453," "))</f>
        <v/>
      </c>
      <c r="D453" s="104"/>
      <c r="E453" s="105">
        <f ca="1">IFERROR(Table1[[#This Row],[TOTAL VINES]]-Table1[[#This Row],[VINES LEFT]],"")</f>
        <v>0</v>
      </c>
      <c r="F453" s="105">
        <f ca="1">Table1[[#This Row],[TOTAL VINES]]-Table1[[#This Row],[VINES PICKED]]</f>
        <v>0</v>
      </c>
      <c r="G453" s="106">
        <f t="shared" si="30"/>
        <v>0</v>
      </c>
      <c r="H453" s="106">
        <f t="shared" ca="1" si="32"/>
        <v>0</v>
      </c>
      <c r="I453" s="106">
        <f ca="1">Table1[[#This Row],[TOTAL ACRES]]-Table1[[#This Row],[ACRES PICKED]]</f>
        <v>0</v>
      </c>
      <c r="J453" s="106">
        <f ca="1">Table1[[#This Row],[ACRES PICKED]]</f>
        <v>0</v>
      </c>
      <c r="K453" s="106"/>
      <c r="L453" s="106"/>
      <c r="M453" s="118">
        <f>Table1[[#This Row],[LOADS]]*24</f>
        <v>0</v>
      </c>
      <c r="N453" s="107">
        <f t="shared" ca="1" si="31"/>
        <v>0</v>
      </c>
      <c r="O453" s="108" t="str">
        <f t="shared" ref="O453:O455" ca="1" si="33">IFERROR((N453*I453)/23,"")</f>
        <v/>
      </c>
      <c r="P453" s="109"/>
      <c r="Q453" s="12"/>
      <c r="R453" s="12"/>
    </row>
    <row r="454" spans="1:18" s="123" customFormat="1" ht="13.5" customHeight="1" thickBot="1" x14ac:dyDescent="0.35">
      <c r="A454" s="103"/>
      <c r="B454" s="12"/>
      <c r="C454" s="9" t="str" cm="1">
        <f t="array" ref="C454">IF(B454="","",_xlfn._xlws.FILTER('Source List'!I$2:I$268,'Source List'!G$2:G$268='Row Counts'!B454," "))</f>
        <v/>
      </c>
      <c r="D454" s="104"/>
      <c r="E454" s="105">
        <f ca="1">IFERROR(Table1[[#This Row],[TOTAL VINES]]-Table1[[#This Row],[VINES LEFT]],"")</f>
        <v>0</v>
      </c>
      <c r="F454" s="105">
        <f ca="1">Table1[[#This Row],[TOTAL VINES]]-Table1[[#This Row],[VINES PICKED]]</f>
        <v>0</v>
      </c>
      <c r="G454" s="106">
        <f t="shared" si="30"/>
        <v>0</v>
      </c>
      <c r="H454" s="106">
        <f t="shared" ca="1" si="32"/>
        <v>0</v>
      </c>
      <c r="I454" s="106">
        <f ca="1">Table1[[#This Row],[TOTAL ACRES]]-Table1[[#This Row],[ACRES PICKED]]</f>
        <v>0</v>
      </c>
      <c r="J454" s="106">
        <f ca="1">Table1[[#This Row],[ACRES PICKED]]</f>
        <v>0</v>
      </c>
      <c r="K454" s="106"/>
      <c r="L454" s="106"/>
      <c r="M454" s="118">
        <f>Table1[[#This Row],[LOADS]]*24</f>
        <v>0</v>
      </c>
      <c r="N454" s="107">
        <f t="shared" ca="1" si="31"/>
        <v>0</v>
      </c>
      <c r="O454" s="108" t="str">
        <f t="shared" ca="1" si="33"/>
        <v/>
      </c>
      <c r="P454" s="109"/>
      <c r="Q454" s="12"/>
      <c r="R454" s="12"/>
    </row>
    <row r="455" spans="1:18" s="121" customFormat="1" ht="13.5" customHeight="1" x14ac:dyDescent="0.3">
      <c r="A455" s="103"/>
      <c r="B455" s="12"/>
      <c r="C455" s="9" t="str" cm="1">
        <f t="array" ref="C455">IF(B455="","",_xlfn._xlws.FILTER('Source List'!I$2:I$268,'Source List'!G$2:G$268='Row Counts'!B455," "))</f>
        <v/>
      </c>
      <c r="D455" s="104"/>
      <c r="E455" s="105">
        <f ca="1">IFERROR(Table1[[#This Row],[TOTAL VINES]]-Table1[[#This Row],[VINES LEFT]],"")</f>
        <v>0</v>
      </c>
      <c r="F455" s="105">
        <f ca="1">Table1[[#This Row],[TOTAL VINES]]-Table1[[#This Row],[VINES PICKED]]</f>
        <v>0</v>
      </c>
      <c r="G455" s="106">
        <f t="shared" si="30"/>
        <v>0</v>
      </c>
      <c r="H455" s="106">
        <f t="shared" ca="1" si="32"/>
        <v>0</v>
      </c>
      <c r="I455" s="106">
        <f ca="1">Table1[[#This Row],[TOTAL ACRES]]-Table1[[#This Row],[ACRES PICKED]]</f>
        <v>0</v>
      </c>
      <c r="J455" s="106">
        <f ca="1">Table1[[#This Row],[ACRES PICKED]]</f>
        <v>0</v>
      </c>
      <c r="K455" s="106"/>
      <c r="L455" s="106"/>
      <c r="M455" s="118">
        <f>Table1[[#This Row],[LOADS]]*24</f>
        <v>0</v>
      </c>
      <c r="N455" s="107">
        <f t="shared" ca="1" si="31"/>
        <v>0</v>
      </c>
      <c r="O455" s="108" t="str">
        <f t="shared" ca="1" si="33"/>
        <v/>
      </c>
      <c r="P455" s="109"/>
      <c r="Q455" s="12"/>
      <c r="R455" s="12"/>
    </row>
    <row r="456" spans="1:18" ht="13.5" customHeight="1" x14ac:dyDescent="0.3">
      <c r="N456" s="107"/>
      <c r="O456" s="108"/>
    </row>
    <row r="457" spans="1:18" ht="13.5" customHeight="1" x14ac:dyDescent="0.3">
      <c r="N457" s="107"/>
      <c r="O457" s="108"/>
    </row>
    <row r="458" spans="1:18" ht="13.5" customHeight="1" x14ac:dyDescent="0.3">
      <c r="N458" s="107"/>
      <c r="O458" s="108"/>
    </row>
    <row r="459" spans="1:18" ht="13.5" customHeight="1" x14ac:dyDescent="0.3">
      <c r="N459" s="107"/>
      <c r="O459" s="108"/>
    </row>
    <row r="460" spans="1:18" ht="13.5" customHeight="1" x14ac:dyDescent="0.3">
      <c r="N460" s="107"/>
      <c r="O460" s="108"/>
    </row>
    <row r="461" spans="1:18" ht="13.5" customHeight="1" x14ac:dyDescent="0.3">
      <c r="N461" s="107"/>
      <c r="O461" s="108"/>
    </row>
    <row r="462" spans="1:18" ht="13.5" customHeight="1" x14ac:dyDescent="0.3">
      <c r="N462" s="107"/>
      <c r="O462" s="108"/>
    </row>
    <row r="463" spans="1:18" ht="13.5" customHeight="1" x14ac:dyDescent="0.3">
      <c r="N463" s="107"/>
      <c r="O463" s="108"/>
    </row>
    <row r="464" spans="1:18" ht="13.5" customHeight="1" x14ac:dyDescent="0.3">
      <c r="N464" s="107"/>
      <c r="O464" s="108"/>
    </row>
    <row r="465" spans="14:15" ht="13.5" customHeight="1" x14ac:dyDescent="0.3">
      <c r="N465" s="107"/>
      <c r="O465" s="108"/>
    </row>
    <row r="466" spans="14:15" ht="13.5" customHeight="1" x14ac:dyDescent="0.3">
      <c r="N466" s="107"/>
      <c r="O466" s="108"/>
    </row>
    <row r="467" spans="14:15" ht="13.5" customHeight="1" x14ac:dyDescent="0.3">
      <c r="N467" s="107"/>
      <c r="O467" s="108"/>
    </row>
    <row r="468" spans="14:15" ht="13.5" customHeight="1" x14ac:dyDescent="0.3">
      <c r="N468" s="107"/>
      <c r="O468" s="108"/>
    </row>
    <row r="469" spans="14:15" ht="13.5" customHeight="1" x14ac:dyDescent="0.3">
      <c r="N469" s="107"/>
      <c r="O469" s="108"/>
    </row>
    <row r="470" spans="14:15" ht="13.5" customHeight="1" x14ac:dyDescent="0.3">
      <c r="N470" s="107"/>
      <c r="O470" s="108"/>
    </row>
    <row r="471" spans="14:15" ht="13.5" customHeight="1" x14ac:dyDescent="0.3">
      <c r="N471" s="107"/>
      <c r="O471" s="108"/>
    </row>
    <row r="472" spans="14:15" ht="13.5" customHeight="1" x14ac:dyDescent="0.3">
      <c r="N472" s="107"/>
      <c r="O472" s="108"/>
    </row>
    <row r="473" spans="14:15" ht="13.5" customHeight="1" x14ac:dyDescent="0.3">
      <c r="N473" s="107"/>
      <c r="O473" s="108"/>
    </row>
    <row r="474" spans="14:15" ht="13.5" customHeight="1" x14ac:dyDescent="0.3">
      <c r="N474" s="107"/>
      <c r="O474" s="108"/>
    </row>
    <row r="475" spans="14:15" ht="13.5" customHeight="1" x14ac:dyDescent="0.3">
      <c r="N475" s="107"/>
      <c r="O475" s="108"/>
    </row>
    <row r="476" spans="14:15" ht="13.5" customHeight="1" x14ac:dyDescent="0.3">
      <c r="N476" s="107"/>
      <c r="O476" s="108"/>
    </row>
    <row r="477" spans="14:15" ht="13.5" customHeight="1" x14ac:dyDescent="0.3">
      <c r="N477" s="107"/>
      <c r="O477" s="108"/>
    </row>
    <row r="478" spans="14:15" ht="13.5" customHeight="1" x14ac:dyDescent="0.3">
      <c r="N478" s="107"/>
      <c r="O478" s="108"/>
    </row>
    <row r="479" spans="14:15" ht="13.5" customHeight="1" x14ac:dyDescent="0.3">
      <c r="N479" s="107"/>
      <c r="O479" s="108"/>
    </row>
    <row r="480" spans="14:15" ht="13.5" customHeight="1" x14ac:dyDescent="0.3">
      <c r="N480" s="107"/>
      <c r="O480" s="108"/>
    </row>
    <row r="481" spans="14:15" ht="13.5" customHeight="1" x14ac:dyDescent="0.3">
      <c r="N481" s="107"/>
      <c r="O481" s="108"/>
    </row>
    <row r="482" spans="14:15" ht="13.5" customHeight="1" x14ac:dyDescent="0.3">
      <c r="N482" s="107"/>
      <c r="O482" s="108"/>
    </row>
    <row r="483" spans="14:15" ht="13.5" customHeight="1" x14ac:dyDescent="0.3">
      <c r="N483" s="107"/>
      <c r="O483" s="108"/>
    </row>
    <row r="484" spans="14:15" ht="13.5" customHeight="1" x14ac:dyDescent="0.3">
      <c r="N484" s="107"/>
      <c r="O484" s="108"/>
    </row>
    <row r="485" spans="14:15" ht="13.5" customHeight="1" x14ac:dyDescent="0.3">
      <c r="N485" s="107"/>
      <c r="O485" s="108"/>
    </row>
    <row r="486" spans="14:15" ht="13.5" customHeight="1" x14ac:dyDescent="0.3">
      <c r="N486" s="107"/>
      <c r="O486" s="108"/>
    </row>
    <row r="487" spans="14:15" ht="13.5" customHeight="1" x14ac:dyDescent="0.3">
      <c r="N487" s="107"/>
      <c r="O487" s="108"/>
    </row>
    <row r="488" spans="14:15" ht="13.5" customHeight="1" x14ac:dyDescent="0.3">
      <c r="N488" s="107"/>
      <c r="O488" s="108"/>
    </row>
    <row r="489" spans="14:15" ht="13.5" customHeight="1" x14ac:dyDescent="0.3">
      <c r="N489" s="107"/>
      <c r="O489" s="108"/>
    </row>
    <row r="490" spans="14:15" ht="13.5" customHeight="1" x14ac:dyDescent="0.3">
      <c r="N490" s="107"/>
      <c r="O490" s="108"/>
    </row>
    <row r="491" spans="14:15" ht="13.5" customHeight="1" x14ac:dyDescent="0.3">
      <c r="N491" s="107"/>
      <c r="O491" s="108"/>
    </row>
    <row r="492" spans="14:15" ht="13.5" customHeight="1" x14ac:dyDescent="0.3">
      <c r="N492" s="107"/>
      <c r="O492" s="108"/>
    </row>
    <row r="493" spans="14:15" ht="13.5" customHeight="1" x14ac:dyDescent="0.3">
      <c r="N493" s="107"/>
      <c r="O493" s="108"/>
    </row>
    <row r="494" spans="14:15" ht="13.5" customHeight="1" x14ac:dyDescent="0.3">
      <c r="N494" s="107"/>
      <c r="O494" s="108"/>
    </row>
    <row r="495" spans="14:15" ht="13.5" customHeight="1" x14ac:dyDescent="0.3">
      <c r="N495" s="107"/>
      <c r="O495" s="108"/>
    </row>
    <row r="496" spans="14:15" ht="13.5" customHeight="1" x14ac:dyDescent="0.3">
      <c r="N496" s="107"/>
      <c r="O496" s="108"/>
    </row>
    <row r="497" spans="14:15" ht="13.5" customHeight="1" x14ac:dyDescent="0.3">
      <c r="N497" s="107"/>
      <c r="O497" s="108"/>
    </row>
    <row r="498" spans="14:15" ht="13.5" customHeight="1" x14ac:dyDescent="0.3">
      <c r="N498" s="107"/>
      <c r="O498" s="108"/>
    </row>
    <row r="499" spans="14:15" ht="13.5" customHeight="1" x14ac:dyDescent="0.3">
      <c r="N499" s="107"/>
      <c r="O499" s="108"/>
    </row>
    <row r="500" spans="14:15" ht="13.5" customHeight="1" x14ac:dyDescent="0.3">
      <c r="N500" s="107"/>
      <c r="O500" s="108"/>
    </row>
    <row r="501" spans="14:15" ht="13.5" customHeight="1" x14ac:dyDescent="0.3">
      <c r="N501" s="107"/>
      <c r="O501" s="108"/>
    </row>
    <row r="502" spans="14:15" ht="13.5" customHeight="1" x14ac:dyDescent="0.3">
      <c r="N502" s="107"/>
      <c r="O502" s="108"/>
    </row>
    <row r="503" spans="14:15" ht="13.5" customHeight="1" x14ac:dyDescent="0.3">
      <c r="N503" s="107"/>
      <c r="O503" s="108"/>
    </row>
    <row r="504" spans="14:15" ht="13.5" customHeight="1" x14ac:dyDescent="0.3">
      <c r="N504" s="107"/>
      <c r="O504" s="108"/>
    </row>
    <row r="505" spans="14:15" ht="13.5" customHeight="1" x14ac:dyDescent="0.3">
      <c r="N505" s="107"/>
      <c r="O505" s="108"/>
    </row>
    <row r="506" spans="14:15" ht="13.5" customHeight="1" x14ac:dyDescent="0.3">
      <c r="N506" s="107"/>
      <c r="O506" s="108"/>
    </row>
    <row r="507" spans="14:15" ht="13.5" customHeight="1" x14ac:dyDescent="0.3">
      <c r="N507" s="107"/>
      <c r="O507" s="108"/>
    </row>
    <row r="508" spans="14:15" ht="13.5" customHeight="1" x14ac:dyDescent="0.3">
      <c r="N508" s="107"/>
      <c r="O508" s="108"/>
    </row>
    <row r="509" spans="14:15" ht="13.5" customHeight="1" x14ac:dyDescent="0.3">
      <c r="N509" s="107"/>
      <c r="O509" s="108"/>
    </row>
    <row r="510" spans="14:15" ht="13.5" customHeight="1" x14ac:dyDescent="0.3">
      <c r="N510" s="107"/>
      <c r="O510" s="108"/>
    </row>
    <row r="511" spans="14:15" ht="13.5" customHeight="1" x14ac:dyDescent="0.3">
      <c r="N511" s="107"/>
      <c r="O511" s="108"/>
    </row>
    <row r="512" spans="14:15" ht="13.5" customHeight="1" x14ac:dyDescent="0.3">
      <c r="N512" s="107"/>
      <c r="O512" s="108"/>
    </row>
    <row r="513" spans="14:15" ht="13.5" customHeight="1" x14ac:dyDescent="0.3">
      <c r="N513" s="107"/>
      <c r="O513" s="108"/>
    </row>
    <row r="514" spans="14:15" ht="13.5" customHeight="1" x14ac:dyDescent="0.3">
      <c r="N514" s="107"/>
      <c r="O514" s="108"/>
    </row>
    <row r="515" spans="14:15" ht="13.5" customHeight="1" x14ac:dyDescent="0.3">
      <c r="N515" s="107"/>
      <c r="O515" s="108"/>
    </row>
    <row r="516" spans="14:15" ht="13.5" customHeight="1" x14ac:dyDescent="0.3">
      <c r="N516" s="107"/>
      <c r="O516" s="108"/>
    </row>
    <row r="517" spans="14:15" ht="13.5" customHeight="1" x14ac:dyDescent="0.3">
      <c r="N517" s="107"/>
      <c r="O517" s="108"/>
    </row>
    <row r="518" spans="14:15" ht="13.5" customHeight="1" x14ac:dyDescent="0.3">
      <c r="N518" s="107"/>
      <c r="O518" s="108"/>
    </row>
    <row r="519" spans="14:15" ht="13.5" customHeight="1" x14ac:dyDescent="0.3">
      <c r="N519" s="107"/>
      <c r="O519" s="108"/>
    </row>
    <row r="520" spans="14:15" ht="13.5" customHeight="1" x14ac:dyDescent="0.3">
      <c r="N520" s="107"/>
      <c r="O520" s="108"/>
    </row>
    <row r="521" spans="14:15" ht="13.5" customHeight="1" x14ac:dyDescent="0.3">
      <c r="N521" s="107"/>
      <c r="O521" s="108"/>
    </row>
    <row r="522" spans="14:15" ht="13.5" customHeight="1" x14ac:dyDescent="0.3">
      <c r="N522" s="107"/>
      <c r="O522" s="108"/>
    </row>
    <row r="523" spans="14:15" ht="13.5" customHeight="1" x14ac:dyDescent="0.3">
      <c r="N523" s="107"/>
      <c r="O523" s="108"/>
    </row>
    <row r="524" spans="14:15" ht="13.5" customHeight="1" x14ac:dyDescent="0.3">
      <c r="N524" s="107"/>
      <c r="O524" s="108"/>
    </row>
    <row r="525" spans="14:15" ht="13.5" customHeight="1" x14ac:dyDescent="0.3">
      <c r="N525" s="107"/>
      <c r="O525" s="108"/>
    </row>
    <row r="526" spans="14:15" ht="13.5" customHeight="1" x14ac:dyDescent="0.3">
      <c r="N526" s="107"/>
      <c r="O526" s="108"/>
    </row>
    <row r="527" spans="14:15" ht="13.5" customHeight="1" x14ac:dyDescent="0.3">
      <c r="N527" s="107"/>
      <c r="O527" s="108"/>
    </row>
    <row r="528" spans="14:15" ht="13.5" customHeight="1" x14ac:dyDescent="0.3">
      <c r="N528" s="107"/>
      <c r="O528" s="108"/>
    </row>
    <row r="529" spans="14:15" ht="13.5" customHeight="1" x14ac:dyDescent="0.3">
      <c r="N529" s="107"/>
      <c r="O529" s="108"/>
    </row>
    <row r="530" spans="14:15" ht="13.5" customHeight="1" x14ac:dyDescent="0.3">
      <c r="N530" s="107"/>
      <c r="O530" s="108"/>
    </row>
    <row r="531" spans="14:15" ht="13.5" customHeight="1" x14ac:dyDescent="0.3">
      <c r="N531" s="107"/>
      <c r="O531" s="108"/>
    </row>
    <row r="532" spans="14:15" ht="13.5" customHeight="1" x14ac:dyDescent="0.3">
      <c r="N532" s="107"/>
      <c r="O532" s="108"/>
    </row>
    <row r="533" spans="14:15" ht="13.5" customHeight="1" x14ac:dyDescent="0.3">
      <c r="N533" s="107"/>
      <c r="O533" s="108"/>
    </row>
    <row r="534" spans="14:15" ht="13.5" customHeight="1" x14ac:dyDescent="0.3">
      <c r="N534" s="107"/>
      <c r="O534" s="108"/>
    </row>
    <row r="535" spans="14:15" ht="13.5" customHeight="1" x14ac:dyDescent="0.3">
      <c r="N535" s="107"/>
      <c r="O535" s="108"/>
    </row>
    <row r="536" spans="14:15" ht="13.5" customHeight="1" x14ac:dyDescent="0.3">
      <c r="N536" s="107"/>
      <c r="O536" s="108"/>
    </row>
    <row r="537" spans="14:15" ht="13.5" customHeight="1" x14ac:dyDescent="0.3">
      <c r="N537" s="107"/>
      <c r="O537" s="108"/>
    </row>
    <row r="538" spans="14:15" ht="13.5" customHeight="1" x14ac:dyDescent="0.3">
      <c r="N538" s="107"/>
      <c r="O538" s="108"/>
    </row>
    <row r="539" spans="14:15" ht="13.5" customHeight="1" x14ac:dyDescent="0.3">
      <c r="N539" s="107"/>
      <c r="O539" s="108"/>
    </row>
    <row r="540" spans="14:15" ht="13.5" customHeight="1" x14ac:dyDescent="0.3">
      <c r="N540" s="107"/>
      <c r="O540" s="108"/>
    </row>
    <row r="541" spans="14:15" ht="13.5" customHeight="1" x14ac:dyDescent="0.3">
      <c r="N541" s="107"/>
      <c r="O541" s="108"/>
    </row>
    <row r="542" spans="14:15" ht="13.5" customHeight="1" x14ac:dyDescent="0.3">
      <c r="N542" s="107"/>
      <c r="O542" s="108"/>
    </row>
    <row r="543" spans="14:15" ht="13.5" customHeight="1" x14ac:dyDescent="0.3">
      <c r="N543" s="107"/>
      <c r="O543" s="108"/>
    </row>
    <row r="544" spans="14:15" ht="13.5" customHeight="1" x14ac:dyDescent="0.3">
      <c r="N544" s="107"/>
      <c r="O544" s="108"/>
    </row>
    <row r="545" spans="14:15" ht="13.5" customHeight="1" x14ac:dyDescent="0.3">
      <c r="N545" s="107"/>
      <c r="O545" s="108"/>
    </row>
    <row r="546" spans="14:15" ht="13.5" customHeight="1" x14ac:dyDescent="0.3">
      <c r="N546" s="107"/>
      <c r="O546" s="108"/>
    </row>
    <row r="547" spans="14:15" ht="13.5" customHeight="1" x14ac:dyDescent="0.3">
      <c r="N547" s="107"/>
      <c r="O547" s="108"/>
    </row>
    <row r="548" spans="14:15" ht="13.5" customHeight="1" x14ac:dyDescent="0.3">
      <c r="N548" s="107"/>
      <c r="O548" s="108"/>
    </row>
    <row r="549" spans="14:15" ht="13.5" customHeight="1" x14ac:dyDescent="0.3">
      <c r="N549" s="107"/>
      <c r="O549" s="108"/>
    </row>
    <row r="550" spans="14:15" ht="13.5" customHeight="1" x14ac:dyDescent="0.3">
      <c r="N550" s="107"/>
      <c r="O550" s="108"/>
    </row>
    <row r="551" spans="14:15" ht="13.5" customHeight="1" x14ac:dyDescent="0.3">
      <c r="N551" s="107"/>
      <c r="O551" s="108"/>
    </row>
    <row r="552" spans="14:15" ht="13.5" customHeight="1" x14ac:dyDescent="0.3">
      <c r="N552" s="107"/>
      <c r="O552" s="108"/>
    </row>
    <row r="553" spans="14:15" ht="13.5" customHeight="1" x14ac:dyDescent="0.3">
      <c r="N553" s="107"/>
      <c r="O553" s="108"/>
    </row>
    <row r="554" spans="14:15" ht="13.5" customHeight="1" x14ac:dyDescent="0.3">
      <c r="N554" s="107"/>
      <c r="O554" s="108"/>
    </row>
    <row r="555" spans="14:15" ht="13.5" customHeight="1" x14ac:dyDescent="0.3">
      <c r="N555" s="107"/>
      <c r="O555" s="108"/>
    </row>
    <row r="556" spans="14:15" ht="13.5" customHeight="1" x14ac:dyDescent="0.3">
      <c r="N556" s="107"/>
      <c r="O556" s="108"/>
    </row>
    <row r="557" spans="14:15" ht="13.5" customHeight="1" x14ac:dyDescent="0.3">
      <c r="N557" s="107"/>
      <c r="O557" s="108"/>
    </row>
    <row r="558" spans="14:15" ht="13.5" customHeight="1" x14ac:dyDescent="0.3">
      <c r="N558" s="107"/>
      <c r="O558" s="108"/>
    </row>
    <row r="559" spans="14:15" ht="13.5" customHeight="1" x14ac:dyDescent="0.3">
      <c r="N559" s="107"/>
      <c r="O559" s="108"/>
    </row>
    <row r="560" spans="14:15" ht="13.5" customHeight="1" x14ac:dyDescent="0.3">
      <c r="N560" s="107"/>
      <c r="O560" s="108"/>
    </row>
    <row r="561" spans="14:15" ht="13.5" customHeight="1" x14ac:dyDescent="0.3">
      <c r="N561" s="107"/>
      <c r="O561" s="108"/>
    </row>
    <row r="562" spans="14:15" ht="13.5" customHeight="1" x14ac:dyDescent="0.3">
      <c r="N562" s="107"/>
      <c r="O562" s="108"/>
    </row>
    <row r="563" spans="14:15" ht="13.5" customHeight="1" x14ac:dyDescent="0.3">
      <c r="N563" s="107"/>
      <c r="O563" s="108"/>
    </row>
    <row r="564" spans="14:15" ht="13.5" customHeight="1" x14ac:dyDescent="0.3">
      <c r="N564" s="107"/>
      <c r="O564" s="108"/>
    </row>
    <row r="565" spans="14:15" ht="13.5" customHeight="1" x14ac:dyDescent="0.3">
      <c r="N565" s="107"/>
      <c r="O565" s="108"/>
    </row>
    <row r="566" spans="14:15" ht="13.5" customHeight="1" x14ac:dyDescent="0.3">
      <c r="N566" s="107"/>
      <c r="O566" s="108"/>
    </row>
    <row r="567" spans="14:15" ht="13.5" customHeight="1" x14ac:dyDescent="0.3">
      <c r="N567" s="107"/>
      <c r="O567" s="108"/>
    </row>
    <row r="568" spans="14:15" ht="13.5" customHeight="1" x14ac:dyDescent="0.3">
      <c r="N568" s="107"/>
      <c r="O568" s="108"/>
    </row>
    <row r="569" spans="14:15" ht="13.5" customHeight="1" x14ac:dyDescent="0.3">
      <c r="N569" s="107"/>
      <c r="O569" s="108"/>
    </row>
    <row r="570" spans="14:15" ht="13.5" customHeight="1" x14ac:dyDescent="0.3">
      <c r="N570" s="107"/>
      <c r="O570" s="108"/>
    </row>
    <row r="571" spans="14:15" ht="13.5" customHeight="1" x14ac:dyDescent="0.3">
      <c r="N571" s="107"/>
      <c r="O571" s="108"/>
    </row>
    <row r="572" spans="14:15" ht="13.5" customHeight="1" x14ac:dyDescent="0.3">
      <c r="N572" s="107"/>
      <c r="O572" s="108"/>
    </row>
    <row r="573" spans="14:15" ht="13.5" customHeight="1" x14ac:dyDescent="0.3">
      <c r="N573" s="107"/>
      <c r="O573" s="108"/>
    </row>
    <row r="574" spans="14:15" ht="13.5" customHeight="1" x14ac:dyDescent="0.3">
      <c r="N574" s="107"/>
      <c r="O574" s="108"/>
    </row>
    <row r="575" spans="14:15" ht="13.5" customHeight="1" x14ac:dyDescent="0.3">
      <c r="N575" s="107"/>
      <c r="O575" s="108"/>
    </row>
    <row r="576" spans="14:15" ht="13.5" customHeight="1" x14ac:dyDescent="0.3">
      <c r="N576" s="107"/>
      <c r="O576" s="108"/>
    </row>
    <row r="577" spans="14:15" ht="13.5" customHeight="1" x14ac:dyDescent="0.3">
      <c r="N577" s="107"/>
      <c r="O577" s="108"/>
    </row>
    <row r="578" spans="14:15" ht="13.5" customHeight="1" x14ac:dyDescent="0.3">
      <c r="N578" s="107"/>
      <c r="O578" s="108"/>
    </row>
    <row r="579" spans="14:15" ht="13.5" customHeight="1" x14ac:dyDescent="0.3">
      <c r="N579" s="107"/>
      <c r="O579" s="108"/>
    </row>
    <row r="580" spans="14:15" ht="13.5" customHeight="1" x14ac:dyDescent="0.3">
      <c r="N580" s="107"/>
      <c r="O580" s="108"/>
    </row>
    <row r="581" spans="14:15" ht="13.5" customHeight="1" x14ac:dyDescent="0.3">
      <c r="N581" s="107"/>
      <c r="O581" s="108"/>
    </row>
    <row r="582" spans="14:15" ht="13.5" customHeight="1" x14ac:dyDescent="0.3">
      <c r="N582" s="107"/>
      <c r="O582" s="108"/>
    </row>
    <row r="583" spans="14:15" ht="13.5" customHeight="1" x14ac:dyDescent="0.3">
      <c r="N583" s="107"/>
      <c r="O583" s="108"/>
    </row>
    <row r="584" spans="14:15" ht="13.5" customHeight="1" x14ac:dyDescent="0.3">
      <c r="N584" s="107"/>
      <c r="O584" s="108"/>
    </row>
    <row r="585" spans="14:15" ht="13.5" customHeight="1" x14ac:dyDescent="0.3">
      <c r="N585" s="107"/>
      <c r="O585" s="108"/>
    </row>
    <row r="586" spans="14:15" ht="13.5" customHeight="1" x14ac:dyDescent="0.3">
      <c r="N586" s="107"/>
      <c r="O586" s="108"/>
    </row>
    <row r="587" spans="14:15" ht="13.5" customHeight="1" x14ac:dyDescent="0.3">
      <c r="N587" s="107"/>
      <c r="O587" s="108"/>
    </row>
    <row r="588" spans="14:15" ht="13.5" customHeight="1" x14ac:dyDescent="0.3">
      <c r="N588" s="107"/>
      <c r="O588" s="108"/>
    </row>
    <row r="589" spans="14:15" ht="13.5" customHeight="1" x14ac:dyDescent="0.3">
      <c r="N589" s="107"/>
      <c r="O589" s="108"/>
    </row>
    <row r="590" spans="14:15" ht="13.5" customHeight="1" x14ac:dyDescent="0.3">
      <c r="N590" s="107"/>
      <c r="O590" s="108"/>
    </row>
    <row r="591" spans="14:15" ht="13.5" customHeight="1" x14ac:dyDescent="0.3">
      <c r="N591" s="107"/>
      <c r="O591" s="108"/>
    </row>
    <row r="592" spans="14:15" ht="13.5" customHeight="1" x14ac:dyDescent="0.3">
      <c r="N592" s="107"/>
      <c r="O592" s="108"/>
    </row>
    <row r="593" spans="14:15" ht="13.5" customHeight="1" x14ac:dyDescent="0.3">
      <c r="N593" s="107"/>
      <c r="O593" s="108"/>
    </row>
    <row r="594" spans="14:15" ht="13.5" customHeight="1" x14ac:dyDescent="0.3">
      <c r="N594" s="107"/>
      <c r="O594" s="108"/>
    </row>
    <row r="595" spans="14:15" ht="13.5" customHeight="1" x14ac:dyDescent="0.3">
      <c r="N595" s="107"/>
      <c r="O595" s="108"/>
    </row>
    <row r="596" spans="14:15" ht="13.5" customHeight="1" x14ac:dyDescent="0.3">
      <c r="N596" s="107"/>
      <c r="O596" s="108"/>
    </row>
    <row r="597" spans="14:15" ht="13.5" customHeight="1" x14ac:dyDescent="0.3">
      <c r="N597" s="107"/>
      <c r="O597" s="108"/>
    </row>
    <row r="598" spans="14:15" ht="13.5" customHeight="1" x14ac:dyDescent="0.3">
      <c r="N598" s="107"/>
      <c r="O598" s="108"/>
    </row>
    <row r="599" spans="14:15" ht="13.5" customHeight="1" x14ac:dyDescent="0.3">
      <c r="N599" s="107"/>
      <c r="O599" s="108"/>
    </row>
    <row r="600" spans="14:15" ht="13.5" customHeight="1" x14ac:dyDescent="0.3">
      <c r="N600" s="107"/>
      <c r="O600" s="108"/>
    </row>
    <row r="601" spans="14:15" ht="13.5" customHeight="1" x14ac:dyDescent="0.3">
      <c r="N601" s="107"/>
      <c r="O601" s="108"/>
    </row>
    <row r="602" spans="14:15" ht="13.5" customHeight="1" x14ac:dyDescent="0.3">
      <c r="N602" s="107"/>
      <c r="O602" s="108"/>
    </row>
    <row r="603" spans="14:15" ht="13.5" customHeight="1" x14ac:dyDescent="0.3">
      <c r="N603" s="107"/>
      <c r="O603" s="108"/>
    </row>
    <row r="604" spans="14:15" ht="13.5" customHeight="1" x14ac:dyDescent="0.3">
      <c r="N604" s="107"/>
      <c r="O604" s="108"/>
    </row>
    <row r="605" spans="14:15" ht="13.5" customHeight="1" x14ac:dyDescent="0.3">
      <c r="N605" s="107"/>
      <c r="O605" s="108"/>
    </row>
    <row r="606" spans="14:15" ht="13.5" customHeight="1" x14ac:dyDescent="0.3">
      <c r="N606" s="107"/>
      <c r="O606" s="108"/>
    </row>
    <row r="607" spans="14:15" ht="13.5" customHeight="1" x14ac:dyDescent="0.3">
      <c r="N607" s="107"/>
      <c r="O607" s="108"/>
    </row>
    <row r="608" spans="14:15" ht="13.5" customHeight="1" x14ac:dyDescent="0.3">
      <c r="N608" s="107"/>
      <c r="O608" s="108"/>
    </row>
    <row r="609" spans="14:15" ht="13.5" customHeight="1" x14ac:dyDescent="0.3">
      <c r="N609" s="107"/>
      <c r="O609" s="108"/>
    </row>
    <row r="610" spans="14:15" ht="13.5" customHeight="1" x14ac:dyDescent="0.3">
      <c r="N610" s="107"/>
      <c r="O610" s="108"/>
    </row>
    <row r="611" spans="14:15" ht="13.5" customHeight="1" x14ac:dyDescent="0.3">
      <c r="N611" s="107"/>
      <c r="O611" s="108"/>
    </row>
    <row r="612" spans="14:15" ht="13.5" customHeight="1" x14ac:dyDescent="0.3">
      <c r="N612" s="107"/>
      <c r="O612" s="108"/>
    </row>
    <row r="613" spans="14:15" ht="13.5" customHeight="1" x14ac:dyDescent="0.3">
      <c r="N613" s="107"/>
      <c r="O613" s="108"/>
    </row>
    <row r="614" spans="14:15" ht="13.5" customHeight="1" x14ac:dyDescent="0.3">
      <c r="N614" s="107"/>
      <c r="O614" s="108"/>
    </row>
    <row r="615" spans="14:15" ht="13.5" customHeight="1" x14ac:dyDescent="0.3">
      <c r="N615" s="107"/>
      <c r="O615" s="108"/>
    </row>
    <row r="616" spans="14:15" ht="13.5" customHeight="1" x14ac:dyDescent="0.3">
      <c r="N616" s="107"/>
      <c r="O616" s="108"/>
    </row>
    <row r="617" spans="14:15" ht="13.5" customHeight="1" x14ac:dyDescent="0.3">
      <c r="N617" s="107"/>
      <c r="O617" s="108"/>
    </row>
    <row r="618" spans="14:15" ht="13.5" customHeight="1" x14ac:dyDescent="0.3">
      <c r="N618" s="107"/>
      <c r="O618" s="108"/>
    </row>
    <row r="619" spans="14:15" ht="13.5" customHeight="1" x14ac:dyDescent="0.3">
      <c r="N619" s="107"/>
      <c r="O619" s="108"/>
    </row>
    <row r="620" spans="14:15" ht="13.5" customHeight="1" x14ac:dyDescent="0.3">
      <c r="N620" s="107"/>
      <c r="O620" s="108"/>
    </row>
    <row r="621" spans="14:15" ht="13.5" customHeight="1" x14ac:dyDescent="0.3">
      <c r="N621" s="107"/>
      <c r="O621" s="108"/>
    </row>
    <row r="622" spans="14:15" ht="13.5" customHeight="1" x14ac:dyDescent="0.3">
      <c r="N622" s="107"/>
      <c r="O622" s="108"/>
    </row>
    <row r="623" spans="14:15" ht="13.5" customHeight="1" x14ac:dyDescent="0.3">
      <c r="N623" s="107"/>
      <c r="O623" s="108"/>
    </row>
    <row r="624" spans="14:15" ht="13.5" customHeight="1" x14ac:dyDescent="0.3">
      <c r="N624" s="107"/>
      <c r="O624" s="108"/>
    </row>
    <row r="625" spans="14:15" ht="13.5" customHeight="1" x14ac:dyDescent="0.3">
      <c r="N625" s="107"/>
      <c r="O625" s="108"/>
    </row>
    <row r="626" spans="14:15" ht="13.5" customHeight="1" x14ac:dyDescent="0.3">
      <c r="N626" s="107"/>
      <c r="O626" s="108"/>
    </row>
    <row r="627" spans="14:15" ht="13.5" customHeight="1" x14ac:dyDescent="0.3">
      <c r="N627" s="107"/>
      <c r="O627" s="108"/>
    </row>
    <row r="628" spans="14:15" ht="13.5" customHeight="1" x14ac:dyDescent="0.3">
      <c r="N628" s="107"/>
      <c r="O628" s="108"/>
    </row>
    <row r="629" spans="14:15" ht="13.5" customHeight="1" x14ac:dyDescent="0.3">
      <c r="N629" s="107"/>
      <c r="O629" s="108"/>
    </row>
    <row r="630" spans="14:15" ht="13.5" customHeight="1" x14ac:dyDescent="0.3">
      <c r="N630" s="107"/>
      <c r="O630" s="108"/>
    </row>
    <row r="631" spans="14:15" ht="13.5" customHeight="1" x14ac:dyDescent="0.3">
      <c r="N631" s="107"/>
      <c r="O631" s="108"/>
    </row>
    <row r="632" spans="14:15" ht="13.5" customHeight="1" x14ac:dyDescent="0.3">
      <c r="N632" s="107"/>
      <c r="O632" s="108"/>
    </row>
    <row r="633" spans="14:15" ht="13.5" customHeight="1" x14ac:dyDescent="0.3">
      <c r="N633" s="107"/>
      <c r="O633" s="108"/>
    </row>
    <row r="634" spans="14:15" ht="13.5" customHeight="1" x14ac:dyDescent="0.3">
      <c r="N634" s="107"/>
      <c r="O634" s="108"/>
    </row>
    <row r="635" spans="14:15" ht="13.5" customHeight="1" x14ac:dyDescent="0.3">
      <c r="N635" s="107"/>
      <c r="O635" s="108"/>
    </row>
    <row r="636" spans="14:15" ht="13.5" customHeight="1" x14ac:dyDescent="0.3">
      <c r="N636" s="107"/>
      <c r="O636" s="108"/>
    </row>
    <row r="637" spans="14:15" ht="13.5" customHeight="1" x14ac:dyDescent="0.3">
      <c r="N637" s="107"/>
      <c r="O637" s="108"/>
    </row>
    <row r="638" spans="14:15" ht="13.5" customHeight="1" x14ac:dyDescent="0.3">
      <c r="N638" s="107"/>
      <c r="O638" s="108"/>
    </row>
    <row r="639" spans="14:15" ht="13.5" customHeight="1" x14ac:dyDescent="0.3">
      <c r="N639" s="107"/>
      <c r="O639" s="108"/>
    </row>
    <row r="640" spans="14:15" ht="13.5" customHeight="1" x14ac:dyDescent="0.3">
      <c r="N640" s="107"/>
      <c r="O640" s="108"/>
    </row>
    <row r="641" spans="14:18" ht="13.5" customHeight="1" x14ac:dyDescent="0.3">
      <c r="N641" s="107"/>
      <c r="O641" s="108"/>
    </row>
    <row r="642" spans="14:18" ht="13.5" customHeight="1" x14ac:dyDescent="0.3">
      <c r="N642" s="107"/>
      <c r="O642" s="108"/>
    </row>
    <row r="643" spans="14:18" ht="13.5" customHeight="1" x14ac:dyDescent="0.3">
      <c r="N643" s="107"/>
      <c r="O643" s="108"/>
    </row>
    <row r="644" spans="14:18" ht="13.5" customHeight="1" x14ac:dyDescent="0.3">
      <c r="N644" s="107"/>
      <c r="O644" s="108"/>
    </row>
    <row r="645" spans="14:18" ht="13.5" customHeight="1" x14ac:dyDescent="0.3">
      <c r="N645" s="107"/>
      <c r="O645" s="108"/>
      <c r="Q645" s="129"/>
    </row>
    <row r="646" spans="14:18" ht="13.5" customHeight="1" x14ac:dyDescent="0.3">
      <c r="N646" s="107"/>
      <c r="O646" s="108"/>
      <c r="R646" s="129"/>
    </row>
    <row r="647" spans="14:18" ht="13.5" customHeight="1" x14ac:dyDescent="0.3">
      <c r="N647" s="107"/>
      <c r="O647" s="108"/>
      <c r="Q647" s="129"/>
    </row>
    <row r="648" spans="14:18" ht="13.5" customHeight="1" x14ac:dyDescent="0.3">
      <c r="N648" s="107"/>
      <c r="O648" s="108"/>
    </row>
    <row r="649" spans="14:18" ht="13.5" customHeight="1" x14ac:dyDescent="0.3">
      <c r="N649" s="107"/>
      <c r="O649" s="108"/>
    </row>
    <row r="650" spans="14:18" ht="13.5" customHeight="1" x14ac:dyDescent="0.3">
      <c r="N650" s="107"/>
      <c r="O650" s="108"/>
    </row>
    <row r="651" spans="14:18" ht="13.5" customHeight="1" x14ac:dyDescent="0.3">
      <c r="N651" s="107"/>
      <c r="O651" s="108"/>
    </row>
    <row r="652" spans="14:18" ht="13.5" customHeight="1" x14ac:dyDescent="0.3">
      <c r="N652" s="107"/>
      <c r="O652" s="108"/>
    </row>
    <row r="653" spans="14:18" ht="13.5" customHeight="1" x14ac:dyDescent="0.3">
      <c r="N653" s="107"/>
      <c r="O653" s="108"/>
    </row>
    <row r="654" spans="14:18" ht="13.5" customHeight="1" x14ac:dyDescent="0.3">
      <c r="N654" s="107"/>
      <c r="O654" s="108"/>
    </row>
    <row r="655" spans="14:18" ht="13.5" customHeight="1" x14ac:dyDescent="0.3">
      <c r="N655" s="107"/>
      <c r="O655" s="108"/>
    </row>
    <row r="656" spans="14:18" ht="13.5" customHeight="1" x14ac:dyDescent="0.3">
      <c r="N656" s="107"/>
      <c r="O656" s="108"/>
    </row>
    <row r="657" spans="14:15" ht="13.5" customHeight="1" x14ac:dyDescent="0.3">
      <c r="N657" s="107"/>
      <c r="O657" s="108"/>
    </row>
    <row r="658" spans="14:15" ht="13.5" customHeight="1" x14ac:dyDescent="0.3">
      <c r="N658" s="107"/>
      <c r="O658" s="108"/>
    </row>
    <row r="659" spans="14:15" ht="13.5" customHeight="1" x14ac:dyDescent="0.3">
      <c r="N659" s="107"/>
      <c r="O659" s="108"/>
    </row>
    <row r="660" spans="14:15" ht="13.5" customHeight="1" x14ac:dyDescent="0.3">
      <c r="N660" s="107"/>
      <c r="O660" s="108"/>
    </row>
    <row r="661" spans="14:15" ht="13.5" customHeight="1" x14ac:dyDescent="0.3">
      <c r="N661" s="107"/>
      <c r="O661" s="108"/>
    </row>
    <row r="662" spans="14:15" ht="13.5" customHeight="1" x14ac:dyDescent="0.3">
      <c r="N662" s="107"/>
      <c r="O662" s="108"/>
    </row>
    <row r="663" spans="14:15" ht="13.5" customHeight="1" x14ac:dyDescent="0.3">
      <c r="N663" s="107"/>
      <c r="O663" s="108"/>
    </row>
    <row r="664" spans="14:15" ht="13.5" customHeight="1" x14ac:dyDescent="0.3">
      <c r="N664" s="107"/>
      <c r="O664" s="108"/>
    </row>
    <row r="665" spans="14:15" ht="13.5" customHeight="1" x14ac:dyDescent="0.3">
      <c r="N665" s="107"/>
      <c r="O665" s="108"/>
    </row>
    <row r="666" spans="14:15" ht="13.5" customHeight="1" x14ac:dyDescent="0.3">
      <c r="N666" s="107"/>
      <c r="O666" s="108"/>
    </row>
    <row r="667" spans="14:15" ht="13.5" customHeight="1" x14ac:dyDescent="0.3">
      <c r="N667" s="107"/>
      <c r="O667" s="108"/>
    </row>
    <row r="668" spans="14:15" ht="13.5" customHeight="1" x14ac:dyDescent="0.3">
      <c r="N668" s="107"/>
      <c r="O668" s="108"/>
    </row>
    <row r="669" spans="14:15" ht="13.5" customHeight="1" x14ac:dyDescent="0.3">
      <c r="N669" s="107"/>
      <c r="O669" s="108"/>
    </row>
    <row r="670" spans="14:15" ht="13.5" customHeight="1" x14ac:dyDescent="0.3">
      <c r="N670" s="107"/>
      <c r="O670" s="108"/>
    </row>
    <row r="671" spans="14:15" ht="13.5" customHeight="1" x14ac:dyDescent="0.3">
      <c r="N671" s="107"/>
      <c r="O671" s="108"/>
    </row>
    <row r="672" spans="14:15" ht="13.5" customHeight="1" x14ac:dyDescent="0.3">
      <c r="N672" s="107"/>
      <c r="O672" s="108"/>
    </row>
    <row r="673" spans="14:15" ht="13.5" customHeight="1" x14ac:dyDescent="0.3">
      <c r="N673" s="107"/>
      <c r="O673" s="108"/>
    </row>
    <row r="674" spans="14:15" ht="13.5" customHeight="1" x14ac:dyDescent="0.3">
      <c r="N674" s="107"/>
      <c r="O674" s="108"/>
    </row>
    <row r="675" spans="14:15" ht="13.5" customHeight="1" x14ac:dyDescent="0.3">
      <c r="N675" s="107"/>
      <c r="O675" s="108"/>
    </row>
    <row r="676" spans="14:15" ht="13.5" customHeight="1" x14ac:dyDescent="0.3">
      <c r="N676" s="107"/>
      <c r="O676" s="108"/>
    </row>
    <row r="677" spans="14:15" ht="13.5" customHeight="1" x14ac:dyDescent="0.3">
      <c r="N677" s="107"/>
      <c r="O677" s="108"/>
    </row>
    <row r="678" spans="14:15" ht="13.5" customHeight="1" x14ac:dyDescent="0.3">
      <c r="N678" s="107"/>
      <c r="O678" s="108"/>
    </row>
    <row r="679" spans="14:15" ht="13.5" customHeight="1" x14ac:dyDescent="0.3">
      <c r="N679" s="107"/>
      <c r="O679" s="108"/>
    </row>
    <row r="680" spans="14:15" ht="13.5" customHeight="1" x14ac:dyDescent="0.3">
      <c r="N680" s="107"/>
      <c r="O680" s="108"/>
    </row>
    <row r="681" spans="14:15" ht="13.5" customHeight="1" x14ac:dyDescent="0.3">
      <c r="N681" s="107"/>
      <c r="O681" s="108"/>
    </row>
    <row r="682" spans="14:15" ht="13.5" customHeight="1" x14ac:dyDescent="0.3">
      <c r="N682" s="107"/>
      <c r="O682" s="108"/>
    </row>
    <row r="683" spans="14:15" ht="13.5" customHeight="1" x14ac:dyDescent="0.3">
      <c r="N683" s="107"/>
      <c r="O683" s="108"/>
    </row>
    <row r="684" spans="14:15" ht="13.5" customHeight="1" x14ac:dyDescent="0.3">
      <c r="N684" s="107"/>
      <c r="O684" s="108"/>
    </row>
    <row r="685" spans="14:15" ht="13.5" customHeight="1" x14ac:dyDescent="0.3">
      <c r="N685" s="107"/>
      <c r="O685" s="108"/>
    </row>
    <row r="686" spans="14:15" ht="13.5" customHeight="1" x14ac:dyDescent="0.3">
      <c r="N686" s="107"/>
      <c r="O686" s="108"/>
    </row>
    <row r="687" spans="14:15" ht="13.5" customHeight="1" x14ac:dyDescent="0.3">
      <c r="N687" s="107"/>
      <c r="O687" s="108"/>
    </row>
    <row r="688" spans="14:15" ht="13.5" customHeight="1" x14ac:dyDescent="0.3">
      <c r="N688" s="107"/>
      <c r="O688" s="108"/>
    </row>
    <row r="689" spans="14:15" ht="13.5" customHeight="1" x14ac:dyDescent="0.3">
      <c r="N689" s="107"/>
      <c r="O689" s="108"/>
    </row>
    <row r="690" spans="14:15" ht="13.5" customHeight="1" x14ac:dyDescent="0.3">
      <c r="N690" s="107"/>
      <c r="O690" s="108"/>
    </row>
    <row r="691" spans="14:15" ht="13.5" customHeight="1" x14ac:dyDescent="0.3">
      <c r="N691" s="107"/>
      <c r="O691" s="108"/>
    </row>
    <row r="692" spans="14:15" ht="13.5" customHeight="1" x14ac:dyDescent="0.3">
      <c r="N692" s="107"/>
      <c r="O692" s="108"/>
    </row>
    <row r="693" spans="14:15" ht="13.5" customHeight="1" x14ac:dyDescent="0.3">
      <c r="N693" s="107"/>
      <c r="O693" s="108"/>
    </row>
    <row r="694" spans="14:15" ht="13.5" customHeight="1" x14ac:dyDescent="0.3">
      <c r="N694" s="107"/>
      <c r="O694" s="108"/>
    </row>
    <row r="695" spans="14:15" ht="13.5" customHeight="1" x14ac:dyDescent="0.3">
      <c r="N695" s="107"/>
      <c r="O695" s="108"/>
    </row>
    <row r="696" spans="14:15" ht="13.5" customHeight="1" x14ac:dyDescent="0.3">
      <c r="N696" s="107"/>
      <c r="O696" s="108"/>
    </row>
    <row r="697" spans="14:15" ht="13.5" customHeight="1" x14ac:dyDescent="0.3">
      <c r="N697" s="107"/>
      <c r="O697" s="108"/>
    </row>
    <row r="698" spans="14:15" ht="13.5" customHeight="1" x14ac:dyDescent="0.3">
      <c r="N698" s="107"/>
      <c r="O698" s="108"/>
    </row>
    <row r="699" spans="14:15" ht="13.5" customHeight="1" x14ac:dyDescent="0.3">
      <c r="N699" s="107"/>
      <c r="O699" s="108"/>
    </row>
    <row r="700" spans="14:15" ht="13.5" customHeight="1" x14ac:dyDescent="0.3">
      <c r="N700" s="107"/>
      <c r="O700" s="108"/>
    </row>
    <row r="701" spans="14:15" ht="13.5" customHeight="1" x14ac:dyDescent="0.3">
      <c r="N701" s="107"/>
      <c r="O701" s="108"/>
    </row>
    <row r="702" spans="14:15" ht="13.5" customHeight="1" x14ac:dyDescent="0.3">
      <c r="N702" s="107"/>
      <c r="O702" s="108"/>
    </row>
    <row r="703" spans="14:15" ht="13.5" customHeight="1" x14ac:dyDescent="0.3">
      <c r="N703" s="107"/>
      <c r="O703" s="108"/>
    </row>
    <row r="704" spans="14:15" ht="13.5" customHeight="1" x14ac:dyDescent="0.3">
      <c r="N704" s="107"/>
      <c r="O704" s="108"/>
    </row>
    <row r="705" spans="14:15" ht="13.5" customHeight="1" x14ac:dyDescent="0.3">
      <c r="N705" s="107"/>
      <c r="O705" s="108"/>
    </row>
    <row r="706" spans="14:15" ht="13.5" customHeight="1" x14ac:dyDescent="0.3">
      <c r="N706" s="107"/>
      <c r="O706" s="108"/>
    </row>
    <row r="707" spans="14:15" ht="13.5" customHeight="1" x14ac:dyDescent="0.3">
      <c r="N707" s="107"/>
      <c r="O707" s="108"/>
    </row>
    <row r="708" spans="14:15" ht="13.5" customHeight="1" x14ac:dyDescent="0.3">
      <c r="N708" s="107"/>
      <c r="O708" s="108"/>
    </row>
    <row r="709" spans="14:15" ht="13.5" customHeight="1" x14ac:dyDescent="0.3">
      <c r="N709" s="107"/>
      <c r="O709" s="108"/>
    </row>
    <row r="710" spans="14:15" ht="13.5" customHeight="1" x14ac:dyDescent="0.3">
      <c r="N710" s="107"/>
      <c r="O710" s="108"/>
    </row>
    <row r="711" spans="14:15" ht="13.5" customHeight="1" x14ac:dyDescent="0.3">
      <c r="N711" s="107"/>
      <c r="O711" s="108"/>
    </row>
    <row r="712" spans="14:15" ht="13.5" customHeight="1" x14ac:dyDescent="0.3">
      <c r="N712" s="107"/>
      <c r="O712" s="108"/>
    </row>
    <row r="713" spans="14:15" ht="13.5" customHeight="1" x14ac:dyDescent="0.3">
      <c r="N713" s="107"/>
      <c r="O713" s="108"/>
    </row>
    <row r="714" spans="14:15" ht="13.5" customHeight="1" x14ac:dyDescent="0.3">
      <c r="N714" s="107"/>
      <c r="O714" s="108"/>
    </row>
    <row r="715" spans="14:15" ht="13.5" customHeight="1" x14ac:dyDescent="0.3">
      <c r="N715" s="107"/>
      <c r="O715" s="108"/>
    </row>
    <row r="716" spans="14:15" ht="13.5" customHeight="1" x14ac:dyDescent="0.3">
      <c r="N716" s="107"/>
      <c r="O716" s="108"/>
    </row>
    <row r="717" spans="14:15" ht="13.5" customHeight="1" x14ac:dyDescent="0.3">
      <c r="N717" s="107"/>
      <c r="O717" s="108"/>
    </row>
    <row r="718" spans="14:15" ht="13.5" customHeight="1" x14ac:dyDescent="0.3">
      <c r="N718" s="107"/>
      <c r="O718" s="108"/>
    </row>
    <row r="719" spans="14:15" ht="13.5" customHeight="1" x14ac:dyDescent="0.3">
      <c r="N719" s="107"/>
      <c r="O719" s="108"/>
    </row>
    <row r="720" spans="14:15" ht="13.5" customHeight="1" x14ac:dyDescent="0.3">
      <c r="N720" s="107"/>
      <c r="O720" s="108"/>
    </row>
    <row r="721" spans="14:15" ht="13.5" customHeight="1" x14ac:dyDescent="0.3">
      <c r="N721" s="107"/>
      <c r="O721" s="108"/>
    </row>
    <row r="722" spans="14:15" ht="13.5" customHeight="1" x14ac:dyDescent="0.3">
      <c r="N722" s="107"/>
      <c r="O722" s="108"/>
    </row>
    <row r="723" spans="14:15" ht="13.5" customHeight="1" x14ac:dyDescent="0.3">
      <c r="N723" s="107"/>
      <c r="O723" s="108"/>
    </row>
    <row r="724" spans="14:15" ht="13.5" customHeight="1" x14ac:dyDescent="0.3">
      <c r="N724" s="107"/>
      <c r="O724" s="108"/>
    </row>
    <row r="725" spans="14:15" ht="13.5" customHeight="1" x14ac:dyDescent="0.3">
      <c r="N725" s="107"/>
      <c r="O725" s="108"/>
    </row>
    <row r="726" spans="14:15" ht="13.5" customHeight="1" x14ac:dyDescent="0.3">
      <c r="N726" s="107"/>
      <c r="O726" s="108"/>
    </row>
    <row r="727" spans="14:15" ht="13.5" customHeight="1" x14ac:dyDescent="0.3">
      <c r="N727" s="107"/>
      <c r="O727" s="108"/>
    </row>
    <row r="728" spans="14:15" ht="13.5" customHeight="1" x14ac:dyDescent="0.3">
      <c r="N728" s="107"/>
      <c r="O728" s="108"/>
    </row>
    <row r="729" spans="14:15" ht="13.5" customHeight="1" x14ac:dyDescent="0.3">
      <c r="N729" s="107"/>
      <c r="O729" s="108"/>
    </row>
    <row r="730" spans="14:15" ht="13.5" customHeight="1" x14ac:dyDescent="0.3">
      <c r="N730" s="107"/>
      <c r="O730" s="108"/>
    </row>
    <row r="731" spans="14:15" ht="13.5" customHeight="1" x14ac:dyDescent="0.3">
      <c r="N731" s="107"/>
      <c r="O731" s="108"/>
    </row>
    <row r="732" spans="14:15" ht="13.5" customHeight="1" x14ac:dyDescent="0.3">
      <c r="N732" s="107"/>
      <c r="O732" s="108"/>
    </row>
    <row r="733" spans="14:15" ht="13.5" customHeight="1" x14ac:dyDescent="0.3">
      <c r="N733" s="107"/>
      <c r="O733" s="108"/>
    </row>
    <row r="734" spans="14:15" ht="13.5" customHeight="1" x14ac:dyDescent="0.3">
      <c r="N734" s="107"/>
      <c r="O734" s="108"/>
    </row>
    <row r="735" spans="14:15" ht="13.5" customHeight="1" x14ac:dyDescent="0.3">
      <c r="N735" s="107"/>
      <c r="O735" s="108"/>
    </row>
    <row r="736" spans="14:15" ht="13.5" customHeight="1" x14ac:dyDescent="0.3">
      <c r="N736" s="107"/>
      <c r="O736" s="108"/>
    </row>
    <row r="737" spans="14:15" ht="13.5" customHeight="1" x14ac:dyDescent="0.3">
      <c r="N737" s="107"/>
      <c r="O737" s="108"/>
    </row>
    <row r="738" spans="14:15" ht="13.5" customHeight="1" x14ac:dyDescent="0.3">
      <c r="N738" s="107"/>
      <c r="O738" s="108"/>
    </row>
    <row r="739" spans="14:15" ht="13.5" customHeight="1" x14ac:dyDescent="0.3">
      <c r="N739" s="107"/>
      <c r="O739" s="108"/>
    </row>
    <row r="740" spans="14:15" ht="13.5" customHeight="1" x14ac:dyDescent="0.3">
      <c r="N740" s="107"/>
      <c r="O740" s="108"/>
    </row>
    <row r="741" spans="14:15" ht="13.5" customHeight="1" x14ac:dyDescent="0.3">
      <c r="N741" s="107"/>
      <c r="O741" s="108"/>
    </row>
    <row r="742" spans="14:15" ht="13.5" customHeight="1" x14ac:dyDescent="0.3">
      <c r="N742" s="107"/>
      <c r="O742" s="108"/>
    </row>
    <row r="743" spans="14:15" ht="13.5" customHeight="1" x14ac:dyDescent="0.3">
      <c r="N743" s="107"/>
      <c r="O743" s="108"/>
    </row>
    <row r="744" spans="14:15" ht="13.5" customHeight="1" x14ac:dyDescent="0.3">
      <c r="N744" s="107"/>
      <c r="O744" s="108"/>
    </row>
    <row r="745" spans="14:15" ht="13.5" customHeight="1" x14ac:dyDescent="0.3">
      <c r="N745" s="107"/>
      <c r="O745" s="108"/>
    </row>
    <row r="746" spans="14:15" ht="13.5" customHeight="1" x14ac:dyDescent="0.3">
      <c r="N746" s="107"/>
      <c r="O746" s="108"/>
    </row>
    <row r="747" spans="14:15" ht="13.5" customHeight="1" x14ac:dyDescent="0.3">
      <c r="N747" s="107"/>
      <c r="O747" s="108"/>
    </row>
    <row r="748" spans="14:15" ht="13.5" customHeight="1" x14ac:dyDescent="0.3">
      <c r="N748" s="107"/>
      <c r="O748" s="108"/>
    </row>
    <row r="749" spans="14:15" ht="13.5" customHeight="1" x14ac:dyDescent="0.3">
      <c r="N749" s="107"/>
      <c r="O749" s="108"/>
    </row>
    <row r="750" spans="14:15" ht="13.5" customHeight="1" x14ac:dyDescent="0.3">
      <c r="N750" s="107"/>
      <c r="O750" s="108"/>
    </row>
    <row r="751" spans="14:15" ht="13.5" customHeight="1" x14ac:dyDescent="0.3">
      <c r="N751" s="107"/>
      <c r="O751" s="108"/>
    </row>
    <row r="752" spans="14:15" ht="13.5" customHeight="1" x14ac:dyDescent="0.3">
      <c r="N752" s="107"/>
      <c r="O752" s="108"/>
    </row>
    <row r="753" spans="14:15" ht="13.5" customHeight="1" x14ac:dyDescent="0.3">
      <c r="N753" s="107"/>
      <c r="O753" s="108"/>
    </row>
    <row r="754" spans="14:15" ht="13.5" customHeight="1" x14ac:dyDescent="0.3">
      <c r="N754" s="107"/>
      <c r="O754" s="108"/>
    </row>
    <row r="755" spans="14:15" ht="13.5" customHeight="1" x14ac:dyDescent="0.3">
      <c r="N755" s="107"/>
      <c r="O755" s="108"/>
    </row>
    <row r="756" spans="14:15" ht="13.5" customHeight="1" x14ac:dyDescent="0.3">
      <c r="N756" s="107"/>
      <c r="O756" s="108"/>
    </row>
    <row r="757" spans="14:15" ht="13.5" customHeight="1" x14ac:dyDescent="0.3">
      <c r="N757" s="107"/>
      <c r="O757" s="108"/>
    </row>
    <row r="758" spans="14:15" ht="13.5" customHeight="1" x14ac:dyDescent="0.3">
      <c r="N758" s="107"/>
      <c r="O758" s="108"/>
    </row>
    <row r="759" spans="14:15" ht="13.5" customHeight="1" x14ac:dyDescent="0.3">
      <c r="N759" s="107"/>
      <c r="O759" s="108"/>
    </row>
    <row r="760" spans="14:15" ht="13.5" customHeight="1" x14ac:dyDescent="0.3">
      <c r="N760" s="107"/>
      <c r="O760" s="108"/>
    </row>
    <row r="761" spans="14:15" ht="13.5" customHeight="1" x14ac:dyDescent="0.3">
      <c r="N761" s="107"/>
      <c r="O761" s="108"/>
    </row>
    <row r="762" spans="14:15" ht="13.5" customHeight="1" x14ac:dyDescent="0.3">
      <c r="N762" s="107"/>
      <c r="O762" s="108"/>
    </row>
    <row r="763" spans="14:15" ht="13.5" customHeight="1" x14ac:dyDescent="0.3">
      <c r="N763" s="107"/>
      <c r="O763" s="108"/>
    </row>
    <row r="764" spans="14:15" ht="13.5" customHeight="1" x14ac:dyDescent="0.3">
      <c r="N764" s="107"/>
      <c r="O764" s="108"/>
    </row>
    <row r="765" spans="14:15" ht="13.5" customHeight="1" x14ac:dyDescent="0.3">
      <c r="N765" s="107"/>
      <c r="O765" s="108"/>
    </row>
    <row r="766" spans="14:15" ht="13.5" customHeight="1" x14ac:dyDescent="0.3">
      <c r="N766" s="107"/>
      <c r="O766" s="108"/>
    </row>
    <row r="767" spans="14:15" ht="13.5" customHeight="1" x14ac:dyDescent="0.3">
      <c r="N767" s="107"/>
      <c r="O767" s="108"/>
    </row>
    <row r="768" spans="14:15" ht="13.5" customHeight="1" x14ac:dyDescent="0.3">
      <c r="N768" s="107"/>
      <c r="O768" s="108"/>
    </row>
    <row r="769" spans="14:15" ht="13.5" customHeight="1" x14ac:dyDescent="0.3">
      <c r="N769" s="107"/>
      <c r="O769" s="108"/>
    </row>
    <row r="770" spans="14:15" ht="13.5" customHeight="1" x14ac:dyDescent="0.3">
      <c r="N770" s="107"/>
      <c r="O770" s="108"/>
    </row>
    <row r="771" spans="14:15" ht="13.5" customHeight="1" x14ac:dyDescent="0.3">
      <c r="N771" s="107"/>
      <c r="O771" s="108"/>
    </row>
    <row r="772" spans="14:15" ht="13.5" customHeight="1" x14ac:dyDescent="0.3">
      <c r="N772" s="107"/>
      <c r="O772" s="108"/>
    </row>
    <row r="773" spans="14:15" ht="13.5" customHeight="1" x14ac:dyDescent="0.3">
      <c r="N773" s="107"/>
      <c r="O773" s="108"/>
    </row>
    <row r="774" spans="14:15" ht="13.5" customHeight="1" x14ac:dyDescent="0.3">
      <c r="N774" s="107"/>
      <c r="O774" s="108"/>
    </row>
    <row r="775" spans="14:15" ht="13.5" customHeight="1" x14ac:dyDescent="0.3">
      <c r="N775" s="107"/>
      <c r="O775" s="108"/>
    </row>
    <row r="776" spans="14:15" ht="13.5" customHeight="1" x14ac:dyDescent="0.3">
      <c r="N776" s="107"/>
      <c r="O776" s="108"/>
    </row>
    <row r="777" spans="14:15" ht="13.5" customHeight="1" x14ac:dyDescent="0.3">
      <c r="N777" s="107"/>
      <c r="O777" s="108"/>
    </row>
    <row r="778" spans="14:15" ht="13.5" customHeight="1" x14ac:dyDescent="0.3">
      <c r="N778" s="107"/>
      <c r="O778" s="108"/>
    </row>
    <row r="779" spans="14:15" ht="13.5" customHeight="1" x14ac:dyDescent="0.3">
      <c r="N779" s="107"/>
      <c r="O779" s="108"/>
    </row>
    <row r="780" spans="14:15" ht="13.5" customHeight="1" x14ac:dyDescent="0.3">
      <c r="N780" s="107"/>
      <c r="O780" s="108"/>
    </row>
    <row r="781" spans="14:15" ht="13.5" customHeight="1" x14ac:dyDescent="0.3">
      <c r="N781" s="107"/>
      <c r="O781" s="108"/>
    </row>
    <row r="782" spans="14:15" ht="13.5" customHeight="1" x14ac:dyDescent="0.3">
      <c r="N782" s="107"/>
      <c r="O782" s="108"/>
    </row>
    <row r="783" spans="14:15" ht="13.5" customHeight="1" x14ac:dyDescent="0.3">
      <c r="N783" s="107"/>
      <c r="O783" s="108"/>
    </row>
    <row r="784" spans="14:15" ht="13.5" customHeight="1" x14ac:dyDescent="0.3">
      <c r="N784" s="107"/>
      <c r="O784" s="108"/>
    </row>
    <row r="785" spans="14:15" ht="13.5" customHeight="1" x14ac:dyDescent="0.3">
      <c r="N785" s="107"/>
      <c r="O785" s="108"/>
    </row>
    <row r="786" spans="14:15" ht="13.5" customHeight="1" x14ac:dyDescent="0.3">
      <c r="N786" s="107"/>
      <c r="O786" s="108"/>
    </row>
    <row r="787" spans="14:15" ht="13.5" customHeight="1" x14ac:dyDescent="0.3">
      <c r="N787" s="107"/>
      <c r="O787" s="108"/>
    </row>
    <row r="788" spans="14:15" ht="13.5" customHeight="1" x14ac:dyDescent="0.3">
      <c r="N788" s="107"/>
      <c r="O788" s="108"/>
    </row>
    <row r="789" spans="14:15" ht="13.5" customHeight="1" x14ac:dyDescent="0.3">
      <c r="N789" s="107"/>
      <c r="O789" s="108"/>
    </row>
    <row r="790" spans="14:15" ht="13.5" customHeight="1" x14ac:dyDescent="0.3">
      <c r="N790" s="107"/>
      <c r="O790" s="108"/>
    </row>
    <row r="791" spans="14:15" ht="13.5" customHeight="1" x14ac:dyDescent="0.3">
      <c r="N791" s="107"/>
      <c r="O791" s="108"/>
    </row>
    <row r="792" spans="14:15" ht="13.5" customHeight="1" x14ac:dyDescent="0.3">
      <c r="N792" s="107"/>
      <c r="O792" s="108"/>
    </row>
    <row r="793" spans="14:15" ht="13.5" customHeight="1" x14ac:dyDescent="0.3">
      <c r="N793" s="107"/>
      <c r="O793" s="108"/>
    </row>
    <row r="794" spans="14:15" ht="13.5" customHeight="1" x14ac:dyDescent="0.3">
      <c r="N794" s="107"/>
      <c r="O794" s="108"/>
    </row>
    <row r="795" spans="14:15" ht="13.5" customHeight="1" x14ac:dyDescent="0.3">
      <c r="N795" s="107"/>
      <c r="O795" s="108"/>
    </row>
    <row r="796" spans="14:15" ht="13.5" customHeight="1" x14ac:dyDescent="0.3">
      <c r="N796" s="107"/>
      <c r="O796" s="108"/>
    </row>
    <row r="797" spans="14:15" ht="13.5" customHeight="1" x14ac:dyDescent="0.3">
      <c r="N797" s="107"/>
      <c r="O797" s="108"/>
    </row>
    <row r="798" spans="14:15" ht="13.5" customHeight="1" x14ac:dyDescent="0.3">
      <c r="N798" s="107"/>
      <c r="O798" s="108"/>
    </row>
  </sheetData>
  <mergeCells count="1">
    <mergeCell ref="A1:Q1"/>
  </mergeCells>
  <phoneticPr fontId="28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xr:uid="{0175D373-72E5-4D64-A740-5B8359001345}">
          <x14:formula1>
            <xm:f>'Source List'!$G$2:$G$279</xm:f>
          </x14:formula1>
          <xm:sqref>B3:B641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908A-6C20-4F01-8860-55936421D55F}">
  <dimension ref="A1:F6"/>
  <sheetViews>
    <sheetView topLeftCell="C1" workbookViewId="0">
      <selection activeCell="J29" sqref="J29"/>
    </sheetView>
  </sheetViews>
  <sheetFormatPr defaultRowHeight="15" x14ac:dyDescent="0.25"/>
  <cols>
    <col min="1" max="1" width="9.85546875" hidden="1" customWidth="1"/>
    <col min="2" max="2" width="0" hidden="1" customWidth="1"/>
    <col min="3" max="3" width="19.85546875" bestFit="1" customWidth="1"/>
    <col min="4" max="4" width="18" customWidth="1"/>
    <col min="5" max="5" width="21" customWidth="1"/>
    <col min="6" max="6" width="18.42578125" customWidth="1"/>
  </cols>
  <sheetData>
    <row r="1" spans="1:6" ht="16.5" x14ac:dyDescent="0.25">
      <c r="A1" s="67" t="s">
        <v>371</v>
      </c>
      <c r="B1" s="68" t="s">
        <v>372</v>
      </c>
      <c r="C1" s="73" t="s">
        <v>373</v>
      </c>
      <c r="D1" s="74" t="s">
        <v>374</v>
      </c>
      <c r="E1" s="74" t="s">
        <v>375</v>
      </c>
      <c r="F1" s="75" t="s">
        <v>376</v>
      </c>
    </row>
    <row r="2" spans="1:6" x14ac:dyDescent="0.25">
      <c r="A2" s="69" t="s">
        <v>68</v>
      </c>
      <c r="B2" s="70" t="s">
        <v>377</v>
      </c>
      <c r="C2" s="71" t="s">
        <v>378</v>
      </c>
      <c r="D2" s="76">
        <v>34.92</v>
      </c>
      <c r="E2" s="77">
        <v>244.44</v>
      </c>
      <c r="F2" s="78" t="s">
        <v>379</v>
      </c>
    </row>
    <row r="3" spans="1:6" x14ac:dyDescent="0.25">
      <c r="A3" s="69" t="s">
        <v>37</v>
      </c>
      <c r="B3" s="70" t="s">
        <v>377</v>
      </c>
      <c r="C3" s="71" t="s">
        <v>380</v>
      </c>
      <c r="D3" s="76">
        <v>9.27</v>
      </c>
      <c r="E3" s="77">
        <v>64.89</v>
      </c>
      <c r="F3" s="78" t="s">
        <v>381</v>
      </c>
    </row>
    <row r="4" spans="1:6" x14ac:dyDescent="0.25">
      <c r="A4" s="26" t="s">
        <v>97</v>
      </c>
      <c r="B4" s="66" t="s">
        <v>377</v>
      </c>
      <c r="C4" s="71" t="s">
        <v>382</v>
      </c>
      <c r="D4" s="76">
        <v>43.1</v>
      </c>
      <c r="E4" s="77">
        <f>347-72</f>
        <v>275</v>
      </c>
      <c r="F4" s="78" t="s">
        <v>383</v>
      </c>
    </row>
    <row r="5" spans="1:6" x14ac:dyDescent="0.25">
      <c r="A5" s="26" t="s">
        <v>146</v>
      </c>
      <c r="B5" s="66" t="s">
        <v>377</v>
      </c>
      <c r="C5" s="71" t="s">
        <v>384</v>
      </c>
      <c r="D5" s="76">
        <v>35.04</v>
      </c>
      <c r="E5" s="77">
        <v>262.8</v>
      </c>
      <c r="F5" s="78" t="s">
        <v>383</v>
      </c>
    </row>
    <row r="6" spans="1:6" x14ac:dyDescent="0.25">
      <c r="A6" s="26" t="s">
        <v>149</v>
      </c>
      <c r="B6" s="66" t="s">
        <v>377</v>
      </c>
      <c r="C6" s="72" t="s">
        <v>385</v>
      </c>
      <c r="D6" s="79">
        <v>59.66</v>
      </c>
      <c r="E6" s="80">
        <v>447.45</v>
      </c>
      <c r="F6" s="81" t="s">
        <v>386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F0B9-9F12-41AC-8C8A-5FE0704F395A}">
  <dimension ref="A1:C32"/>
  <sheetViews>
    <sheetView zoomScale="90" workbookViewId="0">
      <selection activeCell="B24" sqref="B24"/>
    </sheetView>
  </sheetViews>
  <sheetFormatPr defaultColWidth="9.140625" defaultRowHeight="16.5" x14ac:dyDescent="0.3"/>
  <cols>
    <col min="1" max="1" width="8.42578125" style="5" bestFit="1" customWidth="1"/>
    <col min="2" max="2" width="37.85546875" style="5" bestFit="1" customWidth="1"/>
    <col min="3" max="3" width="25.42578125" style="5" bestFit="1" customWidth="1"/>
    <col min="4" max="16384" width="9.140625" style="5"/>
  </cols>
  <sheetData>
    <row r="1" spans="1:3" ht="33" x14ac:dyDescent="0.3">
      <c r="B1" s="63" t="s">
        <v>387</v>
      </c>
      <c r="C1" s="63" t="s">
        <v>388</v>
      </c>
    </row>
    <row r="2" spans="1:3" x14ac:dyDescent="0.3">
      <c r="A2" s="64">
        <v>45876</v>
      </c>
      <c r="B2" s="65">
        <v>21.975036710719529</v>
      </c>
      <c r="C2" s="65">
        <v>116.02</v>
      </c>
    </row>
    <row r="3" spans="1:3" x14ac:dyDescent="0.3">
      <c r="A3" s="64">
        <v>45877</v>
      </c>
      <c r="B3" s="65">
        <v>19.654276040339319</v>
      </c>
      <c r="C3" s="65">
        <v>106.16</v>
      </c>
    </row>
    <row r="4" spans="1:3" x14ac:dyDescent="0.3">
      <c r="A4" s="64">
        <v>45880</v>
      </c>
      <c r="B4" s="65">
        <v>6.1266030666206053</v>
      </c>
      <c r="C4" s="65">
        <v>40</v>
      </c>
    </row>
    <row r="5" spans="1:3" x14ac:dyDescent="0.3">
      <c r="A5" s="64">
        <v>45881</v>
      </c>
      <c r="B5" s="65">
        <v>33.743985916266048</v>
      </c>
      <c r="C5" s="65">
        <v>270.08000000000004</v>
      </c>
    </row>
    <row r="6" spans="1:3" x14ac:dyDescent="0.3">
      <c r="A6" s="64">
        <v>45882</v>
      </c>
      <c r="B6" s="65">
        <v>26.178911663693405</v>
      </c>
      <c r="C6" s="65">
        <v>277.99</v>
      </c>
    </row>
    <row r="7" spans="1:3" x14ac:dyDescent="0.3">
      <c r="A7" s="64">
        <v>45883</v>
      </c>
      <c r="B7" s="65">
        <v>55.477656966986004</v>
      </c>
      <c r="C7" s="65">
        <v>480.65999999999997</v>
      </c>
    </row>
    <row r="8" spans="1:3" x14ac:dyDescent="0.3">
      <c r="A8" s="64">
        <v>45884</v>
      </c>
      <c r="B8" s="65">
        <v>40.76</v>
      </c>
      <c r="C8" s="65">
        <v>394.51</v>
      </c>
    </row>
    <row r="9" spans="1:3" x14ac:dyDescent="0.3">
      <c r="A9" s="64">
        <v>45887</v>
      </c>
      <c r="B9" s="65">
        <v>71.277078386270688</v>
      </c>
      <c r="C9" s="65">
        <v>546.99</v>
      </c>
    </row>
    <row r="10" spans="1:3" x14ac:dyDescent="0.3">
      <c r="A10" s="64">
        <v>45888</v>
      </c>
      <c r="B10" s="65">
        <v>61.474285565956791</v>
      </c>
      <c r="C10" s="65">
        <v>500.59899999999999</v>
      </c>
    </row>
    <row r="11" spans="1:3" x14ac:dyDescent="0.3">
      <c r="A11" s="64">
        <v>45889</v>
      </c>
      <c r="B11" s="65">
        <v>82.272267329487221</v>
      </c>
      <c r="C11" s="65">
        <v>630.07999999999993</v>
      </c>
    </row>
    <row r="12" spans="1:3" x14ac:dyDescent="0.3">
      <c r="A12" s="64">
        <v>45890</v>
      </c>
      <c r="B12" s="65">
        <v>89.20345690977048</v>
      </c>
      <c r="C12" s="65">
        <v>593.79999999999995</v>
      </c>
    </row>
    <row r="13" spans="1:3" x14ac:dyDescent="0.3">
      <c r="A13" s="64">
        <v>45891</v>
      </c>
      <c r="B13" s="65">
        <v>33.70074911248448</v>
      </c>
      <c r="C13" s="65">
        <v>221.03</v>
      </c>
    </row>
    <row r="14" spans="1:3" x14ac:dyDescent="0.3">
      <c r="A14" s="64">
        <v>45892</v>
      </c>
      <c r="B14" s="65">
        <v>7.58</v>
      </c>
      <c r="C14" s="65">
        <v>93.72</v>
      </c>
    </row>
    <row r="15" spans="1:3" x14ac:dyDescent="0.3">
      <c r="A15" s="64">
        <v>45894</v>
      </c>
      <c r="B15" s="65">
        <v>81.240326246492046</v>
      </c>
      <c r="C15" s="65">
        <v>616.56999999999994</v>
      </c>
    </row>
    <row r="16" spans="1:3" x14ac:dyDescent="0.3">
      <c r="A16" s="64">
        <v>45895</v>
      </c>
      <c r="B16" s="65">
        <v>118.70236388580076</v>
      </c>
      <c r="C16" s="65">
        <v>848.71999999999991</v>
      </c>
    </row>
    <row r="17" spans="1:3" x14ac:dyDescent="0.3">
      <c r="A17" s="64">
        <v>45896</v>
      </c>
      <c r="B17" s="65">
        <v>83.215883385698689</v>
      </c>
      <c r="C17" s="65">
        <v>621.65999999999985</v>
      </c>
    </row>
    <row r="18" spans="1:3" x14ac:dyDescent="0.3">
      <c r="A18" s="64">
        <v>45897</v>
      </c>
      <c r="B18" s="65">
        <v>85.099847109633714</v>
      </c>
      <c r="C18" s="65">
        <v>600.57000000000005</v>
      </c>
    </row>
    <row r="19" spans="1:3" x14ac:dyDescent="0.3">
      <c r="A19" s="64">
        <v>45898</v>
      </c>
      <c r="B19" s="65">
        <v>91.343214512467085</v>
      </c>
      <c r="C19" s="65">
        <v>583.28</v>
      </c>
    </row>
    <row r="20" spans="1:3" x14ac:dyDescent="0.3">
      <c r="A20" s="64">
        <v>45899</v>
      </c>
      <c r="B20" s="65">
        <v>44.985908240479901</v>
      </c>
      <c r="C20" s="65">
        <v>404.63</v>
      </c>
    </row>
    <row r="21" spans="1:3" x14ac:dyDescent="0.3">
      <c r="A21" s="64">
        <v>45900</v>
      </c>
      <c r="B21" s="65">
        <v>38.378675633591442</v>
      </c>
      <c r="C21" s="65">
        <v>227.48</v>
      </c>
    </row>
    <row r="22" spans="1:3" x14ac:dyDescent="0.3">
      <c r="A22" s="64">
        <v>45901</v>
      </c>
      <c r="B22" s="65">
        <v>80.628024066895918</v>
      </c>
      <c r="C22" s="65">
        <v>626.14499999999998</v>
      </c>
    </row>
    <row r="23" spans="1:3" x14ac:dyDescent="0.3">
      <c r="A23" s="64">
        <v>45902</v>
      </c>
      <c r="B23" s="65">
        <v>93.318606537131629</v>
      </c>
      <c r="C23" s="65">
        <v>627.85</v>
      </c>
    </row>
    <row r="24" spans="1:3" x14ac:dyDescent="0.3">
      <c r="A24" s="64">
        <v>45903</v>
      </c>
      <c r="B24" s="65">
        <v>130.74543634766331</v>
      </c>
      <c r="C24" s="65">
        <v>973.90000000000009</v>
      </c>
    </row>
    <row r="25" spans="1:3" x14ac:dyDescent="0.3">
      <c r="A25" s="64">
        <v>45904</v>
      </c>
      <c r="B25" s="65">
        <v>90.997837702250578</v>
      </c>
      <c r="C25" s="65">
        <v>768.05</v>
      </c>
    </row>
    <row r="26" spans="1:3" x14ac:dyDescent="0.3">
      <c r="A26" s="64">
        <v>45905</v>
      </c>
      <c r="B26" s="65">
        <v>115.06172084643785</v>
      </c>
      <c r="C26" s="65">
        <v>1071.9099999999999</v>
      </c>
    </row>
    <row r="27" spans="1:3" x14ac:dyDescent="0.3">
      <c r="A27" s="64">
        <v>45906</v>
      </c>
      <c r="B27" s="65">
        <v>96.049490102949505</v>
      </c>
      <c r="C27" s="65">
        <v>907.12</v>
      </c>
    </row>
    <row r="28" spans="1:3" x14ac:dyDescent="0.3">
      <c r="A28" s="64">
        <v>45907</v>
      </c>
      <c r="B28" s="65">
        <v>62.461310487402571</v>
      </c>
      <c r="C28" s="65">
        <v>563.71</v>
      </c>
    </row>
    <row r="29" spans="1:3" x14ac:dyDescent="0.3">
      <c r="A29" s="64">
        <v>45908</v>
      </c>
      <c r="B29" s="65">
        <v>127.82028714519738</v>
      </c>
      <c r="C29" s="65">
        <v>894.12999999999988</v>
      </c>
    </row>
    <row r="30" spans="1:3" hidden="1" x14ac:dyDescent="0.3">
      <c r="A30" s="64">
        <v>45909</v>
      </c>
      <c r="B30" s="65">
        <v>90.332003098700341</v>
      </c>
      <c r="C30" s="65">
        <v>865.97</v>
      </c>
    </row>
    <row r="31" spans="1:3" x14ac:dyDescent="0.3">
      <c r="A31"/>
      <c r="B31"/>
      <c r="C31"/>
    </row>
    <row r="32" spans="1:3" x14ac:dyDescent="0.3">
      <c r="A32"/>
      <c r="B32"/>
      <c r="C32"/>
    </row>
  </sheetData>
  <conditionalFormatting pivot="1" sqref="B2:B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2:C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A0B8-6D61-47F3-B7EF-667DDCE78016}">
  <dimension ref="A1:P268"/>
  <sheetViews>
    <sheetView topLeftCell="F228" zoomScaleNormal="100" workbookViewId="0">
      <selection activeCell="J204" sqref="J204"/>
    </sheetView>
  </sheetViews>
  <sheetFormatPr defaultColWidth="8.85546875" defaultRowHeight="15" customHeight="1" x14ac:dyDescent="0.25"/>
  <cols>
    <col min="1" max="4" width="9.140625" hidden="1" customWidth="1"/>
    <col min="5" max="5" width="32.42578125" hidden="1" customWidth="1"/>
    <col min="6" max="8" width="21.7109375" style="27" customWidth="1"/>
    <col min="9" max="9" width="10.28515625" style="24" customWidth="1"/>
    <col min="10" max="10" width="15.5703125" style="24" customWidth="1"/>
    <col min="11" max="11" width="19.85546875" style="24" customWidth="1"/>
    <col min="12" max="12" width="34.42578125" style="25" customWidth="1"/>
    <col min="13" max="13" width="12.7109375" customWidth="1"/>
    <col min="14" max="14" width="10.7109375" customWidth="1"/>
    <col min="15" max="15" width="10" customWidth="1"/>
    <col min="16" max="16" width="12" customWidth="1"/>
  </cols>
  <sheetData>
    <row r="1" spans="1:16" ht="16.5" x14ac:dyDescent="0.3">
      <c r="A1" s="353" t="s">
        <v>389</v>
      </c>
      <c r="B1" s="353"/>
      <c r="C1" s="353"/>
      <c r="D1" s="353"/>
      <c r="F1" s="6" t="s">
        <v>390</v>
      </c>
      <c r="G1" s="6" t="s">
        <v>391</v>
      </c>
      <c r="H1" s="6" t="s">
        <v>392</v>
      </c>
      <c r="I1" s="7" t="s">
        <v>393</v>
      </c>
      <c r="J1" s="8" t="s">
        <v>207</v>
      </c>
      <c r="K1" s="7" t="s">
        <v>394</v>
      </c>
      <c r="L1" s="17" t="s">
        <v>220</v>
      </c>
      <c r="N1" s="18" t="s">
        <v>395</v>
      </c>
      <c r="O1" s="19">
        <v>45503</v>
      </c>
      <c r="P1" s="20">
        <v>0.5</v>
      </c>
    </row>
    <row r="2" spans="1:16" s="3" customFormat="1" ht="15" customHeight="1" x14ac:dyDescent="0.3">
      <c r="A2" s="3" t="s">
        <v>396</v>
      </c>
      <c r="B2" s="3" t="s">
        <v>397</v>
      </c>
      <c r="C2" s="3" t="s">
        <v>19</v>
      </c>
      <c r="D2" s="3" t="s">
        <v>398</v>
      </c>
      <c r="F2" s="12" t="s">
        <v>20</v>
      </c>
      <c r="G2" s="12" t="s">
        <v>20</v>
      </c>
      <c r="H2" s="12" t="s">
        <v>11</v>
      </c>
      <c r="I2" s="9">
        <v>726</v>
      </c>
      <c r="J2" s="10">
        <v>16379</v>
      </c>
      <c r="K2" s="11">
        <f>J2/I2</f>
        <v>22.560606060606062</v>
      </c>
      <c r="L2" s="10"/>
      <c r="N2" s="21" t="s">
        <v>399</v>
      </c>
      <c r="O2" s="22" t="s">
        <v>400</v>
      </c>
      <c r="P2" s="22"/>
    </row>
    <row r="3" spans="1:16" ht="16.5" x14ac:dyDescent="0.3">
      <c r="A3">
        <v>5</v>
      </c>
      <c r="B3" s="4">
        <v>0.37</v>
      </c>
      <c r="C3" s="2">
        <v>2.64</v>
      </c>
      <c r="D3" s="2">
        <f>B3*C3</f>
        <v>0.9768</v>
      </c>
      <c r="F3" s="12" t="s">
        <v>23</v>
      </c>
      <c r="G3" s="12" t="s">
        <v>23</v>
      </c>
      <c r="H3" s="12" t="s">
        <v>11</v>
      </c>
      <c r="I3" s="9">
        <v>726</v>
      </c>
      <c r="J3" s="9">
        <v>11178</v>
      </c>
      <c r="K3" s="11">
        <f t="shared" ref="K3:K61" si="0">J3/I3</f>
        <v>15.396694214876034</v>
      </c>
      <c r="L3" s="12"/>
    </row>
    <row r="4" spans="1:16" ht="16.5" x14ac:dyDescent="0.3">
      <c r="A4">
        <v>6</v>
      </c>
      <c r="B4" s="4">
        <v>3.15</v>
      </c>
      <c r="C4" s="2">
        <v>5.82</v>
      </c>
      <c r="D4" s="2">
        <f t="shared" ref="D4:D24" si="1">B4*C4</f>
        <v>18.333000000000002</v>
      </c>
      <c r="F4" s="12" t="s">
        <v>26</v>
      </c>
      <c r="G4" s="12" t="s">
        <v>26</v>
      </c>
      <c r="H4" s="12" t="s">
        <v>11</v>
      </c>
      <c r="I4" s="9">
        <v>691</v>
      </c>
      <c r="J4" s="9">
        <v>13027</v>
      </c>
      <c r="K4" s="11">
        <f t="shared" si="0"/>
        <v>18.852387843704776</v>
      </c>
      <c r="L4" s="12"/>
    </row>
    <row r="5" spans="1:16" ht="16.5" x14ac:dyDescent="0.3">
      <c r="B5" s="4"/>
      <c r="C5" s="2"/>
      <c r="D5" s="2"/>
      <c r="F5" s="12" t="s">
        <v>29</v>
      </c>
      <c r="G5" s="12" t="s">
        <v>29</v>
      </c>
      <c r="H5" s="12" t="s">
        <v>11</v>
      </c>
      <c r="I5" s="9">
        <v>691</v>
      </c>
      <c r="J5" s="9">
        <v>18124</v>
      </c>
      <c r="K5" s="11">
        <f t="shared" si="0"/>
        <v>26.228654124457307</v>
      </c>
      <c r="L5" s="12"/>
    </row>
    <row r="6" spans="1:16" ht="16.5" x14ac:dyDescent="0.3">
      <c r="A6">
        <v>10</v>
      </c>
      <c r="B6" s="2">
        <v>4.25</v>
      </c>
      <c r="C6" s="2">
        <v>2.73</v>
      </c>
      <c r="D6" s="2">
        <f t="shared" si="1"/>
        <v>11.602499999999999</v>
      </c>
      <c r="F6" s="12" t="s">
        <v>32</v>
      </c>
      <c r="G6" s="12" t="s">
        <v>32</v>
      </c>
      <c r="H6" s="12" t="s">
        <v>11</v>
      </c>
      <c r="I6" s="9">
        <v>691</v>
      </c>
      <c r="J6" s="9">
        <v>13746</v>
      </c>
      <c r="K6" s="11">
        <f t="shared" si="0"/>
        <v>19.892908827785817</v>
      </c>
      <c r="L6" s="12"/>
    </row>
    <row r="7" spans="1:16" ht="16.5" x14ac:dyDescent="0.3">
      <c r="B7" s="2"/>
      <c r="C7" s="2"/>
      <c r="D7" s="2"/>
      <c r="F7" s="12" t="s">
        <v>35</v>
      </c>
      <c r="G7" s="12" t="s">
        <v>35</v>
      </c>
      <c r="H7" s="12" t="s">
        <v>11</v>
      </c>
      <c r="I7" s="9">
        <v>691</v>
      </c>
      <c r="J7" s="9">
        <v>15567</v>
      </c>
      <c r="K7" s="11">
        <f t="shared" si="0"/>
        <v>22.528219971056441</v>
      </c>
      <c r="L7" s="12"/>
    </row>
    <row r="8" spans="1:16" ht="16.5" x14ac:dyDescent="0.3">
      <c r="A8">
        <v>14</v>
      </c>
      <c r="B8" s="2">
        <v>3.03</v>
      </c>
      <c r="C8" s="2" t="s">
        <v>401</v>
      </c>
      <c r="D8" s="2">
        <f>3.03*8</f>
        <v>24.24</v>
      </c>
      <c r="E8" t="s">
        <v>402</v>
      </c>
      <c r="F8" s="12" t="s">
        <v>38</v>
      </c>
      <c r="G8" s="12" t="s">
        <v>38</v>
      </c>
      <c r="H8" s="12" t="s">
        <v>11</v>
      </c>
      <c r="I8" s="9">
        <v>691</v>
      </c>
      <c r="J8" s="9">
        <v>25345</v>
      </c>
      <c r="K8" s="11">
        <f t="shared" si="0"/>
        <v>36.678726483357451</v>
      </c>
      <c r="L8" s="12"/>
      <c r="P8" s="1"/>
    </row>
    <row r="9" spans="1:16" ht="16.5" x14ac:dyDescent="0.3">
      <c r="B9" s="2"/>
      <c r="C9" s="2"/>
      <c r="D9" s="2"/>
      <c r="F9" s="12" t="s">
        <v>41</v>
      </c>
      <c r="G9" s="12" t="s">
        <v>41</v>
      </c>
      <c r="H9" s="12" t="s">
        <v>11</v>
      </c>
      <c r="I9" s="9">
        <v>691</v>
      </c>
      <c r="J9" s="9">
        <v>16485</v>
      </c>
      <c r="K9" s="11">
        <f t="shared" si="0"/>
        <v>23.85672937771346</v>
      </c>
      <c r="L9" s="12"/>
      <c r="P9" s="1"/>
    </row>
    <row r="10" spans="1:16" ht="16.5" x14ac:dyDescent="0.3">
      <c r="B10" s="2"/>
      <c r="C10" s="2"/>
      <c r="D10" s="2"/>
      <c r="F10" s="12" t="s">
        <v>44</v>
      </c>
      <c r="G10" s="12" t="s">
        <v>44</v>
      </c>
      <c r="H10" s="12" t="s">
        <v>11</v>
      </c>
      <c r="I10" s="9">
        <v>726</v>
      </c>
      <c r="J10" s="9">
        <v>27935</v>
      </c>
      <c r="K10" s="11">
        <f t="shared" si="0"/>
        <v>38.477961432506888</v>
      </c>
      <c r="L10" s="12"/>
      <c r="P10" s="1"/>
    </row>
    <row r="11" spans="1:16" ht="16.5" x14ac:dyDescent="0.3">
      <c r="B11" s="2"/>
      <c r="C11" s="2"/>
      <c r="D11" s="2"/>
      <c r="F11" s="12" t="s">
        <v>47</v>
      </c>
      <c r="G11" s="12" t="s">
        <v>47</v>
      </c>
      <c r="H11" s="12" t="s">
        <v>11</v>
      </c>
      <c r="I11" s="9">
        <v>691</v>
      </c>
      <c r="J11" s="9">
        <v>12621</v>
      </c>
      <c r="K11" s="11">
        <f t="shared" si="0"/>
        <v>18.264833574529668</v>
      </c>
      <c r="L11" s="12"/>
      <c r="P11" s="1"/>
    </row>
    <row r="12" spans="1:16" ht="16.5" x14ac:dyDescent="0.3">
      <c r="B12" s="2"/>
      <c r="C12" s="2"/>
      <c r="D12" s="2"/>
      <c r="F12" s="12" t="s">
        <v>50</v>
      </c>
      <c r="G12" s="12" t="s">
        <v>50</v>
      </c>
      <c r="H12" s="12" t="s">
        <v>11</v>
      </c>
      <c r="I12" s="9">
        <v>807</v>
      </c>
      <c r="J12" s="9">
        <v>16549</v>
      </c>
      <c r="K12" s="11">
        <f t="shared" si="0"/>
        <v>20.506815365551425</v>
      </c>
      <c r="L12" s="12"/>
      <c r="P12" s="1"/>
    </row>
    <row r="13" spans="1:16" ht="16.5" x14ac:dyDescent="0.3">
      <c r="B13" s="2"/>
      <c r="C13" s="2"/>
      <c r="D13" s="2"/>
      <c r="F13" s="12" t="s">
        <v>22</v>
      </c>
      <c r="G13" s="12" t="s">
        <v>22</v>
      </c>
      <c r="H13" s="12" t="s">
        <v>13</v>
      </c>
      <c r="I13" s="9">
        <v>622</v>
      </c>
      <c r="J13" s="9">
        <f>10935+11704</f>
        <v>22639</v>
      </c>
      <c r="K13" s="11">
        <f t="shared" si="0"/>
        <v>36.39710610932476</v>
      </c>
      <c r="L13" s="12"/>
      <c r="P13" s="1"/>
    </row>
    <row r="14" spans="1:16" ht="16.5" x14ac:dyDescent="0.3">
      <c r="B14" s="2"/>
      <c r="C14" s="2"/>
      <c r="D14" s="2"/>
      <c r="F14" s="12" t="s">
        <v>25</v>
      </c>
      <c r="G14" s="12" t="s">
        <v>25</v>
      </c>
      <c r="H14" s="12" t="s">
        <v>13</v>
      </c>
      <c r="I14" s="9">
        <v>726</v>
      </c>
      <c r="J14" s="9">
        <v>30107</v>
      </c>
      <c r="K14" s="11">
        <f t="shared" si="0"/>
        <v>41.469696969696969</v>
      </c>
      <c r="L14" s="12"/>
      <c r="P14" s="1"/>
    </row>
    <row r="15" spans="1:16" ht="16.5" x14ac:dyDescent="0.3">
      <c r="B15" s="2"/>
      <c r="C15" s="2"/>
      <c r="D15" s="2"/>
      <c r="F15" s="12" t="s">
        <v>53</v>
      </c>
      <c r="G15" s="12" t="s">
        <v>53</v>
      </c>
      <c r="H15" s="12" t="s">
        <v>11</v>
      </c>
      <c r="I15" s="9">
        <v>622</v>
      </c>
      <c r="J15" s="9">
        <v>10298</v>
      </c>
      <c r="K15" s="11">
        <f t="shared" si="0"/>
        <v>16.556270096463024</v>
      </c>
      <c r="L15" s="12"/>
      <c r="P15" s="1"/>
    </row>
    <row r="16" spans="1:16" ht="16.5" x14ac:dyDescent="0.3">
      <c r="B16" s="2"/>
      <c r="C16" s="2"/>
      <c r="D16" s="2"/>
      <c r="F16" s="12" t="s">
        <v>56</v>
      </c>
      <c r="G16" s="12" t="s">
        <v>56</v>
      </c>
      <c r="H16" s="12" t="s">
        <v>11</v>
      </c>
      <c r="I16" s="9">
        <v>622</v>
      </c>
      <c r="J16" s="9">
        <v>7170</v>
      </c>
      <c r="K16" s="11">
        <f t="shared" si="0"/>
        <v>11.52733118971061</v>
      </c>
      <c r="L16" s="12"/>
      <c r="P16" s="1"/>
    </row>
    <row r="17" spans="1:16" ht="16.5" x14ac:dyDescent="0.3">
      <c r="B17" s="2"/>
      <c r="C17" s="2"/>
      <c r="D17" s="2"/>
      <c r="F17" s="12" t="s">
        <v>28</v>
      </c>
      <c r="G17" s="12" t="s">
        <v>28</v>
      </c>
      <c r="H17" s="12" t="s">
        <v>13</v>
      </c>
      <c r="I17" s="9">
        <v>807</v>
      </c>
      <c r="J17" s="9">
        <v>37779</v>
      </c>
      <c r="K17" s="11">
        <f t="shared" si="0"/>
        <v>46.814126394052046</v>
      </c>
      <c r="L17" s="12"/>
      <c r="P17" s="1"/>
    </row>
    <row r="18" spans="1:16" ht="16.5" x14ac:dyDescent="0.3">
      <c r="B18" s="2"/>
      <c r="C18" s="2"/>
      <c r="D18" s="2"/>
      <c r="F18" s="12" t="s">
        <v>59</v>
      </c>
      <c r="G18" s="12" t="s">
        <v>403</v>
      </c>
      <c r="H18" s="12" t="s">
        <v>11</v>
      </c>
      <c r="I18" s="9">
        <v>622</v>
      </c>
      <c r="J18" s="9">
        <v>2814</v>
      </c>
      <c r="K18" s="11">
        <f t="shared" si="0"/>
        <v>4.52411575562701</v>
      </c>
      <c r="L18" s="12"/>
      <c r="P18" s="1"/>
    </row>
    <row r="19" spans="1:16" ht="16.5" x14ac:dyDescent="0.3">
      <c r="B19" s="2"/>
      <c r="C19" s="2"/>
      <c r="D19" s="2"/>
      <c r="F19" s="12" t="s">
        <v>59</v>
      </c>
      <c r="G19" s="12" t="s">
        <v>404</v>
      </c>
      <c r="H19" s="12" t="s">
        <v>11</v>
      </c>
      <c r="I19" s="9">
        <v>622</v>
      </c>
      <c r="J19" s="9">
        <v>2398</v>
      </c>
      <c r="K19" s="11">
        <f t="shared" si="0"/>
        <v>3.855305466237942</v>
      </c>
      <c r="L19" s="12"/>
      <c r="P19" s="1"/>
    </row>
    <row r="20" spans="1:16" ht="16.5" x14ac:dyDescent="0.3">
      <c r="B20" s="2"/>
      <c r="C20" s="2"/>
      <c r="D20" s="2"/>
      <c r="F20" s="12" t="s">
        <v>59</v>
      </c>
      <c r="G20" s="12" t="s">
        <v>405</v>
      </c>
      <c r="H20" s="12" t="s">
        <v>11</v>
      </c>
      <c r="I20" s="9">
        <v>622</v>
      </c>
      <c r="J20" s="9">
        <v>751</v>
      </c>
      <c r="K20" s="11">
        <f t="shared" si="0"/>
        <v>1.207395498392283</v>
      </c>
      <c r="L20" s="12"/>
      <c r="P20" s="1"/>
    </row>
    <row r="21" spans="1:16" ht="16.5" x14ac:dyDescent="0.3">
      <c r="B21" s="2"/>
      <c r="C21" s="2"/>
      <c r="D21" s="2"/>
      <c r="F21" s="12" t="s">
        <v>59</v>
      </c>
      <c r="G21" s="12" t="s">
        <v>406</v>
      </c>
      <c r="H21" s="12" t="s">
        <v>11</v>
      </c>
      <c r="I21" s="9">
        <v>622</v>
      </c>
      <c r="J21" s="9">
        <v>2031</v>
      </c>
      <c r="K21" s="11">
        <f t="shared" si="0"/>
        <v>3.265273311897106</v>
      </c>
      <c r="L21" s="12"/>
      <c r="P21" s="1"/>
    </row>
    <row r="22" spans="1:16" ht="16.5" x14ac:dyDescent="0.3">
      <c r="A22">
        <v>15</v>
      </c>
      <c r="B22" s="2">
        <v>13.09</v>
      </c>
      <c r="C22" s="2">
        <v>11.52</v>
      </c>
      <c r="D22" s="2">
        <f t="shared" si="1"/>
        <v>150.79679999999999</v>
      </c>
      <c r="F22" s="12" t="s">
        <v>59</v>
      </c>
      <c r="G22" s="12" t="s">
        <v>407</v>
      </c>
      <c r="H22" s="12" t="s">
        <v>11</v>
      </c>
      <c r="I22" s="9">
        <v>622</v>
      </c>
      <c r="J22" s="9">
        <v>1215</v>
      </c>
      <c r="K22" s="11">
        <f t="shared" si="0"/>
        <v>1.9533762057877813</v>
      </c>
      <c r="L22" s="12"/>
      <c r="P22" s="1"/>
    </row>
    <row r="23" spans="1:16" ht="16.5" x14ac:dyDescent="0.3">
      <c r="A23">
        <v>16</v>
      </c>
      <c r="B23" s="2">
        <v>0</v>
      </c>
      <c r="C23" s="2">
        <v>8.5</v>
      </c>
      <c r="D23" s="2">
        <f t="shared" si="1"/>
        <v>0</v>
      </c>
      <c r="F23" s="12" t="s">
        <v>59</v>
      </c>
      <c r="G23" s="12" t="s">
        <v>408</v>
      </c>
      <c r="H23" s="12" t="s">
        <v>11</v>
      </c>
      <c r="I23" s="9">
        <v>622</v>
      </c>
      <c r="J23" s="9">
        <v>612</v>
      </c>
      <c r="K23" s="11">
        <f t="shared" si="0"/>
        <v>0.98392282958199362</v>
      </c>
      <c r="L23" s="12"/>
      <c r="P23" s="1"/>
    </row>
    <row r="24" spans="1:16" ht="16.5" x14ac:dyDescent="0.3">
      <c r="A24">
        <v>17</v>
      </c>
      <c r="B24" s="2">
        <v>0</v>
      </c>
      <c r="C24" s="2">
        <v>11.11</v>
      </c>
      <c r="D24" s="2">
        <f t="shared" si="1"/>
        <v>0</v>
      </c>
      <c r="F24" s="12" t="s">
        <v>59</v>
      </c>
      <c r="G24" s="12" t="s">
        <v>409</v>
      </c>
      <c r="H24" s="12" t="s">
        <v>11</v>
      </c>
      <c r="I24" s="9">
        <v>622</v>
      </c>
      <c r="J24" s="9">
        <v>2600</v>
      </c>
      <c r="K24" s="11">
        <f t="shared" si="0"/>
        <v>4.180064308681672</v>
      </c>
      <c r="L24" s="12"/>
      <c r="P24" s="1"/>
    </row>
    <row r="25" spans="1:16" ht="16.5" x14ac:dyDescent="0.3">
      <c r="D25" s="2">
        <f>SUM(D3:D24)</f>
        <v>205.94909999999999</v>
      </c>
      <c r="F25" s="12" t="s">
        <v>59</v>
      </c>
      <c r="G25" s="12" t="s">
        <v>410</v>
      </c>
      <c r="H25" s="12" t="s">
        <v>11</v>
      </c>
      <c r="I25" s="9">
        <v>622</v>
      </c>
      <c r="J25" s="9">
        <v>1618</v>
      </c>
      <c r="K25" s="11">
        <f t="shared" si="0"/>
        <v>2.6012861736334405</v>
      </c>
      <c r="L25" s="12"/>
      <c r="P25" s="1"/>
    </row>
    <row r="26" spans="1:16" ht="16.5" x14ac:dyDescent="0.3">
      <c r="F26" s="12" t="s">
        <v>59</v>
      </c>
      <c r="G26" s="12" t="s">
        <v>411</v>
      </c>
      <c r="H26" s="12" t="s">
        <v>11</v>
      </c>
      <c r="I26" s="9">
        <v>622</v>
      </c>
      <c r="J26" s="9">
        <v>1283</v>
      </c>
      <c r="K26" s="11">
        <f t="shared" si="0"/>
        <v>2.062700964630225</v>
      </c>
      <c r="L26" s="12"/>
      <c r="P26" s="1"/>
    </row>
    <row r="27" spans="1:16" ht="16.5" x14ac:dyDescent="0.3">
      <c r="F27" s="12" t="s">
        <v>59</v>
      </c>
      <c r="G27" s="12" t="s">
        <v>412</v>
      </c>
      <c r="H27" s="12" t="s">
        <v>11</v>
      </c>
      <c r="I27" s="9">
        <v>622</v>
      </c>
      <c r="J27" s="9">
        <v>1455</v>
      </c>
      <c r="K27" s="11">
        <f t="shared" si="0"/>
        <v>2.3392282958199355</v>
      </c>
      <c r="L27" s="12"/>
      <c r="P27" s="1"/>
    </row>
    <row r="28" spans="1:16" ht="16.5" x14ac:dyDescent="0.3">
      <c r="F28" s="12" t="s">
        <v>59</v>
      </c>
      <c r="G28" s="12" t="s">
        <v>413</v>
      </c>
      <c r="H28" s="12" t="s">
        <v>11</v>
      </c>
      <c r="I28" s="9">
        <v>622</v>
      </c>
      <c r="J28" s="9">
        <v>774</v>
      </c>
      <c r="K28" s="11">
        <f t="shared" si="0"/>
        <v>1.2443729903536977</v>
      </c>
      <c r="L28" s="12"/>
      <c r="P28" s="1"/>
    </row>
    <row r="29" spans="1:16" ht="16.5" x14ac:dyDescent="0.3">
      <c r="F29" s="12" t="s">
        <v>59</v>
      </c>
      <c r="G29" s="12" t="s">
        <v>414</v>
      </c>
      <c r="H29" s="12" t="s">
        <v>11</v>
      </c>
      <c r="I29" s="9">
        <v>622</v>
      </c>
      <c r="J29" s="9">
        <v>3922</v>
      </c>
      <c r="K29" s="11">
        <f t="shared" si="0"/>
        <v>6.305466237942122</v>
      </c>
      <c r="L29" s="12"/>
      <c r="P29" s="1"/>
    </row>
    <row r="30" spans="1:16" ht="16.5" x14ac:dyDescent="0.3">
      <c r="F30" s="12" t="s">
        <v>59</v>
      </c>
      <c r="G30" s="12" t="s">
        <v>415</v>
      </c>
      <c r="H30" s="12" t="s">
        <v>11</v>
      </c>
      <c r="I30" s="9">
        <v>622</v>
      </c>
      <c r="J30" s="9">
        <v>5743</v>
      </c>
      <c r="K30" s="11">
        <f t="shared" si="0"/>
        <v>9.2331189710610939</v>
      </c>
      <c r="L30" s="12"/>
      <c r="P30" s="1"/>
    </row>
    <row r="31" spans="1:16" ht="16.5" x14ac:dyDescent="0.3">
      <c r="F31" s="12" t="s">
        <v>59</v>
      </c>
      <c r="G31" s="12" t="s">
        <v>416</v>
      </c>
      <c r="H31" s="12" t="s">
        <v>11</v>
      </c>
      <c r="I31" s="9">
        <v>622</v>
      </c>
      <c r="J31" s="9">
        <f>SUM(J18:J30)</f>
        <v>27216</v>
      </c>
      <c r="K31" s="11">
        <f t="shared" si="0"/>
        <v>43.755627009646304</v>
      </c>
      <c r="L31" s="12"/>
      <c r="P31" s="1"/>
    </row>
    <row r="32" spans="1:16" ht="16.5" x14ac:dyDescent="0.3">
      <c r="F32" s="12" t="s">
        <v>62</v>
      </c>
      <c r="G32" s="12" t="s">
        <v>62</v>
      </c>
      <c r="H32" s="12" t="s">
        <v>11</v>
      </c>
      <c r="I32" s="9">
        <v>605</v>
      </c>
      <c r="J32" s="13">
        <v>2554</v>
      </c>
      <c r="K32" s="11">
        <f t="shared" si="0"/>
        <v>4.2214876033057855</v>
      </c>
      <c r="L32" s="12"/>
      <c r="P32" s="1"/>
    </row>
    <row r="33" spans="1:16" ht="16.5" x14ac:dyDescent="0.3">
      <c r="A33" t="s">
        <v>59</v>
      </c>
      <c r="F33" s="12" t="s">
        <v>417</v>
      </c>
      <c r="G33" s="12" t="s">
        <v>417</v>
      </c>
      <c r="H33" s="12" t="s">
        <v>11</v>
      </c>
      <c r="I33" s="9">
        <v>681</v>
      </c>
      <c r="J33" s="9">
        <v>60308</v>
      </c>
      <c r="K33" s="11">
        <f t="shared" si="0"/>
        <v>88.558002936857562</v>
      </c>
      <c r="L33" s="12"/>
      <c r="P33" s="1"/>
    </row>
    <row r="34" spans="1:16" ht="16.5" x14ac:dyDescent="0.3">
      <c r="A34" t="s">
        <v>418</v>
      </c>
      <c r="B34" t="s">
        <v>419</v>
      </c>
      <c r="F34" s="12" t="s">
        <v>65</v>
      </c>
      <c r="G34" s="12" t="s">
        <v>65</v>
      </c>
      <c r="H34" s="12" t="s">
        <v>11</v>
      </c>
      <c r="I34" s="9">
        <v>622</v>
      </c>
      <c r="J34" s="9">
        <v>30664</v>
      </c>
      <c r="K34" s="11">
        <f t="shared" si="0"/>
        <v>49.29903536977492</v>
      </c>
      <c r="L34" s="12"/>
      <c r="P34" s="1"/>
    </row>
    <row r="35" spans="1:16" ht="16.5" x14ac:dyDescent="0.3">
      <c r="A35">
        <v>7</v>
      </c>
      <c r="B35">
        <v>2600</v>
      </c>
      <c r="F35" s="12" t="s">
        <v>420</v>
      </c>
      <c r="G35" s="12" t="s">
        <v>420</v>
      </c>
      <c r="H35" s="12" t="s">
        <v>11</v>
      </c>
      <c r="I35" s="9">
        <v>681</v>
      </c>
      <c r="J35" s="9">
        <v>36152</v>
      </c>
      <c r="K35" s="11">
        <f t="shared" si="0"/>
        <v>53.086637298091041</v>
      </c>
      <c r="L35" s="12"/>
      <c r="P35" s="1"/>
    </row>
    <row r="36" spans="1:16" ht="16.5" x14ac:dyDescent="0.3">
      <c r="A36">
        <v>2</v>
      </c>
      <c r="B36">
        <v>2398</v>
      </c>
      <c r="C36" t="s">
        <v>421</v>
      </c>
      <c r="F36" s="12" t="s">
        <v>422</v>
      </c>
      <c r="G36" s="12" t="s">
        <v>422</v>
      </c>
      <c r="H36" s="12" t="s">
        <v>11</v>
      </c>
      <c r="I36" s="9">
        <v>681</v>
      </c>
      <c r="J36" s="9">
        <v>28396</v>
      </c>
      <c r="K36" s="11">
        <f t="shared" si="0"/>
        <v>41.697503671071956</v>
      </c>
      <c r="L36" s="12"/>
      <c r="P36" s="1"/>
    </row>
    <row r="37" spans="1:16" ht="16.5" x14ac:dyDescent="0.3">
      <c r="A37">
        <v>6</v>
      </c>
      <c r="B37">
        <v>612</v>
      </c>
      <c r="C37" t="s">
        <v>423</v>
      </c>
      <c r="F37" s="12" t="s">
        <v>424</v>
      </c>
      <c r="G37" s="12" t="s">
        <v>424</v>
      </c>
      <c r="H37" s="12" t="s">
        <v>11</v>
      </c>
      <c r="I37" s="9">
        <v>681</v>
      </c>
      <c r="J37" s="9">
        <f>SUM(J38:J39)</f>
        <v>26721</v>
      </c>
      <c r="K37" s="11">
        <f t="shared" si="0"/>
        <v>39.237885462555063</v>
      </c>
      <c r="L37" s="12"/>
      <c r="P37" s="1"/>
    </row>
    <row r="38" spans="1:16" ht="16.5" x14ac:dyDescent="0.3">
      <c r="A38">
        <v>6</v>
      </c>
      <c r="B38">
        <v>612</v>
      </c>
      <c r="C38" t="s">
        <v>423</v>
      </c>
      <c r="F38" s="12" t="s">
        <v>424</v>
      </c>
      <c r="G38" s="12" t="s">
        <v>425</v>
      </c>
      <c r="H38" s="12" t="s">
        <v>11</v>
      </c>
      <c r="I38" s="9">
        <v>681</v>
      </c>
      <c r="J38" s="9">
        <v>23968</v>
      </c>
      <c r="K38" s="11">
        <f t="shared" si="0"/>
        <v>35.19530102790015</v>
      </c>
      <c r="L38" s="12"/>
      <c r="P38" s="1"/>
    </row>
    <row r="39" spans="1:16" ht="16.5" x14ac:dyDescent="0.3">
      <c r="F39" s="12" t="s">
        <v>424</v>
      </c>
      <c r="G39" s="12" t="s">
        <v>426</v>
      </c>
      <c r="H39" s="12" t="s">
        <v>11</v>
      </c>
      <c r="I39" s="9">
        <v>681</v>
      </c>
      <c r="J39" s="9">
        <v>2753</v>
      </c>
      <c r="K39" s="11">
        <f t="shared" si="0"/>
        <v>4.0425844346549189</v>
      </c>
      <c r="L39" s="12"/>
      <c r="P39" s="1"/>
    </row>
    <row r="40" spans="1:16" ht="16.5" x14ac:dyDescent="0.3">
      <c r="F40" s="12" t="s">
        <v>427</v>
      </c>
      <c r="G40" s="12" t="s">
        <v>428</v>
      </c>
      <c r="H40" s="12" t="s">
        <v>11</v>
      </c>
      <c r="I40" s="9">
        <v>681</v>
      </c>
      <c r="J40" s="9">
        <v>57068</v>
      </c>
      <c r="K40" s="11">
        <f t="shared" si="0"/>
        <v>83.800293685756245</v>
      </c>
      <c r="L40" s="12"/>
      <c r="P40" s="1"/>
    </row>
    <row r="41" spans="1:16" ht="16.5" x14ac:dyDescent="0.3">
      <c r="A41">
        <v>8</v>
      </c>
      <c r="B41">
        <v>1618</v>
      </c>
      <c r="C41" t="s">
        <v>423</v>
      </c>
      <c r="F41" s="12" t="s">
        <v>427</v>
      </c>
      <c r="G41" s="12" t="s">
        <v>427</v>
      </c>
      <c r="H41" s="12" t="s">
        <v>11</v>
      </c>
      <c r="I41" s="9">
        <v>681</v>
      </c>
      <c r="J41" s="9">
        <v>55701</v>
      </c>
      <c r="K41" s="11">
        <f t="shared" si="0"/>
        <v>81.792951541850215</v>
      </c>
      <c r="L41" s="12"/>
      <c r="P41" s="1"/>
    </row>
    <row r="42" spans="1:16" ht="16.5" x14ac:dyDescent="0.3">
      <c r="A42">
        <v>5</v>
      </c>
      <c r="B42">
        <v>1215</v>
      </c>
      <c r="F42" s="12" t="s">
        <v>68</v>
      </c>
      <c r="G42" s="12" t="s">
        <v>68</v>
      </c>
      <c r="H42" s="12" t="s">
        <v>11</v>
      </c>
      <c r="I42" s="9">
        <v>681</v>
      </c>
      <c r="J42" s="9">
        <v>23399</v>
      </c>
      <c r="K42" s="11">
        <f t="shared" si="0"/>
        <v>34.359765051395009</v>
      </c>
      <c r="L42" s="12"/>
      <c r="P42" s="1"/>
    </row>
    <row r="43" spans="1:16" ht="16.5" x14ac:dyDescent="0.3">
      <c r="A43">
        <v>5</v>
      </c>
      <c r="B43">
        <v>1215</v>
      </c>
      <c r="F43" s="12" t="s">
        <v>68</v>
      </c>
      <c r="G43" s="12" t="s">
        <v>429</v>
      </c>
      <c r="H43" s="12" t="s">
        <v>11</v>
      </c>
      <c r="I43" s="9">
        <v>681</v>
      </c>
      <c r="J43" s="9">
        <v>3830</v>
      </c>
      <c r="K43" s="11">
        <f t="shared" si="0"/>
        <v>5.6240822320117472</v>
      </c>
      <c r="L43" s="12"/>
      <c r="P43" s="1"/>
    </row>
    <row r="44" spans="1:16" ht="16.5" x14ac:dyDescent="0.3">
      <c r="A44">
        <v>5</v>
      </c>
      <c r="B44">
        <v>1215</v>
      </c>
      <c r="F44" s="12" t="s">
        <v>68</v>
      </c>
      <c r="G44" s="12" t="s">
        <v>430</v>
      </c>
      <c r="H44" s="12" t="s">
        <v>11</v>
      </c>
      <c r="I44" s="9">
        <v>681</v>
      </c>
      <c r="J44" s="9">
        <v>19569</v>
      </c>
      <c r="K44" s="11">
        <f t="shared" si="0"/>
        <v>28.735682819383261</v>
      </c>
      <c r="L44" s="12"/>
      <c r="P44" s="1"/>
    </row>
    <row r="45" spans="1:16" ht="16.5" x14ac:dyDescent="0.3">
      <c r="A45">
        <v>11</v>
      </c>
      <c r="B45">
        <v>774</v>
      </c>
      <c r="F45" s="12" t="s">
        <v>71</v>
      </c>
      <c r="G45" s="12" t="s">
        <v>71</v>
      </c>
      <c r="H45" s="12" t="s">
        <v>11</v>
      </c>
      <c r="I45" s="9">
        <v>681</v>
      </c>
      <c r="J45" s="9">
        <v>4658</v>
      </c>
      <c r="K45" s="11">
        <f t="shared" si="0"/>
        <v>6.8399412628487521</v>
      </c>
      <c r="L45" s="12"/>
      <c r="P45" s="1"/>
    </row>
    <row r="46" spans="1:16" ht="16.5" x14ac:dyDescent="0.3">
      <c r="A46">
        <v>1</v>
      </c>
      <c r="B46">
        <v>2814</v>
      </c>
      <c r="C46" t="s">
        <v>423</v>
      </c>
      <c r="F46" s="12" t="s">
        <v>74</v>
      </c>
      <c r="G46" s="12" t="s">
        <v>74</v>
      </c>
      <c r="H46" s="12" t="s">
        <v>11</v>
      </c>
      <c r="I46" s="9">
        <v>681</v>
      </c>
      <c r="J46" s="9">
        <v>26421</v>
      </c>
      <c r="K46" s="11">
        <f t="shared" si="0"/>
        <v>38.797356828193834</v>
      </c>
      <c r="L46" s="12"/>
      <c r="P46" s="1"/>
    </row>
    <row r="47" spans="1:16" ht="16.5" x14ac:dyDescent="0.3">
      <c r="A47">
        <v>4</v>
      </c>
      <c r="B47">
        <v>2031</v>
      </c>
      <c r="C47" t="s">
        <v>423</v>
      </c>
      <c r="F47" s="12" t="s">
        <v>77</v>
      </c>
      <c r="G47" s="12" t="s">
        <v>77</v>
      </c>
      <c r="H47" s="12" t="s">
        <v>11</v>
      </c>
      <c r="I47" s="9">
        <v>681</v>
      </c>
      <c r="J47" s="14">
        <f>40343+241</f>
        <v>40584</v>
      </c>
      <c r="K47" s="11">
        <f t="shared" si="0"/>
        <v>59.594713656387668</v>
      </c>
      <c r="L47" s="12" t="s">
        <v>431</v>
      </c>
      <c r="P47" s="1"/>
    </row>
    <row r="48" spans="1:16" ht="16.5" x14ac:dyDescent="0.3">
      <c r="F48" s="12" t="s">
        <v>80</v>
      </c>
      <c r="G48" s="12" t="s">
        <v>80</v>
      </c>
      <c r="H48" s="12" t="s">
        <v>11</v>
      </c>
      <c r="I48" s="9">
        <v>681</v>
      </c>
      <c r="J48" s="9">
        <v>49099</v>
      </c>
      <c r="K48" s="11">
        <f t="shared" si="0"/>
        <v>72.098384728340676</v>
      </c>
      <c r="L48" s="12"/>
      <c r="P48" s="1"/>
    </row>
    <row r="49" spans="1:16" ht="16.5" x14ac:dyDescent="0.3">
      <c r="A49">
        <v>12</v>
      </c>
      <c r="B49">
        <v>3922</v>
      </c>
      <c r="C49" t="s">
        <v>423</v>
      </c>
      <c r="F49" s="12" t="s">
        <v>80</v>
      </c>
      <c r="G49" s="12" t="s">
        <v>432</v>
      </c>
      <c r="H49" s="12" t="s">
        <v>11</v>
      </c>
      <c r="I49" s="9">
        <v>681</v>
      </c>
      <c r="J49" s="9">
        <v>43557</v>
      </c>
      <c r="K49" s="11">
        <f t="shared" si="0"/>
        <v>63.960352422907491</v>
      </c>
      <c r="L49" s="12"/>
      <c r="P49" s="1"/>
    </row>
    <row r="50" spans="1:16" ht="16.5" x14ac:dyDescent="0.3">
      <c r="F50" s="12" t="s">
        <v>80</v>
      </c>
      <c r="G50" s="12" t="s">
        <v>433</v>
      </c>
      <c r="H50" s="12" t="s">
        <v>11</v>
      </c>
      <c r="I50" s="9">
        <v>681</v>
      </c>
      <c r="J50" s="9">
        <v>5542</v>
      </c>
      <c r="K50" s="11">
        <f t="shared" si="0"/>
        <v>8.1380323054331871</v>
      </c>
      <c r="L50" s="12"/>
      <c r="P50" s="1"/>
    </row>
    <row r="51" spans="1:16" ht="16.5" x14ac:dyDescent="0.3">
      <c r="F51" s="12" t="s">
        <v>83</v>
      </c>
      <c r="G51" s="12" t="s">
        <v>83</v>
      </c>
      <c r="H51" s="12" t="s">
        <v>11</v>
      </c>
      <c r="I51" s="9">
        <v>622</v>
      </c>
      <c r="J51" s="9">
        <v>36996</v>
      </c>
      <c r="K51" s="11">
        <f t="shared" si="0"/>
        <v>59.479099678456592</v>
      </c>
      <c r="L51" s="12"/>
      <c r="P51" s="1"/>
    </row>
    <row r="52" spans="1:16" ht="16.5" x14ac:dyDescent="0.3">
      <c r="A52">
        <v>13</v>
      </c>
      <c r="B52">
        <v>5743</v>
      </c>
      <c r="F52" s="12" t="s">
        <v>83</v>
      </c>
      <c r="G52" s="12" t="s">
        <v>363</v>
      </c>
      <c r="H52" s="12" t="s">
        <v>11</v>
      </c>
      <c r="I52" s="9">
        <v>622</v>
      </c>
      <c r="J52" s="9">
        <v>21239</v>
      </c>
      <c r="K52" s="11">
        <f t="shared" si="0"/>
        <v>34.146302250803856</v>
      </c>
      <c r="L52" s="12"/>
      <c r="P52" s="1"/>
    </row>
    <row r="53" spans="1:16" ht="16.5" x14ac:dyDescent="0.3">
      <c r="A53">
        <v>13</v>
      </c>
      <c r="B53">
        <v>5743</v>
      </c>
      <c r="F53" s="12" t="s">
        <v>83</v>
      </c>
      <c r="G53" s="12" t="s">
        <v>365</v>
      </c>
      <c r="H53" s="12" t="s">
        <v>11</v>
      </c>
      <c r="I53" s="9">
        <v>622</v>
      </c>
      <c r="J53" s="9">
        <v>15757</v>
      </c>
      <c r="K53" s="11">
        <f t="shared" si="0"/>
        <v>25.332797427652732</v>
      </c>
      <c r="L53" s="12"/>
      <c r="P53" s="1"/>
    </row>
    <row r="54" spans="1:16" ht="16.5" x14ac:dyDescent="0.3">
      <c r="B54">
        <f>SUM(B35:B52)</f>
        <v>26769</v>
      </c>
      <c r="F54" s="12" t="s">
        <v>434</v>
      </c>
      <c r="G54" s="12" t="s">
        <v>434</v>
      </c>
      <c r="H54" s="12" t="s">
        <v>11</v>
      </c>
      <c r="I54" s="9">
        <v>622</v>
      </c>
      <c r="J54" s="9">
        <v>9103</v>
      </c>
      <c r="K54" s="11">
        <f t="shared" si="0"/>
        <v>14.635048231511254</v>
      </c>
      <c r="L54" s="12"/>
      <c r="P54" s="1"/>
    </row>
    <row r="55" spans="1:16" ht="16.5" x14ac:dyDescent="0.3">
      <c r="F55" s="16" t="s">
        <v>435</v>
      </c>
      <c r="G55" s="16" t="s">
        <v>435</v>
      </c>
      <c r="H55" s="12" t="s">
        <v>11</v>
      </c>
      <c r="I55" s="9">
        <v>622</v>
      </c>
      <c r="J55" s="9">
        <f>SUM(J56:J58)</f>
        <v>20354</v>
      </c>
      <c r="K55" s="11">
        <f t="shared" si="0"/>
        <v>32.723472668810288</v>
      </c>
      <c r="L55" s="12"/>
      <c r="P55" s="1"/>
    </row>
    <row r="56" spans="1:16" ht="16.5" x14ac:dyDescent="0.3">
      <c r="F56" s="16" t="s">
        <v>86</v>
      </c>
      <c r="G56" s="16" t="s">
        <v>86</v>
      </c>
      <c r="H56" s="12" t="s">
        <v>11</v>
      </c>
      <c r="I56" s="9">
        <v>622</v>
      </c>
      <c r="J56" s="9">
        <v>3004</v>
      </c>
      <c r="K56" s="11">
        <f t="shared" si="0"/>
        <v>4.829581993569132</v>
      </c>
      <c r="L56" s="12"/>
      <c r="P56" s="1"/>
    </row>
    <row r="57" spans="1:16" ht="16.5" x14ac:dyDescent="0.3">
      <c r="F57" s="16" t="s">
        <v>89</v>
      </c>
      <c r="G57" s="16" t="s">
        <v>89</v>
      </c>
      <c r="H57" s="12" t="s">
        <v>11</v>
      </c>
      <c r="I57" s="9">
        <v>622</v>
      </c>
      <c r="J57" s="9">
        <v>7450</v>
      </c>
      <c r="K57" s="11">
        <f t="shared" si="0"/>
        <v>11.97749196141479</v>
      </c>
      <c r="L57" s="12"/>
      <c r="P57" s="1"/>
    </row>
    <row r="58" spans="1:16" ht="16.5" x14ac:dyDescent="0.3">
      <c r="F58" s="12" t="s">
        <v>92</v>
      </c>
      <c r="G58" s="12" t="s">
        <v>92</v>
      </c>
      <c r="H58" s="12" t="s">
        <v>11</v>
      </c>
      <c r="I58" s="9">
        <v>622</v>
      </c>
      <c r="J58" s="9">
        <v>9900</v>
      </c>
      <c r="K58" s="11">
        <f t="shared" si="0"/>
        <v>15.916398713826366</v>
      </c>
      <c r="L58" s="12"/>
      <c r="P58" s="1"/>
    </row>
    <row r="59" spans="1:16" ht="16.5" x14ac:dyDescent="0.3">
      <c r="F59" s="12" t="s">
        <v>95</v>
      </c>
      <c r="G59" s="12" t="s">
        <v>95</v>
      </c>
      <c r="H59" s="12" t="s">
        <v>11</v>
      </c>
      <c r="I59" s="9">
        <v>681</v>
      </c>
      <c r="J59" s="9">
        <v>22973</v>
      </c>
      <c r="K59" s="11">
        <f t="shared" si="0"/>
        <v>33.734214390602055</v>
      </c>
      <c r="L59" s="12"/>
      <c r="P59" s="1"/>
    </row>
    <row r="60" spans="1:16" ht="16.5" x14ac:dyDescent="0.3">
      <c r="F60" s="12" t="s">
        <v>98</v>
      </c>
      <c r="G60" s="12" t="s">
        <v>98</v>
      </c>
      <c r="H60" s="12" t="s">
        <v>11</v>
      </c>
      <c r="I60" s="9">
        <v>726</v>
      </c>
      <c r="J60" s="9">
        <v>43036</v>
      </c>
      <c r="K60" s="11">
        <f t="shared" si="0"/>
        <v>59.278236914600548</v>
      </c>
      <c r="L60" s="12"/>
      <c r="P60" s="1"/>
    </row>
    <row r="61" spans="1:16" ht="16.5" x14ac:dyDescent="0.3">
      <c r="F61" s="12" t="s">
        <v>436</v>
      </c>
      <c r="G61" s="12" t="s">
        <v>436</v>
      </c>
      <c r="H61" s="12" t="s">
        <v>11</v>
      </c>
      <c r="I61" s="9">
        <v>681</v>
      </c>
      <c r="J61" s="9">
        <v>68165</v>
      </c>
      <c r="K61" s="11">
        <f t="shared" si="0"/>
        <v>100.09544787077827</v>
      </c>
      <c r="L61" s="12"/>
    </row>
    <row r="62" spans="1:16" ht="16.5" x14ac:dyDescent="0.3">
      <c r="F62" s="12" t="s">
        <v>101</v>
      </c>
      <c r="G62" s="12" t="s">
        <v>101</v>
      </c>
      <c r="H62" s="12" t="s">
        <v>11</v>
      </c>
      <c r="I62" s="9">
        <v>681</v>
      </c>
      <c r="J62" s="9">
        <v>70478</v>
      </c>
      <c r="K62" s="11">
        <f t="shared" ref="K62:K112" si="2">J62/I62</f>
        <v>103.49192364170338</v>
      </c>
      <c r="L62" s="12"/>
    </row>
    <row r="63" spans="1:16" ht="16.5" x14ac:dyDescent="0.3">
      <c r="F63" s="12" t="s">
        <v>101</v>
      </c>
      <c r="G63" s="12" t="s">
        <v>437</v>
      </c>
      <c r="H63" s="12" t="s">
        <v>11</v>
      </c>
      <c r="I63" s="9">
        <v>681</v>
      </c>
      <c r="J63" s="9">
        <v>62991</v>
      </c>
      <c r="K63" s="11">
        <f t="shared" si="2"/>
        <v>92.497797356828187</v>
      </c>
      <c r="L63" s="12"/>
    </row>
    <row r="64" spans="1:16" ht="16.5" x14ac:dyDescent="0.3">
      <c r="F64" s="12" t="s">
        <v>101</v>
      </c>
      <c r="G64" s="12" t="s">
        <v>438</v>
      </c>
      <c r="H64" s="12" t="s">
        <v>11</v>
      </c>
      <c r="I64" s="9">
        <v>681</v>
      </c>
      <c r="J64" s="9">
        <v>7487</v>
      </c>
      <c r="K64" s="11">
        <f t="shared" si="2"/>
        <v>10.994126284875184</v>
      </c>
      <c r="L64" s="12"/>
    </row>
    <row r="65" spans="6:12" ht="16.5" x14ac:dyDescent="0.3">
      <c r="F65" s="12" t="s">
        <v>439</v>
      </c>
      <c r="G65" s="12" t="s">
        <v>439</v>
      </c>
      <c r="H65" s="12" t="s">
        <v>11</v>
      </c>
      <c r="I65" s="9">
        <v>681</v>
      </c>
      <c r="J65" s="9">
        <v>25777</v>
      </c>
      <c r="K65" s="11">
        <f t="shared" si="2"/>
        <v>37.851688693098382</v>
      </c>
      <c r="L65" s="12"/>
    </row>
    <row r="66" spans="6:12" ht="16.5" x14ac:dyDescent="0.3">
      <c r="F66" s="12" t="s">
        <v>439</v>
      </c>
      <c r="G66" s="12" t="s">
        <v>440</v>
      </c>
      <c r="H66" s="12" t="s">
        <v>11</v>
      </c>
      <c r="I66" s="9">
        <v>681</v>
      </c>
      <c r="J66" s="9">
        <v>17266</v>
      </c>
      <c r="K66" s="11">
        <f t="shared" si="2"/>
        <v>25.353891336270191</v>
      </c>
      <c r="L66" s="12"/>
    </row>
    <row r="67" spans="6:12" ht="16.5" x14ac:dyDescent="0.3">
      <c r="F67" s="12" t="s">
        <v>439</v>
      </c>
      <c r="G67" s="12" t="s">
        <v>441</v>
      </c>
      <c r="H67" s="12" t="s">
        <v>11</v>
      </c>
      <c r="I67" s="9">
        <v>681</v>
      </c>
      <c r="J67" s="9">
        <v>8511</v>
      </c>
      <c r="K67" s="11">
        <f t="shared" si="2"/>
        <v>12.497797356828194</v>
      </c>
      <c r="L67" s="12"/>
    </row>
    <row r="68" spans="6:12" ht="16.5" x14ac:dyDescent="0.3">
      <c r="F68" s="12" t="s">
        <v>107</v>
      </c>
      <c r="G68" s="12" t="s">
        <v>107</v>
      </c>
      <c r="H68" s="12" t="s">
        <v>11</v>
      </c>
      <c r="I68" s="9">
        <v>681</v>
      </c>
      <c r="J68" s="9">
        <v>18907</v>
      </c>
      <c r="K68" s="11">
        <f t="shared" si="2"/>
        <v>27.763582966226139</v>
      </c>
      <c r="L68" s="12"/>
    </row>
    <row r="69" spans="6:12" ht="16.5" x14ac:dyDescent="0.3">
      <c r="F69" s="12" t="s">
        <v>442</v>
      </c>
      <c r="G69" s="12" t="s">
        <v>442</v>
      </c>
      <c r="H69" s="12" t="s">
        <v>11</v>
      </c>
      <c r="I69" s="9">
        <v>681</v>
      </c>
      <c r="J69" s="9">
        <v>29269</v>
      </c>
      <c r="K69" s="11">
        <f t="shared" si="2"/>
        <v>42.979441997063141</v>
      </c>
      <c r="L69" s="12"/>
    </row>
    <row r="70" spans="6:12" ht="16.5" x14ac:dyDescent="0.3">
      <c r="F70" s="12" t="s">
        <v>443</v>
      </c>
      <c r="G70" s="12" t="s">
        <v>443</v>
      </c>
      <c r="H70" s="12" t="s">
        <v>11</v>
      </c>
      <c r="I70" s="9">
        <v>681</v>
      </c>
      <c r="J70" s="9">
        <v>54128</v>
      </c>
      <c r="K70" s="11">
        <f t="shared" si="2"/>
        <v>79.483113069016156</v>
      </c>
      <c r="L70" s="12"/>
    </row>
    <row r="71" spans="6:12" ht="16.5" x14ac:dyDescent="0.3">
      <c r="F71" s="12" t="s">
        <v>110</v>
      </c>
      <c r="G71" s="12" t="s">
        <v>110</v>
      </c>
      <c r="H71" s="12" t="s">
        <v>11</v>
      </c>
      <c r="I71" s="9">
        <v>681</v>
      </c>
      <c r="J71" s="9">
        <v>51444</v>
      </c>
      <c r="K71" s="11">
        <f t="shared" si="2"/>
        <v>75.541850220264323</v>
      </c>
      <c r="L71" s="12"/>
    </row>
    <row r="72" spans="6:12" ht="16.5" x14ac:dyDescent="0.3">
      <c r="F72" s="12" t="s">
        <v>116</v>
      </c>
      <c r="G72" s="12" t="s">
        <v>116</v>
      </c>
      <c r="H72" s="12" t="s">
        <v>11</v>
      </c>
      <c r="I72" s="9">
        <v>807</v>
      </c>
      <c r="J72" s="9">
        <v>46215</v>
      </c>
      <c r="K72" s="11">
        <f>J72/I72</f>
        <v>57.267657992565056</v>
      </c>
      <c r="L72" s="12"/>
    </row>
    <row r="73" spans="6:12" ht="16.5" x14ac:dyDescent="0.3">
      <c r="F73" s="12" t="s">
        <v>119</v>
      </c>
      <c r="G73" s="12" t="s">
        <v>119</v>
      </c>
      <c r="H73" s="12" t="s">
        <v>11</v>
      </c>
      <c r="I73" s="9">
        <v>726</v>
      </c>
      <c r="J73" s="9">
        <v>43649</v>
      </c>
      <c r="K73" s="11">
        <f t="shared" si="2"/>
        <v>60.12258953168044</v>
      </c>
      <c r="L73" s="12"/>
    </row>
    <row r="74" spans="6:12" ht="16.5" x14ac:dyDescent="0.3">
      <c r="F74" s="12" t="s">
        <v>122</v>
      </c>
      <c r="G74" s="12" t="s">
        <v>122</v>
      </c>
      <c r="H74" s="12" t="s">
        <v>11</v>
      </c>
      <c r="I74" s="9">
        <v>681</v>
      </c>
      <c r="J74" s="9">
        <v>56217</v>
      </c>
      <c r="K74" s="11">
        <f t="shared" si="2"/>
        <v>82.550660792951547</v>
      </c>
      <c r="L74" s="12"/>
    </row>
    <row r="75" spans="6:12" ht="16.5" x14ac:dyDescent="0.3">
      <c r="F75" s="12" t="s">
        <v>444</v>
      </c>
      <c r="G75" s="12" t="s">
        <v>444</v>
      </c>
      <c r="H75" s="12" t="s">
        <v>11</v>
      </c>
      <c r="I75" s="9">
        <v>681</v>
      </c>
      <c r="J75" s="9">
        <v>45056</v>
      </c>
      <c r="K75" s="11">
        <f t="shared" si="2"/>
        <v>66.161527165932455</v>
      </c>
      <c r="L75" s="12"/>
    </row>
    <row r="76" spans="6:12" ht="16.5" x14ac:dyDescent="0.3">
      <c r="F76" s="12" t="s">
        <v>444</v>
      </c>
      <c r="G76" s="12" t="s">
        <v>445</v>
      </c>
      <c r="H76" s="12" t="s">
        <v>11</v>
      </c>
      <c r="I76" s="9">
        <v>681</v>
      </c>
      <c r="J76" s="9">
        <v>24644</v>
      </c>
      <c r="K76" s="11">
        <f t="shared" si="2"/>
        <v>36.187958883994128</v>
      </c>
      <c r="L76" s="12"/>
    </row>
    <row r="77" spans="6:12" ht="16.5" x14ac:dyDescent="0.3">
      <c r="F77" s="12" t="s">
        <v>444</v>
      </c>
      <c r="G77" s="12" t="s">
        <v>446</v>
      </c>
      <c r="H77" s="12" t="s">
        <v>11</v>
      </c>
      <c r="I77" s="9">
        <v>681</v>
      </c>
      <c r="J77" s="9">
        <v>20412</v>
      </c>
      <c r="K77" s="11">
        <f t="shared" si="2"/>
        <v>29.973568281938327</v>
      </c>
      <c r="L77" s="12"/>
    </row>
    <row r="78" spans="6:12" ht="16.5" x14ac:dyDescent="0.3">
      <c r="F78" s="12" t="s">
        <v>125</v>
      </c>
      <c r="G78" s="12" t="s">
        <v>125</v>
      </c>
      <c r="H78" s="12" t="s">
        <v>11</v>
      </c>
      <c r="I78" s="9">
        <v>681</v>
      </c>
      <c r="J78" s="9">
        <v>22011</v>
      </c>
      <c r="K78" s="11">
        <f t="shared" si="2"/>
        <v>32.321585903083701</v>
      </c>
      <c r="L78" s="12"/>
    </row>
    <row r="79" spans="6:12" ht="16.5" x14ac:dyDescent="0.3">
      <c r="F79" s="12" t="s">
        <v>128</v>
      </c>
      <c r="G79" s="12" t="s">
        <v>128</v>
      </c>
      <c r="H79" s="12" t="s">
        <v>11</v>
      </c>
      <c r="I79" s="9">
        <v>681</v>
      </c>
      <c r="J79" s="9">
        <v>47208</v>
      </c>
      <c r="K79" s="11">
        <f t="shared" si="2"/>
        <v>69.321585903083701</v>
      </c>
      <c r="L79" s="12"/>
    </row>
    <row r="80" spans="6:12" ht="16.5" x14ac:dyDescent="0.3">
      <c r="F80" s="12" t="s">
        <v>447</v>
      </c>
      <c r="G80" s="12" t="s">
        <v>447</v>
      </c>
      <c r="H80" s="12" t="s">
        <v>11</v>
      </c>
      <c r="I80" s="9">
        <v>622</v>
      </c>
      <c r="J80" s="9">
        <v>19702</v>
      </c>
      <c r="K80" s="11">
        <f t="shared" si="2"/>
        <v>31.675241157556272</v>
      </c>
      <c r="L80" s="12"/>
    </row>
    <row r="81" spans="6:12" ht="16.5" x14ac:dyDescent="0.3">
      <c r="F81" s="12" t="s">
        <v>31</v>
      </c>
      <c r="G81" s="12" t="s">
        <v>31</v>
      </c>
      <c r="H81" s="12" t="s">
        <v>13</v>
      </c>
      <c r="I81" s="9">
        <v>778</v>
      </c>
      <c r="J81" s="9">
        <v>7703</v>
      </c>
      <c r="K81" s="11">
        <f t="shared" si="2"/>
        <v>9.9010282776349623</v>
      </c>
      <c r="L81" s="12"/>
    </row>
    <row r="82" spans="6:12" ht="16.5" x14ac:dyDescent="0.3">
      <c r="F82" s="12" t="s">
        <v>34</v>
      </c>
      <c r="G82" s="12" t="s">
        <v>34</v>
      </c>
      <c r="H82" s="12" t="s">
        <v>13</v>
      </c>
      <c r="I82" s="9">
        <v>622</v>
      </c>
      <c r="J82" s="9">
        <v>5633</v>
      </c>
      <c r="K82" s="11">
        <f t="shared" si="2"/>
        <v>9.0562700964630221</v>
      </c>
      <c r="L82" s="12"/>
    </row>
    <row r="83" spans="6:12" ht="16.5" x14ac:dyDescent="0.3">
      <c r="F83" s="12" t="s">
        <v>37</v>
      </c>
      <c r="G83" s="12" t="s">
        <v>37</v>
      </c>
      <c r="H83" s="12" t="s">
        <v>13</v>
      </c>
      <c r="I83" s="9">
        <v>622</v>
      </c>
      <c r="J83" s="9">
        <v>5670</v>
      </c>
      <c r="K83" s="11">
        <f t="shared" si="2"/>
        <v>9.115755627009646</v>
      </c>
      <c r="L83" s="12"/>
    </row>
    <row r="84" spans="6:12" ht="16.5" x14ac:dyDescent="0.3">
      <c r="F84" s="12" t="s">
        <v>40</v>
      </c>
      <c r="G84" s="12" t="s">
        <v>40</v>
      </c>
      <c r="H84" s="12" t="s">
        <v>13</v>
      </c>
      <c r="I84" s="9">
        <v>622</v>
      </c>
      <c r="J84" s="9">
        <v>6057</v>
      </c>
      <c r="K84" s="11">
        <f t="shared" si="2"/>
        <v>9.7379421221864959</v>
      </c>
      <c r="L84" s="12"/>
    </row>
    <row r="85" spans="6:12" ht="16.5" x14ac:dyDescent="0.3">
      <c r="F85" s="12" t="s">
        <v>448</v>
      </c>
      <c r="G85" s="12" t="s">
        <v>448</v>
      </c>
      <c r="H85" s="12" t="s">
        <v>13</v>
      </c>
      <c r="I85" s="9">
        <v>622</v>
      </c>
      <c r="J85" s="9">
        <v>9349</v>
      </c>
      <c r="K85" s="11">
        <f t="shared" si="2"/>
        <v>15.030546623794212</v>
      </c>
      <c r="L85" s="12"/>
    </row>
    <row r="86" spans="6:12" ht="16.5" x14ac:dyDescent="0.3">
      <c r="F86" s="12" t="s">
        <v>43</v>
      </c>
      <c r="G86" s="12" t="s">
        <v>43</v>
      </c>
      <c r="H86" s="12" t="s">
        <v>13</v>
      </c>
      <c r="I86" s="9">
        <v>691</v>
      </c>
      <c r="J86" s="9">
        <v>5487</v>
      </c>
      <c r="K86" s="11">
        <f t="shared" ref="K86:K93" si="3">J86/I86</f>
        <v>7.9406657018813318</v>
      </c>
      <c r="L86" s="12"/>
    </row>
    <row r="87" spans="6:12" ht="16.5" x14ac:dyDescent="0.3">
      <c r="F87" s="12" t="s">
        <v>46</v>
      </c>
      <c r="G87" s="12" t="s">
        <v>46</v>
      </c>
      <c r="H87" s="12" t="s">
        <v>13</v>
      </c>
      <c r="I87" s="9">
        <v>691</v>
      </c>
      <c r="J87" s="9">
        <v>4595</v>
      </c>
      <c r="K87" s="11">
        <f t="shared" si="3"/>
        <v>6.6497829232995658</v>
      </c>
      <c r="L87" s="12"/>
    </row>
    <row r="88" spans="6:12" ht="16.5" x14ac:dyDescent="0.3">
      <c r="F88" s="12" t="s">
        <v>449</v>
      </c>
      <c r="G88" s="12" t="s">
        <v>449</v>
      </c>
      <c r="H88" s="12" t="s">
        <v>11</v>
      </c>
      <c r="I88" s="9">
        <v>622</v>
      </c>
      <c r="J88" s="9">
        <v>2281</v>
      </c>
      <c r="K88" s="11">
        <f t="shared" si="3"/>
        <v>3.667202572347267</v>
      </c>
      <c r="L88" s="12"/>
    </row>
    <row r="89" spans="6:12" ht="16.5" x14ac:dyDescent="0.3">
      <c r="F89" s="12" t="s">
        <v>21</v>
      </c>
      <c r="G89" s="12" t="s">
        <v>21</v>
      </c>
      <c r="H89" s="12" t="s">
        <v>12</v>
      </c>
      <c r="I89" s="9">
        <v>726</v>
      </c>
      <c r="J89" s="9">
        <v>28200</v>
      </c>
      <c r="K89" s="11">
        <f t="shared" si="3"/>
        <v>38.84297520661157</v>
      </c>
      <c r="L89" s="12"/>
    </row>
    <row r="90" spans="6:12" ht="16.5" x14ac:dyDescent="0.3">
      <c r="F90" s="12" t="s">
        <v>450</v>
      </c>
      <c r="G90" s="12" t="s">
        <v>450</v>
      </c>
      <c r="H90" s="12" t="s">
        <v>12</v>
      </c>
      <c r="I90" s="9">
        <v>605</v>
      </c>
      <c r="J90" s="9">
        <v>28346</v>
      </c>
      <c r="K90" s="11">
        <f t="shared" si="3"/>
        <v>46.852892561983474</v>
      </c>
      <c r="L90" s="12"/>
    </row>
    <row r="91" spans="6:12" ht="16.5" x14ac:dyDescent="0.3">
      <c r="F91" s="12" t="s">
        <v>451</v>
      </c>
      <c r="G91" s="12" t="s">
        <v>451</v>
      </c>
      <c r="H91" s="12" t="s">
        <v>12</v>
      </c>
      <c r="I91" s="9">
        <v>605</v>
      </c>
      <c r="J91" s="9">
        <v>20210</v>
      </c>
      <c r="K91" s="11">
        <f t="shared" si="3"/>
        <v>33.404958677685947</v>
      </c>
      <c r="L91" s="12"/>
    </row>
    <row r="92" spans="6:12" ht="16.5" x14ac:dyDescent="0.3">
      <c r="F92" s="12" t="s">
        <v>452</v>
      </c>
      <c r="G92" s="12" t="s">
        <v>452</v>
      </c>
      <c r="H92" s="12" t="s">
        <v>12</v>
      </c>
      <c r="I92" s="9">
        <v>545</v>
      </c>
      <c r="J92" s="9">
        <v>2755</v>
      </c>
      <c r="K92" s="11">
        <f t="shared" si="3"/>
        <v>5.0550458715596331</v>
      </c>
      <c r="L92" s="12"/>
    </row>
    <row r="93" spans="6:12" ht="16.5" x14ac:dyDescent="0.3">
      <c r="F93" s="12" t="s">
        <v>27</v>
      </c>
      <c r="G93" s="12" t="s">
        <v>27</v>
      </c>
      <c r="H93" s="12" t="s">
        <v>12</v>
      </c>
      <c r="I93" s="9">
        <v>545</v>
      </c>
      <c r="J93" s="9">
        <v>15354</v>
      </c>
      <c r="K93" s="11">
        <f t="shared" si="3"/>
        <v>28.172477064220182</v>
      </c>
      <c r="L93" s="12"/>
    </row>
    <row r="94" spans="6:12" ht="16.5" x14ac:dyDescent="0.3">
      <c r="F94" s="12" t="s">
        <v>453</v>
      </c>
      <c r="G94" s="12" t="s">
        <v>453</v>
      </c>
      <c r="H94" s="12" t="s">
        <v>12</v>
      </c>
      <c r="I94" s="9">
        <v>622</v>
      </c>
      <c r="J94" s="9">
        <v>28345</v>
      </c>
      <c r="K94" s="11">
        <f t="shared" si="2"/>
        <v>45.570739549839232</v>
      </c>
      <c r="L94" s="12"/>
    </row>
    <row r="95" spans="6:12" ht="16.5" x14ac:dyDescent="0.3">
      <c r="F95" s="12" t="s">
        <v>30</v>
      </c>
      <c r="G95" s="12" t="s">
        <v>30</v>
      </c>
      <c r="H95" s="12" t="s">
        <v>12</v>
      </c>
      <c r="I95" s="9">
        <v>726</v>
      </c>
      <c r="J95" s="9">
        <v>32514</v>
      </c>
      <c r="K95" s="11">
        <f t="shared" si="2"/>
        <v>44.785123966942152</v>
      </c>
      <c r="L95" s="12"/>
    </row>
    <row r="96" spans="6:12" ht="16.5" x14ac:dyDescent="0.3">
      <c r="F96" s="12" t="s">
        <v>33</v>
      </c>
      <c r="G96" s="12" t="s">
        <v>33</v>
      </c>
      <c r="H96" s="12" t="s">
        <v>12</v>
      </c>
      <c r="I96" s="9">
        <v>691</v>
      </c>
      <c r="J96" s="9">
        <v>30586</v>
      </c>
      <c r="K96" s="11">
        <f t="shared" si="2"/>
        <v>44.263386396526769</v>
      </c>
      <c r="L96" s="12"/>
    </row>
    <row r="97" spans="6:12" ht="16.5" x14ac:dyDescent="0.3">
      <c r="F97" s="12" t="s">
        <v>33</v>
      </c>
      <c r="G97" s="12" t="s">
        <v>454</v>
      </c>
      <c r="H97" s="12" t="s">
        <v>12</v>
      </c>
      <c r="I97" s="9">
        <v>691</v>
      </c>
      <c r="J97" s="9">
        <v>7826</v>
      </c>
      <c r="K97" s="11">
        <f t="shared" ref="K97" si="4">J97/I97</f>
        <v>11.32561505065123</v>
      </c>
      <c r="L97" s="12"/>
    </row>
    <row r="98" spans="6:12" ht="16.5" x14ac:dyDescent="0.3">
      <c r="F98" s="12" t="s">
        <v>33</v>
      </c>
      <c r="G98" s="12" t="s">
        <v>455</v>
      </c>
      <c r="H98" s="12" t="s">
        <v>12</v>
      </c>
      <c r="I98" s="9">
        <v>691</v>
      </c>
      <c r="J98" s="9">
        <v>22760</v>
      </c>
      <c r="K98" s="11">
        <f t="shared" ref="K98" si="5">J98/I98</f>
        <v>32.937771345875539</v>
      </c>
      <c r="L98" s="12"/>
    </row>
    <row r="99" spans="6:12" ht="16.5" x14ac:dyDescent="0.3">
      <c r="F99" s="12" t="s">
        <v>36</v>
      </c>
      <c r="G99" s="12" t="s">
        <v>36</v>
      </c>
      <c r="H99" s="12" t="s">
        <v>12</v>
      </c>
      <c r="I99" s="9">
        <v>908</v>
      </c>
      <c r="J99" s="9">
        <v>94178</v>
      </c>
      <c r="K99" s="11">
        <f t="shared" si="2"/>
        <v>103.72026431718062</v>
      </c>
      <c r="L99" s="12"/>
    </row>
    <row r="100" spans="6:12" ht="16.5" x14ac:dyDescent="0.3">
      <c r="F100" s="12" t="s">
        <v>49</v>
      </c>
      <c r="G100" s="12" t="s">
        <v>49</v>
      </c>
      <c r="H100" s="12" t="s">
        <v>13</v>
      </c>
      <c r="I100" s="9">
        <v>681</v>
      </c>
      <c r="J100" s="9">
        <v>13593</v>
      </c>
      <c r="K100" s="11">
        <f t="shared" si="2"/>
        <v>19.960352422907491</v>
      </c>
      <c r="L100" s="12"/>
    </row>
    <row r="101" spans="6:12" ht="16.5" x14ac:dyDescent="0.3">
      <c r="F101" s="12" t="s">
        <v>52</v>
      </c>
      <c r="G101" s="12" t="s">
        <v>52</v>
      </c>
      <c r="H101" s="12" t="s">
        <v>13</v>
      </c>
      <c r="I101" s="9">
        <v>681</v>
      </c>
      <c r="J101" s="9">
        <v>13612</v>
      </c>
      <c r="K101" s="11">
        <f t="shared" si="2"/>
        <v>19.988252569750369</v>
      </c>
      <c r="L101" s="12"/>
    </row>
    <row r="102" spans="6:12" ht="16.5" x14ac:dyDescent="0.3">
      <c r="F102" s="12" t="s">
        <v>55</v>
      </c>
      <c r="G102" s="12" t="s">
        <v>55</v>
      </c>
      <c r="H102" s="12" t="s">
        <v>13</v>
      </c>
      <c r="I102" s="9">
        <v>681</v>
      </c>
      <c r="J102" s="9">
        <v>24401</v>
      </c>
      <c r="K102" s="11">
        <f t="shared" si="2"/>
        <v>35.83113069016153</v>
      </c>
      <c r="L102" s="12"/>
    </row>
    <row r="103" spans="6:12" ht="16.5" x14ac:dyDescent="0.3">
      <c r="F103" s="12" t="s">
        <v>58</v>
      </c>
      <c r="G103" s="12" t="s">
        <v>58</v>
      </c>
      <c r="H103" s="12" t="s">
        <v>13</v>
      </c>
      <c r="I103" s="9">
        <v>681</v>
      </c>
      <c r="J103" s="9">
        <v>29289</v>
      </c>
      <c r="K103" s="11">
        <f t="shared" si="2"/>
        <v>43.008810572687224</v>
      </c>
      <c r="L103" s="12"/>
    </row>
    <row r="104" spans="6:12" ht="16.5" x14ac:dyDescent="0.3">
      <c r="F104" s="12" t="s">
        <v>61</v>
      </c>
      <c r="G104" s="12" t="s">
        <v>61</v>
      </c>
      <c r="H104" s="12" t="s">
        <v>13</v>
      </c>
      <c r="I104" s="9">
        <v>778</v>
      </c>
      <c r="J104" s="9">
        <v>14077</v>
      </c>
      <c r="K104" s="11">
        <f t="shared" si="2"/>
        <v>18.09383033419023</v>
      </c>
      <c r="L104" s="12"/>
    </row>
    <row r="105" spans="6:12" ht="16.5" x14ac:dyDescent="0.3">
      <c r="F105" s="12" t="s">
        <v>456</v>
      </c>
      <c r="G105" s="12" t="s">
        <v>456</v>
      </c>
      <c r="H105" s="12" t="s">
        <v>13</v>
      </c>
      <c r="I105" s="9">
        <v>681</v>
      </c>
      <c r="J105" s="9">
        <v>5471</v>
      </c>
      <c r="K105" s="11">
        <f t="shared" si="2"/>
        <v>8.0337738619676937</v>
      </c>
      <c r="L105" s="12"/>
    </row>
    <row r="106" spans="6:12" ht="16.5" x14ac:dyDescent="0.3">
      <c r="F106" s="12" t="s">
        <v>39</v>
      </c>
      <c r="G106" s="12" t="s">
        <v>39</v>
      </c>
      <c r="H106" s="12" t="s">
        <v>12</v>
      </c>
      <c r="I106" s="9">
        <v>622</v>
      </c>
      <c r="J106" s="9">
        <v>23319</v>
      </c>
      <c r="K106" s="11">
        <f t="shared" si="2"/>
        <v>37.4903536977492</v>
      </c>
      <c r="L106" s="12"/>
    </row>
    <row r="107" spans="6:12" ht="16.5" x14ac:dyDescent="0.3">
      <c r="F107" s="12" t="s">
        <v>42</v>
      </c>
      <c r="G107" s="12" t="s">
        <v>42</v>
      </c>
      <c r="H107" s="12" t="s">
        <v>12</v>
      </c>
      <c r="I107" s="9">
        <v>622</v>
      </c>
      <c r="J107" s="9">
        <v>9294</v>
      </c>
      <c r="K107" s="11">
        <f t="shared" si="2"/>
        <v>14.942122186495176</v>
      </c>
      <c r="L107" s="12"/>
    </row>
    <row r="108" spans="6:12" ht="16.5" x14ac:dyDescent="0.3">
      <c r="F108" s="12" t="s">
        <v>45</v>
      </c>
      <c r="G108" s="12" t="s">
        <v>45</v>
      </c>
      <c r="H108" s="12" t="s">
        <v>12</v>
      </c>
      <c r="I108" s="9">
        <v>566</v>
      </c>
      <c r="J108" s="9">
        <v>8947</v>
      </c>
      <c r="K108" s="11">
        <f t="shared" si="2"/>
        <v>15.807420494699647</v>
      </c>
      <c r="L108" s="12"/>
    </row>
    <row r="109" spans="6:12" ht="16.5" x14ac:dyDescent="0.3">
      <c r="F109" s="12" t="s">
        <v>48</v>
      </c>
      <c r="G109" s="12" t="s">
        <v>48</v>
      </c>
      <c r="H109" s="12" t="s">
        <v>12</v>
      </c>
      <c r="I109" s="9">
        <v>622</v>
      </c>
      <c r="J109" s="9">
        <v>15330</v>
      </c>
      <c r="K109" s="11">
        <f t="shared" si="2"/>
        <v>24.64630225080386</v>
      </c>
      <c r="L109" s="12"/>
    </row>
    <row r="110" spans="6:12" ht="16.5" x14ac:dyDescent="0.3">
      <c r="F110" s="12" t="s">
        <v>51</v>
      </c>
      <c r="G110" s="12" t="s">
        <v>51</v>
      </c>
      <c r="H110" s="12" t="s">
        <v>12</v>
      </c>
      <c r="I110" s="9">
        <v>622</v>
      </c>
      <c r="J110" s="9">
        <v>2749</v>
      </c>
      <c r="K110" s="11">
        <f t="shared" si="2"/>
        <v>4.419614147909968</v>
      </c>
      <c r="L110" s="12"/>
    </row>
    <row r="111" spans="6:12" ht="16.5" x14ac:dyDescent="0.3">
      <c r="F111" s="12" t="s">
        <v>54</v>
      </c>
      <c r="G111" s="12" t="s">
        <v>54</v>
      </c>
      <c r="H111" s="12" t="s">
        <v>12</v>
      </c>
      <c r="I111" s="9">
        <v>622</v>
      </c>
      <c r="J111" s="9">
        <v>5853</v>
      </c>
      <c r="K111" s="11">
        <f t="shared" si="2"/>
        <v>9.409967845659164</v>
      </c>
      <c r="L111" s="12"/>
    </row>
    <row r="112" spans="6:12" ht="16.5" x14ac:dyDescent="0.3">
      <c r="F112" s="12" t="s">
        <v>57</v>
      </c>
      <c r="G112" s="12" t="s">
        <v>57</v>
      </c>
      <c r="H112" s="12" t="s">
        <v>12</v>
      </c>
      <c r="I112" s="9">
        <v>558</v>
      </c>
      <c r="J112" s="9">
        <v>22433</v>
      </c>
      <c r="K112" s="11">
        <f t="shared" si="2"/>
        <v>40.202508960573475</v>
      </c>
      <c r="L112" s="12"/>
    </row>
    <row r="113" spans="6:12" ht="16.5" x14ac:dyDescent="0.3">
      <c r="F113" s="12" t="s">
        <v>457</v>
      </c>
      <c r="G113" s="12" t="s">
        <v>457</v>
      </c>
      <c r="H113" s="12" t="s">
        <v>12</v>
      </c>
      <c r="I113" s="9">
        <v>807</v>
      </c>
      <c r="J113" s="9">
        <v>15190</v>
      </c>
      <c r="K113" s="11">
        <f t="shared" ref="K113:K172" si="6">J113/I113</f>
        <v>18.82280049566295</v>
      </c>
      <c r="L113" s="12"/>
    </row>
    <row r="114" spans="6:12" ht="16.5" x14ac:dyDescent="0.3">
      <c r="F114" s="12" t="s">
        <v>63</v>
      </c>
      <c r="G114" s="12" t="s">
        <v>63</v>
      </c>
      <c r="H114" s="12" t="s">
        <v>12</v>
      </c>
      <c r="I114" s="9">
        <v>660</v>
      </c>
      <c r="J114" s="9">
        <v>11709</v>
      </c>
      <c r="K114" s="11">
        <f t="shared" si="6"/>
        <v>17.740909090909092</v>
      </c>
      <c r="L114" s="12"/>
    </row>
    <row r="115" spans="6:12" ht="16.5" x14ac:dyDescent="0.3">
      <c r="F115" s="12" t="s">
        <v>131</v>
      </c>
      <c r="G115" s="12" t="s">
        <v>131</v>
      </c>
      <c r="H115" s="12" t="s">
        <v>11</v>
      </c>
      <c r="I115" s="9">
        <v>622</v>
      </c>
      <c r="J115" s="9">
        <v>15945</v>
      </c>
      <c r="K115" s="11">
        <f t="shared" si="6"/>
        <v>25.635048231511256</v>
      </c>
      <c r="L115" s="12"/>
    </row>
    <row r="116" spans="6:12" ht="16.5" x14ac:dyDescent="0.3">
      <c r="F116" s="12" t="s">
        <v>458</v>
      </c>
      <c r="G116" s="12" t="s">
        <v>458</v>
      </c>
      <c r="H116" s="12" t="s">
        <v>11</v>
      </c>
      <c r="I116" s="9">
        <v>622</v>
      </c>
      <c r="J116" s="9">
        <v>16618</v>
      </c>
      <c r="K116" s="11">
        <f t="shared" si="6"/>
        <v>26.717041800643088</v>
      </c>
      <c r="L116" s="12"/>
    </row>
    <row r="117" spans="6:12" ht="16.5" x14ac:dyDescent="0.3">
      <c r="F117" s="12" t="s">
        <v>67</v>
      </c>
      <c r="G117" s="12" t="s">
        <v>67</v>
      </c>
      <c r="H117" s="12" t="s">
        <v>11</v>
      </c>
      <c r="I117" s="9">
        <v>622</v>
      </c>
      <c r="J117" s="9">
        <v>10509</v>
      </c>
      <c r="K117" s="11">
        <f t="shared" si="6"/>
        <v>16.89549839228296</v>
      </c>
      <c r="L117" s="12"/>
    </row>
    <row r="118" spans="6:12" ht="16.5" x14ac:dyDescent="0.3">
      <c r="F118" s="12" t="s">
        <v>70</v>
      </c>
      <c r="G118" s="12" t="s">
        <v>70</v>
      </c>
      <c r="H118" s="12" t="s">
        <v>13</v>
      </c>
      <c r="I118" s="9">
        <v>691</v>
      </c>
      <c r="J118" s="9">
        <v>30602</v>
      </c>
      <c r="K118" s="11">
        <f t="shared" si="6"/>
        <v>44.28654124457308</v>
      </c>
      <c r="L118" s="12"/>
    </row>
    <row r="119" spans="6:12" ht="16.5" x14ac:dyDescent="0.3">
      <c r="F119" s="12" t="s">
        <v>73</v>
      </c>
      <c r="G119" s="12" t="s">
        <v>73</v>
      </c>
      <c r="H119" s="12" t="s">
        <v>13</v>
      </c>
      <c r="I119" s="9">
        <v>691</v>
      </c>
      <c r="J119" s="9">
        <v>39054</v>
      </c>
      <c r="K119" s="11">
        <f t="shared" si="6"/>
        <v>56.518089725036177</v>
      </c>
      <c r="L119" s="12"/>
    </row>
    <row r="120" spans="6:12" ht="16.5" x14ac:dyDescent="0.3">
      <c r="F120" s="12" t="s">
        <v>76</v>
      </c>
      <c r="G120" s="12" t="s">
        <v>76</v>
      </c>
      <c r="H120" s="12" t="s">
        <v>13</v>
      </c>
      <c r="I120" s="9">
        <v>622</v>
      </c>
      <c r="J120" s="9">
        <v>2378</v>
      </c>
      <c r="K120" s="11">
        <f t="shared" si="6"/>
        <v>3.8231511254019295</v>
      </c>
      <c r="L120" s="12"/>
    </row>
    <row r="121" spans="6:12" ht="16.5" x14ac:dyDescent="0.3">
      <c r="F121" s="12" t="s">
        <v>79</v>
      </c>
      <c r="G121" s="12" t="s">
        <v>79</v>
      </c>
      <c r="H121" s="12" t="s">
        <v>13</v>
      </c>
      <c r="I121" s="9">
        <v>605</v>
      </c>
      <c r="J121" s="9">
        <v>22654</v>
      </c>
      <c r="K121" s="11">
        <f t="shared" si="6"/>
        <v>37.444628099173556</v>
      </c>
      <c r="L121" s="12"/>
    </row>
    <row r="122" spans="6:12" ht="16.5" x14ac:dyDescent="0.3">
      <c r="F122" s="12" t="s">
        <v>82</v>
      </c>
      <c r="G122" s="12" t="s">
        <v>82</v>
      </c>
      <c r="H122" s="12" t="s">
        <v>13</v>
      </c>
      <c r="I122" s="9">
        <v>726</v>
      </c>
      <c r="J122" s="9">
        <v>4941</v>
      </c>
      <c r="K122" s="11">
        <f t="shared" si="6"/>
        <v>6.8057851239669418</v>
      </c>
      <c r="L122" s="12"/>
    </row>
    <row r="123" spans="6:12" ht="16.5" x14ac:dyDescent="0.3">
      <c r="F123" s="12" t="s">
        <v>85</v>
      </c>
      <c r="G123" s="12" t="s">
        <v>85</v>
      </c>
      <c r="H123" s="12" t="s">
        <v>13</v>
      </c>
      <c r="I123" s="9">
        <v>726</v>
      </c>
      <c r="J123" s="9">
        <v>3247</v>
      </c>
      <c r="K123" s="11">
        <f t="shared" si="6"/>
        <v>4.4724517906336088</v>
      </c>
      <c r="L123" s="12"/>
    </row>
    <row r="124" spans="6:12" ht="16.5" x14ac:dyDescent="0.3">
      <c r="F124" s="12" t="s">
        <v>134</v>
      </c>
      <c r="G124" s="12" t="s">
        <v>134</v>
      </c>
      <c r="H124" s="12" t="s">
        <v>11</v>
      </c>
      <c r="I124" s="9">
        <v>622</v>
      </c>
      <c r="J124" s="9">
        <v>17569</v>
      </c>
      <c r="K124" s="11">
        <f t="shared" si="6"/>
        <v>28.2459807073955</v>
      </c>
      <c r="L124" s="12"/>
    </row>
    <row r="125" spans="6:12" ht="16.5" x14ac:dyDescent="0.3">
      <c r="F125" s="12" t="s">
        <v>137</v>
      </c>
      <c r="G125" s="12" t="s">
        <v>137</v>
      </c>
      <c r="H125" s="12" t="s">
        <v>11</v>
      </c>
      <c r="I125" s="9">
        <v>691</v>
      </c>
      <c r="J125" s="9">
        <v>15293</v>
      </c>
      <c r="K125" s="11">
        <f t="shared" si="6"/>
        <v>22.131693198263385</v>
      </c>
      <c r="L125" s="12"/>
    </row>
    <row r="126" spans="6:12" ht="16.5" x14ac:dyDescent="0.3">
      <c r="F126" s="12" t="s">
        <v>88</v>
      </c>
      <c r="G126" s="12" t="s">
        <v>88</v>
      </c>
      <c r="H126" s="12" t="s">
        <v>13</v>
      </c>
      <c r="I126" s="9">
        <v>691</v>
      </c>
      <c r="J126" s="9">
        <v>23449</v>
      </c>
      <c r="K126" s="11">
        <f t="shared" si="6"/>
        <v>33.934876989869757</v>
      </c>
      <c r="L126" s="12"/>
    </row>
    <row r="127" spans="6:12" ht="16.5" x14ac:dyDescent="0.3">
      <c r="F127" s="12" t="s">
        <v>91</v>
      </c>
      <c r="G127" s="12" t="s">
        <v>91</v>
      </c>
      <c r="H127" s="12" t="s">
        <v>13</v>
      </c>
      <c r="I127" s="9">
        <v>691</v>
      </c>
      <c r="J127" s="9">
        <v>23354</v>
      </c>
      <c r="K127" s="11">
        <f t="shared" si="6"/>
        <v>33.797395079594793</v>
      </c>
      <c r="L127" s="12"/>
    </row>
    <row r="128" spans="6:12" ht="16.5" x14ac:dyDescent="0.3">
      <c r="F128" s="12" t="s">
        <v>94</v>
      </c>
      <c r="G128" s="12" t="s">
        <v>94</v>
      </c>
      <c r="H128" s="12" t="s">
        <v>13</v>
      </c>
      <c r="I128" s="9">
        <v>778</v>
      </c>
      <c r="J128" s="9">
        <v>33795</v>
      </c>
      <c r="K128" s="11">
        <f t="shared" si="6"/>
        <v>43.438303341902312</v>
      </c>
      <c r="L128" s="12"/>
    </row>
    <row r="129" spans="6:12" ht="16.5" x14ac:dyDescent="0.3">
      <c r="F129" s="12" t="s">
        <v>97</v>
      </c>
      <c r="G129" s="12" t="s">
        <v>97</v>
      </c>
      <c r="H129" s="12" t="s">
        <v>13</v>
      </c>
      <c r="I129" s="9">
        <v>778</v>
      </c>
      <c r="J129" s="9">
        <v>33260</v>
      </c>
      <c r="K129" s="11">
        <f t="shared" si="6"/>
        <v>42.750642673521853</v>
      </c>
      <c r="L129" s="12"/>
    </row>
    <row r="130" spans="6:12" ht="16.5" x14ac:dyDescent="0.3">
      <c r="F130" s="16" t="s">
        <v>100</v>
      </c>
      <c r="G130" s="16" t="s">
        <v>100</v>
      </c>
      <c r="H130" s="12" t="s">
        <v>13</v>
      </c>
      <c r="I130" s="9">
        <v>622</v>
      </c>
      <c r="J130" s="9">
        <v>30330</v>
      </c>
      <c r="K130" s="11">
        <f t="shared" si="6"/>
        <v>48.762057877813504</v>
      </c>
      <c r="L130" s="12"/>
    </row>
    <row r="131" spans="6:12" ht="16.5" x14ac:dyDescent="0.3">
      <c r="F131" s="16" t="s">
        <v>103</v>
      </c>
      <c r="G131" s="16" t="s">
        <v>103</v>
      </c>
      <c r="H131" s="12" t="s">
        <v>13</v>
      </c>
      <c r="I131" s="9">
        <v>807</v>
      </c>
      <c r="J131" s="9">
        <v>39630</v>
      </c>
      <c r="K131" s="11">
        <f t="shared" si="6"/>
        <v>49.107806691449817</v>
      </c>
      <c r="L131" s="12"/>
    </row>
    <row r="132" spans="6:12" ht="16.5" x14ac:dyDescent="0.3">
      <c r="F132" s="16" t="s">
        <v>106</v>
      </c>
      <c r="G132" s="16" t="s">
        <v>106</v>
      </c>
      <c r="H132" s="12" t="s">
        <v>13</v>
      </c>
      <c r="I132" s="9">
        <v>622</v>
      </c>
      <c r="J132" s="9">
        <f>SUM(J133:J134)</f>
        <v>29134</v>
      </c>
      <c r="K132" s="11">
        <f t="shared" si="6"/>
        <v>46.839228295819936</v>
      </c>
      <c r="L132" s="12"/>
    </row>
    <row r="133" spans="6:12" ht="16.5" x14ac:dyDescent="0.3">
      <c r="F133" s="16" t="s">
        <v>106</v>
      </c>
      <c r="G133" s="16" t="s">
        <v>459</v>
      </c>
      <c r="H133" s="12" t="s">
        <v>13</v>
      </c>
      <c r="I133" s="9">
        <v>622</v>
      </c>
      <c r="J133" s="9">
        <v>11789</v>
      </c>
      <c r="K133" s="11">
        <f t="shared" si="6"/>
        <v>18.95337620578778</v>
      </c>
      <c r="L133" s="12"/>
    </row>
    <row r="134" spans="6:12" ht="16.5" x14ac:dyDescent="0.3">
      <c r="F134" s="16" t="s">
        <v>106</v>
      </c>
      <c r="G134" s="16" t="s">
        <v>460</v>
      </c>
      <c r="H134" s="12" t="s">
        <v>13</v>
      </c>
      <c r="I134" s="9">
        <v>622</v>
      </c>
      <c r="J134" s="9">
        <v>17345</v>
      </c>
      <c r="K134" s="11">
        <f t="shared" si="6"/>
        <v>27.885852090032156</v>
      </c>
      <c r="L134" s="12"/>
    </row>
    <row r="135" spans="6:12" ht="16.5" x14ac:dyDescent="0.3">
      <c r="F135" s="16" t="s">
        <v>109</v>
      </c>
      <c r="G135" s="16" t="s">
        <v>109</v>
      </c>
      <c r="H135" s="12" t="s">
        <v>13</v>
      </c>
      <c r="I135" s="9">
        <v>622</v>
      </c>
      <c r="J135" s="9">
        <v>15349</v>
      </c>
      <c r="K135" s="11">
        <f t="shared" si="6"/>
        <v>24.676848874598072</v>
      </c>
      <c r="L135" s="12"/>
    </row>
    <row r="136" spans="6:12" ht="16.5" x14ac:dyDescent="0.3">
      <c r="F136" s="16" t="s">
        <v>461</v>
      </c>
      <c r="G136" s="16" t="s">
        <v>461</v>
      </c>
      <c r="H136" s="12" t="s">
        <v>13</v>
      </c>
      <c r="I136" s="9">
        <v>622</v>
      </c>
      <c r="J136" s="9">
        <v>16062</v>
      </c>
      <c r="K136" s="11">
        <f t="shared" si="6"/>
        <v>25.823151125401928</v>
      </c>
      <c r="L136" s="12"/>
    </row>
    <row r="137" spans="6:12" ht="16.5" x14ac:dyDescent="0.3">
      <c r="F137" s="16" t="s">
        <v>462</v>
      </c>
      <c r="G137" s="16" t="s">
        <v>462</v>
      </c>
      <c r="H137" s="12" t="s">
        <v>13</v>
      </c>
      <c r="I137" s="9">
        <v>622</v>
      </c>
      <c r="J137" s="9">
        <v>4428</v>
      </c>
      <c r="K137" s="11">
        <f t="shared" si="6"/>
        <v>7.118971061093248</v>
      </c>
      <c r="L137" s="12"/>
    </row>
    <row r="138" spans="6:12" ht="16.5" x14ac:dyDescent="0.3">
      <c r="F138" s="16" t="s">
        <v>112</v>
      </c>
      <c r="G138" s="16" t="s">
        <v>112</v>
      </c>
      <c r="H138" s="12" t="s">
        <v>13</v>
      </c>
      <c r="I138" s="9">
        <v>622</v>
      </c>
      <c r="J138" s="9">
        <v>11433</v>
      </c>
      <c r="K138" s="11">
        <f t="shared" si="6"/>
        <v>18.381028938906752</v>
      </c>
      <c r="L138" s="12"/>
    </row>
    <row r="139" spans="6:12" ht="16.5" x14ac:dyDescent="0.3">
      <c r="F139" s="16" t="s">
        <v>115</v>
      </c>
      <c r="G139" s="16" t="s">
        <v>115</v>
      </c>
      <c r="H139" s="12" t="s">
        <v>13</v>
      </c>
      <c r="I139" s="9">
        <v>726</v>
      </c>
      <c r="J139" s="9">
        <v>41905</v>
      </c>
      <c r="K139" s="11">
        <f t="shared" si="6"/>
        <v>57.72038567493113</v>
      </c>
      <c r="L139" s="12"/>
    </row>
    <row r="140" spans="6:12" ht="16.5" x14ac:dyDescent="0.3">
      <c r="F140" s="16" t="s">
        <v>118</v>
      </c>
      <c r="G140" s="16" t="s">
        <v>118</v>
      </c>
      <c r="H140" s="12" t="s">
        <v>13</v>
      </c>
      <c r="I140" s="9">
        <v>778</v>
      </c>
      <c r="J140" s="9">
        <v>29280</v>
      </c>
      <c r="K140" s="11">
        <f t="shared" si="6"/>
        <v>37.634961439588686</v>
      </c>
      <c r="L140" s="12"/>
    </row>
    <row r="141" spans="6:12" ht="16.5" x14ac:dyDescent="0.3">
      <c r="F141" s="16" t="s">
        <v>121</v>
      </c>
      <c r="G141" s="16" t="s">
        <v>121</v>
      </c>
      <c r="H141" s="12" t="s">
        <v>13</v>
      </c>
      <c r="I141" s="9">
        <v>807</v>
      </c>
      <c r="J141" s="9">
        <v>30338</v>
      </c>
      <c r="K141" s="11">
        <f t="shared" si="6"/>
        <v>37.59355638166047</v>
      </c>
      <c r="L141" s="12"/>
    </row>
    <row r="142" spans="6:12" ht="16.5" x14ac:dyDescent="0.3">
      <c r="F142" s="16" t="s">
        <v>124</v>
      </c>
      <c r="G142" s="16" t="s">
        <v>124</v>
      </c>
      <c r="H142" s="12" t="s">
        <v>13</v>
      </c>
      <c r="I142" s="9">
        <v>726</v>
      </c>
      <c r="J142" s="9">
        <v>27203</v>
      </c>
      <c r="K142" s="11">
        <f t="shared" si="6"/>
        <v>37.469696969696969</v>
      </c>
      <c r="L142" s="12"/>
    </row>
    <row r="143" spans="6:12" ht="16.5" x14ac:dyDescent="0.3">
      <c r="F143" s="16" t="s">
        <v>127</v>
      </c>
      <c r="G143" s="16" t="s">
        <v>127</v>
      </c>
      <c r="H143" s="12" t="s">
        <v>13</v>
      </c>
      <c r="I143" s="9">
        <v>908</v>
      </c>
      <c r="J143" s="9">
        <v>8809</v>
      </c>
      <c r="K143" s="11">
        <f t="shared" si="6"/>
        <v>9.7015418502202646</v>
      </c>
      <c r="L143" s="12"/>
    </row>
    <row r="144" spans="6:12" ht="16.5" x14ac:dyDescent="0.3">
      <c r="F144" s="16" t="s">
        <v>463</v>
      </c>
      <c r="G144" s="16" t="s">
        <v>463</v>
      </c>
      <c r="H144" s="12" t="s">
        <v>13</v>
      </c>
      <c r="I144" s="9">
        <v>622</v>
      </c>
      <c r="J144" s="9">
        <v>11341</v>
      </c>
      <c r="K144" s="11">
        <f t="shared" si="6"/>
        <v>18.233118971061092</v>
      </c>
      <c r="L144" s="12"/>
    </row>
    <row r="145" spans="6:12" ht="16.5" x14ac:dyDescent="0.3">
      <c r="F145" s="16" t="s">
        <v>130</v>
      </c>
      <c r="G145" s="16" t="s">
        <v>130</v>
      </c>
      <c r="H145" s="12" t="s">
        <v>13</v>
      </c>
      <c r="I145" s="9">
        <v>605</v>
      </c>
      <c r="J145" s="9">
        <v>10120</v>
      </c>
      <c r="K145" s="11">
        <f t="shared" si="6"/>
        <v>16.727272727272727</v>
      </c>
      <c r="L145" s="12"/>
    </row>
    <row r="146" spans="6:12" ht="16.5" x14ac:dyDescent="0.3">
      <c r="F146" s="16" t="s">
        <v>133</v>
      </c>
      <c r="G146" s="16" t="s">
        <v>133</v>
      </c>
      <c r="H146" s="12" t="s">
        <v>13</v>
      </c>
      <c r="I146" s="9">
        <v>605</v>
      </c>
      <c r="J146" s="9">
        <v>11744</v>
      </c>
      <c r="K146" s="11">
        <f t="shared" si="6"/>
        <v>19.411570247933884</v>
      </c>
      <c r="L146" s="12"/>
    </row>
    <row r="147" spans="6:12" ht="16.5" x14ac:dyDescent="0.3">
      <c r="F147" s="16" t="s">
        <v>136</v>
      </c>
      <c r="G147" s="16" t="s">
        <v>136</v>
      </c>
      <c r="H147" s="12" t="s">
        <v>13</v>
      </c>
      <c r="I147" s="9">
        <v>605</v>
      </c>
      <c r="J147" s="9">
        <v>9777</v>
      </c>
      <c r="K147" s="11">
        <f t="shared" si="6"/>
        <v>16.160330578512397</v>
      </c>
      <c r="L147" s="12"/>
    </row>
    <row r="148" spans="6:12" ht="16.5" x14ac:dyDescent="0.3">
      <c r="F148" s="16" t="s">
        <v>139</v>
      </c>
      <c r="G148" s="16" t="s">
        <v>139</v>
      </c>
      <c r="H148" s="12" t="s">
        <v>13</v>
      </c>
      <c r="I148" s="9">
        <v>778</v>
      </c>
      <c r="J148" s="9">
        <v>9125</v>
      </c>
      <c r="K148" s="11">
        <f t="shared" si="6"/>
        <v>11.728791773778921</v>
      </c>
      <c r="L148" s="12"/>
    </row>
    <row r="149" spans="6:12" ht="16.5" x14ac:dyDescent="0.3">
      <c r="F149" s="16" t="s">
        <v>142</v>
      </c>
      <c r="G149" s="16" t="s">
        <v>142</v>
      </c>
      <c r="H149" s="12" t="s">
        <v>13</v>
      </c>
      <c r="I149" s="9">
        <v>726</v>
      </c>
      <c r="J149" s="9">
        <v>59411</v>
      </c>
      <c r="K149" s="11">
        <f t="shared" si="6"/>
        <v>81.833333333333329</v>
      </c>
      <c r="L149" s="12"/>
    </row>
    <row r="150" spans="6:12" ht="16.5" x14ac:dyDescent="0.3">
      <c r="F150" s="16" t="s">
        <v>142</v>
      </c>
      <c r="G150" s="16" t="s">
        <v>464</v>
      </c>
      <c r="H150" s="12" t="s">
        <v>13</v>
      </c>
      <c r="I150" s="9">
        <v>726</v>
      </c>
      <c r="J150" s="9">
        <v>45642</v>
      </c>
      <c r="K150" s="11">
        <f t="shared" si="6"/>
        <v>62.867768595041319</v>
      </c>
      <c r="L150" s="12"/>
    </row>
    <row r="151" spans="6:12" ht="16.5" x14ac:dyDescent="0.3">
      <c r="F151" s="16" t="s">
        <v>142</v>
      </c>
      <c r="G151" s="16" t="s">
        <v>465</v>
      </c>
      <c r="H151" s="12" t="s">
        <v>13</v>
      </c>
      <c r="I151" s="9">
        <v>726</v>
      </c>
      <c r="J151" s="9">
        <v>13769</v>
      </c>
      <c r="K151" s="11">
        <f t="shared" si="6"/>
        <v>18.965564738292009</v>
      </c>
      <c r="L151" s="12"/>
    </row>
    <row r="152" spans="6:12" ht="16.5" x14ac:dyDescent="0.3">
      <c r="F152" s="16" t="s">
        <v>466</v>
      </c>
      <c r="G152" s="16" t="s">
        <v>466</v>
      </c>
      <c r="H152" s="12" t="s">
        <v>13</v>
      </c>
      <c r="I152" s="9">
        <v>681</v>
      </c>
      <c r="J152" s="9">
        <v>23633</v>
      </c>
      <c r="K152" s="11">
        <f t="shared" si="6"/>
        <v>34.70337738619677</v>
      </c>
      <c r="L152" s="12"/>
    </row>
    <row r="153" spans="6:12" ht="16.5" x14ac:dyDescent="0.3">
      <c r="F153" s="16" t="s">
        <v>145</v>
      </c>
      <c r="G153" s="16" t="s">
        <v>145</v>
      </c>
      <c r="H153" s="12" t="s">
        <v>13</v>
      </c>
      <c r="I153" s="9">
        <v>726</v>
      </c>
      <c r="J153" s="9">
        <v>10726</v>
      </c>
      <c r="K153" s="11">
        <f t="shared" si="6"/>
        <v>14.774104683195592</v>
      </c>
      <c r="L153" s="12"/>
    </row>
    <row r="154" spans="6:12" ht="16.5" x14ac:dyDescent="0.3">
      <c r="F154" s="16" t="s">
        <v>467</v>
      </c>
      <c r="G154" s="16" t="s">
        <v>467</v>
      </c>
      <c r="H154" s="12" t="s">
        <v>13</v>
      </c>
      <c r="I154" s="9">
        <v>908</v>
      </c>
      <c r="J154" s="9">
        <v>5593</v>
      </c>
      <c r="K154" s="11">
        <f t="shared" si="6"/>
        <v>6.1596916299559474</v>
      </c>
      <c r="L154" s="12"/>
    </row>
    <row r="155" spans="6:12" ht="16.5" x14ac:dyDescent="0.3">
      <c r="F155" s="16" t="s">
        <v>148</v>
      </c>
      <c r="G155" s="16" t="s">
        <v>148</v>
      </c>
      <c r="H155" s="12" t="s">
        <v>13</v>
      </c>
      <c r="I155" s="9">
        <v>726</v>
      </c>
      <c r="J155" s="9">
        <v>8094</v>
      </c>
      <c r="K155" s="11">
        <f t="shared" si="6"/>
        <v>11.148760330578513</v>
      </c>
      <c r="L155" s="12"/>
    </row>
    <row r="156" spans="6:12" ht="16.5" x14ac:dyDescent="0.3">
      <c r="F156" s="16" t="s">
        <v>151</v>
      </c>
      <c r="G156" s="16" t="s">
        <v>151</v>
      </c>
      <c r="H156" s="12" t="s">
        <v>13</v>
      </c>
      <c r="I156" s="9">
        <v>807</v>
      </c>
      <c r="J156" s="9">
        <v>23285</v>
      </c>
      <c r="K156" s="11">
        <f t="shared" si="6"/>
        <v>28.853779429987608</v>
      </c>
      <c r="L156" s="12"/>
    </row>
    <row r="157" spans="6:12" ht="16.5" x14ac:dyDescent="0.3">
      <c r="F157" s="16" t="s">
        <v>154</v>
      </c>
      <c r="G157" s="16" t="s">
        <v>154</v>
      </c>
      <c r="H157" s="12" t="s">
        <v>13</v>
      </c>
      <c r="I157" s="9">
        <v>622</v>
      </c>
      <c r="J157" s="9">
        <v>5198</v>
      </c>
      <c r="K157" s="11">
        <f t="shared" si="6"/>
        <v>8.3569131832797421</v>
      </c>
      <c r="L157" s="12"/>
    </row>
    <row r="158" spans="6:12" ht="16.5" x14ac:dyDescent="0.3">
      <c r="F158" s="16" t="s">
        <v>157</v>
      </c>
      <c r="G158" s="16" t="s">
        <v>157</v>
      </c>
      <c r="H158" s="12" t="s">
        <v>13</v>
      </c>
      <c r="I158" s="9">
        <v>691</v>
      </c>
      <c r="J158" s="9">
        <v>3134</v>
      </c>
      <c r="K158" s="11">
        <f t="shared" si="6"/>
        <v>4.5354558610709121</v>
      </c>
      <c r="L158" s="12"/>
    </row>
    <row r="159" spans="6:12" ht="16.5" x14ac:dyDescent="0.3">
      <c r="F159" s="16" t="s">
        <v>160</v>
      </c>
      <c r="G159" s="16" t="s">
        <v>160</v>
      </c>
      <c r="H159" s="12" t="s">
        <v>13</v>
      </c>
      <c r="I159" s="9">
        <v>807</v>
      </c>
      <c r="J159" s="9">
        <v>5324</v>
      </c>
      <c r="K159" s="11">
        <f t="shared" si="6"/>
        <v>6.5972738537794298</v>
      </c>
      <c r="L159" s="12"/>
    </row>
    <row r="160" spans="6:12" ht="16.5" x14ac:dyDescent="0.3">
      <c r="F160" s="16" t="s">
        <v>163</v>
      </c>
      <c r="G160" s="16" t="s">
        <v>163</v>
      </c>
      <c r="H160" s="12" t="s">
        <v>13</v>
      </c>
      <c r="I160" s="9">
        <v>691</v>
      </c>
      <c r="J160" s="9">
        <v>3444</v>
      </c>
      <c r="K160" s="11">
        <f t="shared" si="6"/>
        <v>4.984081041968162</v>
      </c>
      <c r="L160" s="12"/>
    </row>
    <row r="161" spans="6:12" ht="16.5" x14ac:dyDescent="0.3">
      <c r="F161" s="16" t="s">
        <v>166</v>
      </c>
      <c r="G161" s="16" t="s">
        <v>166</v>
      </c>
      <c r="H161" s="12" t="s">
        <v>13</v>
      </c>
      <c r="I161" s="9">
        <v>691</v>
      </c>
      <c r="J161" s="9">
        <v>3193</v>
      </c>
      <c r="K161" s="11">
        <f t="shared" si="6"/>
        <v>4.6208393632416787</v>
      </c>
      <c r="L161" s="12"/>
    </row>
    <row r="162" spans="6:12" ht="16.5" x14ac:dyDescent="0.3">
      <c r="F162" s="16" t="s">
        <v>468</v>
      </c>
      <c r="G162" s="16" t="s">
        <v>468</v>
      </c>
      <c r="H162" s="12" t="s">
        <v>13</v>
      </c>
      <c r="I162" s="9">
        <v>691</v>
      </c>
      <c r="J162" s="9">
        <v>2220</v>
      </c>
      <c r="K162" s="11">
        <f t="shared" si="6"/>
        <v>3.2127351664254702</v>
      </c>
      <c r="L162" s="12"/>
    </row>
    <row r="163" spans="6:12" ht="16.5" x14ac:dyDescent="0.3">
      <c r="F163" s="16" t="s">
        <v>169</v>
      </c>
      <c r="G163" s="16" t="s">
        <v>169</v>
      </c>
      <c r="H163" s="12" t="s">
        <v>13</v>
      </c>
      <c r="I163" s="9">
        <v>691</v>
      </c>
      <c r="J163" s="9">
        <v>18780</v>
      </c>
      <c r="K163" s="11">
        <f t="shared" si="6"/>
        <v>27.178002894356005</v>
      </c>
      <c r="L163" s="12"/>
    </row>
    <row r="164" spans="6:12" ht="16.5" x14ac:dyDescent="0.3">
      <c r="F164" s="16" t="s">
        <v>172</v>
      </c>
      <c r="G164" s="16" t="s">
        <v>172</v>
      </c>
      <c r="H164" s="12" t="s">
        <v>13</v>
      </c>
      <c r="I164" s="9">
        <v>691</v>
      </c>
      <c r="J164" s="9">
        <v>195</v>
      </c>
      <c r="K164" s="11">
        <f t="shared" si="6"/>
        <v>0.28219971056439941</v>
      </c>
      <c r="L164" s="12"/>
    </row>
    <row r="165" spans="6:12" ht="16.5" x14ac:dyDescent="0.3">
      <c r="F165" s="16" t="s">
        <v>175</v>
      </c>
      <c r="G165" s="16" t="s">
        <v>175</v>
      </c>
      <c r="H165" s="12" t="s">
        <v>13</v>
      </c>
      <c r="I165" s="9">
        <v>726</v>
      </c>
      <c r="J165" s="9">
        <v>41547</v>
      </c>
      <c r="K165" s="11">
        <f t="shared" si="6"/>
        <v>57.227272727272727</v>
      </c>
      <c r="L165" s="12"/>
    </row>
    <row r="166" spans="6:12" ht="16.5" x14ac:dyDescent="0.3">
      <c r="F166" s="16" t="s">
        <v>178</v>
      </c>
      <c r="G166" s="16" t="s">
        <v>178</v>
      </c>
      <c r="H166" s="12" t="s">
        <v>13</v>
      </c>
      <c r="I166" s="9">
        <v>622</v>
      </c>
      <c r="J166" s="9">
        <v>34846</v>
      </c>
      <c r="K166" s="11">
        <f t="shared" si="6"/>
        <v>56.022508038585208</v>
      </c>
      <c r="L166" s="12"/>
    </row>
    <row r="167" spans="6:12" ht="16.5" x14ac:dyDescent="0.3">
      <c r="F167" s="16" t="s">
        <v>180</v>
      </c>
      <c r="G167" s="16" t="s">
        <v>180</v>
      </c>
      <c r="H167" s="12" t="s">
        <v>13</v>
      </c>
      <c r="I167" s="9">
        <v>726</v>
      </c>
      <c r="J167" s="9">
        <v>39384</v>
      </c>
      <c r="K167" s="11">
        <f t="shared" si="6"/>
        <v>54.247933884297524</v>
      </c>
      <c r="L167" s="12"/>
    </row>
    <row r="168" spans="6:12" ht="16.5" x14ac:dyDescent="0.3">
      <c r="F168" s="16" t="s">
        <v>469</v>
      </c>
      <c r="G168" s="16" t="s">
        <v>469</v>
      </c>
      <c r="H168" s="12" t="s">
        <v>13</v>
      </c>
      <c r="I168" s="9">
        <v>605</v>
      </c>
      <c r="J168" s="9">
        <v>19356</v>
      </c>
      <c r="K168" s="11">
        <f t="shared" si="6"/>
        <v>31.993388429752066</v>
      </c>
      <c r="L168" s="12"/>
    </row>
    <row r="169" spans="6:12" ht="16.5" x14ac:dyDescent="0.3">
      <c r="F169" s="16" t="s">
        <v>184</v>
      </c>
      <c r="G169" s="16" t="s">
        <v>184</v>
      </c>
      <c r="H169" s="12" t="s">
        <v>13</v>
      </c>
      <c r="I169" s="9">
        <v>681</v>
      </c>
      <c r="J169" s="9">
        <v>27160</v>
      </c>
      <c r="K169" s="11">
        <f t="shared" si="6"/>
        <v>39.882525697503674</v>
      </c>
      <c r="L169" s="12"/>
    </row>
    <row r="170" spans="6:12" ht="16.5" x14ac:dyDescent="0.3">
      <c r="F170" s="16" t="s">
        <v>470</v>
      </c>
      <c r="G170" s="16" t="s">
        <v>470</v>
      </c>
      <c r="H170" s="12" t="s">
        <v>13</v>
      </c>
      <c r="I170" s="9">
        <v>622</v>
      </c>
      <c r="J170" s="9">
        <v>30523</v>
      </c>
      <c r="K170" s="11">
        <f t="shared" si="6"/>
        <v>49.072347266881032</v>
      </c>
      <c r="L170" s="12"/>
    </row>
    <row r="171" spans="6:12" ht="16.5" x14ac:dyDescent="0.3">
      <c r="F171" s="12" t="s">
        <v>185</v>
      </c>
      <c r="G171" s="12" t="s">
        <v>185</v>
      </c>
      <c r="H171" s="12" t="s">
        <v>13</v>
      </c>
      <c r="I171" s="9">
        <v>726</v>
      </c>
      <c r="J171" s="9">
        <v>22202</v>
      </c>
      <c r="K171" s="11">
        <f t="shared" si="6"/>
        <v>30.581267217630852</v>
      </c>
      <c r="L171" s="12"/>
    </row>
    <row r="172" spans="6:12" ht="16.5" x14ac:dyDescent="0.3">
      <c r="F172" s="12" t="s">
        <v>140</v>
      </c>
      <c r="G172" s="12" t="s">
        <v>140</v>
      </c>
      <c r="H172" s="12" t="s">
        <v>11</v>
      </c>
      <c r="I172" s="9">
        <v>908</v>
      </c>
      <c r="J172" s="9">
        <v>37921</v>
      </c>
      <c r="K172" s="11">
        <f t="shared" si="6"/>
        <v>41.763215859030836</v>
      </c>
      <c r="L172" s="12"/>
    </row>
    <row r="173" spans="6:12" ht="16.5" x14ac:dyDescent="0.3">
      <c r="F173" s="12" t="s">
        <v>143</v>
      </c>
      <c r="G173" s="12" t="s">
        <v>143</v>
      </c>
      <c r="H173" s="12" t="s">
        <v>11</v>
      </c>
      <c r="I173" s="9">
        <v>778</v>
      </c>
      <c r="J173" s="9">
        <v>17071</v>
      </c>
      <c r="K173" s="11">
        <f t="shared" ref="K173:K242" si="7">J173/I173</f>
        <v>21.94215938303342</v>
      </c>
      <c r="L173" s="12"/>
    </row>
    <row r="174" spans="6:12" ht="16.5" x14ac:dyDescent="0.3">
      <c r="F174" s="12" t="s">
        <v>471</v>
      </c>
      <c r="G174" s="12" t="s">
        <v>471</v>
      </c>
      <c r="H174" s="12" t="s">
        <v>12</v>
      </c>
      <c r="I174" s="9">
        <v>807</v>
      </c>
      <c r="J174" s="9">
        <v>27381</v>
      </c>
      <c r="K174" s="11">
        <f t="shared" si="7"/>
        <v>33.929368029739777</v>
      </c>
      <c r="L174" s="12"/>
    </row>
    <row r="175" spans="6:12" ht="16.5" x14ac:dyDescent="0.3">
      <c r="F175" s="12" t="s">
        <v>69</v>
      </c>
      <c r="G175" s="12" t="s">
        <v>69</v>
      </c>
      <c r="H175" s="12" t="s">
        <v>12</v>
      </c>
      <c r="I175" s="9">
        <v>807</v>
      </c>
      <c r="J175" s="9">
        <v>36610</v>
      </c>
      <c r="K175" s="11">
        <f t="shared" si="7"/>
        <v>45.365551425030979</v>
      </c>
      <c r="L175" s="12"/>
    </row>
    <row r="176" spans="6:12" ht="16.5" x14ac:dyDescent="0.3">
      <c r="F176" s="12" t="s">
        <v>72</v>
      </c>
      <c r="G176" s="12" t="s">
        <v>72</v>
      </c>
      <c r="H176" s="12" t="s">
        <v>12</v>
      </c>
      <c r="I176" s="9">
        <v>807</v>
      </c>
      <c r="J176" s="9">
        <v>36108</v>
      </c>
      <c r="K176" s="11">
        <f t="shared" si="7"/>
        <v>44.743494423791823</v>
      </c>
      <c r="L176" s="12"/>
    </row>
    <row r="177" spans="6:12" ht="16.5" x14ac:dyDescent="0.3">
      <c r="F177" s="12" t="s">
        <v>472</v>
      </c>
      <c r="G177" s="12" t="s">
        <v>472</v>
      </c>
      <c r="H177" s="12" t="s">
        <v>12</v>
      </c>
      <c r="I177" s="9">
        <v>622</v>
      </c>
      <c r="J177" s="9">
        <v>17694</v>
      </c>
      <c r="K177" s="11">
        <f t="shared" si="7"/>
        <v>28.44694533762058</v>
      </c>
      <c r="L177" s="12"/>
    </row>
    <row r="178" spans="6:12" ht="16.5" x14ac:dyDescent="0.3">
      <c r="F178" s="12" t="s">
        <v>75</v>
      </c>
      <c r="G178" s="12" t="s">
        <v>267</v>
      </c>
      <c r="H178" s="12" t="s">
        <v>12</v>
      </c>
      <c r="I178" s="9">
        <v>691</v>
      </c>
      <c r="J178" s="9">
        <v>30372</v>
      </c>
      <c r="K178" s="11">
        <f t="shared" si="7"/>
        <v>43.953690303907379</v>
      </c>
      <c r="L178" s="12"/>
    </row>
    <row r="179" spans="6:12" ht="16.5" x14ac:dyDescent="0.3">
      <c r="F179" s="12" t="s">
        <v>75</v>
      </c>
      <c r="G179" s="12" t="s">
        <v>268</v>
      </c>
      <c r="H179" s="12" t="s">
        <v>12</v>
      </c>
      <c r="I179" s="9">
        <v>691</v>
      </c>
      <c r="J179" s="9">
        <v>15223</v>
      </c>
      <c r="K179" s="11">
        <f t="shared" si="7"/>
        <v>22.030390738060781</v>
      </c>
      <c r="L179" s="12"/>
    </row>
    <row r="180" spans="6:12" ht="16.5" x14ac:dyDescent="0.3">
      <c r="F180" s="12" t="s">
        <v>78</v>
      </c>
      <c r="G180" s="12" t="s">
        <v>78</v>
      </c>
      <c r="H180" s="12" t="s">
        <v>12</v>
      </c>
      <c r="I180" s="9">
        <v>726</v>
      </c>
      <c r="J180" s="9">
        <v>14094</v>
      </c>
      <c r="K180" s="11">
        <f t="shared" si="7"/>
        <v>19.41322314049587</v>
      </c>
      <c r="L180" s="12"/>
    </row>
    <row r="181" spans="6:12" ht="16.5" x14ac:dyDescent="0.3">
      <c r="F181" s="12" t="s">
        <v>81</v>
      </c>
      <c r="G181" s="12" t="s">
        <v>81</v>
      </c>
      <c r="H181" s="12" t="s">
        <v>12</v>
      </c>
      <c r="I181" s="9">
        <v>726</v>
      </c>
      <c r="J181" s="9">
        <v>26701</v>
      </c>
      <c r="K181" s="11">
        <f t="shared" si="7"/>
        <v>36.778236914600548</v>
      </c>
      <c r="L181" s="12"/>
    </row>
    <row r="182" spans="6:12" ht="16.5" x14ac:dyDescent="0.3">
      <c r="F182" s="12" t="s">
        <v>186</v>
      </c>
      <c r="G182" s="12" t="s">
        <v>186</v>
      </c>
      <c r="H182" s="12" t="s">
        <v>13</v>
      </c>
      <c r="I182" s="9">
        <v>726</v>
      </c>
      <c r="J182" s="9">
        <v>25885</v>
      </c>
      <c r="K182" s="11">
        <f t="shared" si="7"/>
        <v>35.654269972451793</v>
      </c>
      <c r="L182" s="12"/>
    </row>
    <row r="183" spans="6:12" ht="16.5" x14ac:dyDescent="0.3">
      <c r="F183" s="12" t="s">
        <v>146</v>
      </c>
      <c r="G183" s="12" t="s">
        <v>146</v>
      </c>
      <c r="H183" s="12" t="s">
        <v>11</v>
      </c>
      <c r="I183" s="9">
        <v>605</v>
      </c>
      <c r="J183" s="9">
        <v>20970</v>
      </c>
      <c r="K183" s="11">
        <f t="shared" si="7"/>
        <v>34.66115702479339</v>
      </c>
      <c r="L183" s="12"/>
    </row>
    <row r="184" spans="6:12" ht="16.5" x14ac:dyDescent="0.3">
      <c r="F184" s="12" t="s">
        <v>187</v>
      </c>
      <c r="G184" s="12" t="s">
        <v>187</v>
      </c>
      <c r="H184" s="12" t="s">
        <v>13</v>
      </c>
      <c r="I184" s="9">
        <v>605</v>
      </c>
      <c r="J184" s="9">
        <v>12811</v>
      </c>
      <c r="K184" s="11">
        <f t="shared" si="7"/>
        <v>21.175206611570246</v>
      </c>
      <c r="L184" s="12"/>
    </row>
    <row r="185" spans="6:12" ht="16.5" x14ac:dyDescent="0.3">
      <c r="F185" s="12" t="s">
        <v>188</v>
      </c>
      <c r="G185" s="12" t="s">
        <v>188</v>
      </c>
      <c r="H185" s="12" t="s">
        <v>13</v>
      </c>
      <c r="I185" s="9">
        <v>681</v>
      </c>
      <c r="J185" s="9">
        <v>14141</v>
      </c>
      <c r="K185" s="11">
        <f t="shared" si="7"/>
        <v>20.765051395007344</v>
      </c>
      <c r="L185" s="12"/>
    </row>
    <row r="186" spans="6:12" ht="16.5" x14ac:dyDescent="0.3">
      <c r="F186" s="12" t="s">
        <v>84</v>
      </c>
      <c r="G186" s="12" t="s">
        <v>84</v>
      </c>
      <c r="H186" s="12" t="s">
        <v>12</v>
      </c>
      <c r="I186" s="9">
        <v>807</v>
      </c>
      <c r="J186" s="9">
        <v>28941</v>
      </c>
      <c r="K186" s="11">
        <f t="shared" si="7"/>
        <v>35.862453531598511</v>
      </c>
      <c r="L186" s="12"/>
    </row>
    <row r="187" spans="6:12" ht="16.5" x14ac:dyDescent="0.3">
      <c r="F187" s="12" t="s">
        <v>87</v>
      </c>
      <c r="G187" s="12" t="s">
        <v>87</v>
      </c>
      <c r="H187" s="12" t="s">
        <v>12</v>
      </c>
      <c r="I187" s="9">
        <v>807</v>
      </c>
      <c r="J187" s="9">
        <v>33182</v>
      </c>
      <c r="K187" s="11">
        <f t="shared" si="7"/>
        <v>41.117719950433703</v>
      </c>
      <c r="L187" s="12"/>
    </row>
    <row r="188" spans="6:12" ht="16.5" x14ac:dyDescent="0.3">
      <c r="F188" s="12" t="s">
        <v>108</v>
      </c>
      <c r="G188" s="12" t="s">
        <v>108</v>
      </c>
      <c r="H188" s="12" t="s">
        <v>12</v>
      </c>
      <c r="I188" s="9">
        <v>807</v>
      </c>
      <c r="J188" s="9">
        <v>7032</v>
      </c>
      <c r="K188" s="11">
        <f t="shared" si="7"/>
        <v>8.7137546468401492</v>
      </c>
      <c r="L188" s="12"/>
    </row>
    <row r="189" spans="6:12" ht="16.5" x14ac:dyDescent="0.3">
      <c r="F189" s="12" t="s">
        <v>93</v>
      </c>
      <c r="G189" s="12" t="s">
        <v>93</v>
      </c>
      <c r="H189" s="12" t="s">
        <v>12</v>
      </c>
      <c r="I189" s="9">
        <v>807</v>
      </c>
      <c r="J189" s="9">
        <v>26335</v>
      </c>
      <c r="K189" s="11">
        <f t="shared" si="7"/>
        <v>32.633209417596035</v>
      </c>
      <c r="L189" s="12"/>
    </row>
    <row r="190" spans="6:12" ht="16.5" x14ac:dyDescent="0.3">
      <c r="F190" s="12" t="s">
        <v>96</v>
      </c>
      <c r="G190" s="12" t="s">
        <v>96</v>
      </c>
      <c r="H190" s="12" t="s">
        <v>12</v>
      </c>
      <c r="I190" s="9">
        <v>807</v>
      </c>
      <c r="J190" s="9">
        <v>24570</v>
      </c>
      <c r="K190" s="11">
        <f t="shared" si="7"/>
        <v>30.446096654275092</v>
      </c>
      <c r="L190" s="12"/>
    </row>
    <row r="191" spans="6:12" ht="16.5" x14ac:dyDescent="0.3">
      <c r="F191" s="12" t="s">
        <v>99</v>
      </c>
      <c r="G191" s="12" t="s">
        <v>99</v>
      </c>
      <c r="H191" s="12" t="s">
        <v>12</v>
      </c>
      <c r="I191" s="9">
        <v>807</v>
      </c>
      <c r="J191" s="9">
        <v>30908</v>
      </c>
      <c r="K191" s="11">
        <f t="shared" si="7"/>
        <v>38.299876084262699</v>
      </c>
      <c r="L191" s="12"/>
    </row>
    <row r="192" spans="6:12" ht="16.5" x14ac:dyDescent="0.3">
      <c r="F192" s="12" t="s">
        <v>102</v>
      </c>
      <c r="G192" s="12" t="s">
        <v>102</v>
      </c>
      <c r="H192" s="12" t="s">
        <v>12</v>
      </c>
      <c r="I192" s="9">
        <v>807</v>
      </c>
      <c r="J192" s="9">
        <v>30658</v>
      </c>
      <c r="K192" s="11">
        <f t="shared" si="7"/>
        <v>37.990086741016107</v>
      </c>
      <c r="L192" s="12"/>
    </row>
    <row r="193" spans="6:12" ht="16.5" x14ac:dyDescent="0.3">
      <c r="F193" s="12" t="s">
        <v>105</v>
      </c>
      <c r="G193" s="12" t="s">
        <v>105</v>
      </c>
      <c r="H193" s="12" t="s">
        <v>12</v>
      </c>
      <c r="I193" s="9">
        <v>807</v>
      </c>
      <c r="J193" s="9">
        <f>31291-1081</f>
        <v>30210</v>
      </c>
      <c r="K193" s="11">
        <f t="shared" si="7"/>
        <v>37.434944237918216</v>
      </c>
      <c r="L193" s="12"/>
    </row>
    <row r="194" spans="6:12" ht="16.5" x14ac:dyDescent="0.3">
      <c r="F194" s="12" t="s">
        <v>149</v>
      </c>
      <c r="G194" s="12" t="s">
        <v>149</v>
      </c>
      <c r="H194" s="12" t="s">
        <v>11</v>
      </c>
      <c r="I194" s="9">
        <v>681</v>
      </c>
      <c r="J194" s="9">
        <f>SUM(J195:J196)</f>
        <v>40476</v>
      </c>
      <c r="K194" s="11">
        <f t="shared" si="7"/>
        <v>59.436123348017624</v>
      </c>
      <c r="L194" s="12"/>
    </row>
    <row r="195" spans="6:12" ht="16.5" x14ac:dyDescent="0.3">
      <c r="F195" s="12" t="s">
        <v>473</v>
      </c>
      <c r="G195" s="12" t="s">
        <v>473</v>
      </c>
      <c r="H195" s="12" t="s">
        <v>11</v>
      </c>
      <c r="I195" s="9">
        <v>681</v>
      </c>
      <c r="J195" s="9">
        <v>27838</v>
      </c>
      <c r="K195" s="11">
        <f t="shared" si="7"/>
        <v>40.878120411160062</v>
      </c>
      <c r="L195" s="12"/>
    </row>
    <row r="196" spans="6:12" ht="16.5" x14ac:dyDescent="0.3">
      <c r="F196" s="12" t="s">
        <v>474</v>
      </c>
      <c r="G196" s="12" t="s">
        <v>474</v>
      </c>
      <c r="H196" s="12" t="s">
        <v>11</v>
      </c>
      <c r="I196" s="9">
        <v>681</v>
      </c>
      <c r="J196" s="9">
        <v>12638</v>
      </c>
      <c r="K196" s="11">
        <f t="shared" si="7"/>
        <v>18.558002936857562</v>
      </c>
      <c r="L196" s="12"/>
    </row>
    <row r="197" spans="6:12" ht="16.5" x14ac:dyDescent="0.3">
      <c r="F197" s="12" t="s">
        <v>152</v>
      </c>
      <c r="G197" s="12" t="s">
        <v>152</v>
      </c>
      <c r="H197" s="12" t="s">
        <v>11</v>
      </c>
      <c r="I197" s="9">
        <v>968</v>
      </c>
      <c r="J197" s="15">
        <v>14150</v>
      </c>
      <c r="K197" s="11">
        <f t="shared" si="7"/>
        <v>14.617768595041323</v>
      </c>
      <c r="L197" s="12"/>
    </row>
    <row r="198" spans="6:12" ht="16.5" x14ac:dyDescent="0.3">
      <c r="F198" s="12" t="s">
        <v>155</v>
      </c>
      <c r="G198" s="12" t="s">
        <v>155</v>
      </c>
      <c r="H198" s="12" t="s">
        <v>11</v>
      </c>
      <c r="I198" s="9">
        <v>622</v>
      </c>
      <c r="J198" s="9">
        <v>25496</v>
      </c>
      <c r="K198" s="11">
        <f t="shared" si="7"/>
        <v>40.9903536977492</v>
      </c>
      <c r="L198" s="12"/>
    </row>
    <row r="199" spans="6:12" ht="16.5" x14ac:dyDescent="0.3">
      <c r="F199" s="12" t="s">
        <v>155</v>
      </c>
      <c r="G199" s="12" t="s">
        <v>346</v>
      </c>
      <c r="H199" s="12" t="s">
        <v>11</v>
      </c>
      <c r="I199" s="9">
        <v>622</v>
      </c>
      <c r="J199" s="9">
        <v>12034</v>
      </c>
      <c r="K199" s="11">
        <f t="shared" si="7"/>
        <v>19.34726688102894</v>
      </c>
      <c r="L199" s="12"/>
    </row>
    <row r="200" spans="6:12" ht="16.5" x14ac:dyDescent="0.3">
      <c r="F200" s="12" t="s">
        <v>155</v>
      </c>
      <c r="G200" s="12" t="s">
        <v>348</v>
      </c>
      <c r="H200" s="12" t="s">
        <v>11</v>
      </c>
      <c r="I200" s="9">
        <v>622</v>
      </c>
      <c r="J200" s="9">
        <v>8666</v>
      </c>
      <c r="K200" s="11">
        <f t="shared" si="7"/>
        <v>13.932475884244372</v>
      </c>
      <c r="L200" s="12"/>
    </row>
    <row r="201" spans="6:12" ht="16.5" x14ac:dyDescent="0.3">
      <c r="F201" s="12" t="s">
        <v>155</v>
      </c>
      <c r="G201" s="12" t="s">
        <v>350</v>
      </c>
      <c r="H201" s="12" t="s">
        <v>11</v>
      </c>
      <c r="I201" s="9">
        <v>622</v>
      </c>
      <c r="J201" s="9">
        <v>4796</v>
      </c>
      <c r="K201" s="11">
        <f t="shared" si="7"/>
        <v>7.710610932475884</v>
      </c>
      <c r="L201" s="12"/>
    </row>
    <row r="202" spans="6:12" ht="16.5" x14ac:dyDescent="0.3">
      <c r="F202" s="12" t="s">
        <v>158</v>
      </c>
      <c r="G202" s="12" t="s">
        <v>158</v>
      </c>
      <c r="H202" s="12" t="s">
        <v>11</v>
      </c>
      <c r="I202" s="9">
        <v>681</v>
      </c>
      <c r="J202" s="9">
        <v>22610</v>
      </c>
      <c r="K202" s="11">
        <f t="shared" si="7"/>
        <v>33.201174743024964</v>
      </c>
      <c r="L202" s="12"/>
    </row>
    <row r="203" spans="6:12" ht="16.5" x14ac:dyDescent="0.3">
      <c r="F203" s="12" t="s">
        <v>161</v>
      </c>
      <c r="G203" s="12" t="s">
        <v>161</v>
      </c>
      <c r="H203" s="12" t="s">
        <v>11</v>
      </c>
      <c r="I203" s="9">
        <v>681</v>
      </c>
      <c r="J203" s="9">
        <v>22329</v>
      </c>
      <c r="K203" s="11">
        <f t="shared" si="7"/>
        <v>32.78854625550661</v>
      </c>
      <c r="L203" s="12"/>
    </row>
    <row r="204" spans="6:12" ht="16.5" x14ac:dyDescent="0.3">
      <c r="F204" s="12" t="s">
        <v>114</v>
      </c>
      <c r="G204" s="12" t="s">
        <v>114</v>
      </c>
      <c r="H204" s="12" t="s">
        <v>12</v>
      </c>
      <c r="I204" s="9">
        <v>566</v>
      </c>
      <c r="J204" s="9">
        <v>6935</v>
      </c>
      <c r="K204" s="11">
        <f t="shared" si="7"/>
        <v>12.252650176678445</v>
      </c>
      <c r="L204" s="12"/>
    </row>
    <row r="205" spans="6:12" ht="16.5" x14ac:dyDescent="0.3">
      <c r="F205" s="12" t="s">
        <v>117</v>
      </c>
      <c r="G205" s="12" t="s">
        <v>117</v>
      </c>
      <c r="H205" s="12" t="s">
        <v>12</v>
      </c>
      <c r="I205" s="9">
        <v>691</v>
      </c>
      <c r="J205" s="9">
        <v>4869</v>
      </c>
      <c r="K205" s="11">
        <f t="shared" si="7"/>
        <v>7.046309696092619</v>
      </c>
      <c r="L205" s="12"/>
    </row>
    <row r="206" spans="6:12" ht="16.5" x14ac:dyDescent="0.3">
      <c r="F206" s="12" t="s">
        <v>120</v>
      </c>
      <c r="G206" s="12" t="s">
        <v>120</v>
      </c>
      <c r="H206" s="12" t="s">
        <v>12</v>
      </c>
      <c r="I206" s="9">
        <v>691</v>
      </c>
      <c r="J206" s="9">
        <v>4876</v>
      </c>
      <c r="K206" s="11">
        <f t="shared" si="7"/>
        <v>7.0564399421128803</v>
      </c>
      <c r="L206" s="12"/>
    </row>
    <row r="207" spans="6:12" ht="16.5" x14ac:dyDescent="0.3">
      <c r="F207" s="12" t="s">
        <v>475</v>
      </c>
      <c r="G207" s="12" t="s">
        <v>475</v>
      </c>
      <c r="H207" s="12" t="s">
        <v>12</v>
      </c>
      <c r="I207" s="9">
        <v>454</v>
      </c>
      <c r="J207" s="9">
        <v>15154</v>
      </c>
      <c r="K207" s="11">
        <f t="shared" si="7"/>
        <v>33.378854625550659</v>
      </c>
      <c r="L207" s="12"/>
    </row>
    <row r="208" spans="6:12" ht="16.5" x14ac:dyDescent="0.3">
      <c r="F208" s="12" t="s">
        <v>476</v>
      </c>
      <c r="G208" s="12" t="s">
        <v>476</v>
      </c>
      <c r="H208" s="12" t="s">
        <v>12</v>
      </c>
      <c r="I208" s="9">
        <v>519</v>
      </c>
      <c r="J208" s="9">
        <v>4308</v>
      </c>
      <c r="K208" s="11">
        <f t="shared" si="7"/>
        <v>8.300578034682081</v>
      </c>
      <c r="L208" s="12"/>
    </row>
    <row r="209" spans="6:12" ht="16.5" x14ac:dyDescent="0.3">
      <c r="F209" s="12" t="s">
        <v>477</v>
      </c>
      <c r="G209" s="12" t="s">
        <v>477</v>
      </c>
      <c r="H209" s="12" t="s">
        <v>12</v>
      </c>
      <c r="I209" s="9">
        <v>519</v>
      </c>
      <c r="J209" s="9">
        <v>2523</v>
      </c>
      <c r="K209" s="11">
        <f t="shared" si="7"/>
        <v>4.8612716763005777</v>
      </c>
      <c r="L209" s="12"/>
    </row>
    <row r="210" spans="6:12" ht="16.5" x14ac:dyDescent="0.3">
      <c r="F210" s="12" t="s">
        <v>129</v>
      </c>
      <c r="G210" s="12" t="s">
        <v>129</v>
      </c>
      <c r="H210" s="12" t="s">
        <v>12</v>
      </c>
      <c r="I210" s="9">
        <v>660</v>
      </c>
      <c r="J210" s="9">
        <v>14099</v>
      </c>
      <c r="K210" s="11">
        <f t="shared" si="7"/>
        <v>21.362121212121213</v>
      </c>
      <c r="L210" s="12"/>
    </row>
    <row r="211" spans="6:12" ht="16.5" x14ac:dyDescent="0.3">
      <c r="F211" s="12" t="s">
        <v>138</v>
      </c>
      <c r="G211" s="12" t="s">
        <v>138</v>
      </c>
      <c r="H211" s="12" t="s">
        <v>12</v>
      </c>
      <c r="I211" s="9">
        <v>660</v>
      </c>
      <c r="J211" s="9">
        <v>1954</v>
      </c>
      <c r="K211" s="11">
        <f t="shared" si="7"/>
        <v>2.9606060606060605</v>
      </c>
      <c r="L211" s="12"/>
    </row>
    <row r="212" spans="6:12" ht="16.5" x14ac:dyDescent="0.3">
      <c r="F212" s="12" t="s">
        <v>141</v>
      </c>
      <c r="G212" s="12" t="s">
        <v>141</v>
      </c>
      <c r="H212" s="12" t="s">
        <v>12</v>
      </c>
      <c r="I212" s="9">
        <v>660</v>
      </c>
      <c r="J212" s="9">
        <v>14817</v>
      </c>
      <c r="K212" s="11">
        <f t="shared" si="7"/>
        <v>22.45</v>
      </c>
      <c r="L212" s="12"/>
    </row>
    <row r="213" spans="6:12" ht="16.5" x14ac:dyDescent="0.3">
      <c r="F213" s="12" t="s">
        <v>144</v>
      </c>
      <c r="G213" s="12" t="s">
        <v>144</v>
      </c>
      <c r="H213" s="12" t="s">
        <v>12</v>
      </c>
      <c r="I213" s="9">
        <v>660</v>
      </c>
      <c r="J213" s="9">
        <v>4148</v>
      </c>
      <c r="K213" s="11">
        <f t="shared" si="7"/>
        <v>6.2848484848484851</v>
      </c>
      <c r="L213" s="12"/>
    </row>
    <row r="214" spans="6:12" ht="16.5" x14ac:dyDescent="0.3">
      <c r="F214" s="12" t="s">
        <v>147</v>
      </c>
      <c r="G214" s="12" t="s">
        <v>147</v>
      </c>
      <c r="H214" s="12" t="s">
        <v>12</v>
      </c>
      <c r="I214" s="9">
        <v>519</v>
      </c>
      <c r="J214" s="9">
        <v>3672</v>
      </c>
      <c r="K214" s="11">
        <f t="shared" si="7"/>
        <v>7.0751445086705198</v>
      </c>
      <c r="L214" s="12"/>
    </row>
    <row r="215" spans="6:12" ht="16.5" x14ac:dyDescent="0.3">
      <c r="F215" s="12" t="s">
        <v>150</v>
      </c>
      <c r="G215" s="12" t="s">
        <v>150</v>
      </c>
      <c r="H215" s="12" t="s">
        <v>12</v>
      </c>
      <c r="I215" s="9">
        <v>660</v>
      </c>
      <c r="J215" s="9">
        <v>6131</v>
      </c>
      <c r="K215" s="11">
        <f t="shared" si="7"/>
        <v>9.2893939393939391</v>
      </c>
      <c r="L215" s="12"/>
    </row>
    <row r="216" spans="6:12" ht="16.5" x14ac:dyDescent="0.3">
      <c r="F216" s="12" t="s">
        <v>159</v>
      </c>
      <c r="G216" s="12" t="s">
        <v>159</v>
      </c>
      <c r="H216" s="12" t="s">
        <v>12</v>
      </c>
      <c r="I216" s="9">
        <v>691</v>
      </c>
      <c r="J216" s="9">
        <v>6586</v>
      </c>
      <c r="K216" s="11">
        <f t="shared" si="7"/>
        <v>9.5311143270622285</v>
      </c>
      <c r="L216" s="12"/>
    </row>
    <row r="217" spans="6:12" ht="16.5" x14ac:dyDescent="0.3">
      <c r="F217" s="12" t="s">
        <v>162</v>
      </c>
      <c r="G217" s="12" t="s">
        <v>162</v>
      </c>
      <c r="H217" s="12" t="s">
        <v>12</v>
      </c>
      <c r="I217" s="9">
        <v>519</v>
      </c>
      <c r="J217" s="9">
        <v>2061</v>
      </c>
      <c r="K217" s="11">
        <f t="shared" si="7"/>
        <v>3.9710982658959537</v>
      </c>
      <c r="L217" s="12"/>
    </row>
    <row r="218" spans="6:12" ht="16.5" x14ac:dyDescent="0.3">
      <c r="F218" s="12" t="s">
        <v>478</v>
      </c>
      <c r="G218" s="12" t="s">
        <v>478</v>
      </c>
      <c r="H218" s="12" t="s">
        <v>12</v>
      </c>
      <c r="I218" s="9">
        <v>519</v>
      </c>
      <c r="J218" s="9">
        <v>5292</v>
      </c>
      <c r="K218" s="11">
        <f t="shared" si="7"/>
        <v>10.196531791907514</v>
      </c>
      <c r="L218" s="12"/>
    </row>
    <row r="219" spans="6:12" ht="16.5" x14ac:dyDescent="0.3">
      <c r="F219" s="12" t="s">
        <v>479</v>
      </c>
      <c r="G219" s="12" t="s">
        <v>479</v>
      </c>
      <c r="H219" s="12" t="s">
        <v>12</v>
      </c>
      <c r="I219" s="9">
        <v>660</v>
      </c>
      <c r="J219" s="9">
        <v>2513</v>
      </c>
      <c r="K219" s="11">
        <f t="shared" si="7"/>
        <v>3.8075757575757576</v>
      </c>
      <c r="L219" s="12"/>
    </row>
    <row r="220" spans="6:12" ht="16.5" x14ac:dyDescent="0.3">
      <c r="F220" s="12" t="s">
        <v>165</v>
      </c>
      <c r="G220" s="12" t="s">
        <v>165</v>
      </c>
      <c r="H220" s="12" t="s">
        <v>12</v>
      </c>
      <c r="I220" s="9">
        <v>660</v>
      </c>
      <c r="J220" s="9">
        <v>5729</v>
      </c>
      <c r="K220" s="11">
        <f t="shared" si="7"/>
        <v>8.6803030303030297</v>
      </c>
      <c r="L220" s="12"/>
    </row>
    <row r="221" spans="6:12" ht="16.5" x14ac:dyDescent="0.3">
      <c r="F221" s="12" t="s">
        <v>310</v>
      </c>
      <c r="G221" s="12" t="s">
        <v>310</v>
      </c>
      <c r="H221" s="12" t="s">
        <v>12</v>
      </c>
      <c r="I221" s="9">
        <v>660</v>
      </c>
      <c r="J221" s="9">
        <v>529</v>
      </c>
      <c r="K221" s="11">
        <f t="shared" si="7"/>
        <v>0.80151515151515151</v>
      </c>
      <c r="L221" s="12"/>
    </row>
    <row r="222" spans="6:12" ht="16.5" x14ac:dyDescent="0.3">
      <c r="F222" s="12" t="s">
        <v>301</v>
      </c>
      <c r="G222" s="12" t="s">
        <v>301</v>
      </c>
      <c r="H222" s="12" t="s">
        <v>12</v>
      </c>
      <c r="I222" s="9">
        <v>660</v>
      </c>
      <c r="J222" s="9">
        <v>1276</v>
      </c>
      <c r="K222" s="11">
        <f t="shared" si="7"/>
        <v>1.9333333333333333</v>
      </c>
      <c r="L222" s="12"/>
    </row>
    <row r="223" spans="6:12" ht="16.5" x14ac:dyDescent="0.3">
      <c r="F223" s="12" t="s">
        <v>191</v>
      </c>
      <c r="G223" s="12" t="s">
        <v>191</v>
      </c>
      <c r="H223" s="12" t="s">
        <v>13</v>
      </c>
      <c r="I223" s="9">
        <v>622</v>
      </c>
      <c r="J223" s="9">
        <v>38947</v>
      </c>
      <c r="K223" s="11">
        <f t="shared" si="7"/>
        <v>62.615755627009648</v>
      </c>
      <c r="L223" s="12"/>
    </row>
    <row r="224" spans="6:12" ht="16.5" x14ac:dyDescent="0.3">
      <c r="F224" s="12" t="s">
        <v>191</v>
      </c>
      <c r="G224" s="12" t="s">
        <v>480</v>
      </c>
      <c r="H224" s="12" t="s">
        <v>13</v>
      </c>
      <c r="I224" s="9">
        <v>622</v>
      </c>
      <c r="J224" s="9">
        <v>19422</v>
      </c>
      <c r="K224" s="11">
        <f t="shared" si="7"/>
        <v>31.225080385852092</v>
      </c>
      <c r="L224" s="12"/>
    </row>
    <row r="225" spans="6:12" ht="16.5" x14ac:dyDescent="0.3">
      <c r="F225" s="12" t="s">
        <v>191</v>
      </c>
      <c r="G225" s="12" t="s">
        <v>481</v>
      </c>
      <c r="H225" s="12" t="s">
        <v>13</v>
      </c>
      <c r="I225" s="9">
        <v>622</v>
      </c>
      <c r="J225" s="9">
        <v>19525</v>
      </c>
      <c r="K225" s="11">
        <f t="shared" si="7"/>
        <v>31.390675241157556</v>
      </c>
      <c r="L225" s="12"/>
    </row>
    <row r="226" spans="6:12" ht="16.5" x14ac:dyDescent="0.3">
      <c r="F226" s="12" t="s">
        <v>164</v>
      </c>
      <c r="G226" s="12" t="s">
        <v>164</v>
      </c>
      <c r="H226" s="12" t="s">
        <v>11</v>
      </c>
      <c r="I226" s="9">
        <v>726</v>
      </c>
      <c r="J226" s="9">
        <v>19093</v>
      </c>
      <c r="K226" s="11">
        <f t="shared" si="7"/>
        <v>26.298898071625345</v>
      </c>
      <c r="L226" s="12"/>
    </row>
    <row r="227" spans="6:12" ht="16.5" x14ac:dyDescent="0.3">
      <c r="F227" s="12" t="s">
        <v>482</v>
      </c>
      <c r="G227" s="12" t="s">
        <v>482</v>
      </c>
      <c r="H227" s="12" t="s">
        <v>11</v>
      </c>
      <c r="I227" s="9">
        <v>681</v>
      </c>
      <c r="J227" s="9">
        <v>2540</v>
      </c>
      <c r="K227" s="11">
        <f t="shared" si="7"/>
        <v>3.7298091042584436</v>
      </c>
      <c r="L227" s="12"/>
    </row>
    <row r="228" spans="6:12" ht="16.5" x14ac:dyDescent="0.3">
      <c r="F228" s="12" t="s">
        <v>167</v>
      </c>
      <c r="G228" s="12" t="s">
        <v>483</v>
      </c>
      <c r="H228" s="12" t="s">
        <v>11</v>
      </c>
      <c r="I228" s="9">
        <v>566</v>
      </c>
      <c r="J228" s="9">
        <v>4944</v>
      </c>
      <c r="K228" s="11">
        <f t="shared" si="7"/>
        <v>8.7349823321554769</v>
      </c>
      <c r="L228" s="12"/>
    </row>
    <row r="229" spans="6:12" ht="16.5" x14ac:dyDescent="0.3">
      <c r="F229" s="12" t="s">
        <v>484</v>
      </c>
      <c r="G229" s="12" t="s">
        <v>484</v>
      </c>
      <c r="H229" s="12" t="s">
        <v>11</v>
      </c>
      <c r="I229" s="9">
        <v>681</v>
      </c>
      <c r="J229" s="9">
        <v>15807</v>
      </c>
      <c r="K229" s="11">
        <f t="shared" si="7"/>
        <v>23.211453744493394</v>
      </c>
      <c r="L229" s="12"/>
    </row>
    <row r="230" spans="6:12" ht="16.5" x14ac:dyDescent="0.3">
      <c r="F230" s="12" t="s">
        <v>192</v>
      </c>
      <c r="G230" s="12" t="s">
        <v>192</v>
      </c>
      <c r="H230" s="12" t="s">
        <v>13</v>
      </c>
      <c r="I230" s="9">
        <v>726</v>
      </c>
      <c r="J230" s="9">
        <v>13156</v>
      </c>
      <c r="K230" s="11">
        <f t="shared" si="7"/>
        <v>18.121212121212121</v>
      </c>
      <c r="L230" s="12"/>
    </row>
    <row r="231" spans="6:12" ht="16.5" x14ac:dyDescent="0.3">
      <c r="F231" s="12" t="s">
        <v>485</v>
      </c>
      <c r="G231" s="12" t="s">
        <v>485</v>
      </c>
      <c r="H231" s="12" t="s">
        <v>13</v>
      </c>
      <c r="I231" s="9">
        <v>691</v>
      </c>
      <c r="J231" s="9">
        <v>12591</v>
      </c>
      <c r="K231" s="11">
        <f t="shared" si="7"/>
        <v>18.221418234442837</v>
      </c>
      <c r="L231" s="12"/>
    </row>
    <row r="232" spans="6:12" ht="16.5" x14ac:dyDescent="0.3">
      <c r="F232" s="12" t="s">
        <v>193</v>
      </c>
      <c r="G232" s="12" t="s">
        <v>193</v>
      </c>
      <c r="H232" s="12" t="s">
        <v>13</v>
      </c>
      <c r="I232" s="9">
        <v>807</v>
      </c>
      <c r="J232" s="9">
        <v>15530</v>
      </c>
      <c r="K232" s="11">
        <f t="shared" si="7"/>
        <v>19.244114002478316</v>
      </c>
      <c r="L232" s="12"/>
    </row>
    <row r="233" spans="6:12" ht="16.5" x14ac:dyDescent="0.3">
      <c r="F233" s="12" t="s">
        <v>194</v>
      </c>
      <c r="G233" s="12" t="s">
        <v>194</v>
      </c>
      <c r="H233" s="12" t="s">
        <v>13</v>
      </c>
      <c r="I233" s="9">
        <v>605</v>
      </c>
      <c r="J233" s="9">
        <v>11526</v>
      </c>
      <c r="K233" s="11">
        <f t="shared" si="7"/>
        <v>19.051239669421488</v>
      </c>
      <c r="L233" s="12"/>
    </row>
    <row r="234" spans="6:12" ht="16.5" x14ac:dyDescent="0.3">
      <c r="F234" s="12" t="s">
        <v>195</v>
      </c>
      <c r="G234" s="12" t="s">
        <v>195</v>
      </c>
      <c r="H234" s="12" t="s">
        <v>13</v>
      </c>
      <c r="I234" s="9">
        <v>605</v>
      </c>
      <c r="J234" s="9">
        <v>11455</v>
      </c>
      <c r="K234" s="11">
        <f t="shared" si="7"/>
        <v>18.93388429752066</v>
      </c>
      <c r="L234" s="12"/>
    </row>
    <row r="235" spans="6:12" ht="16.5" x14ac:dyDescent="0.3">
      <c r="F235" s="12" t="s">
        <v>197</v>
      </c>
      <c r="G235" s="12" t="s">
        <v>197</v>
      </c>
      <c r="H235" s="12" t="s">
        <v>13</v>
      </c>
      <c r="I235" s="9">
        <v>691</v>
      </c>
      <c r="J235" s="9">
        <v>15976</v>
      </c>
      <c r="K235" s="11">
        <f t="shared" si="7"/>
        <v>23.120115774240233</v>
      </c>
      <c r="L235" s="12"/>
    </row>
    <row r="236" spans="6:12" ht="16.5" x14ac:dyDescent="0.3">
      <c r="F236" s="12" t="s">
        <v>198</v>
      </c>
      <c r="G236" s="12" t="s">
        <v>198</v>
      </c>
      <c r="H236" s="12" t="s">
        <v>13</v>
      </c>
      <c r="I236" s="9">
        <v>622</v>
      </c>
      <c r="J236" s="9">
        <v>2790</v>
      </c>
      <c r="K236" s="11">
        <f t="shared" si="7"/>
        <v>4.485530546623794</v>
      </c>
      <c r="L236" s="12"/>
    </row>
    <row r="237" spans="6:12" ht="16.5" x14ac:dyDescent="0.3">
      <c r="F237" s="12" t="s">
        <v>199</v>
      </c>
      <c r="G237" s="12" t="s">
        <v>199</v>
      </c>
      <c r="H237" s="12" t="s">
        <v>13</v>
      </c>
      <c r="I237" s="9">
        <v>691</v>
      </c>
      <c r="J237" s="9">
        <v>4940</v>
      </c>
      <c r="K237" s="11">
        <f t="shared" si="7"/>
        <v>7.1490593342981184</v>
      </c>
      <c r="L237" s="12"/>
    </row>
    <row r="238" spans="6:12" ht="16.5" x14ac:dyDescent="0.3">
      <c r="F238" s="12" t="s">
        <v>170</v>
      </c>
      <c r="G238" s="12" t="s">
        <v>170</v>
      </c>
      <c r="H238" s="12" t="s">
        <v>11</v>
      </c>
      <c r="I238" s="9">
        <v>681</v>
      </c>
      <c r="J238" s="9">
        <v>15414</v>
      </c>
      <c r="K238" s="11">
        <f t="shared" si="7"/>
        <v>22.634361233480178</v>
      </c>
      <c r="L238" s="12"/>
    </row>
    <row r="239" spans="6:12" ht="16.5" x14ac:dyDescent="0.3">
      <c r="F239" s="12" t="s">
        <v>202</v>
      </c>
      <c r="G239" s="12" t="s">
        <v>202</v>
      </c>
      <c r="H239" s="12" t="s">
        <v>13</v>
      </c>
      <c r="I239" s="9">
        <v>726</v>
      </c>
      <c r="J239" s="9">
        <v>18798</v>
      </c>
      <c r="K239" s="11">
        <f t="shared" si="7"/>
        <v>25.892561983471076</v>
      </c>
      <c r="L239" s="12"/>
    </row>
    <row r="240" spans="6:12" ht="16.5" x14ac:dyDescent="0.3">
      <c r="F240" s="12" t="s">
        <v>171</v>
      </c>
      <c r="G240" s="12" t="s">
        <v>171</v>
      </c>
      <c r="H240" s="12" t="s">
        <v>12</v>
      </c>
      <c r="I240" s="9">
        <v>691</v>
      </c>
      <c r="J240" s="9">
        <v>26251</v>
      </c>
      <c r="K240" s="11">
        <f t="shared" si="7"/>
        <v>37.98986975397974</v>
      </c>
      <c r="L240" s="12"/>
    </row>
    <row r="241" spans="1:12" ht="16.5" x14ac:dyDescent="0.3">
      <c r="F241" s="12" t="s">
        <v>174</v>
      </c>
      <c r="G241" s="12" t="s">
        <v>174</v>
      </c>
      <c r="H241" s="12" t="s">
        <v>12</v>
      </c>
      <c r="I241" s="9">
        <v>691</v>
      </c>
      <c r="J241" s="9">
        <v>23900</v>
      </c>
      <c r="K241" s="11">
        <f t="shared" si="7"/>
        <v>34.587554269175108</v>
      </c>
      <c r="L241" s="12"/>
    </row>
    <row r="242" spans="1:12" ht="16.5" x14ac:dyDescent="0.3">
      <c r="F242" s="12" t="s">
        <v>177</v>
      </c>
      <c r="G242" s="12" t="s">
        <v>177</v>
      </c>
      <c r="H242" s="12" t="s">
        <v>12</v>
      </c>
      <c r="I242" s="9">
        <v>691</v>
      </c>
      <c r="J242" s="9">
        <v>20669</v>
      </c>
      <c r="K242" s="11">
        <f t="shared" si="7"/>
        <v>29.911722141823443</v>
      </c>
      <c r="L242" s="12"/>
    </row>
    <row r="243" spans="1:12" ht="16.5" x14ac:dyDescent="0.3">
      <c r="F243" s="12" t="s">
        <v>179</v>
      </c>
      <c r="G243" s="12" t="s">
        <v>179</v>
      </c>
      <c r="H243" s="12" t="s">
        <v>11</v>
      </c>
      <c r="I243" s="9">
        <v>622</v>
      </c>
      <c r="J243" s="9">
        <v>24736</v>
      </c>
      <c r="K243" s="11">
        <f t="shared" ref="K243:K253" si="8">J243/I243</f>
        <v>39.768488745980704</v>
      </c>
      <c r="L243" s="12"/>
    </row>
    <row r="244" spans="1:12" ht="16.5" x14ac:dyDescent="0.3">
      <c r="F244" s="12" t="s">
        <v>181</v>
      </c>
      <c r="G244" s="12" t="s">
        <v>181</v>
      </c>
      <c r="H244" s="12" t="s">
        <v>11</v>
      </c>
      <c r="I244" s="9">
        <v>622</v>
      </c>
      <c r="J244" s="9">
        <v>51248</v>
      </c>
      <c r="K244" s="11">
        <f t="shared" si="8"/>
        <v>82.39228295819936</v>
      </c>
      <c r="L244" s="12"/>
    </row>
    <row r="245" spans="1:12" ht="16.5" x14ac:dyDescent="0.3">
      <c r="F245" s="12" t="s">
        <v>486</v>
      </c>
      <c r="G245" s="12" t="s">
        <v>486</v>
      </c>
      <c r="H245" s="12" t="s">
        <v>13</v>
      </c>
      <c r="I245" s="9"/>
      <c r="J245" s="9"/>
      <c r="K245" s="11"/>
      <c r="L245" s="12"/>
    </row>
    <row r="246" spans="1:12" ht="16.5" x14ac:dyDescent="0.3">
      <c r="F246" s="12" t="s">
        <v>487</v>
      </c>
      <c r="G246" s="12" t="s">
        <v>487</v>
      </c>
      <c r="H246" s="12" t="s">
        <v>11</v>
      </c>
      <c r="I246" s="9"/>
      <c r="J246" s="9"/>
      <c r="K246" s="11"/>
      <c r="L246" s="12"/>
    </row>
    <row r="247" spans="1:12" ht="16.5" x14ac:dyDescent="0.3">
      <c r="F247" s="12" t="s">
        <v>488</v>
      </c>
      <c r="G247" s="12" t="s">
        <v>488</v>
      </c>
      <c r="H247" s="12" t="s">
        <v>11</v>
      </c>
      <c r="I247" s="9"/>
      <c r="J247" s="9"/>
      <c r="K247" s="11"/>
      <c r="L247" s="12"/>
    </row>
    <row r="248" spans="1:12" ht="16.5" x14ac:dyDescent="0.3">
      <c r="A248" s="5"/>
      <c r="B248" s="5"/>
      <c r="C248" s="5"/>
      <c r="D248" s="5"/>
      <c r="E248" s="5"/>
      <c r="F248" s="12" t="s">
        <v>489</v>
      </c>
      <c r="G248" s="12" t="s">
        <v>489</v>
      </c>
      <c r="H248" s="12" t="s">
        <v>11</v>
      </c>
      <c r="I248" s="9"/>
      <c r="J248" s="9"/>
      <c r="K248" s="11"/>
      <c r="L248" s="12"/>
    </row>
    <row r="249" spans="1:12" ht="16.5" x14ac:dyDescent="0.3">
      <c r="A249" s="5"/>
      <c r="B249" s="5"/>
      <c r="C249" s="5"/>
      <c r="D249" s="5"/>
      <c r="E249" s="5"/>
      <c r="F249" s="12" t="s">
        <v>490</v>
      </c>
      <c r="G249" s="12" t="s">
        <v>490</v>
      </c>
      <c r="H249" s="12" t="s">
        <v>11</v>
      </c>
      <c r="I249" s="9"/>
      <c r="J249" s="9"/>
      <c r="K249" s="11"/>
      <c r="L249" s="12"/>
    </row>
    <row r="250" spans="1:12" ht="16.5" x14ac:dyDescent="0.3">
      <c r="A250" s="5"/>
      <c r="B250" s="5"/>
      <c r="C250" s="5"/>
      <c r="D250" s="5"/>
      <c r="E250" s="5"/>
      <c r="F250" s="12" t="s">
        <v>491</v>
      </c>
      <c r="G250" s="12" t="s">
        <v>491</v>
      </c>
      <c r="H250" s="12" t="s">
        <v>11</v>
      </c>
      <c r="I250" s="9"/>
      <c r="J250" s="9"/>
      <c r="K250" s="11"/>
      <c r="L250" s="12"/>
    </row>
    <row r="251" spans="1:12" ht="16.5" x14ac:dyDescent="0.3">
      <c r="A251" s="5"/>
      <c r="B251" s="5"/>
      <c r="C251" s="5"/>
      <c r="D251" s="5"/>
      <c r="E251" s="5"/>
      <c r="F251" s="12" t="s">
        <v>492</v>
      </c>
      <c r="G251" s="12" t="s">
        <v>492</v>
      </c>
      <c r="H251" s="12" t="s">
        <v>13</v>
      </c>
      <c r="I251" s="9"/>
      <c r="J251" s="9"/>
      <c r="K251" s="11"/>
      <c r="L251" s="12"/>
    </row>
    <row r="252" spans="1:12" ht="16.5" x14ac:dyDescent="0.3">
      <c r="A252" s="5"/>
      <c r="B252" s="5"/>
      <c r="C252" s="5"/>
      <c r="D252" s="5"/>
      <c r="E252" s="5"/>
      <c r="F252" s="26" t="s">
        <v>196</v>
      </c>
      <c r="G252" s="26" t="s">
        <v>196</v>
      </c>
      <c r="H252" s="26" t="s">
        <v>13</v>
      </c>
      <c r="I252" s="9">
        <v>622</v>
      </c>
      <c r="J252" s="9">
        <f>15671+6233</f>
        <v>21904</v>
      </c>
      <c r="K252" s="11">
        <f t="shared" si="8"/>
        <v>35.215434083601288</v>
      </c>
      <c r="L252" s="12"/>
    </row>
    <row r="253" spans="1:12" ht="16.5" x14ac:dyDescent="0.3">
      <c r="A253" s="5"/>
      <c r="B253" s="5"/>
      <c r="C253" s="5"/>
      <c r="D253" s="5"/>
      <c r="E253" s="5"/>
      <c r="F253" s="26" t="s">
        <v>66</v>
      </c>
      <c r="G253" s="26" t="s">
        <v>66</v>
      </c>
      <c r="H253" s="26" t="s">
        <v>12</v>
      </c>
      <c r="I253" s="9">
        <v>807</v>
      </c>
      <c r="J253" s="9">
        <v>3709</v>
      </c>
      <c r="K253" s="11">
        <f t="shared" si="8"/>
        <v>4.596034696406444</v>
      </c>
      <c r="L253" s="12"/>
    </row>
    <row r="254" spans="1:12" ht="16.5" x14ac:dyDescent="0.3">
      <c r="A254" s="5"/>
      <c r="B254" s="5"/>
      <c r="C254" s="5"/>
      <c r="D254" s="5"/>
      <c r="E254" s="5"/>
      <c r="F254" s="26" t="s">
        <v>493</v>
      </c>
      <c r="G254" s="26" t="s">
        <v>493</v>
      </c>
      <c r="H254" s="26" t="s">
        <v>12</v>
      </c>
      <c r="I254" s="9">
        <v>545</v>
      </c>
      <c r="J254" s="9">
        <v>9951</v>
      </c>
      <c r="K254" s="9"/>
      <c r="L254" s="12"/>
    </row>
    <row r="255" spans="1:12" ht="16.5" x14ac:dyDescent="0.3">
      <c r="A255" s="5"/>
      <c r="B255" s="5"/>
      <c r="C255" s="5"/>
      <c r="D255" s="5"/>
      <c r="E255" s="5"/>
      <c r="F255" s="26" t="s">
        <v>494</v>
      </c>
      <c r="G255" s="26" t="s">
        <v>494</v>
      </c>
      <c r="H255" s="26" t="s">
        <v>12</v>
      </c>
      <c r="I255" s="9">
        <v>545</v>
      </c>
      <c r="J255" s="9">
        <v>5403</v>
      </c>
      <c r="K255" s="9"/>
      <c r="L255" s="12"/>
    </row>
    <row r="256" spans="1:12" x14ac:dyDescent="0.25">
      <c r="F256" s="23" t="s">
        <v>24</v>
      </c>
      <c r="G256" s="23" t="s">
        <v>24</v>
      </c>
      <c r="H256" s="23" t="s">
        <v>12</v>
      </c>
      <c r="I256" s="24">
        <v>871</v>
      </c>
      <c r="J256" s="24">
        <v>36095</v>
      </c>
      <c r="K256" s="24">
        <v>42.04</v>
      </c>
    </row>
    <row r="257" spans="6:8" x14ac:dyDescent="0.25">
      <c r="F257" s="23"/>
      <c r="G257" s="23"/>
      <c r="H257" s="23"/>
    </row>
    <row r="258" spans="6:8" x14ac:dyDescent="0.25">
      <c r="F258" s="23"/>
      <c r="G258" s="23"/>
      <c r="H258" s="23"/>
    </row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</sheetData>
  <autoFilter ref="A34:B52" xr:uid="{030AA0B8-6D61-47F3-B7EF-667DDCE78016}"/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11187d4-c97d-4bf4-be43-fdc87f977711">
      <UserInfo>
        <DisplayName>Maria Zumkeller</DisplayName>
        <AccountId>103</AccountId>
        <AccountType/>
      </UserInfo>
    </SharedWithUsers>
    <TaxCatchAll xmlns="511187d4-c97d-4bf4-be43-fdc87f977711" xsi:nil="true"/>
    <lcf76f155ced4ddcb4097134ff3c332f xmlns="cb8885cf-f7c3-4147-88f7-3374f51e52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C7B57AA89494D97AD7F9C7AAF1FA3" ma:contentTypeVersion="16" ma:contentTypeDescription="Create a new document." ma:contentTypeScope="" ma:versionID="8f648f7ba0ee9c3cc6118447e4440759">
  <xsd:schema xmlns:xsd="http://www.w3.org/2001/XMLSchema" xmlns:xs="http://www.w3.org/2001/XMLSchema" xmlns:p="http://schemas.microsoft.com/office/2006/metadata/properties" xmlns:ns2="cb8885cf-f7c3-4147-88f7-3374f51e527d" xmlns:ns3="511187d4-c97d-4bf4-be43-fdc87f977711" targetNamespace="http://schemas.microsoft.com/office/2006/metadata/properties" ma:root="true" ma:fieldsID="cec337839ccc6b261f8c7e43ab6cccdd" ns2:_="" ns3:_="">
    <xsd:import namespace="cb8885cf-f7c3-4147-88f7-3374f51e527d"/>
    <xsd:import namespace="511187d4-c97d-4bf4-be43-fdc87f977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85cf-f7c3-4147-88f7-3374f51e5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d0f0cfe-34f2-4a06-ab4d-e9186d0c4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187d4-c97d-4bf4-be43-fdc87f9777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f4c2a93-347a-421d-be59-f3ab58ab7dff}" ma:internalName="TaxCatchAll" ma:showField="CatchAllData" ma:web="511187d4-c97d-4bf4-be43-fdc87f977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AFBFC1-794C-4DBF-BB66-7088679A2C4E}">
  <ds:schemaRefs>
    <ds:schemaRef ds:uri="511187d4-c97d-4bf4-be43-fdc87f977711"/>
    <ds:schemaRef ds:uri="http://www.w3.org/XML/1998/namespace"/>
    <ds:schemaRef ds:uri="http://schemas.microsoft.com/office/2006/documentManagement/types"/>
    <ds:schemaRef ds:uri="http://purl.org/dc/elements/1.1/"/>
    <ds:schemaRef ds:uri="cb8885cf-f7c3-4147-88f7-3374f51e527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039E49-92C2-4D58-9AEB-1603E1E1B0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8885cf-f7c3-4147-88f7-3374f51e527d"/>
    <ds:schemaRef ds:uri="511187d4-c97d-4bf4-be43-fdc87f9777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0916F7-9FFB-445B-9B15-A50810BDDF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Summary</vt:lpstr>
      <vt:lpstr>Row Counts</vt:lpstr>
      <vt:lpstr>Sheet1</vt:lpstr>
      <vt:lpstr>Stats</vt:lpstr>
      <vt:lpstr>Source List</vt:lpstr>
      <vt:lpstr>Summary!Print_Area</vt:lpstr>
      <vt:lpstr>Summary!Print_Titles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Zumkeller</cp:lastModifiedBy>
  <cp:revision/>
  <dcterms:created xsi:type="dcterms:W3CDTF">2018-08-02T22:07:06Z</dcterms:created>
  <dcterms:modified xsi:type="dcterms:W3CDTF">2026-08-23T16:36:45Z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0x010100049C7B57AA89494D97AD7F9C7AAF1FA3</vt:lpwstr>
  </property>
  <property fmtid="{D5CDD505-2E9C-101B-9397-08002B2CF9AE}" pid="3" name="AuthorIds_UIVersion_512">
    <vt:lpwstr>24</vt:lpwstr>
  </property>
  <property fmtid="{D5CDD505-2E9C-101B-9397-08002B2CF9AE}" pid="4" name="Order">
    <vt:r8>52900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MediaServiceImageTags">
    <vt:lpwstr/>
  </property>
</Properties>
</file>